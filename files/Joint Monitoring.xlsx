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calcChain.xml" ContentType="application/vnd.openxmlformats-officedocument.spreadsheetml.calcChain+xml"/>
  <Override PartName="/xl/persons/person.xml" ContentType="application/vnd.ms-excel.person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https://metpower-my.sharepoint.com/personal/francis_requillo_metpower-operation_net/Documents/Documents/2024_Francis Desktop/2. SBVC Standard Joint Monitoring/2024/"/>
    </mc:Choice>
  </mc:AlternateContent>
  <xr:revisionPtr revIDLastSave="618" documentId="13_ncr:1_{7D7A4E4D-E861-41FC-BF4C-B4292D89F49C}" xr6:coauthVersionLast="47" xr6:coauthVersionMax="47" xr10:uidLastSave="{5975CAD4-1BAA-48CD-A06C-8B6BD7F80948}"/>
  <bookViews>
    <workbookView xWindow="-110" yWindow="-110" windowWidth="19420" windowHeight="12220" firstSheet="2" activeTab="3" xr2:uid="{00000000-000D-0000-FFFF-FFFF00000000}"/>
  </bookViews>
  <sheets>
    <sheet name="Change Tracker" sheetId="3" state="hidden" r:id="rId1"/>
    <sheet name="Previous day" sheetId="4" state="hidden" r:id="rId2"/>
    <sheet name="Template (3)" sheetId="27" r:id="rId3"/>
    <sheet name="Template" sheetId="25" r:id="rId4"/>
    <sheet name="Template (2)" sheetId="26" state="hidden" r:id="rId5"/>
  </sheets>
  <definedNames>
    <definedName name="_xlnm.Print_Area" localSheetId="3">Template!$A$1:$AK$41</definedName>
    <definedName name="_xlnm.Print_Area" localSheetId="2">'Template (3)'!$B$2:$AB$40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Q25" i="25" l="1"/>
  <c r="Q24" i="25"/>
  <c r="Q23" i="25"/>
  <c r="Q18" i="25"/>
  <c r="Q11" i="25"/>
  <c r="Q9" i="25"/>
  <c r="H9" i="25"/>
  <c r="J9" i="25"/>
  <c r="S9" i="25"/>
  <c r="AD24" i="25" l="1"/>
  <c r="AD25" i="25"/>
  <c r="AD26" i="25"/>
  <c r="AD27" i="25"/>
  <c r="AD28" i="25"/>
  <c r="AD29" i="25"/>
  <c r="AD30" i="25"/>
  <c r="AD31" i="25"/>
  <c r="AD32" i="25"/>
  <c r="AD33" i="25"/>
  <c r="AD34" i="25"/>
  <c r="AD35" i="25"/>
  <c r="S30" i="25" l="1"/>
  <c r="S31" i="25"/>
  <c r="S32" i="25"/>
  <c r="S33" i="25"/>
  <c r="S34" i="25"/>
  <c r="AD20" i="25"/>
  <c r="AD21" i="25"/>
  <c r="AD22" i="25"/>
  <c r="AD23" i="25"/>
  <c r="S10" i="25"/>
  <c r="S11" i="25"/>
  <c r="S12" i="25"/>
  <c r="S13" i="25"/>
  <c r="S14" i="25"/>
  <c r="S15" i="25"/>
  <c r="S16" i="25"/>
  <c r="S17" i="25"/>
  <c r="S18" i="25"/>
  <c r="S19" i="25"/>
  <c r="S20" i="25"/>
  <c r="S21" i="25"/>
  <c r="S22" i="25"/>
  <c r="S23" i="25"/>
  <c r="S24" i="25"/>
  <c r="S25" i="25"/>
  <c r="S26" i="25"/>
  <c r="S27" i="25"/>
  <c r="S28" i="25"/>
  <c r="S29" i="25"/>
  <c r="AD16" i="25"/>
  <c r="AD17" i="25"/>
  <c r="AD18" i="25"/>
  <c r="AD19" i="25"/>
  <c r="AD10" i="25"/>
  <c r="AD11" i="25"/>
  <c r="AD12" i="25"/>
  <c r="AD13" i="25"/>
  <c r="AD14" i="25"/>
  <c r="AD15" i="25"/>
  <c r="AD9" i="25"/>
  <c r="AD7" i="25"/>
  <c r="W39" i="25" l="1"/>
  <c r="W38" i="25"/>
  <c r="W37" i="25"/>
  <c r="W36" i="25"/>
  <c r="W35" i="25"/>
  <c r="W34" i="25"/>
  <c r="W33" i="25"/>
  <c r="U34" i="25"/>
  <c r="U35" i="25"/>
  <c r="U36" i="25"/>
  <c r="U37" i="25"/>
  <c r="U38" i="25"/>
  <c r="U39" i="25"/>
  <c r="Y33" i="25" l="1"/>
  <c r="Y34" i="25"/>
  <c r="Z34" i="25" s="1"/>
  <c r="Y35" i="25"/>
  <c r="Z35" i="25" s="1"/>
  <c r="Y36" i="25"/>
  <c r="Z36" i="25" s="1"/>
  <c r="Y37" i="25"/>
  <c r="Z37" i="25" s="1"/>
  <c r="Y38" i="25"/>
  <c r="Z38" i="25" s="1"/>
  <c r="Y39" i="25"/>
  <c r="Z39" i="25" s="1"/>
  <c r="H34" i="25"/>
  <c r="H35" i="25"/>
  <c r="H36" i="25"/>
  <c r="H37" i="25"/>
  <c r="H38" i="25"/>
  <c r="H39" i="25"/>
  <c r="AJ35" i="25"/>
  <c r="AJ36" i="25"/>
  <c r="AJ37" i="25"/>
  <c r="AJ38" i="25"/>
  <c r="AJ39" i="25"/>
  <c r="AH35" i="25"/>
  <c r="AH36" i="25"/>
  <c r="AH37" i="25"/>
  <c r="AH38" i="25"/>
  <c r="AH39" i="25"/>
  <c r="AF35" i="25"/>
  <c r="AF36" i="25"/>
  <c r="AF37" i="25"/>
  <c r="AF38" i="25"/>
  <c r="AF39" i="25"/>
  <c r="J34" i="25"/>
  <c r="J35" i="25"/>
  <c r="J36" i="25"/>
  <c r="J37" i="25"/>
  <c r="J38" i="25"/>
  <c r="J39" i="25"/>
  <c r="Y27" i="25"/>
  <c r="Y28" i="25"/>
  <c r="Y29" i="25"/>
  <c r="Y30" i="25"/>
  <c r="Y31" i="25"/>
  <c r="Y32" i="25"/>
  <c r="W27" i="25"/>
  <c r="W28" i="25"/>
  <c r="W29" i="25"/>
  <c r="W30" i="25"/>
  <c r="W31" i="25"/>
  <c r="W32" i="25"/>
  <c r="U25" i="25"/>
  <c r="U26" i="25"/>
  <c r="U27" i="25"/>
  <c r="U28" i="25"/>
  <c r="U29" i="25"/>
  <c r="U30" i="25"/>
  <c r="U31" i="25"/>
  <c r="U32" i="25"/>
  <c r="U33" i="25"/>
  <c r="AJ26" i="25"/>
  <c r="AJ27" i="25"/>
  <c r="AJ28" i="25"/>
  <c r="AJ29" i="25"/>
  <c r="AJ30" i="25"/>
  <c r="AJ31" i="25"/>
  <c r="AJ32" i="25"/>
  <c r="AJ33" i="25"/>
  <c r="AJ34" i="25"/>
  <c r="AH26" i="25"/>
  <c r="AH27" i="25"/>
  <c r="AH28" i="25"/>
  <c r="AH29" i="25"/>
  <c r="AH30" i="25"/>
  <c r="AH31" i="25"/>
  <c r="AH32" i="25"/>
  <c r="AH33" i="25"/>
  <c r="AH34" i="25"/>
  <c r="AF34" i="25"/>
  <c r="AF26" i="25"/>
  <c r="AF27" i="25"/>
  <c r="AF28" i="25"/>
  <c r="AF29" i="25"/>
  <c r="AF30" i="25"/>
  <c r="AF31" i="25"/>
  <c r="AF32" i="25"/>
  <c r="AF33" i="25"/>
  <c r="H25" i="25"/>
  <c r="H26" i="25"/>
  <c r="H27" i="25"/>
  <c r="H28" i="25"/>
  <c r="H29" i="25"/>
  <c r="H30" i="25"/>
  <c r="H31" i="25"/>
  <c r="H32" i="25"/>
  <c r="H33" i="25"/>
  <c r="J26" i="25"/>
  <c r="J27" i="25"/>
  <c r="J28" i="25"/>
  <c r="J29" i="25"/>
  <c r="J30" i="25"/>
  <c r="J31" i="25"/>
  <c r="J32" i="25"/>
  <c r="J33" i="25"/>
  <c r="AJ20" i="25"/>
  <c r="AJ21" i="25"/>
  <c r="AJ22" i="25"/>
  <c r="AJ23" i="25"/>
  <c r="AJ24" i="25"/>
  <c r="AJ25" i="25"/>
  <c r="AH25" i="25"/>
  <c r="AH19" i="25"/>
  <c r="AH20" i="25"/>
  <c r="AH21" i="25"/>
  <c r="AH22" i="25"/>
  <c r="AH23" i="25"/>
  <c r="AH24" i="25"/>
  <c r="AF20" i="25"/>
  <c r="AF21" i="25"/>
  <c r="AF22" i="25"/>
  <c r="AF23" i="25"/>
  <c r="AF24" i="25"/>
  <c r="AF25" i="25"/>
  <c r="Y18" i="25"/>
  <c r="Y19" i="25"/>
  <c r="Y20" i="25"/>
  <c r="Y21" i="25"/>
  <c r="Y22" i="25"/>
  <c r="Y23" i="25"/>
  <c r="Y24" i="25"/>
  <c r="Y25" i="25"/>
  <c r="Y26" i="25"/>
  <c r="W18" i="25"/>
  <c r="W19" i="25"/>
  <c r="W20" i="25"/>
  <c r="W21" i="25"/>
  <c r="W22" i="25"/>
  <c r="W23" i="25"/>
  <c r="W24" i="25"/>
  <c r="W25" i="25"/>
  <c r="W26" i="25"/>
  <c r="H19" i="25"/>
  <c r="H20" i="25"/>
  <c r="H21" i="25"/>
  <c r="H22" i="25"/>
  <c r="H23" i="25"/>
  <c r="H24" i="25"/>
  <c r="J18" i="25"/>
  <c r="J19" i="25"/>
  <c r="J20" i="25"/>
  <c r="J21" i="25"/>
  <c r="J22" i="25"/>
  <c r="J23" i="25"/>
  <c r="J24" i="25"/>
  <c r="J25" i="25"/>
  <c r="Z23" i="25" l="1"/>
  <c r="Z19" i="25"/>
  <c r="Z21" i="25"/>
  <c r="Z20" i="25"/>
  <c r="Z32" i="25"/>
  <c r="Z31" i="25"/>
  <c r="Z30" i="25"/>
  <c r="Z18" i="25"/>
  <c r="Z24" i="25"/>
  <c r="Z22" i="25"/>
  <c r="Z26" i="25"/>
  <c r="Z25" i="25"/>
  <c r="Z29" i="25"/>
  <c r="Z28" i="25"/>
  <c r="Z27" i="25"/>
  <c r="Z33" i="25"/>
  <c r="U20" i="25"/>
  <c r="U21" i="25"/>
  <c r="U22" i="25"/>
  <c r="U23" i="25"/>
  <c r="U24" i="25"/>
  <c r="AJ13" i="25"/>
  <c r="AJ14" i="25"/>
  <c r="AJ15" i="25"/>
  <c r="AJ16" i="25"/>
  <c r="AJ17" i="25"/>
  <c r="AJ18" i="25"/>
  <c r="AJ19" i="25"/>
  <c r="AH12" i="25"/>
  <c r="AH13" i="25"/>
  <c r="AH14" i="25"/>
  <c r="AH15" i="25"/>
  <c r="AH16" i="25"/>
  <c r="AH17" i="25"/>
  <c r="AH18" i="25"/>
  <c r="AF12" i="25"/>
  <c r="AF13" i="25"/>
  <c r="AF14" i="25"/>
  <c r="AF15" i="25"/>
  <c r="AF16" i="25"/>
  <c r="AF17" i="25"/>
  <c r="AF18" i="25"/>
  <c r="AF19" i="25"/>
  <c r="U12" i="25"/>
  <c r="U13" i="25"/>
  <c r="U14" i="25"/>
  <c r="U15" i="25"/>
  <c r="U16" i="25"/>
  <c r="U17" i="25"/>
  <c r="U18" i="25"/>
  <c r="U19" i="25"/>
  <c r="Y12" i="25"/>
  <c r="Y13" i="25"/>
  <c r="Y14" i="25"/>
  <c r="Y15" i="25"/>
  <c r="Y16" i="25"/>
  <c r="Y17" i="25"/>
  <c r="W12" i="25"/>
  <c r="W13" i="25"/>
  <c r="W14" i="25"/>
  <c r="W15" i="25"/>
  <c r="W16" i="25"/>
  <c r="W17" i="25"/>
  <c r="J12" i="25"/>
  <c r="J13" i="25"/>
  <c r="J14" i="25"/>
  <c r="J15" i="25"/>
  <c r="J16" i="25"/>
  <c r="J17" i="25"/>
  <c r="H12" i="25"/>
  <c r="H13" i="25"/>
  <c r="H14" i="25"/>
  <c r="H15" i="25"/>
  <c r="H16" i="25"/>
  <c r="H17" i="25"/>
  <c r="H18" i="25"/>
  <c r="AJ12" i="25"/>
  <c r="AJ11" i="25"/>
  <c r="AJ10" i="25"/>
  <c r="AH11" i="25"/>
  <c r="AH10" i="25"/>
  <c r="AJ9" i="25"/>
  <c r="AH9" i="25"/>
  <c r="AF11" i="25"/>
  <c r="AF10" i="25"/>
  <c r="AF9" i="25"/>
  <c r="U11" i="25"/>
  <c r="U10" i="25"/>
  <c r="U9" i="25"/>
  <c r="J11" i="25"/>
  <c r="J10" i="25"/>
  <c r="H11" i="25"/>
  <c r="H10" i="25"/>
  <c r="Y11" i="25"/>
  <c r="Y10" i="25"/>
  <c r="Y9" i="25"/>
  <c r="W11" i="25"/>
  <c r="W10" i="25"/>
  <c r="W9" i="25"/>
  <c r="Z9" i="25" l="1"/>
  <c r="Z10" i="25"/>
  <c r="Z11" i="25"/>
  <c r="Z17" i="25"/>
  <c r="Z16" i="25"/>
  <c r="Z15" i="25"/>
  <c r="Z14" i="25"/>
  <c r="Z13" i="25"/>
  <c r="Z12" i="25"/>
  <c r="AK17" i="25"/>
  <c r="Z40" i="25" l="1"/>
  <c r="K40" i="25"/>
  <c r="L40" i="25"/>
  <c r="M40" i="25"/>
  <c r="N40" i="25"/>
  <c r="R40" i="25"/>
  <c r="Q40" i="25" l="1"/>
  <c r="J40" i="25"/>
  <c r="AK28" i="25"/>
  <c r="S40" i="25"/>
  <c r="Y40" i="25" l="1"/>
  <c r="X40" i="25"/>
  <c r="W40" i="25"/>
  <c r="V40" i="25"/>
  <c r="C38" i="27"/>
  <c r="B38" i="27"/>
  <c r="AB39" i="27"/>
  <c r="AA39" i="27"/>
  <c r="Z39" i="27"/>
  <c r="Y39" i="27"/>
  <c r="X39" i="27"/>
  <c r="W39" i="27"/>
  <c r="V39" i="27"/>
  <c r="U39" i="27"/>
  <c r="S39" i="27"/>
  <c r="R39" i="27"/>
  <c r="Q39" i="27"/>
  <c r="P39" i="27"/>
  <c r="O39" i="27"/>
  <c r="N39" i="27"/>
  <c r="M39" i="27"/>
  <c r="L39" i="27"/>
  <c r="K39" i="27"/>
  <c r="J39" i="27"/>
  <c r="I39" i="27"/>
  <c r="H39" i="27"/>
  <c r="G39" i="27"/>
  <c r="B9" i="27"/>
  <c r="B10" i="27" s="1"/>
  <c r="C8" i="27"/>
  <c r="B11" i="27" l="1"/>
  <c r="C10" i="27"/>
  <c r="C9" i="27"/>
  <c r="C9" i="25"/>
  <c r="B12" i="27" l="1"/>
  <c r="C11" i="27"/>
  <c r="U40" i="25"/>
  <c r="T40" i="25"/>
  <c r="I40" i="25"/>
  <c r="B13" i="27" l="1"/>
  <c r="C12" i="27"/>
  <c r="H40" i="25"/>
  <c r="B14" i="27" l="1"/>
  <c r="C13" i="27"/>
  <c r="R46" i="26"/>
  <c r="R45" i="26"/>
  <c r="AB38" i="26"/>
  <c r="Z38" i="26"/>
  <c r="Y38" i="26"/>
  <c r="X38" i="26"/>
  <c r="W38" i="26"/>
  <c r="V38" i="26"/>
  <c r="T38" i="26"/>
  <c r="S38" i="26"/>
  <c r="P38" i="26"/>
  <c r="E38" i="26"/>
  <c r="D38" i="26"/>
  <c r="AH36" i="26"/>
  <c r="AF36" i="26"/>
  <c r="AD36" i="26"/>
  <c r="U36" i="26"/>
  <c r="R36" i="26"/>
  <c r="M36" i="26"/>
  <c r="K36" i="26"/>
  <c r="I36" i="26"/>
  <c r="F36" i="26"/>
  <c r="AH35" i="26"/>
  <c r="AF35" i="26"/>
  <c r="AD35" i="26"/>
  <c r="U35" i="26"/>
  <c r="R35" i="26"/>
  <c r="M35" i="26"/>
  <c r="K35" i="26"/>
  <c r="I35" i="26"/>
  <c r="F35" i="26"/>
  <c r="AH34" i="26"/>
  <c r="AF34" i="26"/>
  <c r="AD34" i="26"/>
  <c r="U34" i="26"/>
  <c r="R34" i="26"/>
  <c r="M34" i="26"/>
  <c r="K34" i="26"/>
  <c r="I34" i="26"/>
  <c r="F34" i="26"/>
  <c r="AH33" i="26"/>
  <c r="AF33" i="26"/>
  <c r="AD33" i="26"/>
  <c r="U33" i="26"/>
  <c r="R33" i="26"/>
  <c r="M33" i="26"/>
  <c r="K33" i="26"/>
  <c r="I33" i="26"/>
  <c r="F33" i="26"/>
  <c r="AH32" i="26"/>
  <c r="AF32" i="26"/>
  <c r="AD32" i="26"/>
  <c r="U32" i="26"/>
  <c r="R32" i="26"/>
  <c r="M32" i="26"/>
  <c r="K32" i="26"/>
  <c r="I32" i="26"/>
  <c r="F32" i="26"/>
  <c r="AH31" i="26"/>
  <c r="AF31" i="26"/>
  <c r="AD31" i="26"/>
  <c r="U31" i="26"/>
  <c r="R31" i="26"/>
  <c r="M31" i="26"/>
  <c r="K31" i="26"/>
  <c r="I31" i="26"/>
  <c r="F31" i="26"/>
  <c r="AF30" i="26"/>
  <c r="AD30" i="26"/>
  <c r="U30" i="26"/>
  <c r="M30" i="26"/>
  <c r="K30" i="26"/>
  <c r="I30" i="26"/>
  <c r="F30" i="26"/>
  <c r="AH29" i="26"/>
  <c r="AF29" i="26"/>
  <c r="AD29" i="26"/>
  <c r="U29" i="26"/>
  <c r="R29" i="26"/>
  <c r="M29" i="26"/>
  <c r="K29" i="26"/>
  <c r="I29" i="26"/>
  <c r="F29" i="26"/>
  <c r="AH28" i="26"/>
  <c r="AF28" i="26"/>
  <c r="AD28" i="26"/>
  <c r="U28" i="26"/>
  <c r="R28" i="26"/>
  <c r="M28" i="26"/>
  <c r="K28" i="26"/>
  <c r="I28" i="26"/>
  <c r="F28" i="26"/>
  <c r="AH27" i="26"/>
  <c r="AF27" i="26"/>
  <c r="U27" i="26"/>
  <c r="R27" i="26"/>
  <c r="M27" i="26"/>
  <c r="K27" i="26"/>
  <c r="I27" i="26"/>
  <c r="F27" i="26"/>
  <c r="AH26" i="26"/>
  <c r="AF26" i="26"/>
  <c r="AC26" i="26"/>
  <c r="AD27" i="26" s="1"/>
  <c r="U26" i="26"/>
  <c r="R26" i="26"/>
  <c r="M26" i="26"/>
  <c r="K26" i="26"/>
  <c r="I26" i="26"/>
  <c r="F26" i="26"/>
  <c r="AH25" i="26"/>
  <c r="AF25" i="26"/>
  <c r="AD25" i="26"/>
  <c r="U25" i="26"/>
  <c r="R25" i="26"/>
  <c r="M25" i="26"/>
  <c r="K25" i="26"/>
  <c r="I25" i="26"/>
  <c r="F25" i="26"/>
  <c r="AH24" i="26"/>
  <c r="AF24" i="26"/>
  <c r="AD24" i="26"/>
  <c r="R24" i="26"/>
  <c r="M24" i="26"/>
  <c r="K24" i="26"/>
  <c r="I24" i="26"/>
  <c r="F24" i="26"/>
  <c r="AH23" i="26"/>
  <c r="AF23" i="26"/>
  <c r="AD23" i="26"/>
  <c r="R23" i="26"/>
  <c r="M23" i="26"/>
  <c r="K23" i="26"/>
  <c r="I23" i="26"/>
  <c r="F23" i="26"/>
  <c r="AH22" i="26"/>
  <c r="AF22" i="26"/>
  <c r="AD22" i="26"/>
  <c r="R22" i="26"/>
  <c r="M22" i="26"/>
  <c r="K22" i="26"/>
  <c r="I22" i="26"/>
  <c r="F22" i="26"/>
  <c r="AH21" i="26"/>
  <c r="AF21" i="26"/>
  <c r="AD21" i="26"/>
  <c r="R21" i="26"/>
  <c r="M21" i="26"/>
  <c r="K21" i="26"/>
  <c r="I21" i="26"/>
  <c r="F21" i="26"/>
  <c r="AH20" i="26"/>
  <c r="AF20" i="26"/>
  <c r="AD20" i="26"/>
  <c r="R20" i="26"/>
  <c r="M20" i="26"/>
  <c r="K20" i="26"/>
  <c r="I20" i="26"/>
  <c r="F20" i="26"/>
  <c r="AH19" i="26"/>
  <c r="AF19" i="26"/>
  <c r="AD19" i="26"/>
  <c r="R19" i="26"/>
  <c r="M19" i="26"/>
  <c r="K19" i="26"/>
  <c r="I19" i="26"/>
  <c r="F19" i="26"/>
  <c r="AH18" i="26"/>
  <c r="AF18" i="26"/>
  <c r="AD18" i="26"/>
  <c r="R18" i="26"/>
  <c r="M18" i="26"/>
  <c r="K18" i="26"/>
  <c r="I18" i="26"/>
  <c r="F18" i="26"/>
  <c r="AH17" i="26"/>
  <c r="AF17" i="26"/>
  <c r="AD17" i="26"/>
  <c r="R17" i="26"/>
  <c r="M17" i="26"/>
  <c r="K17" i="26"/>
  <c r="I17" i="26"/>
  <c r="F17" i="26"/>
  <c r="AH16" i="26"/>
  <c r="AF16" i="26"/>
  <c r="AD16" i="26"/>
  <c r="R16" i="26"/>
  <c r="M16" i="26"/>
  <c r="K16" i="26"/>
  <c r="I16" i="26"/>
  <c r="F16" i="26"/>
  <c r="AH15" i="26"/>
  <c r="AF15" i="26"/>
  <c r="AD15" i="26"/>
  <c r="R15" i="26"/>
  <c r="M15" i="26"/>
  <c r="K15" i="26"/>
  <c r="I15" i="26"/>
  <c r="F15" i="26"/>
  <c r="AH14" i="26"/>
  <c r="AF14" i="26"/>
  <c r="AD14" i="26"/>
  <c r="R14" i="26"/>
  <c r="M14" i="26"/>
  <c r="K14" i="26"/>
  <c r="I14" i="26"/>
  <c r="F14" i="26"/>
  <c r="AH13" i="26"/>
  <c r="AF13" i="26"/>
  <c r="AD13" i="26"/>
  <c r="R13" i="26"/>
  <c r="R38" i="26" s="1"/>
  <c r="M13" i="26"/>
  <c r="K13" i="26"/>
  <c r="I13" i="26"/>
  <c r="F13" i="26"/>
  <c r="AH12" i="26"/>
  <c r="AF12" i="26"/>
  <c r="AD12" i="26"/>
  <c r="R12" i="26"/>
  <c r="M12" i="26"/>
  <c r="K12" i="26"/>
  <c r="I12" i="26"/>
  <c r="F12" i="26"/>
  <c r="AH11" i="26"/>
  <c r="AF11" i="26"/>
  <c r="AD11" i="26"/>
  <c r="R11" i="26"/>
  <c r="M11" i="26"/>
  <c r="K11" i="26"/>
  <c r="I11" i="26"/>
  <c r="F11" i="26"/>
  <c r="AH10" i="26"/>
  <c r="AF10" i="26"/>
  <c r="AD10" i="26"/>
  <c r="R10" i="26"/>
  <c r="M10" i="26"/>
  <c r="K10" i="26"/>
  <c r="I10" i="26"/>
  <c r="F10" i="26"/>
  <c r="AH9" i="26"/>
  <c r="AF9" i="26"/>
  <c r="AD9" i="26"/>
  <c r="R9" i="26"/>
  <c r="M9" i="26"/>
  <c r="K9" i="26"/>
  <c r="I9" i="26"/>
  <c r="F9" i="26"/>
  <c r="AH8" i="26"/>
  <c r="AF8" i="26"/>
  <c r="AD8" i="26"/>
  <c r="AA8" i="26"/>
  <c r="AA9" i="26" s="1"/>
  <c r="AA10" i="26" s="1"/>
  <c r="AA11" i="26" s="1"/>
  <c r="AA12" i="26" s="1"/>
  <c r="AA13" i="26" s="1"/>
  <c r="AA14" i="26" s="1"/>
  <c r="AA15" i="26" s="1"/>
  <c r="AA16" i="26" s="1"/>
  <c r="AA17" i="26" s="1"/>
  <c r="R8" i="26"/>
  <c r="M8" i="26"/>
  <c r="M38" i="26" s="1"/>
  <c r="K8" i="26"/>
  <c r="K38" i="26" s="1"/>
  <c r="I8" i="26"/>
  <c r="I38" i="26" s="1"/>
  <c r="F8" i="26"/>
  <c r="B8" i="26"/>
  <c r="B9" i="26" s="1"/>
  <c r="AH7" i="26"/>
  <c r="AH38" i="26" s="1"/>
  <c r="AF7" i="26"/>
  <c r="AF38" i="26" s="1"/>
  <c r="AD7" i="26"/>
  <c r="AD38" i="26" s="1"/>
  <c r="AA7" i="26"/>
  <c r="R7" i="26"/>
  <c r="F7" i="26"/>
  <c r="F38" i="26" s="1"/>
  <c r="C7" i="26"/>
  <c r="F6" i="26"/>
  <c r="B10" i="25"/>
  <c r="C14" i="27" l="1"/>
  <c r="B15" i="27"/>
  <c r="U38" i="26"/>
  <c r="B11" i="25"/>
  <c r="B12" i="25" s="1"/>
  <c r="C9" i="26"/>
  <c r="B10" i="26"/>
  <c r="AD26" i="26"/>
  <c r="C8" i="26"/>
  <c r="C10" i="25"/>
  <c r="B16" i="27" l="1"/>
  <c r="C15" i="27"/>
  <c r="C11" i="25"/>
  <c r="B11" i="26"/>
  <c r="C10" i="26"/>
  <c r="C12" i="25"/>
  <c r="B13" i="25"/>
  <c r="B17" i="27" l="1"/>
  <c r="C16" i="27"/>
  <c r="B12" i="26"/>
  <c r="C11" i="26"/>
  <c r="B14" i="25"/>
  <c r="C13" i="25"/>
  <c r="B18" i="27" l="1"/>
  <c r="C17" i="27"/>
  <c r="B13" i="26"/>
  <c r="C12" i="26"/>
  <c r="B15" i="25"/>
  <c r="C14" i="25"/>
  <c r="B19" i="27" l="1"/>
  <c r="C18" i="27"/>
  <c r="B14" i="26"/>
  <c r="C13" i="26"/>
  <c r="B16" i="25"/>
  <c r="C15" i="25"/>
  <c r="B20" i="27" l="1"/>
  <c r="C19" i="27"/>
  <c r="C14" i="26"/>
  <c r="B15" i="26"/>
  <c r="B17" i="25"/>
  <c r="C16" i="25"/>
  <c r="B21" i="27" l="1"/>
  <c r="C20" i="27"/>
  <c r="C15" i="26"/>
  <c r="B16" i="26"/>
  <c r="C17" i="25"/>
  <c r="B18" i="25"/>
  <c r="B22" i="27" l="1"/>
  <c r="C21" i="27"/>
  <c r="B17" i="26"/>
  <c r="C16" i="26"/>
  <c r="B19" i="25"/>
  <c r="C18" i="25"/>
  <c r="B23" i="27" l="1"/>
  <c r="C22" i="27"/>
  <c r="C17" i="26"/>
  <c r="B18" i="26"/>
  <c r="B20" i="25"/>
  <c r="C19" i="25"/>
  <c r="B24" i="27" l="1"/>
  <c r="C23" i="27"/>
  <c r="B19" i="26"/>
  <c r="C18" i="26"/>
  <c r="B21" i="25"/>
  <c r="C20" i="25"/>
  <c r="B25" i="27" l="1"/>
  <c r="C24" i="27"/>
  <c r="B20" i="26"/>
  <c r="C19" i="26"/>
  <c r="B22" i="25"/>
  <c r="C21" i="25"/>
  <c r="B26" i="27" l="1"/>
  <c r="C25" i="27"/>
  <c r="B21" i="26"/>
  <c r="C20" i="26"/>
  <c r="B23" i="25"/>
  <c r="C22" i="25"/>
  <c r="B27" i="27" l="1"/>
  <c r="C26" i="27"/>
  <c r="B22" i="26"/>
  <c r="C21" i="26"/>
  <c r="B24" i="25"/>
  <c r="C23" i="25"/>
  <c r="B28" i="27" l="1"/>
  <c r="C27" i="27"/>
  <c r="B23" i="26"/>
  <c r="C22" i="26"/>
  <c r="C24" i="25"/>
  <c r="B25" i="25"/>
  <c r="B26" i="25" s="1"/>
  <c r="B29" i="27" l="1"/>
  <c r="C28" i="27"/>
  <c r="B24" i="26"/>
  <c r="C23" i="26"/>
  <c r="C25" i="25"/>
  <c r="B30" i="27" l="1"/>
  <c r="C29" i="27"/>
  <c r="B25" i="26"/>
  <c r="C24" i="26"/>
  <c r="B27" i="25"/>
  <c r="C26" i="25"/>
  <c r="C30" i="27" l="1"/>
  <c r="B31" i="27"/>
  <c r="C25" i="26"/>
  <c r="B26" i="26"/>
  <c r="C27" i="25"/>
  <c r="B28" i="25"/>
  <c r="B32" i="27" l="1"/>
  <c r="C31" i="27"/>
  <c r="B27" i="26"/>
  <c r="C26" i="26"/>
  <c r="B29" i="25"/>
  <c r="C28" i="25"/>
  <c r="B33" i="27" l="1"/>
  <c r="C32" i="27"/>
  <c r="C27" i="26"/>
  <c r="B28" i="26"/>
  <c r="B30" i="25"/>
  <c r="C29" i="25"/>
  <c r="C33" i="27" l="1"/>
  <c r="B34" i="27"/>
  <c r="B29" i="26"/>
  <c r="C28" i="26"/>
  <c r="C30" i="25"/>
  <c r="B31" i="25"/>
  <c r="B35" i="27" l="1"/>
  <c r="C34" i="27"/>
  <c r="B30" i="26"/>
  <c r="C29" i="26"/>
  <c r="B32" i="25"/>
  <c r="C31" i="25"/>
  <c r="B36" i="27" l="1"/>
  <c r="C35" i="27"/>
  <c r="C30" i="26"/>
  <c r="B31" i="26"/>
  <c r="B33" i="25"/>
  <c r="C32" i="25"/>
  <c r="B37" i="27" l="1"/>
  <c r="C37" i="27" s="1"/>
  <c r="C36" i="27"/>
  <c r="C31" i="26"/>
  <c r="B32" i="26"/>
  <c r="C33" i="25"/>
  <c r="B34" i="25"/>
  <c r="B33" i="26" l="1"/>
  <c r="C32" i="26"/>
  <c r="B35" i="25"/>
  <c r="C34" i="25"/>
  <c r="C33" i="26" l="1"/>
  <c r="B34" i="26"/>
  <c r="B36" i="25"/>
  <c r="C35" i="25"/>
  <c r="B35" i="26" l="1"/>
  <c r="C34" i="26"/>
  <c r="C36" i="25"/>
  <c r="B37" i="25"/>
  <c r="B38" i="25" s="1"/>
  <c r="B39" i="25" s="1"/>
  <c r="C39" i="25" s="1"/>
  <c r="C38" i="25" l="1"/>
  <c r="B36" i="26"/>
  <c r="C36" i="26" s="1"/>
  <c r="C35" i="26"/>
  <c r="C37" i="25"/>
  <c r="N39" i="3" l="1"/>
  <c r="M39" i="3"/>
  <c r="L39" i="3"/>
  <c r="J39" i="3"/>
  <c r="I39" i="3"/>
  <c r="H39" i="3"/>
  <c r="E39" i="3"/>
  <c r="P39" i="3"/>
  <c r="AC39" i="3"/>
  <c r="O39" i="3"/>
  <c r="G39" i="3"/>
  <c r="D39" i="3"/>
  <c r="AB39" i="3"/>
  <c r="AA39" i="3"/>
  <c r="X39" i="3"/>
  <c r="W39" i="3"/>
  <c r="V39" i="3"/>
  <c r="U39" i="3"/>
  <c r="T39" i="3"/>
  <c r="Q39" i="3"/>
  <c r="R39" i="3"/>
  <c r="AB38" i="3" l="1"/>
  <c r="AA38" i="3"/>
  <c r="Z38" i="3"/>
  <c r="X38" i="3"/>
  <c r="AB37" i="3"/>
  <c r="AA37" i="3"/>
  <c r="Z37" i="3"/>
  <c r="X37" i="3"/>
  <c r="AB36" i="3"/>
  <c r="AA36" i="3"/>
  <c r="Z36" i="3"/>
  <c r="X36" i="3"/>
  <c r="AB35" i="3"/>
  <c r="AA35" i="3"/>
  <c r="Z35" i="3"/>
  <c r="X35" i="3"/>
  <c r="AB34" i="3"/>
  <c r="AA34" i="3"/>
  <c r="Z34" i="3"/>
  <c r="X34" i="3"/>
  <c r="AB33" i="3"/>
  <c r="AA33" i="3"/>
  <c r="Z33" i="3"/>
  <c r="X33" i="3"/>
  <c r="AB32" i="3"/>
  <c r="AA32" i="3"/>
  <c r="Z32" i="3"/>
  <c r="X32" i="3"/>
  <c r="AB31" i="3"/>
  <c r="AA31" i="3"/>
  <c r="Z31" i="3"/>
  <c r="X31" i="3"/>
  <c r="AB30" i="3"/>
  <c r="AA30" i="3"/>
  <c r="Z30" i="3"/>
  <c r="X30" i="3"/>
  <c r="AB29" i="3"/>
  <c r="AA29" i="3"/>
  <c r="Z29" i="3"/>
  <c r="X29" i="3"/>
  <c r="AB28" i="3"/>
  <c r="AA28" i="3"/>
  <c r="Z28" i="3"/>
  <c r="X28" i="3"/>
  <c r="AB27" i="3"/>
  <c r="AA27" i="3"/>
  <c r="Z27" i="3"/>
  <c r="X27" i="3"/>
  <c r="AB26" i="3"/>
  <c r="AA26" i="3"/>
  <c r="Z26" i="3"/>
  <c r="X26" i="3"/>
  <c r="AB25" i="3"/>
  <c r="AA25" i="3"/>
  <c r="Z25" i="3"/>
  <c r="X25" i="3"/>
  <c r="AB24" i="3"/>
  <c r="AA24" i="3"/>
  <c r="Z24" i="3"/>
  <c r="X24" i="3"/>
  <c r="AB23" i="3"/>
  <c r="AA23" i="3"/>
  <c r="Z23" i="3"/>
  <c r="X23" i="3"/>
  <c r="AB22" i="3"/>
  <c r="AA22" i="3"/>
  <c r="Z22" i="3"/>
  <c r="X22" i="3"/>
  <c r="AB21" i="3"/>
  <c r="AA21" i="3"/>
  <c r="Z21" i="3"/>
  <c r="X21" i="3"/>
  <c r="AB20" i="3"/>
  <c r="AA20" i="3"/>
  <c r="Z20" i="3"/>
  <c r="X20" i="3"/>
  <c r="AB19" i="3"/>
  <c r="AA19" i="3"/>
  <c r="Z19" i="3"/>
  <c r="X19" i="3"/>
  <c r="AB18" i="3"/>
  <c r="AA18" i="3"/>
  <c r="Z18" i="3"/>
  <c r="X18" i="3"/>
  <c r="AB17" i="3"/>
  <c r="AA17" i="3"/>
  <c r="Z17" i="3"/>
  <c r="X17" i="3"/>
  <c r="AB16" i="3"/>
  <c r="AA16" i="3"/>
  <c r="Z16" i="3"/>
  <c r="X16" i="3"/>
  <c r="AB15" i="3"/>
  <c r="AA15" i="3"/>
  <c r="Z15" i="3"/>
  <c r="X15" i="3"/>
  <c r="AB14" i="3"/>
  <c r="AA14" i="3"/>
  <c r="Z14" i="3"/>
  <c r="X14" i="3"/>
  <c r="AB13" i="3"/>
  <c r="AA13" i="3"/>
  <c r="Z13" i="3"/>
  <c r="X13" i="3"/>
  <c r="AB12" i="3"/>
  <c r="AA12" i="3"/>
  <c r="Z12" i="3"/>
  <c r="X12" i="3"/>
  <c r="AB11" i="3"/>
  <c r="AA11" i="3"/>
  <c r="Z11" i="3"/>
  <c r="X11" i="3"/>
  <c r="AB10" i="3"/>
  <c r="AA10" i="3"/>
  <c r="Z10" i="3"/>
  <c r="X10" i="3"/>
  <c r="AB9" i="3"/>
  <c r="AA9" i="3"/>
  <c r="Z9" i="3"/>
  <c r="X9" i="3"/>
  <c r="AB8" i="3"/>
  <c r="AA8" i="3"/>
  <c r="Z8" i="3"/>
  <c r="X8" i="3"/>
  <c r="AB7" i="3"/>
  <c r="AA7" i="3"/>
  <c r="Z7" i="3"/>
  <c r="X7" i="3"/>
  <c r="S33" i="3"/>
  <c r="S27" i="3"/>
  <c r="S26" i="3"/>
  <c r="W38" i="3"/>
  <c r="V38" i="3"/>
  <c r="U38" i="3"/>
  <c r="T38" i="3"/>
  <c r="R38" i="3"/>
  <c r="Q38" i="3"/>
  <c r="P38" i="3"/>
  <c r="O38" i="3"/>
  <c r="W37" i="3"/>
  <c r="V37" i="3"/>
  <c r="U37" i="3"/>
  <c r="T37" i="3"/>
  <c r="R37" i="3"/>
  <c r="Q37" i="3"/>
  <c r="P37" i="3"/>
  <c r="O37" i="3"/>
  <c r="W36" i="3"/>
  <c r="V36" i="3"/>
  <c r="U36" i="3"/>
  <c r="T36" i="3"/>
  <c r="R36" i="3"/>
  <c r="Q36" i="3"/>
  <c r="P36" i="3"/>
  <c r="O36" i="3"/>
  <c r="W35" i="3"/>
  <c r="V35" i="3"/>
  <c r="U35" i="3"/>
  <c r="T35" i="3"/>
  <c r="R35" i="3"/>
  <c r="Q35" i="3"/>
  <c r="P35" i="3"/>
  <c r="O35" i="3"/>
  <c r="W34" i="3"/>
  <c r="V34" i="3"/>
  <c r="U34" i="3"/>
  <c r="T34" i="3"/>
  <c r="R34" i="3"/>
  <c r="Q34" i="3"/>
  <c r="P34" i="3"/>
  <c r="O34" i="3"/>
  <c r="W33" i="3"/>
  <c r="V33" i="3"/>
  <c r="U33" i="3"/>
  <c r="T33" i="3"/>
  <c r="R33" i="3"/>
  <c r="Q33" i="3"/>
  <c r="P33" i="3"/>
  <c r="O33" i="3"/>
  <c r="W32" i="3"/>
  <c r="V32" i="3"/>
  <c r="U32" i="3"/>
  <c r="T32" i="3"/>
  <c r="R32" i="3"/>
  <c r="Q32" i="3"/>
  <c r="P32" i="3"/>
  <c r="O32" i="3"/>
  <c r="W31" i="3"/>
  <c r="V31" i="3"/>
  <c r="U31" i="3"/>
  <c r="T31" i="3"/>
  <c r="R31" i="3"/>
  <c r="Q31" i="3"/>
  <c r="P31" i="3"/>
  <c r="O31" i="3"/>
  <c r="W30" i="3"/>
  <c r="V30" i="3"/>
  <c r="U30" i="3"/>
  <c r="T30" i="3"/>
  <c r="R30" i="3"/>
  <c r="Q30" i="3"/>
  <c r="P30" i="3"/>
  <c r="O30" i="3"/>
  <c r="W29" i="3"/>
  <c r="V29" i="3"/>
  <c r="U29" i="3"/>
  <c r="T29" i="3"/>
  <c r="R29" i="3"/>
  <c r="Q29" i="3"/>
  <c r="P29" i="3"/>
  <c r="O29" i="3"/>
  <c r="W28" i="3"/>
  <c r="V28" i="3"/>
  <c r="U28" i="3"/>
  <c r="T28" i="3"/>
  <c r="R28" i="3"/>
  <c r="Q28" i="3"/>
  <c r="P28" i="3"/>
  <c r="O28" i="3"/>
  <c r="W27" i="3"/>
  <c r="V27" i="3"/>
  <c r="U27" i="3"/>
  <c r="T27" i="3"/>
  <c r="R27" i="3"/>
  <c r="Q27" i="3"/>
  <c r="P27" i="3"/>
  <c r="O27" i="3"/>
  <c r="W26" i="3"/>
  <c r="V26" i="3"/>
  <c r="U26" i="3"/>
  <c r="T26" i="3"/>
  <c r="R26" i="3"/>
  <c r="Q26" i="3"/>
  <c r="P26" i="3"/>
  <c r="O26" i="3"/>
  <c r="W25" i="3"/>
  <c r="V25" i="3"/>
  <c r="U25" i="3"/>
  <c r="T25" i="3"/>
  <c r="R25" i="3"/>
  <c r="Q25" i="3"/>
  <c r="P25" i="3"/>
  <c r="O25" i="3"/>
  <c r="W24" i="3"/>
  <c r="V24" i="3"/>
  <c r="U24" i="3"/>
  <c r="T24" i="3"/>
  <c r="R24" i="3"/>
  <c r="Q24" i="3"/>
  <c r="P24" i="3"/>
  <c r="O24" i="3"/>
  <c r="W23" i="3"/>
  <c r="V23" i="3"/>
  <c r="U23" i="3"/>
  <c r="T23" i="3"/>
  <c r="R23" i="3"/>
  <c r="Q23" i="3"/>
  <c r="P23" i="3"/>
  <c r="O23" i="3"/>
  <c r="W22" i="3"/>
  <c r="V22" i="3"/>
  <c r="U22" i="3"/>
  <c r="T22" i="3"/>
  <c r="R22" i="3"/>
  <c r="Q22" i="3"/>
  <c r="P22" i="3"/>
  <c r="O22" i="3"/>
  <c r="W21" i="3"/>
  <c r="V21" i="3"/>
  <c r="U21" i="3"/>
  <c r="T21" i="3"/>
  <c r="R21" i="3"/>
  <c r="Q21" i="3"/>
  <c r="P21" i="3"/>
  <c r="O21" i="3"/>
  <c r="W20" i="3"/>
  <c r="V20" i="3"/>
  <c r="U20" i="3"/>
  <c r="T20" i="3"/>
  <c r="S20" i="3"/>
  <c r="R20" i="3"/>
  <c r="Q20" i="3"/>
  <c r="P20" i="3"/>
  <c r="O20" i="3"/>
  <c r="W19" i="3"/>
  <c r="V19" i="3"/>
  <c r="U19" i="3"/>
  <c r="T19" i="3"/>
  <c r="R19" i="3"/>
  <c r="Q19" i="3"/>
  <c r="P19" i="3"/>
  <c r="O19" i="3"/>
  <c r="W18" i="3"/>
  <c r="V18" i="3"/>
  <c r="U18" i="3"/>
  <c r="T18" i="3"/>
  <c r="R18" i="3"/>
  <c r="Q18" i="3"/>
  <c r="P18" i="3"/>
  <c r="O18" i="3"/>
  <c r="W17" i="3"/>
  <c r="V17" i="3"/>
  <c r="U17" i="3"/>
  <c r="T17" i="3"/>
  <c r="R17" i="3"/>
  <c r="Q17" i="3"/>
  <c r="P17" i="3"/>
  <c r="O17" i="3"/>
  <c r="W16" i="3"/>
  <c r="V16" i="3"/>
  <c r="U16" i="3"/>
  <c r="T16" i="3"/>
  <c r="R16" i="3"/>
  <c r="Q16" i="3"/>
  <c r="P16" i="3"/>
  <c r="O16" i="3"/>
  <c r="W15" i="3"/>
  <c r="V15" i="3"/>
  <c r="U15" i="3"/>
  <c r="T15" i="3"/>
  <c r="R15" i="3"/>
  <c r="Q15" i="3"/>
  <c r="P15" i="3"/>
  <c r="O15" i="3"/>
  <c r="W14" i="3"/>
  <c r="V14" i="3"/>
  <c r="U14" i="3"/>
  <c r="T14" i="3"/>
  <c r="R14" i="3"/>
  <c r="Q14" i="3"/>
  <c r="P14" i="3"/>
  <c r="O14" i="3"/>
  <c r="W13" i="3"/>
  <c r="V13" i="3"/>
  <c r="U13" i="3"/>
  <c r="T13" i="3"/>
  <c r="R13" i="3"/>
  <c r="Q13" i="3"/>
  <c r="P13" i="3"/>
  <c r="O13" i="3"/>
  <c r="W12" i="3"/>
  <c r="V12" i="3"/>
  <c r="U12" i="3"/>
  <c r="T12" i="3"/>
  <c r="R12" i="3"/>
  <c r="Q12" i="3"/>
  <c r="P12" i="3"/>
  <c r="O12" i="3"/>
  <c r="W11" i="3"/>
  <c r="V11" i="3"/>
  <c r="U11" i="3"/>
  <c r="T11" i="3"/>
  <c r="R11" i="3"/>
  <c r="Q11" i="3"/>
  <c r="P11" i="3"/>
  <c r="O11" i="3"/>
  <c r="W10" i="3"/>
  <c r="V10" i="3"/>
  <c r="U10" i="3"/>
  <c r="T10" i="3"/>
  <c r="R10" i="3"/>
  <c r="Q10" i="3"/>
  <c r="P10" i="3"/>
  <c r="O10" i="3"/>
  <c r="W9" i="3"/>
  <c r="V9" i="3"/>
  <c r="U9" i="3"/>
  <c r="T9" i="3"/>
  <c r="R9" i="3"/>
  <c r="Q9" i="3"/>
  <c r="P9" i="3"/>
  <c r="O9" i="3"/>
  <c r="W8" i="3"/>
  <c r="V8" i="3"/>
  <c r="U8" i="3"/>
  <c r="T8" i="3"/>
  <c r="R8" i="3"/>
  <c r="Q8" i="3"/>
  <c r="P8" i="3"/>
  <c r="O8" i="3"/>
  <c r="W7" i="3"/>
  <c r="V7" i="3"/>
  <c r="U7" i="3"/>
  <c r="T7" i="3"/>
  <c r="R7" i="3"/>
  <c r="Q7" i="3"/>
  <c r="P7" i="3"/>
  <c r="O7" i="3"/>
  <c r="N38" i="3"/>
  <c r="N37" i="3"/>
  <c r="N36" i="3"/>
  <c r="N35" i="3"/>
  <c r="N34" i="3"/>
  <c r="N33" i="3"/>
  <c r="N32" i="3"/>
  <c r="N31" i="3"/>
  <c r="N30" i="3"/>
  <c r="N29" i="3"/>
  <c r="N28" i="3"/>
  <c r="N27" i="3"/>
  <c r="N26" i="3"/>
  <c r="N25" i="3"/>
  <c r="N24" i="3"/>
  <c r="N23" i="3"/>
  <c r="N22" i="3"/>
  <c r="N21" i="3"/>
  <c r="N20" i="3"/>
  <c r="N19" i="3"/>
  <c r="N18" i="3"/>
  <c r="N17" i="3"/>
  <c r="N16" i="3"/>
  <c r="N15" i="3"/>
  <c r="N14" i="3"/>
  <c r="N13" i="3"/>
  <c r="N12" i="3"/>
  <c r="N11" i="3"/>
  <c r="N10" i="3"/>
  <c r="N9" i="3"/>
  <c r="N8" i="3"/>
  <c r="N7" i="3"/>
  <c r="K38" i="3"/>
  <c r="K7" i="3"/>
  <c r="J38" i="3"/>
  <c r="J37" i="3"/>
  <c r="J36" i="3"/>
  <c r="J35" i="3"/>
  <c r="J34" i="3"/>
  <c r="J33" i="3"/>
  <c r="J32" i="3"/>
  <c r="J31" i="3"/>
  <c r="J30" i="3"/>
  <c r="J29" i="3"/>
  <c r="J28" i="3"/>
  <c r="J27" i="3"/>
  <c r="J26" i="3"/>
  <c r="J25" i="3"/>
  <c r="J24" i="3"/>
  <c r="J23" i="3"/>
  <c r="J22" i="3"/>
  <c r="J21" i="3"/>
  <c r="J20" i="3"/>
  <c r="J19" i="3"/>
  <c r="J18" i="3"/>
  <c r="J17" i="3"/>
  <c r="J16" i="3"/>
  <c r="J15" i="3"/>
  <c r="J14" i="3"/>
  <c r="J13" i="3"/>
  <c r="J12" i="3"/>
  <c r="J11" i="3"/>
  <c r="J10" i="3"/>
  <c r="J9" i="3"/>
  <c r="J8" i="3"/>
  <c r="J7" i="3"/>
  <c r="G38" i="3"/>
  <c r="G37" i="3"/>
  <c r="G36" i="3"/>
  <c r="G35" i="3"/>
  <c r="G34" i="3"/>
  <c r="G33" i="3"/>
  <c r="G32" i="3"/>
  <c r="G31" i="3"/>
  <c r="G30" i="3"/>
  <c r="G29" i="3"/>
  <c r="G28" i="3"/>
  <c r="G27" i="3"/>
  <c r="G26" i="3"/>
  <c r="G25" i="3"/>
  <c r="G24" i="3"/>
  <c r="G23" i="3"/>
  <c r="G22" i="3"/>
  <c r="G21" i="3"/>
  <c r="G20" i="3"/>
  <c r="G19" i="3"/>
  <c r="G18" i="3"/>
  <c r="G17" i="3"/>
  <c r="G16" i="3"/>
  <c r="G15" i="3"/>
  <c r="G14" i="3"/>
  <c r="G13" i="3"/>
  <c r="G12" i="3"/>
  <c r="G11" i="3"/>
  <c r="G10" i="3"/>
  <c r="G9" i="3"/>
  <c r="G8" i="3"/>
  <c r="G7" i="3"/>
  <c r="D8" i="3"/>
  <c r="F8" i="3" s="1"/>
  <c r="D9" i="3"/>
  <c r="F9" i="3" s="1"/>
  <c r="D10" i="3"/>
  <c r="F10" i="3" s="1"/>
  <c r="D11" i="3"/>
  <c r="F11" i="3" s="1"/>
  <c r="D12" i="3"/>
  <c r="F12" i="3" s="1"/>
  <c r="D13" i="3"/>
  <c r="F13" i="3" s="1"/>
  <c r="D14" i="3"/>
  <c r="F14" i="3" s="1"/>
  <c r="D15" i="3"/>
  <c r="F15" i="3" s="1"/>
  <c r="D16" i="3"/>
  <c r="F16" i="3" s="1"/>
  <c r="D17" i="3"/>
  <c r="F17" i="3" s="1"/>
  <c r="D18" i="3"/>
  <c r="F18" i="3" s="1"/>
  <c r="D19" i="3"/>
  <c r="F19" i="3" s="1"/>
  <c r="D20" i="3"/>
  <c r="F20" i="3" s="1"/>
  <c r="D21" i="3"/>
  <c r="F21" i="3" s="1"/>
  <c r="D22" i="3"/>
  <c r="F22" i="3" s="1"/>
  <c r="D23" i="3"/>
  <c r="F23" i="3" s="1"/>
  <c r="D24" i="3"/>
  <c r="F24" i="3" s="1"/>
  <c r="D25" i="3"/>
  <c r="F25" i="3" s="1"/>
  <c r="D26" i="3"/>
  <c r="F26" i="3" s="1"/>
  <c r="D27" i="3"/>
  <c r="F27" i="3" s="1"/>
  <c r="D28" i="3"/>
  <c r="F28" i="3" s="1"/>
  <c r="D29" i="3"/>
  <c r="F29" i="3" s="1"/>
  <c r="D30" i="3"/>
  <c r="F30" i="3" s="1"/>
  <c r="D31" i="3"/>
  <c r="F31" i="3" s="1"/>
  <c r="D32" i="3"/>
  <c r="F32" i="3" s="1"/>
  <c r="D33" i="3"/>
  <c r="F33" i="3" s="1"/>
  <c r="D34" i="3"/>
  <c r="F34" i="3" s="1"/>
  <c r="D35" i="3"/>
  <c r="F35" i="3" s="1"/>
  <c r="D36" i="3"/>
  <c r="F36" i="3" s="1"/>
  <c r="D37" i="3"/>
  <c r="F37" i="3" s="1"/>
  <c r="D38" i="3"/>
  <c r="F38" i="3" s="1"/>
  <c r="D7" i="3"/>
  <c r="F7" i="3" s="1"/>
  <c r="Z39" i="4"/>
  <c r="Z39" i="3" s="1"/>
  <c r="Y39" i="4"/>
  <c r="S39" i="4"/>
  <c r="S38" i="4"/>
  <c r="F38" i="4"/>
  <c r="S37" i="4"/>
  <c r="S36" i="4"/>
  <c r="K36" i="4"/>
  <c r="F36" i="4"/>
  <c r="S35" i="4"/>
  <c r="K35" i="4"/>
  <c r="F35" i="4"/>
  <c r="S34" i="4"/>
  <c r="K34" i="4"/>
  <c r="F34" i="4"/>
  <c r="K33" i="4"/>
  <c r="F33" i="4"/>
  <c r="S32" i="3"/>
  <c r="K32" i="4"/>
  <c r="F32" i="4"/>
  <c r="S31" i="4"/>
  <c r="K31" i="4"/>
  <c r="F31" i="4"/>
  <c r="S30" i="4"/>
  <c r="K30" i="4"/>
  <c r="F30" i="4"/>
  <c r="S29" i="4"/>
  <c r="K29" i="4"/>
  <c r="F29" i="4"/>
  <c r="S28" i="4"/>
  <c r="K28" i="4"/>
  <c r="F28" i="4"/>
  <c r="K27" i="4"/>
  <c r="F27" i="4"/>
  <c r="K26" i="4"/>
  <c r="F26" i="4"/>
  <c r="S25" i="4"/>
  <c r="K25" i="4"/>
  <c r="F25" i="4"/>
  <c r="S24" i="4"/>
  <c r="K24" i="4"/>
  <c r="F24" i="4"/>
  <c r="S23" i="4"/>
  <c r="K23" i="4"/>
  <c r="F23" i="4"/>
  <c r="S22" i="4"/>
  <c r="K22" i="4"/>
  <c r="F22" i="4"/>
  <c r="S21" i="4"/>
  <c r="K21" i="4"/>
  <c r="F21" i="4"/>
  <c r="K20" i="4"/>
  <c r="F20" i="4"/>
  <c r="S19" i="4"/>
  <c r="K19" i="4"/>
  <c r="F19" i="4"/>
  <c r="S18" i="4"/>
  <c r="K18" i="4"/>
  <c r="F18" i="4"/>
  <c r="S17" i="4"/>
  <c r="K17" i="4"/>
  <c r="F17" i="4"/>
  <c r="S16" i="4"/>
  <c r="K16" i="4"/>
  <c r="F16" i="4"/>
  <c r="S15" i="4"/>
  <c r="K15" i="4"/>
  <c r="F15" i="4"/>
  <c r="S14" i="4"/>
  <c r="K14" i="4"/>
  <c r="F14" i="4"/>
  <c r="S13" i="4"/>
  <c r="K13" i="4"/>
  <c r="F13" i="4"/>
  <c r="S12" i="4"/>
  <c r="K12" i="4"/>
  <c r="F12" i="4"/>
  <c r="S11" i="4"/>
  <c r="K11" i="4"/>
  <c r="F11" i="4"/>
  <c r="S10" i="4"/>
  <c r="K10" i="4"/>
  <c r="F10" i="4"/>
  <c r="S9" i="4"/>
  <c r="K9" i="4"/>
  <c r="F9" i="4"/>
  <c r="S8" i="4"/>
  <c r="K8" i="4"/>
  <c r="F8" i="4"/>
  <c r="B8" i="4"/>
  <c r="B9" i="4" s="1"/>
  <c r="Y7" i="4"/>
  <c r="Y8" i="4" s="1"/>
  <c r="Y9" i="4" s="1"/>
  <c r="Y10" i="4" s="1"/>
  <c r="Y11" i="4" s="1"/>
  <c r="Y12" i="4" s="1"/>
  <c r="Y13" i="4" s="1"/>
  <c r="Y14" i="4" s="1"/>
  <c r="Y15" i="4" s="1"/>
  <c r="Y16" i="4" s="1"/>
  <c r="Y17" i="4" s="1"/>
  <c r="Y18" i="4" s="1"/>
  <c r="Y19" i="4" s="1"/>
  <c r="Y20" i="4" s="1"/>
  <c r="Y21" i="4" s="1"/>
  <c r="Y22" i="4" s="1"/>
  <c r="Y23" i="4" s="1"/>
  <c r="Y24" i="4" s="1"/>
  <c r="Y25" i="4" s="1"/>
  <c r="Y26" i="4" s="1"/>
  <c r="Y27" i="4" s="1"/>
  <c r="Y28" i="4" s="1"/>
  <c r="Y29" i="4" s="1"/>
  <c r="Y30" i="4" s="1"/>
  <c r="Y31" i="4" s="1"/>
  <c r="Y32" i="4" s="1"/>
  <c r="Y33" i="4" s="1"/>
  <c r="Y34" i="4" s="1"/>
  <c r="Y35" i="4" s="1"/>
  <c r="Y36" i="4" s="1"/>
  <c r="S7" i="4"/>
  <c r="F7" i="4"/>
  <c r="C7" i="4"/>
  <c r="B8" i="3"/>
  <c r="B9" i="3" s="1"/>
  <c r="C7" i="3"/>
  <c r="C8" i="4" l="1"/>
  <c r="S38" i="3"/>
  <c r="K39" i="4"/>
  <c r="S37" i="3"/>
  <c r="C9" i="4"/>
  <c r="B10" i="4"/>
  <c r="C9" i="3"/>
  <c r="B10" i="3"/>
  <c r="C8" i="3"/>
  <c r="B11" i="4" l="1"/>
  <c r="C10" i="4"/>
  <c r="C10" i="3"/>
  <c r="B11" i="3"/>
  <c r="B12" i="4" l="1"/>
  <c r="C11" i="4"/>
  <c r="B12" i="3"/>
  <c r="C11" i="3"/>
  <c r="B13" i="4" l="1"/>
  <c r="C12" i="4"/>
  <c r="B13" i="3"/>
  <c r="C12" i="3"/>
  <c r="C13" i="4" l="1"/>
  <c r="B14" i="4"/>
  <c r="B14" i="3"/>
  <c r="C13" i="3"/>
  <c r="C14" i="4" l="1"/>
  <c r="B15" i="4"/>
  <c r="C14" i="3"/>
  <c r="B15" i="3"/>
  <c r="B16" i="4" l="1"/>
  <c r="C15" i="4"/>
  <c r="B16" i="3"/>
  <c r="C15" i="3"/>
  <c r="B17" i="4" l="1"/>
  <c r="C16" i="4"/>
  <c r="B17" i="3"/>
  <c r="C16" i="3"/>
  <c r="C17" i="4" l="1"/>
  <c r="B18" i="4"/>
  <c r="B18" i="3"/>
  <c r="C17" i="3"/>
  <c r="B19" i="4" l="1"/>
  <c r="C18" i="4"/>
  <c r="B19" i="3"/>
  <c r="C18" i="3"/>
  <c r="B20" i="4" l="1"/>
  <c r="C19" i="4"/>
  <c r="B20" i="3"/>
  <c r="C19" i="3"/>
  <c r="C20" i="4" l="1"/>
  <c r="B21" i="4"/>
  <c r="B21" i="3"/>
  <c r="C20" i="3"/>
  <c r="C21" i="4" l="1"/>
  <c r="B22" i="4"/>
  <c r="B22" i="3"/>
  <c r="C21" i="3"/>
  <c r="B23" i="4" l="1"/>
  <c r="C22" i="4"/>
  <c r="B23" i="3"/>
  <c r="C22" i="3"/>
  <c r="B24" i="4" l="1"/>
  <c r="C23" i="4"/>
  <c r="B24" i="3"/>
  <c r="C23" i="3"/>
  <c r="C24" i="4" l="1"/>
  <c r="B25" i="4"/>
  <c r="B25" i="3"/>
  <c r="C24" i="3"/>
  <c r="C25" i="4" l="1"/>
  <c r="B26" i="4"/>
  <c r="B26" i="3"/>
  <c r="C25" i="3"/>
  <c r="B27" i="4" l="1"/>
  <c r="C26" i="4"/>
  <c r="C26" i="3"/>
  <c r="B27" i="3"/>
  <c r="B28" i="4" l="1"/>
  <c r="C27" i="4"/>
  <c r="C27" i="3"/>
  <c r="B28" i="3"/>
  <c r="C28" i="4" l="1"/>
  <c r="B29" i="4"/>
  <c r="C28" i="3"/>
  <c r="B29" i="3"/>
  <c r="C29" i="4" l="1"/>
  <c r="B30" i="4"/>
  <c r="C29" i="3"/>
  <c r="B30" i="3"/>
  <c r="B31" i="4" l="1"/>
  <c r="C30" i="4"/>
  <c r="C30" i="3"/>
  <c r="B31" i="3"/>
  <c r="B32" i="4" l="1"/>
  <c r="C31" i="4"/>
  <c r="C31" i="3"/>
  <c r="B32" i="3"/>
  <c r="C32" i="4" l="1"/>
  <c r="B33" i="4"/>
  <c r="C32" i="3"/>
  <c r="B33" i="3"/>
  <c r="C33" i="4" l="1"/>
  <c r="B34" i="4"/>
  <c r="C33" i="3"/>
  <c r="B34" i="3"/>
  <c r="B35" i="4" l="1"/>
  <c r="C34" i="4"/>
  <c r="C34" i="3"/>
  <c r="B35" i="3"/>
  <c r="C35" i="4" l="1"/>
  <c r="B36" i="4"/>
  <c r="C35" i="3"/>
  <c r="B36" i="3"/>
  <c r="C36" i="4" l="1"/>
  <c r="B37" i="4"/>
  <c r="C36" i="3"/>
  <c r="B37" i="3"/>
  <c r="B38" i="4" l="1"/>
  <c r="C38" i="4" s="1"/>
  <c r="B38" i="3"/>
  <c r="C38" i="3" s="1"/>
  <c r="C37" i="3"/>
  <c r="K37" i="3" l="1"/>
  <c r="K8" i="3"/>
  <c r="K9" i="3"/>
  <c r="K10" i="3"/>
  <c r="K11" i="3"/>
  <c r="K12" i="3"/>
  <c r="K13" i="3"/>
  <c r="K14" i="3"/>
  <c r="K15" i="3"/>
  <c r="K16" i="3"/>
  <c r="K17" i="3"/>
  <c r="K18" i="3"/>
  <c r="K19" i="3"/>
  <c r="K20" i="3"/>
  <c r="K21" i="3"/>
  <c r="K22" i="3"/>
  <c r="K23" i="3"/>
  <c r="K24" i="3"/>
  <c r="S8" i="3" l="1"/>
  <c r="S9" i="3"/>
  <c r="S10" i="3"/>
  <c r="S11" i="3"/>
  <c r="S12" i="3"/>
  <c r="S13" i="3"/>
  <c r="S14" i="3"/>
  <c r="S15" i="3"/>
  <c r="S16" i="3"/>
  <c r="S17" i="3"/>
  <c r="S18" i="3"/>
  <c r="S19" i="3"/>
  <c r="S21" i="3"/>
  <c r="S22" i="3"/>
  <c r="S23" i="3"/>
  <c r="S24" i="3"/>
  <c r="S25" i="3"/>
  <c r="S28" i="3"/>
  <c r="S29" i="3"/>
  <c r="S30" i="3"/>
  <c r="S31" i="3"/>
  <c r="S34" i="3"/>
  <c r="S35" i="3"/>
  <c r="S36" i="3"/>
  <c r="S7" i="3" l="1"/>
  <c r="S39" i="3"/>
  <c r="Y39" i="3"/>
  <c r="K36" i="3" l="1"/>
  <c r="K35" i="3" l="1"/>
  <c r="K34" i="3"/>
  <c r="K33" i="3"/>
  <c r="K32" i="3"/>
  <c r="K31" i="3"/>
  <c r="K30" i="3"/>
  <c r="K29" i="3"/>
  <c r="K28" i="3"/>
  <c r="K27" i="3"/>
  <c r="K26" i="3"/>
  <c r="K25" i="3"/>
  <c r="K39" i="3" l="1"/>
  <c r="F39" i="3" l="1"/>
  <c r="Y7" i="3" l="1"/>
  <c r="Y8" i="3" l="1"/>
  <c r="Y9" i="3" l="1"/>
  <c r="Y10" i="3" l="1"/>
  <c r="Y11" i="3" l="1"/>
  <c r="Y12" i="3" l="1"/>
  <c r="Y13" i="3" l="1"/>
  <c r="Y14" i="3" l="1"/>
  <c r="Y15" i="3" l="1"/>
  <c r="Y16" i="3" l="1"/>
  <c r="Y17" i="3" l="1"/>
  <c r="Y18" i="3" l="1"/>
  <c r="Y19" i="3" l="1"/>
  <c r="Y20" i="3" l="1"/>
  <c r="Y21" i="3" l="1"/>
  <c r="Y22" i="3" l="1"/>
  <c r="Y23" i="3" l="1"/>
  <c r="Y24" i="3" l="1"/>
  <c r="Y25" i="3" l="1"/>
  <c r="Y26" i="3" l="1"/>
  <c r="Y27" i="3" l="1"/>
  <c r="Y28" i="3" l="1"/>
  <c r="Y29" i="3" l="1"/>
  <c r="Y30" i="3" l="1"/>
  <c r="Y31" i="3" l="1"/>
  <c r="Y32" i="3" l="1"/>
  <c r="Y33" i="3" l="1"/>
  <c r="Y34" i="3" l="1"/>
  <c r="Y35" i="3" l="1"/>
  <c r="Y36" i="3" l="1"/>
  <c r="Y38" i="3" l="1"/>
  <c r="Y37" i="3"/>
  <c r="AI40" i="25"/>
  <c r="AH40" i="25"/>
  <c r="AG40" i="25"/>
  <c r="AF40" i="25"/>
  <c r="AE40" i="25"/>
  <c r="G40" i="25" l="1"/>
  <c r="AD40" i="25" l="1"/>
  <c r="AA40" i="25" l="1"/>
  <c r="AJ40" i="25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tc={105E72AE-47BD-4C46-A8CE-517BD3750B14}</author>
  </authors>
  <commentList>
    <comment ref="Q24" authorId="0" shapeId="0" xr:uid="{105E72AE-47BD-4C46-A8CE-517BD3750B14}">
      <text>
        <t>[Threaded comment]
Your version of Excel allows you to read this threaded comment; however, any edits to it will get removed if the file is opened in a newer version of Excel. Learn more: https://go.microsoft.com/fwlink/?linkid=870924
Comment:
    Reading for november 16</t>
      </text>
    </comment>
  </commentList>
</comments>
</file>

<file path=xl/sharedStrings.xml><?xml version="1.0" encoding="utf-8"?>
<sst xmlns="http://schemas.openxmlformats.org/spreadsheetml/2006/main" count="456" uniqueCount="88">
  <si>
    <t>Note: Recording should be done 1st hour of the day</t>
  </si>
  <si>
    <t>DAILY BIOGAS USAGE MONITORING</t>
  </si>
  <si>
    <t>Waste Hauling Operation</t>
  </si>
  <si>
    <t>Biogas Operation 
Utility Consumption</t>
  </si>
  <si>
    <t>Remarks</t>
  </si>
  <si>
    <t>Date</t>
  </si>
  <si>
    <t>Day</t>
  </si>
  <si>
    <t>Gas Storage (%)</t>
  </si>
  <si>
    <t>Quality</t>
  </si>
  <si>
    <t>Gas Meters (mᶾ)</t>
  </si>
  <si>
    <t>Gas Flare</t>
  </si>
  <si>
    <t>Gas Engine Power Meter (kWh)</t>
  </si>
  <si>
    <t xml:space="preserve">          Diesel Fuel Consumption</t>
  </si>
  <si>
    <t>Ope. Hrs</t>
  </si>
  <si>
    <t>Ope. Hrs w/ Biogas</t>
  </si>
  <si>
    <t>F1</t>
  </si>
  <si>
    <t>F2</t>
  </si>
  <si>
    <t>Total</t>
  </si>
  <si>
    <t>Methane 
Content</t>
  </si>
  <si>
    <t>Gas Engine Line Totalizer</t>
  </si>
  <si>
    <t>Boiler Line Totalizer</t>
  </si>
  <si>
    <t>Time</t>
  </si>
  <si>
    <t>Total 
Volume</t>
  </si>
  <si>
    <t>Thermax</t>
  </si>
  <si>
    <t>Cleaver Brooks</t>
  </si>
  <si>
    <t>Cleaver 
Brooks</t>
  </si>
  <si>
    <t>Actual Waste Delivered (MT)</t>
  </si>
  <si>
    <t>% DS</t>
  </si>
  <si>
    <t>Electricity</t>
  </si>
  <si>
    <t>Water</t>
  </si>
  <si>
    <t>Totalizer</t>
  </si>
  <si>
    <t>Output</t>
  </si>
  <si>
    <t>Start</t>
  </si>
  <si>
    <t>End</t>
  </si>
  <si>
    <r>
      <t>Nm</t>
    </r>
    <r>
      <rPr>
        <sz val="11"/>
        <color theme="1"/>
        <rFont val="Calibri"/>
        <family val="2"/>
      </rPr>
      <t>³</t>
    </r>
  </si>
  <si>
    <t>Li.</t>
  </si>
  <si>
    <t>Hrs</t>
  </si>
  <si>
    <t>Delivery</t>
  </si>
  <si>
    <t>Cummulative</t>
  </si>
  <si>
    <t>kWhr</t>
  </si>
  <si>
    <r>
      <t>m</t>
    </r>
    <r>
      <rPr>
        <sz val="11"/>
        <color theme="1"/>
        <rFont val="Calibri"/>
        <family val="2"/>
      </rPr>
      <t>³</t>
    </r>
  </si>
  <si>
    <t>TOTAL / AVERAGE</t>
  </si>
  <si>
    <t>1S</t>
  </si>
  <si>
    <t>2S</t>
  </si>
  <si>
    <t>Non-canning</t>
  </si>
  <si>
    <t>Remarks/ Shifts</t>
  </si>
  <si>
    <t>Gas Meters (Nmᶾ)</t>
  </si>
  <si>
    <t>Gas Engine 1 Power Meter (kWh)</t>
  </si>
  <si>
    <t>Gas Engine 2 Power Meter (kWh)</t>
  </si>
  <si>
    <t>Diesel Usage</t>
  </si>
  <si>
    <t>Thermax Gas Totalizer 1</t>
  </si>
  <si>
    <t>Thermax Gas Totalizer 2</t>
  </si>
  <si>
    <t>CB Gas Totalizer</t>
  </si>
  <si>
    <t>Electricity @ Biogas plant, kWhr</t>
  </si>
  <si>
    <t>Electricity @ DPO cannery, kWhr</t>
  </si>
  <si>
    <t>Water, m3</t>
  </si>
  <si>
    <t>55% Min</t>
  </si>
  <si>
    <t>Delivered</t>
  </si>
  <si>
    <t>Rejected</t>
  </si>
  <si>
    <t>Consumed</t>
  </si>
  <si>
    <t>Previous</t>
  </si>
  <si>
    <t xml:space="preserve">  </t>
  </si>
  <si>
    <t>Total/Average</t>
  </si>
  <si>
    <t>Deisel Consumption 1</t>
  </si>
  <si>
    <t>Deisel Consumption 2</t>
  </si>
  <si>
    <t>Diesel Fuel Consumption</t>
  </si>
  <si>
    <t>Thermax Gas Totalizer</t>
  </si>
  <si>
    <t>DS</t>
  </si>
  <si>
    <t>Electricity @ DUVO cannery, kWhr</t>
  </si>
  <si>
    <t xml:space="preserve">% </t>
  </si>
  <si>
    <t> </t>
  </si>
  <si>
    <t xml:space="preserve">                -  </t>
  </si>
  <si>
    <t>april</t>
  </si>
  <si>
    <t>consumed</t>
  </si>
  <si>
    <t>TB</t>
  </si>
  <si>
    <t>CB</t>
  </si>
  <si>
    <t>Gas Storage [%]</t>
  </si>
  <si>
    <t>0716h</t>
  </si>
  <si>
    <t>0900h</t>
  </si>
  <si>
    <t>0542h</t>
  </si>
  <si>
    <t>0933h</t>
  </si>
  <si>
    <t>0009h</t>
  </si>
  <si>
    <t>1300h</t>
  </si>
  <si>
    <t>0905h</t>
  </si>
  <si>
    <t>1155h</t>
  </si>
  <si>
    <t>1008h</t>
  </si>
  <si>
    <t>1513h</t>
  </si>
  <si>
    <t>0513h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</si>
</sst>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0">
    <numFmt numFmtId="43" formatCode="_-* #,##0.00_-;\-* #,##0.00_-;_-* &quot;-&quot;??_-;_-@_-"/>
    <numFmt numFmtId="164" formatCode="_(* #,##0.00_);_(* \(#,##0.00\);_(* &quot;-&quot;??_);_(@_)"/>
    <numFmt numFmtId="165" formatCode="_(* #,##0_);_(* \(#,##0\);_(* &quot;-&quot;??_);_(@_)"/>
    <numFmt numFmtId="166" formatCode="h:mm;@"/>
    <numFmt numFmtId="167" formatCode="[$-3409]mmmm\ dd\,\ yyyy;@"/>
    <numFmt numFmtId="168" formatCode="[$-409]h:mm\ AM/PM;@"/>
    <numFmt numFmtId="169" formatCode="0.0%"/>
    <numFmt numFmtId="170" formatCode="_(* #,##0_);_(* \(#,##0\);_(* &quot;-&quot;?_);_(@_)"/>
    <numFmt numFmtId="171" formatCode="_(* #,##0.0_);_(* \(#,##0.0\);_(* &quot;-&quot;?_);_(@_)"/>
    <numFmt numFmtId="172" formatCode="0.000%"/>
  </numFmts>
  <fonts count="15" x14ac:knownFonts="1">
    <font>
      <sz val="11"/>
      <color theme="1"/>
      <name val="Calibri"/>
      <family val="2"/>
      <scheme val="minor"/>
    </font>
    <font>
      <sz val="11"/>
      <color theme="1"/>
      <name val="Century Gothic"/>
      <family val="2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1"/>
      <color theme="1"/>
      <name val="Calibri"/>
      <family val="2"/>
    </font>
    <font>
      <b/>
      <sz val="11"/>
      <color theme="1"/>
      <name val="Century Gothic"/>
      <family val="2"/>
    </font>
    <font>
      <sz val="10"/>
      <color theme="1"/>
      <name val="Century Gothic"/>
      <family val="2"/>
    </font>
    <font>
      <sz val="9.5"/>
      <color theme="1"/>
      <name val="Century Gothic"/>
      <family val="2"/>
    </font>
    <font>
      <sz val="9"/>
      <color theme="1"/>
      <name val="Century Gothic"/>
      <family val="2"/>
    </font>
    <font>
      <sz val="8"/>
      <color theme="1"/>
      <name val="Century Gothic"/>
      <family val="2"/>
    </font>
    <font>
      <sz val="11"/>
      <color rgb="FF000000"/>
      <name val="Century Gothic"/>
      <family val="2"/>
    </font>
    <font>
      <sz val="11"/>
      <name val="Arial"/>
      <family val="2"/>
    </font>
    <font>
      <sz val="11"/>
      <color rgb="FF444444"/>
      <name val="Calibri"/>
      <family val="2"/>
      <charset val="1"/>
    </font>
    <font>
      <sz val="11"/>
      <name val="Century Gothic"/>
      <family val="2"/>
    </font>
    <font>
      <sz val="11"/>
      <color rgb="FFFF0000"/>
      <name val="Century Gothic"/>
      <family val="2"/>
    </font>
  </fonts>
  <fills count="9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D0CECE"/>
        <bgColor rgb="FF000000"/>
      </patternFill>
    </fill>
    <fill>
      <patternFill patternType="solid">
        <fgColor rgb="FFDDEBF7"/>
        <bgColor rgb="FF000000"/>
      </patternFill>
    </fill>
    <fill>
      <patternFill patternType="solid">
        <fgColor theme="0" tint="-0.14999847407452621"/>
        <bgColor rgb="FF000000"/>
      </patternFill>
    </fill>
    <fill>
      <patternFill patternType="solid">
        <fgColor theme="0" tint="-0.14999847407452621"/>
        <bgColor indexed="64"/>
      </patternFill>
    </fill>
  </fills>
  <borders count="2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6">
    <xf numFmtId="0" fontId="0" fillId="0" borderId="0"/>
    <xf numFmtId="164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3" fillId="0" borderId="0"/>
    <xf numFmtId="164" fontId="3" fillId="0" borderId="0" applyFont="0" applyFill="0" applyBorder="0" applyAlignment="0" applyProtection="0"/>
    <xf numFmtId="9" fontId="3" fillId="0" borderId="0" applyFont="0" applyFill="0" applyBorder="0" applyAlignment="0" applyProtection="0"/>
  </cellStyleXfs>
  <cellXfs count="255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left" vertical="center"/>
    </xf>
    <xf numFmtId="0" fontId="1" fillId="0" borderId="1" xfId="0" applyFont="1" applyBorder="1"/>
    <xf numFmtId="9" fontId="1" fillId="0" borderId="1" xfId="2" applyFont="1" applyBorder="1" applyAlignment="1">
      <alignment horizontal="center"/>
    </xf>
    <xf numFmtId="164" fontId="1" fillId="0" borderId="1" xfId="1" applyFont="1" applyBorder="1"/>
    <xf numFmtId="167" fontId="1" fillId="0" borderId="1" xfId="0" applyNumberFormat="1" applyFont="1" applyBorder="1" applyAlignment="1">
      <alignment horizontal="center"/>
    </xf>
    <xf numFmtId="0" fontId="6" fillId="0" borderId="1" xfId="0" applyFont="1" applyBorder="1" applyAlignment="1">
      <alignment horizontal="center"/>
    </xf>
    <xf numFmtId="169" fontId="1" fillId="0" borderId="1" xfId="2" applyNumberFormat="1" applyFont="1" applyBorder="1" applyAlignment="1">
      <alignment horizontal="center"/>
    </xf>
    <xf numFmtId="164" fontId="1" fillId="0" borderId="1" xfId="1" applyFont="1" applyBorder="1" applyAlignment="1">
      <alignment horizontal="center"/>
    </xf>
    <xf numFmtId="2" fontId="1" fillId="0" borderId="1" xfId="1" applyNumberFormat="1" applyFont="1" applyBorder="1" applyAlignment="1">
      <alignment horizontal="center"/>
    </xf>
    <xf numFmtId="0" fontId="1" fillId="0" borderId="1" xfId="1" applyNumberFormat="1" applyFont="1" applyBorder="1" applyAlignment="1">
      <alignment horizontal="center"/>
    </xf>
    <xf numFmtId="0" fontId="5" fillId="0" borderId="1" xfId="0" applyFont="1" applyBorder="1" applyAlignment="1">
      <alignment horizontal="center"/>
    </xf>
    <xf numFmtId="0" fontId="7" fillId="0" borderId="1" xfId="0" applyFont="1" applyBorder="1" applyAlignment="1">
      <alignment horizontal="center"/>
    </xf>
    <xf numFmtId="0" fontId="1" fillId="0" borderId="0" xfId="0" applyFont="1" applyAlignment="1">
      <alignment horizontal="left"/>
    </xf>
    <xf numFmtId="0" fontId="1" fillId="0" borderId="1" xfId="0" applyFont="1" applyBorder="1" applyAlignment="1">
      <alignment horizontal="center"/>
    </xf>
    <xf numFmtId="9" fontId="1" fillId="2" borderId="1" xfId="2" applyFont="1" applyFill="1" applyBorder="1" applyAlignment="1">
      <alignment horizontal="center"/>
    </xf>
    <xf numFmtId="165" fontId="1" fillId="2" borderId="1" xfId="1" applyNumberFormat="1" applyFont="1" applyFill="1" applyBorder="1" applyAlignment="1">
      <alignment horizontal="center"/>
    </xf>
    <xf numFmtId="169" fontId="1" fillId="2" borderId="1" xfId="2" applyNumberFormat="1" applyFont="1" applyFill="1" applyBorder="1" applyAlignment="1">
      <alignment horizontal="center"/>
    </xf>
    <xf numFmtId="165" fontId="1" fillId="2" borderId="1" xfId="0" applyNumberFormat="1" applyFont="1" applyFill="1" applyBorder="1"/>
    <xf numFmtId="165" fontId="1" fillId="2" borderId="1" xfId="1" applyNumberFormat="1" applyFont="1" applyFill="1" applyBorder="1"/>
    <xf numFmtId="166" fontId="1" fillId="2" borderId="1" xfId="3" applyNumberFormat="1" applyFont="1" applyFill="1" applyBorder="1" applyAlignment="1">
      <alignment horizontal="center" vertical="center"/>
    </xf>
    <xf numFmtId="0" fontId="1" fillId="2" borderId="1" xfId="0" applyFont="1" applyFill="1" applyBorder="1"/>
    <xf numFmtId="1" fontId="1" fillId="2" borderId="1" xfId="3" applyNumberFormat="1" applyFont="1" applyFill="1" applyBorder="1" applyAlignment="1">
      <alignment horizontal="center" vertical="center"/>
    </xf>
    <xf numFmtId="168" fontId="1" fillId="2" borderId="1" xfId="0" applyNumberFormat="1" applyFont="1" applyFill="1" applyBorder="1"/>
    <xf numFmtId="169" fontId="1" fillId="2" borderId="1" xfId="0" applyNumberFormat="1" applyFont="1" applyFill="1" applyBorder="1" applyAlignment="1">
      <alignment horizontal="center"/>
    </xf>
    <xf numFmtId="165" fontId="5" fillId="2" borderId="1" xfId="0" applyNumberFormat="1" applyFont="1" applyFill="1" applyBorder="1"/>
    <xf numFmtId="0" fontId="6" fillId="3" borderId="1" xfId="0" applyFont="1" applyFill="1" applyBorder="1" applyAlignment="1">
      <alignment horizontal="center"/>
    </xf>
    <xf numFmtId="164" fontId="1" fillId="3" borderId="1" xfId="1" applyFont="1" applyFill="1" applyBorder="1"/>
    <xf numFmtId="0" fontId="1" fillId="3" borderId="1" xfId="0" applyFont="1" applyFill="1" applyBorder="1"/>
    <xf numFmtId="0" fontId="1" fillId="4" borderId="14" xfId="0" applyFont="1" applyFill="1" applyBorder="1" applyAlignment="1">
      <alignment vertical="center"/>
    </xf>
    <xf numFmtId="0" fontId="1" fillId="4" borderId="9" xfId="0" applyFont="1" applyFill="1" applyBorder="1" applyAlignment="1">
      <alignment vertical="center"/>
    </xf>
    <xf numFmtId="0" fontId="1" fillId="4" borderId="7" xfId="0" applyFont="1" applyFill="1" applyBorder="1" applyAlignment="1">
      <alignment horizontal="center" vertical="center"/>
    </xf>
    <xf numFmtId="0" fontId="1" fillId="4" borderId="11" xfId="0" applyFont="1" applyFill="1" applyBorder="1" applyAlignment="1">
      <alignment horizontal="center" vertical="center" wrapText="1"/>
    </xf>
    <xf numFmtId="0" fontId="1" fillId="4" borderId="11" xfId="0" applyFont="1" applyFill="1" applyBorder="1" applyAlignment="1">
      <alignment horizontal="center" vertical="center"/>
    </xf>
    <xf numFmtId="165" fontId="1" fillId="4" borderId="11" xfId="1" applyNumberFormat="1" applyFont="1" applyFill="1" applyBorder="1" applyAlignment="1">
      <alignment horizontal="center" vertical="center"/>
    </xf>
    <xf numFmtId="9" fontId="1" fillId="4" borderId="1" xfId="0" applyNumberFormat="1" applyFont="1" applyFill="1" applyBorder="1" applyAlignment="1">
      <alignment horizontal="center" vertical="center" wrapText="1"/>
    </xf>
    <xf numFmtId="0" fontId="1" fillId="4" borderId="10" xfId="0" applyFont="1" applyFill="1" applyBorder="1" applyAlignment="1">
      <alignment horizontal="center" vertical="center"/>
    </xf>
    <xf numFmtId="0" fontId="1" fillId="0" borderId="10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2" borderId="1" xfId="0" applyFont="1" applyFill="1" applyBorder="1" applyAlignment="1">
      <alignment horizontal="center"/>
    </xf>
    <xf numFmtId="0" fontId="1" fillId="0" borderId="1" xfId="0" applyFont="1" applyBorder="1" applyAlignment="1">
      <alignment horizontal="center" vertical="center" wrapText="1"/>
    </xf>
    <xf numFmtId="0" fontId="1" fillId="3" borderId="1" xfId="0" applyFont="1" applyFill="1" applyBorder="1" applyAlignment="1">
      <alignment horizontal="center" vertical="center"/>
    </xf>
    <xf numFmtId="0" fontId="1" fillId="4" borderId="1" xfId="0" applyFont="1" applyFill="1" applyBorder="1" applyAlignment="1">
      <alignment horizontal="center" vertical="center" wrapText="1"/>
    </xf>
    <xf numFmtId="0" fontId="1" fillId="4" borderId="1" xfId="0" applyFont="1" applyFill="1" applyBorder="1" applyAlignment="1">
      <alignment horizontal="center"/>
    </xf>
    <xf numFmtId="0" fontId="1" fillId="4" borderId="8" xfId="0" applyFont="1" applyFill="1" applyBorder="1" applyAlignment="1">
      <alignment horizontal="center" vertical="center"/>
    </xf>
    <xf numFmtId="0" fontId="1" fillId="4" borderId="1" xfId="0" applyFont="1" applyFill="1" applyBorder="1" applyAlignment="1">
      <alignment horizontal="center" vertical="center"/>
    </xf>
    <xf numFmtId="165" fontId="5" fillId="3" borderId="1" xfId="0" applyNumberFormat="1" applyFont="1" applyFill="1" applyBorder="1"/>
    <xf numFmtId="3" fontId="1" fillId="3" borderId="1" xfId="0" applyNumberFormat="1" applyFont="1" applyFill="1" applyBorder="1"/>
    <xf numFmtId="3" fontId="1" fillId="3" borderId="1" xfId="0" applyNumberFormat="1" applyFont="1" applyFill="1" applyBorder="1" applyAlignment="1">
      <alignment horizontal="center" vertical="center"/>
    </xf>
    <xf numFmtId="164" fontId="1" fillId="0" borderId="0" xfId="1" applyFont="1" applyAlignment="1">
      <alignment horizontal="center" vertical="center"/>
    </xf>
    <xf numFmtId="165" fontId="1" fillId="0" borderId="0" xfId="1" applyNumberFormat="1" applyFont="1" applyAlignment="1">
      <alignment horizontal="center" vertical="center"/>
    </xf>
    <xf numFmtId="0" fontId="1" fillId="0" borderId="8" xfId="0" applyFont="1" applyBorder="1" applyAlignment="1">
      <alignment horizontal="center" vertical="center"/>
    </xf>
    <xf numFmtId="165" fontId="1" fillId="0" borderId="11" xfId="1" applyNumberFormat="1" applyFont="1" applyBorder="1" applyAlignment="1">
      <alignment horizontal="center" vertical="center"/>
    </xf>
    <xf numFmtId="9" fontId="1" fillId="0" borderId="1" xfId="0" applyNumberFormat="1" applyFont="1" applyBorder="1" applyAlignment="1">
      <alignment horizontal="center" vertical="center" wrapText="1"/>
    </xf>
    <xf numFmtId="165" fontId="1" fillId="0" borderId="1" xfId="1" applyNumberFormat="1" applyFont="1" applyBorder="1" applyAlignment="1">
      <alignment horizontal="center"/>
    </xf>
    <xf numFmtId="165" fontId="1" fillId="0" borderId="1" xfId="0" applyNumberFormat="1" applyFont="1" applyBorder="1"/>
    <xf numFmtId="165" fontId="1" fillId="0" borderId="1" xfId="1" applyNumberFormat="1" applyFont="1" applyBorder="1"/>
    <xf numFmtId="166" fontId="1" fillId="0" borderId="1" xfId="3" applyNumberFormat="1" applyFont="1" applyBorder="1" applyAlignment="1">
      <alignment horizontal="center" vertical="center"/>
    </xf>
    <xf numFmtId="1" fontId="1" fillId="0" borderId="1" xfId="3" applyNumberFormat="1" applyFont="1" applyBorder="1" applyAlignment="1">
      <alignment horizontal="center" vertical="center"/>
    </xf>
    <xf numFmtId="168" fontId="1" fillId="0" borderId="1" xfId="0" applyNumberFormat="1" applyFont="1" applyBorder="1"/>
    <xf numFmtId="165" fontId="1" fillId="0" borderId="0" xfId="0" applyNumberFormat="1" applyFont="1"/>
    <xf numFmtId="169" fontId="5" fillId="0" borderId="1" xfId="2" applyNumberFormat="1" applyFont="1" applyBorder="1" applyAlignment="1">
      <alignment horizontal="center"/>
    </xf>
    <xf numFmtId="165" fontId="5" fillId="0" borderId="1" xfId="0" applyNumberFormat="1" applyFont="1" applyBorder="1"/>
    <xf numFmtId="169" fontId="5" fillId="0" borderId="1" xfId="2" applyNumberFormat="1" applyFont="1" applyFill="1" applyBorder="1" applyAlignment="1">
      <alignment horizontal="center"/>
    </xf>
    <xf numFmtId="0" fontId="5" fillId="0" borderId="1" xfId="0" applyFont="1" applyBorder="1"/>
    <xf numFmtId="164" fontId="5" fillId="0" borderId="1" xfId="1" applyFont="1" applyFill="1" applyBorder="1"/>
    <xf numFmtId="9" fontId="5" fillId="0" borderId="1" xfId="0" applyNumberFormat="1" applyFont="1" applyBorder="1" applyAlignment="1">
      <alignment horizontal="center"/>
    </xf>
    <xf numFmtId="165" fontId="5" fillId="0" borderId="1" xfId="1" applyNumberFormat="1" applyFont="1" applyBorder="1"/>
    <xf numFmtId="9" fontId="5" fillId="0" borderId="1" xfId="2" applyFont="1" applyBorder="1" applyAlignment="1">
      <alignment horizontal="center"/>
    </xf>
    <xf numFmtId="165" fontId="1" fillId="0" borderId="0" xfId="0" applyNumberFormat="1" applyFont="1" applyAlignment="1">
      <alignment horizontal="center" vertical="center"/>
    </xf>
    <xf numFmtId="165" fontId="1" fillId="0" borderId="0" xfId="1" applyNumberFormat="1" applyFont="1"/>
    <xf numFmtId="164" fontId="1" fillId="0" borderId="0" xfId="0" applyNumberFormat="1" applyFont="1"/>
    <xf numFmtId="165" fontId="1" fillId="3" borderId="1" xfId="1" applyNumberFormat="1" applyFont="1" applyFill="1" applyBorder="1"/>
    <xf numFmtId="165" fontId="1" fillId="3" borderId="1" xfId="1" applyNumberFormat="1" applyFont="1" applyFill="1" applyBorder="1" applyAlignment="1">
      <alignment horizontal="center" vertical="center"/>
    </xf>
    <xf numFmtId="0" fontId="8" fillId="0" borderId="1" xfId="0" applyFont="1" applyBorder="1" applyAlignment="1">
      <alignment horizontal="center"/>
    </xf>
    <xf numFmtId="164" fontId="1" fillId="0" borderId="0" xfId="1" applyFont="1"/>
    <xf numFmtId="170" fontId="1" fillId="0" borderId="0" xfId="0" applyNumberFormat="1" applyFont="1"/>
    <xf numFmtId="165" fontId="1" fillId="0" borderId="0" xfId="0" applyNumberFormat="1" applyFont="1" applyAlignment="1">
      <alignment horizontal="center"/>
    </xf>
    <xf numFmtId="165" fontId="1" fillId="0" borderId="1" xfId="1" applyNumberFormat="1" applyFont="1" applyFill="1" applyBorder="1" applyAlignment="1">
      <alignment horizontal="center" vertical="center"/>
    </xf>
    <xf numFmtId="165" fontId="1" fillId="0" borderId="1" xfId="1" applyNumberFormat="1" applyFont="1" applyFill="1" applyBorder="1" applyAlignment="1">
      <alignment horizontal="center" vertical="center" wrapText="1"/>
    </xf>
    <xf numFmtId="165" fontId="1" fillId="0" borderId="11" xfId="1" applyNumberFormat="1" applyFont="1" applyFill="1" applyBorder="1" applyAlignment="1">
      <alignment horizontal="center" vertical="center"/>
    </xf>
    <xf numFmtId="165" fontId="1" fillId="3" borderId="1" xfId="1" applyNumberFormat="1" applyFont="1" applyFill="1" applyBorder="1" applyAlignment="1">
      <alignment horizontal="center"/>
    </xf>
    <xf numFmtId="164" fontId="1" fillId="0" borderId="0" xfId="1" applyFont="1" applyAlignment="1">
      <alignment horizontal="center"/>
    </xf>
    <xf numFmtId="164" fontId="1" fillId="0" borderId="0" xfId="0" applyNumberFormat="1" applyFont="1" applyAlignment="1">
      <alignment horizontal="center"/>
    </xf>
    <xf numFmtId="164" fontId="9" fillId="0" borderId="0" xfId="1" applyFont="1"/>
    <xf numFmtId="165" fontId="9" fillId="0" borderId="0" xfId="1" applyNumberFormat="1" applyFont="1"/>
    <xf numFmtId="169" fontId="1" fillId="0" borderId="0" xfId="2" applyNumberFormat="1" applyFont="1"/>
    <xf numFmtId="171" fontId="1" fillId="0" borderId="0" xfId="0" applyNumberFormat="1" applyFont="1"/>
    <xf numFmtId="10" fontId="5" fillId="0" borderId="1" xfId="2" applyNumberFormat="1" applyFont="1" applyFill="1" applyBorder="1" applyAlignment="1">
      <alignment horizontal="center"/>
    </xf>
    <xf numFmtId="3" fontId="1" fillId="3" borderId="1" xfId="0" applyNumberFormat="1" applyFont="1" applyFill="1" applyBorder="1" applyAlignment="1">
      <alignment horizontal="center"/>
    </xf>
    <xf numFmtId="3" fontId="1" fillId="3" borderId="1" xfId="1" applyNumberFormat="1" applyFont="1" applyFill="1" applyBorder="1" applyAlignment="1">
      <alignment horizontal="center"/>
    </xf>
    <xf numFmtId="0" fontId="1" fillId="3" borderId="1" xfId="0" applyFont="1" applyFill="1" applyBorder="1" applyAlignment="1">
      <alignment vertical="center"/>
    </xf>
    <xf numFmtId="3" fontId="1" fillId="3" borderId="1" xfId="1" applyNumberFormat="1" applyFont="1" applyFill="1" applyBorder="1"/>
    <xf numFmtId="0" fontId="10" fillId="5" borderId="9" xfId="0" applyFont="1" applyFill="1" applyBorder="1"/>
    <xf numFmtId="3" fontId="10" fillId="5" borderId="9" xfId="0" applyNumberFormat="1" applyFont="1" applyFill="1" applyBorder="1"/>
    <xf numFmtId="0" fontId="10" fillId="6" borderId="9" xfId="0" applyFont="1" applyFill="1" applyBorder="1"/>
    <xf numFmtId="0" fontId="10" fillId="0" borderId="9" xfId="0" applyFont="1" applyBorder="1"/>
    <xf numFmtId="0" fontId="10" fillId="5" borderId="7" xfId="0" applyFont="1" applyFill="1" applyBorder="1"/>
    <xf numFmtId="3" fontId="10" fillId="5" borderId="7" xfId="0" applyNumberFormat="1" applyFont="1" applyFill="1" applyBorder="1"/>
    <xf numFmtId="10" fontId="10" fillId="5" borderId="7" xfId="0" applyNumberFormat="1" applyFont="1" applyFill="1" applyBorder="1"/>
    <xf numFmtId="0" fontId="10" fillId="6" borderId="7" xfId="0" applyFont="1" applyFill="1" applyBorder="1"/>
    <xf numFmtId="0" fontId="10" fillId="0" borderId="7" xfId="0" applyFont="1" applyBorder="1"/>
    <xf numFmtId="3" fontId="10" fillId="6" borderId="7" xfId="0" applyNumberFormat="1" applyFont="1" applyFill="1" applyBorder="1"/>
    <xf numFmtId="3" fontId="10" fillId="5" borderId="11" xfId="0" applyNumberFormat="1" applyFont="1" applyFill="1" applyBorder="1"/>
    <xf numFmtId="3" fontId="10" fillId="5" borderId="1" xfId="0" applyNumberFormat="1" applyFont="1" applyFill="1" applyBorder="1" applyAlignment="1">
      <alignment wrapText="1"/>
    </xf>
    <xf numFmtId="18" fontId="10" fillId="5" borderId="9" xfId="0" applyNumberFormat="1" applyFont="1" applyFill="1" applyBorder="1"/>
    <xf numFmtId="18" fontId="10" fillId="5" borderId="7" xfId="0" applyNumberFormat="1" applyFont="1" applyFill="1" applyBorder="1"/>
    <xf numFmtId="165" fontId="12" fillId="0" borderId="1" xfId="0" quotePrefix="1" applyNumberFormat="1" applyFont="1" applyBorder="1"/>
    <xf numFmtId="0" fontId="10" fillId="0" borderId="11" xfId="0" applyFont="1" applyBorder="1"/>
    <xf numFmtId="0" fontId="13" fillId="0" borderId="1" xfId="0" applyFont="1" applyBorder="1"/>
    <xf numFmtId="0" fontId="13" fillId="0" borderId="11" xfId="0" applyFont="1" applyBorder="1"/>
    <xf numFmtId="0" fontId="10" fillId="0" borderId="1" xfId="0" applyFont="1" applyBorder="1"/>
    <xf numFmtId="10" fontId="11" fillId="0" borderId="16" xfId="2" applyNumberFormat="1" applyFont="1" applyBorder="1" applyAlignment="1">
      <alignment horizontal="center"/>
    </xf>
    <xf numFmtId="164" fontId="5" fillId="0" borderId="1" xfId="0" applyNumberFormat="1" applyFont="1" applyBorder="1"/>
    <xf numFmtId="10" fontId="1" fillId="0" borderId="0" xfId="2" applyNumberFormat="1" applyFont="1" applyAlignment="1">
      <alignment horizontal="center"/>
    </xf>
    <xf numFmtId="172" fontId="5" fillId="0" borderId="1" xfId="0" applyNumberFormat="1" applyFont="1" applyBorder="1" applyAlignment="1">
      <alignment horizontal="center"/>
    </xf>
    <xf numFmtId="3" fontId="10" fillId="6" borderId="9" xfId="0" applyNumberFormat="1" applyFont="1" applyFill="1" applyBorder="1"/>
    <xf numFmtId="18" fontId="1" fillId="2" borderId="1" xfId="0" applyNumberFormat="1" applyFont="1" applyFill="1" applyBorder="1"/>
    <xf numFmtId="9" fontId="10" fillId="5" borderId="1" xfId="0" applyNumberFormat="1" applyFont="1" applyFill="1" applyBorder="1" applyAlignment="1">
      <alignment horizontal="center"/>
    </xf>
    <xf numFmtId="9" fontId="10" fillId="5" borderId="11" xfId="0" applyNumberFormat="1" applyFont="1" applyFill="1" applyBorder="1" applyAlignment="1">
      <alignment horizontal="center"/>
    </xf>
    <xf numFmtId="3" fontId="1" fillId="0" borderId="0" xfId="0" applyNumberFormat="1" applyFont="1"/>
    <xf numFmtId="10" fontId="10" fillId="7" borderId="7" xfId="0" applyNumberFormat="1" applyFont="1" applyFill="1" applyBorder="1"/>
    <xf numFmtId="0" fontId="10" fillId="7" borderId="7" xfId="0" applyFont="1" applyFill="1" applyBorder="1"/>
    <xf numFmtId="0" fontId="10" fillId="7" borderId="9" xfId="0" applyFont="1" applyFill="1" applyBorder="1"/>
    <xf numFmtId="169" fontId="1" fillId="8" borderId="1" xfId="2" applyNumberFormat="1" applyFont="1" applyFill="1" applyBorder="1" applyAlignment="1">
      <alignment horizontal="center"/>
    </xf>
    <xf numFmtId="169" fontId="1" fillId="8" borderId="1" xfId="0" applyNumberFormat="1" applyFont="1" applyFill="1" applyBorder="1" applyAlignment="1">
      <alignment horizontal="center"/>
    </xf>
    <xf numFmtId="165" fontId="10" fillId="0" borderId="16" xfId="1" applyNumberFormat="1" applyFont="1" applyFill="1" applyBorder="1" applyAlignment="1">
      <alignment horizontal="right" vertical="center"/>
    </xf>
    <xf numFmtId="165" fontId="1" fillId="0" borderId="1" xfId="1" applyNumberFormat="1" applyFont="1" applyFill="1" applyBorder="1"/>
    <xf numFmtId="0" fontId="5" fillId="0" borderId="0" xfId="0" applyFont="1"/>
    <xf numFmtId="169" fontId="1" fillId="8" borderId="10" xfId="0" applyNumberFormat="1" applyFont="1" applyFill="1" applyBorder="1" applyAlignment="1">
      <alignment horizontal="center"/>
    </xf>
    <xf numFmtId="0" fontId="10" fillId="7" borderId="5" xfId="0" applyFont="1" applyFill="1" applyBorder="1"/>
    <xf numFmtId="0" fontId="1" fillId="0" borderId="10" xfId="0" applyFont="1" applyBorder="1" applyAlignment="1">
      <alignment horizontal="center"/>
    </xf>
    <xf numFmtId="0" fontId="5" fillId="0" borderId="17" xfId="0" applyFont="1" applyBorder="1" applyAlignment="1">
      <alignment horizontal="center"/>
    </xf>
    <xf numFmtId="0" fontId="5" fillId="0" borderId="18" xfId="0" applyFont="1" applyBorder="1" applyAlignment="1">
      <alignment horizontal="center"/>
    </xf>
    <xf numFmtId="172" fontId="5" fillId="0" borderId="18" xfId="0" applyNumberFormat="1" applyFont="1" applyBorder="1" applyAlignment="1">
      <alignment horizontal="center"/>
    </xf>
    <xf numFmtId="165" fontId="5" fillId="0" borderId="18" xfId="0" applyNumberFormat="1" applyFont="1" applyBorder="1"/>
    <xf numFmtId="164" fontId="5" fillId="0" borderId="18" xfId="0" applyNumberFormat="1" applyFont="1" applyBorder="1"/>
    <xf numFmtId="164" fontId="5" fillId="0" borderId="18" xfId="1" applyFont="1" applyFill="1" applyBorder="1"/>
    <xf numFmtId="169" fontId="5" fillId="0" borderId="18" xfId="2" applyNumberFormat="1" applyFont="1" applyFill="1" applyBorder="1" applyAlignment="1">
      <alignment horizontal="center"/>
    </xf>
    <xf numFmtId="0" fontId="5" fillId="0" borderId="19" xfId="0" applyFont="1" applyBorder="1"/>
    <xf numFmtId="0" fontId="1" fillId="0" borderId="11" xfId="0" applyFont="1" applyBorder="1" applyAlignment="1">
      <alignment horizontal="center" vertical="center"/>
    </xf>
    <xf numFmtId="0" fontId="1" fillId="0" borderId="9" xfId="0" applyFont="1" applyBorder="1" applyAlignment="1">
      <alignment horizontal="center"/>
    </xf>
    <xf numFmtId="9" fontId="1" fillId="0" borderId="7" xfId="0" applyNumberFormat="1" applyFont="1" applyBorder="1" applyAlignment="1">
      <alignment horizontal="center" vertical="center" wrapText="1"/>
    </xf>
    <xf numFmtId="0" fontId="1" fillId="0" borderId="7" xfId="0" applyFont="1" applyBorder="1" applyAlignment="1">
      <alignment horizontal="center"/>
    </xf>
    <xf numFmtId="0" fontId="5" fillId="0" borderId="12" xfId="0" applyFont="1" applyBorder="1" applyAlignment="1">
      <alignment horizontal="center"/>
    </xf>
    <xf numFmtId="165" fontId="1" fillId="0" borderId="0" xfId="1" applyNumberFormat="1" applyFont="1" applyAlignment="1">
      <alignment horizontal="center"/>
    </xf>
    <xf numFmtId="43" fontId="1" fillId="0" borderId="1" xfId="0" applyNumberFormat="1" applyFont="1" applyBorder="1" applyAlignment="1">
      <alignment horizontal="center"/>
    </xf>
    <xf numFmtId="3" fontId="10" fillId="0" borderId="1" xfId="0" applyNumberFormat="1" applyFont="1" applyBorder="1"/>
    <xf numFmtId="18" fontId="10" fillId="0" borderId="9" xfId="0" applyNumberFormat="1" applyFont="1" applyBorder="1"/>
    <xf numFmtId="0" fontId="5" fillId="0" borderId="9" xfId="0" applyFont="1" applyBorder="1" applyAlignment="1">
      <alignment horizontal="center"/>
    </xf>
    <xf numFmtId="165" fontId="10" fillId="0" borderId="0" xfId="1" applyNumberFormat="1" applyFont="1" applyFill="1" applyBorder="1" applyAlignment="1">
      <alignment horizontal="right" vertical="center"/>
    </xf>
    <xf numFmtId="164" fontId="1" fillId="0" borderId="1" xfId="1" applyFont="1" applyFill="1" applyBorder="1" applyAlignment="1">
      <alignment horizontal="center"/>
    </xf>
    <xf numFmtId="165" fontId="13" fillId="0" borderId="1" xfId="1" applyNumberFormat="1" applyFont="1" applyBorder="1" applyAlignment="1">
      <alignment horizontal="center"/>
    </xf>
    <xf numFmtId="165" fontId="13" fillId="0" borderId="0" xfId="1" applyNumberFormat="1" applyFont="1" applyAlignment="1">
      <alignment horizontal="center"/>
    </xf>
    <xf numFmtId="0" fontId="13" fillId="0" borderId="9" xfId="0" applyFont="1" applyBorder="1"/>
    <xf numFmtId="0" fontId="1" fillId="0" borderId="6" xfId="0" applyFont="1" applyBorder="1" applyAlignment="1">
      <alignment horizontal="center" vertical="center" wrapText="1"/>
    </xf>
    <xf numFmtId="0" fontId="1" fillId="0" borderId="7" xfId="0" applyFont="1" applyBorder="1" applyAlignment="1">
      <alignment horizontal="center" vertical="center" wrapText="1"/>
    </xf>
    <xf numFmtId="0" fontId="1" fillId="0" borderId="8" xfId="0" applyFont="1" applyBorder="1" applyAlignment="1">
      <alignment horizontal="center" vertical="center" wrapText="1"/>
    </xf>
    <xf numFmtId="0" fontId="1" fillId="0" borderId="9" xfId="0" applyFont="1" applyBorder="1" applyAlignment="1">
      <alignment horizontal="center" vertical="center" wrapText="1"/>
    </xf>
    <xf numFmtId="0" fontId="1" fillId="4" borderId="8" xfId="0" applyFont="1" applyFill="1" applyBorder="1" applyAlignment="1">
      <alignment horizontal="center" vertical="center" wrapText="1"/>
    </xf>
    <xf numFmtId="0" fontId="1" fillId="4" borderId="9" xfId="0" applyFont="1" applyFill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167" fontId="13" fillId="0" borderId="1" xfId="0" applyNumberFormat="1" applyFont="1" applyBorder="1" applyAlignment="1">
      <alignment horizontal="center"/>
    </xf>
    <xf numFmtId="0" fontId="13" fillId="2" borderId="1" xfId="0" applyFont="1" applyFill="1" applyBorder="1" applyAlignment="1">
      <alignment horizontal="center"/>
    </xf>
    <xf numFmtId="10" fontId="13" fillId="7" borderId="7" xfId="0" applyNumberFormat="1" applyFont="1" applyFill="1" applyBorder="1"/>
    <xf numFmtId="0" fontId="13" fillId="7" borderId="7" xfId="0" applyFont="1" applyFill="1" applyBorder="1"/>
    <xf numFmtId="0" fontId="13" fillId="7" borderId="9" xfId="0" applyFont="1" applyFill="1" applyBorder="1"/>
    <xf numFmtId="165" fontId="13" fillId="0" borderId="16" xfId="1" applyNumberFormat="1" applyFont="1" applyFill="1" applyBorder="1" applyAlignment="1">
      <alignment horizontal="right" vertical="center"/>
    </xf>
    <xf numFmtId="164" fontId="13" fillId="0" borderId="1" xfId="1" applyFont="1" applyFill="1" applyBorder="1" applyAlignment="1">
      <alignment horizontal="center"/>
    </xf>
    <xf numFmtId="165" fontId="13" fillId="0" borderId="1" xfId="1" applyNumberFormat="1" applyFont="1" applyFill="1" applyBorder="1"/>
    <xf numFmtId="3" fontId="13" fillId="0" borderId="1" xfId="0" applyNumberFormat="1" applyFont="1" applyBorder="1"/>
    <xf numFmtId="18" fontId="13" fillId="0" borderId="9" xfId="0" applyNumberFormat="1" applyFont="1" applyBorder="1"/>
    <xf numFmtId="165" fontId="13" fillId="0" borderId="1" xfId="0" applyNumberFormat="1" applyFont="1" applyBorder="1"/>
    <xf numFmtId="165" fontId="13" fillId="0" borderId="1" xfId="1" applyNumberFormat="1" applyFont="1" applyBorder="1"/>
    <xf numFmtId="43" fontId="13" fillId="0" borderId="1" xfId="0" applyNumberFormat="1" applyFont="1" applyBorder="1" applyAlignment="1">
      <alignment horizontal="center"/>
    </xf>
    <xf numFmtId="169" fontId="13" fillId="8" borderId="1" xfId="2" applyNumberFormat="1" applyFont="1" applyFill="1" applyBorder="1" applyAlignment="1">
      <alignment horizontal="center"/>
    </xf>
    <xf numFmtId="169" fontId="13" fillId="8" borderId="1" xfId="0" applyNumberFormat="1" applyFont="1" applyFill="1" applyBorder="1" applyAlignment="1">
      <alignment horizontal="center"/>
    </xf>
    <xf numFmtId="167" fontId="14" fillId="0" borderId="1" xfId="0" applyNumberFormat="1" applyFont="1" applyBorder="1" applyAlignment="1">
      <alignment horizontal="center"/>
    </xf>
    <xf numFmtId="0" fontId="14" fillId="2" borderId="1" xfId="0" applyFont="1" applyFill="1" applyBorder="1" applyAlignment="1">
      <alignment horizontal="center"/>
    </xf>
    <xf numFmtId="169" fontId="14" fillId="8" borderId="1" xfId="2" applyNumberFormat="1" applyFont="1" applyFill="1" applyBorder="1" applyAlignment="1">
      <alignment horizontal="center"/>
    </xf>
    <xf numFmtId="0" fontId="14" fillId="7" borderId="7" xfId="0" applyFont="1" applyFill="1" applyBorder="1"/>
    <xf numFmtId="165" fontId="14" fillId="0" borderId="1" xfId="1" applyNumberFormat="1" applyFont="1" applyFill="1" applyBorder="1"/>
    <xf numFmtId="164" fontId="14" fillId="0" borderId="1" xfId="1" applyFont="1" applyFill="1" applyBorder="1" applyAlignment="1">
      <alignment horizontal="center"/>
    </xf>
    <xf numFmtId="3" fontId="14" fillId="0" borderId="1" xfId="0" applyNumberFormat="1" applyFont="1" applyBorder="1"/>
    <xf numFmtId="18" fontId="14" fillId="0" borderId="9" xfId="0" applyNumberFormat="1" applyFont="1" applyBorder="1"/>
    <xf numFmtId="0" fontId="14" fillId="0" borderId="9" xfId="0" applyFont="1" applyBorder="1"/>
    <xf numFmtId="165" fontId="14" fillId="0" borderId="16" xfId="1" applyNumberFormat="1" applyFont="1" applyFill="1" applyBorder="1" applyAlignment="1">
      <alignment horizontal="right" vertical="center"/>
    </xf>
    <xf numFmtId="165" fontId="14" fillId="0" borderId="1" xfId="0" applyNumberFormat="1" applyFont="1" applyBorder="1"/>
    <xf numFmtId="165" fontId="14" fillId="0" borderId="1" xfId="1" applyNumberFormat="1" applyFont="1" applyBorder="1" applyAlignment="1">
      <alignment horizontal="center"/>
    </xf>
    <xf numFmtId="9" fontId="13" fillId="0" borderId="1" xfId="2" applyFont="1" applyBorder="1" applyAlignment="1">
      <alignment horizontal="center"/>
    </xf>
    <xf numFmtId="9" fontId="14" fillId="0" borderId="1" xfId="2" applyFont="1" applyBorder="1" applyAlignment="1">
      <alignment horizontal="center"/>
    </xf>
    <xf numFmtId="165" fontId="10" fillId="0" borderId="1" xfId="4" applyNumberFormat="1" applyFont="1" applyBorder="1" applyAlignment="1">
      <alignment horizontal="center" vertical="center"/>
    </xf>
    <xf numFmtId="9" fontId="13" fillId="0" borderId="20" xfId="5" applyFont="1" applyBorder="1" applyAlignment="1">
      <alignment horizontal="center" vertical="center"/>
    </xf>
    <xf numFmtId="9" fontId="13" fillId="0" borderId="1" xfId="5" applyFont="1" applyBorder="1" applyAlignment="1">
      <alignment horizontal="center" vertical="center"/>
    </xf>
    <xf numFmtId="0" fontId="5" fillId="0" borderId="3" xfId="0" applyFont="1" applyBorder="1" applyAlignment="1">
      <alignment horizontal="center"/>
    </xf>
    <xf numFmtId="0" fontId="5" fillId="0" borderId="12" xfId="0" applyFont="1" applyBorder="1" applyAlignment="1">
      <alignment horizontal="center"/>
    </xf>
    <xf numFmtId="0" fontId="5" fillId="0" borderId="4" xfId="0" applyFont="1" applyBorder="1" applyAlignment="1">
      <alignment horizontal="center"/>
    </xf>
    <xf numFmtId="0" fontId="1" fillId="0" borderId="3" xfId="0" applyFont="1" applyBorder="1" applyAlignment="1">
      <alignment horizontal="center" vertical="center" wrapText="1"/>
    </xf>
    <xf numFmtId="0" fontId="1" fillId="0" borderId="12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1" fillId="0" borderId="5" xfId="0" applyFont="1" applyBorder="1" applyAlignment="1">
      <alignment horizontal="center" vertical="center" wrapText="1"/>
    </xf>
    <xf numFmtId="0" fontId="1" fillId="0" borderId="6" xfId="0" applyFont="1" applyBorder="1" applyAlignment="1">
      <alignment horizontal="center" vertical="center" wrapText="1"/>
    </xf>
    <xf numFmtId="0" fontId="1" fillId="0" borderId="7" xfId="0" applyFont="1" applyBorder="1" applyAlignment="1">
      <alignment horizontal="center" vertical="center" wrapText="1"/>
    </xf>
    <xf numFmtId="0" fontId="1" fillId="0" borderId="10" xfId="0" applyFont="1" applyBorder="1" applyAlignment="1">
      <alignment horizontal="center" vertical="center"/>
    </xf>
    <xf numFmtId="0" fontId="1" fillId="0" borderId="13" xfId="0" applyFont="1" applyBorder="1" applyAlignment="1">
      <alignment horizontal="center" vertical="center"/>
    </xf>
    <xf numFmtId="0" fontId="1" fillId="0" borderId="1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/>
    </xf>
    <xf numFmtId="0" fontId="1" fillId="0" borderId="1" xfId="0" applyFont="1" applyBorder="1" applyAlignment="1">
      <alignment horizontal="center" vertical="center" wrapText="1"/>
    </xf>
    <xf numFmtId="0" fontId="1" fillId="0" borderId="8" xfId="0" applyFont="1" applyBorder="1" applyAlignment="1">
      <alignment horizontal="center" vertical="center"/>
    </xf>
    <xf numFmtId="0" fontId="1" fillId="0" borderId="9" xfId="0" applyFont="1" applyBorder="1" applyAlignment="1">
      <alignment horizontal="center" vertical="center"/>
    </xf>
    <xf numFmtId="0" fontId="1" fillId="4" borderId="1" xfId="0" applyFont="1" applyFill="1" applyBorder="1" applyAlignment="1">
      <alignment horizontal="center" vertical="center" wrapText="1"/>
    </xf>
    <xf numFmtId="0" fontId="1" fillId="4" borderId="3" xfId="0" applyFont="1" applyFill="1" applyBorder="1" applyAlignment="1">
      <alignment horizontal="center" vertical="center" wrapText="1"/>
    </xf>
    <xf numFmtId="0" fontId="1" fillId="4" borderId="12" xfId="0" applyFont="1" applyFill="1" applyBorder="1" applyAlignment="1">
      <alignment horizontal="center" vertical="center" wrapText="1"/>
    </xf>
    <xf numFmtId="0" fontId="1" fillId="4" borderId="4" xfId="0" applyFont="1" applyFill="1" applyBorder="1" applyAlignment="1">
      <alignment horizontal="center" vertical="center" wrapText="1"/>
    </xf>
    <xf numFmtId="0" fontId="1" fillId="4" borderId="2" xfId="0" applyFont="1" applyFill="1" applyBorder="1" applyAlignment="1">
      <alignment horizontal="center" vertical="center" wrapText="1"/>
    </xf>
    <xf numFmtId="0" fontId="1" fillId="4" borderId="0" xfId="0" applyFont="1" applyFill="1" applyAlignment="1">
      <alignment horizontal="center" vertical="center" wrapText="1"/>
    </xf>
    <xf numFmtId="0" fontId="1" fillId="4" borderId="5" xfId="0" applyFont="1" applyFill="1" applyBorder="1" applyAlignment="1">
      <alignment horizontal="center" vertical="center" wrapText="1"/>
    </xf>
    <xf numFmtId="0" fontId="1" fillId="4" borderId="6" xfId="0" applyFont="1" applyFill="1" applyBorder="1" applyAlignment="1">
      <alignment horizontal="center" vertical="center" wrapText="1"/>
    </xf>
    <xf numFmtId="0" fontId="1" fillId="4" borderId="7" xfId="0" applyFont="1" applyFill="1" applyBorder="1" applyAlignment="1">
      <alignment horizontal="center" vertical="center" wrapText="1"/>
    </xf>
    <xf numFmtId="0" fontId="1" fillId="4" borderId="1" xfId="0" applyFont="1" applyFill="1" applyBorder="1" applyAlignment="1">
      <alignment horizontal="center" vertical="center"/>
    </xf>
    <xf numFmtId="0" fontId="1" fillId="4" borderId="1" xfId="0" applyFont="1" applyFill="1" applyBorder="1" applyAlignment="1">
      <alignment horizontal="center"/>
    </xf>
    <xf numFmtId="0" fontId="1" fillId="4" borderId="14" xfId="0" applyFont="1" applyFill="1" applyBorder="1" applyAlignment="1">
      <alignment horizontal="center" vertical="center"/>
    </xf>
    <xf numFmtId="0" fontId="1" fillId="4" borderId="9" xfId="0" applyFont="1" applyFill="1" applyBorder="1" applyAlignment="1">
      <alignment horizontal="center" vertical="center"/>
    </xf>
    <xf numFmtId="0" fontId="1" fillId="4" borderId="8" xfId="0" applyFont="1" applyFill="1" applyBorder="1" applyAlignment="1">
      <alignment horizontal="center" vertical="center"/>
    </xf>
    <xf numFmtId="0" fontId="1" fillId="0" borderId="8" xfId="0" applyFont="1" applyBorder="1" applyAlignment="1">
      <alignment horizontal="center" vertical="center" wrapText="1"/>
    </xf>
    <xf numFmtId="0" fontId="1" fillId="0" borderId="9" xfId="0" applyFont="1" applyBorder="1" applyAlignment="1">
      <alignment horizontal="center" vertical="center" wrapText="1"/>
    </xf>
    <xf numFmtId="0" fontId="1" fillId="4" borderId="8" xfId="0" applyFont="1" applyFill="1" applyBorder="1" applyAlignment="1">
      <alignment horizontal="center" vertical="center" wrapText="1"/>
    </xf>
    <xf numFmtId="0" fontId="1" fillId="4" borderId="9" xfId="0" applyFont="1" applyFill="1" applyBorder="1" applyAlignment="1">
      <alignment horizontal="center" vertical="center" wrapText="1"/>
    </xf>
    <xf numFmtId="0" fontId="5" fillId="0" borderId="8" xfId="0" applyFont="1" applyBorder="1" applyAlignment="1">
      <alignment horizontal="center"/>
    </xf>
    <xf numFmtId="0" fontId="5" fillId="0" borderId="14" xfId="0" applyFont="1" applyBorder="1" applyAlignment="1">
      <alignment horizontal="center"/>
    </xf>
    <xf numFmtId="0" fontId="5" fillId="0" borderId="3" xfId="0" applyFont="1" applyBorder="1" applyAlignment="1">
      <alignment horizontal="center" vertical="center" wrapText="1"/>
    </xf>
    <xf numFmtId="0" fontId="5" fillId="0" borderId="12" xfId="0" applyFont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 wrapText="1"/>
    </xf>
    <xf numFmtId="0" fontId="5" fillId="0" borderId="0" xfId="0" applyFont="1" applyAlignment="1">
      <alignment horizontal="center" vertical="center" wrapText="1"/>
    </xf>
    <xf numFmtId="0" fontId="5" fillId="0" borderId="4" xfId="0" applyFont="1" applyBorder="1" applyAlignment="1">
      <alignment horizontal="center" vertical="center" wrapText="1"/>
    </xf>
    <xf numFmtId="0" fontId="5" fillId="0" borderId="6" xfId="0" applyFont="1" applyBorder="1" applyAlignment="1">
      <alignment horizontal="center" vertical="center" wrapText="1"/>
    </xf>
    <xf numFmtId="0" fontId="5" fillId="0" borderId="15" xfId="0" applyFont="1" applyBorder="1" applyAlignment="1">
      <alignment horizontal="center" vertical="center" wrapText="1"/>
    </xf>
    <xf numFmtId="0" fontId="5" fillId="0" borderId="7" xfId="0" applyFont="1" applyBorder="1" applyAlignment="1">
      <alignment horizontal="center" vertical="center" wrapText="1"/>
    </xf>
    <xf numFmtId="0" fontId="1" fillId="0" borderId="8" xfId="0" applyFont="1" applyBorder="1" applyAlignment="1">
      <alignment horizontal="center"/>
    </xf>
    <xf numFmtId="0" fontId="1" fillId="0" borderId="14" xfId="0" applyFont="1" applyBorder="1" applyAlignment="1">
      <alignment horizontal="center"/>
    </xf>
    <xf numFmtId="0" fontId="1" fillId="0" borderId="9" xfId="0" applyFont="1" applyBorder="1" applyAlignment="1">
      <alignment horizontal="center"/>
    </xf>
    <xf numFmtId="0" fontId="1" fillId="0" borderId="14" xfId="0" applyFont="1" applyBorder="1" applyAlignment="1">
      <alignment horizontal="center" vertical="center" wrapText="1"/>
    </xf>
    <xf numFmtId="0" fontId="1" fillId="0" borderId="14" xfId="0" applyFont="1" applyBorder="1" applyAlignment="1">
      <alignment horizontal="center" vertical="center"/>
    </xf>
    <xf numFmtId="0" fontId="5" fillId="0" borderId="9" xfId="0" applyFont="1" applyBorder="1" applyAlignment="1">
      <alignment horizontal="center"/>
    </xf>
    <xf numFmtId="165" fontId="1" fillId="0" borderId="8" xfId="1" applyNumberFormat="1" applyFont="1" applyFill="1" applyBorder="1" applyAlignment="1">
      <alignment horizontal="center" vertical="center"/>
    </xf>
    <xf numFmtId="165" fontId="1" fillId="0" borderId="14" xfId="1" applyNumberFormat="1" applyFont="1" applyFill="1" applyBorder="1" applyAlignment="1">
      <alignment horizontal="center" vertical="center"/>
    </xf>
    <xf numFmtId="165" fontId="1" fillId="0" borderId="9" xfId="1" applyNumberFormat="1" applyFont="1" applyFill="1" applyBorder="1" applyAlignment="1">
      <alignment horizontal="center" vertical="center"/>
    </xf>
    <xf numFmtId="0" fontId="1" fillId="0" borderId="15" xfId="0" applyFont="1" applyBorder="1" applyAlignment="1">
      <alignment horizontal="center" vertical="center" wrapText="1"/>
    </xf>
  </cellXfs>
  <cellStyles count="6">
    <cellStyle name="Comma" xfId="1" builtinId="3"/>
    <cellStyle name="Comma 2" xfId="4" xr:uid="{00000000-0005-0000-0000-000001000000}"/>
    <cellStyle name="Normal" xfId="0" builtinId="0"/>
    <cellStyle name="Normal 2" xfId="3" xr:uid="{00000000-0005-0000-0000-000003000000}"/>
    <cellStyle name="Percent" xfId="2" builtinId="5"/>
    <cellStyle name="Percent 2" xfId="5" xr:uid="{00000000-0005-0000-0000-000005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13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microsoft.com/office/2017/10/relationships/person" Target="persons/person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Francis David A. Requillo" id="{6F19DD0B-591E-4E53-9EB4-EFD617B602BF}" userId="S::francis.requillo@metpower-operation.net::938101be-5292-40fe-8fb0-a2f595023432" providerId="AD"/>
</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Q24" dT="2025-11-17T06:53:14.32" personId="{6F19DD0B-591E-4E53-9EB4-EFD617B602BF}" id="{105E72AE-47BD-4C46-A8CE-517BD3750B14}">
    <text>Reading for november 16</text>
  </threadedComment>
</ThreadedComments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4.bin"/><Relationship Id="rId4" Type="http://schemas.microsoft.com/office/2017/10/relationships/threadedComment" Target="../threadedComments/threadedComment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FF0000"/>
  </sheetPr>
  <dimension ref="B2:AC39"/>
  <sheetViews>
    <sheetView showGridLines="0" zoomScale="70" zoomScaleNormal="70" workbookViewId="0">
      <pane xSplit="2" ySplit="6" topLeftCell="I7" activePane="bottomRight" state="frozen"/>
      <selection pane="topRight" activeCell="C1" sqref="C1"/>
      <selection pane="bottomLeft" activeCell="A7" sqref="A7"/>
      <selection pane="bottomRight" activeCell="N19" sqref="N19"/>
    </sheetView>
  </sheetViews>
  <sheetFormatPr defaultColWidth="9.1796875" defaultRowHeight="13.5" x14ac:dyDescent="0.25"/>
  <cols>
    <col min="1" max="1" width="4.54296875" style="1" customWidth="1"/>
    <col min="2" max="2" width="22.54296875" style="2" customWidth="1"/>
    <col min="3" max="3" width="10.453125" style="2" bestFit="1" customWidth="1"/>
    <col min="4" max="4" width="10.453125" style="2" customWidth="1"/>
    <col min="5" max="5" width="10" style="2" customWidth="1"/>
    <col min="6" max="6" width="11" style="2" customWidth="1"/>
    <col min="7" max="7" width="11.453125" style="2" customWidth="1"/>
    <col min="8" max="8" width="11.54296875" style="2" customWidth="1"/>
    <col min="9" max="9" width="12" style="2" customWidth="1"/>
    <col min="10" max="10" width="12.453125" style="1" customWidth="1"/>
    <col min="11" max="11" width="12.1796875" style="1" customWidth="1"/>
    <col min="12" max="12" width="10.453125" style="1" customWidth="1"/>
    <col min="13" max="13" width="10.81640625" style="1" customWidth="1"/>
    <col min="14" max="14" width="11.453125" style="1" customWidth="1"/>
    <col min="15" max="15" width="11.54296875" style="1" customWidth="1"/>
    <col min="16" max="16" width="11.1796875" style="1" customWidth="1"/>
    <col min="17" max="17" width="11.453125" style="3" customWidth="1"/>
    <col min="18" max="19" width="11.1796875" style="3" customWidth="1"/>
    <col min="20" max="20" width="11.54296875" style="3" customWidth="1"/>
    <col min="21" max="21" width="11.1796875" style="3" customWidth="1"/>
    <col min="22" max="22" width="11" style="3" customWidth="1"/>
    <col min="23" max="23" width="11.453125" style="3" customWidth="1"/>
    <col min="24" max="25" width="11.54296875" style="1" customWidth="1"/>
    <col min="26" max="26" width="11.54296875" style="2" customWidth="1"/>
    <col min="27" max="27" width="14.453125" style="1" customWidth="1"/>
    <col min="28" max="28" width="13.1796875" style="1" customWidth="1"/>
    <col min="29" max="29" width="14.54296875" style="1" customWidth="1"/>
    <col min="30" max="16384" width="9.1796875" style="1"/>
  </cols>
  <sheetData>
    <row r="2" spans="2:29" x14ac:dyDescent="0.25">
      <c r="B2" s="4" t="s">
        <v>0</v>
      </c>
    </row>
    <row r="3" spans="2:29" ht="16.5" customHeight="1" x14ac:dyDescent="0.3">
      <c r="B3" s="198" t="s">
        <v>1</v>
      </c>
      <c r="C3" s="199"/>
      <c r="D3" s="199"/>
      <c r="E3" s="199"/>
      <c r="F3" s="199"/>
      <c r="G3" s="199"/>
      <c r="H3" s="199"/>
      <c r="I3" s="199"/>
      <c r="J3" s="199"/>
      <c r="K3" s="199"/>
      <c r="L3" s="199"/>
      <c r="M3" s="199"/>
      <c r="N3" s="199"/>
      <c r="O3" s="199"/>
      <c r="P3" s="199"/>
      <c r="Q3" s="199"/>
      <c r="R3" s="199"/>
      <c r="S3" s="199"/>
      <c r="T3" s="199"/>
      <c r="U3" s="199"/>
      <c r="V3" s="199"/>
      <c r="W3" s="200"/>
      <c r="X3" s="201" t="s">
        <v>2</v>
      </c>
      <c r="Y3" s="202"/>
      <c r="Z3" s="203"/>
      <c r="AA3" s="201" t="s">
        <v>3</v>
      </c>
      <c r="AB3" s="203"/>
      <c r="AC3" s="209" t="s">
        <v>4</v>
      </c>
    </row>
    <row r="4" spans="2:29" ht="16.5" customHeight="1" x14ac:dyDescent="0.25">
      <c r="B4" s="212" t="s">
        <v>5</v>
      </c>
      <c r="C4" s="212" t="s">
        <v>6</v>
      </c>
      <c r="D4" s="212" t="s">
        <v>7</v>
      </c>
      <c r="E4" s="212"/>
      <c r="F4" s="54"/>
      <c r="G4" s="54" t="s">
        <v>8</v>
      </c>
      <c r="H4" s="213" t="s">
        <v>9</v>
      </c>
      <c r="I4" s="213"/>
      <c r="J4" s="213"/>
      <c r="K4" s="213"/>
      <c r="L4" s="213" t="s">
        <v>10</v>
      </c>
      <c r="M4" s="213"/>
      <c r="N4" s="213"/>
      <c r="O4" s="214" t="s">
        <v>11</v>
      </c>
      <c r="P4" s="214"/>
      <c r="Q4" s="32" t="s">
        <v>12</v>
      </c>
      <c r="R4" s="32"/>
      <c r="S4" s="33"/>
      <c r="T4" s="215" t="s">
        <v>13</v>
      </c>
      <c r="U4" s="216"/>
      <c r="V4" s="215" t="s">
        <v>14</v>
      </c>
      <c r="W4" s="216"/>
      <c r="X4" s="204"/>
      <c r="Y4" s="205"/>
      <c r="Z4" s="206"/>
      <c r="AA4" s="207"/>
      <c r="AB4" s="208"/>
      <c r="AC4" s="210"/>
    </row>
    <row r="5" spans="2:29" ht="39.75" customHeight="1" x14ac:dyDescent="0.25">
      <c r="B5" s="212"/>
      <c r="C5" s="212"/>
      <c r="D5" s="41" t="s">
        <v>15</v>
      </c>
      <c r="E5" s="41" t="s">
        <v>16</v>
      </c>
      <c r="F5" s="41" t="s">
        <v>17</v>
      </c>
      <c r="G5" s="43" t="s">
        <v>18</v>
      </c>
      <c r="H5" s="214" t="s">
        <v>19</v>
      </c>
      <c r="I5" s="214"/>
      <c r="J5" s="214" t="s">
        <v>20</v>
      </c>
      <c r="K5" s="214"/>
      <c r="L5" s="212" t="s">
        <v>21</v>
      </c>
      <c r="M5" s="212"/>
      <c r="N5" s="43" t="s">
        <v>22</v>
      </c>
      <c r="O5" s="214"/>
      <c r="P5" s="214"/>
      <c r="Q5" s="34" t="s">
        <v>23</v>
      </c>
      <c r="R5" s="35" t="s">
        <v>24</v>
      </c>
      <c r="S5" s="36" t="s">
        <v>17</v>
      </c>
      <c r="T5" s="41" t="s">
        <v>23</v>
      </c>
      <c r="U5" s="43" t="s">
        <v>25</v>
      </c>
      <c r="V5" s="41" t="s">
        <v>23</v>
      </c>
      <c r="W5" s="43" t="s">
        <v>25</v>
      </c>
      <c r="X5" s="214" t="s">
        <v>26</v>
      </c>
      <c r="Y5" s="214"/>
      <c r="Z5" s="43" t="s">
        <v>27</v>
      </c>
      <c r="AA5" s="43" t="s">
        <v>28</v>
      </c>
      <c r="AB5" s="43" t="s">
        <v>29</v>
      </c>
      <c r="AC5" s="210"/>
    </row>
    <row r="6" spans="2:29" ht="14.5" x14ac:dyDescent="0.25">
      <c r="B6" s="212"/>
      <c r="C6" s="212"/>
      <c r="D6" s="55">
        <v>8350</v>
      </c>
      <c r="E6" s="55">
        <v>8350</v>
      </c>
      <c r="F6" s="55"/>
      <c r="G6" s="56">
        <v>0.55000000000000004</v>
      </c>
      <c r="H6" s="17" t="s">
        <v>30</v>
      </c>
      <c r="I6" s="17" t="s">
        <v>31</v>
      </c>
      <c r="J6" s="17" t="s">
        <v>30</v>
      </c>
      <c r="K6" s="17" t="s">
        <v>31</v>
      </c>
      <c r="L6" s="40" t="s">
        <v>32</v>
      </c>
      <c r="M6" s="40" t="s">
        <v>33</v>
      </c>
      <c r="N6" s="41" t="s">
        <v>34</v>
      </c>
      <c r="O6" s="41" t="s">
        <v>30</v>
      </c>
      <c r="P6" s="41" t="s">
        <v>31</v>
      </c>
      <c r="Q6" s="48" t="s">
        <v>35</v>
      </c>
      <c r="R6" s="48" t="s">
        <v>35</v>
      </c>
      <c r="S6" s="48" t="s">
        <v>35</v>
      </c>
      <c r="T6" s="41" t="s">
        <v>36</v>
      </c>
      <c r="U6" s="41" t="s">
        <v>36</v>
      </c>
      <c r="V6" s="41" t="s">
        <v>36</v>
      </c>
      <c r="W6" s="41" t="s">
        <v>36</v>
      </c>
      <c r="X6" s="17" t="s">
        <v>37</v>
      </c>
      <c r="Y6" s="9" t="s">
        <v>38</v>
      </c>
      <c r="Z6" s="9"/>
      <c r="AA6" s="9" t="s">
        <v>39</v>
      </c>
      <c r="AB6" s="41" t="s">
        <v>40</v>
      </c>
      <c r="AC6" s="211"/>
    </row>
    <row r="7" spans="2:29" x14ac:dyDescent="0.25">
      <c r="B7" s="8">
        <v>44438</v>
      </c>
      <c r="C7" s="17" t="str">
        <f>TEXT(B7,"ddd")</f>
        <v>Mon</v>
      </c>
      <c r="D7" s="6" t="e">
        <f>#REF!-'Previous day'!D7</f>
        <v>#REF!</v>
      </c>
      <c r="E7" s="17"/>
      <c r="F7" s="57" t="e">
        <f>SUMPRODUCT($D$6:$E$6,D7:E7)</f>
        <v>#REF!</v>
      </c>
      <c r="G7" s="6" t="e">
        <f>#REF!-'Previous day'!G7</f>
        <v>#REF!</v>
      </c>
      <c r="H7" s="17"/>
      <c r="I7" s="17"/>
      <c r="J7" s="58" t="e">
        <f>#REF!-'Previous day'!J7</f>
        <v>#REF!</v>
      </c>
      <c r="K7" s="59" t="e">
        <f>#REF!-'Previous day'!K7</f>
        <v>#REF!</v>
      </c>
      <c r="L7" s="60"/>
      <c r="M7" s="60"/>
      <c r="N7" s="59" t="e">
        <f>#REF!-'Previous day'!N7</f>
        <v>#REF!</v>
      </c>
      <c r="O7" s="5" t="e">
        <f>#REF!-'Previous day'!O7</f>
        <v>#REF!</v>
      </c>
      <c r="P7" s="5" t="e">
        <f>#REF!-'Previous day'!P7</f>
        <v>#REF!</v>
      </c>
      <c r="Q7" s="41" t="e">
        <f>#REF!-'Previous day'!Q7</f>
        <v>#REF!</v>
      </c>
      <c r="R7" s="41" t="e">
        <f>#REF!-'Previous day'!R7</f>
        <v>#REF!</v>
      </c>
      <c r="S7" s="41" t="e">
        <f>#REF!-'Previous day'!S7</f>
        <v>#REF!</v>
      </c>
      <c r="T7" s="41" t="e">
        <f>#REF!-'Previous day'!T7</f>
        <v>#REF!</v>
      </c>
      <c r="U7" s="41" t="e">
        <f>#REF!-'Previous day'!U7</f>
        <v>#REF!</v>
      </c>
      <c r="V7" s="41" t="e">
        <f>#REF!-'Previous day'!V7</f>
        <v>#REF!</v>
      </c>
      <c r="W7" s="41" t="e">
        <f>#REF!-'Previous day'!W7</f>
        <v>#REF!</v>
      </c>
      <c r="X7" s="7" t="e">
        <f>#REF!-'Previous day'!X7</f>
        <v>#REF!</v>
      </c>
      <c r="Y7" s="7" t="e">
        <f>#REF!-'Previous day'!Y7</f>
        <v>#REF!</v>
      </c>
      <c r="Z7" s="11" t="e">
        <f>#REF!-'Previous day'!Z7</f>
        <v>#REF!</v>
      </c>
      <c r="AA7" s="7" t="e">
        <f>#REF!-'Previous day'!AA7</f>
        <v>#REF!</v>
      </c>
      <c r="AB7" s="7" t="e">
        <f>#REF!-'Previous day'!AB7</f>
        <v>#REF!</v>
      </c>
      <c r="AC7" s="5"/>
    </row>
    <row r="8" spans="2:29" x14ac:dyDescent="0.25">
      <c r="B8" s="8">
        <f>B7+1</f>
        <v>44439</v>
      </c>
      <c r="C8" s="17" t="str">
        <f t="shared" ref="C8:C38" si="0">TEXT(B8,"ddd")</f>
        <v>Tue</v>
      </c>
      <c r="D8" s="6" t="e">
        <f>#REF!-'Previous day'!D8</f>
        <v>#REF!</v>
      </c>
      <c r="E8" s="17"/>
      <c r="F8" s="57" t="e">
        <f t="shared" ref="F8:F38" si="1">SUMPRODUCT($D$6:$E$6,D8:E8)</f>
        <v>#REF!</v>
      </c>
      <c r="G8" s="6" t="e">
        <f>#REF!-'Previous day'!G8</f>
        <v>#REF!</v>
      </c>
      <c r="H8" s="17"/>
      <c r="I8" s="17"/>
      <c r="J8" s="58" t="e">
        <f>#REF!-'Previous day'!J8</f>
        <v>#REF!</v>
      </c>
      <c r="K8" s="59" t="e">
        <f>#REF!-'Previous day'!K8</f>
        <v>#REF!</v>
      </c>
      <c r="L8" s="60"/>
      <c r="M8" s="60"/>
      <c r="N8" s="59" t="e">
        <f>#REF!-'Previous day'!N8</f>
        <v>#REF!</v>
      </c>
      <c r="O8" s="5" t="e">
        <f>#REF!-'Previous day'!O8</f>
        <v>#REF!</v>
      </c>
      <c r="P8" s="5" t="e">
        <f>#REF!-'Previous day'!P8</f>
        <v>#REF!</v>
      </c>
      <c r="Q8" s="41" t="e">
        <f>#REF!-'Previous day'!Q8</f>
        <v>#REF!</v>
      </c>
      <c r="R8" s="41" t="e">
        <f>#REF!-'Previous day'!R8</f>
        <v>#REF!</v>
      </c>
      <c r="S8" s="41" t="e">
        <f>#REF!-'Previous day'!S8</f>
        <v>#REF!</v>
      </c>
      <c r="T8" s="41" t="e">
        <f>#REF!-'Previous day'!T8</f>
        <v>#REF!</v>
      </c>
      <c r="U8" s="41" t="e">
        <f>#REF!-'Previous day'!U8</f>
        <v>#REF!</v>
      </c>
      <c r="V8" s="41" t="e">
        <f>#REF!-'Previous day'!V8</f>
        <v>#REF!</v>
      </c>
      <c r="W8" s="41" t="e">
        <f>#REF!-'Previous day'!W8</f>
        <v>#REF!</v>
      </c>
      <c r="X8" s="7" t="e">
        <f>#REF!-'Previous day'!X8</f>
        <v>#REF!</v>
      </c>
      <c r="Y8" s="7" t="e">
        <f>#REF!-'Previous day'!Y8</f>
        <v>#REF!</v>
      </c>
      <c r="Z8" s="11" t="e">
        <f>#REF!-'Previous day'!Z8</f>
        <v>#REF!</v>
      </c>
      <c r="AA8" s="7" t="e">
        <f>#REF!-'Previous day'!AA8</f>
        <v>#REF!</v>
      </c>
      <c r="AB8" s="7" t="e">
        <f>#REF!-'Previous day'!AB8</f>
        <v>#REF!</v>
      </c>
      <c r="AC8" s="5"/>
    </row>
    <row r="9" spans="2:29" x14ac:dyDescent="0.25">
      <c r="B9" s="8">
        <f t="shared" ref="B9:B38" si="2">B8+1</f>
        <v>44440</v>
      </c>
      <c r="C9" s="17" t="str">
        <f t="shared" si="0"/>
        <v>Wed</v>
      </c>
      <c r="D9" s="6" t="e">
        <f>#REF!-'Previous day'!D9</f>
        <v>#REF!</v>
      </c>
      <c r="E9" s="17"/>
      <c r="F9" s="57" t="e">
        <f t="shared" si="1"/>
        <v>#REF!</v>
      </c>
      <c r="G9" s="6" t="e">
        <f>#REF!-'Previous day'!G9</f>
        <v>#REF!</v>
      </c>
      <c r="H9" s="17"/>
      <c r="I9" s="17"/>
      <c r="J9" s="58" t="e">
        <f>#REF!-'Previous day'!J9</f>
        <v>#REF!</v>
      </c>
      <c r="K9" s="59" t="e">
        <f>#REF!-'Previous day'!K9</f>
        <v>#REF!</v>
      </c>
      <c r="L9" s="60">
        <v>0.29166666666666669</v>
      </c>
      <c r="M9" s="60">
        <v>0.37152777777777773</v>
      </c>
      <c r="N9" s="59" t="e">
        <f>#REF!-'Previous day'!N9</f>
        <v>#REF!</v>
      </c>
      <c r="O9" s="5" t="e">
        <f>#REF!-'Previous day'!O9</f>
        <v>#REF!</v>
      </c>
      <c r="P9" s="5" t="e">
        <f>#REF!-'Previous day'!P9</f>
        <v>#REF!</v>
      </c>
      <c r="Q9" s="41" t="e">
        <f>#REF!-'Previous day'!Q9</f>
        <v>#REF!</v>
      </c>
      <c r="R9" s="41" t="e">
        <f>#REF!-'Previous day'!R9</f>
        <v>#REF!</v>
      </c>
      <c r="S9" s="41" t="e">
        <f>#REF!-'Previous day'!S9</f>
        <v>#REF!</v>
      </c>
      <c r="T9" s="41" t="e">
        <f>#REF!-'Previous day'!T9</f>
        <v>#REF!</v>
      </c>
      <c r="U9" s="41" t="e">
        <f>#REF!-'Previous day'!U9</f>
        <v>#REF!</v>
      </c>
      <c r="V9" s="41" t="e">
        <f>#REF!-'Previous day'!V9</f>
        <v>#REF!</v>
      </c>
      <c r="W9" s="41" t="e">
        <f>#REF!-'Previous day'!W9</f>
        <v>#REF!</v>
      </c>
      <c r="X9" s="7" t="e">
        <f>#REF!-'Previous day'!X9</f>
        <v>#REF!</v>
      </c>
      <c r="Y9" s="7" t="e">
        <f>#REF!-'Previous day'!Y9</f>
        <v>#REF!</v>
      </c>
      <c r="Z9" s="11" t="e">
        <f>#REF!-'Previous day'!Z9</f>
        <v>#REF!</v>
      </c>
      <c r="AA9" s="7" t="e">
        <f>#REF!-'Previous day'!AA9</f>
        <v>#REF!</v>
      </c>
      <c r="AB9" s="7" t="e">
        <f>#REF!-'Previous day'!AB9</f>
        <v>#REF!</v>
      </c>
      <c r="AC9" s="5"/>
    </row>
    <row r="10" spans="2:29" x14ac:dyDescent="0.25">
      <c r="B10" s="8">
        <f t="shared" si="2"/>
        <v>44441</v>
      </c>
      <c r="C10" s="17" t="str">
        <f t="shared" si="0"/>
        <v>Thu</v>
      </c>
      <c r="D10" s="6" t="e">
        <f>#REF!-'Previous day'!D10</f>
        <v>#REF!</v>
      </c>
      <c r="E10" s="17"/>
      <c r="F10" s="57" t="e">
        <f t="shared" si="1"/>
        <v>#REF!</v>
      </c>
      <c r="G10" s="6" t="e">
        <f>#REF!-'Previous day'!G10</f>
        <v>#REF!</v>
      </c>
      <c r="H10" s="17"/>
      <c r="I10" s="17"/>
      <c r="J10" s="58" t="e">
        <f>#REF!-'Previous day'!J10</f>
        <v>#REF!</v>
      </c>
      <c r="K10" s="59" t="e">
        <f>#REF!-'Previous day'!K10</f>
        <v>#REF!</v>
      </c>
      <c r="L10" s="60"/>
      <c r="M10" s="60"/>
      <c r="N10" s="59" t="e">
        <f>#REF!-'Previous day'!N10</f>
        <v>#REF!</v>
      </c>
      <c r="O10" s="5" t="e">
        <f>#REF!-'Previous day'!O10</f>
        <v>#REF!</v>
      </c>
      <c r="P10" s="5" t="e">
        <f>#REF!-'Previous day'!P10</f>
        <v>#REF!</v>
      </c>
      <c r="Q10" s="41" t="e">
        <f>#REF!-'Previous day'!Q10</f>
        <v>#REF!</v>
      </c>
      <c r="R10" s="41" t="e">
        <f>#REF!-'Previous day'!R10</f>
        <v>#REF!</v>
      </c>
      <c r="S10" s="41" t="e">
        <f>#REF!-'Previous day'!S10</f>
        <v>#REF!</v>
      </c>
      <c r="T10" s="41" t="e">
        <f>#REF!-'Previous day'!T10</f>
        <v>#REF!</v>
      </c>
      <c r="U10" s="41" t="e">
        <f>#REF!-'Previous day'!U10</f>
        <v>#REF!</v>
      </c>
      <c r="V10" s="41" t="e">
        <f>#REF!-'Previous day'!V10</f>
        <v>#REF!</v>
      </c>
      <c r="W10" s="41" t="e">
        <f>#REF!-'Previous day'!W10</f>
        <v>#REF!</v>
      </c>
      <c r="X10" s="7" t="e">
        <f>#REF!-'Previous day'!X10</f>
        <v>#REF!</v>
      </c>
      <c r="Y10" s="7" t="e">
        <f>#REF!-'Previous day'!Y10</f>
        <v>#REF!</v>
      </c>
      <c r="Z10" s="11" t="e">
        <f>#REF!-'Previous day'!Z10</f>
        <v>#REF!</v>
      </c>
      <c r="AA10" s="7" t="e">
        <f>#REF!-'Previous day'!AA10</f>
        <v>#REF!</v>
      </c>
      <c r="AB10" s="7" t="e">
        <f>#REF!-'Previous day'!AB10</f>
        <v>#REF!</v>
      </c>
      <c r="AC10" s="5"/>
    </row>
    <row r="11" spans="2:29" x14ac:dyDescent="0.25">
      <c r="B11" s="8">
        <f t="shared" si="2"/>
        <v>44442</v>
      </c>
      <c r="C11" s="17" t="str">
        <f t="shared" si="0"/>
        <v>Fri</v>
      </c>
      <c r="D11" s="6" t="e">
        <f>#REF!-'Previous day'!D11</f>
        <v>#REF!</v>
      </c>
      <c r="E11" s="17"/>
      <c r="F11" s="57" t="e">
        <f t="shared" si="1"/>
        <v>#REF!</v>
      </c>
      <c r="G11" s="6" t="e">
        <f>#REF!-'Previous day'!G11</f>
        <v>#REF!</v>
      </c>
      <c r="H11" s="17"/>
      <c r="I11" s="17"/>
      <c r="J11" s="58" t="e">
        <f>#REF!-'Previous day'!J11</f>
        <v>#REF!</v>
      </c>
      <c r="K11" s="59" t="e">
        <f>#REF!-'Previous day'!K11</f>
        <v>#REF!</v>
      </c>
      <c r="L11" s="60"/>
      <c r="M11" s="60"/>
      <c r="N11" s="59" t="e">
        <f>#REF!-'Previous day'!N11</f>
        <v>#REF!</v>
      </c>
      <c r="O11" s="5" t="e">
        <f>#REF!-'Previous day'!O11</f>
        <v>#REF!</v>
      </c>
      <c r="P11" s="5" t="e">
        <f>#REF!-'Previous day'!P11</f>
        <v>#REF!</v>
      </c>
      <c r="Q11" s="41" t="e">
        <f>#REF!-'Previous day'!Q11</f>
        <v>#REF!</v>
      </c>
      <c r="R11" s="41" t="e">
        <f>#REF!-'Previous day'!R11</f>
        <v>#REF!</v>
      </c>
      <c r="S11" s="41" t="e">
        <f>#REF!-'Previous day'!S11</f>
        <v>#REF!</v>
      </c>
      <c r="T11" s="41" t="e">
        <f>#REF!-'Previous day'!T11</f>
        <v>#REF!</v>
      </c>
      <c r="U11" s="41" t="e">
        <f>#REF!-'Previous day'!U11</f>
        <v>#REF!</v>
      </c>
      <c r="V11" s="41" t="e">
        <f>#REF!-'Previous day'!V11</f>
        <v>#REF!</v>
      </c>
      <c r="W11" s="41" t="e">
        <f>#REF!-'Previous day'!W11</f>
        <v>#REF!</v>
      </c>
      <c r="X11" s="7" t="e">
        <f>#REF!-'Previous day'!X11</f>
        <v>#REF!</v>
      </c>
      <c r="Y11" s="7" t="e">
        <f>#REF!-'Previous day'!Y11</f>
        <v>#REF!</v>
      </c>
      <c r="Z11" s="11" t="e">
        <f>#REF!-'Previous day'!Z11</f>
        <v>#REF!</v>
      </c>
      <c r="AA11" s="7" t="e">
        <f>#REF!-'Previous day'!AA11</f>
        <v>#REF!</v>
      </c>
      <c r="AB11" s="7" t="e">
        <f>#REF!-'Previous day'!AB11</f>
        <v>#REF!</v>
      </c>
      <c r="AC11" s="5"/>
    </row>
    <row r="12" spans="2:29" x14ac:dyDescent="0.25">
      <c r="B12" s="8">
        <f t="shared" si="2"/>
        <v>44443</v>
      </c>
      <c r="C12" s="17" t="str">
        <f t="shared" si="0"/>
        <v>Sat</v>
      </c>
      <c r="D12" s="6" t="e">
        <f>#REF!-'Previous day'!D12</f>
        <v>#REF!</v>
      </c>
      <c r="E12" s="17"/>
      <c r="F12" s="57" t="e">
        <f t="shared" si="1"/>
        <v>#REF!</v>
      </c>
      <c r="G12" s="6" t="e">
        <f>#REF!-'Previous day'!G12</f>
        <v>#REF!</v>
      </c>
      <c r="H12" s="17"/>
      <c r="I12" s="17"/>
      <c r="J12" s="58" t="e">
        <f>#REF!-'Previous day'!J12</f>
        <v>#REF!</v>
      </c>
      <c r="K12" s="59" t="e">
        <f>#REF!-'Previous day'!K12</f>
        <v>#REF!</v>
      </c>
      <c r="L12" s="60">
        <v>0.61319444444444449</v>
      </c>
      <c r="M12" s="60">
        <v>0.6777777777777777</v>
      </c>
      <c r="N12" s="59" t="e">
        <f>#REF!-'Previous day'!N12</f>
        <v>#REF!</v>
      </c>
      <c r="O12" s="5" t="e">
        <f>#REF!-'Previous day'!O12</f>
        <v>#REF!</v>
      </c>
      <c r="P12" s="5" t="e">
        <f>#REF!-'Previous day'!P12</f>
        <v>#REF!</v>
      </c>
      <c r="Q12" s="41" t="e">
        <f>#REF!-'Previous day'!Q12</f>
        <v>#REF!</v>
      </c>
      <c r="R12" s="41" t="e">
        <f>#REF!-'Previous day'!R12</f>
        <v>#REF!</v>
      </c>
      <c r="S12" s="41" t="e">
        <f>#REF!-'Previous day'!S12</f>
        <v>#REF!</v>
      </c>
      <c r="T12" s="41" t="e">
        <f>#REF!-'Previous day'!T12</f>
        <v>#REF!</v>
      </c>
      <c r="U12" s="41" t="e">
        <f>#REF!-'Previous day'!U12</f>
        <v>#REF!</v>
      </c>
      <c r="V12" s="41" t="e">
        <f>#REF!-'Previous day'!V12</f>
        <v>#REF!</v>
      </c>
      <c r="W12" s="41" t="e">
        <f>#REF!-'Previous day'!W12</f>
        <v>#REF!</v>
      </c>
      <c r="X12" s="7" t="e">
        <f>#REF!-'Previous day'!X12</f>
        <v>#REF!</v>
      </c>
      <c r="Y12" s="7" t="e">
        <f>#REF!-'Previous day'!Y12</f>
        <v>#REF!</v>
      </c>
      <c r="Z12" s="11" t="e">
        <f>#REF!-'Previous day'!Z12</f>
        <v>#REF!</v>
      </c>
      <c r="AA12" s="7" t="e">
        <f>#REF!-'Previous day'!AA12</f>
        <v>#REF!</v>
      </c>
      <c r="AB12" s="7" t="e">
        <f>#REF!-'Previous day'!AB12</f>
        <v>#REF!</v>
      </c>
      <c r="AC12" s="5"/>
    </row>
    <row r="13" spans="2:29" x14ac:dyDescent="0.25">
      <c r="B13" s="8">
        <f t="shared" si="2"/>
        <v>44444</v>
      </c>
      <c r="C13" s="17" t="str">
        <f t="shared" si="0"/>
        <v>Sun</v>
      </c>
      <c r="D13" s="6" t="e">
        <f>#REF!-'Previous day'!D13</f>
        <v>#REF!</v>
      </c>
      <c r="E13" s="17"/>
      <c r="F13" s="57" t="e">
        <f t="shared" si="1"/>
        <v>#REF!</v>
      </c>
      <c r="G13" s="6" t="e">
        <f>#REF!-'Previous day'!G13</f>
        <v>#REF!</v>
      </c>
      <c r="H13" s="17"/>
      <c r="I13" s="17"/>
      <c r="J13" s="58" t="e">
        <f>#REF!-'Previous day'!J13</f>
        <v>#REF!</v>
      </c>
      <c r="K13" s="59" t="e">
        <f>#REF!-'Previous day'!K13</f>
        <v>#REF!</v>
      </c>
      <c r="L13" s="60">
        <v>0.26041666666666669</v>
      </c>
      <c r="M13" s="60">
        <v>0.54861111111111105</v>
      </c>
      <c r="N13" s="59" t="e">
        <f>#REF!-'Previous day'!N13</f>
        <v>#REF!</v>
      </c>
      <c r="O13" s="5" t="e">
        <f>#REF!-'Previous day'!O13</f>
        <v>#REF!</v>
      </c>
      <c r="P13" s="5" t="e">
        <f>#REF!-'Previous day'!P13</f>
        <v>#REF!</v>
      </c>
      <c r="Q13" s="41" t="e">
        <f>#REF!-'Previous day'!Q13</f>
        <v>#REF!</v>
      </c>
      <c r="R13" s="41" t="e">
        <f>#REF!-'Previous day'!R13</f>
        <v>#REF!</v>
      </c>
      <c r="S13" s="41" t="e">
        <f>#REF!-'Previous day'!S13</f>
        <v>#REF!</v>
      </c>
      <c r="T13" s="41" t="e">
        <f>#REF!-'Previous day'!T13</f>
        <v>#REF!</v>
      </c>
      <c r="U13" s="41" t="e">
        <f>#REF!-'Previous day'!U13</f>
        <v>#REF!</v>
      </c>
      <c r="V13" s="41" t="e">
        <f>#REF!-'Previous day'!V13</f>
        <v>#REF!</v>
      </c>
      <c r="W13" s="41" t="e">
        <f>#REF!-'Previous day'!W13</f>
        <v>#REF!</v>
      </c>
      <c r="X13" s="7" t="e">
        <f>#REF!-'Previous day'!X13</f>
        <v>#REF!</v>
      </c>
      <c r="Y13" s="7" t="e">
        <f>#REF!-'Previous day'!Y13</f>
        <v>#REF!</v>
      </c>
      <c r="Z13" s="12" t="e">
        <f>#REF!-'Previous day'!Z13</f>
        <v>#REF!</v>
      </c>
      <c r="AA13" s="7" t="e">
        <f>#REF!-'Previous day'!AA13</f>
        <v>#REF!</v>
      </c>
      <c r="AB13" s="7" t="e">
        <f>#REF!-'Previous day'!AB13</f>
        <v>#REF!</v>
      </c>
      <c r="AC13" s="5"/>
    </row>
    <row r="14" spans="2:29" x14ac:dyDescent="0.25">
      <c r="B14" s="8">
        <f t="shared" si="2"/>
        <v>44445</v>
      </c>
      <c r="C14" s="17" t="str">
        <f t="shared" si="0"/>
        <v>Mon</v>
      </c>
      <c r="D14" s="6" t="e">
        <f>#REF!-'Previous day'!D14</f>
        <v>#REF!</v>
      </c>
      <c r="E14" s="17"/>
      <c r="F14" s="57" t="e">
        <f t="shared" si="1"/>
        <v>#REF!</v>
      </c>
      <c r="G14" s="6" t="e">
        <f>#REF!-'Previous day'!G14</f>
        <v>#REF!</v>
      </c>
      <c r="H14" s="17"/>
      <c r="I14" s="17"/>
      <c r="J14" s="58" t="e">
        <f>#REF!-'Previous day'!J14</f>
        <v>#REF!</v>
      </c>
      <c r="K14" s="59" t="e">
        <f>#REF!-'Previous day'!K14</f>
        <v>#REF!</v>
      </c>
      <c r="L14" s="61"/>
      <c r="M14" s="61"/>
      <c r="N14" s="59" t="e">
        <f>#REF!-'Previous day'!N14</f>
        <v>#REF!</v>
      </c>
      <c r="O14" s="5" t="e">
        <f>#REF!-'Previous day'!O14</f>
        <v>#REF!</v>
      </c>
      <c r="P14" s="5" t="e">
        <f>#REF!-'Previous day'!P14</f>
        <v>#REF!</v>
      </c>
      <c r="Q14" s="41" t="e">
        <f>#REF!-'Previous day'!Q14</f>
        <v>#REF!</v>
      </c>
      <c r="R14" s="41" t="e">
        <f>#REF!-'Previous day'!R14</f>
        <v>#REF!</v>
      </c>
      <c r="S14" s="41" t="e">
        <f>#REF!-'Previous day'!S14</f>
        <v>#REF!</v>
      </c>
      <c r="T14" s="41" t="e">
        <f>#REF!-'Previous day'!T14</f>
        <v>#REF!</v>
      </c>
      <c r="U14" s="41" t="e">
        <f>#REF!-'Previous day'!U14</f>
        <v>#REF!</v>
      </c>
      <c r="V14" s="41" t="e">
        <f>#REF!-'Previous day'!V14</f>
        <v>#REF!</v>
      </c>
      <c r="W14" s="41" t="e">
        <f>#REF!-'Previous day'!W14</f>
        <v>#REF!</v>
      </c>
      <c r="X14" s="7" t="e">
        <f>#REF!-'Previous day'!X14</f>
        <v>#REF!</v>
      </c>
      <c r="Y14" s="7" t="e">
        <f>#REF!-'Previous day'!Y14</f>
        <v>#REF!</v>
      </c>
      <c r="Z14" s="10" t="e">
        <f>#REF!-'Previous day'!Z14</f>
        <v>#REF!</v>
      </c>
      <c r="AA14" s="7" t="e">
        <f>#REF!-'Previous day'!AA14</f>
        <v>#REF!</v>
      </c>
      <c r="AB14" s="7" t="e">
        <f>#REF!-'Previous day'!AB14</f>
        <v>#REF!</v>
      </c>
      <c r="AC14" s="5"/>
    </row>
    <row r="15" spans="2:29" x14ac:dyDescent="0.25">
      <c r="B15" s="8">
        <f t="shared" si="2"/>
        <v>44446</v>
      </c>
      <c r="C15" s="17" t="str">
        <f t="shared" si="0"/>
        <v>Tue</v>
      </c>
      <c r="D15" s="6" t="e">
        <f>#REF!-'Previous day'!D15</f>
        <v>#REF!</v>
      </c>
      <c r="E15" s="17"/>
      <c r="F15" s="57" t="e">
        <f t="shared" si="1"/>
        <v>#REF!</v>
      </c>
      <c r="G15" s="6" t="e">
        <f>#REF!-'Previous day'!G15</f>
        <v>#REF!</v>
      </c>
      <c r="H15" s="17"/>
      <c r="I15" s="17"/>
      <c r="J15" s="58" t="e">
        <f>#REF!-'Previous day'!J15</f>
        <v>#REF!</v>
      </c>
      <c r="K15" s="59" t="e">
        <f>#REF!-'Previous day'!K15</f>
        <v>#REF!</v>
      </c>
      <c r="L15" s="61"/>
      <c r="M15" s="61"/>
      <c r="N15" s="59" t="e">
        <f>#REF!-'Previous day'!N15</f>
        <v>#REF!</v>
      </c>
      <c r="O15" s="5" t="e">
        <f>#REF!-'Previous day'!O15</f>
        <v>#REF!</v>
      </c>
      <c r="P15" s="5" t="e">
        <f>#REF!-'Previous day'!P15</f>
        <v>#REF!</v>
      </c>
      <c r="Q15" s="41" t="e">
        <f>#REF!-'Previous day'!Q15</f>
        <v>#REF!</v>
      </c>
      <c r="R15" s="41" t="e">
        <f>#REF!-'Previous day'!R15</f>
        <v>#REF!</v>
      </c>
      <c r="S15" s="41" t="e">
        <f>#REF!-'Previous day'!S15</f>
        <v>#REF!</v>
      </c>
      <c r="T15" s="41" t="e">
        <f>#REF!-'Previous day'!T15</f>
        <v>#REF!</v>
      </c>
      <c r="U15" s="41" t="e">
        <f>#REF!-'Previous day'!U15</f>
        <v>#REF!</v>
      </c>
      <c r="V15" s="41" t="e">
        <f>#REF!-'Previous day'!V15</f>
        <v>#REF!</v>
      </c>
      <c r="W15" s="41" t="e">
        <f>#REF!-'Previous day'!W15</f>
        <v>#REF!</v>
      </c>
      <c r="X15" s="7" t="e">
        <f>#REF!-'Previous day'!X15</f>
        <v>#REF!</v>
      </c>
      <c r="Y15" s="7" t="e">
        <f>#REF!-'Previous day'!Y15</f>
        <v>#REF!</v>
      </c>
      <c r="Z15" s="10" t="e">
        <f>#REF!-'Previous day'!Z15</f>
        <v>#REF!</v>
      </c>
      <c r="AA15" s="7" t="e">
        <f>#REF!-'Previous day'!AA15</f>
        <v>#REF!</v>
      </c>
      <c r="AB15" s="7" t="e">
        <f>#REF!-'Previous day'!AB15</f>
        <v>#REF!</v>
      </c>
      <c r="AC15" s="5"/>
    </row>
    <row r="16" spans="2:29" x14ac:dyDescent="0.25">
      <c r="B16" s="8">
        <f t="shared" si="2"/>
        <v>44447</v>
      </c>
      <c r="C16" s="17" t="str">
        <f t="shared" si="0"/>
        <v>Wed</v>
      </c>
      <c r="D16" s="6" t="e">
        <f>#REF!-'Previous day'!D16</f>
        <v>#REF!</v>
      </c>
      <c r="E16" s="17"/>
      <c r="F16" s="57" t="e">
        <f t="shared" si="1"/>
        <v>#REF!</v>
      </c>
      <c r="G16" s="6" t="e">
        <f>#REF!-'Previous day'!G16</f>
        <v>#REF!</v>
      </c>
      <c r="H16" s="17"/>
      <c r="I16" s="17"/>
      <c r="J16" s="58" t="e">
        <f>#REF!-'Previous day'!J16</f>
        <v>#REF!</v>
      </c>
      <c r="K16" s="59" t="e">
        <f>#REF!-'Previous day'!K16</f>
        <v>#REF!</v>
      </c>
      <c r="L16" s="5"/>
      <c r="M16" s="5"/>
      <c r="N16" s="59" t="e">
        <f>#REF!-'Previous day'!N16</f>
        <v>#REF!</v>
      </c>
      <c r="O16" s="5" t="e">
        <f>#REF!-'Previous day'!O16</f>
        <v>#REF!</v>
      </c>
      <c r="P16" s="5" t="e">
        <f>#REF!-'Previous day'!P16</f>
        <v>#REF!</v>
      </c>
      <c r="Q16" s="41" t="e">
        <f>#REF!-'Previous day'!Q16</f>
        <v>#REF!</v>
      </c>
      <c r="R16" s="41" t="e">
        <f>#REF!-'Previous day'!R16</f>
        <v>#REF!</v>
      </c>
      <c r="S16" s="41" t="e">
        <f>#REF!-'Previous day'!S16</f>
        <v>#REF!</v>
      </c>
      <c r="T16" s="41" t="e">
        <f>#REF!-'Previous day'!T16</f>
        <v>#REF!</v>
      </c>
      <c r="U16" s="41" t="e">
        <f>#REF!-'Previous day'!U16</f>
        <v>#REF!</v>
      </c>
      <c r="V16" s="41" t="e">
        <f>#REF!-'Previous day'!V16</f>
        <v>#REF!</v>
      </c>
      <c r="W16" s="41" t="e">
        <f>#REF!-'Previous day'!W16</f>
        <v>#REF!</v>
      </c>
      <c r="X16" s="7" t="e">
        <f>#REF!-'Previous day'!X16</f>
        <v>#REF!</v>
      </c>
      <c r="Y16" s="7" t="e">
        <f>#REF!-'Previous day'!Y16</f>
        <v>#REF!</v>
      </c>
      <c r="Z16" s="10" t="e">
        <f>#REF!-'Previous day'!Z16</f>
        <v>#REF!</v>
      </c>
      <c r="AA16" s="7" t="e">
        <f>#REF!-'Previous day'!AA16</f>
        <v>#REF!</v>
      </c>
      <c r="AB16" s="7" t="e">
        <f>#REF!-'Previous day'!AB16</f>
        <v>#REF!</v>
      </c>
      <c r="AC16" s="5"/>
    </row>
    <row r="17" spans="2:29" x14ac:dyDescent="0.25">
      <c r="B17" s="8">
        <f t="shared" si="2"/>
        <v>44448</v>
      </c>
      <c r="C17" s="17" t="str">
        <f t="shared" si="0"/>
        <v>Thu</v>
      </c>
      <c r="D17" s="6" t="e">
        <f>#REF!-'Previous day'!D17</f>
        <v>#REF!</v>
      </c>
      <c r="E17" s="17"/>
      <c r="F17" s="57" t="e">
        <f t="shared" si="1"/>
        <v>#REF!</v>
      </c>
      <c r="G17" s="6" t="e">
        <f>#REF!-'Previous day'!G17</f>
        <v>#REF!</v>
      </c>
      <c r="H17" s="17"/>
      <c r="I17" s="17"/>
      <c r="J17" s="58" t="e">
        <f>#REF!-'Previous day'!J17</f>
        <v>#REF!</v>
      </c>
      <c r="K17" s="59" t="e">
        <f>#REF!-'Previous day'!K17</f>
        <v>#REF!</v>
      </c>
      <c r="L17" s="62">
        <v>0.29930555555555555</v>
      </c>
      <c r="M17" s="62">
        <v>0.31527777777777777</v>
      </c>
      <c r="N17" s="59" t="e">
        <f>#REF!-'Previous day'!N17</f>
        <v>#REF!</v>
      </c>
      <c r="O17" s="5" t="e">
        <f>#REF!-'Previous day'!O17</f>
        <v>#REF!</v>
      </c>
      <c r="P17" s="5" t="e">
        <f>#REF!-'Previous day'!P17</f>
        <v>#REF!</v>
      </c>
      <c r="Q17" s="41" t="e">
        <f>#REF!-'Previous day'!Q17</f>
        <v>#REF!</v>
      </c>
      <c r="R17" s="41" t="e">
        <f>#REF!-'Previous day'!R17</f>
        <v>#REF!</v>
      </c>
      <c r="S17" s="41" t="e">
        <f>#REF!-'Previous day'!S17</f>
        <v>#REF!</v>
      </c>
      <c r="T17" s="41" t="e">
        <f>#REF!-'Previous day'!T17</f>
        <v>#REF!</v>
      </c>
      <c r="U17" s="41" t="e">
        <f>#REF!-'Previous day'!U17</f>
        <v>#REF!</v>
      </c>
      <c r="V17" s="41" t="e">
        <f>#REF!-'Previous day'!V17</f>
        <v>#REF!</v>
      </c>
      <c r="W17" s="41" t="e">
        <f>#REF!-'Previous day'!W17</f>
        <v>#REF!</v>
      </c>
      <c r="X17" s="7" t="e">
        <f>#REF!-'Previous day'!X17</f>
        <v>#REF!</v>
      </c>
      <c r="Y17" s="7" t="e">
        <f>#REF!-'Previous day'!Y17</f>
        <v>#REF!</v>
      </c>
      <c r="Z17" s="10" t="e">
        <f>#REF!-'Previous day'!Z17</f>
        <v>#REF!</v>
      </c>
      <c r="AA17" s="7" t="e">
        <f>#REF!-'Previous day'!AA17</f>
        <v>#REF!</v>
      </c>
      <c r="AB17" s="7" t="e">
        <f>#REF!-'Previous day'!AB17</f>
        <v>#REF!</v>
      </c>
      <c r="AC17" s="5"/>
    </row>
    <row r="18" spans="2:29" x14ac:dyDescent="0.25">
      <c r="B18" s="8">
        <f t="shared" si="2"/>
        <v>44449</v>
      </c>
      <c r="C18" s="17" t="str">
        <f t="shared" si="0"/>
        <v>Fri</v>
      </c>
      <c r="D18" s="6" t="e">
        <f>#REF!-'Previous day'!D18</f>
        <v>#REF!</v>
      </c>
      <c r="E18" s="17"/>
      <c r="F18" s="57" t="e">
        <f t="shared" si="1"/>
        <v>#REF!</v>
      </c>
      <c r="G18" s="6" t="e">
        <f>#REF!-'Previous day'!G18</f>
        <v>#REF!</v>
      </c>
      <c r="H18" s="17"/>
      <c r="I18" s="17"/>
      <c r="J18" s="58" t="e">
        <f>#REF!-'Previous day'!J18</f>
        <v>#REF!</v>
      </c>
      <c r="K18" s="59" t="e">
        <f>#REF!-'Previous day'!K18</f>
        <v>#REF!</v>
      </c>
      <c r="L18" s="62"/>
      <c r="M18" s="62"/>
      <c r="N18" s="59" t="e">
        <f>#REF!-'Previous day'!N18</f>
        <v>#REF!</v>
      </c>
      <c r="O18" s="5" t="e">
        <f>#REF!-'Previous day'!O18</f>
        <v>#REF!</v>
      </c>
      <c r="P18" s="5" t="e">
        <f>#REF!-'Previous day'!P18</f>
        <v>#REF!</v>
      </c>
      <c r="Q18" s="41" t="e">
        <f>#REF!-'Previous day'!Q18</f>
        <v>#REF!</v>
      </c>
      <c r="R18" s="41" t="e">
        <f>#REF!-'Previous day'!R18</f>
        <v>#REF!</v>
      </c>
      <c r="S18" s="41" t="e">
        <f>#REF!-'Previous day'!S18</f>
        <v>#REF!</v>
      </c>
      <c r="T18" s="41" t="e">
        <f>#REF!-'Previous day'!T18</f>
        <v>#REF!</v>
      </c>
      <c r="U18" s="41" t="e">
        <f>#REF!-'Previous day'!U18</f>
        <v>#REF!</v>
      </c>
      <c r="V18" s="41" t="e">
        <f>#REF!-'Previous day'!V18</f>
        <v>#REF!</v>
      </c>
      <c r="W18" s="41" t="e">
        <f>#REF!-'Previous day'!W18</f>
        <v>#REF!</v>
      </c>
      <c r="X18" s="7" t="e">
        <f>#REF!-'Previous day'!X18</f>
        <v>#REF!</v>
      </c>
      <c r="Y18" s="7" t="e">
        <f>#REF!-'Previous day'!Y18</f>
        <v>#REF!</v>
      </c>
      <c r="Z18" s="10" t="e">
        <f>#REF!-'Previous day'!Z18</f>
        <v>#REF!</v>
      </c>
      <c r="AA18" s="7" t="e">
        <f>#REF!-'Previous day'!AA18</f>
        <v>#REF!</v>
      </c>
      <c r="AB18" s="7" t="e">
        <f>#REF!-'Previous day'!AB18</f>
        <v>#REF!</v>
      </c>
      <c r="AC18" s="5"/>
    </row>
    <row r="19" spans="2:29" x14ac:dyDescent="0.25">
      <c r="B19" s="8">
        <f t="shared" si="2"/>
        <v>44450</v>
      </c>
      <c r="C19" s="17" t="str">
        <f t="shared" si="0"/>
        <v>Sat</v>
      </c>
      <c r="D19" s="6" t="e">
        <f>#REF!-'Previous day'!D19</f>
        <v>#REF!</v>
      </c>
      <c r="E19" s="17"/>
      <c r="F19" s="57" t="e">
        <f t="shared" si="1"/>
        <v>#REF!</v>
      </c>
      <c r="G19" s="6" t="e">
        <f>#REF!-'Previous day'!G19</f>
        <v>#REF!</v>
      </c>
      <c r="H19" s="17"/>
      <c r="I19" s="17"/>
      <c r="J19" s="58" t="e">
        <f>#REF!-'Previous day'!J19</f>
        <v>#REF!</v>
      </c>
      <c r="K19" s="59" t="e">
        <f>#REF!-'Previous day'!K19</f>
        <v>#REF!</v>
      </c>
      <c r="L19" s="62">
        <v>0.67708333333333337</v>
      </c>
      <c r="M19" s="62">
        <v>0.72222222222222221</v>
      </c>
      <c r="N19" s="59" t="e">
        <f>#REF!-'Previous day'!N19</f>
        <v>#REF!</v>
      </c>
      <c r="O19" s="5" t="e">
        <f>#REF!-'Previous day'!O19</f>
        <v>#REF!</v>
      </c>
      <c r="P19" s="5" t="e">
        <f>#REF!-'Previous day'!P19</f>
        <v>#REF!</v>
      </c>
      <c r="Q19" s="41" t="e">
        <f>#REF!-'Previous day'!Q19</f>
        <v>#REF!</v>
      </c>
      <c r="R19" s="41" t="e">
        <f>#REF!-'Previous day'!R19</f>
        <v>#REF!</v>
      </c>
      <c r="S19" s="41" t="e">
        <f>#REF!-'Previous day'!S19</f>
        <v>#REF!</v>
      </c>
      <c r="T19" s="41" t="e">
        <f>#REF!-'Previous day'!T19</f>
        <v>#REF!</v>
      </c>
      <c r="U19" s="41" t="e">
        <f>#REF!-'Previous day'!U19</f>
        <v>#REF!</v>
      </c>
      <c r="V19" s="41" t="e">
        <f>#REF!-'Previous day'!V19</f>
        <v>#REF!</v>
      </c>
      <c r="W19" s="41" t="e">
        <f>#REF!-'Previous day'!W19</f>
        <v>#REF!</v>
      </c>
      <c r="X19" s="7" t="e">
        <f>#REF!-'Previous day'!X19</f>
        <v>#REF!</v>
      </c>
      <c r="Y19" s="7" t="e">
        <f>#REF!-'Previous day'!Y19</f>
        <v>#REF!</v>
      </c>
      <c r="Z19" s="10" t="e">
        <f>#REF!-'Previous day'!Z19</f>
        <v>#REF!</v>
      </c>
      <c r="AA19" s="7" t="e">
        <f>#REF!-'Previous day'!AA19</f>
        <v>#REF!</v>
      </c>
      <c r="AB19" s="7" t="e">
        <f>#REF!-'Previous day'!AB19</f>
        <v>#REF!</v>
      </c>
      <c r="AC19" s="5"/>
    </row>
    <row r="20" spans="2:29" x14ac:dyDescent="0.25">
      <c r="B20" s="8">
        <f t="shared" si="2"/>
        <v>44451</v>
      </c>
      <c r="C20" s="17" t="str">
        <f t="shared" si="0"/>
        <v>Sun</v>
      </c>
      <c r="D20" s="6" t="e">
        <f>#REF!-'Previous day'!D20</f>
        <v>#REF!</v>
      </c>
      <c r="E20" s="17"/>
      <c r="F20" s="57" t="e">
        <f t="shared" si="1"/>
        <v>#REF!</v>
      </c>
      <c r="G20" s="6" t="e">
        <f>#REF!-'Previous day'!G20</f>
        <v>#REF!</v>
      </c>
      <c r="H20" s="17"/>
      <c r="I20" s="17"/>
      <c r="J20" s="58" t="e">
        <f>#REF!-'Previous day'!J20</f>
        <v>#REF!</v>
      </c>
      <c r="K20" s="59" t="e">
        <f>#REF!-'Previous day'!K20</f>
        <v>#REF!</v>
      </c>
      <c r="L20" s="62"/>
      <c r="M20" s="62"/>
      <c r="N20" s="59" t="e">
        <f>#REF!-'Previous day'!N20</f>
        <v>#REF!</v>
      </c>
      <c r="O20" s="5" t="e">
        <f>#REF!-'Previous day'!O20</f>
        <v>#REF!</v>
      </c>
      <c r="P20" s="5" t="e">
        <f>#REF!-'Previous day'!P20</f>
        <v>#REF!</v>
      </c>
      <c r="Q20" s="41" t="e">
        <f>#REF!-'Previous day'!Q20</f>
        <v>#REF!</v>
      </c>
      <c r="R20" s="41" t="e">
        <f>#REF!-'Previous day'!R20</f>
        <v>#REF!</v>
      </c>
      <c r="S20" s="41" t="e">
        <f>#REF!-'Previous day'!S20</f>
        <v>#REF!</v>
      </c>
      <c r="T20" s="41" t="e">
        <f>#REF!-'Previous day'!T20</f>
        <v>#REF!</v>
      </c>
      <c r="U20" s="41" t="e">
        <f>#REF!-'Previous day'!U20</f>
        <v>#REF!</v>
      </c>
      <c r="V20" s="41" t="e">
        <f>#REF!-'Previous day'!V20</f>
        <v>#REF!</v>
      </c>
      <c r="W20" s="41" t="e">
        <f>#REF!-'Previous day'!W20</f>
        <v>#REF!</v>
      </c>
      <c r="X20" s="7" t="e">
        <f>#REF!-'Previous day'!X20</f>
        <v>#REF!</v>
      </c>
      <c r="Y20" s="7" t="e">
        <f>#REF!-'Previous day'!Y20</f>
        <v>#REF!</v>
      </c>
      <c r="Z20" s="10" t="e">
        <f>#REF!-'Previous day'!Z20</f>
        <v>#REF!</v>
      </c>
      <c r="AA20" s="7" t="e">
        <f>#REF!-'Previous day'!AA20</f>
        <v>#REF!</v>
      </c>
      <c r="AB20" s="7" t="e">
        <f>#REF!-'Previous day'!AB20</f>
        <v>#REF!</v>
      </c>
      <c r="AC20" s="5"/>
    </row>
    <row r="21" spans="2:29" x14ac:dyDescent="0.25">
      <c r="B21" s="8">
        <f t="shared" si="2"/>
        <v>44452</v>
      </c>
      <c r="C21" s="17" t="str">
        <f t="shared" si="0"/>
        <v>Mon</v>
      </c>
      <c r="D21" s="6" t="e">
        <f>#REF!-'Previous day'!D21</f>
        <v>#REF!</v>
      </c>
      <c r="E21" s="17"/>
      <c r="F21" s="57" t="e">
        <f t="shared" si="1"/>
        <v>#REF!</v>
      </c>
      <c r="G21" s="6" t="e">
        <f>#REF!-'Previous day'!G21</f>
        <v>#REF!</v>
      </c>
      <c r="H21" s="17"/>
      <c r="I21" s="17"/>
      <c r="J21" s="58" t="e">
        <f>#REF!-'Previous day'!J21</f>
        <v>#REF!</v>
      </c>
      <c r="K21" s="59" t="e">
        <f>#REF!-'Previous day'!K21</f>
        <v>#REF!</v>
      </c>
      <c r="L21" s="62">
        <v>0.35069444444444442</v>
      </c>
      <c r="M21" s="62">
        <v>0.36527777777777781</v>
      </c>
      <c r="N21" s="59" t="e">
        <f>#REF!-'Previous day'!N21</f>
        <v>#REF!</v>
      </c>
      <c r="O21" s="5" t="e">
        <f>#REF!-'Previous day'!O21</f>
        <v>#REF!</v>
      </c>
      <c r="P21" s="5" t="e">
        <f>#REF!-'Previous day'!P21</f>
        <v>#REF!</v>
      </c>
      <c r="Q21" s="41" t="e">
        <f>#REF!-'Previous day'!Q21</f>
        <v>#REF!</v>
      </c>
      <c r="R21" s="41" t="e">
        <f>#REF!-'Previous day'!R21</f>
        <v>#REF!</v>
      </c>
      <c r="S21" s="41" t="e">
        <f>#REF!-'Previous day'!S21</f>
        <v>#REF!</v>
      </c>
      <c r="T21" s="41" t="e">
        <f>#REF!-'Previous day'!T21</f>
        <v>#REF!</v>
      </c>
      <c r="U21" s="41" t="e">
        <f>#REF!-'Previous day'!U21</f>
        <v>#REF!</v>
      </c>
      <c r="V21" s="41" t="e">
        <f>#REF!-'Previous day'!V21</f>
        <v>#REF!</v>
      </c>
      <c r="W21" s="41" t="e">
        <f>#REF!-'Previous day'!W21</f>
        <v>#REF!</v>
      </c>
      <c r="X21" s="7" t="e">
        <f>#REF!-'Previous day'!X21</f>
        <v>#REF!</v>
      </c>
      <c r="Y21" s="7" t="e">
        <f>#REF!-'Previous day'!Y21</f>
        <v>#REF!</v>
      </c>
      <c r="Z21" s="10" t="e">
        <f>#REF!-'Previous day'!Z21</f>
        <v>#REF!</v>
      </c>
      <c r="AA21" s="7" t="e">
        <f>#REF!-'Previous day'!AA21</f>
        <v>#REF!</v>
      </c>
      <c r="AB21" s="7" t="e">
        <f>#REF!-'Previous day'!AB21</f>
        <v>#REF!</v>
      </c>
      <c r="AC21" s="5"/>
    </row>
    <row r="22" spans="2:29" x14ac:dyDescent="0.25">
      <c r="B22" s="8">
        <f t="shared" si="2"/>
        <v>44453</v>
      </c>
      <c r="C22" s="17" t="str">
        <f t="shared" si="0"/>
        <v>Tue</v>
      </c>
      <c r="D22" s="6" t="e">
        <f>#REF!-'Previous day'!D22</f>
        <v>#REF!</v>
      </c>
      <c r="E22" s="17"/>
      <c r="F22" s="57" t="e">
        <f t="shared" si="1"/>
        <v>#REF!</v>
      </c>
      <c r="G22" s="6" t="e">
        <f>#REF!-'Previous day'!G22</f>
        <v>#REF!</v>
      </c>
      <c r="H22" s="17"/>
      <c r="I22" s="17"/>
      <c r="J22" s="58" t="e">
        <f>#REF!-'Previous day'!J22</f>
        <v>#REF!</v>
      </c>
      <c r="K22" s="59" t="e">
        <f>#REF!-'Previous day'!K22</f>
        <v>#REF!</v>
      </c>
      <c r="L22" s="5"/>
      <c r="M22" s="5"/>
      <c r="N22" s="59" t="e">
        <f>#REF!-'Previous day'!N22</f>
        <v>#REF!</v>
      </c>
      <c r="O22" s="5" t="e">
        <f>#REF!-'Previous day'!O22</f>
        <v>#REF!</v>
      </c>
      <c r="P22" s="5" t="e">
        <f>#REF!-'Previous day'!P22</f>
        <v>#REF!</v>
      </c>
      <c r="Q22" s="41" t="e">
        <f>#REF!-'Previous day'!Q22</f>
        <v>#REF!</v>
      </c>
      <c r="R22" s="41" t="e">
        <f>#REF!-'Previous day'!R22</f>
        <v>#REF!</v>
      </c>
      <c r="S22" s="41" t="e">
        <f>#REF!-'Previous day'!S22</f>
        <v>#REF!</v>
      </c>
      <c r="T22" s="41" t="e">
        <f>#REF!-'Previous day'!T22</f>
        <v>#REF!</v>
      </c>
      <c r="U22" s="41" t="e">
        <f>#REF!-'Previous day'!U22</f>
        <v>#REF!</v>
      </c>
      <c r="V22" s="41" t="e">
        <f>#REF!-'Previous day'!V22</f>
        <v>#REF!</v>
      </c>
      <c r="W22" s="41" t="e">
        <f>#REF!-'Previous day'!W22</f>
        <v>#REF!</v>
      </c>
      <c r="X22" s="7" t="e">
        <f>#REF!-'Previous day'!X22</f>
        <v>#REF!</v>
      </c>
      <c r="Y22" s="7" t="e">
        <f>#REF!-'Previous day'!Y22</f>
        <v>#REF!</v>
      </c>
      <c r="Z22" s="10" t="e">
        <f>#REF!-'Previous day'!Z22</f>
        <v>#REF!</v>
      </c>
      <c r="AA22" s="7" t="e">
        <f>#REF!-'Previous day'!AA22</f>
        <v>#REF!</v>
      </c>
      <c r="AB22" s="7" t="e">
        <f>#REF!-'Previous day'!AB22</f>
        <v>#REF!</v>
      </c>
      <c r="AC22" s="5"/>
    </row>
    <row r="23" spans="2:29" x14ac:dyDescent="0.25">
      <c r="B23" s="8">
        <f t="shared" si="2"/>
        <v>44454</v>
      </c>
      <c r="C23" s="17" t="str">
        <f t="shared" si="0"/>
        <v>Wed</v>
      </c>
      <c r="D23" s="6" t="e">
        <f>#REF!-'Previous day'!D23</f>
        <v>#REF!</v>
      </c>
      <c r="E23" s="17"/>
      <c r="F23" s="57" t="e">
        <f t="shared" si="1"/>
        <v>#REF!</v>
      </c>
      <c r="G23" s="6" t="e">
        <f>#REF!-'Previous day'!G23</f>
        <v>#REF!</v>
      </c>
      <c r="H23" s="17"/>
      <c r="I23" s="17"/>
      <c r="J23" s="58" t="e">
        <f>#REF!-'Previous day'!J23</f>
        <v>#REF!</v>
      </c>
      <c r="K23" s="59" t="e">
        <f>#REF!-'Previous day'!K23</f>
        <v>#REF!</v>
      </c>
      <c r="L23" s="5"/>
      <c r="M23" s="5"/>
      <c r="N23" s="59" t="e">
        <f>#REF!-'Previous day'!N23</f>
        <v>#REF!</v>
      </c>
      <c r="O23" s="5" t="e">
        <f>#REF!-'Previous day'!O23</f>
        <v>#REF!</v>
      </c>
      <c r="P23" s="5" t="e">
        <f>#REF!-'Previous day'!P23</f>
        <v>#REF!</v>
      </c>
      <c r="Q23" s="41" t="e">
        <f>#REF!-'Previous day'!Q23</f>
        <v>#REF!</v>
      </c>
      <c r="R23" s="41" t="e">
        <f>#REF!-'Previous day'!R23</f>
        <v>#REF!</v>
      </c>
      <c r="S23" s="41" t="e">
        <f>#REF!-'Previous day'!S23</f>
        <v>#REF!</v>
      </c>
      <c r="T23" s="41" t="e">
        <f>#REF!-'Previous day'!T23</f>
        <v>#REF!</v>
      </c>
      <c r="U23" s="41" t="e">
        <f>#REF!-'Previous day'!U23</f>
        <v>#REF!</v>
      </c>
      <c r="V23" s="41" t="e">
        <f>#REF!-'Previous day'!V23</f>
        <v>#REF!</v>
      </c>
      <c r="W23" s="41" t="e">
        <f>#REF!-'Previous day'!W23</f>
        <v>#REF!</v>
      </c>
      <c r="X23" s="7" t="e">
        <f>#REF!-'Previous day'!X23</f>
        <v>#REF!</v>
      </c>
      <c r="Y23" s="7" t="e">
        <f>#REF!-'Previous day'!Y23</f>
        <v>#REF!</v>
      </c>
      <c r="Z23" s="10" t="e">
        <f>#REF!-'Previous day'!Z23</f>
        <v>#REF!</v>
      </c>
      <c r="AA23" s="7" t="e">
        <f>#REF!-'Previous day'!AA23</f>
        <v>#REF!</v>
      </c>
      <c r="AB23" s="7" t="e">
        <f>#REF!-'Previous day'!AB23</f>
        <v>#REF!</v>
      </c>
      <c r="AC23" s="5"/>
    </row>
    <row r="24" spans="2:29" x14ac:dyDescent="0.25">
      <c r="B24" s="8">
        <f t="shared" si="2"/>
        <v>44455</v>
      </c>
      <c r="C24" s="17" t="str">
        <f t="shared" si="0"/>
        <v>Thu</v>
      </c>
      <c r="D24" s="6" t="e">
        <f>#REF!-'Previous day'!D24</f>
        <v>#REF!</v>
      </c>
      <c r="E24" s="17"/>
      <c r="F24" s="57" t="e">
        <f t="shared" si="1"/>
        <v>#REF!</v>
      </c>
      <c r="G24" s="6" t="e">
        <f>#REF!-'Previous day'!G24</f>
        <v>#REF!</v>
      </c>
      <c r="H24" s="17"/>
      <c r="I24" s="17"/>
      <c r="J24" s="58" t="e">
        <f>#REF!-'Previous day'!J24</f>
        <v>#REF!</v>
      </c>
      <c r="K24" s="59" t="e">
        <f>#REF!-'Previous day'!K24</f>
        <v>#REF!</v>
      </c>
      <c r="L24" s="5"/>
      <c r="M24" s="5"/>
      <c r="N24" s="59" t="e">
        <f>#REF!-'Previous day'!N24</f>
        <v>#REF!</v>
      </c>
      <c r="O24" s="5" t="e">
        <f>#REF!-'Previous day'!O24</f>
        <v>#REF!</v>
      </c>
      <c r="P24" s="5" t="e">
        <f>#REF!-'Previous day'!P24</f>
        <v>#REF!</v>
      </c>
      <c r="Q24" s="41" t="e">
        <f>#REF!-'Previous day'!Q24</f>
        <v>#REF!</v>
      </c>
      <c r="R24" s="41" t="e">
        <f>#REF!-'Previous day'!R24</f>
        <v>#REF!</v>
      </c>
      <c r="S24" s="41" t="e">
        <f>#REF!-'Previous day'!S24</f>
        <v>#REF!</v>
      </c>
      <c r="T24" s="41" t="e">
        <f>#REF!-'Previous day'!T24</f>
        <v>#REF!</v>
      </c>
      <c r="U24" s="41" t="e">
        <f>#REF!-'Previous day'!U24</f>
        <v>#REF!</v>
      </c>
      <c r="V24" s="41" t="e">
        <f>#REF!-'Previous day'!V24</f>
        <v>#REF!</v>
      </c>
      <c r="W24" s="41" t="e">
        <f>#REF!-'Previous day'!W24</f>
        <v>#REF!</v>
      </c>
      <c r="X24" s="7" t="e">
        <f>#REF!-'Previous day'!X24</f>
        <v>#REF!</v>
      </c>
      <c r="Y24" s="7" t="e">
        <f>#REF!-'Previous day'!Y24</f>
        <v>#REF!</v>
      </c>
      <c r="Z24" s="10" t="e">
        <f>#REF!-'Previous day'!Z24</f>
        <v>#REF!</v>
      </c>
      <c r="AA24" s="7" t="e">
        <f>#REF!-'Previous day'!AA24</f>
        <v>#REF!</v>
      </c>
      <c r="AB24" s="7" t="e">
        <f>#REF!-'Previous day'!AB24</f>
        <v>#REF!</v>
      </c>
      <c r="AC24" s="5"/>
    </row>
    <row r="25" spans="2:29" x14ac:dyDescent="0.25">
      <c r="B25" s="8">
        <f t="shared" si="2"/>
        <v>44456</v>
      </c>
      <c r="C25" s="17" t="str">
        <f t="shared" si="0"/>
        <v>Fri</v>
      </c>
      <c r="D25" s="6" t="e">
        <f>#REF!-'Previous day'!D25</f>
        <v>#REF!</v>
      </c>
      <c r="E25" s="17"/>
      <c r="F25" s="57" t="e">
        <f t="shared" si="1"/>
        <v>#REF!</v>
      </c>
      <c r="G25" s="6" t="e">
        <f>#REF!-'Previous day'!G25</f>
        <v>#REF!</v>
      </c>
      <c r="H25" s="17"/>
      <c r="I25" s="17"/>
      <c r="J25" s="58" t="e">
        <f>#REF!-'Previous day'!J25</f>
        <v>#REF!</v>
      </c>
      <c r="K25" s="59" t="e">
        <f>#REF!-'Previous day'!K25</f>
        <v>#REF!</v>
      </c>
      <c r="L25" s="5"/>
      <c r="M25" s="5"/>
      <c r="N25" s="59" t="e">
        <f>#REF!-'Previous day'!N25</f>
        <v>#REF!</v>
      </c>
      <c r="O25" s="5" t="e">
        <f>#REF!-'Previous day'!O25</f>
        <v>#REF!</v>
      </c>
      <c r="P25" s="5" t="e">
        <f>#REF!-'Previous day'!P25</f>
        <v>#REF!</v>
      </c>
      <c r="Q25" s="41" t="e">
        <f>#REF!-'Previous day'!Q25</f>
        <v>#REF!</v>
      </c>
      <c r="R25" s="41" t="e">
        <f>#REF!-'Previous day'!R25</f>
        <v>#REF!</v>
      </c>
      <c r="S25" s="41" t="e">
        <f>#REF!-'Previous day'!S25</f>
        <v>#REF!</v>
      </c>
      <c r="T25" s="41" t="e">
        <f>#REF!-'Previous day'!T25</f>
        <v>#REF!</v>
      </c>
      <c r="U25" s="41" t="e">
        <f>#REF!-'Previous day'!U25</f>
        <v>#REF!</v>
      </c>
      <c r="V25" s="41" t="e">
        <f>#REF!-'Previous day'!V25</f>
        <v>#REF!</v>
      </c>
      <c r="W25" s="41" t="e">
        <f>#REF!-'Previous day'!W25</f>
        <v>#REF!</v>
      </c>
      <c r="X25" s="7" t="e">
        <f>#REF!-'Previous day'!X25</f>
        <v>#REF!</v>
      </c>
      <c r="Y25" s="7" t="e">
        <f>#REF!-'Previous day'!Y25</f>
        <v>#REF!</v>
      </c>
      <c r="Z25" s="10" t="e">
        <f>#REF!-'Previous day'!Z25</f>
        <v>#REF!</v>
      </c>
      <c r="AA25" s="7" t="e">
        <f>#REF!-'Previous day'!AA25</f>
        <v>#REF!</v>
      </c>
      <c r="AB25" s="7" t="e">
        <f>#REF!-'Previous day'!AB25</f>
        <v>#REF!</v>
      </c>
      <c r="AC25" s="5"/>
    </row>
    <row r="26" spans="2:29" x14ac:dyDescent="0.25">
      <c r="B26" s="8">
        <f t="shared" si="2"/>
        <v>44457</v>
      </c>
      <c r="C26" s="17" t="str">
        <f t="shared" si="0"/>
        <v>Sat</v>
      </c>
      <c r="D26" s="6" t="e">
        <f>#REF!-'Previous day'!D26</f>
        <v>#REF!</v>
      </c>
      <c r="E26" s="17"/>
      <c r="F26" s="57" t="e">
        <f t="shared" si="1"/>
        <v>#REF!</v>
      </c>
      <c r="G26" s="6" t="e">
        <f>#REF!-'Previous day'!G26</f>
        <v>#REF!</v>
      </c>
      <c r="H26" s="17"/>
      <c r="I26" s="17"/>
      <c r="J26" s="58" t="e">
        <f>#REF!-'Previous day'!J26</f>
        <v>#REF!</v>
      </c>
      <c r="K26" s="59" t="e">
        <f>#REF!-'Previous day'!K26</f>
        <v>#REF!</v>
      </c>
      <c r="L26" s="5"/>
      <c r="M26" s="5"/>
      <c r="N26" s="59" t="e">
        <f>#REF!-'Previous day'!N26</f>
        <v>#REF!</v>
      </c>
      <c r="O26" s="5" t="e">
        <f>#REF!-'Previous day'!O26</f>
        <v>#REF!</v>
      </c>
      <c r="P26" s="5" t="e">
        <f>#REF!-'Previous day'!P26</f>
        <v>#REF!</v>
      </c>
      <c r="Q26" s="41" t="e">
        <f>#REF!-'Previous day'!Q26</f>
        <v>#REF!</v>
      </c>
      <c r="R26" s="41" t="e">
        <f>#REF!-'Previous day'!R26</f>
        <v>#REF!</v>
      </c>
      <c r="S26" s="41" t="e">
        <f>#REF!-'Previous day'!S26</f>
        <v>#REF!</v>
      </c>
      <c r="T26" s="41" t="e">
        <f>#REF!-'Previous day'!T26</f>
        <v>#REF!</v>
      </c>
      <c r="U26" s="41" t="e">
        <f>#REF!-'Previous day'!U26</f>
        <v>#REF!</v>
      </c>
      <c r="V26" s="41" t="e">
        <f>#REF!-'Previous day'!V26</f>
        <v>#REF!</v>
      </c>
      <c r="W26" s="41" t="e">
        <f>#REF!-'Previous day'!W26</f>
        <v>#REF!</v>
      </c>
      <c r="X26" s="7" t="e">
        <f>#REF!-'Previous day'!X26</f>
        <v>#REF!</v>
      </c>
      <c r="Y26" s="7" t="e">
        <f>#REF!-'Previous day'!Y26</f>
        <v>#REF!</v>
      </c>
      <c r="Z26" s="10" t="e">
        <f>#REF!-'Previous day'!Z26</f>
        <v>#REF!</v>
      </c>
      <c r="AA26" s="7" t="e">
        <f>#REF!-'Previous day'!AA26</f>
        <v>#REF!</v>
      </c>
      <c r="AB26" s="7" t="e">
        <f>#REF!-'Previous day'!AB26</f>
        <v>#REF!</v>
      </c>
      <c r="AC26" s="5"/>
    </row>
    <row r="27" spans="2:29" x14ac:dyDescent="0.25">
      <c r="B27" s="8">
        <f t="shared" si="2"/>
        <v>44458</v>
      </c>
      <c r="C27" s="17" t="str">
        <f t="shared" si="0"/>
        <v>Sun</v>
      </c>
      <c r="D27" s="6" t="e">
        <f>#REF!-'Previous day'!D27</f>
        <v>#REF!</v>
      </c>
      <c r="E27" s="17"/>
      <c r="F27" s="57" t="e">
        <f t="shared" si="1"/>
        <v>#REF!</v>
      </c>
      <c r="G27" s="6" t="e">
        <f>#REF!-'Previous day'!G27</f>
        <v>#REF!</v>
      </c>
      <c r="H27" s="17"/>
      <c r="I27" s="17"/>
      <c r="J27" s="58" t="e">
        <f>#REF!-'Previous day'!J27</f>
        <v>#REF!</v>
      </c>
      <c r="K27" s="59" t="e">
        <f>#REF!-'Previous day'!K27</f>
        <v>#REF!</v>
      </c>
      <c r="L27" s="5"/>
      <c r="M27" s="5"/>
      <c r="N27" s="59" t="e">
        <f>#REF!-'Previous day'!N27</f>
        <v>#REF!</v>
      </c>
      <c r="O27" s="5" t="e">
        <f>#REF!-'Previous day'!O27</f>
        <v>#REF!</v>
      </c>
      <c r="P27" s="5" t="e">
        <f>#REF!-'Previous day'!P27</f>
        <v>#REF!</v>
      </c>
      <c r="Q27" s="41" t="e">
        <f>#REF!-'Previous day'!Q27</f>
        <v>#REF!</v>
      </c>
      <c r="R27" s="41" t="e">
        <f>#REF!-'Previous day'!R27</f>
        <v>#REF!</v>
      </c>
      <c r="S27" s="41" t="e">
        <f>#REF!-'Previous day'!S27</f>
        <v>#REF!</v>
      </c>
      <c r="T27" s="41" t="e">
        <f>#REF!-'Previous day'!T27</f>
        <v>#REF!</v>
      </c>
      <c r="U27" s="41" t="e">
        <f>#REF!-'Previous day'!U27</f>
        <v>#REF!</v>
      </c>
      <c r="V27" s="41" t="e">
        <f>#REF!-'Previous day'!V27</f>
        <v>#REF!</v>
      </c>
      <c r="W27" s="41" t="e">
        <f>#REF!-'Previous day'!W27</f>
        <v>#REF!</v>
      </c>
      <c r="X27" s="7" t="e">
        <f>#REF!-'Previous day'!X27</f>
        <v>#REF!</v>
      </c>
      <c r="Y27" s="7" t="e">
        <f>#REF!-'Previous day'!Y27</f>
        <v>#REF!</v>
      </c>
      <c r="Z27" s="10" t="e">
        <f>#REF!-'Previous day'!Z27</f>
        <v>#REF!</v>
      </c>
      <c r="AA27" s="7" t="e">
        <f>#REF!-'Previous day'!AA27</f>
        <v>#REF!</v>
      </c>
      <c r="AB27" s="7" t="e">
        <f>#REF!-'Previous day'!AB27</f>
        <v>#REF!</v>
      </c>
      <c r="AC27" s="5"/>
    </row>
    <row r="28" spans="2:29" x14ac:dyDescent="0.25">
      <c r="B28" s="8">
        <f t="shared" si="2"/>
        <v>44459</v>
      </c>
      <c r="C28" s="17" t="str">
        <f t="shared" si="0"/>
        <v>Mon</v>
      </c>
      <c r="D28" s="6" t="e">
        <f>#REF!-'Previous day'!D28</f>
        <v>#REF!</v>
      </c>
      <c r="E28" s="17"/>
      <c r="F28" s="57" t="e">
        <f t="shared" si="1"/>
        <v>#REF!</v>
      </c>
      <c r="G28" s="6" t="e">
        <f>#REF!-'Previous day'!G28</f>
        <v>#REF!</v>
      </c>
      <c r="H28" s="17"/>
      <c r="I28" s="17"/>
      <c r="J28" s="58" t="e">
        <f>#REF!-'Previous day'!J28</f>
        <v>#REF!</v>
      </c>
      <c r="K28" s="59" t="e">
        <f>#REF!-'Previous day'!K28</f>
        <v>#REF!</v>
      </c>
      <c r="L28" s="62">
        <v>0.75416666666666676</v>
      </c>
      <c r="M28" s="62">
        <v>0.75694444444444453</v>
      </c>
      <c r="N28" s="59" t="e">
        <f>#REF!-'Previous day'!N28</f>
        <v>#REF!</v>
      </c>
      <c r="O28" s="5" t="e">
        <f>#REF!-'Previous day'!O28</f>
        <v>#REF!</v>
      </c>
      <c r="P28" s="5" t="e">
        <f>#REF!-'Previous day'!P28</f>
        <v>#REF!</v>
      </c>
      <c r="Q28" s="41" t="e">
        <f>#REF!-'Previous day'!Q28</f>
        <v>#REF!</v>
      </c>
      <c r="R28" s="41" t="e">
        <f>#REF!-'Previous day'!R28</f>
        <v>#REF!</v>
      </c>
      <c r="S28" s="41" t="e">
        <f>#REF!-'Previous day'!S28</f>
        <v>#REF!</v>
      </c>
      <c r="T28" s="41" t="e">
        <f>#REF!-'Previous day'!T28</f>
        <v>#REF!</v>
      </c>
      <c r="U28" s="41" t="e">
        <f>#REF!-'Previous day'!U28</f>
        <v>#REF!</v>
      </c>
      <c r="V28" s="41" t="e">
        <f>#REF!-'Previous day'!V28</f>
        <v>#REF!</v>
      </c>
      <c r="W28" s="41" t="e">
        <f>#REF!-'Previous day'!W28</f>
        <v>#REF!</v>
      </c>
      <c r="X28" s="7" t="e">
        <f>#REF!-'Previous day'!X28</f>
        <v>#REF!</v>
      </c>
      <c r="Y28" s="7" t="e">
        <f>#REF!-'Previous day'!Y28</f>
        <v>#REF!</v>
      </c>
      <c r="Z28" s="10" t="e">
        <f>#REF!-'Previous day'!Z28</f>
        <v>#REF!</v>
      </c>
      <c r="AA28" s="7" t="e">
        <f>#REF!-'Previous day'!AA28</f>
        <v>#REF!</v>
      </c>
      <c r="AB28" s="7" t="e">
        <f>#REF!-'Previous day'!AB28</f>
        <v>#REF!</v>
      </c>
      <c r="AC28" s="5"/>
    </row>
    <row r="29" spans="2:29" x14ac:dyDescent="0.25">
      <c r="B29" s="8">
        <f t="shared" si="2"/>
        <v>44460</v>
      </c>
      <c r="C29" s="17" t="str">
        <f t="shared" si="0"/>
        <v>Tue</v>
      </c>
      <c r="D29" s="6" t="e">
        <f>#REF!-'Previous day'!D29</f>
        <v>#REF!</v>
      </c>
      <c r="E29" s="17"/>
      <c r="F29" s="57" t="e">
        <f t="shared" si="1"/>
        <v>#REF!</v>
      </c>
      <c r="G29" s="6" t="e">
        <f>#REF!-'Previous day'!G29</f>
        <v>#REF!</v>
      </c>
      <c r="H29" s="17"/>
      <c r="I29" s="17"/>
      <c r="J29" s="58" t="e">
        <f>#REF!-'Previous day'!J29</f>
        <v>#REF!</v>
      </c>
      <c r="K29" s="59" t="e">
        <f>#REF!-'Previous day'!K29</f>
        <v>#REF!</v>
      </c>
      <c r="L29" s="5"/>
      <c r="M29" s="5"/>
      <c r="N29" s="59" t="e">
        <f>#REF!-'Previous day'!N29</f>
        <v>#REF!</v>
      </c>
      <c r="O29" s="5" t="e">
        <f>#REF!-'Previous day'!O29</f>
        <v>#REF!</v>
      </c>
      <c r="P29" s="5" t="e">
        <f>#REF!-'Previous day'!P29</f>
        <v>#REF!</v>
      </c>
      <c r="Q29" s="41" t="e">
        <f>#REF!-'Previous day'!Q29</f>
        <v>#REF!</v>
      </c>
      <c r="R29" s="41" t="e">
        <f>#REF!-'Previous day'!R29</f>
        <v>#REF!</v>
      </c>
      <c r="S29" s="41" t="e">
        <f>#REF!-'Previous day'!S29</f>
        <v>#REF!</v>
      </c>
      <c r="T29" s="41" t="e">
        <f>#REF!-'Previous day'!T29</f>
        <v>#REF!</v>
      </c>
      <c r="U29" s="41" t="e">
        <f>#REF!-'Previous day'!U29</f>
        <v>#REF!</v>
      </c>
      <c r="V29" s="41" t="e">
        <f>#REF!-'Previous day'!V29</f>
        <v>#REF!</v>
      </c>
      <c r="W29" s="41" t="e">
        <f>#REF!-'Previous day'!W29</f>
        <v>#REF!</v>
      </c>
      <c r="X29" s="7" t="e">
        <f>#REF!-'Previous day'!X29</f>
        <v>#REF!</v>
      </c>
      <c r="Y29" s="7" t="e">
        <f>#REF!-'Previous day'!Y29</f>
        <v>#REF!</v>
      </c>
      <c r="Z29" s="10" t="e">
        <f>#REF!-'Previous day'!Z29</f>
        <v>#REF!</v>
      </c>
      <c r="AA29" s="7" t="e">
        <f>#REF!-'Previous day'!AA29</f>
        <v>#REF!</v>
      </c>
      <c r="AB29" s="7" t="e">
        <f>#REF!-'Previous day'!AB29</f>
        <v>#REF!</v>
      </c>
      <c r="AC29" s="5"/>
    </row>
    <row r="30" spans="2:29" x14ac:dyDescent="0.25">
      <c r="B30" s="8">
        <f t="shared" si="2"/>
        <v>44461</v>
      </c>
      <c r="C30" s="17" t="str">
        <f t="shared" si="0"/>
        <v>Wed</v>
      </c>
      <c r="D30" s="6" t="e">
        <f>#REF!-'Previous day'!D30</f>
        <v>#REF!</v>
      </c>
      <c r="E30" s="17"/>
      <c r="F30" s="57" t="e">
        <f t="shared" si="1"/>
        <v>#REF!</v>
      </c>
      <c r="G30" s="6" t="e">
        <f>#REF!-'Previous day'!G30</f>
        <v>#REF!</v>
      </c>
      <c r="H30" s="17"/>
      <c r="I30" s="17"/>
      <c r="J30" s="58" t="e">
        <f>#REF!-'Previous day'!J30</f>
        <v>#REF!</v>
      </c>
      <c r="K30" s="59" t="e">
        <f>#REF!-'Previous day'!K30</f>
        <v>#REF!</v>
      </c>
      <c r="L30" s="5"/>
      <c r="M30" s="5"/>
      <c r="N30" s="59" t="e">
        <f>#REF!-'Previous day'!N30</f>
        <v>#REF!</v>
      </c>
      <c r="O30" s="5" t="e">
        <f>#REF!-'Previous day'!O30</f>
        <v>#REF!</v>
      </c>
      <c r="P30" s="5" t="e">
        <f>#REF!-'Previous day'!P30</f>
        <v>#REF!</v>
      </c>
      <c r="Q30" s="41" t="e">
        <f>#REF!-'Previous day'!Q30</f>
        <v>#REF!</v>
      </c>
      <c r="R30" s="41" t="e">
        <f>#REF!-'Previous day'!R30</f>
        <v>#REF!</v>
      </c>
      <c r="S30" s="41" t="e">
        <f>#REF!-'Previous day'!S30</f>
        <v>#REF!</v>
      </c>
      <c r="T30" s="41" t="e">
        <f>#REF!-'Previous day'!T30</f>
        <v>#REF!</v>
      </c>
      <c r="U30" s="41" t="e">
        <f>#REF!-'Previous day'!U30</f>
        <v>#REF!</v>
      </c>
      <c r="V30" s="41" t="e">
        <f>#REF!-'Previous day'!V30</f>
        <v>#REF!</v>
      </c>
      <c r="W30" s="41" t="e">
        <f>#REF!-'Previous day'!W30</f>
        <v>#REF!</v>
      </c>
      <c r="X30" s="7" t="e">
        <f>#REF!-'Previous day'!X30</f>
        <v>#REF!</v>
      </c>
      <c r="Y30" s="7" t="e">
        <f>#REF!-'Previous day'!Y30</f>
        <v>#REF!</v>
      </c>
      <c r="Z30" s="10" t="e">
        <f>#REF!-'Previous day'!Z30</f>
        <v>#REF!</v>
      </c>
      <c r="AA30" s="7" t="e">
        <f>#REF!-'Previous day'!AA30</f>
        <v>#REF!</v>
      </c>
      <c r="AB30" s="7" t="e">
        <f>#REF!-'Previous day'!AB30</f>
        <v>#REF!</v>
      </c>
      <c r="AC30" s="5"/>
    </row>
    <row r="31" spans="2:29" x14ac:dyDescent="0.25">
      <c r="B31" s="8">
        <f t="shared" si="2"/>
        <v>44462</v>
      </c>
      <c r="C31" s="17" t="str">
        <f t="shared" si="0"/>
        <v>Thu</v>
      </c>
      <c r="D31" s="6" t="e">
        <f>#REF!-'Previous day'!D31</f>
        <v>#REF!</v>
      </c>
      <c r="E31" s="17"/>
      <c r="F31" s="57" t="e">
        <f t="shared" si="1"/>
        <v>#REF!</v>
      </c>
      <c r="G31" s="6" t="e">
        <f>#REF!-'Previous day'!G31</f>
        <v>#REF!</v>
      </c>
      <c r="H31" s="17"/>
      <c r="I31" s="17"/>
      <c r="J31" s="58" t="e">
        <f>#REF!-'Previous day'!J31</f>
        <v>#REF!</v>
      </c>
      <c r="K31" s="59" t="e">
        <f>#REF!-'Previous day'!K31</f>
        <v>#REF!</v>
      </c>
      <c r="L31" s="5"/>
      <c r="M31" s="5"/>
      <c r="N31" s="59" t="e">
        <f>#REF!-'Previous day'!N31</f>
        <v>#REF!</v>
      </c>
      <c r="O31" s="5" t="e">
        <f>#REF!-'Previous day'!O31</f>
        <v>#REF!</v>
      </c>
      <c r="P31" s="5" t="e">
        <f>#REF!-'Previous day'!P31</f>
        <v>#REF!</v>
      </c>
      <c r="Q31" s="41" t="e">
        <f>#REF!-'Previous day'!Q31</f>
        <v>#REF!</v>
      </c>
      <c r="R31" s="41" t="e">
        <f>#REF!-'Previous day'!R31</f>
        <v>#REF!</v>
      </c>
      <c r="S31" s="41" t="e">
        <f>#REF!-'Previous day'!S31</f>
        <v>#REF!</v>
      </c>
      <c r="T31" s="41" t="e">
        <f>#REF!-'Previous day'!T31</f>
        <v>#REF!</v>
      </c>
      <c r="U31" s="41" t="e">
        <f>#REF!-'Previous day'!U31</f>
        <v>#REF!</v>
      </c>
      <c r="V31" s="41" t="e">
        <f>#REF!-'Previous day'!V31</f>
        <v>#REF!</v>
      </c>
      <c r="W31" s="41" t="e">
        <f>#REF!-'Previous day'!W31</f>
        <v>#REF!</v>
      </c>
      <c r="X31" s="7" t="e">
        <f>#REF!-'Previous day'!X31</f>
        <v>#REF!</v>
      </c>
      <c r="Y31" s="7" t="e">
        <f>#REF!-'Previous day'!Y31</f>
        <v>#REF!</v>
      </c>
      <c r="Z31" s="10" t="e">
        <f>#REF!-'Previous day'!Z31</f>
        <v>#REF!</v>
      </c>
      <c r="AA31" s="7" t="e">
        <f>#REF!-'Previous day'!AA31</f>
        <v>#REF!</v>
      </c>
      <c r="AB31" s="7" t="e">
        <f>#REF!-'Previous day'!AB31</f>
        <v>#REF!</v>
      </c>
      <c r="AC31" s="5"/>
    </row>
    <row r="32" spans="2:29" x14ac:dyDescent="0.25">
      <c r="B32" s="8">
        <f t="shared" si="2"/>
        <v>44463</v>
      </c>
      <c r="C32" s="17" t="str">
        <f t="shared" si="0"/>
        <v>Fri</v>
      </c>
      <c r="D32" s="6" t="e">
        <f>#REF!-'Previous day'!D32</f>
        <v>#REF!</v>
      </c>
      <c r="E32" s="17"/>
      <c r="F32" s="57" t="e">
        <f t="shared" si="1"/>
        <v>#REF!</v>
      </c>
      <c r="G32" s="6" t="e">
        <f>#REF!-'Previous day'!G32</f>
        <v>#REF!</v>
      </c>
      <c r="H32" s="17"/>
      <c r="I32" s="17"/>
      <c r="J32" s="58" t="e">
        <f>#REF!-'Previous day'!J32</f>
        <v>#REF!</v>
      </c>
      <c r="K32" s="59" t="e">
        <f>#REF!-'Previous day'!K32</f>
        <v>#REF!</v>
      </c>
      <c r="L32" s="5"/>
      <c r="M32" s="5"/>
      <c r="N32" s="59" t="e">
        <f>#REF!-'Previous day'!N32</f>
        <v>#REF!</v>
      </c>
      <c r="O32" s="5" t="e">
        <f>#REF!-'Previous day'!O32</f>
        <v>#REF!</v>
      </c>
      <c r="P32" s="5" t="e">
        <f>#REF!-'Previous day'!P32</f>
        <v>#REF!</v>
      </c>
      <c r="Q32" s="41" t="e">
        <f>#REF!-'Previous day'!Q32</f>
        <v>#REF!</v>
      </c>
      <c r="R32" s="41" t="e">
        <f>#REF!-'Previous day'!R32</f>
        <v>#REF!</v>
      </c>
      <c r="S32" s="41" t="e">
        <f>#REF!-'Previous day'!S32</f>
        <v>#REF!</v>
      </c>
      <c r="T32" s="41" t="e">
        <f>#REF!-'Previous day'!T32</f>
        <v>#REF!</v>
      </c>
      <c r="U32" s="41" t="e">
        <f>#REF!-'Previous day'!U32</f>
        <v>#REF!</v>
      </c>
      <c r="V32" s="41" t="e">
        <f>#REF!-'Previous day'!V32</f>
        <v>#REF!</v>
      </c>
      <c r="W32" s="41" t="e">
        <f>#REF!-'Previous day'!W32</f>
        <v>#REF!</v>
      </c>
      <c r="X32" s="7" t="e">
        <f>#REF!-'Previous day'!X32</f>
        <v>#REF!</v>
      </c>
      <c r="Y32" s="7" t="e">
        <f>#REF!-'Previous day'!Y32</f>
        <v>#REF!</v>
      </c>
      <c r="Z32" s="10" t="e">
        <f>#REF!-'Previous day'!Z32</f>
        <v>#REF!</v>
      </c>
      <c r="AA32" s="7" t="e">
        <f>#REF!-'Previous day'!AA32</f>
        <v>#REF!</v>
      </c>
      <c r="AB32" s="7" t="e">
        <f>#REF!-'Previous day'!AB32</f>
        <v>#REF!</v>
      </c>
      <c r="AC32" s="5"/>
    </row>
    <row r="33" spans="2:29" x14ac:dyDescent="0.25">
      <c r="B33" s="8">
        <f t="shared" si="2"/>
        <v>44464</v>
      </c>
      <c r="C33" s="17" t="str">
        <f t="shared" si="0"/>
        <v>Sat</v>
      </c>
      <c r="D33" s="6" t="e">
        <f>#REF!-'Previous day'!D33</f>
        <v>#REF!</v>
      </c>
      <c r="E33" s="17"/>
      <c r="F33" s="57" t="e">
        <f t="shared" si="1"/>
        <v>#REF!</v>
      </c>
      <c r="G33" s="6" t="e">
        <f>#REF!-'Previous day'!G33</f>
        <v>#REF!</v>
      </c>
      <c r="H33" s="17"/>
      <c r="I33" s="17"/>
      <c r="J33" s="58" t="e">
        <f>#REF!-'Previous day'!J33</f>
        <v>#REF!</v>
      </c>
      <c r="K33" s="59" t="e">
        <f>#REF!-'Previous day'!K33</f>
        <v>#REF!</v>
      </c>
      <c r="L33" s="5"/>
      <c r="M33" s="5"/>
      <c r="N33" s="59" t="e">
        <f>#REF!-'Previous day'!N33</f>
        <v>#REF!</v>
      </c>
      <c r="O33" s="5" t="e">
        <f>#REF!-'Previous day'!O33</f>
        <v>#REF!</v>
      </c>
      <c r="P33" s="5" t="e">
        <f>#REF!-'Previous day'!P33</f>
        <v>#REF!</v>
      </c>
      <c r="Q33" s="41" t="e">
        <f>#REF!-'Previous day'!Q33</f>
        <v>#REF!</v>
      </c>
      <c r="R33" s="41" t="e">
        <f>#REF!-'Previous day'!R33</f>
        <v>#REF!</v>
      </c>
      <c r="S33" s="41" t="e">
        <f>#REF!-'Previous day'!S33</f>
        <v>#REF!</v>
      </c>
      <c r="T33" s="41" t="e">
        <f>#REF!-'Previous day'!T33</f>
        <v>#REF!</v>
      </c>
      <c r="U33" s="41" t="e">
        <f>#REF!-'Previous day'!U33</f>
        <v>#REF!</v>
      </c>
      <c r="V33" s="41" t="e">
        <f>#REF!-'Previous day'!V33</f>
        <v>#REF!</v>
      </c>
      <c r="W33" s="41" t="e">
        <f>#REF!-'Previous day'!W33</f>
        <v>#REF!</v>
      </c>
      <c r="X33" s="7" t="e">
        <f>#REF!-'Previous day'!X33</f>
        <v>#REF!</v>
      </c>
      <c r="Y33" s="7" t="e">
        <f>#REF!-'Previous day'!Y33</f>
        <v>#REF!</v>
      </c>
      <c r="Z33" s="10" t="e">
        <f>#REF!-'Previous day'!Z33</f>
        <v>#REF!</v>
      </c>
      <c r="AA33" s="7" t="e">
        <f>#REF!-'Previous day'!AA33</f>
        <v>#REF!</v>
      </c>
      <c r="AB33" s="7" t="e">
        <f>#REF!-'Previous day'!AB33</f>
        <v>#REF!</v>
      </c>
      <c r="AC33" s="5"/>
    </row>
    <row r="34" spans="2:29" x14ac:dyDescent="0.25">
      <c r="B34" s="8">
        <f t="shared" si="2"/>
        <v>44465</v>
      </c>
      <c r="C34" s="17" t="str">
        <f t="shared" si="0"/>
        <v>Sun</v>
      </c>
      <c r="D34" s="6" t="e">
        <f>#REF!-'Previous day'!D34</f>
        <v>#REF!</v>
      </c>
      <c r="E34" s="17"/>
      <c r="F34" s="57" t="e">
        <f t="shared" si="1"/>
        <v>#REF!</v>
      </c>
      <c r="G34" s="6" t="e">
        <f>#REF!-'Previous day'!G34</f>
        <v>#REF!</v>
      </c>
      <c r="H34" s="17"/>
      <c r="I34" s="17"/>
      <c r="J34" s="58" t="e">
        <f>#REF!-'Previous day'!J34</f>
        <v>#REF!</v>
      </c>
      <c r="K34" s="59" t="e">
        <f>#REF!-'Previous day'!K34</f>
        <v>#REF!</v>
      </c>
      <c r="L34" s="5"/>
      <c r="M34" s="5"/>
      <c r="N34" s="59" t="e">
        <f>#REF!-'Previous day'!N34</f>
        <v>#REF!</v>
      </c>
      <c r="O34" s="5" t="e">
        <f>#REF!-'Previous day'!O34</f>
        <v>#REF!</v>
      </c>
      <c r="P34" s="5" t="e">
        <f>#REF!-'Previous day'!P34</f>
        <v>#REF!</v>
      </c>
      <c r="Q34" s="41" t="e">
        <f>#REF!-'Previous day'!Q34</f>
        <v>#REF!</v>
      </c>
      <c r="R34" s="41" t="e">
        <f>#REF!-'Previous day'!R34</f>
        <v>#REF!</v>
      </c>
      <c r="S34" s="41" t="e">
        <f>#REF!-'Previous day'!S34</f>
        <v>#REF!</v>
      </c>
      <c r="T34" s="41" t="e">
        <f>#REF!-'Previous day'!T34</f>
        <v>#REF!</v>
      </c>
      <c r="U34" s="41" t="e">
        <f>#REF!-'Previous day'!U34</f>
        <v>#REF!</v>
      </c>
      <c r="V34" s="41" t="e">
        <f>#REF!-'Previous day'!V34</f>
        <v>#REF!</v>
      </c>
      <c r="W34" s="41" t="e">
        <f>#REF!-'Previous day'!W34</f>
        <v>#REF!</v>
      </c>
      <c r="X34" s="7" t="e">
        <f>#REF!-'Previous day'!X34</f>
        <v>#REF!</v>
      </c>
      <c r="Y34" s="7" t="e">
        <f>#REF!-'Previous day'!Y34</f>
        <v>#REF!</v>
      </c>
      <c r="Z34" s="10" t="e">
        <f>#REF!-'Previous day'!Z34</f>
        <v>#REF!</v>
      </c>
      <c r="AA34" s="7" t="e">
        <f>#REF!-'Previous day'!AA34</f>
        <v>#REF!</v>
      </c>
      <c r="AB34" s="7" t="e">
        <f>#REF!-'Previous day'!AB34</f>
        <v>#REF!</v>
      </c>
      <c r="AC34" s="5"/>
    </row>
    <row r="35" spans="2:29" x14ac:dyDescent="0.25">
      <c r="B35" s="8">
        <f t="shared" si="2"/>
        <v>44466</v>
      </c>
      <c r="C35" s="17" t="str">
        <f t="shared" si="0"/>
        <v>Mon</v>
      </c>
      <c r="D35" s="6" t="e">
        <f>#REF!-'Previous day'!D35</f>
        <v>#REF!</v>
      </c>
      <c r="E35" s="17"/>
      <c r="F35" s="57" t="e">
        <f t="shared" si="1"/>
        <v>#REF!</v>
      </c>
      <c r="G35" s="6" t="e">
        <f>#REF!-'Previous day'!G35</f>
        <v>#REF!</v>
      </c>
      <c r="H35" s="17"/>
      <c r="I35" s="17"/>
      <c r="J35" s="58" t="e">
        <f>#REF!-'Previous day'!J35</f>
        <v>#REF!</v>
      </c>
      <c r="K35" s="59" t="e">
        <f>#REF!-'Previous day'!K35</f>
        <v>#REF!</v>
      </c>
      <c r="L35" s="5"/>
      <c r="M35" s="5"/>
      <c r="N35" s="59" t="e">
        <f>#REF!-'Previous day'!N35</f>
        <v>#REF!</v>
      </c>
      <c r="O35" s="5" t="e">
        <f>#REF!-'Previous day'!O35</f>
        <v>#REF!</v>
      </c>
      <c r="P35" s="5" t="e">
        <f>#REF!-'Previous day'!P35</f>
        <v>#REF!</v>
      </c>
      <c r="Q35" s="41" t="e">
        <f>#REF!-'Previous day'!Q35</f>
        <v>#REF!</v>
      </c>
      <c r="R35" s="41" t="e">
        <f>#REF!-'Previous day'!R35</f>
        <v>#REF!</v>
      </c>
      <c r="S35" s="41" t="e">
        <f>#REF!-'Previous day'!S35</f>
        <v>#REF!</v>
      </c>
      <c r="T35" s="41" t="e">
        <f>#REF!-'Previous day'!T35</f>
        <v>#REF!</v>
      </c>
      <c r="U35" s="41" t="e">
        <f>#REF!-'Previous day'!U35</f>
        <v>#REF!</v>
      </c>
      <c r="V35" s="41" t="e">
        <f>#REF!-'Previous day'!V35</f>
        <v>#REF!</v>
      </c>
      <c r="W35" s="41" t="e">
        <f>#REF!-'Previous day'!W35</f>
        <v>#REF!</v>
      </c>
      <c r="X35" s="7" t="e">
        <f>#REF!-'Previous day'!X35</f>
        <v>#REF!</v>
      </c>
      <c r="Y35" s="7" t="e">
        <f>#REF!-'Previous day'!Y35</f>
        <v>#REF!</v>
      </c>
      <c r="Z35" s="10" t="e">
        <f>#REF!-'Previous day'!Z35</f>
        <v>#REF!</v>
      </c>
      <c r="AA35" s="7" t="e">
        <f>#REF!-'Previous day'!AA35</f>
        <v>#REF!</v>
      </c>
      <c r="AB35" s="7" t="e">
        <f>#REF!-'Previous day'!AB35</f>
        <v>#REF!</v>
      </c>
      <c r="AC35" s="5"/>
    </row>
    <row r="36" spans="2:29" x14ac:dyDescent="0.25">
      <c r="B36" s="8">
        <f t="shared" si="2"/>
        <v>44467</v>
      </c>
      <c r="C36" s="17" t="str">
        <f t="shared" si="0"/>
        <v>Tue</v>
      </c>
      <c r="D36" s="6" t="e">
        <f>#REF!-'Previous day'!D36</f>
        <v>#REF!</v>
      </c>
      <c r="E36" s="17"/>
      <c r="F36" s="57" t="e">
        <f t="shared" si="1"/>
        <v>#REF!</v>
      </c>
      <c r="G36" s="6" t="e">
        <f>#REF!-'Previous day'!G36</f>
        <v>#REF!</v>
      </c>
      <c r="H36" s="17"/>
      <c r="I36" s="17"/>
      <c r="J36" s="58" t="e">
        <f>#REF!-'Previous day'!J36</f>
        <v>#REF!</v>
      </c>
      <c r="K36" s="59" t="e">
        <f>#REF!-'Previous day'!K36</f>
        <v>#REF!</v>
      </c>
      <c r="L36" s="5"/>
      <c r="M36" s="5"/>
      <c r="N36" s="59" t="e">
        <f>#REF!-'Previous day'!N36</f>
        <v>#REF!</v>
      </c>
      <c r="O36" s="5" t="e">
        <f>#REF!-'Previous day'!O36</f>
        <v>#REF!</v>
      </c>
      <c r="P36" s="5" t="e">
        <f>#REF!-'Previous day'!P36</f>
        <v>#REF!</v>
      </c>
      <c r="Q36" s="41" t="e">
        <f>#REF!-'Previous day'!Q36</f>
        <v>#REF!</v>
      </c>
      <c r="R36" s="41" t="e">
        <f>#REF!-'Previous day'!R36</f>
        <v>#REF!</v>
      </c>
      <c r="S36" s="41" t="e">
        <f>#REF!-'Previous day'!S36</f>
        <v>#REF!</v>
      </c>
      <c r="T36" s="41" t="e">
        <f>#REF!-'Previous day'!T36</f>
        <v>#REF!</v>
      </c>
      <c r="U36" s="41" t="e">
        <f>#REF!-'Previous day'!U36</f>
        <v>#REF!</v>
      </c>
      <c r="V36" s="41" t="e">
        <f>#REF!-'Previous day'!V36</f>
        <v>#REF!</v>
      </c>
      <c r="W36" s="41" t="e">
        <f>#REF!-'Previous day'!W36</f>
        <v>#REF!</v>
      </c>
      <c r="X36" s="7" t="e">
        <f>#REF!-'Previous day'!X36</f>
        <v>#REF!</v>
      </c>
      <c r="Y36" s="7" t="e">
        <f>#REF!-'Previous day'!Y36</f>
        <v>#REF!</v>
      </c>
      <c r="Z36" s="10" t="e">
        <f>#REF!-'Previous day'!Z36</f>
        <v>#REF!</v>
      </c>
      <c r="AA36" s="7" t="e">
        <f>#REF!-'Previous day'!AA36</f>
        <v>#REF!</v>
      </c>
      <c r="AB36" s="7" t="e">
        <f>#REF!-'Previous day'!AB36</f>
        <v>#REF!</v>
      </c>
      <c r="AC36" s="5"/>
    </row>
    <row r="37" spans="2:29" x14ac:dyDescent="0.25">
      <c r="B37" s="8">
        <f t="shared" si="2"/>
        <v>44468</v>
      </c>
      <c r="C37" s="17" t="str">
        <f t="shared" si="0"/>
        <v>Wed</v>
      </c>
      <c r="D37" s="6" t="e">
        <f>#REF!-'Previous day'!D37</f>
        <v>#REF!</v>
      </c>
      <c r="E37" s="17"/>
      <c r="F37" s="57" t="e">
        <f t="shared" si="1"/>
        <v>#REF!</v>
      </c>
      <c r="G37" s="6" t="e">
        <f>#REF!-'Previous day'!G37</f>
        <v>#REF!</v>
      </c>
      <c r="H37" s="17"/>
      <c r="I37" s="17"/>
      <c r="J37" s="58" t="e">
        <f>#REF!-'Previous day'!J37</f>
        <v>#REF!</v>
      </c>
      <c r="K37" s="59" t="e">
        <f>#REF!-'Previous day'!K37</f>
        <v>#REF!</v>
      </c>
      <c r="L37" s="5"/>
      <c r="M37" s="5"/>
      <c r="N37" s="59" t="e">
        <f>#REF!-'Previous day'!N37</f>
        <v>#REF!</v>
      </c>
      <c r="O37" s="5" t="e">
        <f>#REF!-'Previous day'!O37</f>
        <v>#REF!</v>
      </c>
      <c r="P37" s="5" t="e">
        <f>#REF!-'Previous day'!P37</f>
        <v>#REF!</v>
      </c>
      <c r="Q37" s="41" t="e">
        <f>#REF!-'Previous day'!Q37</f>
        <v>#REF!</v>
      </c>
      <c r="R37" s="41" t="e">
        <f>#REF!-'Previous day'!R37</f>
        <v>#REF!</v>
      </c>
      <c r="S37" s="41" t="e">
        <f>#REF!-'Previous day'!S37</f>
        <v>#REF!</v>
      </c>
      <c r="T37" s="41" t="e">
        <f>#REF!-'Previous day'!T37</f>
        <v>#REF!</v>
      </c>
      <c r="U37" s="41" t="e">
        <f>#REF!-'Previous day'!U37</f>
        <v>#REF!</v>
      </c>
      <c r="V37" s="41" t="e">
        <f>#REF!-'Previous day'!V37</f>
        <v>#REF!</v>
      </c>
      <c r="W37" s="41" t="e">
        <f>#REF!-'Previous day'!W37</f>
        <v>#REF!</v>
      </c>
      <c r="X37" s="7" t="e">
        <f>#REF!-'Previous day'!X37</f>
        <v>#REF!</v>
      </c>
      <c r="Y37" s="7" t="e">
        <f>#REF!-'Previous day'!Y37</f>
        <v>#REF!</v>
      </c>
      <c r="Z37" s="10" t="e">
        <f>#REF!-'Previous day'!Z37</f>
        <v>#REF!</v>
      </c>
      <c r="AA37" s="7" t="e">
        <f>#REF!-'Previous day'!AA37</f>
        <v>#REF!</v>
      </c>
      <c r="AB37" s="7" t="e">
        <f>#REF!-'Previous day'!AB37</f>
        <v>#REF!</v>
      </c>
      <c r="AC37" s="5"/>
    </row>
    <row r="38" spans="2:29" x14ac:dyDescent="0.25">
      <c r="B38" s="8">
        <f t="shared" si="2"/>
        <v>44469</v>
      </c>
      <c r="C38" s="17" t="str">
        <f t="shared" si="0"/>
        <v>Thu</v>
      </c>
      <c r="D38" s="6" t="e">
        <f>#REF!-'Previous day'!D38</f>
        <v>#REF!</v>
      </c>
      <c r="E38" s="17"/>
      <c r="F38" s="57" t="e">
        <f t="shared" si="1"/>
        <v>#REF!</v>
      </c>
      <c r="G38" s="6" t="e">
        <f>#REF!-'Previous day'!G38</f>
        <v>#REF!</v>
      </c>
      <c r="H38" s="17"/>
      <c r="I38" s="17"/>
      <c r="J38" s="58" t="e">
        <f>#REF!-'Previous day'!J38</f>
        <v>#REF!</v>
      </c>
      <c r="K38" s="59" t="e">
        <f>#REF!-'Previous day'!K38</f>
        <v>#REF!</v>
      </c>
      <c r="L38" s="5"/>
      <c r="M38" s="5"/>
      <c r="N38" s="59" t="e">
        <f>#REF!-'Previous day'!N38</f>
        <v>#REF!</v>
      </c>
      <c r="O38" s="5" t="e">
        <f>#REF!-'Previous day'!O38</f>
        <v>#REF!</v>
      </c>
      <c r="P38" s="5" t="e">
        <f>#REF!-'Previous day'!P38</f>
        <v>#REF!</v>
      </c>
      <c r="Q38" s="41" t="e">
        <f>#REF!-'Previous day'!Q38</f>
        <v>#REF!</v>
      </c>
      <c r="R38" s="41" t="e">
        <f>#REF!-'Previous day'!R38</f>
        <v>#REF!</v>
      </c>
      <c r="S38" s="41" t="e">
        <f>#REF!-'Previous day'!S38</f>
        <v>#REF!</v>
      </c>
      <c r="T38" s="41" t="e">
        <f>#REF!-'Previous day'!T38</f>
        <v>#REF!</v>
      </c>
      <c r="U38" s="41" t="e">
        <f>#REF!-'Previous day'!U38</f>
        <v>#REF!</v>
      </c>
      <c r="V38" s="41" t="e">
        <f>#REF!-'Previous day'!V38</f>
        <v>#REF!</v>
      </c>
      <c r="W38" s="41" t="e">
        <f>#REF!-'Previous day'!W38</f>
        <v>#REF!</v>
      </c>
      <c r="X38" s="7" t="e">
        <f>#REF!-'Previous day'!X38</f>
        <v>#REF!</v>
      </c>
      <c r="Y38" s="7" t="e">
        <f>#REF!-'Previous day'!Y38</f>
        <v>#REF!</v>
      </c>
      <c r="Z38" s="10" t="e">
        <f>#REF!-'Previous day'!Z38</f>
        <v>#REF!</v>
      </c>
      <c r="AA38" s="7" t="e">
        <f>#REF!-'Previous day'!AA38</f>
        <v>#REF!</v>
      </c>
      <c r="AB38" s="7" t="e">
        <f>#REF!-'Previous day'!AB38</f>
        <v>#REF!</v>
      </c>
      <c r="AC38" s="5"/>
    </row>
    <row r="39" spans="2:29" ht="14" x14ac:dyDescent="0.3">
      <c r="B39" s="14" t="s">
        <v>41</v>
      </c>
      <c r="C39" s="70"/>
      <c r="D39" s="71" t="e">
        <f>#REF!-'Previous day'!D39</f>
        <v>#REF!</v>
      </c>
      <c r="E39" s="70" t="e">
        <f>#REF!-'Previous day'!E39</f>
        <v>#REF!</v>
      </c>
      <c r="F39" s="70" t="e">
        <f>#REF!-'Previous day'!F39</f>
        <v>#REF!</v>
      </c>
      <c r="G39" s="71" t="e">
        <f>#REF!-'Previous day'!G39</f>
        <v>#REF!</v>
      </c>
      <c r="H39" s="70" t="e">
        <f>#REF!-'Previous day'!H39</f>
        <v>#REF!</v>
      </c>
      <c r="I39" s="70" t="e">
        <f>#REF!-'Previous day'!I39</f>
        <v>#REF!</v>
      </c>
      <c r="J39" s="70" t="e">
        <f>#REF!-'Previous day'!J39</f>
        <v>#REF!</v>
      </c>
      <c r="K39" s="70" t="e">
        <f>#REF!-'Previous day'!K39</f>
        <v>#REF!</v>
      </c>
      <c r="L39" s="70" t="e">
        <f>#REF!-'Previous day'!L39</f>
        <v>#REF!</v>
      </c>
      <c r="M39" s="70" t="e">
        <f>#REF!-'Previous day'!M39</f>
        <v>#REF!</v>
      </c>
      <c r="N39" s="70" t="e">
        <f>#REF!-'Previous day'!N39</f>
        <v>#REF!</v>
      </c>
      <c r="O39" s="70" t="e">
        <f>#REF!-'Previous day'!O39</f>
        <v>#REF!</v>
      </c>
      <c r="P39" s="70" t="e">
        <f>#REF!-'Previous day'!P39</f>
        <v>#REF!</v>
      </c>
      <c r="Q39" s="70" t="e">
        <f>#REF!-'Previous day'!Q39</f>
        <v>#REF!</v>
      </c>
      <c r="R39" s="70" t="e">
        <f>#REF!-'Previous day'!R39</f>
        <v>#REF!</v>
      </c>
      <c r="S39" s="70" t="e">
        <f>#REF!-'Previous day'!S39</f>
        <v>#REF!</v>
      </c>
      <c r="T39" s="70" t="e">
        <f>#REF!-'Previous day'!T39</f>
        <v>#REF!</v>
      </c>
      <c r="U39" s="70" t="e">
        <f>#REF!-'Previous day'!U39</f>
        <v>#REF!</v>
      </c>
      <c r="V39" s="70" t="e">
        <f>#REF!-'Previous day'!V39</f>
        <v>#REF!</v>
      </c>
      <c r="W39" s="70" t="e">
        <f>#REF!-'Previous day'!W39</f>
        <v>#REF!</v>
      </c>
      <c r="X39" s="70" t="e">
        <f>#REF!-'Previous day'!X39</f>
        <v>#REF!</v>
      </c>
      <c r="Y39" s="70" t="e">
        <f>#REF!-'Previous day'!Y39</f>
        <v>#REF!</v>
      </c>
      <c r="Z39" s="64" t="e">
        <f>#REF!-'Previous day'!Z39</f>
        <v>#REF!</v>
      </c>
      <c r="AA39" s="70" t="e">
        <f>#REF!-'Previous day'!AA39</f>
        <v>#REF!</v>
      </c>
      <c r="AB39" s="70" t="e">
        <f>#REF!-'Previous day'!AB39</f>
        <v>#REF!</v>
      </c>
      <c r="AC39" s="70" t="e">
        <f>#REF!-'Previous day'!AC39</f>
        <v>#REF!</v>
      </c>
    </row>
  </sheetData>
  <mergeCells count="16">
    <mergeCell ref="B3:W3"/>
    <mergeCell ref="X3:Z4"/>
    <mergeCell ref="AA3:AB4"/>
    <mergeCell ref="AC3:AC6"/>
    <mergeCell ref="B4:B6"/>
    <mergeCell ref="C4:C6"/>
    <mergeCell ref="D4:E4"/>
    <mergeCell ref="H4:K4"/>
    <mergeCell ref="L4:N4"/>
    <mergeCell ref="O4:P5"/>
    <mergeCell ref="X5:Y5"/>
    <mergeCell ref="T4:U4"/>
    <mergeCell ref="V4:W4"/>
    <mergeCell ref="H5:I5"/>
    <mergeCell ref="J5:K5"/>
    <mergeCell ref="L5:M5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2:AC43"/>
  <sheetViews>
    <sheetView showGridLines="0" zoomScale="70" zoomScaleNormal="70" workbookViewId="0">
      <pane xSplit="3" ySplit="6" topLeftCell="E19" activePane="bottomRight" state="frozen"/>
      <selection pane="topRight" activeCell="D1" sqref="D1"/>
      <selection pane="bottomLeft" activeCell="A7" sqref="A7"/>
      <selection pane="bottomRight" activeCell="H34" sqref="H33:H34"/>
    </sheetView>
  </sheetViews>
  <sheetFormatPr defaultColWidth="9.1796875" defaultRowHeight="13.5" x14ac:dyDescent="0.25"/>
  <cols>
    <col min="1" max="1" width="4.54296875" style="1" customWidth="1"/>
    <col min="2" max="2" width="22.54296875" style="2" customWidth="1"/>
    <col min="3" max="3" width="10.453125" style="2" bestFit="1" customWidth="1"/>
    <col min="4" max="4" width="10.453125" style="2" customWidth="1"/>
    <col min="5" max="5" width="10" style="2" customWidth="1"/>
    <col min="6" max="6" width="11" style="2" customWidth="1"/>
    <col min="7" max="7" width="11.453125" style="2" customWidth="1"/>
    <col min="8" max="8" width="11.54296875" style="2" customWidth="1"/>
    <col min="9" max="9" width="11.1796875" style="2" customWidth="1"/>
    <col min="10" max="10" width="12.453125" style="1" customWidth="1"/>
    <col min="11" max="11" width="12.1796875" style="1" customWidth="1"/>
    <col min="12" max="12" width="10.453125" style="1" customWidth="1"/>
    <col min="13" max="13" width="10.81640625" style="1" customWidth="1"/>
    <col min="14" max="14" width="11.453125" style="1" customWidth="1"/>
    <col min="15" max="15" width="11.54296875" style="1" customWidth="1"/>
    <col min="16" max="17" width="11.1796875" style="1" customWidth="1"/>
    <col min="18" max="18" width="13.81640625" style="3" customWidth="1"/>
    <col min="19" max="19" width="13.54296875" style="3" customWidth="1"/>
    <col min="20" max="20" width="11.54296875" style="3" customWidth="1"/>
    <col min="21" max="21" width="11.1796875" style="3" customWidth="1"/>
    <col min="22" max="22" width="11" style="3" customWidth="1"/>
    <col min="23" max="23" width="11.453125" style="3" customWidth="1"/>
    <col min="24" max="25" width="11.54296875" style="1" customWidth="1"/>
    <col min="26" max="26" width="11.54296875" style="2" customWidth="1"/>
    <col min="27" max="27" width="14.453125" style="1" customWidth="1"/>
    <col min="28" max="28" width="13.1796875" style="1" customWidth="1"/>
    <col min="29" max="29" width="33.453125" style="1" customWidth="1"/>
    <col min="30" max="16384" width="9.1796875" style="1"/>
  </cols>
  <sheetData>
    <row r="2" spans="2:29" x14ac:dyDescent="0.25">
      <c r="B2" s="4" t="s">
        <v>0</v>
      </c>
    </row>
    <row r="3" spans="2:29" ht="16.5" customHeight="1" x14ac:dyDescent="0.3">
      <c r="B3" s="198" t="s">
        <v>1</v>
      </c>
      <c r="C3" s="199"/>
      <c r="D3" s="199"/>
      <c r="E3" s="199"/>
      <c r="F3" s="199"/>
      <c r="G3" s="199"/>
      <c r="H3" s="199"/>
      <c r="I3" s="199"/>
      <c r="J3" s="199"/>
      <c r="K3" s="199"/>
      <c r="L3" s="199"/>
      <c r="M3" s="199"/>
      <c r="N3" s="199"/>
      <c r="O3" s="199"/>
      <c r="P3" s="199"/>
      <c r="Q3" s="199"/>
      <c r="R3" s="199"/>
      <c r="S3" s="199"/>
      <c r="T3" s="199"/>
      <c r="U3" s="199"/>
      <c r="V3" s="199"/>
      <c r="W3" s="200"/>
      <c r="X3" s="218" t="s">
        <v>2</v>
      </c>
      <c r="Y3" s="219"/>
      <c r="Z3" s="220"/>
      <c r="AA3" s="218" t="s">
        <v>3</v>
      </c>
      <c r="AB3" s="220"/>
      <c r="AC3" s="209" t="s">
        <v>4</v>
      </c>
    </row>
    <row r="4" spans="2:29" ht="16.5" customHeight="1" x14ac:dyDescent="0.25">
      <c r="B4" s="212" t="s">
        <v>5</v>
      </c>
      <c r="C4" s="226" t="s">
        <v>6</v>
      </c>
      <c r="D4" s="226" t="s">
        <v>7</v>
      </c>
      <c r="E4" s="226"/>
      <c r="F4" s="47"/>
      <c r="G4" s="47" t="s">
        <v>8</v>
      </c>
      <c r="H4" s="227" t="s">
        <v>9</v>
      </c>
      <c r="I4" s="227"/>
      <c r="J4" s="227"/>
      <c r="K4" s="227"/>
      <c r="L4" s="227" t="s">
        <v>10</v>
      </c>
      <c r="M4" s="227"/>
      <c r="N4" s="227"/>
      <c r="O4" s="217" t="s">
        <v>11</v>
      </c>
      <c r="P4" s="217"/>
      <c r="Q4" s="32" t="s">
        <v>12</v>
      </c>
      <c r="R4" s="32"/>
      <c r="S4" s="33"/>
      <c r="T4" s="228" t="s">
        <v>13</v>
      </c>
      <c r="U4" s="229"/>
      <c r="V4" s="230" t="s">
        <v>14</v>
      </c>
      <c r="W4" s="229"/>
      <c r="X4" s="221"/>
      <c r="Y4" s="222"/>
      <c r="Z4" s="223"/>
      <c r="AA4" s="224"/>
      <c r="AB4" s="225"/>
      <c r="AC4" s="210"/>
    </row>
    <row r="5" spans="2:29" ht="39.75" customHeight="1" x14ac:dyDescent="0.25">
      <c r="B5" s="212"/>
      <c r="C5" s="226"/>
      <c r="D5" s="48" t="s">
        <v>15</v>
      </c>
      <c r="E5" s="48" t="s">
        <v>16</v>
      </c>
      <c r="F5" s="48" t="s">
        <v>17</v>
      </c>
      <c r="G5" s="45" t="s">
        <v>18</v>
      </c>
      <c r="H5" s="217" t="s">
        <v>19</v>
      </c>
      <c r="I5" s="217"/>
      <c r="J5" s="217" t="s">
        <v>20</v>
      </c>
      <c r="K5" s="217"/>
      <c r="L5" s="226" t="s">
        <v>21</v>
      </c>
      <c r="M5" s="226"/>
      <c r="N5" s="45" t="s">
        <v>22</v>
      </c>
      <c r="O5" s="217"/>
      <c r="P5" s="217"/>
      <c r="Q5" s="34" t="s">
        <v>23</v>
      </c>
      <c r="R5" s="35" t="s">
        <v>24</v>
      </c>
      <c r="S5" s="36" t="s">
        <v>17</v>
      </c>
      <c r="T5" s="48" t="s">
        <v>23</v>
      </c>
      <c r="U5" s="45" t="s">
        <v>25</v>
      </c>
      <c r="V5" s="48" t="s">
        <v>23</v>
      </c>
      <c r="W5" s="45" t="s">
        <v>25</v>
      </c>
      <c r="X5" s="217" t="s">
        <v>26</v>
      </c>
      <c r="Y5" s="217"/>
      <c r="Z5" s="45" t="s">
        <v>27</v>
      </c>
      <c r="AA5" s="45" t="s">
        <v>28</v>
      </c>
      <c r="AB5" s="45" t="s">
        <v>29</v>
      </c>
      <c r="AC5" s="210"/>
    </row>
    <row r="6" spans="2:29" ht="14.5" x14ac:dyDescent="0.25">
      <c r="B6" s="212"/>
      <c r="C6" s="226"/>
      <c r="D6" s="37">
        <v>8350</v>
      </c>
      <c r="E6" s="37">
        <v>8350</v>
      </c>
      <c r="F6" s="37"/>
      <c r="G6" s="38">
        <v>0.55000000000000004</v>
      </c>
      <c r="H6" s="46" t="s">
        <v>30</v>
      </c>
      <c r="I6" s="46" t="s">
        <v>31</v>
      </c>
      <c r="J6" s="46" t="s">
        <v>30</v>
      </c>
      <c r="K6" s="46" t="s">
        <v>31</v>
      </c>
      <c r="L6" s="39" t="s">
        <v>32</v>
      </c>
      <c r="M6" s="39" t="s">
        <v>33</v>
      </c>
      <c r="N6" s="48" t="s">
        <v>34</v>
      </c>
      <c r="O6" s="48" t="s">
        <v>30</v>
      </c>
      <c r="P6" s="48" t="s">
        <v>31</v>
      </c>
      <c r="Q6" s="48" t="s">
        <v>35</v>
      </c>
      <c r="R6" s="48" t="s">
        <v>35</v>
      </c>
      <c r="S6" s="48" t="s">
        <v>35</v>
      </c>
      <c r="T6" s="48" t="s">
        <v>36</v>
      </c>
      <c r="U6" s="48" t="s">
        <v>36</v>
      </c>
      <c r="V6" s="48" t="s">
        <v>36</v>
      </c>
      <c r="W6" s="48" t="s">
        <v>36</v>
      </c>
      <c r="X6" s="17" t="s">
        <v>37</v>
      </c>
      <c r="Y6" s="15" t="s">
        <v>38</v>
      </c>
      <c r="Z6" s="9"/>
      <c r="AA6" s="29" t="s">
        <v>39</v>
      </c>
      <c r="AB6" s="44" t="s">
        <v>40</v>
      </c>
      <c r="AC6" s="211"/>
    </row>
    <row r="7" spans="2:29" ht="14" x14ac:dyDescent="0.3">
      <c r="B7" s="8">
        <v>44438</v>
      </c>
      <c r="C7" s="42" t="str">
        <f>TEXT(B7,"ddd")</f>
        <v>Mon</v>
      </c>
      <c r="D7" s="18">
        <v>0.43</v>
      </c>
      <c r="E7" s="42"/>
      <c r="F7" s="19">
        <f>SUMPRODUCT($D$6:$E$6,D7:E7)</f>
        <v>3590.5</v>
      </c>
      <c r="G7" s="20">
        <v>0.55100000000000005</v>
      </c>
      <c r="H7" s="42"/>
      <c r="I7" s="42"/>
      <c r="J7" s="21">
        <v>3344</v>
      </c>
      <c r="K7" s="22">
        <v>3344</v>
      </c>
      <c r="L7" s="23"/>
      <c r="M7" s="23"/>
      <c r="N7" s="22"/>
      <c r="O7" s="24"/>
      <c r="P7" s="24"/>
      <c r="Q7" s="50">
        <v>3388</v>
      </c>
      <c r="R7" s="51">
        <v>1440</v>
      </c>
      <c r="S7" s="49">
        <f>SUM(Q7:R7)</f>
        <v>4828</v>
      </c>
      <c r="T7" s="44">
        <v>9.4</v>
      </c>
      <c r="U7" s="44">
        <v>12</v>
      </c>
      <c r="V7" s="44">
        <v>9.4</v>
      </c>
      <c r="W7" s="44">
        <v>9.11</v>
      </c>
      <c r="X7" s="7">
        <v>59.037999999999997</v>
      </c>
      <c r="Y7" s="7">
        <f>X7</f>
        <v>59.037999999999997</v>
      </c>
      <c r="Z7" s="11"/>
      <c r="AA7" s="30">
        <v>16</v>
      </c>
      <c r="AB7" s="30">
        <v>2</v>
      </c>
      <c r="AC7" s="17" t="s">
        <v>42</v>
      </c>
    </row>
    <row r="8" spans="2:29" ht="14" x14ac:dyDescent="0.3">
      <c r="B8" s="8">
        <f>B7+1</f>
        <v>44439</v>
      </c>
      <c r="C8" s="42" t="str">
        <f t="shared" ref="C8:C38" si="0">TEXT(B8,"ddd")</f>
        <v>Tue</v>
      </c>
      <c r="D8" s="18">
        <v>0.98</v>
      </c>
      <c r="E8" s="42"/>
      <c r="F8" s="19">
        <f t="shared" ref="F8:F38" si="1">SUMPRODUCT($D$6:$E$6,D8:E8)</f>
        <v>8183</v>
      </c>
      <c r="G8" s="20">
        <v>0.55500000000000005</v>
      </c>
      <c r="H8" s="42"/>
      <c r="I8" s="42"/>
      <c r="J8" s="21">
        <v>6702</v>
      </c>
      <c r="K8" s="22">
        <f t="shared" ref="K8:K36" si="2">J8-J7</f>
        <v>3358</v>
      </c>
      <c r="L8" s="23"/>
      <c r="M8" s="23"/>
      <c r="N8" s="22"/>
      <c r="O8" s="24"/>
      <c r="P8" s="24"/>
      <c r="Q8" s="50">
        <v>7679</v>
      </c>
      <c r="R8" s="51">
        <v>5060</v>
      </c>
      <c r="S8" s="49">
        <f t="shared" ref="S8:S39" si="3">SUM(Q8:R8)</f>
        <v>12739</v>
      </c>
      <c r="T8" s="44">
        <v>21</v>
      </c>
      <c r="U8" s="44">
        <v>20</v>
      </c>
      <c r="V8" s="44">
        <v>21</v>
      </c>
      <c r="W8" s="44">
        <v>6.9</v>
      </c>
      <c r="X8" s="7">
        <v>227.29</v>
      </c>
      <c r="Y8" s="7">
        <f>X8+Y7</f>
        <v>286.32799999999997</v>
      </c>
      <c r="Z8" s="11"/>
      <c r="AA8" s="30">
        <v>18</v>
      </c>
      <c r="AB8" s="30">
        <v>2</v>
      </c>
      <c r="AC8" s="17" t="s">
        <v>43</v>
      </c>
    </row>
    <row r="9" spans="2:29" ht="14" x14ac:dyDescent="0.3">
      <c r="B9" s="8">
        <f t="shared" ref="B9:B38" si="4">B8+1</f>
        <v>44440</v>
      </c>
      <c r="C9" s="42" t="str">
        <f t="shared" si="0"/>
        <v>Wed</v>
      </c>
      <c r="D9" s="18">
        <v>0.38</v>
      </c>
      <c r="E9" s="42"/>
      <c r="F9" s="19">
        <f t="shared" si="1"/>
        <v>3173</v>
      </c>
      <c r="G9" s="20">
        <v>0.61299999999999999</v>
      </c>
      <c r="H9" s="42"/>
      <c r="I9" s="42"/>
      <c r="J9" s="21">
        <v>15033</v>
      </c>
      <c r="K9" s="22">
        <f t="shared" si="2"/>
        <v>8331</v>
      </c>
      <c r="L9" s="23">
        <v>0.29166666666666669</v>
      </c>
      <c r="M9" s="23">
        <v>0.37152777777777773</v>
      </c>
      <c r="N9" s="22">
        <v>780</v>
      </c>
      <c r="O9" s="24"/>
      <c r="P9" s="24"/>
      <c r="Q9" s="50">
        <v>8279</v>
      </c>
      <c r="R9" s="51">
        <v>1870</v>
      </c>
      <c r="S9" s="49">
        <f t="shared" si="3"/>
        <v>10149</v>
      </c>
      <c r="T9" s="44">
        <v>21</v>
      </c>
      <c r="U9" s="44">
        <v>20.9</v>
      </c>
      <c r="V9" s="44">
        <v>21</v>
      </c>
      <c r="W9" s="44">
        <v>22.3</v>
      </c>
      <c r="X9" s="7">
        <v>178.84800000000001</v>
      </c>
      <c r="Y9" s="7">
        <f t="shared" ref="Y9:Y36" si="5">X9+Y8</f>
        <v>465.17599999999999</v>
      </c>
      <c r="Z9" s="11"/>
      <c r="AA9" s="30">
        <v>29</v>
      </c>
      <c r="AB9" s="30">
        <v>6</v>
      </c>
      <c r="AC9" s="17" t="s">
        <v>43</v>
      </c>
    </row>
    <row r="10" spans="2:29" ht="14" x14ac:dyDescent="0.3">
      <c r="B10" s="8">
        <f t="shared" si="4"/>
        <v>44441</v>
      </c>
      <c r="C10" s="42" t="str">
        <f t="shared" si="0"/>
        <v>Thu</v>
      </c>
      <c r="D10" s="18">
        <v>0.31</v>
      </c>
      <c r="E10" s="42"/>
      <c r="F10" s="19">
        <f t="shared" si="1"/>
        <v>2588.5</v>
      </c>
      <c r="G10" s="20">
        <v>0.55400000000000005</v>
      </c>
      <c r="H10" s="42"/>
      <c r="I10" s="42"/>
      <c r="J10" s="21">
        <v>20175</v>
      </c>
      <c r="K10" s="22">
        <f t="shared" si="2"/>
        <v>5142</v>
      </c>
      <c r="L10" s="23"/>
      <c r="M10" s="23"/>
      <c r="N10" s="22"/>
      <c r="O10" s="24"/>
      <c r="P10" s="24"/>
      <c r="Q10" s="50">
        <v>4823</v>
      </c>
      <c r="R10" s="51">
        <v>2040</v>
      </c>
      <c r="S10" s="49">
        <f t="shared" si="3"/>
        <v>6863</v>
      </c>
      <c r="T10" s="44">
        <v>12.4</v>
      </c>
      <c r="U10" s="44">
        <v>17.2</v>
      </c>
      <c r="V10" s="44">
        <v>12.4</v>
      </c>
      <c r="W10" s="44">
        <v>12.4</v>
      </c>
      <c r="X10" s="7">
        <v>132.49800000000002</v>
      </c>
      <c r="Y10" s="7">
        <f t="shared" si="5"/>
        <v>597.67399999999998</v>
      </c>
      <c r="Z10" s="11"/>
      <c r="AA10" s="30">
        <v>39</v>
      </c>
      <c r="AB10" s="30">
        <v>3</v>
      </c>
      <c r="AC10" s="17" t="s">
        <v>42</v>
      </c>
    </row>
    <row r="11" spans="2:29" ht="14" x14ac:dyDescent="0.3">
      <c r="B11" s="8">
        <f t="shared" si="4"/>
        <v>44442</v>
      </c>
      <c r="C11" s="42" t="str">
        <f t="shared" si="0"/>
        <v>Fri</v>
      </c>
      <c r="D11" s="18">
        <v>0.46</v>
      </c>
      <c r="E11" s="42"/>
      <c r="F11" s="19">
        <f t="shared" si="1"/>
        <v>3841</v>
      </c>
      <c r="G11" s="20">
        <v>0.56200000000000006</v>
      </c>
      <c r="H11" s="42"/>
      <c r="I11" s="42"/>
      <c r="J11" s="21">
        <v>28496</v>
      </c>
      <c r="K11" s="22">
        <f t="shared" si="2"/>
        <v>8321</v>
      </c>
      <c r="L11" s="23"/>
      <c r="M11" s="23"/>
      <c r="N11" s="22"/>
      <c r="O11" s="24"/>
      <c r="P11" s="24"/>
      <c r="Q11" s="50">
        <v>8786</v>
      </c>
      <c r="R11" s="51">
        <v>2360</v>
      </c>
      <c r="S11" s="49">
        <f t="shared" si="3"/>
        <v>11146</v>
      </c>
      <c r="T11" s="44">
        <v>22</v>
      </c>
      <c r="U11" s="44">
        <v>22.3</v>
      </c>
      <c r="V11" s="44">
        <v>22</v>
      </c>
      <c r="W11" s="44">
        <v>20.149999999999999</v>
      </c>
      <c r="X11" s="7">
        <v>280.98399999999998</v>
      </c>
      <c r="Y11" s="7">
        <f t="shared" si="5"/>
        <v>878.6579999999999</v>
      </c>
      <c r="Z11" s="11"/>
      <c r="AA11" s="30">
        <v>40</v>
      </c>
      <c r="AB11" s="30">
        <v>2</v>
      </c>
      <c r="AC11" s="17" t="s">
        <v>43</v>
      </c>
    </row>
    <row r="12" spans="2:29" ht="14" x14ac:dyDescent="0.3">
      <c r="B12" s="8">
        <f t="shared" si="4"/>
        <v>44443</v>
      </c>
      <c r="C12" s="42" t="str">
        <f t="shared" si="0"/>
        <v>Sat</v>
      </c>
      <c r="D12" s="18">
        <v>1</v>
      </c>
      <c r="E12" s="42"/>
      <c r="F12" s="19">
        <f t="shared" si="1"/>
        <v>8350</v>
      </c>
      <c r="G12" s="20">
        <v>0.58899999999999997</v>
      </c>
      <c r="H12" s="42"/>
      <c r="I12" s="42"/>
      <c r="J12" s="21">
        <v>29766</v>
      </c>
      <c r="K12" s="22">
        <f t="shared" si="2"/>
        <v>1270</v>
      </c>
      <c r="L12" s="23">
        <v>0.61319444444444449</v>
      </c>
      <c r="M12" s="23">
        <v>0.6777777777777777</v>
      </c>
      <c r="N12" s="22">
        <v>624</v>
      </c>
      <c r="O12" s="24"/>
      <c r="P12" s="24"/>
      <c r="Q12" s="50">
        <v>1173</v>
      </c>
      <c r="R12" s="51">
        <v>1385</v>
      </c>
      <c r="S12" s="49">
        <f t="shared" si="3"/>
        <v>2558</v>
      </c>
      <c r="T12" s="44">
        <v>3.3</v>
      </c>
      <c r="U12" s="44">
        <v>6.7</v>
      </c>
      <c r="V12" s="44">
        <v>3.3</v>
      </c>
      <c r="W12" s="44">
        <v>2.68</v>
      </c>
      <c r="X12" s="7">
        <v>5.6680000000000001</v>
      </c>
      <c r="Y12" s="7">
        <f t="shared" si="5"/>
        <v>884.32599999999991</v>
      </c>
      <c r="Z12" s="11"/>
      <c r="AA12" s="30">
        <v>34</v>
      </c>
      <c r="AB12" s="30">
        <v>3</v>
      </c>
      <c r="AC12" s="17" t="s">
        <v>44</v>
      </c>
    </row>
    <row r="13" spans="2:29" ht="14" x14ac:dyDescent="0.3">
      <c r="B13" s="8">
        <f t="shared" si="4"/>
        <v>44444</v>
      </c>
      <c r="C13" s="42" t="str">
        <f t="shared" si="0"/>
        <v>Sun</v>
      </c>
      <c r="D13" s="18">
        <v>1</v>
      </c>
      <c r="E13" s="42"/>
      <c r="F13" s="19">
        <f t="shared" si="1"/>
        <v>8350</v>
      </c>
      <c r="G13" s="20">
        <v>0.57099999999999995</v>
      </c>
      <c r="H13" s="42"/>
      <c r="I13" s="42"/>
      <c r="J13" s="21">
        <v>34096</v>
      </c>
      <c r="K13" s="22">
        <f t="shared" si="2"/>
        <v>4330</v>
      </c>
      <c r="L13" s="23">
        <v>0.26041666666666669</v>
      </c>
      <c r="M13" s="23">
        <v>0.54861111111111105</v>
      </c>
      <c r="N13" s="22">
        <v>3308</v>
      </c>
      <c r="O13" s="24"/>
      <c r="P13" s="24"/>
      <c r="Q13" s="50">
        <v>3391</v>
      </c>
      <c r="R13" s="51">
        <v>1015</v>
      </c>
      <c r="S13" s="49">
        <f t="shared" si="3"/>
        <v>4406</v>
      </c>
      <c r="T13" s="44">
        <v>8.8000000000000007</v>
      </c>
      <c r="U13" s="44">
        <v>11.6</v>
      </c>
      <c r="V13" s="44">
        <v>8.8000000000000007</v>
      </c>
      <c r="W13" s="44">
        <v>10.62</v>
      </c>
      <c r="X13" s="7">
        <v>84.343999999999994</v>
      </c>
      <c r="Y13" s="7">
        <f t="shared" si="5"/>
        <v>968.66999999999985</v>
      </c>
      <c r="Z13" s="12"/>
      <c r="AA13" s="30">
        <v>33</v>
      </c>
      <c r="AB13" s="30">
        <v>4</v>
      </c>
      <c r="AC13" s="17" t="s">
        <v>42</v>
      </c>
    </row>
    <row r="14" spans="2:29" ht="14" x14ac:dyDescent="0.3">
      <c r="B14" s="8">
        <f t="shared" si="4"/>
        <v>44445</v>
      </c>
      <c r="C14" s="42" t="str">
        <f t="shared" si="0"/>
        <v>Mon</v>
      </c>
      <c r="D14" s="18">
        <v>0.78</v>
      </c>
      <c r="E14" s="42"/>
      <c r="F14" s="19">
        <f t="shared" si="1"/>
        <v>6513</v>
      </c>
      <c r="G14" s="20">
        <v>0.56200000000000006</v>
      </c>
      <c r="H14" s="42"/>
      <c r="I14" s="42"/>
      <c r="J14" s="21">
        <v>43336</v>
      </c>
      <c r="K14" s="22">
        <f t="shared" si="2"/>
        <v>9240</v>
      </c>
      <c r="L14" s="25"/>
      <c r="M14" s="25"/>
      <c r="N14" s="22"/>
      <c r="O14" s="24"/>
      <c r="P14" s="24"/>
      <c r="Q14" s="50">
        <v>8017</v>
      </c>
      <c r="R14" s="51">
        <v>1500</v>
      </c>
      <c r="S14" s="49">
        <f t="shared" si="3"/>
        <v>9517</v>
      </c>
      <c r="T14" s="44">
        <v>21</v>
      </c>
      <c r="U14" s="44">
        <v>20.399999999999999</v>
      </c>
      <c r="V14" s="44">
        <v>21</v>
      </c>
      <c r="W14" s="44">
        <v>23</v>
      </c>
      <c r="X14" s="7">
        <v>265.37400000000002</v>
      </c>
      <c r="Y14" s="7">
        <f t="shared" si="5"/>
        <v>1234.0439999999999</v>
      </c>
      <c r="Z14" s="10">
        <v>0.13</v>
      </c>
      <c r="AA14" s="30">
        <v>30</v>
      </c>
      <c r="AB14" s="30">
        <v>3</v>
      </c>
      <c r="AC14" s="17" t="s">
        <v>43</v>
      </c>
    </row>
    <row r="15" spans="2:29" ht="14" x14ac:dyDescent="0.3">
      <c r="B15" s="8">
        <f t="shared" si="4"/>
        <v>44446</v>
      </c>
      <c r="C15" s="42" t="str">
        <f t="shared" si="0"/>
        <v>Tue</v>
      </c>
      <c r="D15" s="18">
        <v>0.83</v>
      </c>
      <c r="E15" s="42"/>
      <c r="F15" s="19">
        <f t="shared" si="1"/>
        <v>6930.5</v>
      </c>
      <c r="G15" s="20">
        <v>0.55900000000000005</v>
      </c>
      <c r="H15" s="42"/>
      <c r="I15" s="42"/>
      <c r="J15" s="21">
        <v>51855</v>
      </c>
      <c r="K15" s="22">
        <f t="shared" si="2"/>
        <v>8519</v>
      </c>
      <c r="L15" s="25"/>
      <c r="M15" s="25"/>
      <c r="N15" s="22"/>
      <c r="O15" s="24"/>
      <c r="P15" s="24"/>
      <c r="Q15" s="50">
        <v>8138</v>
      </c>
      <c r="R15" s="51">
        <v>1570</v>
      </c>
      <c r="S15" s="49">
        <f t="shared" si="3"/>
        <v>9708</v>
      </c>
      <c r="T15" s="44">
        <v>20.8</v>
      </c>
      <c r="U15" s="44">
        <v>21.5</v>
      </c>
      <c r="V15" s="44">
        <v>20.8</v>
      </c>
      <c r="W15" s="44">
        <v>23.2</v>
      </c>
      <c r="X15" s="7">
        <v>164.62</v>
      </c>
      <c r="Y15" s="7">
        <f t="shared" si="5"/>
        <v>1398.6639999999998</v>
      </c>
      <c r="Z15" s="10">
        <v>8.1699999999999995E-2</v>
      </c>
      <c r="AA15" s="30">
        <v>31</v>
      </c>
      <c r="AB15" s="30">
        <v>2</v>
      </c>
      <c r="AC15" s="17" t="s">
        <v>43</v>
      </c>
    </row>
    <row r="16" spans="2:29" ht="14" x14ac:dyDescent="0.3">
      <c r="B16" s="8">
        <f t="shared" si="4"/>
        <v>44447</v>
      </c>
      <c r="C16" s="42" t="str">
        <f t="shared" si="0"/>
        <v>Wed</v>
      </c>
      <c r="D16" s="18">
        <v>0.83</v>
      </c>
      <c r="E16" s="42"/>
      <c r="F16" s="19">
        <f t="shared" si="1"/>
        <v>6930.5</v>
      </c>
      <c r="G16" s="20">
        <v>0.55700000000000005</v>
      </c>
      <c r="H16" s="42"/>
      <c r="I16" s="42"/>
      <c r="J16" s="21">
        <v>57753</v>
      </c>
      <c r="K16" s="22">
        <f t="shared" si="2"/>
        <v>5898</v>
      </c>
      <c r="L16" s="24"/>
      <c r="M16" s="24"/>
      <c r="N16" s="22"/>
      <c r="O16" s="24"/>
      <c r="P16" s="24"/>
      <c r="Q16" s="50">
        <v>5315</v>
      </c>
      <c r="R16" s="51">
        <v>1620</v>
      </c>
      <c r="S16" s="49">
        <f t="shared" si="3"/>
        <v>6935</v>
      </c>
      <c r="T16" s="44">
        <v>14.3</v>
      </c>
      <c r="U16" s="44">
        <v>18.5</v>
      </c>
      <c r="V16" s="44">
        <v>14.3</v>
      </c>
      <c r="W16" s="44">
        <v>14.42</v>
      </c>
      <c r="X16" s="7">
        <v>149.43199999999999</v>
      </c>
      <c r="Y16" s="7">
        <f t="shared" si="5"/>
        <v>1548.0959999999998</v>
      </c>
      <c r="Z16" s="10">
        <v>0.1183</v>
      </c>
      <c r="AA16" s="30">
        <v>35</v>
      </c>
      <c r="AB16" s="30">
        <v>2</v>
      </c>
      <c r="AC16" s="17" t="s">
        <v>42</v>
      </c>
    </row>
    <row r="17" spans="2:29" ht="14" x14ac:dyDescent="0.3">
      <c r="B17" s="8">
        <f t="shared" si="4"/>
        <v>44448</v>
      </c>
      <c r="C17" s="42" t="str">
        <f t="shared" si="0"/>
        <v>Thu</v>
      </c>
      <c r="D17" s="18">
        <v>0.3</v>
      </c>
      <c r="E17" s="42"/>
      <c r="F17" s="19">
        <f t="shared" si="1"/>
        <v>2505</v>
      </c>
      <c r="G17" s="20">
        <v>0.56499999999999995</v>
      </c>
      <c r="H17" s="42"/>
      <c r="I17" s="42"/>
      <c r="J17" s="21">
        <v>65969</v>
      </c>
      <c r="K17" s="22">
        <f t="shared" si="2"/>
        <v>8216</v>
      </c>
      <c r="L17" s="26">
        <v>0.29930555555555555</v>
      </c>
      <c r="M17" s="26">
        <v>0.31527777777777777</v>
      </c>
      <c r="N17" s="22">
        <v>138</v>
      </c>
      <c r="O17" s="24"/>
      <c r="P17" s="24"/>
      <c r="Q17" s="50">
        <v>7517</v>
      </c>
      <c r="R17" s="51">
        <v>1940</v>
      </c>
      <c r="S17" s="49">
        <f t="shared" si="3"/>
        <v>9457</v>
      </c>
      <c r="T17" s="44">
        <v>18.3</v>
      </c>
      <c r="U17" s="44">
        <v>21.3</v>
      </c>
      <c r="V17" s="44">
        <v>18.3</v>
      </c>
      <c r="W17" s="44">
        <v>21</v>
      </c>
      <c r="X17" s="7">
        <v>253</v>
      </c>
      <c r="Y17" s="7">
        <f t="shared" si="5"/>
        <v>1801.0959999999998</v>
      </c>
      <c r="Z17" s="10">
        <v>0.1072</v>
      </c>
      <c r="AA17" s="30">
        <v>35</v>
      </c>
      <c r="AB17" s="30">
        <v>3</v>
      </c>
      <c r="AC17" s="17" t="s">
        <v>43</v>
      </c>
    </row>
    <row r="18" spans="2:29" ht="14" x14ac:dyDescent="0.3">
      <c r="B18" s="8">
        <f t="shared" si="4"/>
        <v>44449</v>
      </c>
      <c r="C18" s="42" t="str">
        <f t="shared" si="0"/>
        <v>Fri</v>
      </c>
      <c r="D18" s="18">
        <v>0.45</v>
      </c>
      <c r="E18" s="42"/>
      <c r="F18" s="19">
        <f t="shared" si="1"/>
        <v>3757.5</v>
      </c>
      <c r="G18" s="20">
        <v>0.56299999999999994</v>
      </c>
      <c r="H18" s="42"/>
      <c r="I18" s="42"/>
      <c r="J18" s="21">
        <v>75077</v>
      </c>
      <c r="K18" s="22">
        <f t="shared" si="2"/>
        <v>9108</v>
      </c>
      <c r="L18" s="26"/>
      <c r="M18" s="26"/>
      <c r="N18" s="22"/>
      <c r="O18" s="24"/>
      <c r="P18" s="24"/>
      <c r="Q18" s="50">
        <v>8304</v>
      </c>
      <c r="R18" s="51">
        <v>1870</v>
      </c>
      <c r="S18" s="49">
        <f t="shared" si="3"/>
        <v>10174</v>
      </c>
      <c r="T18" s="44">
        <v>21.6</v>
      </c>
      <c r="U18" s="44">
        <v>21.5</v>
      </c>
      <c r="V18" s="44">
        <v>21.6</v>
      </c>
      <c r="W18" s="44">
        <v>22.54</v>
      </c>
      <c r="X18" s="7">
        <v>252.1</v>
      </c>
      <c r="Y18" s="7">
        <f t="shared" si="5"/>
        <v>2053.1959999999999</v>
      </c>
      <c r="Z18" s="10">
        <v>0.1231</v>
      </c>
      <c r="AA18" s="30">
        <v>40</v>
      </c>
      <c r="AB18" s="30">
        <v>3</v>
      </c>
      <c r="AC18" s="17" t="s">
        <v>43</v>
      </c>
    </row>
    <row r="19" spans="2:29" ht="14" x14ac:dyDescent="0.3">
      <c r="B19" s="8">
        <f t="shared" si="4"/>
        <v>44450</v>
      </c>
      <c r="C19" s="42" t="str">
        <f t="shared" si="0"/>
        <v>Sat</v>
      </c>
      <c r="D19" s="18">
        <v>0.68</v>
      </c>
      <c r="E19" s="42"/>
      <c r="F19" s="19">
        <f t="shared" si="1"/>
        <v>5678</v>
      </c>
      <c r="G19" s="20">
        <v>0.55800000000000005</v>
      </c>
      <c r="H19" s="42"/>
      <c r="I19" s="42"/>
      <c r="J19" s="21">
        <v>77261</v>
      </c>
      <c r="K19" s="22">
        <f t="shared" si="2"/>
        <v>2184</v>
      </c>
      <c r="L19" s="26">
        <v>0.67708333333333337</v>
      </c>
      <c r="M19" s="26">
        <v>0.72222222222222221</v>
      </c>
      <c r="N19" s="22">
        <v>443</v>
      </c>
      <c r="O19" s="24"/>
      <c r="P19" s="24"/>
      <c r="Q19" s="50">
        <v>1437</v>
      </c>
      <c r="R19" s="51">
        <v>1050</v>
      </c>
      <c r="S19" s="49">
        <f t="shared" si="3"/>
        <v>2487</v>
      </c>
      <c r="T19" s="44">
        <v>4</v>
      </c>
      <c r="U19" s="44">
        <v>8.5</v>
      </c>
      <c r="V19" s="44">
        <v>4</v>
      </c>
      <c r="W19" s="44">
        <v>4.5199999999999996</v>
      </c>
      <c r="X19" s="7">
        <v>0</v>
      </c>
      <c r="Y19" s="7">
        <f t="shared" si="5"/>
        <v>2053.1959999999999</v>
      </c>
      <c r="Z19" s="10"/>
      <c r="AA19" s="30">
        <v>37</v>
      </c>
      <c r="AB19" s="30">
        <v>4</v>
      </c>
      <c r="AC19" s="17" t="s">
        <v>44</v>
      </c>
    </row>
    <row r="20" spans="2:29" ht="14" x14ac:dyDescent="0.3">
      <c r="B20" s="8">
        <f t="shared" si="4"/>
        <v>44451</v>
      </c>
      <c r="C20" s="42" t="str">
        <f t="shared" si="0"/>
        <v>Sun</v>
      </c>
      <c r="D20" s="18">
        <v>0.75</v>
      </c>
      <c r="E20" s="42"/>
      <c r="F20" s="19">
        <f t="shared" si="1"/>
        <v>6262.5</v>
      </c>
      <c r="G20" s="20"/>
      <c r="H20" s="42"/>
      <c r="I20" s="42"/>
      <c r="J20" s="21">
        <v>77261</v>
      </c>
      <c r="K20" s="22">
        <f t="shared" si="2"/>
        <v>0</v>
      </c>
      <c r="L20" s="26"/>
      <c r="M20" s="26"/>
      <c r="N20" s="22"/>
      <c r="O20" s="24"/>
      <c r="P20" s="24"/>
      <c r="Q20" s="50"/>
      <c r="R20" s="51"/>
      <c r="S20" s="49"/>
      <c r="T20" s="44"/>
      <c r="U20" s="44"/>
      <c r="V20" s="44"/>
      <c r="W20" s="44"/>
      <c r="X20" s="7">
        <v>0</v>
      </c>
      <c r="Y20" s="7">
        <f t="shared" si="5"/>
        <v>2053.1959999999999</v>
      </c>
      <c r="Z20" s="10">
        <v>0.1242</v>
      </c>
      <c r="AA20" s="30">
        <v>33</v>
      </c>
      <c r="AB20" s="30">
        <v>2</v>
      </c>
      <c r="AC20" s="17" t="s">
        <v>44</v>
      </c>
    </row>
    <row r="21" spans="2:29" ht="14" x14ac:dyDescent="0.3">
      <c r="B21" s="8">
        <f t="shared" si="4"/>
        <v>44452</v>
      </c>
      <c r="C21" s="42" t="str">
        <f t="shared" si="0"/>
        <v>Mon</v>
      </c>
      <c r="D21" s="18">
        <v>0.8</v>
      </c>
      <c r="E21" s="42"/>
      <c r="F21" s="19">
        <f t="shared" si="1"/>
        <v>6680</v>
      </c>
      <c r="G21" s="20">
        <v>0.55000000000000004</v>
      </c>
      <c r="H21" s="42"/>
      <c r="I21" s="42"/>
      <c r="J21" s="21">
        <v>85285</v>
      </c>
      <c r="K21" s="22">
        <f t="shared" si="2"/>
        <v>8024</v>
      </c>
      <c r="L21" s="26">
        <v>0.35069444444444442</v>
      </c>
      <c r="M21" s="26">
        <v>0.36527777777777781</v>
      </c>
      <c r="N21" s="22">
        <v>136</v>
      </c>
      <c r="O21" s="24"/>
      <c r="P21" s="24"/>
      <c r="Q21" s="50">
        <v>5730</v>
      </c>
      <c r="R21" s="51">
        <v>1990</v>
      </c>
      <c r="S21" s="49">
        <f t="shared" si="3"/>
        <v>7720</v>
      </c>
      <c r="T21" s="44">
        <v>15.6</v>
      </c>
      <c r="U21" s="44">
        <v>18.8</v>
      </c>
      <c r="V21" s="44">
        <v>15.6</v>
      </c>
      <c r="W21" s="44">
        <v>19.5</v>
      </c>
      <c r="X21" s="7">
        <v>79.2</v>
      </c>
      <c r="Y21" s="7">
        <f t="shared" si="5"/>
        <v>2132.3959999999997</v>
      </c>
      <c r="Z21" s="10">
        <v>0.1119</v>
      </c>
      <c r="AA21" s="30">
        <v>36</v>
      </c>
      <c r="AB21" s="30">
        <v>3</v>
      </c>
      <c r="AC21" s="17" t="s">
        <v>43</v>
      </c>
    </row>
    <row r="22" spans="2:29" ht="14" x14ac:dyDescent="0.3">
      <c r="B22" s="8">
        <f t="shared" si="4"/>
        <v>44453</v>
      </c>
      <c r="C22" s="42" t="str">
        <f t="shared" si="0"/>
        <v>Tue</v>
      </c>
      <c r="D22" s="18">
        <v>0.82</v>
      </c>
      <c r="E22" s="42"/>
      <c r="F22" s="19">
        <f t="shared" si="1"/>
        <v>6847</v>
      </c>
      <c r="G22" s="20">
        <v>0.57099999999999995</v>
      </c>
      <c r="H22" s="42"/>
      <c r="I22" s="42"/>
      <c r="J22" s="21">
        <v>93506</v>
      </c>
      <c r="K22" s="22">
        <f t="shared" si="2"/>
        <v>8221</v>
      </c>
      <c r="L22" s="24"/>
      <c r="M22" s="24"/>
      <c r="N22" s="22"/>
      <c r="O22" s="24"/>
      <c r="P22" s="24"/>
      <c r="Q22" s="50">
        <v>7274</v>
      </c>
      <c r="R22" s="51">
        <v>1925</v>
      </c>
      <c r="S22" s="49">
        <f t="shared" si="3"/>
        <v>9199</v>
      </c>
      <c r="T22" s="44">
        <v>20.3</v>
      </c>
      <c r="U22" s="44">
        <v>20.5</v>
      </c>
      <c r="V22" s="44">
        <v>20.3</v>
      </c>
      <c r="W22" s="44">
        <v>22.1</v>
      </c>
      <c r="X22" s="7">
        <v>156.4</v>
      </c>
      <c r="Y22" s="7">
        <f t="shared" si="5"/>
        <v>2288.7959999999998</v>
      </c>
      <c r="Z22" s="10"/>
      <c r="AA22" s="30">
        <v>28</v>
      </c>
      <c r="AB22" s="30">
        <v>2</v>
      </c>
      <c r="AC22" s="17" t="s">
        <v>43</v>
      </c>
    </row>
    <row r="23" spans="2:29" ht="14" x14ac:dyDescent="0.3">
      <c r="B23" s="8">
        <f t="shared" si="4"/>
        <v>44454</v>
      </c>
      <c r="C23" s="42" t="str">
        <f t="shared" si="0"/>
        <v>Wed</v>
      </c>
      <c r="D23" s="18">
        <v>0.81</v>
      </c>
      <c r="E23" s="42"/>
      <c r="F23" s="19">
        <f t="shared" si="1"/>
        <v>6763.5</v>
      </c>
      <c r="G23" s="20">
        <v>0.56799999999999995</v>
      </c>
      <c r="H23" s="42"/>
      <c r="I23" s="42"/>
      <c r="J23" s="21">
        <v>95100</v>
      </c>
      <c r="K23" s="22">
        <f t="shared" si="2"/>
        <v>1594</v>
      </c>
      <c r="L23" s="24"/>
      <c r="M23" s="24"/>
      <c r="N23" s="22"/>
      <c r="O23" s="24"/>
      <c r="P23" s="24"/>
      <c r="Q23" s="50">
        <v>3951</v>
      </c>
      <c r="R23" s="51">
        <v>3520</v>
      </c>
      <c r="S23" s="49">
        <f t="shared" si="3"/>
        <v>7471</v>
      </c>
      <c r="T23" s="44">
        <v>10</v>
      </c>
      <c r="U23" s="44">
        <v>14</v>
      </c>
      <c r="V23" s="44">
        <v>10</v>
      </c>
      <c r="W23" s="44">
        <v>3</v>
      </c>
      <c r="X23" s="7">
        <v>99.5</v>
      </c>
      <c r="Y23" s="7">
        <f t="shared" si="5"/>
        <v>2388.2959999999998</v>
      </c>
      <c r="Z23" s="10"/>
      <c r="AA23" s="30">
        <v>33</v>
      </c>
      <c r="AB23" s="30">
        <v>1</v>
      </c>
      <c r="AC23" s="17" t="s">
        <v>42</v>
      </c>
    </row>
    <row r="24" spans="2:29" ht="14" x14ac:dyDescent="0.3">
      <c r="B24" s="8">
        <f t="shared" si="4"/>
        <v>44455</v>
      </c>
      <c r="C24" s="42" t="str">
        <f t="shared" si="0"/>
        <v>Thu</v>
      </c>
      <c r="D24" s="18">
        <v>0.8</v>
      </c>
      <c r="E24" s="42"/>
      <c r="F24" s="19">
        <f t="shared" si="1"/>
        <v>6680</v>
      </c>
      <c r="G24" s="20">
        <v>0.56799999999999995</v>
      </c>
      <c r="H24" s="42"/>
      <c r="I24" s="42"/>
      <c r="J24" s="21">
        <v>95100</v>
      </c>
      <c r="K24" s="22">
        <f t="shared" si="2"/>
        <v>0</v>
      </c>
      <c r="L24" s="24"/>
      <c r="M24" s="24"/>
      <c r="N24" s="22"/>
      <c r="O24" s="24"/>
      <c r="P24" s="24"/>
      <c r="Q24" s="50">
        <v>8010</v>
      </c>
      <c r="R24" s="51">
        <v>6510</v>
      </c>
      <c r="S24" s="49">
        <f t="shared" si="3"/>
        <v>14520</v>
      </c>
      <c r="T24" s="44">
        <v>23</v>
      </c>
      <c r="U24" s="44">
        <v>23</v>
      </c>
      <c r="V24" s="44">
        <v>23</v>
      </c>
      <c r="W24" s="44"/>
      <c r="X24" s="7">
        <v>158.30000000000001</v>
      </c>
      <c r="Y24" s="7">
        <f t="shared" si="5"/>
        <v>2546.596</v>
      </c>
      <c r="Z24" s="10">
        <v>0.11259999999999999</v>
      </c>
      <c r="AA24" s="30">
        <v>39</v>
      </c>
      <c r="AB24" s="30">
        <v>4</v>
      </c>
      <c r="AC24" s="17" t="s">
        <v>43</v>
      </c>
    </row>
    <row r="25" spans="2:29" ht="14" x14ac:dyDescent="0.3">
      <c r="B25" s="8">
        <f t="shared" si="4"/>
        <v>44456</v>
      </c>
      <c r="C25" s="42" t="str">
        <f t="shared" si="0"/>
        <v>Fri</v>
      </c>
      <c r="D25" s="18">
        <v>0.85</v>
      </c>
      <c r="E25" s="42"/>
      <c r="F25" s="19">
        <f t="shared" si="1"/>
        <v>7097.5</v>
      </c>
      <c r="G25" s="20"/>
      <c r="H25" s="42"/>
      <c r="I25" s="42"/>
      <c r="J25" s="21">
        <v>95100</v>
      </c>
      <c r="K25" s="22">
        <f t="shared" si="2"/>
        <v>0</v>
      </c>
      <c r="L25" s="24"/>
      <c r="M25" s="24"/>
      <c r="N25" s="22"/>
      <c r="O25" s="24"/>
      <c r="P25" s="24"/>
      <c r="Q25" s="50">
        <v>5763</v>
      </c>
      <c r="R25" s="51">
        <v>5800</v>
      </c>
      <c r="S25" s="49">
        <f t="shared" si="3"/>
        <v>11563</v>
      </c>
      <c r="T25" s="44">
        <v>16.600000000000001</v>
      </c>
      <c r="U25" s="44">
        <v>20</v>
      </c>
      <c r="V25" s="44">
        <v>16.600000000000001</v>
      </c>
      <c r="W25" s="44"/>
      <c r="X25" s="7">
        <v>77.400000000000006</v>
      </c>
      <c r="Y25" s="7">
        <f t="shared" si="5"/>
        <v>2623.9960000000001</v>
      </c>
      <c r="Z25" s="10">
        <v>0.1036</v>
      </c>
      <c r="AA25" s="30">
        <v>45</v>
      </c>
      <c r="AB25" s="30">
        <v>1</v>
      </c>
      <c r="AC25" s="17" t="s">
        <v>42</v>
      </c>
    </row>
    <row r="26" spans="2:29" ht="14" x14ac:dyDescent="0.3">
      <c r="B26" s="8">
        <f t="shared" si="4"/>
        <v>44457</v>
      </c>
      <c r="C26" s="42" t="str">
        <f t="shared" si="0"/>
        <v>Sat</v>
      </c>
      <c r="D26" s="18">
        <v>0.93</v>
      </c>
      <c r="E26" s="42"/>
      <c r="F26" s="19">
        <f t="shared" si="1"/>
        <v>7765.5</v>
      </c>
      <c r="G26" s="20"/>
      <c r="H26" s="42"/>
      <c r="I26" s="42"/>
      <c r="J26" s="21">
        <v>95100</v>
      </c>
      <c r="K26" s="22">
        <f t="shared" si="2"/>
        <v>0</v>
      </c>
      <c r="L26" s="24"/>
      <c r="M26" s="24"/>
      <c r="N26" s="22"/>
      <c r="O26" s="24"/>
      <c r="P26" s="24"/>
      <c r="Q26" s="50"/>
      <c r="R26" s="51"/>
      <c r="S26" s="49"/>
      <c r="T26" s="44"/>
      <c r="U26" s="44"/>
      <c r="V26" s="44"/>
      <c r="W26" s="44"/>
      <c r="X26" s="7"/>
      <c r="Y26" s="7">
        <f t="shared" si="5"/>
        <v>2623.9960000000001</v>
      </c>
      <c r="Z26" s="13"/>
      <c r="AA26" s="30">
        <v>35</v>
      </c>
      <c r="AB26" s="30">
        <v>1</v>
      </c>
      <c r="AC26" s="17" t="s">
        <v>44</v>
      </c>
    </row>
    <row r="27" spans="2:29" ht="14" x14ac:dyDescent="0.3">
      <c r="B27" s="8">
        <f t="shared" si="4"/>
        <v>44458</v>
      </c>
      <c r="C27" s="42" t="str">
        <f t="shared" si="0"/>
        <v>Sun</v>
      </c>
      <c r="D27" s="18">
        <v>0.96</v>
      </c>
      <c r="E27" s="42"/>
      <c r="F27" s="19">
        <f t="shared" si="1"/>
        <v>8016</v>
      </c>
      <c r="G27" s="20"/>
      <c r="H27" s="42"/>
      <c r="I27" s="42"/>
      <c r="J27" s="21">
        <v>95100</v>
      </c>
      <c r="K27" s="22">
        <f t="shared" si="2"/>
        <v>0</v>
      </c>
      <c r="L27" s="24"/>
      <c r="M27" s="24"/>
      <c r="N27" s="22"/>
      <c r="O27" s="24"/>
      <c r="P27" s="24"/>
      <c r="Q27" s="50"/>
      <c r="R27" s="51"/>
      <c r="S27" s="49"/>
      <c r="T27" s="44"/>
      <c r="U27" s="44"/>
      <c r="V27" s="44"/>
      <c r="W27" s="44"/>
      <c r="X27" s="7"/>
      <c r="Y27" s="7">
        <f t="shared" si="5"/>
        <v>2623.9960000000001</v>
      </c>
      <c r="Z27" s="13"/>
      <c r="AA27" s="30">
        <v>30</v>
      </c>
      <c r="AB27" s="30">
        <v>2</v>
      </c>
      <c r="AC27" s="17" t="s">
        <v>44</v>
      </c>
    </row>
    <row r="28" spans="2:29" ht="14" x14ac:dyDescent="0.3">
      <c r="B28" s="8">
        <f t="shared" si="4"/>
        <v>44459</v>
      </c>
      <c r="C28" s="42" t="str">
        <f t="shared" si="0"/>
        <v>Mon</v>
      </c>
      <c r="D28" s="18">
        <v>0.97</v>
      </c>
      <c r="E28" s="42"/>
      <c r="F28" s="19">
        <f t="shared" si="1"/>
        <v>8099.5</v>
      </c>
      <c r="G28" s="20">
        <v>0.55900000000000005</v>
      </c>
      <c r="H28" s="42"/>
      <c r="I28" s="42"/>
      <c r="J28" s="21">
        <v>95100</v>
      </c>
      <c r="K28" s="22">
        <f t="shared" si="2"/>
        <v>0</v>
      </c>
      <c r="L28" s="26">
        <v>0.75416666666666676</v>
      </c>
      <c r="M28" s="26">
        <v>0.75694444444444453</v>
      </c>
      <c r="N28" s="22">
        <v>17</v>
      </c>
      <c r="O28" s="24"/>
      <c r="P28" s="24"/>
      <c r="Q28" s="50">
        <v>4558</v>
      </c>
      <c r="R28" s="51"/>
      <c r="S28" s="49">
        <f t="shared" si="3"/>
        <v>4558</v>
      </c>
      <c r="T28" s="44">
        <v>8.4</v>
      </c>
      <c r="U28" s="44"/>
      <c r="V28" s="44">
        <v>8.4</v>
      </c>
      <c r="W28" s="44"/>
      <c r="X28" s="7">
        <v>11</v>
      </c>
      <c r="Y28" s="7">
        <f t="shared" si="5"/>
        <v>2634.9960000000001</v>
      </c>
      <c r="Z28" s="13"/>
      <c r="AA28" s="30">
        <v>31</v>
      </c>
      <c r="AB28" s="30">
        <v>3</v>
      </c>
      <c r="AC28" s="17" t="s">
        <v>42</v>
      </c>
    </row>
    <row r="29" spans="2:29" ht="14" x14ac:dyDescent="0.3">
      <c r="B29" s="8">
        <f t="shared" si="4"/>
        <v>44460</v>
      </c>
      <c r="C29" s="42" t="str">
        <f t="shared" si="0"/>
        <v>Tue</v>
      </c>
      <c r="D29" s="18">
        <v>0.67149999999999999</v>
      </c>
      <c r="E29" s="42"/>
      <c r="F29" s="19">
        <f t="shared" si="1"/>
        <v>5607.0249999999996</v>
      </c>
      <c r="G29" s="20">
        <v>0.56499999999999995</v>
      </c>
      <c r="H29" s="42"/>
      <c r="I29" s="42"/>
      <c r="J29" s="21">
        <v>100184</v>
      </c>
      <c r="K29" s="22">
        <f t="shared" si="2"/>
        <v>5084</v>
      </c>
      <c r="L29" s="24"/>
      <c r="M29" s="24"/>
      <c r="N29" s="22"/>
      <c r="O29" s="24"/>
      <c r="P29" s="24"/>
      <c r="Q29" s="50">
        <v>7654</v>
      </c>
      <c r="R29" s="51">
        <v>1690</v>
      </c>
      <c r="S29" s="49">
        <f t="shared" si="3"/>
        <v>9344</v>
      </c>
      <c r="T29" s="44">
        <v>20</v>
      </c>
      <c r="U29" s="44">
        <v>18</v>
      </c>
      <c r="V29" s="44">
        <v>20</v>
      </c>
      <c r="W29" s="44"/>
      <c r="X29" s="7">
        <v>92.2</v>
      </c>
      <c r="Y29" s="7">
        <f t="shared" si="5"/>
        <v>2727.1959999999999</v>
      </c>
      <c r="Z29" s="13"/>
      <c r="AA29" s="30">
        <v>84</v>
      </c>
      <c r="AB29" s="30">
        <v>11</v>
      </c>
      <c r="AC29" s="17" t="s">
        <v>43</v>
      </c>
    </row>
    <row r="30" spans="2:29" ht="14" x14ac:dyDescent="0.3">
      <c r="B30" s="8">
        <f t="shared" si="4"/>
        <v>44461</v>
      </c>
      <c r="C30" s="42" t="str">
        <f t="shared" si="0"/>
        <v>Wed</v>
      </c>
      <c r="D30" s="18">
        <v>0.5</v>
      </c>
      <c r="E30" s="42"/>
      <c r="F30" s="19">
        <f t="shared" si="1"/>
        <v>4175</v>
      </c>
      <c r="G30" s="20">
        <v>0.55600000000000005</v>
      </c>
      <c r="H30" s="42"/>
      <c r="I30" s="42"/>
      <c r="J30" s="21">
        <v>105987</v>
      </c>
      <c r="K30" s="22">
        <f t="shared" si="2"/>
        <v>5803</v>
      </c>
      <c r="L30" s="24"/>
      <c r="M30" s="24"/>
      <c r="N30" s="22"/>
      <c r="O30" s="24"/>
      <c r="P30" s="24"/>
      <c r="Q30" s="50">
        <v>5681</v>
      </c>
      <c r="R30" s="51">
        <v>2240</v>
      </c>
      <c r="S30" s="49">
        <f t="shared" si="3"/>
        <v>7921</v>
      </c>
      <c r="T30" s="44">
        <v>15.3</v>
      </c>
      <c r="U30" s="44">
        <v>17.899999999999999</v>
      </c>
      <c r="V30" s="44">
        <v>15.3</v>
      </c>
      <c r="W30" s="44">
        <v>13</v>
      </c>
      <c r="X30" s="7">
        <v>95.4</v>
      </c>
      <c r="Y30" s="7">
        <f t="shared" si="5"/>
        <v>2822.596</v>
      </c>
      <c r="Z30" s="13"/>
      <c r="AA30" s="30">
        <v>36</v>
      </c>
      <c r="AB30" s="30">
        <v>3</v>
      </c>
      <c r="AC30" s="17" t="s">
        <v>42</v>
      </c>
    </row>
    <row r="31" spans="2:29" ht="14" x14ac:dyDescent="0.3">
      <c r="B31" s="8">
        <f t="shared" si="4"/>
        <v>44462</v>
      </c>
      <c r="C31" s="42" t="str">
        <f t="shared" si="0"/>
        <v>Thu</v>
      </c>
      <c r="D31" s="18">
        <v>0.4</v>
      </c>
      <c r="E31" s="42"/>
      <c r="F31" s="19">
        <f t="shared" si="1"/>
        <v>3340</v>
      </c>
      <c r="G31" s="20">
        <v>0.55399999999999994</v>
      </c>
      <c r="H31" s="42"/>
      <c r="I31" s="42"/>
      <c r="J31" s="21">
        <v>111055</v>
      </c>
      <c r="K31" s="22">
        <f t="shared" si="2"/>
        <v>5068</v>
      </c>
      <c r="L31" s="24"/>
      <c r="M31" s="24"/>
      <c r="N31" s="22"/>
      <c r="O31" s="24"/>
      <c r="P31" s="24"/>
      <c r="Q31" s="50">
        <v>4114</v>
      </c>
      <c r="R31" s="51">
        <v>2150</v>
      </c>
      <c r="S31" s="49">
        <f t="shared" si="3"/>
        <v>6264</v>
      </c>
      <c r="T31" s="44">
        <v>11.2</v>
      </c>
      <c r="U31" s="44">
        <v>16.600000000000001</v>
      </c>
      <c r="V31" s="44">
        <v>11.2</v>
      </c>
      <c r="W31" s="44">
        <v>12.11</v>
      </c>
      <c r="X31" s="7">
        <v>65.8</v>
      </c>
      <c r="Y31" s="7">
        <f t="shared" si="5"/>
        <v>2888.3960000000002</v>
      </c>
      <c r="Z31" s="10">
        <v>0.1237</v>
      </c>
      <c r="AA31" s="30">
        <v>80</v>
      </c>
      <c r="AB31" s="30">
        <v>6</v>
      </c>
      <c r="AC31" s="17" t="s">
        <v>42</v>
      </c>
    </row>
    <row r="32" spans="2:29" ht="14" x14ac:dyDescent="0.3">
      <c r="B32" s="8">
        <f t="shared" si="4"/>
        <v>44463</v>
      </c>
      <c r="C32" s="42" t="str">
        <f t="shared" si="0"/>
        <v>Fri</v>
      </c>
      <c r="D32" s="18">
        <v>0.67</v>
      </c>
      <c r="E32" s="42"/>
      <c r="F32" s="19">
        <f t="shared" si="1"/>
        <v>5594.5</v>
      </c>
      <c r="G32" s="20"/>
      <c r="H32" s="42"/>
      <c r="I32" s="42"/>
      <c r="J32" s="21">
        <v>111055</v>
      </c>
      <c r="K32" s="22">
        <f t="shared" si="2"/>
        <v>0</v>
      </c>
      <c r="L32" s="24"/>
      <c r="M32" s="24"/>
      <c r="N32" s="22"/>
      <c r="O32" s="24"/>
      <c r="P32" s="24"/>
      <c r="Q32" s="50"/>
      <c r="R32" s="51"/>
      <c r="S32" s="49"/>
      <c r="T32" s="44"/>
      <c r="U32" s="44"/>
      <c r="V32" s="44"/>
      <c r="W32" s="44"/>
      <c r="X32" s="7"/>
      <c r="Y32" s="7">
        <f t="shared" si="5"/>
        <v>2888.3960000000002</v>
      </c>
      <c r="Z32" s="13"/>
      <c r="AA32" s="30">
        <v>90</v>
      </c>
      <c r="AB32" s="30">
        <v>3</v>
      </c>
      <c r="AC32" s="17" t="s">
        <v>44</v>
      </c>
    </row>
    <row r="33" spans="2:29" ht="14" x14ac:dyDescent="0.3">
      <c r="B33" s="8">
        <f t="shared" si="4"/>
        <v>44464</v>
      </c>
      <c r="C33" s="42" t="str">
        <f t="shared" si="0"/>
        <v>Sat</v>
      </c>
      <c r="D33" s="18">
        <v>0.82</v>
      </c>
      <c r="E33" s="42"/>
      <c r="F33" s="19">
        <f t="shared" si="1"/>
        <v>6847</v>
      </c>
      <c r="G33" s="20">
        <v>0.55300000000000005</v>
      </c>
      <c r="H33" s="42"/>
      <c r="I33" s="42"/>
      <c r="J33" s="21">
        <v>111055</v>
      </c>
      <c r="K33" s="22">
        <f t="shared" si="2"/>
        <v>0</v>
      </c>
      <c r="L33" s="24"/>
      <c r="M33" s="24"/>
      <c r="N33" s="22"/>
      <c r="O33" s="24"/>
      <c r="P33" s="24"/>
      <c r="Q33" s="50"/>
      <c r="R33" s="51"/>
      <c r="S33" s="49"/>
      <c r="T33" s="44"/>
      <c r="U33" s="44"/>
      <c r="V33" s="44"/>
      <c r="W33" s="44"/>
      <c r="X33" s="7"/>
      <c r="Y33" s="7">
        <f t="shared" si="5"/>
        <v>2888.3960000000002</v>
      </c>
      <c r="Z33" s="13"/>
      <c r="AA33" s="30">
        <v>66</v>
      </c>
      <c r="AB33" s="30">
        <v>2</v>
      </c>
      <c r="AC33" s="17" t="s">
        <v>44</v>
      </c>
    </row>
    <row r="34" spans="2:29" ht="14" x14ac:dyDescent="0.3">
      <c r="B34" s="8">
        <f t="shared" si="4"/>
        <v>44465</v>
      </c>
      <c r="C34" s="42" t="str">
        <f t="shared" si="0"/>
        <v>Sun</v>
      </c>
      <c r="D34" s="18">
        <v>0.43</v>
      </c>
      <c r="E34" s="42"/>
      <c r="F34" s="19">
        <f t="shared" si="1"/>
        <v>3590.5</v>
      </c>
      <c r="G34" s="20">
        <v>0.55300000000000005</v>
      </c>
      <c r="H34" s="42"/>
      <c r="I34" s="42"/>
      <c r="J34" s="21">
        <v>114243</v>
      </c>
      <c r="K34" s="22">
        <f t="shared" si="2"/>
        <v>3188</v>
      </c>
      <c r="L34" s="24"/>
      <c r="M34" s="24"/>
      <c r="N34" s="22"/>
      <c r="O34" s="24"/>
      <c r="P34" s="24"/>
      <c r="Q34" s="50">
        <v>3156</v>
      </c>
      <c r="R34" s="51">
        <v>1300</v>
      </c>
      <c r="S34" s="49">
        <f t="shared" si="3"/>
        <v>4456</v>
      </c>
      <c r="T34" s="44">
        <v>8.6999999999999993</v>
      </c>
      <c r="U34" s="44">
        <v>11.3</v>
      </c>
      <c r="V34" s="44">
        <v>8.6999999999999993</v>
      </c>
      <c r="W34" s="44">
        <v>8.8000000000000007</v>
      </c>
      <c r="X34" s="7">
        <v>66.900000000000006</v>
      </c>
      <c r="Y34" s="7">
        <f t="shared" si="5"/>
        <v>2955.2960000000003</v>
      </c>
      <c r="Z34" s="13"/>
      <c r="AA34" s="30">
        <v>154</v>
      </c>
      <c r="AB34" s="30">
        <v>3</v>
      </c>
      <c r="AC34" s="17" t="s">
        <v>42</v>
      </c>
    </row>
    <row r="35" spans="2:29" ht="14" x14ac:dyDescent="0.3">
      <c r="B35" s="8">
        <f t="shared" si="4"/>
        <v>44466</v>
      </c>
      <c r="C35" s="42" t="str">
        <f t="shared" si="0"/>
        <v>Mon</v>
      </c>
      <c r="D35" s="18">
        <v>0.18310000000000001</v>
      </c>
      <c r="E35" s="42"/>
      <c r="F35" s="19">
        <f t="shared" si="1"/>
        <v>1528.8850000000002</v>
      </c>
      <c r="G35" s="20">
        <v>0.55800000000000005</v>
      </c>
      <c r="H35" s="42"/>
      <c r="I35" s="42"/>
      <c r="J35" s="21">
        <v>123660</v>
      </c>
      <c r="K35" s="22">
        <f t="shared" si="2"/>
        <v>9417</v>
      </c>
      <c r="L35" s="24"/>
      <c r="M35" s="24"/>
      <c r="N35" s="22"/>
      <c r="O35" s="24"/>
      <c r="P35" s="24"/>
      <c r="Q35" s="50">
        <v>8280</v>
      </c>
      <c r="R35" s="51">
        <v>1785</v>
      </c>
      <c r="S35" s="49">
        <f t="shared" si="3"/>
        <v>10065</v>
      </c>
      <c r="T35" s="44">
        <v>20.2</v>
      </c>
      <c r="U35" s="44">
        <v>20.100000000000001</v>
      </c>
      <c r="V35" s="44">
        <v>20.2</v>
      </c>
      <c r="W35" s="44">
        <v>20.81</v>
      </c>
      <c r="X35" s="7">
        <v>112.5</v>
      </c>
      <c r="Y35" s="7">
        <f t="shared" si="5"/>
        <v>3067.7960000000003</v>
      </c>
      <c r="Z35" s="10">
        <v>0.13070000000000001</v>
      </c>
      <c r="AA35" s="30">
        <v>281</v>
      </c>
      <c r="AB35" s="30">
        <v>2</v>
      </c>
      <c r="AC35" s="17" t="s">
        <v>43</v>
      </c>
    </row>
    <row r="36" spans="2:29" ht="14" x14ac:dyDescent="0.3">
      <c r="B36" s="8">
        <f t="shared" si="4"/>
        <v>44467</v>
      </c>
      <c r="C36" s="42" t="str">
        <f t="shared" si="0"/>
        <v>Tue</v>
      </c>
      <c r="D36" s="18">
        <v>0.15770000000000001</v>
      </c>
      <c r="E36" s="42"/>
      <c r="F36" s="19">
        <f t="shared" si="1"/>
        <v>1316.7950000000001</v>
      </c>
      <c r="G36" s="27">
        <v>0.55200000000000005</v>
      </c>
      <c r="H36" s="42"/>
      <c r="I36" s="42"/>
      <c r="J36" s="21">
        <v>133863</v>
      </c>
      <c r="K36" s="22">
        <f t="shared" si="2"/>
        <v>10203</v>
      </c>
      <c r="L36" s="24"/>
      <c r="M36" s="24"/>
      <c r="N36" s="22"/>
      <c r="O36" s="24"/>
      <c r="P36" s="24"/>
      <c r="Q36" s="50">
        <v>9085</v>
      </c>
      <c r="R36" s="51">
        <v>1800</v>
      </c>
      <c r="S36" s="49">
        <f t="shared" si="3"/>
        <v>10885</v>
      </c>
      <c r="T36" s="44">
        <v>20</v>
      </c>
      <c r="U36" s="44">
        <v>20.100000000000001</v>
      </c>
      <c r="V36" s="44">
        <v>20</v>
      </c>
      <c r="W36" s="44">
        <v>21.55</v>
      </c>
      <c r="X36" s="7">
        <v>175.1</v>
      </c>
      <c r="Y36" s="7">
        <f t="shared" si="5"/>
        <v>3242.8960000000002</v>
      </c>
      <c r="Z36" s="10">
        <v>0.11260000000000001</v>
      </c>
      <c r="AA36" s="30">
        <v>269</v>
      </c>
      <c r="AB36" s="30">
        <v>3</v>
      </c>
      <c r="AC36" s="17" t="s">
        <v>43</v>
      </c>
    </row>
    <row r="37" spans="2:29" ht="14" x14ac:dyDescent="0.3">
      <c r="B37" s="8">
        <f t="shared" si="4"/>
        <v>44468</v>
      </c>
      <c r="C37" s="42"/>
      <c r="D37" s="18"/>
      <c r="E37" s="42"/>
      <c r="F37" s="19"/>
      <c r="G37" s="27"/>
      <c r="H37" s="42"/>
      <c r="I37" s="42"/>
      <c r="J37" s="21"/>
      <c r="K37" s="22"/>
      <c r="L37" s="24"/>
      <c r="M37" s="24"/>
      <c r="N37" s="22"/>
      <c r="O37" s="24"/>
      <c r="P37" s="24"/>
      <c r="Q37" s="31"/>
      <c r="R37" s="44"/>
      <c r="S37" s="49">
        <f t="shared" si="3"/>
        <v>0</v>
      </c>
      <c r="T37" s="44"/>
      <c r="U37" s="44"/>
      <c r="V37" s="44"/>
      <c r="W37" s="44"/>
      <c r="X37" s="7"/>
      <c r="Y37" s="7"/>
      <c r="Z37" s="11"/>
      <c r="AA37" s="30"/>
      <c r="AB37" s="30"/>
      <c r="AC37" s="17"/>
    </row>
    <row r="38" spans="2:29" ht="14" x14ac:dyDescent="0.3">
      <c r="B38" s="8">
        <f t="shared" si="4"/>
        <v>44469</v>
      </c>
      <c r="C38" s="42" t="str">
        <f t="shared" si="0"/>
        <v>Thu</v>
      </c>
      <c r="D38" s="18"/>
      <c r="E38" s="42"/>
      <c r="F38" s="19">
        <f t="shared" si="1"/>
        <v>0</v>
      </c>
      <c r="G38" s="42"/>
      <c r="H38" s="42"/>
      <c r="I38" s="42"/>
      <c r="J38" s="21"/>
      <c r="K38" s="22"/>
      <c r="L38" s="24"/>
      <c r="M38" s="24"/>
      <c r="N38" s="22"/>
      <c r="O38" s="24"/>
      <c r="P38" s="24"/>
      <c r="Q38" s="31"/>
      <c r="R38" s="44"/>
      <c r="S38" s="49">
        <f t="shared" si="3"/>
        <v>0</v>
      </c>
      <c r="T38" s="44"/>
      <c r="U38" s="44"/>
      <c r="V38" s="44"/>
      <c r="W38" s="44"/>
      <c r="X38" s="7"/>
      <c r="Y38" s="7"/>
      <c r="Z38" s="11"/>
      <c r="AA38" s="30"/>
      <c r="AB38" s="30"/>
      <c r="AC38" s="17"/>
    </row>
    <row r="39" spans="2:29" ht="14" x14ac:dyDescent="0.3">
      <c r="B39" s="14" t="s">
        <v>41</v>
      </c>
      <c r="C39" s="42"/>
      <c r="D39" s="42"/>
      <c r="E39" s="42"/>
      <c r="F39" s="42"/>
      <c r="G39" s="42"/>
      <c r="H39" s="42"/>
      <c r="I39" s="42"/>
      <c r="J39" s="24"/>
      <c r="K39" s="28">
        <f>SUM(K7:K38)</f>
        <v>133863</v>
      </c>
      <c r="L39" s="24"/>
      <c r="M39" s="24"/>
      <c r="N39" s="24"/>
      <c r="O39" s="24"/>
      <c r="P39" s="24"/>
      <c r="Q39" s="31"/>
      <c r="R39" s="44"/>
      <c r="S39" s="49">
        <f t="shared" si="3"/>
        <v>0</v>
      </c>
      <c r="T39" s="44"/>
      <c r="U39" s="44"/>
      <c r="V39" s="44"/>
      <c r="W39" s="44"/>
      <c r="X39" s="7"/>
      <c r="Y39" s="7">
        <f>Y38</f>
        <v>0</v>
      </c>
      <c r="Z39" s="6">
        <f>AVERAGE(Z7:Z38)</f>
        <v>0.11496666666666666</v>
      </c>
      <c r="AA39" s="31"/>
      <c r="AB39" s="31"/>
      <c r="AC39" s="5"/>
    </row>
    <row r="42" spans="2:29" x14ac:dyDescent="0.25">
      <c r="C42" s="16"/>
      <c r="S42" s="52"/>
      <c r="T42" s="53"/>
      <c r="U42" s="53"/>
    </row>
    <row r="43" spans="2:29" x14ac:dyDescent="0.25">
      <c r="T43" s="53"/>
    </row>
  </sheetData>
  <mergeCells count="16">
    <mergeCell ref="X5:Y5"/>
    <mergeCell ref="B3:W3"/>
    <mergeCell ref="X3:Z4"/>
    <mergeCell ref="AA3:AB4"/>
    <mergeCell ref="AC3:AC6"/>
    <mergeCell ref="B4:B6"/>
    <mergeCell ref="C4:C6"/>
    <mergeCell ref="D4:E4"/>
    <mergeCell ref="H4:K4"/>
    <mergeCell ref="L4:N4"/>
    <mergeCell ref="O4:P5"/>
    <mergeCell ref="T4:U4"/>
    <mergeCell ref="V4:W4"/>
    <mergeCell ref="H5:I5"/>
    <mergeCell ref="J5:K5"/>
    <mergeCell ref="L5:M5"/>
  </mergeCells>
  <pageMargins left="0" right="0" top="0.35433070866141736" bottom="0" header="0.31496062992125984" footer="0.31496062992125984"/>
  <pageSetup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6960EF-2CF4-40A0-9CF6-ED6A87284CA6}">
  <sheetPr>
    <pageSetUpPr fitToPage="1"/>
  </sheetPr>
  <dimension ref="B2:AG47"/>
  <sheetViews>
    <sheetView showGridLines="0" view="pageBreakPreview" zoomScale="55" zoomScaleNormal="80" zoomScaleSheetLayoutView="55" workbookViewId="0">
      <pane xSplit="3" ySplit="6" topLeftCell="P7" activePane="bottomRight" state="frozen"/>
      <selection pane="topRight" activeCell="AA42" sqref="AA42"/>
      <selection pane="bottomLeft" activeCell="AA42" sqref="AA42"/>
      <selection pane="bottomRight" activeCell="AK15" sqref="AK15"/>
    </sheetView>
  </sheetViews>
  <sheetFormatPr defaultColWidth="9.1796875" defaultRowHeight="13.5" x14ac:dyDescent="0.25"/>
  <cols>
    <col min="1" max="1" width="4.54296875" style="1" customWidth="1"/>
    <col min="2" max="2" width="22.54296875" style="2" customWidth="1"/>
    <col min="3" max="3" width="10.453125" style="2" bestFit="1" customWidth="1"/>
    <col min="4" max="4" width="11.453125" style="2" hidden="1" customWidth="1"/>
    <col min="5" max="5" width="11.54296875" style="2" hidden="1" customWidth="1"/>
    <col min="6" max="6" width="11.1796875" style="2" hidden="1" customWidth="1"/>
    <col min="7" max="7" width="16" style="1" hidden="1" customWidth="1"/>
    <col min="8" max="8" width="13" style="1" hidden="1" customWidth="1"/>
    <col min="9" max="9" width="19.81640625" style="1" hidden="1" customWidth="1"/>
    <col min="10" max="10" width="15.81640625" style="1" hidden="1" customWidth="1"/>
    <col min="11" max="12" width="11.1796875" style="2" hidden="1" customWidth="1"/>
    <col min="13" max="13" width="13.54296875" style="1" hidden="1" customWidth="1"/>
    <col min="14" max="15" width="9" style="1" hidden="1" customWidth="1"/>
    <col min="16" max="16" width="14.54296875" style="1" customWidth="1"/>
    <col min="17" max="17" width="11.453125" style="1" customWidth="1"/>
    <col min="18" max="18" width="14.54296875" style="1" customWidth="1"/>
    <col min="19" max="20" width="11.453125" style="1" customWidth="1"/>
    <col min="21" max="21" width="15.7265625" style="1" hidden="1" customWidth="1"/>
    <col min="22" max="22" width="14.7265625" style="1" hidden="1" customWidth="1"/>
    <col min="23" max="23" width="21.1796875" style="2" hidden="1" customWidth="1"/>
    <col min="24" max="24" width="11.54296875" style="2" hidden="1" customWidth="1"/>
    <col min="25" max="25" width="16.7265625" style="2" hidden="1" customWidth="1"/>
    <col min="26" max="26" width="12.453125" style="1" hidden="1" customWidth="1"/>
    <col min="27" max="27" width="13.81640625" style="1" hidden="1" customWidth="1"/>
    <col min="28" max="28" width="11.54296875" style="1" hidden="1" customWidth="1"/>
    <col min="29" max="29" width="38" style="1" hidden="1" customWidth="1"/>
    <col min="30" max="30" width="9.1796875" style="1"/>
    <col min="31" max="31" width="10.81640625" style="1" bestFit="1" customWidth="1"/>
    <col min="32" max="32" width="12.81640625" style="1" bestFit="1" customWidth="1"/>
    <col min="33" max="16384" width="9.1796875" style="1"/>
  </cols>
  <sheetData>
    <row r="2" spans="2:33" x14ac:dyDescent="0.25">
      <c r="B2" s="4" t="s">
        <v>0</v>
      </c>
    </row>
    <row r="3" spans="2:33" ht="16.5" customHeight="1" x14ac:dyDescent="0.3">
      <c r="B3" s="235" t="s">
        <v>1</v>
      </c>
      <c r="C3" s="236"/>
      <c r="D3" s="236"/>
      <c r="E3" s="236"/>
      <c r="F3" s="236"/>
      <c r="G3" s="236"/>
      <c r="H3" s="236"/>
      <c r="I3" s="236"/>
      <c r="J3" s="236"/>
      <c r="K3" s="236"/>
      <c r="L3" s="236"/>
      <c r="M3" s="236"/>
      <c r="N3" s="236"/>
      <c r="O3" s="236"/>
      <c r="P3" s="236"/>
      <c r="Q3" s="236"/>
      <c r="R3" s="147"/>
      <c r="S3" s="147"/>
      <c r="T3" s="152"/>
      <c r="U3" s="237" t="s">
        <v>2</v>
      </c>
      <c r="V3" s="238"/>
      <c r="W3" s="237" t="s">
        <v>3</v>
      </c>
      <c r="X3" s="238"/>
      <c r="Y3" s="238"/>
      <c r="Z3" s="238"/>
      <c r="AA3" s="238"/>
      <c r="AB3" s="241"/>
      <c r="AC3" s="209" t="s">
        <v>45</v>
      </c>
    </row>
    <row r="4" spans="2:33" ht="16.5" customHeight="1" x14ac:dyDescent="0.25">
      <c r="B4" s="212" t="s">
        <v>5</v>
      </c>
      <c r="C4" s="212" t="s">
        <v>6</v>
      </c>
      <c r="D4" s="54" t="s">
        <v>8</v>
      </c>
      <c r="E4" s="245" t="s">
        <v>46</v>
      </c>
      <c r="F4" s="246"/>
      <c r="G4" s="246"/>
      <c r="H4" s="246"/>
      <c r="I4" s="246"/>
      <c r="J4" s="246"/>
      <c r="K4" s="246"/>
      <c r="L4" s="247"/>
      <c r="M4" s="213" t="s">
        <v>10</v>
      </c>
      <c r="N4" s="213"/>
      <c r="O4" s="213"/>
      <c r="P4" s="201" t="s">
        <v>47</v>
      </c>
      <c r="Q4" s="203"/>
      <c r="R4" s="201" t="s">
        <v>48</v>
      </c>
      <c r="S4" s="203"/>
      <c r="T4" s="203" t="s">
        <v>49</v>
      </c>
      <c r="U4" s="239"/>
      <c r="V4" s="240"/>
      <c r="W4" s="242"/>
      <c r="X4" s="243"/>
      <c r="Y4" s="243"/>
      <c r="Z4" s="243"/>
      <c r="AA4" s="243"/>
      <c r="AB4" s="244"/>
      <c r="AC4" s="210"/>
    </row>
    <row r="5" spans="2:33" ht="52.5" customHeight="1" x14ac:dyDescent="0.25">
      <c r="B5" s="212"/>
      <c r="C5" s="212"/>
      <c r="D5" s="43" t="s">
        <v>18</v>
      </c>
      <c r="E5" s="214" t="s">
        <v>19</v>
      </c>
      <c r="F5" s="214"/>
      <c r="G5" s="214" t="s">
        <v>50</v>
      </c>
      <c r="H5" s="214"/>
      <c r="I5" s="214" t="s">
        <v>51</v>
      </c>
      <c r="J5" s="214"/>
      <c r="K5" s="214" t="s">
        <v>52</v>
      </c>
      <c r="L5" s="214"/>
      <c r="M5" s="212" t="s">
        <v>21</v>
      </c>
      <c r="N5" s="212"/>
      <c r="O5" s="43" t="s">
        <v>22</v>
      </c>
      <c r="P5" s="207"/>
      <c r="Q5" s="208"/>
      <c r="R5" s="207"/>
      <c r="S5" s="208"/>
      <c r="T5" s="208"/>
      <c r="U5" s="231" t="s">
        <v>26</v>
      </c>
      <c r="V5" s="232"/>
      <c r="W5" s="233" t="s">
        <v>53</v>
      </c>
      <c r="X5" s="234"/>
      <c r="Y5" s="233" t="s">
        <v>54</v>
      </c>
      <c r="Z5" s="234"/>
      <c r="AA5" s="231" t="s">
        <v>55</v>
      </c>
      <c r="AB5" s="232"/>
      <c r="AC5" s="210"/>
    </row>
    <row r="6" spans="2:33" ht="14.5" x14ac:dyDescent="0.25">
      <c r="B6" s="212"/>
      <c r="C6" s="212"/>
      <c r="D6" s="56" t="s">
        <v>56</v>
      </c>
      <c r="E6" s="17" t="s">
        <v>30</v>
      </c>
      <c r="F6" s="17" t="s">
        <v>31</v>
      </c>
      <c r="G6" s="17" t="s">
        <v>30</v>
      </c>
      <c r="H6" s="17" t="s">
        <v>31</v>
      </c>
      <c r="I6" s="17" t="s">
        <v>30</v>
      </c>
      <c r="J6" s="17" t="s">
        <v>31</v>
      </c>
      <c r="K6" s="17" t="s">
        <v>30</v>
      </c>
      <c r="L6" s="17" t="s">
        <v>31</v>
      </c>
      <c r="M6" s="40" t="s">
        <v>32</v>
      </c>
      <c r="N6" s="40" t="s">
        <v>33</v>
      </c>
      <c r="O6" s="41" t="s">
        <v>34</v>
      </c>
      <c r="P6" s="17" t="s">
        <v>30</v>
      </c>
      <c r="Q6" s="17" t="s">
        <v>31</v>
      </c>
      <c r="R6" s="17" t="s">
        <v>30</v>
      </c>
      <c r="S6" s="17" t="s">
        <v>31</v>
      </c>
      <c r="T6" s="17" t="s">
        <v>31</v>
      </c>
      <c r="U6" s="17" t="s">
        <v>57</v>
      </c>
      <c r="V6" s="17" t="s">
        <v>58</v>
      </c>
      <c r="W6" s="9" t="s">
        <v>30</v>
      </c>
      <c r="X6" s="9" t="s">
        <v>59</v>
      </c>
      <c r="Y6" s="9" t="s">
        <v>30</v>
      </c>
      <c r="Z6" s="9" t="s">
        <v>59</v>
      </c>
      <c r="AA6" s="9" t="s">
        <v>30</v>
      </c>
      <c r="AB6" s="9" t="s">
        <v>59</v>
      </c>
      <c r="AC6" s="211"/>
    </row>
    <row r="7" spans="2:33" x14ac:dyDescent="0.25">
      <c r="B7" s="41" t="s">
        <v>60</v>
      </c>
      <c r="C7" s="41"/>
      <c r="D7" s="145"/>
      <c r="E7" s="146"/>
      <c r="F7" s="144"/>
      <c r="G7" s="129"/>
      <c r="H7" s="129"/>
      <c r="I7" s="129"/>
      <c r="J7" s="129"/>
      <c r="K7" s="129"/>
      <c r="L7" s="129"/>
      <c r="M7" s="129"/>
      <c r="N7" s="129"/>
      <c r="O7" s="129"/>
      <c r="P7" s="129"/>
      <c r="Q7" s="129"/>
      <c r="R7" s="129"/>
      <c r="S7" s="129"/>
      <c r="T7" s="153"/>
      <c r="U7" s="149"/>
      <c r="V7" s="149"/>
      <c r="W7" s="57"/>
      <c r="X7" s="57"/>
      <c r="Y7" s="57"/>
      <c r="Z7" s="57"/>
      <c r="AA7" s="57"/>
      <c r="AB7" s="57"/>
      <c r="AC7" s="143"/>
    </row>
    <row r="8" spans="2:33" ht="20.5" customHeight="1" x14ac:dyDescent="0.25">
      <c r="B8" s="8">
        <v>45474</v>
      </c>
      <c r="C8" s="42" t="str">
        <f>TEXT(B8,"ddd")</f>
        <v>Mon</v>
      </c>
      <c r="D8" s="124" t="s">
        <v>61</v>
      </c>
      <c r="E8" s="125"/>
      <c r="F8" s="126"/>
      <c r="G8" s="129"/>
      <c r="H8" s="11"/>
      <c r="I8" s="130"/>
      <c r="J8" s="11"/>
      <c r="K8" s="150"/>
      <c r="L8" s="150"/>
      <c r="M8" s="151"/>
      <c r="N8" s="151"/>
      <c r="O8" s="99"/>
      <c r="P8" s="129"/>
      <c r="Q8" s="58"/>
      <c r="R8" s="59"/>
      <c r="S8" s="58"/>
      <c r="T8" s="58"/>
      <c r="U8" s="149"/>
      <c r="V8" s="149"/>
      <c r="W8" s="57"/>
      <c r="X8" s="11"/>
      <c r="Y8" s="57"/>
      <c r="Z8" s="11"/>
      <c r="AA8" s="57"/>
      <c r="AB8" s="11"/>
      <c r="AC8" s="17"/>
      <c r="AE8" s="78"/>
      <c r="AF8" s="74"/>
      <c r="AG8" s="74"/>
    </row>
    <row r="9" spans="2:33" ht="20.5" customHeight="1" x14ac:dyDescent="0.25">
      <c r="B9" s="8">
        <f>B8+1</f>
        <v>45475</v>
      </c>
      <c r="C9" s="42" t="str">
        <f t="shared" ref="C9:C38" si="0">TEXT(B9,"ddd")</f>
        <v>Tue</v>
      </c>
      <c r="D9" s="124"/>
      <c r="E9" s="125"/>
      <c r="F9" s="125"/>
      <c r="G9" s="129"/>
      <c r="H9" s="11"/>
      <c r="I9" s="130"/>
      <c r="J9" s="11"/>
      <c r="K9" s="150"/>
      <c r="L9" s="150"/>
      <c r="M9" s="151"/>
      <c r="N9" s="151"/>
      <c r="O9" s="99"/>
      <c r="P9" s="129"/>
      <c r="Q9" s="58"/>
      <c r="R9" s="59"/>
      <c r="S9" s="58"/>
      <c r="T9" s="58"/>
      <c r="U9" s="149"/>
      <c r="V9" s="149"/>
      <c r="W9" s="57"/>
      <c r="X9" s="11"/>
      <c r="Y9" s="57"/>
      <c r="Z9" s="11"/>
      <c r="AA9" s="57"/>
      <c r="AB9" s="11"/>
      <c r="AC9" s="17"/>
      <c r="AE9" s="78"/>
      <c r="AF9" s="74"/>
      <c r="AG9" s="74"/>
    </row>
    <row r="10" spans="2:33" ht="20.5" customHeight="1" x14ac:dyDescent="0.25">
      <c r="B10" s="8">
        <f>B9+1</f>
        <v>45476</v>
      </c>
      <c r="C10" s="42" t="str">
        <f t="shared" si="0"/>
        <v>Wed</v>
      </c>
      <c r="D10" s="124"/>
      <c r="E10" s="125"/>
      <c r="F10" s="125"/>
      <c r="G10" s="129"/>
      <c r="H10" s="11"/>
      <c r="I10" s="130"/>
      <c r="J10" s="11"/>
      <c r="K10" s="150"/>
      <c r="L10" s="150"/>
      <c r="M10" s="151"/>
      <c r="N10" s="151"/>
      <c r="O10" s="99"/>
      <c r="P10" s="129"/>
      <c r="Q10" s="58"/>
      <c r="R10" s="59"/>
      <c r="S10" s="58"/>
      <c r="T10" s="58"/>
      <c r="U10" s="149"/>
      <c r="V10" s="149"/>
      <c r="W10" s="57"/>
      <c r="X10" s="11"/>
      <c r="Y10" s="57"/>
      <c r="Z10" s="11"/>
      <c r="AA10" s="57"/>
      <c r="AB10" s="11"/>
      <c r="AC10" s="17"/>
      <c r="AE10" s="78"/>
      <c r="AF10" s="74"/>
      <c r="AG10" s="74"/>
    </row>
    <row r="11" spans="2:33" ht="20.5" customHeight="1" x14ac:dyDescent="0.25">
      <c r="B11" s="8">
        <f t="shared" ref="B11:B38" si="1">B10+1</f>
        <v>45477</v>
      </c>
      <c r="C11" s="42" t="str">
        <f t="shared" si="0"/>
        <v>Thu</v>
      </c>
      <c r="D11" s="124"/>
      <c r="E11" s="125"/>
      <c r="F11" s="125"/>
      <c r="G11" s="129"/>
      <c r="H11" s="11"/>
      <c r="I11" s="130"/>
      <c r="J11" s="11"/>
      <c r="K11" s="150"/>
      <c r="L11" s="150"/>
      <c r="M11" s="151"/>
      <c r="N11" s="151"/>
      <c r="O11" s="99"/>
      <c r="P11" s="129"/>
      <c r="Q11" s="58"/>
      <c r="R11" s="59"/>
      <c r="S11" s="58"/>
      <c r="T11" s="58"/>
      <c r="U11" s="149"/>
      <c r="V11" s="149"/>
      <c r="W11" s="57"/>
      <c r="X11" s="11"/>
      <c r="Y11" s="57"/>
      <c r="Z11" s="11"/>
      <c r="AA11" s="57"/>
      <c r="AB11" s="11"/>
      <c r="AC11" s="17"/>
      <c r="AE11" s="78"/>
      <c r="AF11" s="74"/>
      <c r="AG11" s="74"/>
    </row>
    <row r="12" spans="2:33" ht="20.5" customHeight="1" x14ac:dyDescent="0.25">
      <c r="B12" s="8">
        <f t="shared" si="1"/>
        <v>45478</v>
      </c>
      <c r="C12" s="42" t="str">
        <f t="shared" si="0"/>
        <v>Fri</v>
      </c>
      <c r="D12" s="124"/>
      <c r="E12" s="125"/>
      <c r="F12" s="125"/>
      <c r="G12" s="129"/>
      <c r="H12" s="11"/>
      <c r="I12" s="130"/>
      <c r="J12" s="11"/>
      <c r="K12" s="150"/>
      <c r="L12" s="150"/>
      <c r="M12" s="151"/>
      <c r="N12" s="151"/>
      <c r="O12" s="99"/>
      <c r="P12" s="129"/>
      <c r="Q12" s="58"/>
      <c r="R12" s="59"/>
      <c r="S12" s="58"/>
      <c r="T12" s="58"/>
      <c r="U12" s="149"/>
      <c r="V12" s="149"/>
      <c r="W12" s="57"/>
      <c r="X12" s="11"/>
      <c r="Y12" s="57"/>
      <c r="Z12" s="11"/>
      <c r="AA12" s="57"/>
      <c r="AB12" s="11"/>
      <c r="AC12" s="17"/>
      <c r="AE12" s="78"/>
      <c r="AF12" s="74"/>
      <c r="AG12" s="74"/>
    </row>
    <row r="13" spans="2:33" ht="20.5" customHeight="1" x14ac:dyDescent="0.25">
      <c r="B13" s="8">
        <f t="shared" si="1"/>
        <v>45479</v>
      </c>
      <c r="C13" s="42" t="str">
        <f t="shared" si="0"/>
        <v>Sat</v>
      </c>
      <c r="D13" s="124"/>
      <c r="E13" s="125"/>
      <c r="F13" s="125"/>
      <c r="G13" s="129"/>
      <c r="H13" s="11"/>
      <c r="I13" s="130"/>
      <c r="J13" s="11"/>
      <c r="K13" s="150"/>
      <c r="L13" s="150"/>
      <c r="M13" s="151"/>
      <c r="N13" s="151"/>
      <c r="O13" s="99"/>
      <c r="P13" s="129"/>
      <c r="Q13" s="58"/>
      <c r="R13" s="59"/>
      <c r="S13" s="58"/>
      <c r="T13" s="58"/>
      <c r="U13" s="149"/>
      <c r="V13" s="149"/>
      <c r="W13" s="57"/>
      <c r="X13" s="11"/>
      <c r="Y13" s="57"/>
      <c r="Z13" s="11"/>
      <c r="AA13" s="57"/>
      <c r="AB13" s="11"/>
      <c r="AC13" s="17"/>
      <c r="AE13" s="78"/>
      <c r="AF13" s="74"/>
      <c r="AG13" s="74"/>
    </row>
    <row r="14" spans="2:33" ht="20.5" customHeight="1" x14ac:dyDescent="0.25">
      <c r="B14" s="8">
        <f t="shared" si="1"/>
        <v>45480</v>
      </c>
      <c r="C14" s="42" t="str">
        <f t="shared" si="0"/>
        <v>Sun</v>
      </c>
      <c r="D14" s="124"/>
      <c r="E14" s="125"/>
      <c r="F14" s="125"/>
      <c r="G14" s="129"/>
      <c r="H14" s="11"/>
      <c r="I14" s="130"/>
      <c r="J14" s="11"/>
      <c r="K14" s="150"/>
      <c r="L14" s="150"/>
      <c r="M14" s="151"/>
      <c r="N14" s="151"/>
      <c r="O14" s="99"/>
      <c r="P14" s="129"/>
      <c r="Q14" s="58"/>
      <c r="R14" s="59"/>
      <c r="S14" s="58"/>
      <c r="T14" s="58"/>
      <c r="U14" s="149"/>
      <c r="V14" s="149"/>
      <c r="W14" s="57"/>
      <c r="X14" s="11"/>
      <c r="Y14" s="57"/>
      <c r="Z14" s="11"/>
      <c r="AA14" s="57"/>
      <c r="AB14" s="11"/>
      <c r="AC14" s="17"/>
      <c r="AE14" s="78"/>
      <c r="AF14" s="74"/>
      <c r="AG14" s="74"/>
    </row>
    <row r="15" spans="2:33" ht="20.5" customHeight="1" x14ac:dyDescent="0.25">
      <c r="B15" s="8">
        <f t="shared" si="1"/>
        <v>45481</v>
      </c>
      <c r="C15" s="42" t="str">
        <f t="shared" si="0"/>
        <v>Mon</v>
      </c>
      <c r="D15" s="124"/>
      <c r="E15" s="125"/>
      <c r="F15" s="125"/>
      <c r="G15" s="129"/>
      <c r="H15" s="11"/>
      <c r="I15" s="130"/>
      <c r="J15" s="11"/>
      <c r="K15" s="150"/>
      <c r="L15" s="150"/>
      <c r="M15" s="151"/>
      <c r="N15" s="151"/>
      <c r="O15" s="99"/>
      <c r="P15" s="129"/>
      <c r="Q15" s="58"/>
      <c r="R15" s="59"/>
      <c r="S15" s="58"/>
      <c r="T15" s="58"/>
      <c r="U15" s="149"/>
      <c r="V15" s="149"/>
      <c r="W15" s="57"/>
      <c r="X15" s="11"/>
      <c r="Y15" s="57"/>
      <c r="Z15" s="11"/>
      <c r="AA15" s="57"/>
      <c r="AB15" s="11"/>
      <c r="AC15" s="17"/>
      <c r="AE15" s="78"/>
      <c r="AF15" s="74"/>
      <c r="AG15" s="74"/>
    </row>
    <row r="16" spans="2:33" ht="20.5" customHeight="1" x14ac:dyDescent="0.25">
      <c r="B16" s="8">
        <f t="shared" si="1"/>
        <v>45482</v>
      </c>
      <c r="C16" s="42" t="str">
        <f t="shared" si="0"/>
        <v>Tue</v>
      </c>
      <c r="D16" s="124"/>
      <c r="E16" s="125"/>
      <c r="F16" s="125"/>
      <c r="G16" s="129"/>
      <c r="H16" s="11"/>
      <c r="I16" s="130"/>
      <c r="J16" s="11"/>
      <c r="K16" s="150"/>
      <c r="L16" s="150"/>
      <c r="M16" s="151"/>
      <c r="N16" s="151"/>
      <c r="O16" s="99"/>
      <c r="P16" s="129"/>
      <c r="Q16" s="58"/>
      <c r="R16" s="59"/>
      <c r="S16" s="58"/>
      <c r="T16" s="58"/>
      <c r="U16" s="149"/>
      <c r="V16" s="149"/>
      <c r="W16" s="57"/>
      <c r="X16" s="11"/>
      <c r="Y16" s="57"/>
      <c r="Z16" s="11"/>
      <c r="AA16" s="57"/>
      <c r="AB16" s="11"/>
      <c r="AC16" s="17"/>
      <c r="AE16" s="78"/>
      <c r="AF16" s="74"/>
      <c r="AG16" s="74"/>
    </row>
    <row r="17" spans="2:33" ht="20.5" customHeight="1" x14ac:dyDescent="0.25">
      <c r="B17" s="8">
        <f t="shared" si="1"/>
        <v>45483</v>
      </c>
      <c r="C17" s="42" t="str">
        <f t="shared" si="0"/>
        <v>Wed</v>
      </c>
      <c r="D17" s="124"/>
      <c r="E17" s="125"/>
      <c r="F17" s="125"/>
      <c r="G17" s="129"/>
      <c r="H17" s="11"/>
      <c r="I17" s="130"/>
      <c r="J17" s="11"/>
      <c r="K17" s="150"/>
      <c r="L17" s="150"/>
      <c r="M17" s="151"/>
      <c r="N17" s="151"/>
      <c r="O17" s="99"/>
      <c r="P17" s="129"/>
      <c r="Q17" s="58"/>
      <c r="R17" s="59"/>
      <c r="S17" s="58"/>
      <c r="T17" s="58"/>
      <c r="U17" s="149"/>
      <c r="V17" s="149"/>
      <c r="W17" s="57"/>
      <c r="X17" s="11"/>
      <c r="Y17" s="57"/>
      <c r="Z17" s="11"/>
      <c r="AA17" s="57"/>
      <c r="AB17" s="11"/>
      <c r="AC17" s="17"/>
      <c r="AE17" s="78"/>
      <c r="AF17" s="74"/>
      <c r="AG17" s="74"/>
    </row>
    <row r="18" spans="2:33" ht="20.5" customHeight="1" x14ac:dyDescent="0.25">
      <c r="B18" s="8">
        <f t="shared" si="1"/>
        <v>45484</v>
      </c>
      <c r="C18" s="42" t="str">
        <f t="shared" si="0"/>
        <v>Thu</v>
      </c>
      <c r="D18" s="124"/>
      <c r="E18" s="125"/>
      <c r="F18" s="125"/>
      <c r="G18" s="129"/>
      <c r="H18" s="11"/>
      <c r="I18" s="130"/>
      <c r="J18" s="11"/>
      <c r="K18" s="150"/>
      <c r="L18" s="150"/>
      <c r="M18" s="151"/>
      <c r="N18" s="151"/>
      <c r="O18" s="99"/>
      <c r="P18" s="129"/>
      <c r="Q18" s="58"/>
      <c r="R18" s="59"/>
      <c r="S18" s="58"/>
      <c r="T18" s="58"/>
      <c r="U18" s="149"/>
      <c r="V18" s="149"/>
      <c r="W18" s="57"/>
      <c r="X18" s="11"/>
      <c r="Y18" s="57"/>
      <c r="Z18" s="11"/>
      <c r="AA18" s="57"/>
      <c r="AB18" s="11"/>
      <c r="AC18" s="17"/>
      <c r="AE18" s="78"/>
      <c r="AF18" s="74"/>
      <c r="AG18" s="74"/>
    </row>
    <row r="19" spans="2:33" ht="20.5" customHeight="1" x14ac:dyDescent="0.25">
      <c r="B19" s="8">
        <f t="shared" si="1"/>
        <v>45485</v>
      </c>
      <c r="C19" s="42" t="str">
        <f t="shared" si="0"/>
        <v>Fri</v>
      </c>
      <c r="D19" s="124"/>
      <c r="E19" s="125"/>
      <c r="F19" s="125"/>
      <c r="G19" s="129"/>
      <c r="H19" s="11"/>
      <c r="I19" s="130"/>
      <c r="J19" s="11"/>
      <c r="K19" s="150"/>
      <c r="L19" s="150"/>
      <c r="M19" s="151"/>
      <c r="N19" s="151"/>
      <c r="O19" s="99"/>
      <c r="P19" s="129"/>
      <c r="Q19" s="58"/>
      <c r="R19" s="59"/>
      <c r="S19" s="58"/>
      <c r="T19" s="58"/>
      <c r="U19" s="149"/>
      <c r="V19" s="149"/>
      <c r="W19" s="57"/>
      <c r="X19" s="11"/>
      <c r="Y19" s="148"/>
      <c r="Z19" s="11"/>
      <c r="AA19" s="57"/>
      <c r="AB19" s="11"/>
      <c r="AC19" s="17"/>
      <c r="AE19" s="78"/>
      <c r="AF19" s="74"/>
      <c r="AG19" s="74"/>
    </row>
    <row r="20" spans="2:33" ht="20.5" customHeight="1" x14ac:dyDescent="0.25">
      <c r="B20" s="8">
        <f t="shared" si="1"/>
        <v>45486</v>
      </c>
      <c r="C20" s="42" t="str">
        <f t="shared" si="0"/>
        <v>Sat</v>
      </c>
      <c r="D20" s="124"/>
      <c r="E20" s="125"/>
      <c r="F20" s="125"/>
      <c r="G20" s="129"/>
      <c r="H20" s="11"/>
      <c r="I20" s="130"/>
      <c r="J20" s="11"/>
      <c r="K20" s="150"/>
      <c r="L20" s="150"/>
      <c r="M20" s="151"/>
      <c r="N20" s="151"/>
      <c r="O20" s="99"/>
      <c r="P20" s="129"/>
      <c r="Q20" s="58"/>
      <c r="R20" s="59"/>
      <c r="S20" s="58"/>
      <c r="T20" s="58"/>
      <c r="U20" s="149"/>
      <c r="V20" s="149"/>
      <c r="W20" s="57"/>
      <c r="X20" s="11"/>
      <c r="Y20" s="57"/>
      <c r="Z20" s="11"/>
      <c r="AA20" s="57"/>
      <c r="AB20" s="11"/>
      <c r="AC20" s="17"/>
      <c r="AE20" s="78"/>
      <c r="AF20" s="74"/>
      <c r="AG20" s="74"/>
    </row>
    <row r="21" spans="2:33" ht="20.5" customHeight="1" x14ac:dyDescent="0.25">
      <c r="B21" s="8">
        <f t="shared" si="1"/>
        <v>45487</v>
      </c>
      <c r="C21" s="42" t="str">
        <f t="shared" si="0"/>
        <v>Sun</v>
      </c>
      <c r="D21" s="124"/>
      <c r="E21" s="125"/>
      <c r="F21" s="125"/>
      <c r="G21" s="129"/>
      <c r="H21" s="11"/>
      <c r="I21" s="130"/>
      <c r="J21" s="11"/>
      <c r="K21" s="150"/>
      <c r="L21" s="150"/>
      <c r="M21" s="151"/>
      <c r="N21" s="151"/>
      <c r="O21" s="99"/>
      <c r="P21" s="129"/>
      <c r="Q21" s="58"/>
      <c r="R21" s="59"/>
      <c r="S21" s="58"/>
      <c r="T21" s="58"/>
      <c r="U21" s="149"/>
      <c r="V21" s="149"/>
      <c r="W21" s="57"/>
      <c r="X21" s="11"/>
      <c r="Y21" s="57"/>
      <c r="Z21" s="11"/>
      <c r="AA21" s="57"/>
      <c r="AB21" s="11"/>
      <c r="AC21" s="17"/>
      <c r="AE21" s="78"/>
      <c r="AF21" s="74"/>
      <c r="AG21" s="74"/>
    </row>
    <row r="22" spans="2:33" ht="20.5" customHeight="1" x14ac:dyDescent="0.25">
      <c r="B22" s="8">
        <f t="shared" si="1"/>
        <v>45488</v>
      </c>
      <c r="C22" s="42" t="str">
        <f t="shared" si="0"/>
        <v>Mon</v>
      </c>
      <c r="D22" s="124"/>
      <c r="E22" s="125"/>
      <c r="F22" s="125"/>
      <c r="G22" s="129"/>
      <c r="H22" s="11"/>
      <c r="I22" s="130"/>
      <c r="J22" s="11"/>
      <c r="K22" s="150"/>
      <c r="L22" s="150"/>
      <c r="M22" s="151"/>
      <c r="N22" s="151"/>
      <c r="O22" s="99"/>
      <c r="P22" s="129"/>
      <c r="Q22" s="58"/>
      <c r="R22" s="59"/>
      <c r="S22" s="58"/>
      <c r="T22" s="58"/>
      <c r="U22" s="149"/>
      <c r="V22" s="149"/>
      <c r="W22" s="57"/>
      <c r="X22" s="11"/>
      <c r="Y22" s="57"/>
      <c r="Z22" s="11"/>
      <c r="AA22" s="57"/>
      <c r="AB22" s="11"/>
      <c r="AC22" s="17"/>
      <c r="AF22" s="74"/>
      <c r="AG22" s="74"/>
    </row>
    <row r="23" spans="2:33" ht="20.5" customHeight="1" x14ac:dyDescent="0.25">
      <c r="B23" s="8">
        <f t="shared" si="1"/>
        <v>45489</v>
      </c>
      <c r="C23" s="42" t="str">
        <f t="shared" si="0"/>
        <v>Tue</v>
      </c>
      <c r="D23" s="124"/>
      <c r="E23" s="125"/>
      <c r="F23" s="125"/>
      <c r="G23" s="129"/>
      <c r="H23" s="11"/>
      <c r="I23" s="130"/>
      <c r="J23" s="11"/>
      <c r="K23" s="150"/>
      <c r="L23" s="150"/>
      <c r="M23" s="151"/>
      <c r="N23" s="151"/>
      <c r="O23" s="99"/>
      <c r="P23" s="129"/>
      <c r="Q23" s="58"/>
      <c r="R23" s="59"/>
      <c r="S23" s="58"/>
      <c r="T23" s="58"/>
      <c r="U23" s="149"/>
      <c r="V23" s="149"/>
      <c r="W23" s="57"/>
      <c r="X23" s="11"/>
      <c r="Y23" s="57"/>
      <c r="Z23" s="11"/>
      <c r="AA23" s="57"/>
      <c r="AB23" s="11"/>
      <c r="AC23" s="17"/>
      <c r="AF23" s="74"/>
      <c r="AG23" s="74"/>
    </row>
    <row r="24" spans="2:33" ht="20.5" customHeight="1" x14ac:dyDescent="0.25">
      <c r="B24" s="8">
        <f t="shared" si="1"/>
        <v>45490</v>
      </c>
      <c r="C24" s="42" t="str">
        <f t="shared" si="0"/>
        <v>Wed</v>
      </c>
      <c r="D24" s="124"/>
      <c r="E24" s="125"/>
      <c r="F24" s="125"/>
      <c r="G24" s="129"/>
      <c r="H24" s="11"/>
      <c r="I24" s="130"/>
      <c r="J24" s="11"/>
      <c r="K24" s="150"/>
      <c r="L24" s="150"/>
      <c r="M24" s="151"/>
      <c r="N24" s="151"/>
      <c r="O24" s="99"/>
      <c r="P24" s="129"/>
      <c r="Q24" s="58"/>
      <c r="R24" s="59"/>
      <c r="S24" s="58"/>
      <c r="T24" s="58"/>
      <c r="U24" s="149"/>
      <c r="V24" s="149"/>
      <c r="W24" s="57"/>
      <c r="X24" s="11"/>
      <c r="Y24" s="57"/>
      <c r="Z24" s="11"/>
      <c r="AA24" s="57"/>
      <c r="AB24" s="11"/>
      <c r="AC24" s="17"/>
    </row>
    <row r="25" spans="2:33" ht="20.5" customHeight="1" x14ac:dyDescent="0.25">
      <c r="B25" s="8">
        <f t="shared" si="1"/>
        <v>45491</v>
      </c>
      <c r="C25" s="42" t="str">
        <f t="shared" si="0"/>
        <v>Thu</v>
      </c>
      <c r="D25" s="124"/>
      <c r="E25" s="125"/>
      <c r="F25" s="125"/>
      <c r="G25" s="129"/>
      <c r="H25" s="11"/>
      <c r="I25" s="130"/>
      <c r="J25" s="11"/>
      <c r="K25" s="150"/>
      <c r="L25" s="150"/>
      <c r="M25" s="151"/>
      <c r="N25" s="151"/>
      <c r="O25" s="99"/>
      <c r="P25" s="129"/>
      <c r="Q25" s="58"/>
      <c r="R25" s="59"/>
      <c r="S25" s="58"/>
      <c r="T25" s="58"/>
      <c r="U25" s="149"/>
      <c r="V25" s="149"/>
      <c r="W25" s="57"/>
      <c r="X25" s="11"/>
      <c r="Y25" s="57"/>
      <c r="Z25" s="11"/>
      <c r="AA25" s="57"/>
      <c r="AB25" s="11"/>
      <c r="AC25" s="17"/>
      <c r="AE25" s="74"/>
    </row>
    <row r="26" spans="2:33" ht="20.5" customHeight="1" x14ac:dyDescent="0.25">
      <c r="B26" s="8">
        <f t="shared" si="1"/>
        <v>45492</v>
      </c>
      <c r="C26" s="42" t="str">
        <f t="shared" si="0"/>
        <v>Fri</v>
      </c>
      <c r="D26" s="124"/>
      <c r="E26" s="125"/>
      <c r="F26" s="125"/>
      <c r="G26" s="129"/>
      <c r="H26" s="11"/>
      <c r="I26" s="130"/>
      <c r="J26" s="11"/>
      <c r="K26" s="150"/>
      <c r="L26" s="150"/>
      <c r="M26" s="151"/>
      <c r="N26" s="151"/>
      <c r="O26" s="99"/>
      <c r="P26" s="129"/>
      <c r="Q26" s="58"/>
      <c r="R26" s="59"/>
      <c r="S26" s="58"/>
      <c r="T26" s="58"/>
      <c r="U26" s="149"/>
      <c r="V26" s="149"/>
      <c r="W26" s="57"/>
      <c r="X26" s="11"/>
      <c r="Y26" s="57"/>
      <c r="Z26" s="11"/>
      <c r="AA26" s="57"/>
      <c r="AB26" s="11"/>
      <c r="AC26" s="17"/>
      <c r="AE26" s="74"/>
    </row>
    <row r="27" spans="2:33" ht="20.5" customHeight="1" x14ac:dyDescent="0.25">
      <c r="B27" s="8">
        <f t="shared" si="1"/>
        <v>45493</v>
      </c>
      <c r="C27" s="42" t="str">
        <f t="shared" si="0"/>
        <v>Sat</v>
      </c>
      <c r="D27" s="124"/>
      <c r="E27" s="125"/>
      <c r="F27" s="125"/>
      <c r="G27" s="129"/>
      <c r="H27" s="11"/>
      <c r="I27" s="130"/>
      <c r="J27" s="11"/>
      <c r="K27" s="150"/>
      <c r="L27" s="150"/>
      <c r="M27" s="151"/>
      <c r="N27" s="151"/>
      <c r="O27" s="99"/>
      <c r="P27" s="129"/>
      <c r="Q27" s="58"/>
      <c r="R27" s="59"/>
      <c r="S27" s="58"/>
      <c r="T27" s="58"/>
      <c r="U27" s="149"/>
      <c r="V27" s="149"/>
      <c r="W27" s="57"/>
      <c r="X27" s="11"/>
      <c r="Y27" s="57"/>
      <c r="Z27" s="11"/>
      <c r="AA27" s="57"/>
      <c r="AB27" s="11"/>
      <c r="AC27" s="17"/>
      <c r="AE27" s="74"/>
    </row>
    <row r="28" spans="2:33" ht="20.5" customHeight="1" x14ac:dyDescent="0.25">
      <c r="B28" s="8">
        <f t="shared" si="1"/>
        <v>45494</v>
      </c>
      <c r="C28" s="42" t="str">
        <f t="shared" si="0"/>
        <v>Sun</v>
      </c>
      <c r="D28" s="124"/>
      <c r="E28" s="125"/>
      <c r="F28" s="125"/>
      <c r="G28" s="129"/>
      <c r="H28" s="11"/>
      <c r="I28" s="130"/>
      <c r="J28" s="11"/>
      <c r="K28" s="150"/>
      <c r="L28" s="150"/>
      <c r="M28" s="151"/>
      <c r="N28" s="151"/>
      <c r="O28" s="99"/>
      <c r="P28" s="59"/>
      <c r="Q28" s="58"/>
      <c r="R28" s="59"/>
      <c r="S28" s="58"/>
      <c r="T28" s="58"/>
      <c r="U28" s="149"/>
      <c r="V28" s="149"/>
      <c r="W28" s="57"/>
      <c r="X28" s="11"/>
      <c r="Y28" s="57"/>
      <c r="Z28" s="11"/>
      <c r="AA28" s="57"/>
      <c r="AB28" s="11"/>
      <c r="AC28" s="17"/>
      <c r="AE28" s="74"/>
    </row>
    <row r="29" spans="2:33" ht="20.5" customHeight="1" x14ac:dyDescent="0.25">
      <c r="B29" s="8">
        <f t="shared" si="1"/>
        <v>45495</v>
      </c>
      <c r="C29" s="42" t="str">
        <f t="shared" si="0"/>
        <v>Mon</v>
      </c>
      <c r="D29" s="124"/>
      <c r="E29" s="125"/>
      <c r="F29" s="125"/>
      <c r="G29" s="129"/>
      <c r="H29" s="11"/>
      <c r="I29" s="130"/>
      <c r="J29" s="11"/>
      <c r="K29" s="150"/>
      <c r="L29" s="150"/>
      <c r="M29" s="151"/>
      <c r="N29" s="151"/>
      <c r="O29" s="99"/>
      <c r="P29" s="59"/>
      <c r="Q29" s="58"/>
      <c r="R29" s="59"/>
      <c r="S29" s="58"/>
      <c r="T29" s="58"/>
      <c r="U29" s="149"/>
      <c r="V29" s="149"/>
      <c r="W29" s="57"/>
      <c r="X29" s="11"/>
      <c r="Y29" s="57"/>
      <c r="Z29" s="11"/>
      <c r="AA29" s="57"/>
      <c r="AB29" s="11"/>
      <c r="AC29" s="17"/>
      <c r="AE29" s="74"/>
    </row>
    <row r="30" spans="2:33" ht="20.5" customHeight="1" x14ac:dyDescent="0.25">
      <c r="B30" s="8">
        <f t="shared" si="1"/>
        <v>45496</v>
      </c>
      <c r="C30" s="42" t="str">
        <f t="shared" si="0"/>
        <v>Tue</v>
      </c>
      <c r="D30" s="124"/>
      <c r="E30" s="125"/>
      <c r="F30" s="125"/>
      <c r="G30" s="129"/>
      <c r="H30" s="11"/>
      <c r="I30" s="130"/>
      <c r="J30" s="11"/>
      <c r="K30" s="150"/>
      <c r="L30" s="150"/>
      <c r="M30" s="151"/>
      <c r="N30" s="151"/>
      <c r="O30" s="99"/>
      <c r="P30" s="59"/>
      <c r="Q30" s="58"/>
      <c r="R30" s="59"/>
      <c r="S30" s="58"/>
      <c r="T30" s="58"/>
      <c r="U30" s="149"/>
      <c r="V30" s="149"/>
      <c r="W30" s="57"/>
      <c r="X30" s="11"/>
      <c r="Y30" s="57"/>
      <c r="Z30" s="11"/>
      <c r="AA30" s="57"/>
      <c r="AB30" s="11"/>
      <c r="AC30" s="17"/>
      <c r="AE30" s="74"/>
    </row>
    <row r="31" spans="2:33" ht="20.5" customHeight="1" x14ac:dyDescent="0.25">
      <c r="B31" s="8">
        <f t="shared" si="1"/>
        <v>45497</v>
      </c>
      <c r="C31" s="42" t="str">
        <f t="shared" si="0"/>
        <v>Wed</v>
      </c>
      <c r="D31" s="124"/>
      <c r="E31" s="125"/>
      <c r="F31" s="125"/>
      <c r="G31" s="129"/>
      <c r="H31" s="11"/>
      <c r="I31" s="130"/>
      <c r="J31" s="11"/>
      <c r="K31" s="150"/>
      <c r="L31" s="150"/>
      <c r="M31" s="151"/>
      <c r="N31" s="151"/>
      <c r="O31" s="99"/>
      <c r="P31" s="59"/>
      <c r="Q31" s="58"/>
      <c r="R31" s="59"/>
      <c r="S31" s="58"/>
      <c r="T31" s="58"/>
      <c r="U31" s="149"/>
      <c r="V31" s="149"/>
      <c r="W31" s="57"/>
      <c r="X31" s="11"/>
      <c r="Y31" s="57"/>
      <c r="Z31" s="11"/>
      <c r="AA31" s="57"/>
      <c r="AB31" s="11"/>
      <c r="AC31" s="17"/>
    </row>
    <row r="32" spans="2:33" ht="20.5" customHeight="1" x14ac:dyDescent="0.25">
      <c r="B32" s="8">
        <f t="shared" si="1"/>
        <v>45498</v>
      </c>
      <c r="C32" s="42" t="str">
        <f t="shared" si="0"/>
        <v>Thu</v>
      </c>
      <c r="D32" s="124"/>
      <c r="E32" s="125"/>
      <c r="F32" s="125"/>
      <c r="G32" s="129"/>
      <c r="H32" s="11"/>
      <c r="I32" s="130"/>
      <c r="J32" s="11"/>
      <c r="K32" s="150"/>
      <c r="L32" s="150"/>
      <c r="M32" s="151"/>
      <c r="N32" s="151"/>
      <c r="O32" s="99"/>
      <c r="P32" s="59"/>
      <c r="Q32" s="58"/>
      <c r="R32" s="59"/>
      <c r="S32" s="58"/>
      <c r="T32" s="58"/>
      <c r="U32" s="149"/>
      <c r="V32" s="149"/>
      <c r="W32" s="57"/>
      <c r="X32" s="11"/>
      <c r="Y32" s="57"/>
      <c r="Z32" s="11"/>
      <c r="AA32" s="57"/>
      <c r="AB32" s="11"/>
      <c r="AC32" s="17"/>
    </row>
    <row r="33" spans="2:29" ht="20.5" customHeight="1" x14ac:dyDescent="0.25">
      <c r="B33" s="8">
        <f t="shared" si="1"/>
        <v>45499</v>
      </c>
      <c r="C33" s="42" t="str">
        <f t="shared" si="0"/>
        <v>Fri</v>
      </c>
      <c r="D33" s="127"/>
      <c r="E33" s="125"/>
      <c r="F33" s="125"/>
      <c r="G33" s="129"/>
      <c r="H33" s="11"/>
      <c r="I33" s="130"/>
      <c r="J33" s="11"/>
      <c r="K33" s="150"/>
      <c r="L33" s="150"/>
      <c r="M33" s="151"/>
      <c r="N33" s="151"/>
      <c r="O33" s="99"/>
      <c r="P33" s="59"/>
      <c r="Q33" s="58"/>
      <c r="R33" s="59"/>
      <c r="S33" s="58"/>
      <c r="T33" s="58"/>
      <c r="U33" s="149"/>
      <c r="V33" s="149"/>
      <c r="W33" s="57"/>
      <c r="X33" s="11"/>
      <c r="Y33" s="57"/>
      <c r="Z33" s="11"/>
      <c r="AA33" s="57"/>
      <c r="AB33" s="11"/>
      <c r="AC33" s="17"/>
    </row>
    <row r="34" spans="2:29" ht="20.5" customHeight="1" x14ac:dyDescent="0.25">
      <c r="B34" s="8">
        <f t="shared" si="1"/>
        <v>45500</v>
      </c>
      <c r="C34" s="42" t="str">
        <f t="shared" si="0"/>
        <v>Sat</v>
      </c>
      <c r="D34" s="127"/>
      <c r="E34" s="125"/>
      <c r="F34" s="125"/>
      <c r="G34" s="129"/>
      <c r="H34" s="130"/>
      <c r="I34" s="130"/>
      <c r="J34" s="130"/>
      <c r="K34" s="150"/>
      <c r="L34" s="150"/>
      <c r="M34" s="151"/>
      <c r="N34" s="151"/>
      <c r="O34" s="99"/>
      <c r="P34" s="59"/>
      <c r="Q34" s="58"/>
      <c r="R34" s="59"/>
      <c r="S34" s="58"/>
      <c r="T34" s="58"/>
      <c r="U34" s="149"/>
      <c r="V34" s="149"/>
      <c r="W34" s="57"/>
      <c r="X34" s="11"/>
      <c r="Y34" s="57"/>
      <c r="Z34" s="11"/>
      <c r="AA34" s="57"/>
      <c r="AB34" s="11"/>
      <c r="AC34" s="17"/>
    </row>
    <row r="35" spans="2:29" ht="20.5" customHeight="1" x14ac:dyDescent="0.25">
      <c r="B35" s="8">
        <f t="shared" si="1"/>
        <v>45501</v>
      </c>
      <c r="C35" s="42" t="str">
        <f t="shared" si="0"/>
        <v>Sun</v>
      </c>
      <c r="D35" s="127"/>
      <c r="E35" s="125"/>
      <c r="F35" s="125"/>
      <c r="G35" s="129"/>
      <c r="H35" s="130"/>
      <c r="I35" s="130"/>
      <c r="J35" s="130"/>
      <c r="K35" s="150"/>
      <c r="L35" s="150"/>
      <c r="M35" s="151"/>
      <c r="N35" s="151"/>
      <c r="O35" s="99"/>
      <c r="P35" s="59"/>
      <c r="Q35" s="58"/>
      <c r="R35" s="59"/>
      <c r="S35" s="58"/>
      <c r="T35" s="58"/>
      <c r="U35" s="149"/>
      <c r="V35" s="149"/>
      <c r="W35" s="57"/>
      <c r="X35" s="11"/>
      <c r="Y35" s="57"/>
      <c r="Z35" s="11"/>
      <c r="AA35" s="57"/>
      <c r="AB35" s="11"/>
      <c r="AC35" s="17"/>
    </row>
    <row r="36" spans="2:29" ht="20.5" customHeight="1" x14ac:dyDescent="0.25">
      <c r="B36" s="8">
        <f t="shared" si="1"/>
        <v>45502</v>
      </c>
      <c r="C36" s="42" t="str">
        <f t="shared" si="0"/>
        <v>Mon</v>
      </c>
      <c r="D36" s="127"/>
      <c r="E36" s="125"/>
      <c r="F36" s="125"/>
      <c r="G36" s="129"/>
      <c r="H36" s="130"/>
      <c r="I36" s="130"/>
      <c r="J36" s="130"/>
      <c r="K36" s="150"/>
      <c r="L36" s="150"/>
      <c r="M36" s="151"/>
      <c r="N36" s="151"/>
      <c r="O36" s="99"/>
      <c r="P36" s="59"/>
      <c r="Q36" s="58"/>
      <c r="R36" s="59"/>
      <c r="S36" s="58"/>
      <c r="T36" s="58"/>
      <c r="U36" s="149"/>
      <c r="V36" s="149"/>
      <c r="W36" s="57"/>
      <c r="X36" s="11"/>
      <c r="Y36" s="57"/>
      <c r="Z36" s="11"/>
      <c r="AA36" s="57"/>
      <c r="AB36" s="11"/>
      <c r="AC36" s="17"/>
    </row>
    <row r="37" spans="2:29" ht="20.5" customHeight="1" x14ac:dyDescent="0.25">
      <c r="B37" s="8">
        <f t="shared" si="1"/>
        <v>45503</v>
      </c>
      <c r="C37" s="42" t="str">
        <f t="shared" si="0"/>
        <v>Tue</v>
      </c>
      <c r="D37" s="128"/>
      <c r="E37" s="125"/>
      <c r="F37" s="125"/>
      <c r="G37" s="129"/>
      <c r="H37" s="130"/>
      <c r="I37" s="130"/>
      <c r="J37" s="130"/>
      <c r="K37" s="150"/>
      <c r="L37" s="150"/>
      <c r="M37" s="151"/>
      <c r="N37" s="151"/>
      <c r="O37" s="99"/>
      <c r="P37" s="59"/>
      <c r="Q37" s="58"/>
      <c r="R37" s="59"/>
      <c r="S37" s="58"/>
      <c r="T37" s="58"/>
      <c r="U37" s="149"/>
      <c r="V37" s="149"/>
      <c r="W37" s="57"/>
      <c r="X37" s="11"/>
      <c r="Y37" s="57"/>
      <c r="Z37" s="11"/>
      <c r="AA37" s="57"/>
      <c r="AB37" s="11"/>
      <c r="AC37" s="17"/>
    </row>
    <row r="38" spans="2:29" ht="20.5" customHeight="1" thickBot="1" x14ac:dyDescent="0.3">
      <c r="B38" s="8">
        <f t="shared" si="1"/>
        <v>45504</v>
      </c>
      <c r="C38" s="42" t="str">
        <f t="shared" si="0"/>
        <v>Wed</v>
      </c>
      <c r="D38" s="132"/>
      <c r="E38" s="133"/>
      <c r="F38" s="133"/>
      <c r="G38" s="129"/>
      <c r="H38" s="130"/>
      <c r="I38" s="130"/>
      <c r="J38" s="130"/>
      <c r="K38" s="150"/>
      <c r="L38" s="150"/>
      <c r="M38" s="151"/>
      <c r="N38" s="151"/>
      <c r="O38" s="99"/>
      <c r="P38" s="59"/>
      <c r="Q38" s="58"/>
      <c r="R38" s="59"/>
      <c r="S38" s="58"/>
      <c r="T38" s="58"/>
      <c r="U38" s="149"/>
      <c r="V38" s="149"/>
      <c r="W38" s="57"/>
      <c r="X38" s="11"/>
      <c r="Y38" s="57"/>
      <c r="Z38" s="11"/>
      <c r="AA38" s="57"/>
      <c r="AB38" s="11"/>
      <c r="AC38" s="134"/>
    </row>
    <row r="39" spans="2:29" s="131" customFormat="1" ht="14.5" thickBot="1" x14ac:dyDescent="0.35">
      <c r="B39" s="135" t="s">
        <v>62</v>
      </c>
      <c r="C39" s="136"/>
      <c r="D39" s="137"/>
      <c r="E39" s="136"/>
      <c r="F39" s="138"/>
      <c r="G39" s="138">
        <f>SUM(G8:G38)</f>
        <v>0</v>
      </c>
      <c r="H39" s="138">
        <f t="shared" ref="H39:S39" si="2">SUM(H8:H38)</f>
        <v>0</v>
      </c>
      <c r="I39" s="138">
        <f t="shared" si="2"/>
        <v>0</v>
      </c>
      <c r="J39" s="138">
        <f t="shared" si="2"/>
        <v>0</v>
      </c>
      <c r="K39" s="138">
        <f t="shared" si="2"/>
        <v>0</v>
      </c>
      <c r="L39" s="138">
        <f t="shared" si="2"/>
        <v>0</v>
      </c>
      <c r="M39" s="138">
        <f t="shared" si="2"/>
        <v>0</v>
      </c>
      <c r="N39" s="138">
        <f t="shared" si="2"/>
        <v>0</v>
      </c>
      <c r="O39" s="138">
        <f t="shared" si="2"/>
        <v>0</v>
      </c>
      <c r="P39" s="138">
        <f t="shared" si="2"/>
        <v>0</v>
      </c>
      <c r="Q39" s="138">
        <f t="shared" si="2"/>
        <v>0</v>
      </c>
      <c r="R39" s="138">
        <f t="shared" si="2"/>
        <v>0</v>
      </c>
      <c r="S39" s="138">
        <f t="shared" si="2"/>
        <v>0</v>
      </c>
      <c r="T39" s="138"/>
      <c r="U39" s="139">
        <f t="shared" ref="U39:AB39" si="3">SUM(U8:U38)</f>
        <v>0</v>
      </c>
      <c r="V39" s="140">
        <f t="shared" si="3"/>
        <v>0</v>
      </c>
      <c r="W39" s="141">
        <f t="shared" si="3"/>
        <v>0</v>
      </c>
      <c r="X39" s="138">
        <f t="shared" si="3"/>
        <v>0</v>
      </c>
      <c r="Y39" s="138">
        <f>SUM(Y8:Y38)</f>
        <v>0</v>
      </c>
      <c r="Z39" s="138">
        <f t="shared" si="3"/>
        <v>0</v>
      </c>
      <c r="AA39" s="138">
        <f t="shared" si="3"/>
        <v>0</v>
      </c>
      <c r="AB39" s="138">
        <f t="shared" si="3"/>
        <v>0</v>
      </c>
      <c r="AC39" s="142"/>
    </row>
    <row r="40" spans="2:29" x14ac:dyDescent="0.25">
      <c r="H40" s="72"/>
      <c r="I40" s="72"/>
      <c r="J40" s="72"/>
      <c r="Q40" s="63"/>
      <c r="S40" s="63"/>
      <c r="T40" s="63"/>
      <c r="U40" s="63"/>
      <c r="V40" s="63"/>
      <c r="Z40" s="63"/>
      <c r="AA40" s="63"/>
      <c r="AB40" s="63"/>
    </row>
    <row r="41" spans="2:29" ht="14" x14ac:dyDescent="0.3">
      <c r="F41" s="16"/>
      <c r="G41" s="88"/>
      <c r="H41" s="87"/>
      <c r="I41" s="87"/>
      <c r="J41" s="87"/>
      <c r="O41" s="89"/>
      <c r="Q41" s="90"/>
      <c r="S41" s="90"/>
      <c r="T41" s="90"/>
      <c r="U41" s="74"/>
      <c r="W41" s="85"/>
      <c r="X41" s="85"/>
      <c r="Y41" s="85"/>
      <c r="Z41" s="73"/>
      <c r="AA41" s="73"/>
    </row>
    <row r="42" spans="2:29" ht="14.5" x14ac:dyDescent="0.35">
      <c r="C42" s="16"/>
      <c r="F42" s="16"/>
      <c r="H42" s="79"/>
      <c r="I42" s="79"/>
      <c r="J42" s="79"/>
      <c r="M42"/>
      <c r="P42" s="88"/>
      <c r="R42" s="88"/>
      <c r="W42" s="86"/>
      <c r="X42" s="86"/>
      <c r="Y42" s="86"/>
      <c r="Z42" s="73"/>
      <c r="AA42" s="73"/>
    </row>
    <row r="43" spans="2:29" x14ac:dyDescent="0.25">
      <c r="Z43" s="63"/>
      <c r="AA43" s="63"/>
    </row>
    <row r="46" spans="2:29" x14ac:dyDescent="0.25">
      <c r="Q46" s="123"/>
      <c r="S46" s="123"/>
      <c r="T46" s="123"/>
    </row>
    <row r="47" spans="2:29" x14ac:dyDescent="0.25">
      <c r="Q47" s="123"/>
      <c r="S47" s="123"/>
      <c r="T47" s="123"/>
    </row>
  </sheetData>
  <mergeCells count="20">
    <mergeCell ref="B3:Q3"/>
    <mergeCell ref="U3:V4"/>
    <mergeCell ref="W3:AB4"/>
    <mergeCell ref="AC3:AC6"/>
    <mergeCell ref="B4:B6"/>
    <mergeCell ref="C4:C6"/>
    <mergeCell ref="E4:L4"/>
    <mergeCell ref="M4:O4"/>
    <mergeCell ref="P4:Q5"/>
    <mergeCell ref="R4:S5"/>
    <mergeCell ref="E5:F5"/>
    <mergeCell ref="G5:H5"/>
    <mergeCell ref="I5:J5"/>
    <mergeCell ref="K5:L5"/>
    <mergeCell ref="M5:N5"/>
    <mergeCell ref="U5:V5"/>
    <mergeCell ref="W5:X5"/>
    <mergeCell ref="Y5:Z5"/>
    <mergeCell ref="AA5:AB5"/>
    <mergeCell ref="T4:T5"/>
  </mergeCells>
  <pageMargins left="3.937007874015748E-2" right="0.23622047244094491" top="0.15748031496062992" bottom="0" header="0.31496062992125984" footer="0.31496062992125984"/>
  <pageSetup scale="72" orientation="landscape" r:id="rId1"/>
  <rowBreaks count="2" manualBreakCount="2">
    <brk id="44" max="27" man="1"/>
    <brk id="58" max="27" man="1"/>
  </rowBreaks>
  <colBreaks count="3" manualBreakCount="3">
    <brk id="10" min="1" max="39" man="1"/>
    <brk id="20" min="1" max="39" man="1"/>
    <brk id="29" max="38" man="1"/>
  </colBreaks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B2:AO48"/>
  <sheetViews>
    <sheetView showGridLines="0" tabSelected="1" view="pageBreakPreview" zoomScale="78" zoomScaleNormal="80" zoomScaleSheetLayoutView="70" workbookViewId="0">
      <pane xSplit="3" ySplit="7" topLeftCell="Z16" activePane="bottomRight" state="frozen"/>
      <selection pane="topRight" activeCell="AA42" sqref="AA42"/>
      <selection pane="bottomLeft" activeCell="AA42" sqref="AA42"/>
      <selection pane="bottomRight" activeCell="AF37" sqref="AF37"/>
    </sheetView>
  </sheetViews>
  <sheetFormatPr defaultColWidth="9.1796875" defaultRowHeight="13.5" x14ac:dyDescent="0.25"/>
  <cols>
    <col min="1" max="1" width="4.54296875" style="1" customWidth="1"/>
    <col min="2" max="2" width="22.54296875" style="2" customWidth="1"/>
    <col min="3" max="3" width="10.453125" style="2" bestFit="1" customWidth="1"/>
    <col min="4" max="4" width="11.453125" style="2" hidden="1" customWidth="1"/>
    <col min="5" max="5" width="11.54296875" style="2" hidden="1" customWidth="1"/>
    <col min="6" max="6" width="11.1796875" style="2" hidden="1" customWidth="1"/>
    <col min="7" max="7" width="16" style="1" customWidth="1"/>
    <col min="8" max="8" width="15" style="1" customWidth="1"/>
    <col min="9" max="9" width="19.81640625" style="1" customWidth="1"/>
    <col min="10" max="10" width="16.54296875" style="1" customWidth="1"/>
    <col min="11" max="12" width="11.1796875" style="2" hidden="1" customWidth="1"/>
    <col min="13" max="13" width="13.54296875" style="1" customWidth="1"/>
    <col min="14" max="14" width="9.6328125" style="1" customWidth="1"/>
    <col min="15" max="16" width="9" style="1" customWidth="1"/>
    <col min="17" max="17" width="10.08984375" style="1" customWidth="1"/>
    <col min="18" max="18" width="14.54296875" style="1" customWidth="1"/>
    <col min="19" max="19" width="11.453125" style="1" customWidth="1"/>
    <col min="20" max="20" width="14.54296875" style="1" customWidth="1"/>
    <col min="21" max="21" width="15.453125" style="1" bestFit="1" customWidth="1"/>
    <col min="22" max="22" width="14.54296875" style="1" customWidth="1"/>
    <col min="23" max="23" width="13.81640625" style="1" bestFit="1" customWidth="1"/>
    <col min="24" max="24" width="14.54296875" style="1" customWidth="1"/>
    <col min="25" max="25" width="15.453125" style="1" bestFit="1" customWidth="1"/>
    <col min="26" max="26" width="11.453125" style="1" customWidth="1"/>
    <col min="27" max="29" width="8.453125" style="1" customWidth="1"/>
    <col min="30" max="30" width="14.7265625" style="1" customWidth="1"/>
    <col min="31" max="31" width="21.26953125" style="2" bestFit="1" customWidth="1"/>
    <col min="32" max="32" width="15.54296875" style="2" bestFit="1" customWidth="1"/>
    <col min="33" max="33" width="16.81640625" style="2" bestFit="1" customWidth="1"/>
    <col min="34" max="34" width="13.6328125" style="1" bestFit="1" customWidth="1"/>
    <col min="35" max="35" width="13.90625" style="1" bestFit="1" customWidth="1"/>
    <col min="36" max="36" width="13.26953125" style="1" bestFit="1" customWidth="1"/>
    <col min="37" max="37" width="38" style="1" hidden="1" customWidth="1"/>
    <col min="38" max="38" width="9.1796875" style="1"/>
    <col min="39" max="39" width="10.81640625" style="1" bestFit="1" customWidth="1"/>
    <col min="40" max="40" width="12.81640625" style="1" bestFit="1" customWidth="1"/>
    <col min="41" max="16384" width="9.1796875" style="1"/>
  </cols>
  <sheetData>
    <row r="2" spans="2:41" x14ac:dyDescent="0.25">
      <c r="B2" s="4" t="s">
        <v>0</v>
      </c>
    </row>
    <row r="3" spans="2:41" ht="16.5" customHeight="1" x14ac:dyDescent="0.3">
      <c r="B3" s="235" t="s">
        <v>1</v>
      </c>
      <c r="C3" s="236"/>
      <c r="D3" s="236"/>
      <c r="E3" s="236"/>
      <c r="F3" s="236"/>
      <c r="G3" s="236"/>
      <c r="H3" s="236"/>
      <c r="I3" s="236"/>
      <c r="J3" s="236"/>
      <c r="K3" s="236"/>
      <c r="L3" s="236"/>
      <c r="M3" s="236"/>
      <c r="N3" s="236"/>
      <c r="O3" s="236"/>
      <c r="P3" s="236"/>
      <c r="Q3" s="236"/>
      <c r="R3" s="236"/>
      <c r="S3" s="236"/>
      <c r="T3" s="147"/>
      <c r="U3" s="147"/>
      <c r="V3" s="147"/>
      <c r="W3" s="147"/>
      <c r="X3" s="147"/>
      <c r="Y3" s="147"/>
      <c r="Z3" s="152"/>
      <c r="AA3" s="237" t="s">
        <v>76</v>
      </c>
      <c r="AB3" s="238"/>
      <c r="AC3" s="238"/>
      <c r="AD3" s="238"/>
      <c r="AE3" s="237" t="s">
        <v>3</v>
      </c>
      <c r="AF3" s="238"/>
      <c r="AG3" s="238"/>
      <c r="AH3" s="238"/>
      <c r="AI3" s="238"/>
      <c r="AJ3" s="241"/>
      <c r="AK3" s="209" t="s">
        <v>45</v>
      </c>
    </row>
    <row r="4" spans="2:41" ht="16.5" customHeight="1" x14ac:dyDescent="0.25">
      <c r="B4" s="212" t="s">
        <v>5</v>
      </c>
      <c r="C4" s="212" t="s">
        <v>6</v>
      </c>
      <c r="D4" s="54" t="s">
        <v>8</v>
      </c>
      <c r="E4" s="245" t="s">
        <v>46</v>
      </c>
      <c r="F4" s="246"/>
      <c r="G4" s="246"/>
      <c r="H4" s="246"/>
      <c r="I4" s="246"/>
      <c r="J4" s="246"/>
      <c r="K4" s="246"/>
      <c r="L4" s="247"/>
      <c r="M4" s="245" t="s">
        <v>10</v>
      </c>
      <c r="N4" s="246"/>
      <c r="O4" s="246"/>
      <c r="P4" s="246"/>
      <c r="Q4" s="247"/>
      <c r="R4" s="201" t="s">
        <v>47</v>
      </c>
      <c r="S4" s="203"/>
      <c r="T4" s="201" t="s">
        <v>48</v>
      </c>
      <c r="U4" s="203"/>
      <c r="V4" s="201" t="s">
        <v>63</v>
      </c>
      <c r="W4" s="203"/>
      <c r="X4" s="201" t="s">
        <v>64</v>
      </c>
      <c r="Y4" s="203"/>
      <c r="Z4" s="203" t="s">
        <v>49</v>
      </c>
      <c r="AA4" s="239"/>
      <c r="AB4" s="240"/>
      <c r="AC4" s="240"/>
      <c r="AD4" s="240"/>
      <c r="AE4" s="242"/>
      <c r="AF4" s="243"/>
      <c r="AG4" s="243"/>
      <c r="AH4" s="243"/>
      <c r="AI4" s="243"/>
      <c r="AJ4" s="244"/>
      <c r="AK4" s="210"/>
    </row>
    <row r="5" spans="2:41" ht="52.5" customHeight="1" x14ac:dyDescent="0.25">
      <c r="B5" s="212"/>
      <c r="C5" s="212"/>
      <c r="D5" s="43" t="s">
        <v>18</v>
      </c>
      <c r="E5" s="214" t="s">
        <v>19</v>
      </c>
      <c r="F5" s="214"/>
      <c r="G5" s="214" t="s">
        <v>50</v>
      </c>
      <c r="H5" s="214"/>
      <c r="I5" s="231" t="s">
        <v>51</v>
      </c>
      <c r="J5" s="232"/>
      <c r="K5" s="231" t="s">
        <v>52</v>
      </c>
      <c r="L5" s="232"/>
      <c r="M5" s="215" t="s">
        <v>21</v>
      </c>
      <c r="N5" s="216"/>
      <c r="O5" s="215" t="s">
        <v>30</v>
      </c>
      <c r="P5" s="216"/>
      <c r="Q5" s="43" t="s">
        <v>22</v>
      </c>
      <c r="R5" s="207"/>
      <c r="S5" s="208"/>
      <c r="T5" s="207"/>
      <c r="U5" s="208"/>
      <c r="V5" s="207"/>
      <c r="W5" s="208"/>
      <c r="X5" s="207"/>
      <c r="Y5" s="208"/>
      <c r="Z5" s="208"/>
      <c r="AA5" s="231" t="s">
        <v>26</v>
      </c>
      <c r="AB5" s="248"/>
      <c r="AC5" s="248"/>
      <c r="AD5" s="232"/>
      <c r="AE5" s="233" t="s">
        <v>53</v>
      </c>
      <c r="AF5" s="234"/>
      <c r="AG5" s="233" t="s">
        <v>54</v>
      </c>
      <c r="AH5" s="234"/>
      <c r="AI5" s="231" t="s">
        <v>55</v>
      </c>
      <c r="AJ5" s="232"/>
      <c r="AK5" s="210"/>
    </row>
    <row r="6" spans="2:41" ht="14" customHeight="1" x14ac:dyDescent="0.25">
      <c r="B6" s="212"/>
      <c r="C6" s="212"/>
      <c r="D6" s="43"/>
      <c r="E6" s="43"/>
      <c r="F6" s="43"/>
      <c r="G6" s="43">
        <v>5216835</v>
      </c>
      <c r="H6" s="43">
        <v>19296</v>
      </c>
      <c r="I6" s="160">
        <v>13751980</v>
      </c>
      <c r="J6" s="161">
        <v>1960</v>
      </c>
      <c r="K6" s="160"/>
      <c r="L6" s="161"/>
      <c r="M6" s="164"/>
      <c r="N6" s="165"/>
      <c r="O6" s="164"/>
      <c r="P6" s="165"/>
      <c r="Q6" s="43"/>
      <c r="R6" s="158">
        <v>1981802</v>
      </c>
      <c r="S6" s="159">
        <v>0</v>
      </c>
      <c r="T6" s="158">
        <v>7865075</v>
      </c>
      <c r="U6" s="159">
        <v>19347</v>
      </c>
      <c r="V6" s="158">
        <v>741235</v>
      </c>
      <c r="W6" s="159">
        <v>0</v>
      </c>
      <c r="X6" s="158">
        <v>1058377</v>
      </c>
      <c r="Y6" s="159">
        <v>0</v>
      </c>
      <c r="Z6" s="159">
        <v>0</v>
      </c>
      <c r="AA6" s="17">
        <v>0.68477248999999996</v>
      </c>
      <c r="AB6" s="17">
        <v>-0.46808211999999999</v>
      </c>
      <c r="AC6" s="17">
        <v>-0.62499996000000002</v>
      </c>
      <c r="AD6" s="17">
        <v>-3409.3850765000007</v>
      </c>
      <c r="AE6" s="162">
        <v>4624927</v>
      </c>
      <c r="AF6" s="163">
        <v>4356</v>
      </c>
      <c r="AG6" s="162">
        <v>760085</v>
      </c>
      <c r="AH6" s="163">
        <v>1244</v>
      </c>
      <c r="AI6" s="160">
        <v>115191</v>
      </c>
      <c r="AJ6" s="161">
        <v>302</v>
      </c>
      <c r="AK6" s="210"/>
    </row>
    <row r="7" spans="2:41" ht="14.5" x14ac:dyDescent="0.25">
      <c r="B7" s="212"/>
      <c r="C7" s="212"/>
      <c r="D7" s="56" t="s">
        <v>56</v>
      </c>
      <c r="E7" s="17" t="s">
        <v>30</v>
      </c>
      <c r="F7" s="17" t="s">
        <v>31</v>
      </c>
      <c r="G7" s="17" t="s">
        <v>30</v>
      </c>
      <c r="H7" s="17" t="s">
        <v>31</v>
      </c>
      <c r="I7" s="17" t="s">
        <v>30</v>
      </c>
      <c r="J7" s="17" t="s">
        <v>31</v>
      </c>
      <c r="K7" s="17" t="s">
        <v>30</v>
      </c>
      <c r="L7" s="17" t="s">
        <v>31</v>
      </c>
      <c r="M7" s="40" t="s">
        <v>32</v>
      </c>
      <c r="N7" s="40" t="s">
        <v>33</v>
      </c>
      <c r="O7" s="40"/>
      <c r="P7" s="40"/>
      <c r="Q7" s="41" t="s">
        <v>34</v>
      </c>
      <c r="R7" s="17" t="s">
        <v>30</v>
      </c>
      <c r="S7" s="17" t="s">
        <v>31</v>
      </c>
      <c r="T7" s="17" t="s">
        <v>30</v>
      </c>
      <c r="U7" s="17" t="s">
        <v>31</v>
      </c>
      <c r="V7" s="17" t="s">
        <v>30</v>
      </c>
      <c r="W7" s="17" t="s">
        <v>31</v>
      </c>
      <c r="X7" s="17" t="s">
        <v>30</v>
      </c>
      <c r="Y7" s="17" t="s">
        <v>31</v>
      </c>
      <c r="Z7" s="17" t="s">
        <v>31</v>
      </c>
      <c r="AA7" s="17">
        <v>8350</v>
      </c>
      <c r="AB7" s="17">
        <v>8350</v>
      </c>
      <c r="AC7" s="17">
        <v>8350</v>
      </c>
      <c r="AD7" s="17">
        <f>SUM(AA7:AC7)</f>
        <v>25050</v>
      </c>
      <c r="AE7" s="9" t="s">
        <v>30</v>
      </c>
      <c r="AF7" s="9" t="s">
        <v>59</v>
      </c>
      <c r="AG7" s="9" t="s">
        <v>30</v>
      </c>
      <c r="AH7" s="9" t="s">
        <v>59</v>
      </c>
      <c r="AI7" s="9" t="s">
        <v>30</v>
      </c>
      <c r="AJ7" s="9" t="s">
        <v>59</v>
      </c>
      <c r="AK7" s="211"/>
    </row>
    <row r="8" spans="2:41" hidden="1" x14ac:dyDescent="0.25">
      <c r="B8" s="41" t="s">
        <v>60</v>
      </c>
      <c r="C8" s="41"/>
      <c r="D8" s="145"/>
      <c r="E8" s="146"/>
      <c r="F8" s="144"/>
      <c r="G8" s="129"/>
      <c r="H8" s="154"/>
      <c r="I8" s="130"/>
      <c r="J8" s="11"/>
      <c r="K8" s="150"/>
      <c r="L8" s="150"/>
      <c r="M8" s="151"/>
      <c r="N8" s="151"/>
      <c r="O8" s="99"/>
      <c r="P8" s="99"/>
      <c r="Q8" s="99"/>
      <c r="R8" s="59">
        <v>1981802</v>
      </c>
      <c r="S8" s="58"/>
      <c r="T8" s="59"/>
      <c r="U8" s="58"/>
      <c r="V8" s="129"/>
      <c r="W8" s="58"/>
      <c r="X8" s="129"/>
      <c r="Y8" s="58"/>
      <c r="Z8" s="58"/>
      <c r="AA8" s="6"/>
      <c r="AB8" s="6"/>
      <c r="AC8" s="6"/>
      <c r="AD8" s="149">
        <v>2070.1705769999999</v>
      </c>
      <c r="AE8" s="57"/>
      <c r="AF8" s="11"/>
      <c r="AG8" s="57"/>
      <c r="AH8" s="11"/>
      <c r="AI8" s="57"/>
      <c r="AJ8" s="11"/>
      <c r="AK8" s="143"/>
    </row>
    <row r="9" spans="2:41" x14ac:dyDescent="0.25">
      <c r="B9" s="166">
        <v>45962</v>
      </c>
      <c r="C9" s="167" t="str">
        <f>TEXT(B9,"ddd")</f>
        <v>Sat</v>
      </c>
      <c r="D9" s="168" t="s">
        <v>61</v>
      </c>
      <c r="E9" s="169"/>
      <c r="F9" s="170"/>
      <c r="G9" s="173">
        <v>5232773</v>
      </c>
      <c r="H9" s="172">
        <f>G9-G6</f>
        <v>15938</v>
      </c>
      <c r="I9" s="173">
        <v>13761455</v>
      </c>
      <c r="J9" s="172">
        <f>I9-I6</f>
        <v>9475</v>
      </c>
      <c r="K9" s="174"/>
      <c r="L9" s="174"/>
      <c r="M9" s="175" t="s">
        <v>77</v>
      </c>
      <c r="N9" s="175" t="s">
        <v>78</v>
      </c>
      <c r="O9" s="157">
        <v>1903996</v>
      </c>
      <c r="P9" s="157">
        <v>1904793</v>
      </c>
      <c r="Q9" s="157">
        <f>P9-O9</f>
        <v>797</v>
      </c>
      <c r="R9" s="59">
        <v>1981802</v>
      </c>
      <c r="S9" s="172">
        <f>R9-R6</f>
        <v>0</v>
      </c>
      <c r="T9" s="177">
        <v>7885502</v>
      </c>
      <c r="U9" s="172">
        <f>T9-T6</f>
        <v>20427</v>
      </c>
      <c r="V9" s="171">
        <v>741235</v>
      </c>
      <c r="W9" s="172">
        <f>V9-V6</f>
        <v>0</v>
      </c>
      <c r="X9" s="171">
        <v>1058377</v>
      </c>
      <c r="Y9" s="172">
        <f>X9-X6</f>
        <v>0</v>
      </c>
      <c r="Z9" s="176">
        <f>W9+Y9</f>
        <v>0</v>
      </c>
      <c r="AA9" s="193">
        <v>0.6633844000000001</v>
      </c>
      <c r="AB9" s="193">
        <v>-0.46664741999999998</v>
      </c>
      <c r="AC9" s="193">
        <v>0</v>
      </c>
      <c r="AD9" s="195">
        <f>SUMPRODUCT($AA$7:$AB$7:$AC$7,AA9:AC9)</f>
        <v>1642.7537830000006</v>
      </c>
      <c r="AE9" s="155">
        <v>4629334</v>
      </c>
      <c r="AF9" s="172">
        <f>AE9-AE6</f>
        <v>4407</v>
      </c>
      <c r="AG9" s="155">
        <v>761283</v>
      </c>
      <c r="AH9" s="172">
        <f>AG9-AG6</f>
        <v>1198</v>
      </c>
      <c r="AI9" s="155">
        <v>115277</v>
      </c>
      <c r="AJ9" s="172">
        <f>AI9-AI6</f>
        <v>86</v>
      </c>
      <c r="AK9" s="17"/>
      <c r="AM9" s="78"/>
      <c r="AN9" s="74"/>
      <c r="AO9" s="74"/>
    </row>
    <row r="10" spans="2:41" x14ac:dyDescent="0.25">
      <c r="B10" s="166">
        <f>B9+1</f>
        <v>45963</v>
      </c>
      <c r="C10" s="167" t="str">
        <f t="shared" ref="C10:C39" si="0">TEXT(B10,"ddd")</f>
        <v>Sun</v>
      </c>
      <c r="D10" s="168"/>
      <c r="E10" s="169"/>
      <c r="F10" s="169"/>
      <c r="G10" s="173">
        <v>5238066</v>
      </c>
      <c r="H10" s="172">
        <f>G10-G9</f>
        <v>5293</v>
      </c>
      <c r="I10" s="173">
        <v>13766956</v>
      </c>
      <c r="J10" s="172">
        <f>I10-I9</f>
        <v>5501</v>
      </c>
      <c r="K10" s="174"/>
      <c r="L10" s="174"/>
      <c r="M10" s="175"/>
      <c r="N10" s="175"/>
      <c r="O10" s="157"/>
      <c r="P10" s="157"/>
      <c r="Q10" s="157"/>
      <c r="R10" s="59">
        <v>1981802</v>
      </c>
      <c r="S10" s="172">
        <f t="shared" ref="S10:S34" si="1">R10-R9</f>
        <v>0</v>
      </c>
      <c r="T10" s="177">
        <v>7901146</v>
      </c>
      <c r="U10" s="172">
        <f>T10-T9</f>
        <v>15644</v>
      </c>
      <c r="V10" s="171">
        <v>741235</v>
      </c>
      <c r="W10" s="172">
        <f>V10-V9</f>
        <v>0</v>
      </c>
      <c r="X10" s="171">
        <v>1058377</v>
      </c>
      <c r="Y10" s="172">
        <f>X10-X9</f>
        <v>0</v>
      </c>
      <c r="Z10" s="176">
        <f t="shared" ref="Z10:Z39" si="2">W10+Y10</f>
        <v>0</v>
      </c>
      <c r="AA10" s="193">
        <v>0.80345946999999995</v>
      </c>
      <c r="AB10" s="193">
        <v>-0.46703097999999998</v>
      </c>
      <c r="AC10" s="193">
        <v>0</v>
      </c>
      <c r="AD10" s="195">
        <f>SUMPRODUCT($AA$7:$AB$7:$AC$7,AA10:AC10)</f>
        <v>2809.1778914999995</v>
      </c>
      <c r="AE10" s="155">
        <v>4629334</v>
      </c>
      <c r="AF10" s="172">
        <f>AE10-AE9</f>
        <v>0</v>
      </c>
      <c r="AG10" s="155">
        <v>761283</v>
      </c>
      <c r="AH10" s="172">
        <f>AG10-AG9</f>
        <v>0</v>
      </c>
      <c r="AI10" s="155">
        <v>115471</v>
      </c>
      <c r="AJ10" s="172">
        <f>AI10-AI9</f>
        <v>194</v>
      </c>
      <c r="AK10" s="17"/>
      <c r="AM10" s="78"/>
      <c r="AN10" s="74"/>
      <c r="AO10" s="74"/>
    </row>
    <row r="11" spans="2:41" x14ac:dyDescent="0.25">
      <c r="B11" s="166">
        <f>B10+1</f>
        <v>45964</v>
      </c>
      <c r="C11" s="167" t="str">
        <f t="shared" si="0"/>
        <v>Mon</v>
      </c>
      <c r="D11" s="168"/>
      <c r="E11" s="169"/>
      <c r="F11" s="169"/>
      <c r="G11" s="173">
        <v>5245946</v>
      </c>
      <c r="H11" s="172">
        <f>G11-G10</f>
        <v>7880</v>
      </c>
      <c r="I11" s="173">
        <v>13772465</v>
      </c>
      <c r="J11" s="172">
        <f>I11-I10</f>
        <v>5509</v>
      </c>
      <c r="K11" s="174"/>
      <c r="L11" s="174"/>
      <c r="M11" s="175" t="s">
        <v>79</v>
      </c>
      <c r="N11" s="175" t="s">
        <v>80</v>
      </c>
      <c r="O11" s="157">
        <v>1915007</v>
      </c>
      <c r="P11" s="157">
        <v>1918120</v>
      </c>
      <c r="Q11" s="157">
        <f>P11-O11</f>
        <v>3113</v>
      </c>
      <c r="R11" s="59">
        <v>1981802</v>
      </c>
      <c r="S11" s="172">
        <f t="shared" si="1"/>
        <v>0</v>
      </c>
      <c r="T11" s="177">
        <v>7904729</v>
      </c>
      <c r="U11" s="172">
        <f>T11-T10</f>
        <v>3583</v>
      </c>
      <c r="V11" s="171">
        <v>741235</v>
      </c>
      <c r="W11" s="172">
        <f>V11-V10</f>
        <v>0</v>
      </c>
      <c r="X11" s="171">
        <v>1058377</v>
      </c>
      <c r="Y11" s="172">
        <f>X11-X10</f>
        <v>0</v>
      </c>
      <c r="Z11" s="176">
        <f t="shared" si="2"/>
        <v>0</v>
      </c>
      <c r="AA11" s="193">
        <v>0.67159088</v>
      </c>
      <c r="AB11" s="193">
        <v>-0.47257713000000001</v>
      </c>
      <c r="AC11" s="193">
        <v>0</v>
      </c>
      <c r="AD11" s="195">
        <f>SUMPRODUCT($AA$7:$AB$7:$AC$7,AA11:AC11)</f>
        <v>1661.7648125000001</v>
      </c>
      <c r="AE11" s="155">
        <v>4636451</v>
      </c>
      <c r="AF11" s="172">
        <f>AE11-AE10</f>
        <v>7117</v>
      </c>
      <c r="AG11" s="155">
        <v>763414</v>
      </c>
      <c r="AH11" s="172">
        <f>AG11-AG10</f>
        <v>2131</v>
      </c>
      <c r="AI11" s="155">
        <v>115596</v>
      </c>
      <c r="AJ11" s="172">
        <f>AI11-AI10</f>
        <v>125</v>
      </c>
      <c r="AK11" s="17"/>
      <c r="AM11" s="78"/>
      <c r="AN11" s="74"/>
      <c r="AO11" s="74"/>
    </row>
    <row r="12" spans="2:41" x14ac:dyDescent="0.25">
      <c r="B12" s="166">
        <f t="shared" ref="B12:B39" si="3">B11+1</f>
        <v>45965</v>
      </c>
      <c r="C12" s="167" t="str">
        <f t="shared" si="0"/>
        <v>Tue</v>
      </c>
      <c r="D12" s="168"/>
      <c r="E12" s="169"/>
      <c r="F12" s="169"/>
      <c r="G12" s="173">
        <v>5260317</v>
      </c>
      <c r="H12" s="172">
        <f t="shared" ref="H12:H39" si="4">G12-G11</f>
        <v>14371</v>
      </c>
      <c r="I12" s="173">
        <v>13772871</v>
      </c>
      <c r="J12" s="172">
        <f t="shared" ref="J12:J39" si="5">I12-I11</f>
        <v>406</v>
      </c>
      <c r="K12" s="174"/>
      <c r="L12" s="174"/>
      <c r="M12" s="175"/>
      <c r="N12" s="175"/>
      <c r="O12" s="157"/>
      <c r="P12" s="157"/>
      <c r="Q12" s="157"/>
      <c r="R12" s="59">
        <v>1981802</v>
      </c>
      <c r="S12" s="172">
        <f t="shared" si="1"/>
        <v>0</v>
      </c>
      <c r="T12" s="177">
        <v>7904729</v>
      </c>
      <c r="U12" s="172">
        <f t="shared" ref="U12:U39" si="6">T12-T11</f>
        <v>0</v>
      </c>
      <c r="V12" s="171">
        <v>741235</v>
      </c>
      <c r="W12" s="172">
        <f t="shared" ref="W12:W39" si="7">V12-V11</f>
        <v>0</v>
      </c>
      <c r="X12" s="171">
        <v>1058377</v>
      </c>
      <c r="Y12" s="172">
        <f t="shared" ref="Y12:Y39" si="8">X12-X11</f>
        <v>0</v>
      </c>
      <c r="Z12" s="176">
        <f t="shared" si="2"/>
        <v>0</v>
      </c>
      <c r="AA12" s="193">
        <v>0.23118453999999999</v>
      </c>
      <c r="AB12" s="193">
        <v>-0.46150131</v>
      </c>
      <c r="AC12" s="193">
        <v>0</v>
      </c>
      <c r="AD12" s="195">
        <f>SUMPRODUCT($AA$7:$AB$7:$AC$7,AA12:AC12)</f>
        <v>-1923.1450295000002</v>
      </c>
      <c r="AE12" s="171">
        <v>4640001</v>
      </c>
      <c r="AF12" s="172">
        <f t="shared" ref="AF12:AF39" si="9">AE12-AE11</f>
        <v>3550</v>
      </c>
      <c r="AG12" s="155">
        <v>764231</v>
      </c>
      <c r="AH12" s="172">
        <f t="shared" ref="AH12:AH39" si="10">AG12-AG11</f>
        <v>817</v>
      </c>
      <c r="AI12" s="155">
        <v>115678</v>
      </c>
      <c r="AJ12" s="172">
        <f>AI12-AI11</f>
        <v>82</v>
      </c>
      <c r="AK12" s="17"/>
      <c r="AM12" s="78"/>
      <c r="AN12" s="74"/>
      <c r="AO12" s="74"/>
    </row>
    <row r="13" spans="2:41" x14ac:dyDescent="0.25">
      <c r="B13" s="166">
        <f t="shared" si="3"/>
        <v>45966</v>
      </c>
      <c r="C13" s="167" t="str">
        <f t="shared" si="0"/>
        <v>Wed</v>
      </c>
      <c r="D13" s="168"/>
      <c r="E13" s="169"/>
      <c r="F13" s="169"/>
      <c r="G13" s="173">
        <v>5260317</v>
      </c>
      <c r="H13" s="172">
        <f t="shared" si="4"/>
        <v>0</v>
      </c>
      <c r="I13" s="173">
        <v>13772871</v>
      </c>
      <c r="J13" s="172">
        <f t="shared" si="5"/>
        <v>0</v>
      </c>
      <c r="K13" s="174"/>
      <c r="L13" s="174"/>
      <c r="M13" s="175"/>
      <c r="N13" s="175"/>
      <c r="O13" s="157"/>
      <c r="P13" s="157"/>
      <c r="Q13" s="157"/>
      <c r="R13" s="59">
        <v>1981802</v>
      </c>
      <c r="S13" s="172">
        <f t="shared" si="1"/>
        <v>0</v>
      </c>
      <c r="T13" s="177">
        <v>7904729</v>
      </c>
      <c r="U13" s="172">
        <f t="shared" si="6"/>
        <v>0</v>
      </c>
      <c r="V13" s="171">
        <v>741235</v>
      </c>
      <c r="W13" s="172">
        <f t="shared" si="7"/>
        <v>0</v>
      </c>
      <c r="X13" s="171">
        <v>1058377</v>
      </c>
      <c r="Y13" s="172">
        <f t="shared" si="8"/>
        <v>0</v>
      </c>
      <c r="Z13" s="176">
        <f t="shared" si="2"/>
        <v>0</v>
      </c>
      <c r="AA13" s="193">
        <v>0.36591339000000001</v>
      </c>
      <c r="AB13" s="193">
        <v>-0.46838366999999997</v>
      </c>
      <c r="AC13" s="193">
        <v>0</v>
      </c>
      <c r="AD13" s="195">
        <f>SUMPRODUCT($AA$7:$AB$7:$AC$7,AA13:AC13)</f>
        <v>-855.62683799999968</v>
      </c>
      <c r="AE13" s="171">
        <v>4644143</v>
      </c>
      <c r="AF13" s="172">
        <f t="shared" si="9"/>
        <v>4142</v>
      </c>
      <c r="AG13" s="155">
        <v>765085</v>
      </c>
      <c r="AH13" s="172">
        <f t="shared" si="10"/>
        <v>854</v>
      </c>
      <c r="AI13" s="155">
        <v>115888</v>
      </c>
      <c r="AJ13" s="172">
        <f t="shared" ref="AJ13:AJ39" si="11">AI13-AI12</f>
        <v>210</v>
      </c>
      <c r="AK13" s="17"/>
      <c r="AM13" s="78"/>
      <c r="AN13" s="74"/>
      <c r="AO13" s="74"/>
    </row>
    <row r="14" spans="2:41" x14ac:dyDescent="0.25">
      <c r="B14" s="166">
        <f t="shared" si="3"/>
        <v>45967</v>
      </c>
      <c r="C14" s="167" t="str">
        <f t="shared" si="0"/>
        <v>Thu</v>
      </c>
      <c r="D14" s="168"/>
      <c r="E14" s="169"/>
      <c r="F14" s="169"/>
      <c r="G14" s="173">
        <v>5273842</v>
      </c>
      <c r="H14" s="172">
        <f t="shared" si="4"/>
        <v>13525</v>
      </c>
      <c r="I14" s="173">
        <v>13782908</v>
      </c>
      <c r="J14" s="172">
        <f t="shared" si="5"/>
        <v>10037</v>
      </c>
      <c r="K14" s="174"/>
      <c r="L14" s="174"/>
      <c r="M14" s="175"/>
      <c r="N14" s="175"/>
      <c r="O14" s="157"/>
      <c r="P14" s="157"/>
      <c r="Q14" s="157"/>
      <c r="R14" s="59">
        <v>1981802</v>
      </c>
      <c r="S14" s="172">
        <f t="shared" si="1"/>
        <v>0</v>
      </c>
      <c r="T14" s="177">
        <v>7904729</v>
      </c>
      <c r="U14" s="172">
        <f t="shared" si="6"/>
        <v>0</v>
      </c>
      <c r="V14" s="171">
        <v>741235</v>
      </c>
      <c r="W14" s="172">
        <f t="shared" si="7"/>
        <v>0</v>
      </c>
      <c r="X14" s="171">
        <v>1058377</v>
      </c>
      <c r="Y14" s="172">
        <f t="shared" si="8"/>
        <v>0</v>
      </c>
      <c r="Z14" s="176">
        <f t="shared" si="2"/>
        <v>0</v>
      </c>
      <c r="AA14" s="193">
        <v>0.52158263999999999</v>
      </c>
      <c r="AB14" s="193">
        <v>-0.47259216000000004</v>
      </c>
      <c r="AC14" s="193">
        <v>0</v>
      </c>
      <c r="AD14" s="195">
        <f>SUMPRODUCT($AA$7:$AB$7:$AC$7,AA14:AC14)</f>
        <v>409.07050799999934</v>
      </c>
      <c r="AE14" s="171">
        <v>4648121</v>
      </c>
      <c r="AF14" s="172">
        <f t="shared" si="9"/>
        <v>3978</v>
      </c>
      <c r="AG14" s="155">
        <v>765899</v>
      </c>
      <c r="AH14" s="172">
        <f t="shared" si="10"/>
        <v>814</v>
      </c>
      <c r="AI14" s="155">
        <v>116142</v>
      </c>
      <c r="AJ14" s="172">
        <f t="shared" si="11"/>
        <v>254</v>
      </c>
      <c r="AK14" s="17"/>
      <c r="AM14" s="78"/>
      <c r="AN14" s="74"/>
      <c r="AO14" s="74"/>
    </row>
    <row r="15" spans="2:41" x14ac:dyDescent="0.25">
      <c r="B15" s="166">
        <f t="shared" si="3"/>
        <v>45968</v>
      </c>
      <c r="C15" s="167" t="str">
        <f t="shared" si="0"/>
        <v>Fri</v>
      </c>
      <c r="D15" s="168"/>
      <c r="E15" s="169"/>
      <c r="F15" s="169"/>
      <c r="G15" s="173">
        <v>5274667</v>
      </c>
      <c r="H15" s="172">
        <f t="shared" si="4"/>
        <v>825</v>
      </c>
      <c r="I15" s="173">
        <v>13795510</v>
      </c>
      <c r="J15" s="172">
        <f t="shared" si="5"/>
        <v>12602</v>
      </c>
      <c r="K15" s="174"/>
      <c r="L15" s="174"/>
      <c r="M15" s="175"/>
      <c r="N15" s="175"/>
      <c r="O15" s="157"/>
      <c r="P15" s="157"/>
      <c r="Q15" s="157"/>
      <c r="R15" s="59">
        <v>1981802</v>
      </c>
      <c r="S15" s="172">
        <f t="shared" si="1"/>
        <v>0</v>
      </c>
      <c r="T15" s="177">
        <v>7904729</v>
      </c>
      <c r="U15" s="172">
        <f t="shared" si="6"/>
        <v>0</v>
      </c>
      <c r="V15" s="171">
        <v>741235</v>
      </c>
      <c r="W15" s="172">
        <f t="shared" si="7"/>
        <v>0</v>
      </c>
      <c r="X15" s="171">
        <v>1058377</v>
      </c>
      <c r="Y15" s="172">
        <f t="shared" si="8"/>
        <v>0</v>
      </c>
      <c r="Z15" s="176">
        <f t="shared" si="2"/>
        <v>0</v>
      </c>
      <c r="AA15" s="193">
        <v>0.70469283999999999</v>
      </c>
      <c r="AB15" s="193">
        <v>-0.47135001999999998</v>
      </c>
      <c r="AC15" s="193">
        <v>0</v>
      </c>
      <c r="AD15" s="195">
        <f>SUMPRODUCT($AA$7:$AB$7:$AC$7,AA15:AC15)</f>
        <v>1948.4125470000004</v>
      </c>
      <c r="AE15" s="171">
        <v>4652414</v>
      </c>
      <c r="AF15" s="172">
        <f t="shared" si="9"/>
        <v>4293</v>
      </c>
      <c r="AG15" s="155">
        <v>766685</v>
      </c>
      <c r="AH15" s="172">
        <f t="shared" si="10"/>
        <v>786</v>
      </c>
      <c r="AI15" s="155">
        <v>116366</v>
      </c>
      <c r="AJ15" s="172">
        <f t="shared" si="11"/>
        <v>224</v>
      </c>
      <c r="AK15" s="17"/>
      <c r="AM15" s="78"/>
      <c r="AN15" s="74"/>
      <c r="AO15" s="74"/>
    </row>
    <row r="16" spans="2:41" x14ac:dyDescent="0.25">
      <c r="B16" s="166">
        <f t="shared" si="3"/>
        <v>45969</v>
      </c>
      <c r="C16" s="167" t="str">
        <f t="shared" si="0"/>
        <v>Sat</v>
      </c>
      <c r="D16" s="168"/>
      <c r="E16" s="169"/>
      <c r="F16" s="169"/>
      <c r="G16" s="173">
        <v>5274667</v>
      </c>
      <c r="H16" s="172">
        <f t="shared" si="4"/>
        <v>0</v>
      </c>
      <c r="I16" s="173">
        <v>13808320</v>
      </c>
      <c r="J16" s="172">
        <f t="shared" si="5"/>
        <v>12810</v>
      </c>
      <c r="K16" s="174"/>
      <c r="L16" s="174"/>
      <c r="M16" s="175"/>
      <c r="N16" s="175"/>
      <c r="O16" s="157"/>
      <c r="P16" s="157"/>
      <c r="Q16" s="157"/>
      <c r="R16" s="59">
        <v>1981802</v>
      </c>
      <c r="S16" s="172">
        <f t="shared" si="1"/>
        <v>0</v>
      </c>
      <c r="T16" s="177">
        <v>7904729</v>
      </c>
      <c r="U16" s="172">
        <f t="shared" si="6"/>
        <v>0</v>
      </c>
      <c r="V16" s="171">
        <v>741235</v>
      </c>
      <c r="W16" s="172">
        <f t="shared" si="7"/>
        <v>0</v>
      </c>
      <c r="X16" s="171">
        <v>1058377</v>
      </c>
      <c r="Y16" s="172">
        <f t="shared" si="8"/>
        <v>0</v>
      </c>
      <c r="Z16" s="176">
        <f t="shared" si="2"/>
        <v>0</v>
      </c>
      <c r="AA16" s="193">
        <v>0.56344833000000005</v>
      </c>
      <c r="AB16" s="193">
        <v>-0.47232742</v>
      </c>
      <c r="AC16" s="193">
        <v>0</v>
      </c>
      <c r="AD16" s="195">
        <f>SUMPRODUCT($AA$7:$AB$7:$AC$7,AA16:AC16)</f>
        <v>760.85959850000017</v>
      </c>
      <c r="AE16" s="155">
        <v>4656687</v>
      </c>
      <c r="AF16" s="172">
        <f t="shared" si="9"/>
        <v>4273</v>
      </c>
      <c r="AG16" s="155">
        <v>767528</v>
      </c>
      <c r="AH16" s="172">
        <f t="shared" si="10"/>
        <v>843</v>
      </c>
      <c r="AI16" s="155">
        <v>116566</v>
      </c>
      <c r="AJ16" s="172">
        <f t="shared" si="11"/>
        <v>200</v>
      </c>
      <c r="AK16" s="17"/>
      <c r="AM16" s="78"/>
      <c r="AN16" s="74"/>
      <c r="AO16" s="74"/>
    </row>
    <row r="17" spans="2:41" x14ac:dyDescent="0.25">
      <c r="B17" s="166">
        <f t="shared" si="3"/>
        <v>45970</v>
      </c>
      <c r="C17" s="167" t="str">
        <f t="shared" si="0"/>
        <v>Sun</v>
      </c>
      <c r="D17" s="168"/>
      <c r="E17" s="169"/>
      <c r="F17" s="169"/>
      <c r="G17" s="173">
        <v>5284902</v>
      </c>
      <c r="H17" s="172">
        <f t="shared" si="4"/>
        <v>10235</v>
      </c>
      <c r="I17" s="173">
        <v>13815594</v>
      </c>
      <c r="J17" s="172">
        <f t="shared" si="5"/>
        <v>7274</v>
      </c>
      <c r="K17" s="174"/>
      <c r="L17" s="174"/>
      <c r="M17" s="175"/>
      <c r="N17" s="175"/>
      <c r="O17" s="157"/>
      <c r="P17" s="157"/>
      <c r="Q17" s="157"/>
      <c r="R17" s="59">
        <v>1981802</v>
      </c>
      <c r="S17" s="172">
        <f t="shared" si="1"/>
        <v>0</v>
      </c>
      <c r="T17" s="177">
        <v>7904729</v>
      </c>
      <c r="U17" s="172">
        <f t="shared" si="6"/>
        <v>0</v>
      </c>
      <c r="V17" s="171">
        <v>741235</v>
      </c>
      <c r="W17" s="172">
        <f t="shared" si="7"/>
        <v>0</v>
      </c>
      <c r="X17" s="171">
        <v>1058377</v>
      </c>
      <c r="Y17" s="172">
        <f t="shared" si="8"/>
        <v>0</v>
      </c>
      <c r="Z17" s="176">
        <f t="shared" si="2"/>
        <v>0</v>
      </c>
      <c r="AA17" s="193">
        <v>0.70632552999999998</v>
      </c>
      <c r="AB17" s="193">
        <v>-0.47313395999999996</v>
      </c>
      <c r="AC17" s="193">
        <v>0</v>
      </c>
      <c r="AD17" s="195">
        <f>SUMPRODUCT($AA$7:$AB$7:$AC$7,AA17:AC17)</f>
        <v>1947.1496094999998</v>
      </c>
      <c r="AE17" s="155">
        <v>4660901</v>
      </c>
      <c r="AF17" s="172">
        <f t="shared" si="9"/>
        <v>4214</v>
      </c>
      <c r="AG17" s="155">
        <v>768371</v>
      </c>
      <c r="AH17" s="172">
        <f t="shared" si="10"/>
        <v>843</v>
      </c>
      <c r="AI17" s="155">
        <v>116753</v>
      </c>
      <c r="AJ17" s="172">
        <f>AI17-AI16</f>
        <v>187</v>
      </c>
      <c r="AK17" s="154">
        <f>AJ17-AJ16</f>
        <v>-13</v>
      </c>
      <c r="AM17" s="78"/>
      <c r="AN17" s="74"/>
      <c r="AO17" s="74"/>
    </row>
    <row r="18" spans="2:41" x14ac:dyDescent="0.25">
      <c r="B18" s="166">
        <f t="shared" si="3"/>
        <v>45971</v>
      </c>
      <c r="C18" s="167" t="str">
        <f t="shared" si="0"/>
        <v>Mon</v>
      </c>
      <c r="D18" s="168"/>
      <c r="E18" s="169"/>
      <c r="F18" s="169"/>
      <c r="G18" s="173">
        <v>5289211</v>
      </c>
      <c r="H18" s="172">
        <f t="shared" si="4"/>
        <v>4309</v>
      </c>
      <c r="I18" s="173">
        <v>13819704</v>
      </c>
      <c r="J18" s="172">
        <f t="shared" si="5"/>
        <v>4110</v>
      </c>
      <c r="K18" s="174"/>
      <c r="L18" s="174"/>
      <c r="M18" s="175" t="s">
        <v>81</v>
      </c>
      <c r="N18" s="175" t="s">
        <v>82</v>
      </c>
      <c r="O18" s="157">
        <v>1940365</v>
      </c>
      <c r="P18" s="157">
        <v>1950699</v>
      </c>
      <c r="Q18" s="157">
        <f>P18-O18</f>
        <v>10334</v>
      </c>
      <c r="R18" s="59">
        <v>1981802</v>
      </c>
      <c r="S18" s="172">
        <f t="shared" si="1"/>
        <v>0</v>
      </c>
      <c r="T18" s="171">
        <v>7904741</v>
      </c>
      <c r="U18" s="172">
        <f t="shared" si="6"/>
        <v>12</v>
      </c>
      <c r="V18" s="171">
        <v>741235</v>
      </c>
      <c r="W18" s="172">
        <f t="shared" si="7"/>
        <v>0</v>
      </c>
      <c r="X18" s="171">
        <v>1058377</v>
      </c>
      <c r="Y18" s="172">
        <f t="shared" si="8"/>
        <v>0</v>
      </c>
      <c r="Z18" s="176">
        <f t="shared" si="2"/>
        <v>0</v>
      </c>
      <c r="AA18" s="193">
        <v>0.96290237000000001</v>
      </c>
      <c r="AB18" s="193">
        <v>-0.47434688999999997</v>
      </c>
      <c r="AC18" s="193">
        <v>0</v>
      </c>
      <c r="AD18" s="195">
        <f>SUMPRODUCT($AA$7:$AB$7:$AC$7,AA18:AC18)</f>
        <v>4079.4382580000006</v>
      </c>
      <c r="AE18" s="155">
        <v>4663964</v>
      </c>
      <c r="AF18" s="172">
        <f t="shared" si="9"/>
        <v>3063</v>
      </c>
      <c r="AG18" s="155">
        <v>769164</v>
      </c>
      <c r="AH18" s="172">
        <f t="shared" si="10"/>
        <v>793</v>
      </c>
      <c r="AI18" s="155">
        <v>117063</v>
      </c>
      <c r="AJ18" s="172">
        <f>AI18-AI17</f>
        <v>310</v>
      </c>
      <c r="AK18" s="17"/>
      <c r="AM18" s="78"/>
      <c r="AN18" s="74"/>
      <c r="AO18" s="74"/>
    </row>
    <row r="19" spans="2:41" x14ac:dyDescent="0.25">
      <c r="B19" s="166">
        <f t="shared" si="3"/>
        <v>45972</v>
      </c>
      <c r="C19" s="167" t="str">
        <f t="shared" si="0"/>
        <v>Tue</v>
      </c>
      <c r="D19" s="168"/>
      <c r="E19" s="169"/>
      <c r="F19" s="169"/>
      <c r="G19" s="173">
        <v>5302645</v>
      </c>
      <c r="H19" s="172">
        <f t="shared" si="4"/>
        <v>13434</v>
      </c>
      <c r="I19" s="173">
        <v>13819944</v>
      </c>
      <c r="J19" s="172">
        <f t="shared" si="5"/>
        <v>240</v>
      </c>
      <c r="K19" s="174"/>
      <c r="L19" s="174"/>
      <c r="M19" s="175"/>
      <c r="N19" s="175"/>
      <c r="O19" s="157"/>
      <c r="P19" s="157"/>
      <c r="Q19" s="157"/>
      <c r="R19" s="59">
        <v>1981802</v>
      </c>
      <c r="S19" s="172">
        <f t="shared" si="1"/>
        <v>0</v>
      </c>
      <c r="T19" s="171">
        <v>7904741</v>
      </c>
      <c r="U19" s="172">
        <f t="shared" si="6"/>
        <v>0</v>
      </c>
      <c r="V19" s="171">
        <v>741235</v>
      </c>
      <c r="W19" s="172">
        <f t="shared" si="7"/>
        <v>0</v>
      </c>
      <c r="X19" s="171">
        <v>1058377</v>
      </c>
      <c r="Y19" s="172">
        <f t="shared" si="8"/>
        <v>0</v>
      </c>
      <c r="Z19" s="176">
        <f t="shared" si="2"/>
        <v>0</v>
      </c>
      <c r="AA19" s="193">
        <v>0.43665756</v>
      </c>
      <c r="AB19" s="193">
        <v>-0.46001106000000003</v>
      </c>
      <c r="AC19" s="193">
        <v>0</v>
      </c>
      <c r="AD19" s="195">
        <f>SUMPRODUCT($AA$7:$AB$7:$AC$7,AA19:AC19)</f>
        <v>-195.00172500000008</v>
      </c>
      <c r="AE19" s="155">
        <v>4667700</v>
      </c>
      <c r="AF19" s="172">
        <f t="shared" si="9"/>
        <v>3736</v>
      </c>
      <c r="AG19" s="155">
        <v>769841</v>
      </c>
      <c r="AH19" s="172">
        <f t="shared" si="10"/>
        <v>677</v>
      </c>
      <c r="AI19" s="155">
        <v>117628</v>
      </c>
      <c r="AJ19" s="172">
        <f>AI19-AI18</f>
        <v>565</v>
      </c>
      <c r="AK19" s="17"/>
      <c r="AM19" s="78"/>
      <c r="AN19" s="74"/>
      <c r="AO19" s="74"/>
    </row>
    <row r="20" spans="2:41" x14ac:dyDescent="0.25">
      <c r="B20" s="166">
        <f t="shared" si="3"/>
        <v>45973</v>
      </c>
      <c r="C20" s="167" t="str">
        <f t="shared" si="0"/>
        <v>Wed</v>
      </c>
      <c r="D20" s="168"/>
      <c r="E20" s="169"/>
      <c r="F20" s="169"/>
      <c r="G20" s="173">
        <v>5320955</v>
      </c>
      <c r="H20" s="172">
        <f t="shared" si="4"/>
        <v>18310</v>
      </c>
      <c r="I20" s="173">
        <v>13820429</v>
      </c>
      <c r="J20" s="172">
        <f t="shared" si="5"/>
        <v>485</v>
      </c>
      <c r="K20" s="174"/>
      <c r="L20" s="174"/>
      <c r="M20" s="175"/>
      <c r="N20" s="175"/>
      <c r="O20" s="157"/>
      <c r="P20" s="157"/>
      <c r="Q20" s="157"/>
      <c r="R20" s="59">
        <v>1981802</v>
      </c>
      <c r="S20" s="172">
        <f t="shared" si="1"/>
        <v>0</v>
      </c>
      <c r="T20" s="171">
        <v>7904741</v>
      </c>
      <c r="U20" s="172">
        <f t="shared" si="6"/>
        <v>0</v>
      </c>
      <c r="V20" s="171">
        <v>741235</v>
      </c>
      <c r="W20" s="172">
        <f t="shared" si="7"/>
        <v>0</v>
      </c>
      <c r="X20" s="171">
        <v>1058377</v>
      </c>
      <c r="Y20" s="172">
        <f t="shared" si="8"/>
        <v>0</v>
      </c>
      <c r="Z20" s="176">
        <f t="shared" si="2"/>
        <v>0</v>
      </c>
      <c r="AA20" s="193">
        <v>0.72297027999999997</v>
      </c>
      <c r="AB20" s="193">
        <v>-0.46048183000000004</v>
      </c>
      <c r="AC20" s="193">
        <v>0</v>
      </c>
      <c r="AD20" s="195">
        <f>SUMPRODUCT($AA$7:$AB$7:$AC$7,AA20:AC20)</f>
        <v>2191.7785574999989</v>
      </c>
      <c r="AE20" s="155">
        <v>4670993</v>
      </c>
      <c r="AF20" s="172">
        <f t="shared" si="9"/>
        <v>3293</v>
      </c>
      <c r="AG20" s="156">
        <v>770743</v>
      </c>
      <c r="AH20" s="172">
        <f t="shared" si="10"/>
        <v>902</v>
      </c>
      <c r="AI20" s="155">
        <v>117814</v>
      </c>
      <c r="AJ20" s="172">
        <f t="shared" si="11"/>
        <v>186</v>
      </c>
      <c r="AK20" s="17"/>
      <c r="AM20" s="78"/>
      <c r="AN20" s="74"/>
      <c r="AO20" s="74"/>
    </row>
    <row r="21" spans="2:41" x14ac:dyDescent="0.25">
      <c r="B21" s="166">
        <f t="shared" si="3"/>
        <v>45974</v>
      </c>
      <c r="C21" s="167" t="str">
        <f t="shared" si="0"/>
        <v>Thu</v>
      </c>
      <c r="D21" s="168"/>
      <c r="E21" s="169"/>
      <c r="F21" s="169"/>
      <c r="G21" s="173">
        <v>5339129</v>
      </c>
      <c r="H21" s="172">
        <f t="shared" si="4"/>
        <v>18174</v>
      </c>
      <c r="I21" s="173">
        <v>13821485</v>
      </c>
      <c r="J21" s="172">
        <f t="shared" si="5"/>
        <v>1056</v>
      </c>
      <c r="K21" s="174"/>
      <c r="L21" s="174"/>
      <c r="M21" s="175"/>
      <c r="N21" s="175"/>
      <c r="O21" s="157"/>
      <c r="P21" s="157"/>
      <c r="Q21" s="157"/>
      <c r="R21" s="59">
        <v>1981802</v>
      </c>
      <c r="S21" s="172">
        <f t="shared" si="1"/>
        <v>0</v>
      </c>
      <c r="T21" s="171">
        <v>7904741</v>
      </c>
      <c r="U21" s="172">
        <f t="shared" si="6"/>
        <v>0</v>
      </c>
      <c r="V21" s="171">
        <v>741235</v>
      </c>
      <c r="W21" s="172">
        <f t="shared" si="7"/>
        <v>0</v>
      </c>
      <c r="X21" s="171">
        <v>1058377</v>
      </c>
      <c r="Y21" s="172">
        <f t="shared" si="8"/>
        <v>0</v>
      </c>
      <c r="Z21" s="176">
        <f t="shared" si="2"/>
        <v>0</v>
      </c>
      <c r="AA21" s="193">
        <v>0.73109420999999997</v>
      </c>
      <c r="AB21" s="193">
        <v>-0.46961548000000003</v>
      </c>
      <c r="AC21" s="193">
        <v>-0.62499996000000002</v>
      </c>
      <c r="AD21" s="195">
        <f>SUMPRODUCT($AA$7:$AB$7:$AC$7,AA21:AC21)</f>
        <v>-3035.4022705000011</v>
      </c>
      <c r="AE21" s="155">
        <v>4674414</v>
      </c>
      <c r="AF21" s="172">
        <f t="shared" si="9"/>
        <v>3421</v>
      </c>
      <c r="AG21" s="155">
        <v>771594</v>
      </c>
      <c r="AH21" s="172">
        <f t="shared" si="10"/>
        <v>851</v>
      </c>
      <c r="AI21" s="155">
        <v>118080</v>
      </c>
      <c r="AJ21" s="172">
        <f t="shared" si="11"/>
        <v>266</v>
      </c>
      <c r="AK21" s="17"/>
      <c r="AM21" s="78"/>
      <c r="AN21" s="74"/>
      <c r="AO21" s="74"/>
    </row>
    <row r="22" spans="2:41" x14ac:dyDescent="0.25">
      <c r="B22" s="166">
        <f t="shared" si="3"/>
        <v>45975</v>
      </c>
      <c r="C22" s="167" t="str">
        <f t="shared" si="0"/>
        <v>Fri</v>
      </c>
      <c r="D22" s="168"/>
      <c r="E22" s="169"/>
      <c r="F22" s="169"/>
      <c r="G22" s="173">
        <v>5344930</v>
      </c>
      <c r="H22" s="172">
        <f t="shared" si="4"/>
        <v>5801</v>
      </c>
      <c r="I22" s="173">
        <v>13834699</v>
      </c>
      <c r="J22" s="172">
        <f t="shared" si="5"/>
        <v>13214</v>
      </c>
      <c r="K22" s="174"/>
      <c r="L22" s="174"/>
      <c r="M22" s="175"/>
      <c r="N22" s="175"/>
      <c r="O22" s="157"/>
      <c r="P22" s="157"/>
      <c r="Q22" s="157"/>
      <c r="R22" s="59">
        <v>1981802</v>
      </c>
      <c r="S22" s="172">
        <f t="shared" si="1"/>
        <v>0</v>
      </c>
      <c r="T22" s="171">
        <v>7904741</v>
      </c>
      <c r="U22" s="172">
        <f t="shared" si="6"/>
        <v>0</v>
      </c>
      <c r="V22" s="171">
        <v>741235</v>
      </c>
      <c r="W22" s="172">
        <f t="shared" si="7"/>
        <v>0</v>
      </c>
      <c r="X22" s="171">
        <v>1058377</v>
      </c>
      <c r="Y22" s="172">
        <f t="shared" si="8"/>
        <v>0</v>
      </c>
      <c r="Z22" s="176">
        <f t="shared" si="2"/>
        <v>0</v>
      </c>
      <c r="AA22" s="193">
        <v>0.94048659999999995</v>
      </c>
      <c r="AB22" s="193">
        <v>-0.45930313</v>
      </c>
      <c r="AC22" s="193">
        <v>-0.62499996000000002</v>
      </c>
      <c r="AD22" s="195">
        <f>SUMPRODUCT($AA$7:$AB$7:$AC$7,AA22:AC22)</f>
        <v>-1200.8676915000015</v>
      </c>
      <c r="AE22" s="155">
        <v>4678270</v>
      </c>
      <c r="AF22" s="172">
        <f t="shared" si="9"/>
        <v>3856</v>
      </c>
      <c r="AG22" s="155">
        <v>772440</v>
      </c>
      <c r="AH22" s="172">
        <f t="shared" si="10"/>
        <v>846</v>
      </c>
      <c r="AI22" s="155">
        <v>118381</v>
      </c>
      <c r="AJ22" s="172">
        <f t="shared" si="11"/>
        <v>301</v>
      </c>
      <c r="AK22" s="17"/>
      <c r="AM22" s="78"/>
      <c r="AN22" s="74"/>
      <c r="AO22" s="74"/>
    </row>
    <row r="23" spans="2:41" x14ac:dyDescent="0.25">
      <c r="B23" s="166">
        <f t="shared" si="3"/>
        <v>45976</v>
      </c>
      <c r="C23" s="167" t="str">
        <f t="shared" si="0"/>
        <v>Sat</v>
      </c>
      <c r="D23" s="168"/>
      <c r="E23" s="169"/>
      <c r="F23" s="169"/>
      <c r="G23" s="173">
        <v>5361186</v>
      </c>
      <c r="H23" s="172">
        <f t="shared" si="4"/>
        <v>16256</v>
      </c>
      <c r="I23" s="173">
        <v>13842213</v>
      </c>
      <c r="J23" s="172">
        <f t="shared" si="5"/>
        <v>7514</v>
      </c>
      <c r="K23" s="174"/>
      <c r="L23" s="174"/>
      <c r="M23" s="175" t="s">
        <v>83</v>
      </c>
      <c r="N23" s="175" t="s">
        <v>84</v>
      </c>
      <c r="O23" s="157">
        <v>1951616</v>
      </c>
      <c r="P23" s="157">
        <v>1953668</v>
      </c>
      <c r="Q23" s="157">
        <f>P23-O23</f>
        <v>2052</v>
      </c>
      <c r="R23" s="59">
        <v>1981802</v>
      </c>
      <c r="S23" s="172">
        <f t="shared" si="1"/>
        <v>0</v>
      </c>
      <c r="T23" s="171">
        <v>7904741</v>
      </c>
      <c r="U23" s="172">
        <f t="shared" si="6"/>
        <v>0</v>
      </c>
      <c r="V23" s="171">
        <v>741235</v>
      </c>
      <c r="W23" s="172">
        <f t="shared" si="7"/>
        <v>0</v>
      </c>
      <c r="X23" s="171">
        <v>1058377</v>
      </c>
      <c r="Y23" s="172">
        <f t="shared" si="8"/>
        <v>0</v>
      </c>
      <c r="Z23" s="176">
        <f t="shared" si="2"/>
        <v>0</v>
      </c>
      <c r="AA23" s="193">
        <v>0.85289291</v>
      </c>
      <c r="AB23" s="193">
        <v>-0.45553051000000006</v>
      </c>
      <c r="AC23" s="193">
        <v>-0.62499996000000002</v>
      </c>
      <c r="AD23" s="195">
        <f>SUMPRODUCT($AA$7:$AB$7:$AC$7,AA23:AC23)</f>
        <v>-1900.7736260000011</v>
      </c>
      <c r="AE23" s="155">
        <v>4682048</v>
      </c>
      <c r="AF23" s="172">
        <f t="shared" si="9"/>
        <v>3778</v>
      </c>
      <c r="AG23" s="155">
        <v>773319</v>
      </c>
      <c r="AH23" s="172">
        <f t="shared" si="10"/>
        <v>879</v>
      </c>
      <c r="AI23" s="155">
        <v>118619</v>
      </c>
      <c r="AJ23" s="172">
        <f t="shared" si="11"/>
        <v>238</v>
      </c>
      <c r="AK23" s="17"/>
      <c r="AN23" s="74"/>
      <c r="AO23" s="74"/>
    </row>
    <row r="24" spans="2:41" x14ac:dyDescent="0.25">
      <c r="B24" s="166">
        <f t="shared" si="3"/>
        <v>45977</v>
      </c>
      <c r="C24" s="167" t="str">
        <f t="shared" si="0"/>
        <v>Sun</v>
      </c>
      <c r="D24" s="168"/>
      <c r="E24" s="169"/>
      <c r="F24" s="169"/>
      <c r="G24" s="173">
        <v>5369129</v>
      </c>
      <c r="H24" s="172">
        <f t="shared" si="4"/>
        <v>7943</v>
      </c>
      <c r="I24" s="173">
        <v>13845760</v>
      </c>
      <c r="J24" s="172">
        <f t="shared" si="5"/>
        <v>3547</v>
      </c>
      <c r="K24" s="174"/>
      <c r="L24" s="174"/>
      <c r="M24" s="175" t="s">
        <v>85</v>
      </c>
      <c r="N24" s="175" t="s">
        <v>84</v>
      </c>
      <c r="O24" s="157">
        <v>1953784</v>
      </c>
      <c r="P24" s="157">
        <v>1954521</v>
      </c>
      <c r="Q24" s="157">
        <f>P24-O24</f>
        <v>737</v>
      </c>
      <c r="R24" s="59">
        <v>1981802</v>
      </c>
      <c r="S24" s="172">
        <f t="shared" si="1"/>
        <v>0</v>
      </c>
      <c r="T24" s="171">
        <v>7904763</v>
      </c>
      <c r="U24" s="172">
        <f t="shared" si="6"/>
        <v>22</v>
      </c>
      <c r="V24" s="171">
        <v>741235</v>
      </c>
      <c r="W24" s="172">
        <f t="shared" si="7"/>
        <v>0</v>
      </c>
      <c r="X24" s="171">
        <v>1058377</v>
      </c>
      <c r="Y24" s="172">
        <f t="shared" si="8"/>
        <v>0</v>
      </c>
      <c r="Z24" s="176">
        <f t="shared" si="2"/>
        <v>0</v>
      </c>
      <c r="AA24" s="196">
        <v>0.83585082999999993</v>
      </c>
      <c r="AB24" s="197">
        <v>-0.47126311999999998</v>
      </c>
      <c r="AC24" s="197">
        <v>-0.62499996000000002</v>
      </c>
      <c r="AD24" s="195">
        <f>SUMPRODUCT($AA$7:$AB$7:$AC$7,AA24:AC24)</f>
        <v>-2174.4422875000009</v>
      </c>
      <c r="AE24" s="155">
        <v>4685949</v>
      </c>
      <c r="AF24" s="172">
        <f t="shared" si="9"/>
        <v>3901</v>
      </c>
      <c r="AG24" s="155">
        <v>774221</v>
      </c>
      <c r="AH24" s="172">
        <f t="shared" si="10"/>
        <v>902</v>
      </c>
      <c r="AI24" s="155">
        <v>118802</v>
      </c>
      <c r="AJ24" s="172">
        <f t="shared" si="11"/>
        <v>183</v>
      </c>
      <c r="AK24" s="17"/>
      <c r="AN24" s="74"/>
      <c r="AO24" s="74"/>
    </row>
    <row r="25" spans="2:41" x14ac:dyDescent="0.25">
      <c r="B25" s="166">
        <f t="shared" si="3"/>
        <v>45978</v>
      </c>
      <c r="C25" s="167" t="str">
        <f t="shared" si="0"/>
        <v>Mon</v>
      </c>
      <c r="D25" s="168"/>
      <c r="E25" s="169"/>
      <c r="F25" s="169"/>
      <c r="G25" s="173">
        <v>5377257</v>
      </c>
      <c r="H25" s="172">
        <f t="shared" si="4"/>
        <v>8128</v>
      </c>
      <c r="I25" s="173">
        <v>13853007</v>
      </c>
      <c r="J25" s="172">
        <f t="shared" si="5"/>
        <v>7247</v>
      </c>
      <c r="K25" s="174"/>
      <c r="L25" s="174"/>
      <c r="M25" s="175" t="s">
        <v>86</v>
      </c>
      <c r="N25" s="175" t="s">
        <v>87</v>
      </c>
      <c r="O25" s="157">
        <v>1954526</v>
      </c>
      <c r="P25" s="157">
        <v>1961031</v>
      </c>
      <c r="Q25" s="157">
        <f>P25-O25</f>
        <v>6505</v>
      </c>
      <c r="R25" s="59">
        <v>1981802</v>
      </c>
      <c r="S25" s="172">
        <f t="shared" si="1"/>
        <v>0</v>
      </c>
      <c r="T25" s="171">
        <v>7904763</v>
      </c>
      <c r="U25" s="172">
        <f t="shared" si="6"/>
        <v>0</v>
      </c>
      <c r="V25" s="171">
        <v>741235</v>
      </c>
      <c r="W25" s="172">
        <f t="shared" si="7"/>
        <v>0</v>
      </c>
      <c r="X25" s="171">
        <v>1058377</v>
      </c>
      <c r="Y25" s="172">
        <f t="shared" si="8"/>
        <v>0</v>
      </c>
      <c r="Z25" s="176">
        <f t="shared" si="2"/>
        <v>0</v>
      </c>
      <c r="AA25" s="196">
        <v>1.01020752</v>
      </c>
      <c r="AB25" s="197">
        <v>-0.47142878999999999</v>
      </c>
      <c r="AC25" s="197">
        <v>-0.62499996000000002</v>
      </c>
      <c r="AD25" s="195">
        <f>SUMPRODUCT($AA$7:$AB$7:$AC$7,AA25:AC25)</f>
        <v>-719.94727049999983</v>
      </c>
      <c r="AE25" s="155">
        <v>4689757</v>
      </c>
      <c r="AF25" s="172">
        <f t="shared" si="9"/>
        <v>3808</v>
      </c>
      <c r="AG25" s="155">
        <v>774844</v>
      </c>
      <c r="AH25" s="172">
        <f t="shared" si="10"/>
        <v>623</v>
      </c>
      <c r="AI25" s="155">
        <v>118846</v>
      </c>
      <c r="AJ25" s="172">
        <f t="shared" si="11"/>
        <v>44</v>
      </c>
      <c r="AK25" s="17"/>
    </row>
    <row r="26" spans="2:41" x14ac:dyDescent="0.25">
      <c r="B26" s="166">
        <f>B25+1</f>
        <v>45979</v>
      </c>
      <c r="C26" s="167" t="str">
        <f t="shared" si="0"/>
        <v>Tue</v>
      </c>
      <c r="D26" s="168"/>
      <c r="E26" s="169"/>
      <c r="F26" s="169"/>
      <c r="G26" s="173">
        <v>5385745</v>
      </c>
      <c r="H26" s="172">
        <f t="shared" si="4"/>
        <v>8488</v>
      </c>
      <c r="I26" s="173">
        <v>13853871</v>
      </c>
      <c r="J26" s="172">
        <f t="shared" si="5"/>
        <v>864</v>
      </c>
      <c r="K26" s="174"/>
      <c r="L26" s="174"/>
      <c r="M26" s="175"/>
      <c r="N26" s="175"/>
      <c r="O26" s="157"/>
      <c r="P26" s="157"/>
      <c r="Q26" s="157"/>
      <c r="R26" s="59">
        <v>1981802</v>
      </c>
      <c r="S26" s="172">
        <f t="shared" si="1"/>
        <v>0</v>
      </c>
      <c r="T26" s="171">
        <v>7904763</v>
      </c>
      <c r="U26" s="172">
        <f t="shared" si="6"/>
        <v>0</v>
      </c>
      <c r="V26" s="171">
        <v>741235</v>
      </c>
      <c r="W26" s="172">
        <f t="shared" si="7"/>
        <v>0</v>
      </c>
      <c r="X26" s="171">
        <v>1058377</v>
      </c>
      <c r="Y26" s="172">
        <f>X26-X25</f>
        <v>0</v>
      </c>
      <c r="Z26" s="176">
        <f t="shared" si="2"/>
        <v>0</v>
      </c>
      <c r="AA26" s="196">
        <v>0.66122528000000003</v>
      </c>
      <c r="AB26" s="197">
        <v>1.7643740000000002E-2</v>
      </c>
      <c r="AC26" s="197">
        <v>-0.13915543</v>
      </c>
      <c r="AD26" s="195">
        <f>SUMPRODUCT($AA$7:$AB$7:$AC$7,AA26:AC26)</f>
        <v>4506.6084765000005</v>
      </c>
      <c r="AE26" s="155">
        <v>4693369</v>
      </c>
      <c r="AF26" s="172">
        <f t="shared" si="9"/>
        <v>3612</v>
      </c>
      <c r="AG26" s="155">
        <v>775638</v>
      </c>
      <c r="AH26" s="172">
        <f t="shared" si="10"/>
        <v>794</v>
      </c>
      <c r="AI26" s="155">
        <v>118865</v>
      </c>
      <c r="AJ26" s="172">
        <f t="shared" si="11"/>
        <v>19</v>
      </c>
      <c r="AK26" s="17"/>
      <c r="AM26" s="74"/>
    </row>
    <row r="27" spans="2:41" x14ac:dyDescent="0.25">
      <c r="B27" s="166">
        <f t="shared" si="3"/>
        <v>45980</v>
      </c>
      <c r="C27" s="167" t="str">
        <f t="shared" si="0"/>
        <v>Wed</v>
      </c>
      <c r="D27" s="168"/>
      <c r="E27" s="169"/>
      <c r="F27" s="169"/>
      <c r="G27" s="173">
        <v>5404535</v>
      </c>
      <c r="H27" s="172">
        <f t="shared" si="4"/>
        <v>18790</v>
      </c>
      <c r="I27" s="173">
        <v>13853871</v>
      </c>
      <c r="J27" s="172">
        <f t="shared" si="5"/>
        <v>0</v>
      </c>
      <c r="K27" s="174"/>
      <c r="L27" s="174"/>
      <c r="M27" s="175"/>
      <c r="N27" s="175"/>
      <c r="O27" s="157"/>
      <c r="P27" s="157"/>
      <c r="Q27" s="157"/>
      <c r="R27" s="59">
        <v>1981802</v>
      </c>
      <c r="S27" s="172">
        <f t="shared" si="1"/>
        <v>0</v>
      </c>
      <c r="T27" s="171">
        <v>7904763</v>
      </c>
      <c r="U27" s="172">
        <f t="shared" si="6"/>
        <v>0</v>
      </c>
      <c r="V27" s="171">
        <v>741235</v>
      </c>
      <c r="W27" s="172">
        <f t="shared" si="7"/>
        <v>0</v>
      </c>
      <c r="X27" s="171">
        <v>1058377</v>
      </c>
      <c r="Y27" s="172">
        <f>X27-X26</f>
        <v>0</v>
      </c>
      <c r="Z27" s="176">
        <f t="shared" si="2"/>
        <v>0</v>
      </c>
      <c r="AA27" s="196">
        <v>0.69600632000000007</v>
      </c>
      <c r="AB27" s="197">
        <v>0.25696746999999998</v>
      </c>
      <c r="AC27" s="197">
        <v>0.65397873000000006</v>
      </c>
      <c r="AD27" s="195">
        <f>SUMPRODUCT($AA$7:$AB$7:$AC$7,AA27:AC27)</f>
        <v>13418.053542000001</v>
      </c>
      <c r="AE27" s="155">
        <v>4697371</v>
      </c>
      <c r="AF27" s="172">
        <f t="shared" si="9"/>
        <v>4002</v>
      </c>
      <c r="AG27" s="155">
        <v>776425</v>
      </c>
      <c r="AH27" s="172">
        <f t="shared" si="10"/>
        <v>787</v>
      </c>
      <c r="AI27" s="155">
        <v>119010</v>
      </c>
      <c r="AJ27" s="172">
        <f t="shared" si="11"/>
        <v>145</v>
      </c>
      <c r="AK27" s="17"/>
      <c r="AM27" s="74"/>
    </row>
    <row r="28" spans="2:41" x14ac:dyDescent="0.25">
      <c r="B28" s="166">
        <f t="shared" si="3"/>
        <v>45981</v>
      </c>
      <c r="C28" s="167" t="str">
        <f t="shared" si="0"/>
        <v>Thu</v>
      </c>
      <c r="D28" s="168"/>
      <c r="E28" s="169"/>
      <c r="F28" s="169"/>
      <c r="G28" s="173">
        <v>5431490</v>
      </c>
      <c r="H28" s="172">
        <f t="shared" si="4"/>
        <v>26955</v>
      </c>
      <c r="I28" s="173">
        <v>13858917</v>
      </c>
      <c r="J28" s="172">
        <f t="shared" si="5"/>
        <v>5046</v>
      </c>
      <c r="K28" s="174"/>
      <c r="L28" s="174"/>
      <c r="M28" s="175"/>
      <c r="N28" s="175"/>
      <c r="O28" s="157"/>
      <c r="P28" s="157"/>
      <c r="Q28" s="157"/>
      <c r="R28" s="59">
        <v>1981802</v>
      </c>
      <c r="S28" s="172">
        <f t="shared" si="1"/>
        <v>0</v>
      </c>
      <c r="T28" s="171">
        <v>7904763</v>
      </c>
      <c r="U28" s="172">
        <f t="shared" si="6"/>
        <v>0</v>
      </c>
      <c r="V28" s="171">
        <v>741235</v>
      </c>
      <c r="W28" s="172">
        <f t="shared" si="7"/>
        <v>0</v>
      </c>
      <c r="X28" s="171">
        <v>1058377</v>
      </c>
      <c r="Y28" s="172">
        <f>X28-X27</f>
        <v>0</v>
      </c>
      <c r="Z28" s="176">
        <f t="shared" si="2"/>
        <v>0</v>
      </c>
      <c r="AA28" s="196">
        <v>-0.30938808000000001</v>
      </c>
      <c r="AB28" s="197">
        <v>0.89272423000000001</v>
      </c>
      <c r="AC28" s="197">
        <v>0.65937758999999996</v>
      </c>
      <c r="AD28" s="195">
        <f>SUMPRODUCT($AA$7:$AB$7:$AC$7,AA28:AC28)</f>
        <v>10376.659728999999</v>
      </c>
      <c r="AE28" s="155">
        <v>4700702</v>
      </c>
      <c r="AF28" s="172">
        <f t="shared" si="9"/>
        <v>3331</v>
      </c>
      <c r="AG28" s="155">
        <v>777290</v>
      </c>
      <c r="AH28" s="172">
        <f t="shared" si="10"/>
        <v>865</v>
      </c>
      <c r="AI28" s="155">
        <v>119197</v>
      </c>
      <c r="AJ28" s="172">
        <f t="shared" si="11"/>
        <v>187</v>
      </c>
      <c r="AK28" s="11">
        <f t="shared" ref="AK28" si="12">AJ28-AJ27</f>
        <v>42</v>
      </c>
      <c r="AM28" s="74"/>
    </row>
    <row r="29" spans="2:41" x14ac:dyDescent="0.25">
      <c r="B29" s="166">
        <f t="shared" si="3"/>
        <v>45982</v>
      </c>
      <c r="C29" s="167" t="str">
        <f t="shared" si="0"/>
        <v>Fri</v>
      </c>
      <c r="D29" s="168"/>
      <c r="E29" s="169"/>
      <c r="F29" s="169"/>
      <c r="G29" s="173">
        <v>5455323</v>
      </c>
      <c r="H29" s="172">
        <f t="shared" si="4"/>
        <v>23833</v>
      </c>
      <c r="I29" s="173">
        <v>13860808</v>
      </c>
      <c r="J29" s="172">
        <f t="shared" si="5"/>
        <v>1891</v>
      </c>
      <c r="K29" s="174"/>
      <c r="L29" s="174"/>
      <c r="M29" s="175"/>
      <c r="N29" s="175"/>
      <c r="O29" s="157"/>
      <c r="P29" s="157"/>
      <c r="Q29" s="157"/>
      <c r="R29" s="59">
        <v>1981802</v>
      </c>
      <c r="S29" s="172">
        <f t="shared" si="1"/>
        <v>0</v>
      </c>
      <c r="T29" s="171">
        <v>7904763</v>
      </c>
      <c r="U29" s="172">
        <f t="shared" si="6"/>
        <v>0</v>
      </c>
      <c r="V29" s="171">
        <v>741235</v>
      </c>
      <c r="W29" s="172">
        <f t="shared" si="7"/>
        <v>0</v>
      </c>
      <c r="X29" s="171">
        <v>1058377</v>
      </c>
      <c r="Y29" s="172">
        <f t="shared" si="8"/>
        <v>0</v>
      </c>
      <c r="Z29" s="176">
        <f t="shared" si="2"/>
        <v>0</v>
      </c>
      <c r="AA29" s="193">
        <v>-0.30937198999999999</v>
      </c>
      <c r="AB29" s="193">
        <v>0.39012817</v>
      </c>
      <c r="AC29" s="193">
        <v>0.87481049</v>
      </c>
      <c r="AD29" s="195">
        <f>SUMPRODUCT($AA$7:$AB$7:$AC$7,AA29:AC29)</f>
        <v>7978.9816945000002</v>
      </c>
      <c r="AE29" s="155">
        <v>4704882</v>
      </c>
      <c r="AF29" s="172">
        <f t="shared" si="9"/>
        <v>4180</v>
      </c>
      <c r="AG29" s="155">
        <v>778233</v>
      </c>
      <c r="AH29" s="172">
        <f t="shared" si="10"/>
        <v>943</v>
      </c>
      <c r="AI29" s="155">
        <v>119391</v>
      </c>
      <c r="AJ29" s="172">
        <f t="shared" si="11"/>
        <v>194</v>
      </c>
      <c r="AK29" s="17"/>
      <c r="AM29" s="74"/>
    </row>
    <row r="30" spans="2:41" x14ac:dyDescent="0.25">
      <c r="B30" s="166">
        <f t="shared" si="3"/>
        <v>45983</v>
      </c>
      <c r="C30" s="167" t="str">
        <f t="shared" si="0"/>
        <v>Sat</v>
      </c>
      <c r="D30" s="168"/>
      <c r="E30" s="169"/>
      <c r="F30" s="169"/>
      <c r="G30" s="173">
        <v>5480345</v>
      </c>
      <c r="H30" s="172">
        <f t="shared" si="4"/>
        <v>25022</v>
      </c>
      <c r="I30" s="173">
        <v>13860808</v>
      </c>
      <c r="J30" s="172">
        <f t="shared" si="5"/>
        <v>0</v>
      </c>
      <c r="K30" s="174"/>
      <c r="L30" s="174"/>
      <c r="M30" s="175"/>
      <c r="N30" s="175"/>
      <c r="O30" s="157"/>
      <c r="P30" s="157"/>
      <c r="Q30" s="157"/>
      <c r="R30" s="59">
        <v>1981802</v>
      </c>
      <c r="S30" s="172">
        <f t="shared" si="1"/>
        <v>0</v>
      </c>
      <c r="T30" s="171">
        <v>7904763</v>
      </c>
      <c r="U30" s="172">
        <f t="shared" si="6"/>
        <v>0</v>
      </c>
      <c r="V30" s="171">
        <v>741235</v>
      </c>
      <c r="W30" s="172">
        <f t="shared" si="7"/>
        <v>0</v>
      </c>
      <c r="X30" s="171">
        <v>1058377</v>
      </c>
      <c r="Y30" s="172">
        <f t="shared" si="8"/>
        <v>0</v>
      </c>
      <c r="Z30" s="176">
        <f t="shared" si="2"/>
        <v>0</v>
      </c>
      <c r="AA30" s="193">
        <v>0.83287125000000006</v>
      </c>
      <c r="AB30" s="193">
        <v>0.98902122000000003</v>
      </c>
      <c r="AC30" s="193">
        <v>0.79709686000000002</v>
      </c>
      <c r="AD30" s="195">
        <f>SUMPRODUCT($AA$7:$AB$7:$AC$7,AA30:AC30)</f>
        <v>21868.560905500002</v>
      </c>
      <c r="AE30" s="155">
        <v>4709104</v>
      </c>
      <c r="AF30" s="172">
        <f t="shared" si="9"/>
        <v>4222</v>
      </c>
      <c r="AG30" s="155">
        <v>779141</v>
      </c>
      <c r="AH30" s="172">
        <f t="shared" si="10"/>
        <v>908</v>
      </c>
      <c r="AI30" s="155">
        <v>119608</v>
      </c>
      <c r="AJ30" s="172">
        <f t="shared" si="11"/>
        <v>217</v>
      </c>
      <c r="AK30" s="17"/>
      <c r="AM30" s="74"/>
    </row>
    <row r="31" spans="2:41" x14ac:dyDescent="0.25">
      <c r="B31" s="166">
        <f t="shared" si="3"/>
        <v>45984</v>
      </c>
      <c r="C31" s="167" t="str">
        <f t="shared" si="0"/>
        <v>Sun</v>
      </c>
      <c r="D31" s="168"/>
      <c r="E31" s="169"/>
      <c r="F31" s="169"/>
      <c r="G31" s="173">
        <v>5493913</v>
      </c>
      <c r="H31" s="172">
        <f t="shared" si="4"/>
        <v>13568</v>
      </c>
      <c r="I31" s="173">
        <v>13867582</v>
      </c>
      <c r="J31" s="172">
        <f t="shared" si="5"/>
        <v>6774</v>
      </c>
      <c r="K31" s="174"/>
      <c r="L31" s="174"/>
      <c r="M31" s="175"/>
      <c r="N31" s="175"/>
      <c r="O31" s="157"/>
      <c r="P31" s="157"/>
      <c r="Q31" s="157"/>
      <c r="R31" s="59">
        <v>1981802</v>
      </c>
      <c r="S31" s="172">
        <f t="shared" si="1"/>
        <v>0</v>
      </c>
      <c r="T31" s="177">
        <v>7910535</v>
      </c>
      <c r="U31" s="172">
        <f t="shared" si="6"/>
        <v>5772</v>
      </c>
      <c r="V31" s="171">
        <v>741235</v>
      </c>
      <c r="W31" s="172">
        <f t="shared" si="7"/>
        <v>0</v>
      </c>
      <c r="X31" s="171">
        <v>1058377</v>
      </c>
      <c r="Y31" s="172">
        <f t="shared" si="8"/>
        <v>0</v>
      </c>
      <c r="Z31" s="176">
        <f t="shared" si="2"/>
        <v>0</v>
      </c>
      <c r="AA31" s="193">
        <v>0.91891555999999996</v>
      </c>
      <c r="AB31" s="193">
        <v>0.62368309</v>
      </c>
      <c r="AC31" s="193">
        <v>0.86833313000000001</v>
      </c>
      <c r="AD31" s="195">
        <f>SUMPRODUCT($AA$7:$AB$7:$AC$7,AA31:AC31)</f>
        <v>20131.280362999998</v>
      </c>
      <c r="AE31" s="155">
        <v>4713698</v>
      </c>
      <c r="AF31" s="172">
        <f t="shared" si="9"/>
        <v>4594</v>
      </c>
      <c r="AG31" s="155">
        <v>780041</v>
      </c>
      <c r="AH31" s="172">
        <f t="shared" si="10"/>
        <v>900</v>
      </c>
      <c r="AI31" s="155">
        <v>119902</v>
      </c>
      <c r="AJ31" s="172">
        <f t="shared" si="11"/>
        <v>294</v>
      </c>
      <c r="AK31" s="17"/>
      <c r="AM31" s="74"/>
    </row>
    <row r="32" spans="2:41" x14ac:dyDescent="0.25">
      <c r="B32" s="166">
        <f t="shared" si="3"/>
        <v>45985</v>
      </c>
      <c r="C32" s="167" t="str">
        <f t="shared" si="0"/>
        <v>Mon</v>
      </c>
      <c r="D32" s="168"/>
      <c r="E32" s="169"/>
      <c r="F32" s="169"/>
      <c r="G32" s="173"/>
      <c r="H32" s="172">
        <f t="shared" si="4"/>
        <v>-5493913</v>
      </c>
      <c r="I32" s="173"/>
      <c r="J32" s="172">
        <f t="shared" si="5"/>
        <v>-13867582</v>
      </c>
      <c r="K32" s="174"/>
      <c r="L32" s="174"/>
      <c r="M32" s="175"/>
      <c r="N32" s="175"/>
      <c r="O32" s="157"/>
      <c r="P32" s="157"/>
      <c r="Q32" s="157"/>
      <c r="R32" s="59">
        <v>1981802</v>
      </c>
      <c r="S32" s="172">
        <f t="shared" si="1"/>
        <v>0</v>
      </c>
      <c r="T32" s="177">
        <v>7922890</v>
      </c>
      <c r="U32" s="172">
        <f t="shared" si="6"/>
        <v>12355</v>
      </c>
      <c r="V32" s="171"/>
      <c r="W32" s="172">
        <f t="shared" si="7"/>
        <v>-741235</v>
      </c>
      <c r="X32" s="171"/>
      <c r="Y32" s="172">
        <f t="shared" si="8"/>
        <v>-1058377</v>
      </c>
      <c r="Z32" s="176">
        <f t="shared" si="2"/>
        <v>-1799612</v>
      </c>
      <c r="AA32" s="193">
        <v>0.86837813999999991</v>
      </c>
      <c r="AB32" s="193">
        <v>0.79583091999999989</v>
      </c>
      <c r="AC32" s="193">
        <v>0.77588654000000001</v>
      </c>
      <c r="AD32" s="195">
        <f>SUMPRODUCT($AA$7:$AB$7:$AC$7,AA32:AC32)</f>
        <v>20374.79826</v>
      </c>
      <c r="AE32" s="155"/>
      <c r="AF32" s="172">
        <f t="shared" si="9"/>
        <v>-4713698</v>
      </c>
      <c r="AG32" s="155"/>
      <c r="AH32" s="172">
        <f t="shared" si="10"/>
        <v>-780041</v>
      </c>
      <c r="AI32" s="155"/>
      <c r="AJ32" s="172">
        <f t="shared" si="11"/>
        <v>-119902</v>
      </c>
      <c r="AK32" s="17"/>
    </row>
    <row r="33" spans="2:37" x14ac:dyDescent="0.25">
      <c r="B33" s="166">
        <f t="shared" si="3"/>
        <v>45986</v>
      </c>
      <c r="C33" s="167" t="str">
        <f t="shared" si="0"/>
        <v>Tue</v>
      </c>
      <c r="D33" s="168"/>
      <c r="E33" s="169"/>
      <c r="F33" s="169"/>
      <c r="G33" s="173"/>
      <c r="H33" s="172">
        <f t="shared" si="4"/>
        <v>0</v>
      </c>
      <c r="I33" s="173"/>
      <c r="J33" s="172">
        <f t="shared" si="5"/>
        <v>0</v>
      </c>
      <c r="K33" s="174"/>
      <c r="L33" s="174"/>
      <c r="M33" s="175"/>
      <c r="N33" s="175"/>
      <c r="O33" s="157"/>
      <c r="P33" s="157"/>
      <c r="Q33" s="157"/>
      <c r="R33" s="59">
        <v>1981802</v>
      </c>
      <c r="S33" s="172">
        <f t="shared" si="1"/>
        <v>0</v>
      </c>
      <c r="T33" s="177"/>
      <c r="U33" s="172">
        <f t="shared" si="6"/>
        <v>-7922890</v>
      </c>
      <c r="V33" s="171"/>
      <c r="W33" s="172">
        <f t="shared" si="7"/>
        <v>0</v>
      </c>
      <c r="X33" s="171"/>
      <c r="Y33" s="172">
        <f t="shared" si="8"/>
        <v>0</v>
      </c>
      <c r="Z33" s="176">
        <f t="shared" si="2"/>
        <v>0</v>
      </c>
      <c r="AA33" s="193">
        <v>0.93445083999999989</v>
      </c>
      <c r="AB33" s="193">
        <v>0.50150008999999995</v>
      </c>
      <c r="AC33" s="193">
        <v>0.42892009999999997</v>
      </c>
      <c r="AD33" s="195">
        <f>SUMPRODUCT($AA$7:$AB$7:$AC$7,AA33:AC33)</f>
        <v>15571.673100499997</v>
      </c>
      <c r="AE33" s="155"/>
      <c r="AF33" s="172">
        <f t="shared" si="9"/>
        <v>0</v>
      </c>
      <c r="AG33" s="155"/>
      <c r="AH33" s="172">
        <f t="shared" si="10"/>
        <v>0</v>
      </c>
      <c r="AI33" s="155"/>
      <c r="AJ33" s="172">
        <f t="shared" si="11"/>
        <v>0</v>
      </c>
      <c r="AK33" s="17"/>
    </row>
    <row r="34" spans="2:37" x14ac:dyDescent="0.25">
      <c r="B34" s="181">
        <f t="shared" si="3"/>
        <v>45987</v>
      </c>
      <c r="C34" s="182" t="str">
        <f t="shared" si="0"/>
        <v>Wed</v>
      </c>
      <c r="D34" s="183"/>
      <c r="E34" s="184"/>
      <c r="F34" s="184"/>
      <c r="G34" s="185"/>
      <c r="H34" s="186">
        <f t="shared" si="4"/>
        <v>0</v>
      </c>
      <c r="I34" s="185"/>
      <c r="J34" s="186">
        <f t="shared" si="5"/>
        <v>0</v>
      </c>
      <c r="K34" s="187"/>
      <c r="L34" s="187"/>
      <c r="M34" s="188"/>
      <c r="N34" s="188"/>
      <c r="O34" s="189"/>
      <c r="P34" s="189"/>
      <c r="Q34" s="157"/>
      <c r="R34" s="59">
        <v>1981802</v>
      </c>
      <c r="S34" s="172">
        <f t="shared" si="1"/>
        <v>0</v>
      </c>
      <c r="T34" s="177"/>
      <c r="U34" s="186">
        <f t="shared" si="6"/>
        <v>0</v>
      </c>
      <c r="V34" s="190"/>
      <c r="W34" s="186">
        <f t="shared" si="7"/>
        <v>0</v>
      </c>
      <c r="X34" s="190"/>
      <c r="Y34" s="186">
        <f t="shared" si="8"/>
        <v>0</v>
      </c>
      <c r="Z34" s="191">
        <f t="shared" si="2"/>
        <v>0</v>
      </c>
      <c r="AA34" s="194"/>
      <c r="AB34" s="194"/>
      <c r="AC34" s="194"/>
      <c r="AD34" s="195">
        <f>SUMPRODUCT($AA$7:$AB$7:$AC$7,AA34:AC34)</f>
        <v>0</v>
      </c>
      <c r="AE34" s="192"/>
      <c r="AF34" s="186">
        <f t="shared" si="9"/>
        <v>0</v>
      </c>
      <c r="AG34" s="192"/>
      <c r="AH34" s="186">
        <f t="shared" si="10"/>
        <v>0</v>
      </c>
      <c r="AI34" s="192"/>
      <c r="AJ34" s="186">
        <f t="shared" si="11"/>
        <v>0</v>
      </c>
      <c r="AK34" s="17"/>
    </row>
    <row r="35" spans="2:37" x14ac:dyDescent="0.25">
      <c r="B35" s="166">
        <f t="shared" si="3"/>
        <v>45988</v>
      </c>
      <c r="C35" s="167" t="str">
        <f t="shared" si="0"/>
        <v>Thu</v>
      </c>
      <c r="D35" s="179"/>
      <c r="E35" s="169"/>
      <c r="F35" s="169"/>
      <c r="G35" s="173"/>
      <c r="H35" s="172">
        <f t="shared" si="4"/>
        <v>0</v>
      </c>
      <c r="I35" s="173"/>
      <c r="J35" s="172">
        <f t="shared" si="5"/>
        <v>0</v>
      </c>
      <c r="K35" s="174"/>
      <c r="L35" s="174"/>
      <c r="M35" s="175"/>
      <c r="N35" s="175"/>
      <c r="O35" s="157"/>
      <c r="P35" s="157"/>
      <c r="Q35" s="157"/>
      <c r="R35" s="171"/>
      <c r="S35" s="176"/>
      <c r="T35" s="177"/>
      <c r="U35" s="172">
        <f t="shared" si="6"/>
        <v>0</v>
      </c>
      <c r="V35" s="171"/>
      <c r="W35" s="172">
        <f t="shared" si="7"/>
        <v>0</v>
      </c>
      <c r="X35" s="171"/>
      <c r="Y35" s="172">
        <f t="shared" si="8"/>
        <v>0</v>
      </c>
      <c r="Z35" s="176">
        <f t="shared" si="2"/>
        <v>0</v>
      </c>
      <c r="AA35" s="193"/>
      <c r="AB35" s="193"/>
      <c r="AC35" s="193"/>
      <c r="AD35" s="195">
        <f>SUMPRODUCT($AA$7:$AB$7:$AC$7,AA35:AC35)</f>
        <v>0</v>
      </c>
      <c r="AE35" s="155"/>
      <c r="AF35" s="172">
        <f t="shared" si="9"/>
        <v>0</v>
      </c>
      <c r="AG35" s="155"/>
      <c r="AH35" s="172">
        <f t="shared" si="10"/>
        <v>0</v>
      </c>
      <c r="AI35" s="155"/>
      <c r="AJ35" s="172">
        <f t="shared" si="11"/>
        <v>0</v>
      </c>
      <c r="AK35" s="17"/>
    </row>
    <row r="36" spans="2:37" x14ac:dyDescent="0.25">
      <c r="B36" s="166">
        <f t="shared" si="3"/>
        <v>45989</v>
      </c>
      <c r="C36" s="167" t="str">
        <f t="shared" si="0"/>
        <v>Fri</v>
      </c>
      <c r="D36" s="179"/>
      <c r="E36" s="169"/>
      <c r="F36" s="169"/>
      <c r="G36" s="173"/>
      <c r="H36" s="172">
        <f t="shared" si="4"/>
        <v>0</v>
      </c>
      <c r="I36" s="173"/>
      <c r="J36" s="172">
        <f t="shared" si="5"/>
        <v>0</v>
      </c>
      <c r="K36" s="174"/>
      <c r="L36" s="174"/>
      <c r="M36" s="175"/>
      <c r="N36" s="175"/>
      <c r="O36" s="157"/>
      <c r="P36" s="157"/>
      <c r="Q36" s="157"/>
      <c r="R36" s="171"/>
      <c r="S36" s="176"/>
      <c r="T36" s="177"/>
      <c r="U36" s="172">
        <f t="shared" si="6"/>
        <v>0</v>
      </c>
      <c r="V36" s="171"/>
      <c r="W36" s="172">
        <f t="shared" si="7"/>
        <v>0</v>
      </c>
      <c r="X36" s="171"/>
      <c r="Y36" s="172">
        <f t="shared" si="8"/>
        <v>0</v>
      </c>
      <c r="Z36" s="176">
        <f t="shared" si="2"/>
        <v>0</v>
      </c>
      <c r="AA36" s="193"/>
      <c r="AB36" s="193"/>
      <c r="AC36" s="193"/>
      <c r="AD36" s="178"/>
      <c r="AE36" s="155"/>
      <c r="AF36" s="172">
        <f t="shared" si="9"/>
        <v>0</v>
      </c>
      <c r="AG36" s="155"/>
      <c r="AH36" s="172">
        <f t="shared" si="10"/>
        <v>0</v>
      </c>
      <c r="AI36" s="155"/>
      <c r="AJ36" s="172">
        <f t="shared" si="11"/>
        <v>0</v>
      </c>
      <c r="AK36" s="17"/>
    </row>
    <row r="37" spans="2:37" x14ac:dyDescent="0.25">
      <c r="B37" s="166">
        <f t="shared" si="3"/>
        <v>45990</v>
      </c>
      <c r="C37" s="167" t="str">
        <f t="shared" si="0"/>
        <v>Sat</v>
      </c>
      <c r="D37" s="179"/>
      <c r="E37" s="169"/>
      <c r="F37" s="169"/>
      <c r="G37" s="173"/>
      <c r="H37" s="172">
        <f t="shared" si="4"/>
        <v>0</v>
      </c>
      <c r="I37" s="173"/>
      <c r="J37" s="172">
        <f t="shared" si="5"/>
        <v>0</v>
      </c>
      <c r="K37" s="174"/>
      <c r="L37" s="174"/>
      <c r="M37" s="175"/>
      <c r="N37" s="175"/>
      <c r="O37" s="157"/>
      <c r="P37" s="157"/>
      <c r="Q37" s="157"/>
      <c r="R37" s="171"/>
      <c r="S37" s="176"/>
      <c r="T37" s="177"/>
      <c r="U37" s="172">
        <f t="shared" si="6"/>
        <v>0</v>
      </c>
      <c r="V37" s="171"/>
      <c r="W37" s="172">
        <f t="shared" si="7"/>
        <v>0</v>
      </c>
      <c r="X37" s="171"/>
      <c r="Y37" s="172">
        <f t="shared" si="8"/>
        <v>0</v>
      </c>
      <c r="Z37" s="176">
        <f t="shared" si="2"/>
        <v>0</v>
      </c>
      <c r="AA37" s="193"/>
      <c r="AB37" s="193"/>
      <c r="AC37" s="193"/>
      <c r="AD37" s="178"/>
      <c r="AE37" s="155"/>
      <c r="AF37" s="172">
        <f t="shared" si="9"/>
        <v>0</v>
      </c>
      <c r="AG37" s="155"/>
      <c r="AH37" s="172">
        <f t="shared" si="10"/>
        <v>0</v>
      </c>
      <c r="AI37" s="155"/>
      <c r="AJ37" s="172">
        <f t="shared" si="11"/>
        <v>0</v>
      </c>
      <c r="AK37" s="17"/>
    </row>
    <row r="38" spans="2:37" x14ac:dyDescent="0.25">
      <c r="B38" s="166">
        <f t="shared" si="3"/>
        <v>45991</v>
      </c>
      <c r="C38" s="167" t="str">
        <f t="shared" si="0"/>
        <v>Sun</v>
      </c>
      <c r="D38" s="180"/>
      <c r="E38" s="169"/>
      <c r="F38" s="169"/>
      <c r="G38" s="173"/>
      <c r="H38" s="172">
        <f t="shared" si="4"/>
        <v>0</v>
      </c>
      <c r="I38" s="173"/>
      <c r="J38" s="172">
        <f t="shared" si="5"/>
        <v>0</v>
      </c>
      <c r="K38" s="174"/>
      <c r="L38" s="174"/>
      <c r="M38" s="175"/>
      <c r="N38" s="175"/>
      <c r="O38" s="157"/>
      <c r="P38" s="157"/>
      <c r="Q38" s="157"/>
      <c r="R38" s="177"/>
      <c r="S38" s="176"/>
      <c r="T38" s="177"/>
      <c r="U38" s="172">
        <f t="shared" si="6"/>
        <v>0</v>
      </c>
      <c r="V38" s="171"/>
      <c r="W38" s="172">
        <f t="shared" si="7"/>
        <v>0</v>
      </c>
      <c r="X38" s="171"/>
      <c r="Y38" s="172">
        <f t="shared" si="8"/>
        <v>0</v>
      </c>
      <c r="Z38" s="176">
        <f t="shared" si="2"/>
        <v>0</v>
      </c>
      <c r="AA38" s="193"/>
      <c r="AB38" s="193"/>
      <c r="AC38" s="193"/>
      <c r="AD38" s="178"/>
      <c r="AE38" s="155"/>
      <c r="AF38" s="172">
        <f t="shared" si="9"/>
        <v>0</v>
      </c>
      <c r="AG38" s="155"/>
      <c r="AH38" s="172">
        <f t="shared" si="10"/>
        <v>0</v>
      </c>
      <c r="AI38" s="155"/>
      <c r="AJ38" s="172">
        <f t="shared" si="11"/>
        <v>0</v>
      </c>
      <c r="AK38" s="17"/>
    </row>
    <row r="39" spans="2:37" ht="14" thickBot="1" x14ac:dyDescent="0.3">
      <c r="B39" s="166">
        <f t="shared" si="3"/>
        <v>45992</v>
      </c>
      <c r="C39" s="167" t="str">
        <f t="shared" si="0"/>
        <v>Mon</v>
      </c>
      <c r="D39" s="132"/>
      <c r="E39" s="133"/>
      <c r="F39" s="133"/>
      <c r="G39" s="173"/>
      <c r="H39" s="172">
        <f t="shared" si="4"/>
        <v>0</v>
      </c>
      <c r="I39" s="130"/>
      <c r="J39" s="172">
        <f t="shared" si="5"/>
        <v>0</v>
      </c>
      <c r="K39" s="150"/>
      <c r="L39" s="150"/>
      <c r="M39" s="151"/>
      <c r="N39" s="151"/>
      <c r="O39" s="99"/>
      <c r="P39" s="99"/>
      <c r="Q39" s="99"/>
      <c r="R39" s="59"/>
      <c r="S39" s="58"/>
      <c r="T39" s="59"/>
      <c r="U39" s="172">
        <f t="shared" si="6"/>
        <v>0</v>
      </c>
      <c r="V39" s="171"/>
      <c r="W39" s="172">
        <f t="shared" si="7"/>
        <v>0</v>
      </c>
      <c r="X39" s="129"/>
      <c r="Y39" s="172">
        <f t="shared" si="8"/>
        <v>0</v>
      </c>
      <c r="Z39" s="176">
        <f t="shared" si="2"/>
        <v>0</v>
      </c>
      <c r="AA39" s="6"/>
      <c r="AB39" s="6"/>
      <c r="AC39" s="6"/>
      <c r="AD39" s="149"/>
      <c r="AE39" s="57"/>
      <c r="AF39" s="172">
        <f t="shared" si="9"/>
        <v>0</v>
      </c>
      <c r="AG39" s="57"/>
      <c r="AH39" s="172">
        <f t="shared" si="10"/>
        <v>0</v>
      </c>
      <c r="AI39" s="57"/>
      <c r="AJ39" s="172">
        <f t="shared" si="11"/>
        <v>0</v>
      </c>
      <c r="AK39" s="134"/>
    </row>
    <row r="40" spans="2:37" s="131" customFormat="1" ht="14.5" thickBot="1" x14ac:dyDescent="0.35">
      <c r="B40" s="135" t="s">
        <v>62</v>
      </c>
      <c r="C40" s="136"/>
      <c r="D40" s="137"/>
      <c r="E40" s="136"/>
      <c r="F40" s="138"/>
      <c r="G40" s="138">
        <f>SUM(G9:G39)</f>
        <v>122701290</v>
      </c>
      <c r="H40" s="138">
        <f t="shared" ref="H40:S40" si="13">SUM(H9:H39)</f>
        <v>-5216835</v>
      </c>
      <c r="I40" s="138">
        <f t="shared" si="13"/>
        <v>317862048</v>
      </c>
      <c r="J40" s="138">
        <f t="shared" si="13"/>
        <v>-13751980</v>
      </c>
      <c r="K40" s="138">
        <f t="shared" si="13"/>
        <v>0</v>
      </c>
      <c r="L40" s="138">
        <f t="shared" si="13"/>
        <v>0</v>
      </c>
      <c r="M40" s="138">
        <f t="shared" si="13"/>
        <v>0</v>
      </c>
      <c r="N40" s="138">
        <f t="shared" si="13"/>
        <v>0</v>
      </c>
      <c r="O40" s="138"/>
      <c r="P40" s="138"/>
      <c r="Q40" s="138">
        <f t="shared" si="13"/>
        <v>23538</v>
      </c>
      <c r="R40" s="138">
        <f t="shared" si="13"/>
        <v>51526852</v>
      </c>
      <c r="S40" s="138">
        <f t="shared" si="13"/>
        <v>0</v>
      </c>
      <c r="T40" s="138">
        <f t="shared" ref="T40:W40" si="14">SUM(T9:T39)</f>
        <v>189714963</v>
      </c>
      <c r="U40" s="138">
        <f t="shared" si="14"/>
        <v>-7865075</v>
      </c>
      <c r="V40" s="138">
        <f t="shared" si="14"/>
        <v>17048405</v>
      </c>
      <c r="W40" s="138">
        <f t="shared" si="14"/>
        <v>-741235</v>
      </c>
      <c r="X40" s="138">
        <f t="shared" ref="X40:Y40" si="15">SUM(X9:X39)</f>
        <v>24342671</v>
      </c>
      <c r="Y40" s="138">
        <f t="shared" si="15"/>
        <v>-1058377</v>
      </c>
      <c r="Z40" s="138">
        <f>SUM(Z9:Z39)</f>
        <v>-1799612</v>
      </c>
      <c r="AA40" s="139">
        <f t="shared" ref="AA40" si="16">SUM(AA9:AA39)</f>
        <v>16.017731619999999</v>
      </c>
      <c r="AB40" s="139"/>
      <c r="AC40" s="139"/>
      <c r="AD40" s="140">
        <f t="shared" ref="AD40:AJ40" si="17">SUM(AD9:AD39)</f>
        <v>119671.81489799998</v>
      </c>
      <c r="AE40" s="141">
        <f t="shared" si="17"/>
        <v>107429607</v>
      </c>
      <c r="AF40" s="138">
        <f t="shared" si="17"/>
        <v>-4624927</v>
      </c>
      <c r="AG40" s="138">
        <f>SUM(AG9:AG39)</f>
        <v>17726713</v>
      </c>
      <c r="AH40" s="138">
        <f t="shared" si="17"/>
        <v>-760085</v>
      </c>
      <c r="AI40" s="138">
        <f t="shared" si="17"/>
        <v>2704943</v>
      </c>
      <c r="AJ40" s="138">
        <f t="shared" si="17"/>
        <v>-115191</v>
      </c>
      <c r="AK40" s="142"/>
    </row>
    <row r="41" spans="2:37" x14ac:dyDescent="0.25">
      <c r="H41" s="72"/>
      <c r="I41" s="72"/>
      <c r="J41" s="72"/>
      <c r="S41" s="63"/>
      <c r="U41" s="63"/>
      <c r="W41" s="63"/>
      <c r="Y41" s="63"/>
      <c r="Z41" s="63"/>
      <c r="AA41" s="63"/>
      <c r="AB41" s="63"/>
      <c r="AC41" s="63"/>
      <c r="AD41" s="63"/>
      <c r="AH41" s="63"/>
      <c r="AI41" s="63"/>
      <c r="AJ41" s="63"/>
    </row>
    <row r="42" spans="2:37" ht="14" x14ac:dyDescent="0.3">
      <c r="F42" s="16"/>
      <c r="G42" s="88"/>
      <c r="H42" s="87"/>
      <c r="I42" s="87"/>
      <c r="J42" s="87"/>
      <c r="Q42" s="89"/>
      <c r="S42" s="90"/>
      <c r="U42" s="90"/>
      <c r="W42" s="90"/>
      <c r="Y42" s="90"/>
      <c r="Z42" s="90"/>
      <c r="AA42" s="74"/>
      <c r="AB42" s="74"/>
      <c r="AC42" s="74"/>
      <c r="AE42" s="85"/>
      <c r="AF42" s="85"/>
      <c r="AG42" s="85"/>
      <c r="AH42" s="73"/>
      <c r="AI42" s="73"/>
    </row>
    <row r="43" spans="2:37" ht="14.5" x14ac:dyDescent="0.35">
      <c r="C43" s="16"/>
      <c r="F43" s="16"/>
      <c r="H43" s="79"/>
      <c r="I43" s="79"/>
      <c r="J43" s="79"/>
      <c r="M43"/>
      <c r="R43" s="88"/>
      <c r="T43" s="88"/>
      <c r="V43" s="88"/>
      <c r="X43" s="88"/>
      <c r="AE43" s="86"/>
      <c r="AF43" s="86"/>
      <c r="AG43" s="86"/>
      <c r="AH43" s="73"/>
      <c r="AI43" s="73"/>
    </row>
    <row r="44" spans="2:37" x14ac:dyDescent="0.25">
      <c r="AH44" s="63"/>
      <c r="AI44" s="63"/>
    </row>
    <row r="47" spans="2:37" x14ac:dyDescent="0.25">
      <c r="S47" s="123"/>
      <c r="U47" s="123"/>
      <c r="W47" s="123"/>
      <c r="Y47" s="123"/>
      <c r="Z47" s="123"/>
    </row>
    <row r="48" spans="2:37" x14ac:dyDescent="0.25">
      <c r="S48" s="123"/>
      <c r="U48" s="123"/>
      <c r="W48" s="123"/>
      <c r="Y48" s="123"/>
      <c r="Z48" s="123"/>
    </row>
  </sheetData>
  <mergeCells count="23">
    <mergeCell ref="M5:N5"/>
    <mergeCell ref="K5:L5"/>
    <mergeCell ref="O5:P5"/>
    <mergeCell ref="T4:U5"/>
    <mergeCell ref="AI5:AJ5"/>
    <mergeCell ref="AA3:AD4"/>
    <mergeCell ref="X4:Y5"/>
    <mergeCell ref="I5:J5"/>
    <mergeCell ref="AE3:AJ4"/>
    <mergeCell ref="Z4:Z5"/>
    <mergeCell ref="AK3:AK7"/>
    <mergeCell ref="B3:S3"/>
    <mergeCell ref="AA5:AD5"/>
    <mergeCell ref="AE5:AF5"/>
    <mergeCell ref="AG5:AH5"/>
    <mergeCell ref="B4:B7"/>
    <mergeCell ref="C4:C7"/>
    <mergeCell ref="E4:L4"/>
    <mergeCell ref="M4:Q4"/>
    <mergeCell ref="R4:S5"/>
    <mergeCell ref="E5:F5"/>
    <mergeCell ref="G5:H5"/>
    <mergeCell ref="V4:W5"/>
  </mergeCells>
  <pageMargins left="3.937007874015748E-2" right="0.23622047244094491" top="0.15748031496062992" bottom="0" header="0.31496062992125984" footer="0.31496062992125984"/>
  <pageSetup scale="32" orientation="landscape" r:id="rId1"/>
  <rowBreaks count="2" manualBreakCount="2">
    <brk id="45" max="27" man="1"/>
    <brk id="59" max="27" man="1"/>
  </rowBreaks>
  <colBreaks count="3" manualBreakCount="3">
    <brk id="10" max="40" man="1"/>
    <brk id="26" max="40" man="1"/>
    <brk id="37" max="38" man="1"/>
  </colBreaks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2:AM46"/>
  <sheetViews>
    <sheetView showGridLines="0" zoomScale="80" zoomScaleNormal="80" workbookViewId="0">
      <pane xSplit="3" ySplit="6" topLeftCell="D7" activePane="bottomRight" state="frozen"/>
      <selection pane="topRight" activeCell="AA42" sqref="AA42"/>
      <selection pane="bottomLeft" activeCell="AA42" sqref="AA42"/>
      <selection pane="bottomRight" activeCell="I28" sqref="I28"/>
    </sheetView>
  </sheetViews>
  <sheetFormatPr defaultColWidth="9.1796875" defaultRowHeight="13.5" x14ac:dyDescent="0.25"/>
  <cols>
    <col min="1" max="1" width="4.54296875" style="1" customWidth="1"/>
    <col min="2" max="2" width="22.54296875" style="2" customWidth="1"/>
    <col min="3" max="3" width="10.453125" style="2" bestFit="1" customWidth="1"/>
    <col min="4" max="4" width="10.453125" style="2" customWidth="1"/>
    <col min="5" max="5" width="10" style="2" customWidth="1"/>
    <col min="6" max="6" width="11" style="2" customWidth="1"/>
    <col min="7" max="7" width="11.453125" style="2" customWidth="1"/>
    <col min="8" max="8" width="11.54296875" style="2" customWidth="1"/>
    <col min="9" max="9" width="11.1796875" style="2" customWidth="1"/>
    <col min="10" max="10" width="12.453125" style="1" customWidth="1"/>
    <col min="11" max="11" width="13" style="1" customWidth="1"/>
    <col min="12" max="13" width="11.1796875" style="2" customWidth="1"/>
    <col min="14" max="14" width="10.81640625" style="1" bestFit="1" customWidth="1"/>
    <col min="15" max="15" width="10.81640625" style="1" customWidth="1"/>
    <col min="16" max="16" width="11.453125" style="1" customWidth="1"/>
    <col min="17" max="17" width="11.54296875" style="1" customWidth="1"/>
    <col min="18" max="18" width="14.453125" style="1" customWidth="1"/>
    <col min="19" max="19" width="11.453125" style="3" customWidth="1"/>
    <col min="20" max="20" width="11.1796875" style="3" customWidth="1"/>
    <col min="21" max="21" width="12.453125" style="3" bestFit="1" customWidth="1"/>
    <col min="22" max="22" width="11.54296875" style="3" customWidth="1"/>
    <col min="23" max="23" width="11.1796875" style="3" customWidth="1"/>
    <col min="24" max="24" width="11" style="3" customWidth="1"/>
    <col min="25" max="25" width="11.453125" style="3" customWidth="1"/>
    <col min="26" max="26" width="11.54296875" style="1" customWidth="1"/>
    <col min="27" max="27" width="12.453125" style="1" bestFit="1" customWidth="1"/>
    <col min="28" max="31" width="11.54296875" style="2" customWidth="1"/>
    <col min="32" max="33" width="12.453125" style="1" customWidth="1"/>
    <col min="34" max="34" width="11.54296875" style="1" customWidth="1"/>
    <col min="35" max="35" width="38" style="1" bestFit="1" customWidth="1"/>
    <col min="36" max="36" width="9.1796875" style="1"/>
    <col min="37" max="37" width="10.81640625" style="1" bestFit="1" customWidth="1"/>
    <col min="38" max="38" width="12.81640625" style="1" bestFit="1" customWidth="1"/>
    <col min="39" max="16384" width="9.1796875" style="1"/>
  </cols>
  <sheetData>
    <row r="2" spans="2:39" x14ac:dyDescent="0.25">
      <c r="B2" s="4" t="s">
        <v>0</v>
      </c>
    </row>
    <row r="3" spans="2:39" ht="16.5" customHeight="1" x14ac:dyDescent="0.3">
      <c r="B3" s="235" t="s">
        <v>1</v>
      </c>
      <c r="C3" s="236"/>
      <c r="D3" s="236"/>
      <c r="E3" s="236"/>
      <c r="F3" s="236"/>
      <c r="G3" s="236"/>
      <c r="H3" s="236"/>
      <c r="I3" s="236"/>
      <c r="J3" s="236"/>
      <c r="K3" s="236"/>
      <c r="L3" s="236"/>
      <c r="M3" s="236"/>
      <c r="N3" s="236"/>
      <c r="O3" s="236"/>
      <c r="P3" s="236"/>
      <c r="Q3" s="236"/>
      <c r="R3" s="236"/>
      <c r="S3" s="236"/>
      <c r="T3" s="236"/>
      <c r="U3" s="236"/>
      <c r="V3" s="236"/>
      <c r="W3" s="236"/>
      <c r="X3" s="236"/>
      <c r="Y3" s="250"/>
      <c r="Z3" s="201" t="s">
        <v>2</v>
      </c>
      <c r="AA3" s="202"/>
      <c r="AB3" s="203"/>
      <c r="AC3" s="201" t="s">
        <v>3</v>
      </c>
      <c r="AD3" s="202"/>
      <c r="AE3" s="202"/>
      <c r="AF3" s="202"/>
      <c r="AG3" s="202"/>
      <c r="AH3" s="203"/>
      <c r="AI3" s="209" t="s">
        <v>45</v>
      </c>
    </row>
    <row r="4" spans="2:39" ht="16.5" customHeight="1" x14ac:dyDescent="0.25">
      <c r="B4" s="212" t="s">
        <v>5</v>
      </c>
      <c r="C4" s="212" t="s">
        <v>6</v>
      </c>
      <c r="D4" s="215" t="s">
        <v>7</v>
      </c>
      <c r="E4" s="249"/>
      <c r="F4" s="216"/>
      <c r="G4" s="54" t="s">
        <v>8</v>
      </c>
      <c r="H4" s="245" t="s">
        <v>46</v>
      </c>
      <c r="I4" s="246"/>
      <c r="J4" s="246"/>
      <c r="K4" s="246"/>
      <c r="L4" s="246"/>
      <c r="M4" s="247"/>
      <c r="N4" s="213" t="s">
        <v>10</v>
      </c>
      <c r="O4" s="213"/>
      <c r="P4" s="213"/>
      <c r="Q4" s="201" t="s">
        <v>11</v>
      </c>
      <c r="R4" s="203"/>
      <c r="S4" s="251" t="s">
        <v>65</v>
      </c>
      <c r="T4" s="252"/>
      <c r="U4" s="253"/>
      <c r="V4" s="215" t="s">
        <v>13</v>
      </c>
      <c r="W4" s="216"/>
      <c r="X4" s="215" t="s">
        <v>14</v>
      </c>
      <c r="Y4" s="216"/>
      <c r="Z4" s="204"/>
      <c r="AA4" s="205"/>
      <c r="AB4" s="206"/>
      <c r="AC4" s="207"/>
      <c r="AD4" s="254"/>
      <c r="AE4" s="254"/>
      <c r="AF4" s="254"/>
      <c r="AG4" s="254"/>
      <c r="AH4" s="208"/>
      <c r="AI4" s="210"/>
    </row>
    <row r="5" spans="2:39" ht="52.5" customHeight="1" x14ac:dyDescent="0.25">
      <c r="B5" s="212"/>
      <c r="C5" s="212"/>
      <c r="D5" s="41" t="s">
        <v>15</v>
      </c>
      <c r="E5" s="41" t="s">
        <v>16</v>
      </c>
      <c r="F5" s="41" t="s">
        <v>17</v>
      </c>
      <c r="G5" s="43" t="s">
        <v>18</v>
      </c>
      <c r="H5" s="214" t="s">
        <v>19</v>
      </c>
      <c r="I5" s="214"/>
      <c r="J5" s="214" t="s">
        <v>66</v>
      </c>
      <c r="K5" s="214"/>
      <c r="L5" s="214" t="s">
        <v>52</v>
      </c>
      <c r="M5" s="214"/>
      <c r="N5" s="212" t="s">
        <v>21</v>
      </c>
      <c r="O5" s="212"/>
      <c r="P5" s="43" t="s">
        <v>22</v>
      </c>
      <c r="Q5" s="207"/>
      <c r="R5" s="208"/>
      <c r="S5" s="81" t="s">
        <v>23</v>
      </c>
      <c r="T5" s="82" t="s">
        <v>24</v>
      </c>
      <c r="U5" s="81" t="s">
        <v>17</v>
      </c>
      <c r="V5" s="41" t="s">
        <v>23</v>
      </c>
      <c r="W5" s="43" t="s">
        <v>25</v>
      </c>
      <c r="X5" s="41" t="s">
        <v>23</v>
      </c>
      <c r="Y5" s="43" t="s">
        <v>25</v>
      </c>
      <c r="Z5" s="214" t="s">
        <v>26</v>
      </c>
      <c r="AA5" s="214"/>
      <c r="AB5" s="45" t="s">
        <v>67</v>
      </c>
      <c r="AC5" s="233" t="s">
        <v>53</v>
      </c>
      <c r="AD5" s="234"/>
      <c r="AE5" s="233" t="s">
        <v>68</v>
      </c>
      <c r="AF5" s="234"/>
      <c r="AG5" s="231" t="s">
        <v>55</v>
      </c>
      <c r="AH5" s="232"/>
      <c r="AI5" s="210"/>
    </row>
    <row r="6" spans="2:39" ht="14.5" x14ac:dyDescent="0.25">
      <c r="B6" s="212"/>
      <c r="C6" s="212"/>
      <c r="D6" s="83">
        <v>8350</v>
      </c>
      <c r="E6" s="83">
        <v>8350</v>
      </c>
      <c r="F6" s="83">
        <f>D6+E6</f>
        <v>16700</v>
      </c>
      <c r="G6" s="56" t="s">
        <v>56</v>
      </c>
      <c r="H6" s="17" t="s">
        <v>30</v>
      </c>
      <c r="I6" s="17" t="s">
        <v>31</v>
      </c>
      <c r="J6" s="17" t="s">
        <v>30</v>
      </c>
      <c r="K6" s="17" t="s">
        <v>31</v>
      </c>
      <c r="L6" s="17" t="s">
        <v>30</v>
      </c>
      <c r="M6" s="17" t="s">
        <v>31</v>
      </c>
      <c r="N6" s="40" t="s">
        <v>32</v>
      </c>
      <c r="O6" s="40" t="s">
        <v>33</v>
      </c>
      <c r="P6" s="41" t="s">
        <v>34</v>
      </c>
      <c r="Q6" s="17" t="s">
        <v>30</v>
      </c>
      <c r="R6" s="17" t="s">
        <v>31</v>
      </c>
      <c r="S6" s="81" t="s">
        <v>35</v>
      </c>
      <c r="T6" s="81" t="s">
        <v>35</v>
      </c>
      <c r="U6" s="81" t="s">
        <v>35</v>
      </c>
      <c r="V6" s="41" t="s">
        <v>36</v>
      </c>
      <c r="W6" s="41" t="s">
        <v>36</v>
      </c>
      <c r="X6" s="41" t="s">
        <v>36</v>
      </c>
      <c r="Y6" s="41" t="s">
        <v>36</v>
      </c>
      <c r="Z6" s="17" t="s">
        <v>37</v>
      </c>
      <c r="AA6" s="77" t="s">
        <v>38</v>
      </c>
      <c r="AB6" s="9" t="s">
        <v>69</v>
      </c>
      <c r="AC6" s="9" t="s">
        <v>30</v>
      </c>
      <c r="AD6" s="9" t="s">
        <v>59</v>
      </c>
      <c r="AE6" s="9" t="s">
        <v>30</v>
      </c>
      <c r="AF6" s="9" t="s">
        <v>59</v>
      </c>
      <c r="AG6" s="9" t="s">
        <v>30</v>
      </c>
      <c r="AH6" s="9" t="s">
        <v>59</v>
      </c>
      <c r="AI6" s="211"/>
    </row>
    <row r="7" spans="2:39" ht="14" x14ac:dyDescent="0.3">
      <c r="B7" s="8">
        <v>45017</v>
      </c>
      <c r="C7" s="42" t="str">
        <f>TEXT(B7,"ddd")</f>
        <v>Sat</v>
      </c>
      <c r="D7" s="121">
        <v>0.83427505000000002</v>
      </c>
      <c r="E7" s="121">
        <v>0</v>
      </c>
      <c r="F7" s="83">
        <f>SUMPRODUCT($D$6:$E$6,D7:E7)</f>
        <v>6966.1966675000003</v>
      </c>
      <c r="G7" s="102"/>
      <c r="H7" s="100"/>
      <c r="I7" s="96">
        <v>0</v>
      </c>
      <c r="J7" s="101">
        <v>1859688</v>
      </c>
      <c r="K7" s="96">
        <v>0</v>
      </c>
      <c r="L7" s="101">
        <v>138250</v>
      </c>
      <c r="M7" s="97"/>
      <c r="N7" s="108"/>
      <c r="O7" s="108"/>
      <c r="P7" s="96"/>
      <c r="Q7" s="106">
        <v>1829505</v>
      </c>
      <c r="R7" s="107" t="e">
        <f>Q7-#REF!</f>
        <v>#REF!</v>
      </c>
      <c r="S7" s="98" t="s">
        <v>70</v>
      </c>
      <c r="T7" s="98" t="s">
        <v>70</v>
      </c>
      <c r="U7" s="98" t="s">
        <v>71</v>
      </c>
      <c r="V7" s="98" t="s">
        <v>70</v>
      </c>
      <c r="W7" s="98" t="s">
        <v>70</v>
      </c>
      <c r="X7" s="98" t="s">
        <v>70</v>
      </c>
      <c r="Y7" s="98" t="s">
        <v>70</v>
      </c>
      <c r="Z7" s="99">
        <v>86.33</v>
      </c>
      <c r="AA7" s="99">
        <f>Z7</f>
        <v>86.33</v>
      </c>
      <c r="AB7" s="115"/>
      <c r="AC7" s="105">
        <v>645772</v>
      </c>
      <c r="AD7" s="119" t="e">
        <f>AC7-#REF!</f>
        <v>#REF!</v>
      </c>
      <c r="AE7" s="98">
        <v>37797</v>
      </c>
      <c r="AF7" s="105" t="e">
        <f>AE7-#REF!</f>
        <v>#REF!</v>
      </c>
      <c r="AG7" s="98">
        <v>12704</v>
      </c>
      <c r="AH7" s="119" t="e">
        <f>AG7-#REF!</f>
        <v>#REF!</v>
      </c>
      <c r="AI7" s="17"/>
      <c r="AK7" s="78"/>
      <c r="AL7" s="74"/>
      <c r="AM7" s="74"/>
    </row>
    <row r="8" spans="2:39" ht="14" x14ac:dyDescent="0.3">
      <c r="B8" s="8">
        <f>B7+1</f>
        <v>45018</v>
      </c>
      <c r="C8" s="42" t="str">
        <f t="shared" ref="C8:C36" si="0">TEXT(B8,"ddd")</f>
        <v>Sun</v>
      </c>
      <c r="D8" s="122">
        <v>0.67081329000000001</v>
      </c>
      <c r="E8" s="121">
        <v>0</v>
      </c>
      <c r="F8" s="83">
        <f t="shared" ref="F8:F36" si="1">SUMPRODUCT($D$6:$E$6,D8:E8)</f>
        <v>5601.2909714999996</v>
      </c>
      <c r="G8" s="102"/>
      <c r="H8" s="100"/>
      <c r="I8" s="100">
        <f>H8-H7</f>
        <v>0</v>
      </c>
      <c r="J8" s="101">
        <v>1859688</v>
      </c>
      <c r="K8" s="101">
        <f>J8-J7</f>
        <v>0</v>
      </c>
      <c r="L8" s="101">
        <v>138250</v>
      </c>
      <c r="M8" s="97">
        <f>L8-L7</f>
        <v>0</v>
      </c>
      <c r="N8" s="109"/>
      <c r="O8" s="109"/>
      <c r="P8" s="100"/>
      <c r="Q8" s="106">
        <v>1829505</v>
      </c>
      <c r="R8" s="106">
        <f>Q8-Q7</f>
        <v>0</v>
      </c>
      <c r="S8" s="103" t="s">
        <v>70</v>
      </c>
      <c r="T8" s="103" t="s">
        <v>70</v>
      </c>
      <c r="U8" s="103" t="s">
        <v>71</v>
      </c>
      <c r="V8" s="103" t="s">
        <v>70</v>
      </c>
      <c r="W8" s="103" t="s">
        <v>70</v>
      </c>
      <c r="X8" s="103" t="s">
        <v>70</v>
      </c>
      <c r="Y8" s="103" t="s">
        <v>70</v>
      </c>
      <c r="Z8" s="104">
        <v>162.07</v>
      </c>
      <c r="AA8" s="99">
        <f>AA7+Z8</f>
        <v>248.39999999999998</v>
      </c>
      <c r="AB8" s="115"/>
      <c r="AC8" s="105">
        <v>647325</v>
      </c>
      <c r="AD8" s="105">
        <f t="shared" ref="AD8:AD36" si="2">AC8-AC7</f>
        <v>1553</v>
      </c>
      <c r="AE8" s="105">
        <v>38080</v>
      </c>
      <c r="AF8" s="105">
        <f>AE8-AE7</f>
        <v>283</v>
      </c>
      <c r="AG8" s="103">
        <v>12754</v>
      </c>
      <c r="AH8" s="105">
        <f>AG8-AG7</f>
        <v>50</v>
      </c>
      <c r="AI8" s="17"/>
      <c r="AK8" s="78"/>
      <c r="AL8" s="74"/>
      <c r="AM8" s="74"/>
    </row>
    <row r="9" spans="2:39" ht="14" x14ac:dyDescent="0.3">
      <c r="B9" s="8">
        <f>B8+1</f>
        <v>45019</v>
      </c>
      <c r="C9" s="42" t="str">
        <f t="shared" si="0"/>
        <v>Mon</v>
      </c>
      <c r="D9" s="122">
        <v>0.43256351000000004</v>
      </c>
      <c r="E9" s="121">
        <v>0</v>
      </c>
      <c r="F9" s="83">
        <f t="shared" si="1"/>
        <v>3611.9053085000005</v>
      </c>
      <c r="G9" s="102"/>
      <c r="H9" s="100"/>
      <c r="I9" s="100">
        <f t="shared" ref="I9:I36" si="3">H9-H8</f>
        <v>0</v>
      </c>
      <c r="J9" s="101">
        <v>1859688</v>
      </c>
      <c r="K9" s="101">
        <f t="shared" ref="K9:K25" si="4">J9-J8</f>
        <v>0</v>
      </c>
      <c r="L9" s="101">
        <v>138250</v>
      </c>
      <c r="M9" s="97">
        <f t="shared" ref="M9:M36" si="5">L9-L8</f>
        <v>0</v>
      </c>
      <c r="N9" s="100"/>
      <c r="O9" s="100"/>
      <c r="P9" s="100"/>
      <c r="Q9" s="106">
        <v>1829505</v>
      </c>
      <c r="R9" s="106">
        <f t="shared" ref="R9:R36" si="6">Q9-Q8</f>
        <v>0</v>
      </c>
      <c r="S9" s="103" t="s">
        <v>70</v>
      </c>
      <c r="T9" s="103" t="s">
        <v>70</v>
      </c>
      <c r="U9" s="103" t="s">
        <v>71</v>
      </c>
      <c r="V9" s="103" t="s">
        <v>70</v>
      </c>
      <c r="W9" s="103" t="s">
        <v>70</v>
      </c>
      <c r="X9" s="103" t="s">
        <v>70</v>
      </c>
      <c r="Y9" s="103" t="s">
        <v>70</v>
      </c>
      <c r="Z9" s="114">
        <v>263.11</v>
      </c>
      <c r="AA9" s="99">
        <f t="shared" ref="AA9:AA17" si="7">AA8+Z9</f>
        <v>511.51</v>
      </c>
      <c r="AB9" s="115"/>
      <c r="AC9" s="105">
        <v>649134</v>
      </c>
      <c r="AD9" s="105">
        <f t="shared" si="2"/>
        <v>1809</v>
      </c>
      <c r="AE9" s="105">
        <v>38371</v>
      </c>
      <c r="AF9" s="105">
        <f t="shared" ref="AF9:AF36" si="8">AE9-AE8</f>
        <v>291</v>
      </c>
      <c r="AG9" s="105">
        <v>12803</v>
      </c>
      <c r="AH9" s="105">
        <f t="shared" ref="AH9:AH36" si="9">AG9-AG8</f>
        <v>49</v>
      </c>
      <c r="AI9" s="17"/>
      <c r="AK9" s="78"/>
      <c r="AL9" s="74"/>
      <c r="AM9" s="74"/>
    </row>
    <row r="10" spans="2:39" ht="14" x14ac:dyDescent="0.3">
      <c r="B10" s="8">
        <f t="shared" ref="B10:B36" si="10">B9+1</f>
        <v>45020</v>
      </c>
      <c r="C10" s="42" t="str">
        <f t="shared" si="0"/>
        <v>Tue</v>
      </c>
      <c r="D10" s="122">
        <v>0.60171481999999998</v>
      </c>
      <c r="E10" s="121">
        <v>0</v>
      </c>
      <c r="F10" s="83">
        <f t="shared" si="1"/>
        <v>5024.3187470000003</v>
      </c>
      <c r="G10" s="102"/>
      <c r="H10" s="100"/>
      <c r="I10" s="100">
        <f t="shared" si="3"/>
        <v>0</v>
      </c>
      <c r="J10" s="101">
        <v>1859688</v>
      </c>
      <c r="K10" s="101">
        <f t="shared" si="4"/>
        <v>0</v>
      </c>
      <c r="L10" s="101">
        <v>138250</v>
      </c>
      <c r="M10" s="97">
        <f t="shared" si="5"/>
        <v>0</v>
      </c>
      <c r="N10" s="100"/>
      <c r="O10" s="100"/>
      <c r="P10" s="100"/>
      <c r="Q10" s="106">
        <v>1829505</v>
      </c>
      <c r="R10" s="106">
        <f t="shared" si="6"/>
        <v>0</v>
      </c>
      <c r="S10" s="103" t="s">
        <v>70</v>
      </c>
      <c r="T10" s="103" t="s">
        <v>70</v>
      </c>
      <c r="U10" s="103" t="s">
        <v>71</v>
      </c>
      <c r="V10" s="103" t="s">
        <v>70</v>
      </c>
      <c r="W10" s="103" t="s">
        <v>70</v>
      </c>
      <c r="X10" s="103" t="s">
        <v>70</v>
      </c>
      <c r="Y10" s="103" t="s">
        <v>70</v>
      </c>
      <c r="Z10" s="5"/>
      <c r="AA10" s="99">
        <f t="shared" si="7"/>
        <v>511.51</v>
      </c>
      <c r="AB10" s="115"/>
      <c r="AC10" s="105">
        <v>650576</v>
      </c>
      <c r="AD10" s="105">
        <f t="shared" si="2"/>
        <v>1442</v>
      </c>
      <c r="AE10" s="105">
        <v>38680</v>
      </c>
      <c r="AF10" s="105">
        <f t="shared" si="8"/>
        <v>309</v>
      </c>
      <c r="AG10" s="105">
        <v>12851</v>
      </c>
      <c r="AH10" s="105">
        <f t="shared" si="9"/>
        <v>48</v>
      </c>
      <c r="AI10" s="17"/>
      <c r="AK10" s="78"/>
      <c r="AL10" s="74"/>
      <c r="AM10" s="74"/>
    </row>
    <row r="11" spans="2:39" ht="14" x14ac:dyDescent="0.3">
      <c r="B11" s="8">
        <f t="shared" si="10"/>
        <v>45021</v>
      </c>
      <c r="C11" s="42" t="str">
        <f t="shared" si="0"/>
        <v>Wed</v>
      </c>
      <c r="D11" s="122">
        <v>0.27517223000000002</v>
      </c>
      <c r="E11" s="121">
        <v>0</v>
      </c>
      <c r="F11" s="83">
        <f t="shared" si="1"/>
        <v>2297.6881205</v>
      </c>
      <c r="G11" s="102"/>
      <c r="H11" s="100"/>
      <c r="I11" s="100">
        <f t="shared" si="3"/>
        <v>0</v>
      </c>
      <c r="J11" s="101">
        <v>1862698</v>
      </c>
      <c r="K11" s="101">
        <f t="shared" si="4"/>
        <v>3010</v>
      </c>
      <c r="L11" s="101">
        <v>138250</v>
      </c>
      <c r="M11" s="97">
        <f t="shared" si="5"/>
        <v>0</v>
      </c>
      <c r="N11" s="100"/>
      <c r="O11" s="100"/>
      <c r="P11" s="100"/>
      <c r="Q11" s="106">
        <v>1829505</v>
      </c>
      <c r="R11" s="106">
        <f t="shared" si="6"/>
        <v>0</v>
      </c>
      <c r="S11" s="103" t="s">
        <v>70</v>
      </c>
      <c r="T11" s="103" t="s">
        <v>70</v>
      </c>
      <c r="U11" s="103" t="s">
        <v>71</v>
      </c>
      <c r="V11" s="103" t="s">
        <v>70</v>
      </c>
      <c r="W11" s="103" t="s">
        <v>70</v>
      </c>
      <c r="X11" s="103" t="s">
        <v>70</v>
      </c>
      <c r="Y11" s="103" t="s">
        <v>70</v>
      </c>
      <c r="Z11" s="112">
        <v>224.62</v>
      </c>
      <c r="AA11" s="99">
        <f t="shared" si="7"/>
        <v>736.13</v>
      </c>
      <c r="AB11" s="115"/>
      <c r="AC11" s="105">
        <v>652695</v>
      </c>
      <c r="AD11" s="105">
        <f t="shared" si="2"/>
        <v>2119</v>
      </c>
      <c r="AE11" s="105">
        <v>39006</v>
      </c>
      <c r="AF11" s="105">
        <f t="shared" si="8"/>
        <v>326</v>
      </c>
      <c r="AG11" s="105">
        <v>12968</v>
      </c>
      <c r="AH11" s="105">
        <f t="shared" si="9"/>
        <v>117</v>
      </c>
      <c r="AI11" s="17"/>
      <c r="AK11" s="78"/>
      <c r="AL11" s="74"/>
      <c r="AM11" s="74"/>
    </row>
    <row r="12" spans="2:39" ht="14" x14ac:dyDescent="0.3">
      <c r="B12" s="8">
        <f t="shared" si="10"/>
        <v>45022</v>
      </c>
      <c r="C12" s="42" t="str">
        <f t="shared" si="0"/>
        <v>Thu</v>
      </c>
      <c r="D12" s="122">
        <v>0.58496234999999996</v>
      </c>
      <c r="E12" s="121">
        <v>0</v>
      </c>
      <c r="F12" s="83">
        <f t="shared" si="1"/>
        <v>4884.4356225000001</v>
      </c>
      <c r="G12" s="102"/>
      <c r="H12" s="100"/>
      <c r="I12" s="100">
        <f t="shared" si="3"/>
        <v>0</v>
      </c>
      <c r="J12" s="101">
        <v>1866302</v>
      </c>
      <c r="K12" s="101">
        <f t="shared" si="4"/>
        <v>3604</v>
      </c>
      <c r="L12" s="101">
        <v>138250</v>
      </c>
      <c r="M12" s="97">
        <f t="shared" si="5"/>
        <v>0</v>
      </c>
      <c r="N12" s="109"/>
      <c r="O12" s="109"/>
      <c r="P12" s="100"/>
      <c r="Q12" s="106">
        <v>1829505</v>
      </c>
      <c r="R12" s="106">
        <f t="shared" si="6"/>
        <v>0</v>
      </c>
      <c r="S12" s="103" t="s">
        <v>70</v>
      </c>
      <c r="T12" s="103" t="s">
        <v>70</v>
      </c>
      <c r="U12" s="103" t="s">
        <v>71</v>
      </c>
      <c r="V12" s="103" t="s">
        <v>70</v>
      </c>
      <c r="W12" s="103" t="s">
        <v>70</v>
      </c>
      <c r="X12" s="103" t="s">
        <v>70</v>
      </c>
      <c r="Y12" s="103" t="s">
        <v>70</v>
      </c>
      <c r="Z12" s="112">
        <v>245.19</v>
      </c>
      <c r="AA12" s="99">
        <f t="shared" si="7"/>
        <v>981.31999999999994</v>
      </c>
      <c r="AB12" s="115"/>
      <c r="AC12" s="105">
        <v>654733</v>
      </c>
      <c r="AD12" s="105">
        <f t="shared" si="2"/>
        <v>2038</v>
      </c>
      <c r="AE12" s="105">
        <v>39303</v>
      </c>
      <c r="AF12" s="105">
        <f t="shared" si="8"/>
        <v>297</v>
      </c>
      <c r="AG12" s="105">
        <v>13079</v>
      </c>
      <c r="AH12" s="105">
        <f t="shared" si="9"/>
        <v>111</v>
      </c>
      <c r="AI12" s="17"/>
      <c r="AK12" s="78"/>
      <c r="AL12" s="74"/>
      <c r="AM12" s="74"/>
    </row>
    <row r="13" spans="2:39" ht="14" x14ac:dyDescent="0.3">
      <c r="B13" s="8">
        <f t="shared" si="10"/>
        <v>45023</v>
      </c>
      <c r="C13" s="42" t="str">
        <f t="shared" si="0"/>
        <v>Fri</v>
      </c>
      <c r="D13" s="122">
        <v>0.40554119</v>
      </c>
      <c r="E13" s="121">
        <v>0</v>
      </c>
      <c r="F13" s="83">
        <f t="shared" si="1"/>
        <v>3386.2689365000001</v>
      </c>
      <c r="G13" s="102"/>
      <c r="H13" s="100"/>
      <c r="I13" s="100">
        <f t="shared" si="3"/>
        <v>0</v>
      </c>
      <c r="J13" s="101">
        <v>1869934</v>
      </c>
      <c r="K13" s="101">
        <f t="shared" si="4"/>
        <v>3632</v>
      </c>
      <c r="L13" s="101">
        <v>138250</v>
      </c>
      <c r="M13" s="97">
        <f t="shared" si="5"/>
        <v>0</v>
      </c>
      <c r="N13" s="109"/>
      <c r="O13" s="109"/>
      <c r="P13" s="100"/>
      <c r="Q13" s="106">
        <v>1829505</v>
      </c>
      <c r="R13" s="106">
        <f t="shared" si="6"/>
        <v>0</v>
      </c>
      <c r="S13" s="103" t="s">
        <v>70</v>
      </c>
      <c r="T13" s="103" t="s">
        <v>70</v>
      </c>
      <c r="U13" s="103" t="s">
        <v>71</v>
      </c>
      <c r="V13" s="103" t="s">
        <v>70</v>
      </c>
      <c r="W13" s="103" t="s">
        <v>70</v>
      </c>
      <c r="X13" s="103" t="s">
        <v>70</v>
      </c>
      <c r="Y13" s="103" t="s">
        <v>70</v>
      </c>
      <c r="Z13" s="5">
        <v>214.36</v>
      </c>
      <c r="AA13" s="99">
        <f t="shared" si="7"/>
        <v>1195.6799999999998</v>
      </c>
      <c r="AB13" s="115"/>
      <c r="AC13" s="105">
        <v>656769</v>
      </c>
      <c r="AD13" s="105">
        <f t="shared" si="2"/>
        <v>2036</v>
      </c>
      <c r="AE13" s="105">
        <v>39647</v>
      </c>
      <c r="AF13" s="105">
        <f t="shared" si="8"/>
        <v>344</v>
      </c>
      <c r="AG13" s="105">
        <v>13191</v>
      </c>
      <c r="AH13" s="105">
        <f t="shared" si="9"/>
        <v>112</v>
      </c>
      <c r="AI13" s="17"/>
      <c r="AK13" s="78"/>
      <c r="AL13" s="74"/>
      <c r="AM13" s="74"/>
    </row>
    <row r="14" spans="2:39" ht="14" x14ac:dyDescent="0.3">
      <c r="B14" s="8">
        <f t="shared" si="10"/>
        <v>45024</v>
      </c>
      <c r="C14" s="42" t="str">
        <f t="shared" si="0"/>
        <v>Sat</v>
      </c>
      <c r="D14" s="122">
        <v>0.52471217999999997</v>
      </c>
      <c r="E14" s="121">
        <v>0</v>
      </c>
      <c r="F14" s="83">
        <f t="shared" si="1"/>
        <v>4381.3467030000002</v>
      </c>
      <c r="G14" s="102"/>
      <c r="H14" s="100"/>
      <c r="I14" s="100">
        <f t="shared" si="3"/>
        <v>0</v>
      </c>
      <c r="J14" s="101">
        <v>1871099</v>
      </c>
      <c r="K14" s="101">
        <f t="shared" si="4"/>
        <v>1165</v>
      </c>
      <c r="L14" s="101">
        <v>138250</v>
      </c>
      <c r="M14" s="97">
        <f t="shared" si="5"/>
        <v>0</v>
      </c>
      <c r="N14" s="109"/>
      <c r="O14" s="109"/>
      <c r="P14" s="100"/>
      <c r="Q14" s="106">
        <v>1829505</v>
      </c>
      <c r="R14" s="106">
        <f t="shared" si="6"/>
        <v>0</v>
      </c>
      <c r="S14" s="103" t="s">
        <v>70</v>
      </c>
      <c r="T14" s="103" t="s">
        <v>70</v>
      </c>
      <c r="U14" s="103" t="s">
        <v>71</v>
      </c>
      <c r="V14" s="103" t="s">
        <v>70</v>
      </c>
      <c r="W14" s="103" t="s">
        <v>70</v>
      </c>
      <c r="X14" s="103" t="s">
        <v>70</v>
      </c>
      <c r="Y14" s="103" t="s">
        <v>70</v>
      </c>
      <c r="Z14" s="113">
        <v>177.42</v>
      </c>
      <c r="AA14" s="99">
        <f t="shared" si="7"/>
        <v>1373.1</v>
      </c>
      <c r="AB14" s="115"/>
      <c r="AC14" s="105">
        <v>658568</v>
      </c>
      <c r="AD14" s="105">
        <f t="shared" si="2"/>
        <v>1799</v>
      </c>
      <c r="AE14" s="105">
        <v>39989</v>
      </c>
      <c r="AF14" s="105">
        <f t="shared" si="8"/>
        <v>342</v>
      </c>
      <c r="AG14" s="105">
        <v>13233</v>
      </c>
      <c r="AH14" s="105">
        <f t="shared" si="9"/>
        <v>42</v>
      </c>
      <c r="AI14" s="17"/>
      <c r="AK14" s="78"/>
      <c r="AL14" s="74"/>
      <c r="AM14" s="74"/>
    </row>
    <row r="15" spans="2:39" ht="14" x14ac:dyDescent="0.3">
      <c r="B15" s="8">
        <f t="shared" si="10"/>
        <v>45025</v>
      </c>
      <c r="C15" s="42" t="str">
        <f t="shared" si="0"/>
        <v>Sun</v>
      </c>
      <c r="D15" s="122">
        <v>0.60012896999999998</v>
      </c>
      <c r="E15" s="121">
        <v>0</v>
      </c>
      <c r="F15" s="83">
        <f t="shared" si="1"/>
        <v>5011.0768994999999</v>
      </c>
      <c r="G15" s="102"/>
      <c r="H15" s="100"/>
      <c r="I15" s="100">
        <f t="shared" si="3"/>
        <v>0</v>
      </c>
      <c r="J15" s="101">
        <v>1871099</v>
      </c>
      <c r="K15" s="101">
        <f t="shared" si="4"/>
        <v>0</v>
      </c>
      <c r="L15" s="101">
        <v>138250</v>
      </c>
      <c r="M15" s="97">
        <f t="shared" si="5"/>
        <v>0</v>
      </c>
      <c r="N15" s="109"/>
      <c r="O15" s="109"/>
      <c r="P15" s="100"/>
      <c r="Q15" s="106">
        <v>1829505</v>
      </c>
      <c r="R15" s="106">
        <f t="shared" si="6"/>
        <v>0</v>
      </c>
      <c r="S15" s="103" t="s">
        <v>70</v>
      </c>
      <c r="T15" s="103" t="s">
        <v>70</v>
      </c>
      <c r="U15" s="103" t="s">
        <v>71</v>
      </c>
      <c r="V15" s="103" t="s">
        <v>70</v>
      </c>
      <c r="W15" s="103" t="s">
        <v>70</v>
      </c>
      <c r="X15" s="103" t="s">
        <v>70</v>
      </c>
      <c r="Y15" s="103" t="s">
        <v>70</v>
      </c>
      <c r="Z15" s="113">
        <v>235.27</v>
      </c>
      <c r="AA15" s="99">
        <f t="shared" si="7"/>
        <v>1608.37</v>
      </c>
      <c r="AB15" s="115"/>
      <c r="AC15" s="105">
        <v>660461</v>
      </c>
      <c r="AD15" s="105">
        <f t="shared" si="2"/>
        <v>1893</v>
      </c>
      <c r="AE15" s="105">
        <v>40279</v>
      </c>
      <c r="AF15" s="105">
        <f t="shared" si="8"/>
        <v>290</v>
      </c>
      <c r="AG15" s="105">
        <v>13358</v>
      </c>
      <c r="AH15" s="105">
        <f t="shared" si="9"/>
        <v>125</v>
      </c>
      <c r="AI15" s="17"/>
      <c r="AK15" s="78"/>
      <c r="AL15" s="74"/>
      <c r="AM15" s="74"/>
    </row>
    <row r="16" spans="2:39" ht="14" x14ac:dyDescent="0.3">
      <c r="B16" s="8">
        <f t="shared" si="10"/>
        <v>45026</v>
      </c>
      <c r="C16" s="42" t="str">
        <f t="shared" si="0"/>
        <v>Mon</v>
      </c>
      <c r="D16" s="122">
        <v>0.65862457000000008</v>
      </c>
      <c r="E16" s="121">
        <v>0</v>
      </c>
      <c r="F16" s="83">
        <f t="shared" si="1"/>
        <v>5499.5151595000007</v>
      </c>
      <c r="G16" s="102"/>
      <c r="H16" s="100"/>
      <c r="I16" s="100">
        <f t="shared" si="3"/>
        <v>0</v>
      </c>
      <c r="J16" s="101">
        <v>1871099</v>
      </c>
      <c r="K16" s="101">
        <f t="shared" si="4"/>
        <v>0</v>
      </c>
      <c r="L16" s="101">
        <v>138250</v>
      </c>
      <c r="M16" s="97">
        <f t="shared" si="5"/>
        <v>0</v>
      </c>
      <c r="N16" s="100"/>
      <c r="O16" s="100"/>
      <c r="P16" s="100"/>
      <c r="Q16" s="106">
        <v>1829505</v>
      </c>
      <c r="R16" s="106">
        <f t="shared" si="6"/>
        <v>0</v>
      </c>
      <c r="S16" s="103" t="s">
        <v>70</v>
      </c>
      <c r="T16" s="103" t="s">
        <v>70</v>
      </c>
      <c r="U16" s="103" t="s">
        <v>71</v>
      </c>
      <c r="V16" s="103" t="s">
        <v>70</v>
      </c>
      <c r="W16" s="103" t="s">
        <v>70</v>
      </c>
      <c r="X16" s="103" t="s">
        <v>70</v>
      </c>
      <c r="Y16" s="103" t="s">
        <v>70</v>
      </c>
      <c r="Z16" s="113">
        <v>198.79</v>
      </c>
      <c r="AA16" s="99">
        <f t="shared" si="7"/>
        <v>1807.1599999999999</v>
      </c>
      <c r="AB16" s="115"/>
      <c r="AC16" s="105">
        <v>662082</v>
      </c>
      <c r="AD16" s="105">
        <f t="shared" si="2"/>
        <v>1621</v>
      </c>
      <c r="AE16" s="105">
        <v>40553</v>
      </c>
      <c r="AF16" s="105">
        <f t="shared" si="8"/>
        <v>274</v>
      </c>
      <c r="AG16" s="105">
        <v>13409</v>
      </c>
      <c r="AH16" s="105">
        <f t="shared" si="9"/>
        <v>51</v>
      </c>
      <c r="AI16" s="17"/>
      <c r="AK16" s="78"/>
      <c r="AL16" s="74"/>
      <c r="AM16" s="74"/>
    </row>
    <row r="17" spans="2:39" ht="14" x14ac:dyDescent="0.3">
      <c r="B17" s="8">
        <f t="shared" si="10"/>
        <v>45027</v>
      </c>
      <c r="C17" s="42" t="str">
        <f t="shared" si="0"/>
        <v>Tue</v>
      </c>
      <c r="D17" s="122">
        <v>0.25498112000000001</v>
      </c>
      <c r="E17" s="121">
        <v>0</v>
      </c>
      <c r="F17" s="83">
        <f t="shared" si="1"/>
        <v>2129.0923520000001</v>
      </c>
      <c r="G17" s="102"/>
      <c r="H17" s="100"/>
      <c r="I17" s="100">
        <f t="shared" si="3"/>
        <v>0</v>
      </c>
      <c r="J17" s="101">
        <v>1875681</v>
      </c>
      <c r="K17" s="101">
        <f t="shared" si="4"/>
        <v>4582</v>
      </c>
      <c r="L17" s="101">
        <v>138250</v>
      </c>
      <c r="M17" s="97">
        <f t="shared" si="5"/>
        <v>0</v>
      </c>
      <c r="N17" s="109"/>
      <c r="O17" s="109"/>
      <c r="P17" s="100"/>
      <c r="Q17" s="106">
        <v>1829505</v>
      </c>
      <c r="R17" s="106">
        <f t="shared" si="6"/>
        <v>0</v>
      </c>
      <c r="S17" s="103" t="s">
        <v>70</v>
      </c>
      <c r="T17" s="103" t="s">
        <v>70</v>
      </c>
      <c r="U17" s="103" t="s">
        <v>71</v>
      </c>
      <c r="V17" s="103" t="s">
        <v>70</v>
      </c>
      <c r="W17" s="103" t="s">
        <v>70</v>
      </c>
      <c r="X17" s="103" t="s">
        <v>70</v>
      </c>
      <c r="Y17" s="103" t="s">
        <v>70</v>
      </c>
      <c r="Z17" s="111"/>
      <c r="AA17" s="99">
        <f t="shared" si="7"/>
        <v>1807.1599999999999</v>
      </c>
      <c r="AB17" s="115"/>
      <c r="AC17" s="105">
        <v>663826</v>
      </c>
      <c r="AD17" s="105">
        <f t="shared" si="2"/>
        <v>1744</v>
      </c>
      <c r="AE17" s="105">
        <v>40821</v>
      </c>
      <c r="AF17" s="105">
        <f t="shared" si="8"/>
        <v>268</v>
      </c>
      <c r="AG17" s="105">
        <v>13482</v>
      </c>
      <c r="AH17" s="105">
        <f t="shared" si="9"/>
        <v>73</v>
      </c>
      <c r="AI17" s="17"/>
      <c r="AK17" s="78"/>
      <c r="AL17" s="74"/>
      <c r="AM17" s="74"/>
    </row>
    <row r="18" spans="2:39" ht="14" x14ac:dyDescent="0.3">
      <c r="B18" s="8">
        <f t="shared" si="10"/>
        <v>45028</v>
      </c>
      <c r="C18" s="42" t="str">
        <f t="shared" si="0"/>
        <v>Wed</v>
      </c>
      <c r="D18" s="122">
        <v>0.82637161000000003</v>
      </c>
      <c r="E18" s="121">
        <v>0</v>
      </c>
      <c r="F18" s="83">
        <f t="shared" si="1"/>
        <v>6900.2029435000004</v>
      </c>
      <c r="G18" s="102"/>
      <c r="H18" s="100"/>
      <c r="I18" s="100">
        <f t="shared" si="3"/>
        <v>0</v>
      </c>
      <c r="J18" s="101">
        <v>1875870</v>
      </c>
      <c r="K18" s="101">
        <f t="shared" si="4"/>
        <v>189</v>
      </c>
      <c r="L18" s="101">
        <v>138250</v>
      </c>
      <c r="M18" s="97">
        <f t="shared" si="5"/>
        <v>0</v>
      </c>
      <c r="N18" s="100"/>
      <c r="O18" s="100"/>
      <c r="P18" s="100"/>
      <c r="Q18" s="106">
        <v>1829505</v>
      </c>
      <c r="R18" s="106">
        <f t="shared" si="6"/>
        <v>0</v>
      </c>
      <c r="S18" s="103" t="s">
        <v>70</v>
      </c>
      <c r="T18" s="103" t="s">
        <v>70</v>
      </c>
      <c r="U18" s="103" t="s">
        <v>71</v>
      </c>
      <c r="V18" s="103" t="s">
        <v>70</v>
      </c>
      <c r="W18" s="103" t="s">
        <v>70</v>
      </c>
      <c r="X18" s="103" t="s">
        <v>70</v>
      </c>
      <c r="Y18" s="103" t="s">
        <v>70</v>
      </c>
      <c r="Z18" s="111">
        <v>199.13</v>
      </c>
      <c r="AA18" s="99"/>
      <c r="AB18" s="115"/>
      <c r="AC18" s="105">
        <v>665606</v>
      </c>
      <c r="AD18" s="105">
        <f t="shared" si="2"/>
        <v>1780</v>
      </c>
      <c r="AE18" s="105">
        <v>41053</v>
      </c>
      <c r="AF18" s="105">
        <f t="shared" si="8"/>
        <v>232</v>
      </c>
      <c r="AG18" s="105">
        <v>13565</v>
      </c>
      <c r="AH18" s="105">
        <f t="shared" si="9"/>
        <v>83</v>
      </c>
      <c r="AI18" s="17"/>
      <c r="AK18" s="78"/>
      <c r="AL18" s="74"/>
      <c r="AM18" s="74"/>
    </row>
    <row r="19" spans="2:39" ht="14" x14ac:dyDescent="0.3">
      <c r="B19" s="8">
        <f t="shared" si="10"/>
        <v>45029</v>
      </c>
      <c r="C19" s="42" t="str">
        <f t="shared" si="0"/>
        <v>Thu</v>
      </c>
      <c r="D19" s="122">
        <v>0.64083160000000006</v>
      </c>
      <c r="E19" s="121">
        <v>0</v>
      </c>
      <c r="F19" s="83">
        <f t="shared" si="1"/>
        <v>5350.9438600000003</v>
      </c>
      <c r="G19" s="102"/>
      <c r="H19" s="100"/>
      <c r="I19" s="100">
        <f t="shared" si="3"/>
        <v>0</v>
      </c>
      <c r="J19" s="101">
        <v>1881648</v>
      </c>
      <c r="K19" s="101">
        <f t="shared" si="4"/>
        <v>5778</v>
      </c>
      <c r="L19" s="101">
        <v>138250</v>
      </c>
      <c r="M19" s="97">
        <f t="shared" si="5"/>
        <v>0</v>
      </c>
      <c r="N19" s="100"/>
      <c r="O19" s="109"/>
      <c r="P19" s="100"/>
      <c r="Q19" s="106">
        <v>1829505</v>
      </c>
      <c r="R19" s="106">
        <f t="shared" si="6"/>
        <v>0</v>
      </c>
      <c r="S19" s="103" t="s">
        <v>70</v>
      </c>
      <c r="T19" s="103" t="s">
        <v>70</v>
      </c>
      <c r="U19" s="103" t="s">
        <v>71</v>
      </c>
      <c r="V19" s="103" t="s">
        <v>70</v>
      </c>
      <c r="W19" s="103" t="s">
        <v>70</v>
      </c>
      <c r="X19" s="103" t="s">
        <v>70</v>
      </c>
      <c r="Y19" s="103" t="s">
        <v>70</v>
      </c>
      <c r="Z19" s="111">
        <v>153.57</v>
      </c>
      <c r="AA19" s="99"/>
      <c r="AB19" s="115"/>
      <c r="AC19" s="105">
        <v>667284</v>
      </c>
      <c r="AD19" s="105">
        <f t="shared" si="2"/>
        <v>1678</v>
      </c>
      <c r="AE19" s="105">
        <v>41267</v>
      </c>
      <c r="AF19" s="105">
        <f t="shared" si="8"/>
        <v>214</v>
      </c>
      <c r="AG19" s="105">
        <v>13607</v>
      </c>
      <c r="AH19" s="105">
        <f t="shared" si="9"/>
        <v>42</v>
      </c>
      <c r="AI19" s="17"/>
      <c r="AK19" s="78"/>
      <c r="AL19" s="74"/>
      <c r="AM19" s="74"/>
    </row>
    <row r="20" spans="2:39" ht="14" x14ac:dyDescent="0.3">
      <c r="B20" s="8">
        <f t="shared" si="10"/>
        <v>45030</v>
      </c>
      <c r="C20" s="42" t="str">
        <f t="shared" si="0"/>
        <v>Fri</v>
      </c>
      <c r="D20" s="122">
        <v>0.47191082000000001</v>
      </c>
      <c r="E20" s="121">
        <v>0</v>
      </c>
      <c r="F20" s="83">
        <f t="shared" si="1"/>
        <v>3940.4553470000001</v>
      </c>
      <c r="G20" s="102"/>
      <c r="H20" s="100"/>
      <c r="I20" s="100">
        <f t="shared" si="3"/>
        <v>0</v>
      </c>
      <c r="J20" s="101">
        <v>1888232</v>
      </c>
      <c r="K20" s="101">
        <f t="shared" si="4"/>
        <v>6584</v>
      </c>
      <c r="L20" s="101">
        <v>138250</v>
      </c>
      <c r="M20" s="97">
        <f t="shared" si="5"/>
        <v>0</v>
      </c>
      <c r="N20" s="109"/>
      <c r="O20" s="109"/>
      <c r="P20" s="100"/>
      <c r="Q20" s="106">
        <v>1829505</v>
      </c>
      <c r="R20" s="106">
        <f t="shared" si="6"/>
        <v>0</v>
      </c>
      <c r="S20" s="103" t="s">
        <v>70</v>
      </c>
      <c r="T20" s="103" t="s">
        <v>70</v>
      </c>
      <c r="U20" s="103" t="s">
        <v>71</v>
      </c>
      <c r="V20" s="103" t="s">
        <v>70</v>
      </c>
      <c r="W20" s="103" t="s">
        <v>70</v>
      </c>
      <c r="X20" s="103" t="s">
        <v>70</v>
      </c>
      <c r="Y20" s="103" t="s">
        <v>70</v>
      </c>
      <c r="Z20" s="111">
        <v>57.07</v>
      </c>
      <c r="AA20" s="99"/>
      <c r="AB20" s="115"/>
      <c r="AC20" s="105">
        <v>668849</v>
      </c>
      <c r="AD20" s="105">
        <f t="shared" si="2"/>
        <v>1565</v>
      </c>
      <c r="AE20" s="105">
        <v>41562</v>
      </c>
      <c r="AF20" s="105">
        <f t="shared" si="8"/>
        <v>295</v>
      </c>
      <c r="AG20" s="105">
        <v>13643</v>
      </c>
      <c r="AH20" s="105">
        <f t="shared" si="9"/>
        <v>36</v>
      </c>
      <c r="AI20" s="17"/>
      <c r="AK20" s="78"/>
      <c r="AL20" s="74"/>
      <c r="AM20" s="74"/>
    </row>
    <row r="21" spans="2:39" ht="14" x14ac:dyDescent="0.3">
      <c r="B21" s="8">
        <f t="shared" si="10"/>
        <v>45031</v>
      </c>
      <c r="C21" s="42" t="str">
        <f t="shared" si="0"/>
        <v>Sat</v>
      </c>
      <c r="D21" s="122">
        <v>0.97170212000000011</v>
      </c>
      <c r="E21" s="121">
        <v>0</v>
      </c>
      <c r="F21" s="83">
        <f t="shared" si="1"/>
        <v>8113.7127020000007</v>
      </c>
      <c r="G21" s="102"/>
      <c r="H21" s="100"/>
      <c r="I21" s="100">
        <f t="shared" si="3"/>
        <v>0</v>
      </c>
      <c r="J21" s="101">
        <v>1888232</v>
      </c>
      <c r="K21" s="101">
        <f>J21-J20</f>
        <v>0</v>
      </c>
      <c r="L21" s="101">
        <v>138250</v>
      </c>
      <c r="M21" s="97">
        <f t="shared" si="5"/>
        <v>0</v>
      </c>
      <c r="N21" s="109"/>
      <c r="O21" s="109"/>
      <c r="P21" s="100"/>
      <c r="Q21" s="106">
        <v>1829505</v>
      </c>
      <c r="R21" s="106">
        <f t="shared" si="6"/>
        <v>0</v>
      </c>
      <c r="S21" s="103" t="s">
        <v>70</v>
      </c>
      <c r="T21" s="103" t="s">
        <v>70</v>
      </c>
      <c r="U21" s="103" t="s">
        <v>71</v>
      </c>
      <c r="V21" s="103" t="s">
        <v>70</v>
      </c>
      <c r="W21" s="103" t="s">
        <v>70</v>
      </c>
      <c r="X21" s="103" t="s">
        <v>70</v>
      </c>
      <c r="Y21" s="103" t="s">
        <v>70</v>
      </c>
      <c r="Z21" s="111"/>
      <c r="AA21" s="99"/>
      <c r="AB21" s="115"/>
      <c r="AC21" s="105">
        <v>670205</v>
      </c>
      <c r="AD21" s="105">
        <f t="shared" si="2"/>
        <v>1356</v>
      </c>
      <c r="AE21" s="105">
        <v>41798</v>
      </c>
      <c r="AF21" s="105">
        <f t="shared" si="8"/>
        <v>236</v>
      </c>
      <c r="AG21" s="105">
        <v>13714</v>
      </c>
      <c r="AH21" s="105">
        <f t="shared" si="9"/>
        <v>71</v>
      </c>
      <c r="AI21" s="17"/>
      <c r="AL21" s="74"/>
      <c r="AM21" s="74"/>
    </row>
    <row r="22" spans="2:39" ht="14" x14ac:dyDescent="0.3">
      <c r="B22" s="8">
        <f t="shared" si="10"/>
        <v>45032</v>
      </c>
      <c r="C22" s="42" t="str">
        <f t="shared" si="0"/>
        <v>Sun</v>
      </c>
      <c r="D22" s="122">
        <v>0.90347641000000001</v>
      </c>
      <c r="E22" s="121">
        <v>0</v>
      </c>
      <c r="F22" s="83">
        <f t="shared" si="1"/>
        <v>7544.0280235</v>
      </c>
      <c r="G22" s="102"/>
      <c r="H22" s="100"/>
      <c r="I22" s="100">
        <f t="shared" si="3"/>
        <v>0</v>
      </c>
      <c r="J22" s="101">
        <v>1888232</v>
      </c>
      <c r="K22" s="101">
        <f t="shared" si="4"/>
        <v>0</v>
      </c>
      <c r="L22" s="101">
        <v>138250</v>
      </c>
      <c r="M22" s="97">
        <f t="shared" si="5"/>
        <v>0</v>
      </c>
      <c r="N22" s="109"/>
      <c r="O22" s="109"/>
      <c r="P22" s="100"/>
      <c r="Q22" s="106">
        <v>1829505</v>
      </c>
      <c r="R22" s="106">
        <f t="shared" si="6"/>
        <v>0</v>
      </c>
      <c r="S22" s="103" t="s">
        <v>70</v>
      </c>
      <c r="T22" s="103" t="s">
        <v>70</v>
      </c>
      <c r="U22" s="103" t="s">
        <v>71</v>
      </c>
      <c r="V22" s="103" t="s">
        <v>70</v>
      </c>
      <c r="W22" s="103" t="s">
        <v>70</v>
      </c>
      <c r="X22" s="103" t="s">
        <v>70</v>
      </c>
      <c r="Y22" s="103" t="s">
        <v>70</v>
      </c>
      <c r="Z22" s="111"/>
      <c r="AA22" s="99"/>
      <c r="AB22" s="115"/>
      <c r="AC22" s="105">
        <v>671633</v>
      </c>
      <c r="AD22" s="105">
        <f t="shared" si="2"/>
        <v>1428</v>
      </c>
      <c r="AE22" s="105">
        <v>41988</v>
      </c>
      <c r="AF22" s="105">
        <f t="shared" si="8"/>
        <v>190</v>
      </c>
      <c r="AG22" s="105">
        <v>13833</v>
      </c>
      <c r="AH22" s="105">
        <f t="shared" si="9"/>
        <v>119</v>
      </c>
      <c r="AI22" s="17"/>
      <c r="AL22" s="74"/>
      <c r="AM22" s="74"/>
    </row>
    <row r="23" spans="2:39" ht="14" x14ac:dyDescent="0.3">
      <c r="B23" s="8">
        <f t="shared" si="10"/>
        <v>45033</v>
      </c>
      <c r="C23" s="42" t="str">
        <f t="shared" si="0"/>
        <v>Mon</v>
      </c>
      <c r="D23" s="122">
        <v>0.82587082000000001</v>
      </c>
      <c r="E23" s="121">
        <v>0</v>
      </c>
      <c r="F23" s="83">
        <f t="shared" si="1"/>
        <v>6896.0213469999999</v>
      </c>
      <c r="G23" s="102"/>
      <c r="H23" s="100"/>
      <c r="I23" s="100">
        <f t="shared" si="3"/>
        <v>0</v>
      </c>
      <c r="J23" s="101">
        <v>1888232</v>
      </c>
      <c r="K23" s="101">
        <f t="shared" si="4"/>
        <v>0</v>
      </c>
      <c r="L23" s="101">
        <v>138250</v>
      </c>
      <c r="M23" s="97">
        <f t="shared" si="5"/>
        <v>0</v>
      </c>
      <c r="N23" s="109"/>
      <c r="O23" s="109"/>
      <c r="P23" s="100"/>
      <c r="Q23" s="106">
        <v>1829505</v>
      </c>
      <c r="R23" s="106">
        <f t="shared" si="6"/>
        <v>0</v>
      </c>
      <c r="S23" s="103" t="s">
        <v>70</v>
      </c>
      <c r="T23" s="103" t="s">
        <v>70</v>
      </c>
      <c r="U23" s="103" t="s">
        <v>71</v>
      </c>
      <c r="V23" s="103" t="s">
        <v>70</v>
      </c>
      <c r="W23" s="103" t="s">
        <v>70</v>
      </c>
      <c r="X23" s="103" t="s">
        <v>70</v>
      </c>
      <c r="Y23" s="103" t="s">
        <v>70</v>
      </c>
      <c r="Z23" s="111"/>
      <c r="AA23" s="99"/>
      <c r="AB23" s="115"/>
      <c r="AC23" s="105">
        <v>673077</v>
      </c>
      <c r="AD23" s="105">
        <f t="shared" si="2"/>
        <v>1444</v>
      </c>
      <c r="AE23" s="105">
        <v>42141</v>
      </c>
      <c r="AF23" s="105">
        <f t="shared" si="8"/>
        <v>153</v>
      </c>
      <c r="AG23" s="105">
        <v>13947</v>
      </c>
      <c r="AH23" s="105">
        <f t="shared" si="9"/>
        <v>114</v>
      </c>
      <c r="AI23" s="17"/>
    </row>
    <row r="24" spans="2:39" ht="14" x14ac:dyDescent="0.3">
      <c r="B24" s="8">
        <f t="shared" si="10"/>
        <v>45034</v>
      </c>
      <c r="C24" s="42" t="str">
        <f t="shared" si="0"/>
        <v>Tue</v>
      </c>
      <c r="D24" s="122">
        <v>0.73168487999999998</v>
      </c>
      <c r="E24" s="121">
        <v>0</v>
      </c>
      <c r="F24" s="83">
        <f t="shared" si="1"/>
        <v>6109.5687479999997</v>
      </c>
      <c r="G24" s="102"/>
      <c r="H24" s="100"/>
      <c r="I24" s="100">
        <f t="shared" si="3"/>
        <v>0</v>
      </c>
      <c r="J24" s="101">
        <v>1888232</v>
      </c>
      <c r="K24" s="101">
        <f t="shared" si="4"/>
        <v>0</v>
      </c>
      <c r="L24" s="101">
        <v>138250</v>
      </c>
      <c r="M24" s="97">
        <f t="shared" si="5"/>
        <v>0</v>
      </c>
      <c r="N24" s="109"/>
      <c r="O24" s="109"/>
      <c r="P24" s="100"/>
      <c r="Q24" s="106">
        <v>1829505</v>
      </c>
      <c r="R24" s="106">
        <f t="shared" si="6"/>
        <v>0</v>
      </c>
      <c r="S24" s="103" t="s">
        <v>70</v>
      </c>
      <c r="T24" s="103" t="s">
        <v>70</v>
      </c>
      <c r="U24" s="103" t="s">
        <v>71</v>
      </c>
      <c r="V24" s="103" t="s">
        <v>70</v>
      </c>
      <c r="W24" s="103" t="s">
        <v>70</v>
      </c>
      <c r="X24" s="103" t="s">
        <v>70</v>
      </c>
      <c r="Y24" s="103" t="s">
        <v>70</v>
      </c>
      <c r="Z24" s="111"/>
      <c r="AA24" s="99"/>
      <c r="AB24" s="115"/>
      <c r="AC24" s="105">
        <v>674419</v>
      </c>
      <c r="AD24" s="105">
        <f t="shared" si="2"/>
        <v>1342</v>
      </c>
      <c r="AE24" s="105">
        <v>42303</v>
      </c>
      <c r="AF24" s="105">
        <f t="shared" si="8"/>
        <v>162</v>
      </c>
      <c r="AG24" s="105">
        <v>14006</v>
      </c>
      <c r="AH24" s="105">
        <f t="shared" si="9"/>
        <v>59</v>
      </c>
      <c r="AI24" s="17"/>
      <c r="AK24" s="74"/>
    </row>
    <row r="25" spans="2:39" ht="14" x14ac:dyDescent="0.3">
      <c r="B25" s="8">
        <f t="shared" si="10"/>
        <v>45035</v>
      </c>
      <c r="C25" s="42" t="str">
        <f t="shared" si="0"/>
        <v>Wed</v>
      </c>
      <c r="D25" s="18">
        <v>0.56262683999999996</v>
      </c>
      <c r="E25" s="18">
        <v>6.8931119999999999E-2</v>
      </c>
      <c r="F25" s="83">
        <f t="shared" si="1"/>
        <v>5273.5089659999994</v>
      </c>
      <c r="G25" s="102"/>
      <c r="H25" s="100"/>
      <c r="I25" s="100">
        <f t="shared" si="3"/>
        <v>0</v>
      </c>
      <c r="J25" s="101">
        <v>1891975</v>
      </c>
      <c r="K25" s="101">
        <f t="shared" si="4"/>
        <v>3743</v>
      </c>
      <c r="L25" s="101">
        <v>138406</v>
      </c>
      <c r="M25" s="97">
        <f t="shared" si="5"/>
        <v>156</v>
      </c>
      <c r="N25" s="100"/>
      <c r="O25" s="100"/>
      <c r="P25" s="100"/>
      <c r="Q25" s="106">
        <v>1829505</v>
      </c>
      <c r="R25" s="106">
        <f t="shared" si="6"/>
        <v>0</v>
      </c>
      <c r="S25" s="50"/>
      <c r="T25" s="75"/>
      <c r="U25" s="76">
        <f t="shared" ref="U25:U36" si="11">SUM(S25:T25)</f>
        <v>0</v>
      </c>
      <c r="V25" s="94"/>
      <c r="W25" s="94"/>
      <c r="X25" s="94"/>
      <c r="Y25" s="94"/>
      <c r="Z25" s="111"/>
      <c r="AA25" s="99"/>
      <c r="AB25" s="115"/>
      <c r="AC25" s="92">
        <v>675407</v>
      </c>
      <c r="AD25" s="105">
        <f t="shared" si="2"/>
        <v>988</v>
      </c>
      <c r="AE25" s="105">
        <v>42413</v>
      </c>
      <c r="AF25" s="105">
        <f t="shared" si="8"/>
        <v>110</v>
      </c>
      <c r="AG25" s="95">
        <v>14047</v>
      </c>
      <c r="AH25" s="105">
        <f t="shared" si="9"/>
        <v>41</v>
      </c>
      <c r="AI25" s="17"/>
      <c r="AK25" s="74"/>
    </row>
    <row r="26" spans="2:39" ht="14" x14ac:dyDescent="0.3">
      <c r="B26" s="8">
        <f t="shared" si="10"/>
        <v>45036</v>
      </c>
      <c r="C26" s="42" t="str">
        <f t="shared" si="0"/>
        <v>Thu</v>
      </c>
      <c r="D26" s="18">
        <v>0.58885089999999995</v>
      </c>
      <c r="E26" s="18">
        <v>0.42785957000000002</v>
      </c>
      <c r="F26" s="83">
        <f t="shared" si="1"/>
        <v>8489.5324244999993</v>
      </c>
      <c r="G26" s="102"/>
      <c r="H26" s="100"/>
      <c r="I26" s="100">
        <f t="shared" si="3"/>
        <v>0</v>
      </c>
      <c r="J26" s="101">
        <v>1897352</v>
      </c>
      <c r="K26" s="101">
        <f>J26-J25</f>
        <v>5377</v>
      </c>
      <c r="L26" s="101">
        <v>138406</v>
      </c>
      <c r="M26" s="97">
        <f t="shared" si="5"/>
        <v>0</v>
      </c>
      <c r="N26" s="100"/>
      <c r="O26" s="100"/>
      <c r="P26" s="100"/>
      <c r="Q26" s="106">
        <v>1829505</v>
      </c>
      <c r="R26" s="106">
        <f t="shared" si="6"/>
        <v>0</v>
      </c>
      <c r="S26" s="50"/>
      <c r="T26" s="84"/>
      <c r="U26" s="76">
        <f t="shared" si="11"/>
        <v>0</v>
      </c>
      <c r="V26" s="94"/>
      <c r="W26" s="94"/>
      <c r="X26" s="94"/>
      <c r="Y26" s="94"/>
      <c r="Z26" s="111"/>
      <c r="AA26" s="99"/>
      <c r="AB26" s="115"/>
      <c r="AC26" s="92">
        <f>676523</f>
        <v>676523</v>
      </c>
      <c r="AD26" s="105">
        <f t="shared" si="2"/>
        <v>1116</v>
      </c>
      <c r="AE26" s="93">
        <v>42568</v>
      </c>
      <c r="AF26" s="105">
        <f t="shared" si="8"/>
        <v>155</v>
      </c>
      <c r="AG26" s="95">
        <v>14187</v>
      </c>
      <c r="AH26" s="105">
        <f t="shared" si="9"/>
        <v>140</v>
      </c>
      <c r="AI26" s="17"/>
      <c r="AK26" s="74"/>
    </row>
    <row r="27" spans="2:39" x14ac:dyDescent="0.25">
      <c r="B27" s="8">
        <f t="shared" si="10"/>
        <v>45037</v>
      </c>
      <c r="C27" s="42" t="str">
        <f t="shared" si="0"/>
        <v>Fri</v>
      </c>
      <c r="D27" s="18">
        <v>0.33876545000000002</v>
      </c>
      <c r="E27" s="18">
        <v>0.19707755999999998</v>
      </c>
      <c r="F27" s="83">
        <f t="shared" si="1"/>
        <v>4474.2891335000004</v>
      </c>
      <c r="G27" s="102"/>
      <c r="H27" s="100"/>
      <c r="I27" s="100">
        <f t="shared" si="3"/>
        <v>0</v>
      </c>
      <c r="J27" s="101">
        <v>1897352</v>
      </c>
      <c r="K27" s="101">
        <f t="shared" ref="K27:K36" si="12">J27-J26</f>
        <v>0</v>
      </c>
      <c r="L27" s="101">
        <v>138406</v>
      </c>
      <c r="M27" s="97">
        <f t="shared" si="5"/>
        <v>0</v>
      </c>
      <c r="N27" s="109"/>
      <c r="O27" s="109"/>
      <c r="P27" s="100"/>
      <c r="Q27" s="106">
        <v>1829505</v>
      </c>
      <c r="R27" s="106">
        <f t="shared" si="6"/>
        <v>0</v>
      </c>
      <c r="S27" s="50"/>
      <c r="T27" s="75"/>
      <c r="U27" s="76">
        <f t="shared" si="11"/>
        <v>0</v>
      </c>
      <c r="V27" s="94"/>
      <c r="W27" s="94"/>
      <c r="X27" s="94"/>
      <c r="Y27" s="94"/>
      <c r="Z27" s="111"/>
      <c r="AA27" s="99"/>
      <c r="AB27" s="117"/>
      <c r="AC27" s="92">
        <v>678029</v>
      </c>
      <c r="AD27" s="105">
        <f t="shared" si="2"/>
        <v>1506</v>
      </c>
      <c r="AE27" s="93">
        <v>42712</v>
      </c>
      <c r="AF27" s="105">
        <f t="shared" si="8"/>
        <v>144</v>
      </c>
      <c r="AG27" s="95">
        <v>14321</v>
      </c>
      <c r="AH27" s="105">
        <f t="shared" si="9"/>
        <v>134</v>
      </c>
      <c r="AI27" s="17"/>
      <c r="AK27" s="74"/>
    </row>
    <row r="28" spans="2:39" ht="14" x14ac:dyDescent="0.3">
      <c r="B28" s="8">
        <f t="shared" si="10"/>
        <v>45038</v>
      </c>
      <c r="C28" s="42" t="str">
        <f t="shared" si="0"/>
        <v>Sat</v>
      </c>
      <c r="D28" s="18">
        <v>0.47237262999999996</v>
      </c>
      <c r="E28" s="18">
        <v>0.66941192999999999</v>
      </c>
      <c r="F28" s="83">
        <f t="shared" si="1"/>
        <v>9533.9010760000001</v>
      </c>
      <c r="G28" s="102"/>
      <c r="H28" s="100"/>
      <c r="I28" s="100">
        <f t="shared" si="3"/>
        <v>0</v>
      </c>
      <c r="J28" s="101">
        <v>1897352</v>
      </c>
      <c r="K28" s="101">
        <f t="shared" si="12"/>
        <v>0</v>
      </c>
      <c r="L28" s="101">
        <v>138406</v>
      </c>
      <c r="M28" s="97">
        <f t="shared" si="5"/>
        <v>0</v>
      </c>
      <c r="N28" s="26"/>
      <c r="O28" s="26"/>
      <c r="P28" s="22"/>
      <c r="Q28" s="106">
        <v>1829505</v>
      </c>
      <c r="R28" s="106">
        <f t="shared" si="6"/>
        <v>0</v>
      </c>
      <c r="S28" s="50"/>
      <c r="T28" s="75"/>
      <c r="U28" s="76">
        <f t="shared" si="11"/>
        <v>0</v>
      </c>
      <c r="V28" s="94"/>
      <c r="W28" s="94"/>
      <c r="X28" s="94"/>
      <c r="Y28" s="94"/>
      <c r="Z28" s="111"/>
      <c r="AA28" s="99"/>
      <c r="AB28" s="115"/>
      <c r="AC28" s="92">
        <v>679625</v>
      </c>
      <c r="AD28" s="105">
        <f t="shared" si="2"/>
        <v>1596</v>
      </c>
      <c r="AE28" s="93">
        <v>42845</v>
      </c>
      <c r="AF28" s="105">
        <f t="shared" si="8"/>
        <v>133</v>
      </c>
      <c r="AG28" s="95">
        <v>14357</v>
      </c>
      <c r="AH28" s="105">
        <f t="shared" si="9"/>
        <v>36</v>
      </c>
      <c r="AI28" s="17"/>
      <c r="AK28" s="74"/>
    </row>
    <row r="29" spans="2:39" ht="14" x14ac:dyDescent="0.3">
      <c r="B29" s="8">
        <f t="shared" si="10"/>
        <v>45039</v>
      </c>
      <c r="C29" s="42" t="str">
        <f t="shared" si="0"/>
        <v>Sun</v>
      </c>
      <c r="D29" s="18">
        <v>0.81151993</v>
      </c>
      <c r="E29" s="18">
        <v>0.91042053000000001</v>
      </c>
      <c r="F29" s="83">
        <f t="shared" si="1"/>
        <v>14378.202841</v>
      </c>
      <c r="G29" s="102"/>
      <c r="H29" s="100"/>
      <c r="I29" s="100">
        <f t="shared" si="3"/>
        <v>0</v>
      </c>
      <c r="J29" s="101">
        <v>1924805</v>
      </c>
      <c r="K29" s="101">
        <f t="shared" si="12"/>
        <v>27453</v>
      </c>
      <c r="L29" s="101">
        <v>139284</v>
      </c>
      <c r="M29" s="97">
        <f t="shared" si="5"/>
        <v>878</v>
      </c>
      <c r="N29" s="100"/>
      <c r="O29" s="100"/>
      <c r="P29" s="100"/>
      <c r="Q29" s="106">
        <v>1829505</v>
      </c>
      <c r="R29" s="106">
        <f t="shared" si="6"/>
        <v>0</v>
      </c>
      <c r="S29" s="50"/>
      <c r="T29" s="75"/>
      <c r="U29" s="76">
        <f t="shared" si="11"/>
        <v>0</v>
      </c>
      <c r="V29" s="94"/>
      <c r="W29" s="94"/>
      <c r="X29" s="94"/>
      <c r="Y29" s="94"/>
      <c r="Z29" s="111"/>
      <c r="AA29" s="99"/>
      <c r="AB29" s="115"/>
      <c r="AC29" s="92">
        <v>680884</v>
      </c>
      <c r="AD29" s="105">
        <f t="shared" si="2"/>
        <v>1259</v>
      </c>
      <c r="AE29" s="93">
        <v>42932</v>
      </c>
      <c r="AF29" s="105">
        <f t="shared" si="8"/>
        <v>87</v>
      </c>
      <c r="AG29" s="95">
        <v>14429</v>
      </c>
      <c r="AH29" s="105">
        <f t="shared" si="9"/>
        <v>72</v>
      </c>
      <c r="AI29" s="17"/>
      <c r="AK29" s="74"/>
    </row>
    <row r="30" spans="2:39" ht="14" x14ac:dyDescent="0.3">
      <c r="B30" s="8">
        <f t="shared" si="10"/>
        <v>45040</v>
      </c>
      <c r="C30" s="42" t="str">
        <f t="shared" si="0"/>
        <v>Mon</v>
      </c>
      <c r="D30" s="18">
        <v>0.51686871000000001</v>
      </c>
      <c r="E30" s="18">
        <v>0.27921256999999999</v>
      </c>
      <c r="F30" s="83">
        <f t="shared" si="1"/>
        <v>6647.2786880000003</v>
      </c>
      <c r="G30" s="102"/>
      <c r="H30" s="100"/>
      <c r="I30" s="100">
        <f t="shared" si="3"/>
        <v>0</v>
      </c>
      <c r="J30" s="101">
        <v>1934033</v>
      </c>
      <c r="K30" s="101">
        <f t="shared" si="12"/>
        <v>9228</v>
      </c>
      <c r="L30" s="101">
        <v>139284</v>
      </c>
      <c r="M30" s="97">
        <f t="shared" si="5"/>
        <v>0</v>
      </c>
      <c r="N30" s="109"/>
      <c r="O30" s="100"/>
      <c r="P30" s="100"/>
      <c r="Q30" s="106">
        <v>1829505</v>
      </c>
      <c r="R30" s="106"/>
      <c r="S30" s="50"/>
      <c r="T30" s="75"/>
      <c r="U30" s="76">
        <f t="shared" si="11"/>
        <v>0</v>
      </c>
      <c r="V30" s="94"/>
      <c r="W30" s="94"/>
      <c r="X30" s="94"/>
      <c r="Y30" s="94"/>
      <c r="Z30" s="111"/>
      <c r="AA30" s="99"/>
      <c r="AB30" s="115"/>
      <c r="AC30" s="92">
        <v>681857</v>
      </c>
      <c r="AD30" s="105">
        <f t="shared" si="2"/>
        <v>973</v>
      </c>
      <c r="AE30" s="93">
        <v>43072</v>
      </c>
      <c r="AF30" s="105">
        <f t="shared" si="8"/>
        <v>140</v>
      </c>
      <c r="AG30" s="95">
        <v>14548</v>
      </c>
      <c r="AH30" s="105"/>
      <c r="AI30" s="17"/>
    </row>
    <row r="31" spans="2:39" ht="14" x14ac:dyDescent="0.3">
      <c r="B31" s="8">
        <f t="shared" si="10"/>
        <v>45041</v>
      </c>
      <c r="C31" s="42" t="str">
        <f t="shared" si="0"/>
        <v>Tue</v>
      </c>
      <c r="D31" s="18">
        <v>0.38101176999999997</v>
      </c>
      <c r="E31" s="18">
        <v>0.32098236000000002</v>
      </c>
      <c r="F31" s="83">
        <f t="shared" si="1"/>
        <v>5861.6509855000004</v>
      </c>
      <c r="G31" s="102"/>
      <c r="H31" s="100"/>
      <c r="I31" s="100">
        <f t="shared" si="3"/>
        <v>0</v>
      </c>
      <c r="J31" s="101">
        <v>1938003</v>
      </c>
      <c r="K31" s="101">
        <f t="shared" si="12"/>
        <v>3970</v>
      </c>
      <c r="L31" s="101">
        <v>139284</v>
      </c>
      <c r="M31" s="97">
        <f t="shared" si="5"/>
        <v>0</v>
      </c>
      <c r="N31" s="26"/>
      <c r="O31" s="26"/>
      <c r="P31" s="22"/>
      <c r="Q31" s="106">
        <v>1829505</v>
      </c>
      <c r="R31" s="106">
        <f t="shared" si="6"/>
        <v>0</v>
      </c>
      <c r="S31" s="50"/>
      <c r="T31" s="75"/>
      <c r="U31" s="76">
        <f t="shared" si="11"/>
        <v>0</v>
      </c>
      <c r="V31" s="94"/>
      <c r="W31" s="94"/>
      <c r="X31" s="94"/>
      <c r="Y31" s="94"/>
      <c r="Z31" s="111"/>
      <c r="AA31" s="99"/>
      <c r="AB31" s="115"/>
      <c r="AC31" s="92">
        <v>682734</v>
      </c>
      <c r="AD31" s="105">
        <f t="shared" si="2"/>
        <v>877</v>
      </c>
      <c r="AE31" s="93">
        <v>43156</v>
      </c>
      <c r="AF31" s="105">
        <f t="shared" si="8"/>
        <v>84</v>
      </c>
      <c r="AG31" s="95">
        <v>14672</v>
      </c>
      <c r="AH31" s="105">
        <f t="shared" si="9"/>
        <v>124</v>
      </c>
      <c r="AI31" s="17"/>
    </row>
    <row r="32" spans="2:39" ht="14" x14ac:dyDescent="0.3">
      <c r="B32" s="8">
        <f t="shared" si="10"/>
        <v>45042</v>
      </c>
      <c r="C32" s="42" t="str">
        <f t="shared" si="0"/>
        <v>Wed</v>
      </c>
      <c r="D32" s="18">
        <v>0.60894283000000005</v>
      </c>
      <c r="E32" s="18">
        <v>0.37221557999999999</v>
      </c>
      <c r="F32" s="83">
        <f t="shared" si="1"/>
        <v>8192.6727234999998</v>
      </c>
      <c r="G32" s="20"/>
      <c r="H32" s="100"/>
      <c r="I32" s="100">
        <f t="shared" si="3"/>
        <v>0</v>
      </c>
      <c r="J32" s="101">
        <v>1938003</v>
      </c>
      <c r="K32" s="101">
        <f t="shared" si="12"/>
        <v>0</v>
      </c>
      <c r="L32" s="101">
        <v>139284</v>
      </c>
      <c r="M32" s="97">
        <f t="shared" si="5"/>
        <v>0</v>
      </c>
      <c r="N32" s="26"/>
      <c r="O32" s="26"/>
      <c r="P32" s="22"/>
      <c r="Q32" s="106">
        <v>1829505</v>
      </c>
      <c r="R32" s="106">
        <f t="shared" si="6"/>
        <v>0</v>
      </c>
      <c r="S32" s="50"/>
      <c r="T32" s="75"/>
      <c r="U32" s="76">
        <f t="shared" si="11"/>
        <v>0</v>
      </c>
      <c r="V32" s="94"/>
      <c r="W32" s="94"/>
      <c r="X32" s="94"/>
      <c r="Y32" s="94"/>
      <c r="Z32" s="111"/>
      <c r="AA32" s="99"/>
      <c r="AB32" s="115"/>
      <c r="AC32" s="92">
        <v>683695</v>
      </c>
      <c r="AD32" s="105">
        <f t="shared" si="2"/>
        <v>961</v>
      </c>
      <c r="AE32" s="93">
        <v>43244</v>
      </c>
      <c r="AF32" s="105">
        <f t="shared" si="8"/>
        <v>88</v>
      </c>
      <c r="AG32" s="95">
        <v>14731</v>
      </c>
      <c r="AH32" s="105">
        <f t="shared" si="9"/>
        <v>59</v>
      </c>
      <c r="AI32" s="17"/>
    </row>
    <row r="33" spans="2:35" ht="14" x14ac:dyDescent="0.3">
      <c r="B33" s="8">
        <f t="shared" si="10"/>
        <v>45043</v>
      </c>
      <c r="C33" s="42" t="str">
        <f t="shared" si="0"/>
        <v>Thu</v>
      </c>
      <c r="D33" s="18">
        <v>0.59311824999999996</v>
      </c>
      <c r="E33" s="18">
        <v>0.56745316000000001</v>
      </c>
      <c r="F33" s="83">
        <f t="shared" si="1"/>
        <v>9690.7712734999986</v>
      </c>
      <c r="G33" s="20"/>
      <c r="H33" s="100"/>
      <c r="I33" s="100">
        <f t="shared" si="3"/>
        <v>0</v>
      </c>
      <c r="J33" s="101">
        <v>1938003</v>
      </c>
      <c r="K33" s="101">
        <f t="shared" si="12"/>
        <v>0</v>
      </c>
      <c r="L33" s="101">
        <v>139284</v>
      </c>
      <c r="M33" s="97">
        <f t="shared" si="5"/>
        <v>0</v>
      </c>
      <c r="N33" s="26"/>
      <c r="O33" s="26"/>
      <c r="P33" s="22"/>
      <c r="Q33" s="106">
        <v>1829505</v>
      </c>
      <c r="R33" s="106">
        <f t="shared" si="6"/>
        <v>0</v>
      </c>
      <c r="S33" s="50"/>
      <c r="T33" s="75"/>
      <c r="U33" s="76">
        <f t="shared" si="11"/>
        <v>0</v>
      </c>
      <c r="V33" s="94"/>
      <c r="W33" s="94"/>
      <c r="X33" s="94"/>
      <c r="Y33" s="94"/>
      <c r="Z33" s="111"/>
      <c r="AA33" s="99"/>
      <c r="AB33" s="115"/>
      <c r="AC33" s="92">
        <v>684708</v>
      </c>
      <c r="AD33" s="105">
        <f t="shared" si="2"/>
        <v>1013</v>
      </c>
      <c r="AE33" s="93">
        <v>43419</v>
      </c>
      <c r="AF33" s="105">
        <f t="shared" si="8"/>
        <v>175</v>
      </c>
      <c r="AG33" s="95">
        <v>14779</v>
      </c>
      <c r="AH33" s="105">
        <f t="shared" si="9"/>
        <v>48</v>
      </c>
      <c r="AI33" s="17"/>
    </row>
    <row r="34" spans="2:35" ht="14" x14ac:dyDescent="0.3">
      <c r="B34" s="8">
        <f t="shared" si="10"/>
        <v>45044</v>
      </c>
      <c r="C34" s="42" t="str">
        <f t="shared" si="0"/>
        <v>Fri</v>
      </c>
      <c r="D34" s="18">
        <v>0.65665054</v>
      </c>
      <c r="E34" s="18">
        <v>0.64681685999999994</v>
      </c>
      <c r="F34" s="83">
        <f t="shared" si="1"/>
        <v>10883.952789999999</v>
      </c>
      <c r="G34" s="20"/>
      <c r="H34" s="100"/>
      <c r="I34" s="100">
        <f t="shared" si="3"/>
        <v>0</v>
      </c>
      <c r="J34" s="101">
        <v>1938003</v>
      </c>
      <c r="K34" s="101">
        <f t="shared" si="12"/>
        <v>0</v>
      </c>
      <c r="L34" s="101">
        <v>139284</v>
      </c>
      <c r="M34" s="97">
        <f t="shared" si="5"/>
        <v>0</v>
      </c>
      <c r="N34" s="26"/>
      <c r="O34" s="120"/>
      <c r="P34" s="22"/>
      <c r="Q34" s="106">
        <v>1829505</v>
      </c>
      <c r="R34" s="106">
        <f t="shared" si="6"/>
        <v>0</v>
      </c>
      <c r="S34" s="50"/>
      <c r="T34" s="75"/>
      <c r="U34" s="76">
        <f t="shared" si="11"/>
        <v>0</v>
      </c>
      <c r="V34" s="94"/>
      <c r="W34" s="94"/>
      <c r="X34" s="94"/>
      <c r="Y34" s="94"/>
      <c r="Z34" s="111"/>
      <c r="AA34" s="99"/>
      <c r="AB34" s="115"/>
      <c r="AC34" s="92">
        <v>685702</v>
      </c>
      <c r="AD34" s="105">
        <f t="shared" si="2"/>
        <v>994</v>
      </c>
      <c r="AE34" s="93">
        <v>43531</v>
      </c>
      <c r="AF34" s="105">
        <f t="shared" si="8"/>
        <v>112</v>
      </c>
      <c r="AG34" s="95">
        <v>14828</v>
      </c>
      <c r="AH34" s="105">
        <f t="shared" si="9"/>
        <v>49</v>
      </c>
      <c r="AI34" s="17"/>
    </row>
    <row r="35" spans="2:35" ht="14" x14ac:dyDescent="0.3">
      <c r="B35" s="8">
        <f t="shared" si="10"/>
        <v>45045</v>
      </c>
      <c r="C35" s="42" t="str">
        <f t="shared" si="0"/>
        <v>Sat</v>
      </c>
      <c r="D35" s="18">
        <v>0.69270156999999999</v>
      </c>
      <c r="E35" s="18">
        <v>0.58916794000000006</v>
      </c>
      <c r="F35" s="83">
        <f t="shared" si="1"/>
        <v>10703.610408500001</v>
      </c>
      <c r="G35" s="20"/>
      <c r="H35" s="100"/>
      <c r="I35" s="100">
        <f t="shared" si="3"/>
        <v>0</v>
      </c>
      <c r="J35" s="101">
        <v>1938003</v>
      </c>
      <c r="K35" s="101">
        <f t="shared" si="12"/>
        <v>0</v>
      </c>
      <c r="L35" s="101">
        <v>139284</v>
      </c>
      <c r="M35" s="97">
        <f t="shared" si="5"/>
        <v>0</v>
      </c>
      <c r="N35" s="120"/>
      <c r="O35" s="120"/>
      <c r="P35" s="22"/>
      <c r="Q35" s="106">
        <v>1829505</v>
      </c>
      <c r="R35" s="106">
        <f t="shared" si="6"/>
        <v>0</v>
      </c>
      <c r="S35" s="50"/>
      <c r="T35" s="75"/>
      <c r="U35" s="76">
        <f t="shared" si="11"/>
        <v>0</v>
      </c>
      <c r="V35" s="94"/>
      <c r="W35" s="94"/>
      <c r="X35" s="94"/>
      <c r="Y35" s="94"/>
      <c r="Z35" s="111"/>
      <c r="AA35" s="99"/>
      <c r="AB35" s="115"/>
      <c r="AC35" s="92">
        <v>686640</v>
      </c>
      <c r="AD35" s="105">
        <f t="shared" si="2"/>
        <v>938</v>
      </c>
      <c r="AE35" s="93">
        <v>43638</v>
      </c>
      <c r="AF35" s="105">
        <f t="shared" si="8"/>
        <v>107</v>
      </c>
      <c r="AG35" s="95">
        <v>14881</v>
      </c>
      <c r="AH35" s="105">
        <f t="shared" si="9"/>
        <v>53</v>
      </c>
      <c r="AI35" s="17"/>
    </row>
    <row r="36" spans="2:35" ht="14" x14ac:dyDescent="0.3">
      <c r="B36" s="8">
        <f t="shared" si="10"/>
        <v>45046</v>
      </c>
      <c r="C36" s="42" t="str">
        <f t="shared" si="0"/>
        <v>Sun</v>
      </c>
      <c r="D36" s="18">
        <v>0.69099999999999995</v>
      </c>
      <c r="E36" s="18">
        <v>0.52100000000000002</v>
      </c>
      <c r="F36" s="83">
        <f t="shared" si="1"/>
        <v>10120.200000000001</v>
      </c>
      <c r="G36" s="27"/>
      <c r="H36" s="100"/>
      <c r="I36" s="100">
        <f t="shared" si="3"/>
        <v>0</v>
      </c>
      <c r="J36" s="101">
        <v>1938003</v>
      </c>
      <c r="K36" s="101">
        <f t="shared" si="12"/>
        <v>0</v>
      </c>
      <c r="L36" s="101">
        <v>139284</v>
      </c>
      <c r="M36" s="97">
        <f t="shared" si="5"/>
        <v>0</v>
      </c>
      <c r="N36" s="120">
        <v>2.0833333333333332E-2</v>
      </c>
      <c r="O36" s="120">
        <v>0.11458333333333333</v>
      </c>
      <c r="P36" s="22">
        <v>1615</v>
      </c>
      <c r="Q36" s="106">
        <v>1829505</v>
      </c>
      <c r="R36" s="106">
        <f t="shared" si="6"/>
        <v>0</v>
      </c>
      <c r="S36" s="50"/>
      <c r="T36" s="84"/>
      <c r="U36" s="76">
        <f t="shared" si="11"/>
        <v>0</v>
      </c>
      <c r="V36" s="94"/>
      <c r="W36" s="94"/>
      <c r="X36" s="94"/>
      <c r="Y36" s="94"/>
      <c r="Z36" s="111"/>
      <c r="AA36" s="99"/>
      <c r="AB36" s="115"/>
      <c r="AC36" s="92">
        <v>687388</v>
      </c>
      <c r="AD36" s="105">
        <f t="shared" si="2"/>
        <v>748</v>
      </c>
      <c r="AE36" s="93">
        <v>43732</v>
      </c>
      <c r="AF36" s="105">
        <f t="shared" si="8"/>
        <v>94</v>
      </c>
      <c r="AG36" s="95">
        <v>14927</v>
      </c>
      <c r="AH36" s="105">
        <f t="shared" si="9"/>
        <v>46</v>
      </c>
      <c r="AI36" s="17"/>
    </row>
    <row r="37" spans="2:35" ht="14.5" x14ac:dyDescent="0.35">
      <c r="B37" s="8"/>
      <c r="C37" s="42"/>
      <c r="D37" s="18"/>
      <c r="E37" s="18"/>
      <c r="F37" s="110"/>
      <c r="G37" s="27"/>
      <c r="H37" s="100"/>
      <c r="I37" s="100"/>
      <c r="J37" s="101"/>
      <c r="K37" s="101"/>
      <c r="L37" s="101"/>
      <c r="M37" s="97"/>
      <c r="N37" s="26"/>
      <c r="O37" s="26"/>
      <c r="P37" s="22"/>
      <c r="Q37" s="106"/>
      <c r="R37" s="106"/>
      <c r="S37" s="50"/>
      <c r="T37" s="84"/>
      <c r="U37" s="76"/>
      <c r="V37" s="94"/>
      <c r="W37" s="94"/>
      <c r="X37" s="94"/>
      <c r="Y37" s="94"/>
      <c r="Z37" s="7"/>
      <c r="AA37" s="99"/>
      <c r="AB37" s="115"/>
      <c r="AC37" s="92"/>
      <c r="AD37" s="105"/>
      <c r="AE37" s="93"/>
      <c r="AF37" s="105"/>
      <c r="AG37" s="95"/>
      <c r="AH37" s="105"/>
      <c r="AI37" s="17"/>
    </row>
    <row r="38" spans="2:35" ht="14" x14ac:dyDescent="0.3">
      <c r="B38" s="14" t="s">
        <v>62</v>
      </c>
      <c r="C38" s="14"/>
      <c r="D38" s="69">
        <f>AVERAGE(D7:D37)</f>
        <v>0.60432556533333348</v>
      </c>
      <c r="E38" s="69">
        <f>AVERAGE(E7:E37)</f>
        <v>0.18568497266666664</v>
      </c>
      <c r="F38" s="65">
        <f>AVERAGE(F7:F37)</f>
        <v>6596.5879923000002</v>
      </c>
      <c r="G38" s="118"/>
      <c r="H38" s="14"/>
      <c r="I38" s="65">
        <f>SUMIFS(I7:I37,I7:I37,"&gt;0")</f>
        <v>0</v>
      </c>
      <c r="J38" s="67"/>
      <c r="K38" s="65">
        <f>SUMIFS(K7:K37,K7:K37,"&gt;0")</f>
        <v>78315</v>
      </c>
      <c r="L38" s="65"/>
      <c r="M38" s="65">
        <f>SUMIFS(M7:M37,M7:M37,"&gt;0")</f>
        <v>1034</v>
      </c>
      <c r="N38" s="67"/>
      <c r="O38" s="67"/>
      <c r="P38" s="65">
        <f>SUM(P7:P37)</f>
        <v>1615</v>
      </c>
      <c r="Q38" s="67"/>
      <c r="R38" s="65">
        <f>SUMIFS(R7:R37,R7:R37,"&gt;0")</f>
        <v>0</v>
      </c>
      <c r="S38" s="65">
        <f t="shared" ref="S38:Z38" si="13">SUM(S7:S37)</f>
        <v>0</v>
      </c>
      <c r="T38" s="65">
        <f t="shared" si="13"/>
        <v>0</v>
      </c>
      <c r="U38" s="65">
        <f t="shared" si="13"/>
        <v>0</v>
      </c>
      <c r="V38" s="65">
        <f t="shared" si="13"/>
        <v>0</v>
      </c>
      <c r="W38" s="65">
        <f t="shared" si="13"/>
        <v>0</v>
      </c>
      <c r="X38" s="65">
        <f t="shared" si="13"/>
        <v>0</v>
      </c>
      <c r="Y38" s="65">
        <f t="shared" si="13"/>
        <v>0</v>
      </c>
      <c r="Z38" s="116">
        <f t="shared" si="13"/>
        <v>2216.9300000000003</v>
      </c>
      <c r="AA38" s="68"/>
      <c r="AB38" s="91" t="e">
        <f>AVERAGE(AB7:AB37)</f>
        <v>#DIV/0!</v>
      </c>
      <c r="AC38" s="66"/>
      <c r="AD38" s="65" t="e">
        <f>SUM(AD7:AD37)</f>
        <v>#REF!</v>
      </c>
      <c r="AE38" s="65"/>
      <c r="AF38" s="65" t="e">
        <f>SUM(AF7:AF37)</f>
        <v>#REF!</v>
      </c>
      <c r="AG38" s="65"/>
      <c r="AH38" s="65" t="e">
        <f>SUM(AH7:AH37)</f>
        <v>#REF!</v>
      </c>
      <c r="AI38" s="5"/>
    </row>
    <row r="39" spans="2:35" x14ac:dyDescent="0.25">
      <c r="K39" s="72"/>
      <c r="R39" s="63"/>
      <c r="S39" s="72"/>
      <c r="T39" s="72"/>
      <c r="U39" s="72"/>
      <c r="V39" s="72"/>
      <c r="W39" s="72"/>
      <c r="X39" s="72"/>
      <c r="Y39" s="72"/>
      <c r="Z39" s="63"/>
      <c r="AA39" s="63"/>
      <c r="AF39" s="63"/>
      <c r="AG39" s="63"/>
      <c r="AH39" s="63"/>
    </row>
    <row r="40" spans="2:35" ht="14" x14ac:dyDescent="0.3">
      <c r="F40" s="80"/>
      <c r="J40" s="88"/>
      <c r="K40" s="87"/>
      <c r="P40" s="89"/>
      <c r="R40" s="90"/>
      <c r="Z40" s="74"/>
      <c r="AB40" s="85"/>
      <c r="AC40" s="85"/>
      <c r="AD40" s="85"/>
      <c r="AE40" s="85"/>
      <c r="AF40" s="73"/>
      <c r="AG40" s="73"/>
    </row>
    <row r="41" spans="2:35" ht="14.5" x14ac:dyDescent="0.35">
      <c r="C41" s="16"/>
      <c r="K41" s="79"/>
      <c r="N41"/>
      <c r="Q41" s="88"/>
      <c r="AB41" s="86"/>
      <c r="AC41" s="86"/>
      <c r="AD41" s="86"/>
      <c r="AE41" s="86"/>
      <c r="AF41" s="73"/>
      <c r="AG41" s="73"/>
    </row>
    <row r="42" spans="2:35" x14ac:dyDescent="0.25">
      <c r="AF42" s="63"/>
      <c r="AG42" s="63"/>
    </row>
    <row r="44" spans="2:35" x14ac:dyDescent="0.25">
      <c r="P44" s="1" t="s">
        <v>72</v>
      </c>
      <c r="R44" s="1" t="s">
        <v>73</v>
      </c>
    </row>
    <row r="45" spans="2:35" x14ac:dyDescent="0.25">
      <c r="P45" s="1" t="s">
        <v>74</v>
      </c>
      <c r="Q45" s="1">
        <v>1934033</v>
      </c>
      <c r="R45" s="123">
        <f>Q45-J37</f>
        <v>1934033</v>
      </c>
    </row>
    <row r="46" spans="2:35" x14ac:dyDescent="0.25">
      <c r="P46" s="1" t="s">
        <v>75</v>
      </c>
      <c r="Q46" s="1">
        <v>139284</v>
      </c>
      <c r="R46" s="123">
        <f>Q46-L37</f>
        <v>139284</v>
      </c>
    </row>
  </sheetData>
  <mergeCells count="21">
    <mergeCell ref="S4:U4"/>
    <mergeCell ref="V4:W4"/>
    <mergeCell ref="X4:Y4"/>
    <mergeCell ref="Z3:AB4"/>
    <mergeCell ref="AC3:AH4"/>
    <mergeCell ref="AI3:AI6"/>
    <mergeCell ref="B4:B6"/>
    <mergeCell ref="C4:C6"/>
    <mergeCell ref="D4:F4"/>
    <mergeCell ref="H4:M4"/>
    <mergeCell ref="N4:P4"/>
    <mergeCell ref="Q4:R5"/>
    <mergeCell ref="H5:I5"/>
    <mergeCell ref="J5:K5"/>
    <mergeCell ref="L5:M5"/>
    <mergeCell ref="N5:O5"/>
    <mergeCell ref="B3:Y3"/>
    <mergeCell ref="Z5:AA5"/>
    <mergeCell ref="AC5:AD5"/>
    <mergeCell ref="AE5:AF5"/>
    <mergeCell ref="AG5:AH5"/>
  </mergeCells>
  <pageMargins left="0" right="0" top="0.35433070866141736" bottom="0" header="0.31496062992125984" footer="0.31496062992125984"/>
  <pageSetup orientation="landscape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84FB717ED2C6F47B3F53CA4212D3DBF" ma:contentTypeVersion="26" ma:contentTypeDescription="Create a new document." ma:contentTypeScope="" ma:versionID="97bb429dac995270d43482fe8af3f03b">
  <xsd:schema xmlns:xsd="http://www.w3.org/2001/XMLSchema" xmlns:xs="http://www.w3.org/2001/XMLSchema" xmlns:p="http://schemas.microsoft.com/office/2006/metadata/properties" xmlns:ns2="745eb793-e3c8-4796-a60e-7c80e11f57f5" xmlns:ns3="33399894-2864-40ab-a8d8-245a5ff1a870" targetNamespace="http://schemas.microsoft.com/office/2006/metadata/properties" ma:root="true" ma:fieldsID="96d347b72b1a969bfda23a183ab2ca2d" ns2:_="" ns3:_="">
    <xsd:import namespace="745eb793-e3c8-4796-a60e-7c80e11f57f5"/>
    <xsd:import namespace="33399894-2864-40ab-a8d8-245a5ff1a87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Location" minOccurs="0"/>
                <xsd:element ref="ns2:MediaLengthInSeconds" minOccurs="0"/>
                <xsd:element ref="ns2:MediaServiceAutoKeyPoints" minOccurs="0"/>
                <xsd:element ref="ns2:MediaServiceKeyPoints" minOccurs="0"/>
                <xsd:element ref="ns3:TaxCatchAll" minOccurs="0"/>
                <xsd:element ref="ns2:lcf76f155ced4ddcb4097134ff3c332f" minOccurs="0"/>
                <xsd:element ref="ns2:Status"/>
                <xsd:element ref="ns2:Duedate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45eb793-e3c8-4796-a60e-7c80e11f57f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18" nillable="true" ma:displayName="Length (seconds)" ma:internalName="MediaLengthInSeconds" ma:readOnly="true">
      <xsd:simpleType>
        <xsd:restriction base="dms:Unknown"/>
      </xsd:simpleType>
    </xsd:element>
    <xsd:element name="MediaServiceAutoKeyPoints" ma:index="19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20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lcf76f155ced4ddcb4097134ff3c332f" ma:index="23" nillable="true" ma:taxonomy="true" ma:internalName="lcf76f155ced4ddcb4097134ff3c332f" ma:taxonomyFieldName="MediaServiceImageTags" ma:displayName="Image Tags" ma:readOnly="false" ma:fieldId="{5cf76f15-5ced-4ddc-b409-7134ff3c332f}" ma:taxonomyMulti="true" ma:sspId="2092d835-7a44-4ae7-921a-15a2b649f78d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Status" ma:index="24" ma:displayName="Status" ma:default="Submitted" ma:format="RadioButtons" ma:internalName="Status">
      <xsd:simpleType>
        <xsd:restriction base="dms:Choice">
          <xsd:enumeration value="Submitted"/>
          <xsd:enumeration value="Requested"/>
        </xsd:restriction>
      </xsd:simpleType>
    </xsd:element>
    <xsd:element name="Duedate" ma:index="25" ma:displayName="Due date" ma:default="[today]" ma:format="DateOnly" ma:indexed="true" ma:internalName="Duedate">
      <xsd:simpleType>
        <xsd:restriction base="dms:DateTime"/>
      </xsd:simpleType>
    </xsd:element>
    <xsd:element name="MediaServiceObjectDetectorVersions" ma:index="26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7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3399894-2864-40ab-a8d8-245a5ff1a870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1" nillable="true" ma:displayName="Taxonomy Catch All Column" ma:hidden="true" ma:list="{7a98746c-d62a-4f18-8263-fa20a138df25}" ma:internalName="TaxCatchAll" ma:showField="CatchAllData" ma:web="33399894-2864-40ab-a8d8-245a5ff1a870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745eb793-e3c8-4796-a60e-7c80e11f57f5">
      <Terms xmlns="http://schemas.microsoft.com/office/infopath/2007/PartnerControls"/>
    </lcf76f155ced4ddcb4097134ff3c332f>
    <TaxCatchAll xmlns="33399894-2864-40ab-a8d8-245a5ff1a870" xsi:nil="true"/>
    <Duedate xmlns="745eb793-e3c8-4796-a60e-7c80e11f57f5">2025-11-25T01:23:45+00:00</Duedate>
    <Status xmlns="745eb793-e3c8-4796-a60e-7c80e11f57f5">Submitted</Status>
  </documentManagement>
</p:properties>
</file>

<file path=customXml/itemProps1.xml><?xml version="1.0" encoding="utf-8"?>
<ds:datastoreItem xmlns:ds="http://schemas.openxmlformats.org/officeDocument/2006/customXml" ds:itemID="{192B4523-20EC-4FB6-9D32-33B67016B78B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42FD2798-72BA-4F89-9586-51C71CD6F884}"/>
</file>

<file path=customXml/itemProps3.xml><?xml version="1.0" encoding="utf-8"?>
<ds:datastoreItem xmlns:ds="http://schemas.openxmlformats.org/officeDocument/2006/customXml" ds:itemID="{53613714-107F-42C9-AE8E-08FAF799A931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5</vt:i4>
      </vt:variant>
      <vt:variant>
        <vt:lpstr>Named Ranges</vt:lpstr>
      </vt:variant>
      <vt:variant>
        <vt:i4>2</vt:i4>
      </vt:variant>
    </vt:vector>
  </HeadingPairs>
  <TitlesOfParts>
    <vt:vector size="7" baseType="lpstr">
      <vt:lpstr>Change Tracker</vt:lpstr>
      <vt:lpstr>Previous day</vt:lpstr>
      <vt:lpstr>Template (3)</vt:lpstr>
      <vt:lpstr>Template</vt:lpstr>
      <vt:lpstr>Template (2)</vt:lpstr>
      <vt:lpstr>Template!Print_Area</vt:lpstr>
      <vt:lpstr>'Template (3)'!Print_Area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Joe Mari L. Vallejo</dc:creator>
  <cp:keywords/>
  <dc:description/>
  <cp:lastModifiedBy>Francis David A. Requillo</cp:lastModifiedBy>
  <cp:revision/>
  <dcterms:created xsi:type="dcterms:W3CDTF">2021-09-14T01:36:16Z</dcterms:created>
  <dcterms:modified xsi:type="dcterms:W3CDTF">2025-11-25T00:16:54Z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0d06dff-deaf-4417-97ca-837e46d1737c_Enabled">
    <vt:lpwstr>true</vt:lpwstr>
  </property>
  <property fmtid="{D5CDD505-2E9C-101B-9397-08002B2CF9AE}" pid="3" name="MSIP_Label_d0d06dff-deaf-4417-97ca-837e46d1737c_SetDate">
    <vt:lpwstr>2023-07-20T02:32:08Z</vt:lpwstr>
  </property>
  <property fmtid="{D5CDD505-2E9C-101B-9397-08002B2CF9AE}" pid="4" name="MSIP_Label_d0d06dff-deaf-4417-97ca-837e46d1737c_Method">
    <vt:lpwstr>Standard</vt:lpwstr>
  </property>
  <property fmtid="{D5CDD505-2E9C-101B-9397-08002B2CF9AE}" pid="5" name="MSIP_Label_d0d06dff-deaf-4417-97ca-837e46d1737c_Name">
    <vt:lpwstr>General</vt:lpwstr>
  </property>
  <property fmtid="{D5CDD505-2E9C-101B-9397-08002B2CF9AE}" pid="6" name="MSIP_Label_d0d06dff-deaf-4417-97ca-837e46d1737c_SiteId">
    <vt:lpwstr>357ede74-f5c2-42d3-8541-b109a2049c3d</vt:lpwstr>
  </property>
  <property fmtid="{D5CDD505-2E9C-101B-9397-08002B2CF9AE}" pid="7" name="MSIP_Label_d0d06dff-deaf-4417-97ca-837e46d1737c_ActionId">
    <vt:lpwstr>bc18480a-e37e-4e81-b02e-98fb4eaaeb7b</vt:lpwstr>
  </property>
  <property fmtid="{D5CDD505-2E9C-101B-9397-08002B2CF9AE}" pid="8" name="MSIP_Label_d0d06dff-deaf-4417-97ca-837e46d1737c_ContentBits">
    <vt:lpwstr>0</vt:lpwstr>
  </property>
  <property fmtid="{D5CDD505-2E9C-101B-9397-08002B2CF9AE}" pid="9" name="ContentTypeId">
    <vt:lpwstr>0x010100784FB717ED2C6F47B3F53CA4212D3DBF</vt:lpwstr>
  </property>
</Properties>
</file>