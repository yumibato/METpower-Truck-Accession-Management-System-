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power-my.sharepoint.com/personal/francis_requillo_metpower-operation_net/Documents/Documents/2024_Francis Desktop/6. Truck Accession Summary/"/>
    </mc:Choice>
  </mc:AlternateContent>
  <xr:revisionPtr revIDLastSave="27" documentId="13_ncr:1_{AF8327DF-33D6-419A-9990-12304274F4A0}" xr6:coauthVersionLast="47" xr6:coauthVersionMax="47" xr10:uidLastSave="{90D19765-18D4-43FF-B4C9-C8CEA351770E}"/>
  <bookViews>
    <workbookView xWindow="-110" yWindow="-110" windowWidth="19420" windowHeight="12220" xr2:uid="{616FBD75-7403-4B6A-AC8D-6F29510B04DC}"/>
  </bookViews>
  <sheets>
    <sheet name="NOV SUMMARY 2025" sheetId="34" r:id="rId1"/>
    <sheet name="OCT SUMMARY 2025" sheetId="32" r:id="rId2"/>
    <sheet name="COMPOSTING" sheetId="30" r:id="rId3"/>
    <sheet name="SEP SUMMARY 2025" sheetId="31" r:id="rId4"/>
    <sheet name="OUTAGE" sheetId="33" r:id="rId5"/>
    <sheet name="AUG SUMMARY 2025" sheetId="29" r:id="rId6"/>
    <sheet name="JUL SUMMARY 2025" sheetId="28" r:id="rId7"/>
    <sheet name="JUN SUMMARY 2025" sheetId="27" r:id="rId8"/>
    <sheet name="MAY SUMMARY 2025" sheetId="25" r:id="rId9"/>
    <sheet name="APR SUMMARY 2025" sheetId="24" r:id="rId10"/>
    <sheet name="DUE TO DOLE" sheetId="26" r:id="rId11"/>
  </sheets>
  <definedNames>
    <definedName name="_xlnm._FilterDatabase" localSheetId="9" hidden="1">'APR SUMMARY 2025'!$V$4:$AT$4</definedName>
    <definedName name="_xlnm._FilterDatabase" localSheetId="5" hidden="1">'AUG SUMMARY 2025'!$V$4:$AT$487</definedName>
    <definedName name="_xlnm._FilterDatabase" localSheetId="6" hidden="1">'JUL SUMMARY 2025'!$V$4:$BJ$487</definedName>
    <definedName name="_xlnm._FilterDatabase" localSheetId="7" hidden="1">'JUN SUMMARY 2025'!$V$4:$BJ$4</definedName>
    <definedName name="_xlnm._FilterDatabase" localSheetId="8" hidden="1">'MAY SUMMARY 2025'!$V$4:$BU$4</definedName>
    <definedName name="_xlnm._FilterDatabase" localSheetId="0" hidden="1">'NOV SUMMARY 2025'!$V$4:$AT$487</definedName>
    <definedName name="_xlnm._FilterDatabase" localSheetId="1" hidden="1">'OCT SUMMARY 2025'!$V$4:$AT$487</definedName>
    <definedName name="_xlnm._FilterDatabase" localSheetId="3" hidden="1">'SEP SUMMARY 2025'!$V$4:$AT$487</definedName>
    <definedName name="_xlnm.Print_Area" localSheetId="9">'APR SUMMARY 2025'!$B$3:$L$54</definedName>
    <definedName name="_xlnm.Print_Area" localSheetId="5">'AUG SUMMARY 2025'!$B$3:$L$54</definedName>
    <definedName name="_xlnm.Print_Area" localSheetId="6">'JUL SUMMARY 2025'!$B$3:$L$54</definedName>
    <definedName name="_xlnm.Print_Area" localSheetId="7">'JUN SUMMARY 2025'!$B$3:$L$54</definedName>
    <definedName name="_xlnm.Print_Area" localSheetId="8">'MAY SUMMARY 2025'!$B$3:$L$54</definedName>
    <definedName name="_xlnm.Print_Area" localSheetId="0">'NOV SUMMARY 2025'!$B$3:$L$54</definedName>
    <definedName name="_xlnm.Print_Area" localSheetId="1">'OCT SUMMARY 2025'!$B$3:$L$54</definedName>
    <definedName name="_xlnm.Print_Area" localSheetId="3">'SEP SUMMARY 2025'!$B$3:$L$54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90" i="34" l="1"/>
  <c r="AG74" i="34" l="1"/>
  <c r="AG75" i="34"/>
  <c r="AG76" i="34"/>
  <c r="AG77" i="34"/>
  <c r="AG78" i="34"/>
  <c r="AG79" i="34"/>
  <c r="AG80" i="34"/>
  <c r="AG81" i="34"/>
  <c r="AE75" i="34"/>
  <c r="AH75" i="34" s="1"/>
  <c r="AE76" i="34"/>
  <c r="AH76" i="34" s="1"/>
  <c r="AE77" i="34"/>
  <c r="AE78" i="34"/>
  <c r="AE79" i="34"/>
  <c r="AE80" i="34"/>
  <c r="AE81" i="34"/>
  <c r="AE82" i="34"/>
  <c r="AH81" i="34" l="1"/>
  <c r="AH79" i="34"/>
  <c r="AH78" i="34"/>
  <c r="AH77" i="34"/>
  <c r="AH80" i="34"/>
  <c r="AG8" i="34"/>
  <c r="AG9" i="34"/>
  <c r="AG10" i="34"/>
  <c r="AG11" i="34"/>
  <c r="AG12" i="34"/>
  <c r="AG13" i="34"/>
  <c r="AH13" i="34" s="1"/>
  <c r="AG14" i="34"/>
  <c r="AE9" i="34"/>
  <c r="AE10" i="34"/>
  <c r="AE11" i="34"/>
  <c r="AE12" i="34"/>
  <c r="AE13" i="34"/>
  <c r="AH46" i="34"/>
  <c r="AH47" i="34"/>
  <c r="AH71" i="34"/>
  <c r="AH90" i="34"/>
  <c r="AH93" i="34"/>
  <c r="AH186" i="34"/>
  <c r="AH234" i="34"/>
  <c r="AH235" i="34"/>
  <c r="AH236" i="34"/>
  <c r="AH237" i="34"/>
  <c r="AH255" i="34"/>
  <c r="AH267" i="34"/>
  <c r="AH268" i="34"/>
  <c r="AH279" i="34"/>
  <c r="AH280" i="34"/>
  <c r="AH292" i="34"/>
  <c r="AH295" i="34"/>
  <c r="AH296" i="34"/>
  <c r="AH297" i="34"/>
  <c r="AH298" i="34"/>
  <c r="AH316" i="34"/>
  <c r="AH339" i="34"/>
  <c r="AH340" i="34"/>
  <c r="AH345" i="34"/>
  <c r="AH376" i="34"/>
  <c r="AH381" i="34"/>
  <c r="AH382" i="34"/>
  <c r="AH394" i="34"/>
  <c r="AH399" i="34"/>
  <c r="AH400" i="34"/>
  <c r="AH418" i="34"/>
  <c r="AH423" i="34"/>
  <c r="AH424" i="34"/>
  <c r="AH436" i="34"/>
  <c r="AH441" i="34"/>
  <c r="AH442" i="34"/>
  <c r="AH478" i="34"/>
  <c r="AH483" i="34"/>
  <c r="AH484" i="34"/>
  <c r="AH501" i="34"/>
  <c r="AH502" i="34"/>
  <c r="AH520" i="34"/>
  <c r="AH525" i="34"/>
  <c r="AH537" i="34"/>
  <c r="AH538" i="34"/>
  <c r="AH543" i="34"/>
  <c r="AH555" i="34"/>
  <c r="AH556" i="34"/>
  <c r="AH574" i="34"/>
  <c r="AH579" i="34"/>
  <c r="AH591" i="34"/>
  <c r="AH592" i="34"/>
  <c r="AG7" i="34"/>
  <c r="AG15" i="34"/>
  <c r="AG16" i="34"/>
  <c r="AG17" i="34"/>
  <c r="AG18" i="34"/>
  <c r="AG19" i="34"/>
  <c r="AG20" i="34"/>
  <c r="AG21" i="34"/>
  <c r="AG22" i="34"/>
  <c r="AG23" i="34"/>
  <c r="AH23" i="34" s="1"/>
  <c r="AG24" i="34"/>
  <c r="AG25" i="34"/>
  <c r="AG26" i="34"/>
  <c r="AG27" i="34"/>
  <c r="AG28" i="34"/>
  <c r="AG29" i="34"/>
  <c r="AG30" i="34"/>
  <c r="AG31" i="34"/>
  <c r="AG32" i="34"/>
  <c r="AG33" i="34"/>
  <c r="AG34" i="34"/>
  <c r="AG35" i="34"/>
  <c r="AH35" i="34" s="1"/>
  <c r="AG36" i="34"/>
  <c r="AH36" i="34" s="1"/>
  <c r="AG37" i="34"/>
  <c r="AG38" i="34"/>
  <c r="AG39" i="34"/>
  <c r="AG40" i="34"/>
  <c r="AG41" i="34"/>
  <c r="AG42" i="34"/>
  <c r="AG43" i="34"/>
  <c r="AG44" i="34"/>
  <c r="AG45" i="34"/>
  <c r="AH45" i="34" s="1"/>
  <c r="AG46" i="34"/>
  <c r="AG47" i="34"/>
  <c r="AG48" i="34"/>
  <c r="AG49" i="34"/>
  <c r="AG50" i="34"/>
  <c r="AG51" i="34"/>
  <c r="AG52" i="34"/>
  <c r="AG53" i="34"/>
  <c r="AG54" i="34"/>
  <c r="AG55" i="34"/>
  <c r="AG56" i="34"/>
  <c r="AG57" i="34"/>
  <c r="AH57" i="34" s="1"/>
  <c r="AG58" i="34"/>
  <c r="AG59" i="34"/>
  <c r="AG60" i="34"/>
  <c r="AH60" i="34" s="1"/>
  <c r="AG61" i="34"/>
  <c r="AG62" i="34"/>
  <c r="AG63" i="34"/>
  <c r="AG64" i="34"/>
  <c r="AG65" i="34"/>
  <c r="AG66" i="34"/>
  <c r="AG67" i="34"/>
  <c r="AG68" i="34"/>
  <c r="AG69" i="34"/>
  <c r="AH69" i="34" s="1"/>
  <c r="AG70" i="34"/>
  <c r="AG71" i="34"/>
  <c r="AG72" i="34"/>
  <c r="AH72" i="34" s="1"/>
  <c r="AG73" i="34"/>
  <c r="AG82" i="34"/>
  <c r="AH82" i="34" s="1"/>
  <c r="AG83" i="34"/>
  <c r="AG84" i="34"/>
  <c r="AG85" i="34"/>
  <c r="AG86" i="34"/>
  <c r="AG87" i="34"/>
  <c r="AG88" i="34"/>
  <c r="AG89" i="34"/>
  <c r="AG90" i="34"/>
  <c r="AG91" i="34"/>
  <c r="AG92" i="34"/>
  <c r="AG93" i="34"/>
  <c r="AG94" i="34"/>
  <c r="AG95" i="34"/>
  <c r="AG96" i="34"/>
  <c r="AG97" i="34"/>
  <c r="AG98" i="34"/>
  <c r="AG99" i="34"/>
  <c r="AG100" i="34"/>
  <c r="AG101" i="34"/>
  <c r="AG102" i="34"/>
  <c r="AG103" i="34"/>
  <c r="AG104" i="34"/>
  <c r="AG105" i="34"/>
  <c r="AG106" i="34"/>
  <c r="AG107" i="34"/>
  <c r="AG108" i="34"/>
  <c r="AG109" i="34"/>
  <c r="AG110" i="34"/>
  <c r="AG111" i="34"/>
  <c r="AG112" i="34"/>
  <c r="AG113" i="34"/>
  <c r="AG114" i="34"/>
  <c r="AG115" i="34"/>
  <c r="AG116" i="34"/>
  <c r="AG117" i="34"/>
  <c r="AG118" i="34"/>
  <c r="AG119" i="34"/>
  <c r="AG120" i="34"/>
  <c r="AG121" i="34"/>
  <c r="AG122" i="34"/>
  <c r="AG123" i="34"/>
  <c r="AG124" i="34"/>
  <c r="AG125" i="34"/>
  <c r="AG126" i="34"/>
  <c r="AG127" i="34"/>
  <c r="AG128" i="34"/>
  <c r="AG129" i="34"/>
  <c r="AG130" i="34"/>
  <c r="AG131" i="34"/>
  <c r="AG132" i="34"/>
  <c r="AG133" i="34"/>
  <c r="AG134" i="34"/>
  <c r="AG135" i="34"/>
  <c r="AG136" i="34"/>
  <c r="AG137" i="34"/>
  <c r="AG138" i="34"/>
  <c r="AG139" i="34"/>
  <c r="AG140" i="34"/>
  <c r="AG141" i="34"/>
  <c r="AG142" i="34"/>
  <c r="AG143" i="34"/>
  <c r="AG144" i="34"/>
  <c r="AG145" i="34"/>
  <c r="AG146" i="34"/>
  <c r="AG147" i="34"/>
  <c r="AG148" i="34"/>
  <c r="AG149" i="34"/>
  <c r="AG150" i="34"/>
  <c r="AG151" i="34"/>
  <c r="AG152" i="34"/>
  <c r="AG153" i="34"/>
  <c r="AG154" i="34"/>
  <c r="AG155" i="34"/>
  <c r="AG156" i="34"/>
  <c r="AG157" i="34"/>
  <c r="AG158" i="34"/>
  <c r="AG159" i="34"/>
  <c r="AG160" i="34"/>
  <c r="AG161" i="34"/>
  <c r="AG162" i="34"/>
  <c r="AG163" i="34"/>
  <c r="AG164" i="34"/>
  <c r="AG165" i="34"/>
  <c r="AG166" i="34"/>
  <c r="AG167" i="34"/>
  <c r="AG168" i="34"/>
  <c r="AG169" i="34"/>
  <c r="AG170" i="34"/>
  <c r="AG171" i="34"/>
  <c r="AG172" i="34"/>
  <c r="AG173" i="34"/>
  <c r="AG174" i="34"/>
  <c r="AG175" i="34"/>
  <c r="AG176" i="34"/>
  <c r="AG177" i="34"/>
  <c r="AG178" i="34"/>
  <c r="AG179" i="34"/>
  <c r="AG180" i="34"/>
  <c r="AG181" i="34"/>
  <c r="AG182" i="34"/>
  <c r="AG183" i="34"/>
  <c r="AG184" i="34"/>
  <c r="AG185" i="34"/>
  <c r="AG186" i="34"/>
  <c r="AG187" i="34"/>
  <c r="AG188" i="34"/>
  <c r="AG189" i="34"/>
  <c r="AG191" i="34"/>
  <c r="AG192" i="34"/>
  <c r="AG193" i="34"/>
  <c r="AG194" i="34"/>
  <c r="AG195" i="34"/>
  <c r="AG196" i="34"/>
  <c r="AG197" i="34"/>
  <c r="AG198" i="34"/>
  <c r="AG199" i="34"/>
  <c r="AG200" i="34"/>
  <c r="AG201" i="34"/>
  <c r="AG202" i="34"/>
  <c r="AG203" i="34"/>
  <c r="AG204" i="34"/>
  <c r="AG205" i="34"/>
  <c r="AG206" i="34"/>
  <c r="AG207" i="34"/>
  <c r="AG208" i="34"/>
  <c r="AG209" i="34"/>
  <c r="AG210" i="34"/>
  <c r="AG211" i="34"/>
  <c r="AG212" i="34"/>
  <c r="AG213" i="34"/>
  <c r="AG214" i="34"/>
  <c r="AG215" i="34"/>
  <c r="AG216" i="34"/>
  <c r="AG217" i="34"/>
  <c r="AG218" i="34"/>
  <c r="AG219" i="34"/>
  <c r="AG220" i="34"/>
  <c r="AG221" i="34"/>
  <c r="AG222" i="34"/>
  <c r="AG223" i="34"/>
  <c r="AG224" i="34"/>
  <c r="AG225" i="34"/>
  <c r="AG226" i="34"/>
  <c r="AG227" i="34"/>
  <c r="AG228" i="34"/>
  <c r="AG229" i="34"/>
  <c r="AG230" i="34"/>
  <c r="AG231" i="34"/>
  <c r="AG232" i="34"/>
  <c r="AG233" i="34"/>
  <c r="AG234" i="34"/>
  <c r="AG235" i="34"/>
  <c r="AG236" i="34"/>
  <c r="AG237" i="34"/>
  <c r="AG238" i="34"/>
  <c r="AG239" i="34"/>
  <c r="AG240" i="34"/>
  <c r="AG241" i="34"/>
  <c r="AG242" i="34"/>
  <c r="AG243" i="34"/>
  <c r="AG244" i="34"/>
  <c r="AH244" i="34" s="1"/>
  <c r="AG245" i="34"/>
  <c r="AG246" i="34"/>
  <c r="AG247" i="34"/>
  <c r="AG248" i="34"/>
  <c r="AG249" i="34"/>
  <c r="AG250" i="34"/>
  <c r="AG251" i="34"/>
  <c r="AG252" i="34"/>
  <c r="AG253" i="34"/>
  <c r="AG254" i="34"/>
  <c r="AG255" i="34"/>
  <c r="AG256" i="34"/>
  <c r="AG257" i="34"/>
  <c r="AG258" i="34"/>
  <c r="AG259" i="34"/>
  <c r="AG260" i="34"/>
  <c r="AG261" i="34"/>
  <c r="AG262" i="34"/>
  <c r="AG263" i="34"/>
  <c r="AG264" i="34"/>
  <c r="AG265" i="34"/>
  <c r="AG266" i="34"/>
  <c r="AG267" i="34"/>
  <c r="AG268" i="34"/>
  <c r="AG269" i="34"/>
  <c r="AG270" i="34"/>
  <c r="AG271" i="34"/>
  <c r="AG272" i="34"/>
  <c r="AG273" i="34"/>
  <c r="AG274" i="34"/>
  <c r="AG275" i="34"/>
  <c r="AG276" i="34"/>
  <c r="AG277" i="34"/>
  <c r="AG278" i="34"/>
  <c r="AG279" i="34"/>
  <c r="AG280" i="34"/>
  <c r="AG281" i="34"/>
  <c r="AG282" i="34"/>
  <c r="AG283" i="34"/>
  <c r="AG284" i="34"/>
  <c r="AG285" i="34"/>
  <c r="AG286" i="34"/>
  <c r="AG287" i="34"/>
  <c r="AG288" i="34"/>
  <c r="AG289" i="34"/>
  <c r="AG290" i="34"/>
  <c r="AG291" i="34"/>
  <c r="AG292" i="34"/>
  <c r="AG293" i="34"/>
  <c r="AG294" i="34"/>
  <c r="AG295" i="34"/>
  <c r="AG296" i="34"/>
  <c r="AG297" i="34"/>
  <c r="AG298" i="34"/>
  <c r="AG299" i="34"/>
  <c r="AG300" i="34"/>
  <c r="AG301" i="34"/>
  <c r="AG302" i="34"/>
  <c r="AG303" i="34"/>
  <c r="AG304" i="34"/>
  <c r="AH304" i="34" s="1"/>
  <c r="AG305" i="34"/>
  <c r="AG306" i="34"/>
  <c r="AG307" i="34"/>
  <c r="AG308" i="34"/>
  <c r="AG309" i="34"/>
  <c r="AE14" i="34"/>
  <c r="AH14" i="34" s="1"/>
  <c r="AE15" i="34"/>
  <c r="AE16" i="34"/>
  <c r="AE17" i="34"/>
  <c r="AE18" i="34"/>
  <c r="AE19" i="34"/>
  <c r="AE20" i="34"/>
  <c r="AE21" i="34"/>
  <c r="AE22" i="34"/>
  <c r="AE23" i="34"/>
  <c r="AE24" i="34"/>
  <c r="AE25" i="34"/>
  <c r="AE26" i="34"/>
  <c r="AE27" i="34"/>
  <c r="AE28" i="34"/>
  <c r="AE29" i="34"/>
  <c r="AE30" i="34"/>
  <c r="AE31" i="34"/>
  <c r="AE32" i="34"/>
  <c r="AE33" i="34"/>
  <c r="AE34" i="34"/>
  <c r="AE35" i="34"/>
  <c r="AE36" i="34"/>
  <c r="AE37" i="34"/>
  <c r="AE38" i="34"/>
  <c r="AH38" i="34" s="1"/>
  <c r="AE39" i="34"/>
  <c r="AE40" i="34"/>
  <c r="AE41" i="34"/>
  <c r="AE42" i="34"/>
  <c r="AE43" i="34"/>
  <c r="AE44" i="34"/>
  <c r="AE45" i="34"/>
  <c r="AE46" i="34"/>
  <c r="AE47" i="34"/>
  <c r="AE48" i="34"/>
  <c r="AE49" i="34"/>
  <c r="AE50" i="34"/>
  <c r="AE51" i="34"/>
  <c r="AE52" i="34"/>
  <c r="AE53" i="34"/>
  <c r="AE54" i="34"/>
  <c r="AE55" i="34"/>
  <c r="AE56" i="34"/>
  <c r="AE57" i="34"/>
  <c r="AE58" i="34"/>
  <c r="AE59" i="34"/>
  <c r="AE60" i="34"/>
  <c r="AE61" i="34"/>
  <c r="AE62" i="34"/>
  <c r="AE63" i="34"/>
  <c r="AE64" i="34"/>
  <c r="AE65" i="34"/>
  <c r="AE66" i="34"/>
  <c r="AE67" i="34"/>
  <c r="AE68" i="34"/>
  <c r="AE69" i="34"/>
  <c r="AE70" i="34"/>
  <c r="AE71" i="34"/>
  <c r="AE72" i="34"/>
  <c r="AE73" i="34"/>
  <c r="AE74" i="34"/>
  <c r="AH74" i="34" s="1"/>
  <c r="J18" i="34"/>
  <c r="L18" i="34" s="1"/>
  <c r="AE83" i="34"/>
  <c r="AH83" i="34" s="1"/>
  <c r="AE84" i="34"/>
  <c r="AH84" i="34" s="1"/>
  <c r="AE85" i="34"/>
  <c r="AE86" i="34"/>
  <c r="AE87" i="34"/>
  <c r="AE88" i="34"/>
  <c r="AE89" i="34"/>
  <c r="AE90" i="34"/>
  <c r="AE91" i="34"/>
  <c r="AH91" i="34" s="1"/>
  <c r="AE92" i="34"/>
  <c r="AH92" i="34" s="1"/>
  <c r="AE93" i="34"/>
  <c r="AE94" i="34"/>
  <c r="AE95" i="34"/>
  <c r="AH95" i="34" s="1"/>
  <c r="AE96" i="34"/>
  <c r="AH96" i="34" s="1"/>
  <c r="AE97" i="34"/>
  <c r="AE98" i="34"/>
  <c r="AE99" i="34"/>
  <c r="AE100" i="34"/>
  <c r="AE101" i="34"/>
  <c r="AE102" i="34"/>
  <c r="AE103" i="34"/>
  <c r="AH103" i="34" s="1"/>
  <c r="AE104" i="34"/>
  <c r="AH104" i="34" s="1"/>
  <c r="AE105" i="34"/>
  <c r="AH105" i="34" s="1"/>
  <c r="AE106" i="34"/>
  <c r="AE107" i="34"/>
  <c r="AE108" i="34"/>
  <c r="AE109" i="34"/>
  <c r="AH109" i="34" s="1"/>
  <c r="AE110" i="34"/>
  <c r="AH110" i="34" s="1"/>
  <c r="AE111" i="34"/>
  <c r="AE112" i="34"/>
  <c r="AH112" i="34" s="1"/>
  <c r="AE113" i="34"/>
  <c r="AE114" i="34"/>
  <c r="AH114" i="34" s="1"/>
  <c r="AE115" i="34"/>
  <c r="AE116" i="34"/>
  <c r="AE117" i="34"/>
  <c r="AE118" i="34"/>
  <c r="AE119" i="34"/>
  <c r="AE120" i="34"/>
  <c r="AE121" i="34"/>
  <c r="AH121" i="34" s="1"/>
  <c r="AE122" i="34"/>
  <c r="AH122" i="34" s="1"/>
  <c r="AE123" i="34"/>
  <c r="AE124" i="34"/>
  <c r="AH124" i="34" s="1"/>
  <c r="AE125" i="34"/>
  <c r="AH125" i="34" s="1"/>
  <c r="AE126" i="34"/>
  <c r="AH126" i="34" s="1"/>
  <c r="AE127" i="34"/>
  <c r="AH127" i="34" s="1"/>
  <c r="AE128" i="34"/>
  <c r="AH128" i="34" s="1"/>
  <c r="AE129" i="34"/>
  <c r="AH129" i="34" s="1"/>
  <c r="AE130" i="34"/>
  <c r="AH130" i="34" s="1"/>
  <c r="AE131" i="34"/>
  <c r="AE132" i="34"/>
  <c r="AE133" i="34"/>
  <c r="AH133" i="34" s="1"/>
  <c r="AE134" i="34"/>
  <c r="AH134" i="34" s="1"/>
  <c r="AE135" i="34"/>
  <c r="AE136" i="34"/>
  <c r="AH136" i="34" s="1"/>
  <c r="AE137" i="34"/>
  <c r="AH137" i="34" s="1"/>
  <c r="AE138" i="34"/>
  <c r="AH138" i="34" s="1"/>
  <c r="AE139" i="34"/>
  <c r="AE140" i="34"/>
  <c r="AE141" i="34"/>
  <c r="AE142" i="34"/>
  <c r="AE143" i="34"/>
  <c r="AE144" i="34"/>
  <c r="AE145" i="34"/>
  <c r="AH145" i="34" s="1"/>
  <c r="AE146" i="34"/>
  <c r="AH146" i="34" s="1"/>
  <c r="AE147" i="34"/>
  <c r="AE148" i="34"/>
  <c r="AH148" i="34" s="1"/>
  <c r="AE149" i="34"/>
  <c r="AH149" i="34" s="1"/>
  <c r="AE150" i="34"/>
  <c r="AH150" i="34" s="1"/>
  <c r="AE151" i="34"/>
  <c r="AH151" i="34" s="1"/>
  <c r="AE152" i="34"/>
  <c r="AH152" i="34" s="1"/>
  <c r="AE153" i="34"/>
  <c r="AH153" i="34" s="1"/>
  <c r="AE154" i="34"/>
  <c r="AH154" i="34" s="1"/>
  <c r="AE155" i="34"/>
  <c r="AH155" i="34" s="1"/>
  <c r="AE156" i="34"/>
  <c r="AH156" i="34" s="1"/>
  <c r="AE157" i="34"/>
  <c r="AH157" i="34" s="1"/>
  <c r="AE158" i="34"/>
  <c r="AE159" i="34"/>
  <c r="AE160" i="34"/>
  <c r="AH160" i="34" s="1"/>
  <c r="AE161" i="34"/>
  <c r="AH161" i="34" s="1"/>
  <c r="AE162" i="34"/>
  <c r="AE163" i="34"/>
  <c r="AE164" i="34"/>
  <c r="AE165" i="34"/>
  <c r="AE166" i="34"/>
  <c r="AE167" i="34"/>
  <c r="AE168" i="34"/>
  <c r="AE169" i="34"/>
  <c r="AE170" i="34"/>
  <c r="AE171" i="34"/>
  <c r="AE172" i="34"/>
  <c r="AH172" i="34" s="1"/>
  <c r="AE173" i="34"/>
  <c r="AH173" i="34" s="1"/>
  <c r="AE174" i="34"/>
  <c r="AH174" i="34" s="1"/>
  <c r="AE175" i="34"/>
  <c r="AH175" i="34" s="1"/>
  <c r="AE176" i="34"/>
  <c r="AE177" i="34"/>
  <c r="AE178" i="34"/>
  <c r="AE179" i="34"/>
  <c r="AE180" i="34"/>
  <c r="AE181" i="34"/>
  <c r="AE182" i="34"/>
  <c r="AE183" i="34"/>
  <c r="AE184" i="34"/>
  <c r="AH184" i="34" s="1"/>
  <c r="AE185" i="34"/>
  <c r="AH185" i="34" s="1"/>
  <c r="AE186" i="34"/>
  <c r="AE187" i="34"/>
  <c r="AH187" i="34" s="1"/>
  <c r="AE188" i="34"/>
  <c r="AH188" i="34" s="1"/>
  <c r="AE189" i="34"/>
  <c r="AH189" i="34" s="1"/>
  <c r="AE190" i="34"/>
  <c r="AH190" i="34" s="1"/>
  <c r="AE191" i="34"/>
  <c r="AH191" i="34" s="1"/>
  <c r="AE192" i="34"/>
  <c r="AH192" i="34" s="1"/>
  <c r="AE193" i="34"/>
  <c r="AE194" i="34"/>
  <c r="AE195" i="34"/>
  <c r="AE196" i="34"/>
  <c r="AE197" i="34"/>
  <c r="AH197" i="34" s="1"/>
  <c r="AE198" i="34"/>
  <c r="AE199" i="34"/>
  <c r="AE200" i="34"/>
  <c r="AE201" i="34"/>
  <c r="AE202" i="34"/>
  <c r="AE203" i="34"/>
  <c r="AE204" i="34"/>
  <c r="AE205" i="34"/>
  <c r="AE206" i="34"/>
  <c r="AE207" i="34"/>
  <c r="AE208" i="34"/>
  <c r="AE209" i="34"/>
  <c r="AH209" i="34" s="1"/>
  <c r="AE210" i="34"/>
  <c r="AE211" i="34"/>
  <c r="AH211" i="34" s="1"/>
  <c r="AE212" i="34"/>
  <c r="AH212" i="34" s="1"/>
  <c r="AE213" i="34"/>
  <c r="AE214" i="34"/>
  <c r="AH214" i="34" s="1"/>
  <c r="AE215" i="34"/>
  <c r="AH215" i="34" s="1"/>
  <c r="AE216" i="34"/>
  <c r="AE217" i="34"/>
  <c r="AE218" i="34"/>
  <c r="AE219" i="34"/>
  <c r="AE220" i="34"/>
  <c r="AE221" i="34"/>
  <c r="AH221" i="34" s="1"/>
  <c r="AE222" i="34"/>
  <c r="AE223" i="34"/>
  <c r="AE224" i="34"/>
  <c r="AE225" i="34"/>
  <c r="AE226" i="34"/>
  <c r="AE227" i="34"/>
  <c r="AE228" i="34"/>
  <c r="AE229" i="34"/>
  <c r="AE230" i="34"/>
  <c r="AE231" i="34"/>
  <c r="AE232" i="34"/>
  <c r="AE233" i="34"/>
  <c r="AH233" i="34" s="1"/>
  <c r="AE234" i="34"/>
  <c r="AE235" i="34"/>
  <c r="AE236" i="34"/>
  <c r="AE237" i="34"/>
  <c r="AE238" i="34"/>
  <c r="AE239" i="34"/>
  <c r="AH239" i="34" s="1"/>
  <c r="AE240" i="34"/>
  <c r="AH240" i="34" s="1"/>
  <c r="AE241" i="34"/>
  <c r="AE242" i="34"/>
  <c r="AE243" i="34"/>
  <c r="AE244" i="34"/>
  <c r="AE245" i="34"/>
  <c r="AH245" i="34" s="1"/>
  <c r="AE246" i="34"/>
  <c r="AE247" i="34"/>
  <c r="AH247" i="34" s="1"/>
  <c r="AE248" i="34"/>
  <c r="AH248" i="34" s="1"/>
  <c r="AE249" i="34"/>
  <c r="AE250" i="34"/>
  <c r="AH250" i="34" s="1"/>
  <c r="AE251" i="34"/>
  <c r="AH251" i="34" s="1"/>
  <c r="AE252" i="34"/>
  <c r="AH252" i="34" s="1"/>
  <c r="AE253" i="34"/>
  <c r="AE254" i="34"/>
  <c r="AE255" i="34"/>
  <c r="AE256" i="34"/>
  <c r="AH256" i="34" s="1"/>
  <c r="AE257" i="34"/>
  <c r="AH257" i="34" s="1"/>
  <c r="AE258" i="34"/>
  <c r="AE259" i="34"/>
  <c r="AH259" i="34" s="1"/>
  <c r="AE260" i="34"/>
  <c r="AH260" i="34" s="1"/>
  <c r="AE261" i="34"/>
  <c r="AE262" i="34"/>
  <c r="AH262" i="34" s="1"/>
  <c r="AE263" i="34"/>
  <c r="AH263" i="34" s="1"/>
  <c r="AE264" i="34"/>
  <c r="AH264" i="34" s="1"/>
  <c r="AE265" i="34"/>
  <c r="AE266" i="34"/>
  <c r="AE267" i="34"/>
  <c r="AE268" i="34"/>
  <c r="AE269" i="34"/>
  <c r="AH269" i="34" s="1"/>
  <c r="AE270" i="34"/>
  <c r="AE271" i="34"/>
  <c r="AH271" i="34" s="1"/>
  <c r="AE272" i="34"/>
  <c r="AH272" i="34" s="1"/>
  <c r="AE273" i="34"/>
  <c r="AE274" i="34"/>
  <c r="AH274" i="34" s="1"/>
  <c r="AE275" i="34"/>
  <c r="AH275" i="34" s="1"/>
  <c r="AE276" i="34"/>
  <c r="AH276" i="34" s="1"/>
  <c r="AE277" i="34"/>
  <c r="AE278" i="34"/>
  <c r="AE279" i="34"/>
  <c r="AE280" i="34"/>
  <c r="AE281" i="34"/>
  <c r="AH281" i="34" s="1"/>
  <c r="AE282" i="34"/>
  <c r="AE283" i="34"/>
  <c r="AH283" i="34" s="1"/>
  <c r="AE284" i="34"/>
  <c r="AH284" i="34" s="1"/>
  <c r="AE285" i="34"/>
  <c r="AE286" i="34"/>
  <c r="AH286" i="34" s="1"/>
  <c r="AE287" i="34"/>
  <c r="AH287" i="34" s="1"/>
  <c r="AE288" i="34"/>
  <c r="AH288" i="34" s="1"/>
  <c r="AE289" i="34"/>
  <c r="AE290" i="34"/>
  <c r="AE291" i="34"/>
  <c r="AH291" i="34" s="1"/>
  <c r="AE292" i="34"/>
  <c r="AE293" i="34"/>
  <c r="AH293" i="34" s="1"/>
  <c r="AE294" i="34"/>
  <c r="AE295" i="34"/>
  <c r="AE296" i="34"/>
  <c r="AE297" i="34"/>
  <c r="AE298" i="34"/>
  <c r="AE299" i="34"/>
  <c r="AH299" i="34" s="1"/>
  <c r="AE300" i="34"/>
  <c r="AH300" i="34" s="1"/>
  <c r="AE301" i="34"/>
  <c r="AE302" i="34"/>
  <c r="AE303" i="34"/>
  <c r="AH303" i="34" s="1"/>
  <c r="AE304" i="34"/>
  <c r="AE305" i="34"/>
  <c r="AH305" i="34" s="1"/>
  <c r="AE306" i="34"/>
  <c r="AE307" i="34"/>
  <c r="AH307" i="34" s="1"/>
  <c r="AE308" i="34"/>
  <c r="AH308" i="34" s="1"/>
  <c r="AE309" i="34"/>
  <c r="AE310" i="34"/>
  <c r="AE311" i="34"/>
  <c r="AH311" i="34" s="1"/>
  <c r="AE312" i="34"/>
  <c r="AH312" i="34" s="1"/>
  <c r="AE313" i="34"/>
  <c r="AE314" i="34"/>
  <c r="AE315" i="34"/>
  <c r="AH315" i="34" s="1"/>
  <c r="AE316" i="34"/>
  <c r="AE317" i="34"/>
  <c r="AH317" i="34" s="1"/>
  <c r="AE318" i="34"/>
  <c r="AE319" i="34"/>
  <c r="AH319" i="34" s="1"/>
  <c r="AE320" i="34"/>
  <c r="AH320" i="34" s="1"/>
  <c r="AE321" i="34"/>
  <c r="AH321" i="34" s="1"/>
  <c r="AE322" i="34"/>
  <c r="AE323" i="34"/>
  <c r="AH323" i="34" s="1"/>
  <c r="AE324" i="34"/>
  <c r="AH324" i="34" s="1"/>
  <c r="AE325" i="34"/>
  <c r="AE326" i="34"/>
  <c r="AE327" i="34"/>
  <c r="AE328" i="34"/>
  <c r="AE329" i="34"/>
  <c r="AH329" i="34" s="1"/>
  <c r="AE330" i="34"/>
  <c r="AE331" i="34"/>
  <c r="AE332" i="34"/>
  <c r="AE333" i="34"/>
  <c r="AH333" i="34" s="1"/>
  <c r="AE334" i="34"/>
  <c r="AE335" i="34"/>
  <c r="AH335" i="34" s="1"/>
  <c r="AE336" i="34"/>
  <c r="AH336" i="34" s="1"/>
  <c r="AE337" i="34"/>
  <c r="AE338" i="34"/>
  <c r="AE339" i="34"/>
  <c r="AE340" i="34"/>
  <c r="AE341" i="34"/>
  <c r="AH341" i="34" s="1"/>
  <c r="AE342" i="34"/>
  <c r="AE343" i="34"/>
  <c r="AE344" i="34"/>
  <c r="AE345" i="34"/>
  <c r="AE346" i="34"/>
  <c r="AE347" i="34"/>
  <c r="AH347" i="34" s="1"/>
  <c r="AE348" i="34"/>
  <c r="AH348" i="34" s="1"/>
  <c r="AE349" i="34"/>
  <c r="AE350" i="34"/>
  <c r="AE351" i="34"/>
  <c r="AH351" i="34" s="1"/>
  <c r="AE352" i="34"/>
  <c r="AE353" i="34"/>
  <c r="AH353" i="34" s="1"/>
  <c r="AE354" i="34"/>
  <c r="AE355" i="34"/>
  <c r="AE356" i="34"/>
  <c r="AE357" i="34"/>
  <c r="AH357" i="34" s="1"/>
  <c r="AE358" i="34"/>
  <c r="AE359" i="34"/>
  <c r="AH359" i="34" s="1"/>
  <c r="AE360" i="34"/>
  <c r="AH360" i="34" s="1"/>
  <c r="AE361" i="34"/>
  <c r="AE362" i="34"/>
  <c r="AE363" i="34"/>
  <c r="AG763" i="34"/>
  <c r="AE763" i="34"/>
  <c r="AH763" i="34" s="1"/>
  <c r="AG762" i="34"/>
  <c r="AE762" i="34"/>
  <c r="AH762" i="34" s="1"/>
  <c r="AG761" i="34"/>
  <c r="AE761" i="34"/>
  <c r="AH761" i="34" s="1"/>
  <c r="AG760" i="34"/>
  <c r="AE760" i="34"/>
  <c r="AH760" i="34" s="1"/>
  <c r="AG759" i="34"/>
  <c r="AE759" i="34"/>
  <c r="AH759" i="34" s="1"/>
  <c r="AG758" i="34"/>
  <c r="AE758" i="34"/>
  <c r="AG757" i="34"/>
  <c r="AE757" i="34"/>
  <c r="AG756" i="34"/>
  <c r="AE756" i="34"/>
  <c r="AH756" i="34" s="1"/>
  <c r="AG755" i="34"/>
  <c r="AE755" i="34"/>
  <c r="AH755" i="34" s="1"/>
  <c r="AG754" i="34"/>
  <c r="AE754" i="34"/>
  <c r="AH754" i="34" s="1"/>
  <c r="AG753" i="34"/>
  <c r="AE753" i="34"/>
  <c r="AH753" i="34" s="1"/>
  <c r="AG752" i="34"/>
  <c r="AE752" i="34"/>
  <c r="AG751" i="34"/>
  <c r="AE751" i="34"/>
  <c r="AG750" i="34"/>
  <c r="AE750" i="34"/>
  <c r="AG749" i="34"/>
  <c r="AE749" i="34"/>
  <c r="AG748" i="34"/>
  <c r="AE748" i="34"/>
  <c r="AG747" i="34"/>
  <c r="AE747" i="34"/>
  <c r="AG746" i="34"/>
  <c r="AE746" i="34"/>
  <c r="AG745" i="34"/>
  <c r="AE745" i="34"/>
  <c r="AH745" i="34" s="1"/>
  <c r="AG744" i="34"/>
  <c r="AE744" i="34"/>
  <c r="AH744" i="34" s="1"/>
  <c r="AG743" i="34"/>
  <c r="AE743" i="34"/>
  <c r="AH743" i="34" s="1"/>
  <c r="AG742" i="34"/>
  <c r="AE742" i="34"/>
  <c r="AH742" i="34" s="1"/>
  <c r="AG741" i="34"/>
  <c r="AE741" i="34"/>
  <c r="AH741" i="34" s="1"/>
  <c r="AG740" i="34"/>
  <c r="AE740" i="34"/>
  <c r="AH740" i="34" s="1"/>
  <c r="AG739" i="34"/>
  <c r="AE739" i="34"/>
  <c r="AG738" i="34"/>
  <c r="AE738" i="34"/>
  <c r="AH738" i="34" s="1"/>
  <c r="AG737" i="34"/>
  <c r="AE737" i="34"/>
  <c r="AH737" i="34" s="1"/>
  <c r="AG736" i="34"/>
  <c r="AE736" i="34"/>
  <c r="AG735" i="34"/>
  <c r="AE735" i="34"/>
  <c r="AG734" i="34"/>
  <c r="AE734" i="34"/>
  <c r="AG733" i="34"/>
  <c r="AE733" i="34"/>
  <c r="AG732" i="34"/>
  <c r="AE732" i="34"/>
  <c r="AG731" i="34"/>
  <c r="AE731" i="34"/>
  <c r="AH731" i="34" s="1"/>
  <c r="AG730" i="34"/>
  <c r="AE730" i="34"/>
  <c r="AG729" i="34"/>
  <c r="AE729" i="34"/>
  <c r="AG728" i="34"/>
  <c r="AE728" i="34"/>
  <c r="AG727" i="34"/>
  <c r="AE727" i="34"/>
  <c r="AH727" i="34" s="1"/>
  <c r="AG726" i="34"/>
  <c r="AE726" i="34"/>
  <c r="AG725" i="34"/>
  <c r="AE725" i="34"/>
  <c r="AH725" i="34" s="1"/>
  <c r="AG724" i="34"/>
  <c r="AE724" i="34"/>
  <c r="AH724" i="34" s="1"/>
  <c r="AG723" i="34"/>
  <c r="AE723" i="34"/>
  <c r="AG722" i="34"/>
  <c r="AE722" i="34"/>
  <c r="AG721" i="34"/>
  <c r="AE721" i="34"/>
  <c r="AG720" i="34"/>
  <c r="AE720" i="34"/>
  <c r="AG719" i="34"/>
  <c r="AE719" i="34"/>
  <c r="AG718" i="34"/>
  <c r="AE718" i="34"/>
  <c r="AG717" i="34"/>
  <c r="AE717" i="34"/>
  <c r="AG716" i="34"/>
  <c r="AE716" i="34"/>
  <c r="AG715" i="34"/>
  <c r="AE715" i="34"/>
  <c r="AH715" i="34" s="1"/>
  <c r="AG714" i="34"/>
  <c r="AE714" i="34"/>
  <c r="AG713" i="34"/>
  <c r="AE713" i="34"/>
  <c r="AG712" i="34"/>
  <c r="AE712" i="34"/>
  <c r="AG711" i="34"/>
  <c r="AE711" i="34"/>
  <c r="AG710" i="34"/>
  <c r="AE710" i="34"/>
  <c r="AG709" i="34"/>
  <c r="AE709" i="34"/>
  <c r="AH709" i="34" s="1"/>
  <c r="AG708" i="34"/>
  <c r="AE708" i="34"/>
  <c r="AG707" i="34"/>
  <c r="AE707" i="34"/>
  <c r="AG706" i="34"/>
  <c r="AE706" i="34"/>
  <c r="AG705" i="34"/>
  <c r="AE705" i="34"/>
  <c r="AG704" i="34"/>
  <c r="AE704" i="34"/>
  <c r="AG703" i="34"/>
  <c r="AE703" i="34"/>
  <c r="AH703" i="34" s="1"/>
  <c r="AG702" i="34"/>
  <c r="AE702" i="34"/>
  <c r="AH702" i="34" s="1"/>
  <c r="AG701" i="34"/>
  <c r="AE701" i="34"/>
  <c r="AH701" i="34" s="1"/>
  <c r="AG700" i="34"/>
  <c r="AE700" i="34"/>
  <c r="AG699" i="34"/>
  <c r="AE699" i="34"/>
  <c r="AH699" i="34" s="1"/>
  <c r="AG698" i="34"/>
  <c r="AE698" i="34"/>
  <c r="AG697" i="34"/>
  <c r="AE697" i="34"/>
  <c r="AH697" i="34" s="1"/>
  <c r="AG696" i="34"/>
  <c r="AE696" i="34"/>
  <c r="AG695" i="34"/>
  <c r="AE695" i="34"/>
  <c r="AG694" i="34"/>
  <c r="AE694" i="34"/>
  <c r="AG693" i="34"/>
  <c r="AE693" i="34"/>
  <c r="AH693" i="34" s="1"/>
  <c r="AG692" i="34"/>
  <c r="AE692" i="34"/>
  <c r="AH692" i="34" s="1"/>
  <c r="AG691" i="34"/>
  <c r="AE691" i="34"/>
  <c r="AH691" i="34" s="1"/>
  <c r="AG690" i="34"/>
  <c r="AE690" i="34"/>
  <c r="AG689" i="34"/>
  <c r="AE689" i="34"/>
  <c r="AH689" i="34" s="1"/>
  <c r="AG688" i="34"/>
  <c r="AE688" i="34"/>
  <c r="AG687" i="34"/>
  <c r="AE687" i="34"/>
  <c r="AH687" i="34" s="1"/>
  <c r="AG686" i="34"/>
  <c r="AE686" i="34"/>
  <c r="AG685" i="34"/>
  <c r="AE685" i="34"/>
  <c r="AG684" i="34"/>
  <c r="AE684" i="34"/>
  <c r="AH684" i="34" s="1"/>
  <c r="AG683" i="34"/>
  <c r="AE683" i="34"/>
  <c r="AH683" i="34" s="1"/>
  <c r="AG682" i="34"/>
  <c r="AE682" i="34"/>
  <c r="AG681" i="34"/>
  <c r="AE681" i="34"/>
  <c r="AH681" i="34" s="1"/>
  <c r="AG680" i="34"/>
  <c r="AE680" i="34"/>
  <c r="AH680" i="34" s="1"/>
  <c r="AG679" i="34"/>
  <c r="AE679" i="34"/>
  <c r="AG678" i="34"/>
  <c r="AE678" i="34"/>
  <c r="AH678" i="34" s="1"/>
  <c r="AG677" i="34"/>
  <c r="AE677" i="34"/>
  <c r="AG676" i="34"/>
  <c r="AE676" i="34"/>
  <c r="AH676" i="34" s="1"/>
  <c r="AG675" i="34"/>
  <c r="AE675" i="34"/>
  <c r="AG674" i="34"/>
  <c r="AE674" i="34"/>
  <c r="AG673" i="34"/>
  <c r="AE673" i="34"/>
  <c r="AG672" i="34"/>
  <c r="AE672" i="34"/>
  <c r="AH672" i="34" s="1"/>
  <c r="AG671" i="34"/>
  <c r="AE671" i="34"/>
  <c r="AH671" i="34" s="1"/>
  <c r="AG670" i="34"/>
  <c r="AE670" i="34"/>
  <c r="AG669" i="34"/>
  <c r="AE669" i="34"/>
  <c r="AG668" i="34"/>
  <c r="AE668" i="34"/>
  <c r="AG667" i="34"/>
  <c r="AE667" i="34"/>
  <c r="AH667" i="34" s="1"/>
  <c r="AG666" i="34"/>
  <c r="AE666" i="34"/>
  <c r="AG665" i="34"/>
  <c r="AE665" i="34"/>
  <c r="AG664" i="34"/>
  <c r="AE664" i="34"/>
  <c r="AG663" i="34"/>
  <c r="AE663" i="34"/>
  <c r="AG662" i="34"/>
  <c r="AE662" i="34"/>
  <c r="AH662" i="34" s="1"/>
  <c r="AG661" i="34"/>
  <c r="AE661" i="34"/>
  <c r="AG660" i="34"/>
  <c r="AE660" i="34"/>
  <c r="AH660" i="34" s="1"/>
  <c r="AG659" i="34"/>
  <c r="AE659" i="34"/>
  <c r="AH659" i="34" s="1"/>
  <c r="AG658" i="34"/>
  <c r="AE658" i="34"/>
  <c r="AG657" i="34"/>
  <c r="AE657" i="34"/>
  <c r="AG656" i="34"/>
  <c r="AE656" i="34"/>
  <c r="AG655" i="34"/>
  <c r="AE655" i="34"/>
  <c r="AG654" i="34"/>
  <c r="AE654" i="34"/>
  <c r="AH654" i="34" s="1"/>
  <c r="AG653" i="34"/>
  <c r="AE653" i="34"/>
  <c r="AG652" i="34"/>
  <c r="AE652" i="34"/>
  <c r="AG651" i="34"/>
  <c r="AE651" i="34"/>
  <c r="AG650" i="34"/>
  <c r="AE650" i="34"/>
  <c r="AG649" i="34"/>
  <c r="AE649" i="34"/>
  <c r="AG648" i="34"/>
  <c r="AE648" i="34"/>
  <c r="AH648" i="34" s="1"/>
  <c r="AG647" i="34"/>
  <c r="AE647" i="34"/>
  <c r="AH647" i="34" s="1"/>
  <c r="AG646" i="34"/>
  <c r="AE646" i="34"/>
  <c r="AG645" i="34"/>
  <c r="AE645" i="34"/>
  <c r="AG644" i="34"/>
  <c r="AE644" i="34"/>
  <c r="AG643" i="34"/>
  <c r="AE643" i="34"/>
  <c r="AG642" i="34"/>
  <c r="AE642" i="34"/>
  <c r="AH642" i="34" s="1"/>
  <c r="AG641" i="34"/>
  <c r="AE641" i="34"/>
  <c r="AH641" i="34" s="1"/>
  <c r="AG640" i="34"/>
  <c r="AE640" i="34"/>
  <c r="AG639" i="34"/>
  <c r="AE639" i="34"/>
  <c r="AG638" i="34"/>
  <c r="AE638" i="34"/>
  <c r="AH638" i="34" s="1"/>
  <c r="AG637" i="34"/>
  <c r="AE637" i="34"/>
  <c r="AG636" i="34"/>
  <c r="AE636" i="34"/>
  <c r="AH636" i="34" s="1"/>
  <c r="AG635" i="34"/>
  <c r="AE635" i="34"/>
  <c r="AH635" i="34" s="1"/>
  <c r="AH634" i="34"/>
  <c r="AG634" i="34"/>
  <c r="AE634" i="34"/>
  <c r="AG633" i="34"/>
  <c r="AE633" i="34"/>
  <c r="AH633" i="34" s="1"/>
  <c r="AG632" i="34"/>
  <c r="AE632" i="34"/>
  <c r="AG631" i="34"/>
  <c r="AE631" i="34"/>
  <c r="AH631" i="34" s="1"/>
  <c r="AG630" i="34"/>
  <c r="AE630" i="34"/>
  <c r="AH630" i="34" s="1"/>
  <c r="AG629" i="34"/>
  <c r="AE629" i="34"/>
  <c r="AH629" i="34" s="1"/>
  <c r="AG628" i="34"/>
  <c r="AE628" i="34"/>
  <c r="AH628" i="34" s="1"/>
  <c r="AG627" i="34"/>
  <c r="AE627" i="34"/>
  <c r="AH627" i="34" s="1"/>
  <c r="AG626" i="34"/>
  <c r="AE626" i="34"/>
  <c r="AH626" i="34" s="1"/>
  <c r="AG625" i="34"/>
  <c r="AE625" i="34"/>
  <c r="AH625" i="34" s="1"/>
  <c r="AG624" i="34"/>
  <c r="AE624" i="34"/>
  <c r="AG623" i="34"/>
  <c r="AE623" i="34"/>
  <c r="AH623" i="34" s="1"/>
  <c r="AG622" i="34"/>
  <c r="AE622" i="34"/>
  <c r="AH622" i="34" s="1"/>
  <c r="AG621" i="34"/>
  <c r="AE621" i="34"/>
  <c r="AG620" i="34"/>
  <c r="AE620" i="34"/>
  <c r="AH620" i="34" s="1"/>
  <c r="AG619" i="34"/>
  <c r="AE619" i="34"/>
  <c r="AH619" i="34" s="1"/>
  <c r="AG618" i="34"/>
  <c r="AE618" i="34"/>
  <c r="AG617" i="34"/>
  <c r="AE617" i="34"/>
  <c r="AH617" i="34" s="1"/>
  <c r="AG616" i="34"/>
  <c r="AE616" i="34"/>
  <c r="AG615" i="34"/>
  <c r="AE615" i="34"/>
  <c r="AH615" i="34" s="1"/>
  <c r="AG614" i="34"/>
  <c r="AE614" i="34"/>
  <c r="AH614" i="34" s="1"/>
  <c r="AG613" i="34"/>
  <c r="AE613" i="34"/>
  <c r="AH613" i="34" s="1"/>
  <c r="AG612" i="34"/>
  <c r="AE612" i="34"/>
  <c r="AH612" i="34" s="1"/>
  <c r="AG611" i="34"/>
  <c r="AE611" i="34"/>
  <c r="AH611" i="34" s="1"/>
  <c r="AG610" i="34"/>
  <c r="AE610" i="34"/>
  <c r="AG609" i="34"/>
  <c r="AE609" i="34"/>
  <c r="AG608" i="34"/>
  <c r="AE608" i="34"/>
  <c r="AH608" i="34" s="1"/>
  <c r="AG607" i="34"/>
  <c r="AE607" i="34"/>
  <c r="AH607" i="34" s="1"/>
  <c r="AG606" i="34"/>
  <c r="AE606" i="34"/>
  <c r="AH606" i="34" s="1"/>
  <c r="AG605" i="34"/>
  <c r="AE605" i="34"/>
  <c r="AH605" i="34" s="1"/>
  <c r="AG604" i="34"/>
  <c r="AE604" i="34"/>
  <c r="AG603" i="34"/>
  <c r="AE603" i="34"/>
  <c r="AG602" i="34"/>
  <c r="AE602" i="34"/>
  <c r="AG601" i="34"/>
  <c r="AE601" i="34"/>
  <c r="AG600" i="34"/>
  <c r="AE600" i="34"/>
  <c r="AG599" i="34"/>
  <c r="AE599" i="34"/>
  <c r="AH599" i="34" s="1"/>
  <c r="AG598" i="34"/>
  <c r="AE598" i="34"/>
  <c r="AH598" i="34" s="1"/>
  <c r="AG597" i="34"/>
  <c r="AE597" i="34"/>
  <c r="AG596" i="34"/>
  <c r="AE596" i="34"/>
  <c r="AH596" i="34" s="1"/>
  <c r="AG595" i="34"/>
  <c r="AE595" i="34"/>
  <c r="AG594" i="34"/>
  <c r="AE594" i="34"/>
  <c r="AH594" i="34" s="1"/>
  <c r="AG593" i="34"/>
  <c r="AE593" i="34"/>
  <c r="AG592" i="34"/>
  <c r="AE592" i="34"/>
  <c r="AG591" i="34"/>
  <c r="AE591" i="34"/>
  <c r="AG590" i="34"/>
  <c r="AE590" i="34"/>
  <c r="AH590" i="34" s="1"/>
  <c r="AG589" i="34"/>
  <c r="AE589" i="34"/>
  <c r="AH589" i="34" s="1"/>
  <c r="AG588" i="34"/>
  <c r="AE588" i="34"/>
  <c r="AH588" i="34" s="1"/>
  <c r="AG587" i="34"/>
  <c r="AH587" i="34" s="1"/>
  <c r="AE587" i="34"/>
  <c r="AG586" i="34"/>
  <c r="AE586" i="34"/>
  <c r="AG585" i="34"/>
  <c r="AE585" i="34"/>
  <c r="AH585" i="34" s="1"/>
  <c r="AG584" i="34"/>
  <c r="AE584" i="34"/>
  <c r="AH584" i="34" s="1"/>
  <c r="AG583" i="34"/>
  <c r="AE583" i="34"/>
  <c r="AH583" i="34" s="1"/>
  <c r="AG582" i="34"/>
  <c r="AE582" i="34"/>
  <c r="AH582" i="34" s="1"/>
  <c r="AG581" i="34"/>
  <c r="AE581" i="34"/>
  <c r="AG580" i="34"/>
  <c r="AE580" i="34"/>
  <c r="AG579" i="34"/>
  <c r="AE579" i="34"/>
  <c r="AG578" i="34"/>
  <c r="AE578" i="34"/>
  <c r="AH578" i="34" s="1"/>
  <c r="AG577" i="34"/>
  <c r="AE577" i="34"/>
  <c r="AH577" i="34" s="1"/>
  <c r="AG576" i="34"/>
  <c r="AE576" i="34"/>
  <c r="AH576" i="34" s="1"/>
  <c r="AG575" i="34"/>
  <c r="AH575" i="34" s="1"/>
  <c r="AE575" i="34"/>
  <c r="AG574" i="34"/>
  <c r="AE574" i="34"/>
  <c r="AG573" i="34"/>
  <c r="AE573" i="34"/>
  <c r="AH573" i="34" s="1"/>
  <c r="AG572" i="34"/>
  <c r="AE572" i="34"/>
  <c r="AH572" i="34" s="1"/>
  <c r="AG571" i="34"/>
  <c r="AE571" i="34"/>
  <c r="AH571" i="34" s="1"/>
  <c r="AG570" i="34"/>
  <c r="AE570" i="34"/>
  <c r="AH570" i="34" s="1"/>
  <c r="AG569" i="34"/>
  <c r="AE569" i="34"/>
  <c r="AG568" i="34"/>
  <c r="AE568" i="34"/>
  <c r="AG567" i="34"/>
  <c r="AE567" i="34"/>
  <c r="AH567" i="34" s="1"/>
  <c r="AG566" i="34"/>
  <c r="AE566" i="34"/>
  <c r="AH566" i="34" s="1"/>
  <c r="AG565" i="34"/>
  <c r="AE565" i="34"/>
  <c r="AH565" i="34" s="1"/>
  <c r="AG564" i="34"/>
  <c r="AE564" i="34"/>
  <c r="AH564" i="34" s="1"/>
  <c r="AG563" i="34"/>
  <c r="AH563" i="34" s="1"/>
  <c r="AE563" i="34"/>
  <c r="AG562" i="34"/>
  <c r="AE562" i="34"/>
  <c r="AG561" i="34"/>
  <c r="AE561" i="34"/>
  <c r="AH561" i="34" s="1"/>
  <c r="AG560" i="34"/>
  <c r="AE560" i="34"/>
  <c r="AH560" i="34" s="1"/>
  <c r="AG559" i="34"/>
  <c r="AE559" i="34"/>
  <c r="AH559" i="34" s="1"/>
  <c r="AG558" i="34"/>
  <c r="AE558" i="34"/>
  <c r="AH558" i="34" s="1"/>
  <c r="AG557" i="34"/>
  <c r="AE557" i="34"/>
  <c r="AG556" i="34"/>
  <c r="AE556" i="34"/>
  <c r="AG555" i="34"/>
  <c r="AE555" i="34"/>
  <c r="AG554" i="34"/>
  <c r="AE554" i="34"/>
  <c r="AH554" i="34" s="1"/>
  <c r="AG553" i="34"/>
  <c r="AE553" i="34"/>
  <c r="AH553" i="34" s="1"/>
  <c r="AG552" i="34"/>
  <c r="AE552" i="34"/>
  <c r="AH552" i="34" s="1"/>
  <c r="AG551" i="34"/>
  <c r="AH551" i="34" s="1"/>
  <c r="AE551" i="34"/>
  <c r="AG550" i="34"/>
  <c r="AE550" i="34"/>
  <c r="AG549" i="34"/>
  <c r="AE549" i="34"/>
  <c r="AH549" i="34" s="1"/>
  <c r="AG548" i="34"/>
  <c r="AE548" i="34"/>
  <c r="AH548" i="34" s="1"/>
  <c r="AG547" i="34"/>
  <c r="AE547" i="34"/>
  <c r="AH547" i="34" s="1"/>
  <c r="AG546" i="34"/>
  <c r="AE546" i="34"/>
  <c r="AH546" i="34" s="1"/>
  <c r="AG545" i="34"/>
  <c r="AE545" i="34"/>
  <c r="AG544" i="34"/>
  <c r="AE544" i="34"/>
  <c r="AG543" i="34"/>
  <c r="AE543" i="34"/>
  <c r="AG542" i="34"/>
  <c r="AE542" i="34"/>
  <c r="AH542" i="34" s="1"/>
  <c r="AG541" i="34"/>
  <c r="AE541" i="34"/>
  <c r="AH541" i="34" s="1"/>
  <c r="AG540" i="34"/>
  <c r="AE540" i="34"/>
  <c r="AH540" i="34" s="1"/>
  <c r="AG539" i="34"/>
  <c r="AH539" i="34" s="1"/>
  <c r="AE539" i="34"/>
  <c r="AG538" i="34"/>
  <c r="AE538" i="34"/>
  <c r="AG537" i="34"/>
  <c r="AE537" i="34"/>
  <c r="AG536" i="34"/>
  <c r="AE536" i="34"/>
  <c r="AH536" i="34" s="1"/>
  <c r="AG535" i="34"/>
  <c r="AE535" i="34"/>
  <c r="AH535" i="34" s="1"/>
  <c r="AG534" i="34"/>
  <c r="AE534" i="34"/>
  <c r="AH534" i="34" s="1"/>
  <c r="AG533" i="34"/>
  <c r="AE533" i="34"/>
  <c r="AG532" i="34"/>
  <c r="AE532" i="34"/>
  <c r="AG531" i="34"/>
  <c r="AE531" i="34"/>
  <c r="AH531" i="34" s="1"/>
  <c r="AG530" i="34"/>
  <c r="AE530" i="34"/>
  <c r="AH530" i="34" s="1"/>
  <c r="AG529" i="34"/>
  <c r="AE529" i="34"/>
  <c r="AH529" i="34" s="1"/>
  <c r="AG528" i="34"/>
  <c r="AE528" i="34"/>
  <c r="AH528" i="34" s="1"/>
  <c r="AG527" i="34"/>
  <c r="AH527" i="34" s="1"/>
  <c r="AE527" i="34"/>
  <c r="AG526" i="34"/>
  <c r="AE526" i="34"/>
  <c r="AG525" i="34"/>
  <c r="AE525" i="34"/>
  <c r="AG524" i="34"/>
  <c r="AE524" i="34"/>
  <c r="AH524" i="34" s="1"/>
  <c r="AG523" i="34"/>
  <c r="AE523" i="34"/>
  <c r="AH523" i="34" s="1"/>
  <c r="AG522" i="34"/>
  <c r="AE522" i="34"/>
  <c r="AH522" i="34" s="1"/>
  <c r="AG521" i="34"/>
  <c r="AE521" i="34"/>
  <c r="AG520" i="34"/>
  <c r="AE520" i="34"/>
  <c r="AG519" i="34"/>
  <c r="AE519" i="34"/>
  <c r="AH519" i="34" s="1"/>
  <c r="AG518" i="34"/>
  <c r="AE518" i="34"/>
  <c r="AH518" i="34" s="1"/>
  <c r="AG517" i="34"/>
  <c r="AE517" i="34"/>
  <c r="AH517" i="34" s="1"/>
  <c r="AG516" i="34"/>
  <c r="AE516" i="34"/>
  <c r="AH516" i="34" s="1"/>
  <c r="AG515" i="34"/>
  <c r="AH515" i="34" s="1"/>
  <c r="AE515" i="34"/>
  <c r="AG514" i="34"/>
  <c r="AE514" i="34"/>
  <c r="AG513" i="34"/>
  <c r="AE513" i="34"/>
  <c r="AH513" i="34" s="1"/>
  <c r="AG512" i="34"/>
  <c r="AE512" i="34"/>
  <c r="AH512" i="34" s="1"/>
  <c r="AG511" i="34"/>
  <c r="AE511" i="34"/>
  <c r="AH511" i="34" s="1"/>
  <c r="AG510" i="34"/>
  <c r="AE510" i="34"/>
  <c r="AH510" i="34" s="1"/>
  <c r="AG509" i="34"/>
  <c r="AE509" i="34"/>
  <c r="AG508" i="34"/>
  <c r="AE508" i="34"/>
  <c r="AG507" i="34"/>
  <c r="AE507" i="34"/>
  <c r="AH507" i="34" s="1"/>
  <c r="AG506" i="34"/>
  <c r="AE506" i="34"/>
  <c r="AH506" i="34" s="1"/>
  <c r="AG505" i="34"/>
  <c r="AE505" i="34"/>
  <c r="AH505" i="34" s="1"/>
  <c r="AG504" i="34"/>
  <c r="AE504" i="34"/>
  <c r="AH504" i="34" s="1"/>
  <c r="AG503" i="34"/>
  <c r="AE503" i="34"/>
  <c r="AH503" i="34" s="1"/>
  <c r="AG502" i="34"/>
  <c r="AE502" i="34"/>
  <c r="AG501" i="34"/>
  <c r="AE501" i="34"/>
  <c r="AG500" i="34"/>
  <c r="AE500" i="34"/>
  <c r="AH500" i="34" s="1"/>
  <c r="AG499" i="34"/>
  <c r="AE499" i="34"/>
  <c r="AH499" i="34" s="1"/>
  <c r="AG498" i="34"/>
  <c r="AE498" i="34"/>
  <c r="AH498" i="34" s="1"/>
  <c r="AG497" i="34"/>
  <c r="AE497" i="34"/>
  <c r="AG496" i="34"/>
  <c r="AE496" i="34"/>
  <c r="AG495" i="34"/>
  <c r="AE495" i="34"/>
  <c r="AH495" i="34" s="1"/>
  <c r="AG494" i="34"/>
  <c r="AE494" i="34"/>
  <c r="AH494" i="34" s="1"/>
  <c r="AG493" i="34"/>
  <c r="AE493" i="34"/>
  <c r="AH493" i="34" s="1"/>
  <c r="AG492" i="34"/>
  <c r="AE492" i="34"/>
  <c r="AH492" i="34" s="1"/>
  <c r="AG491" i="34"/>
  <c r="AH491" i="34" s="1"/>
  <c r="AE491" i="34"/>
  <c r="AG490" i="34"/>
  <c r="AE490" i="34"/>
  <c r="AG489" i="34"/>
  <c r="AE489" i="34"/>
  <c r="AH489" i="34" s="1"/>
  <c r="AG488" i="34"/>
  <c r="AE488" i="34"/>
  <c r="AH488" i="34" s="1"/>
  <c r="AG487" i="34"/>
  <c r="AE487" i="34"/>
  <c r="AH487" i="34" s="1"/>
  <c r="AG486" i="34"/>
  <c r="AE486" i="34"/>
  <c r="AH486" i="34" s="1"/>
  <c r="AG485" i="34"/>
  <c r="AE485" i="34"/>
  <c r="AG484" i="34"/>
  <c r="AE484" i="34"/>
  <c r="AG483" i="34"/>
  <c r="AE483" i="34"/>
  <c r="AG482" i="34"/>
  <c r="AE482" i="34"/>
  <c r="AH482" i="34" s="1"/>
  <c r="AG481" i="34"/>
  <c r="AE481" i="34"/>
  <c r="AH481" i="34" s="1"/>
  <c r="AG480" i="34"/>
  <c r="AE480" i="34"/>
  <c r="AH480" i="34" s="1"/>
  <c r="AG479" i="34"/>
  <c r="AH479" i="34" s="1"/>
  <c r="AE479" i="34"/>
  <c r="AG478" i="34"/>
  <c r="AE478" i="34"/>
  <c r="AG477" i="34"/>
  <c r="AE477" i="34"/>
  <c r="AH477" i="34" s="1"/>
  <c r="AG476" i="34"/>
  <c r="AE476" i="34"/>
  <c r="AH476" i="34" s="1"/>
  <c r="AG475" i="34"/>
  <c r="AE475" i="34"/>
  <c r="AH475" i="34" s="1"/>
  <c r="AG474" i="34"/>
  <c r="AE474" i="34"/>
  <c r="AH474" i="34" s="1"/>
  <c r="AG473" i="34"/>
  <c r="AE473" i="34"/>
  <c r="AG472" i="34"/>
  <c r="AE472" i="34"/>
  <c r="AG471" i="34"/>
  <c r="AE471" i="34"/>
  <c r="AH471" i="34" s="1"/>
  <c r="AG470" i="34"/>
  <c r="AE470" i="34"/>
  <c r="AH470" i="34" s="1"/>
  <c r="AG469" i="34"/>
  <c r="AE469" i="34"/>
  <c r="AH469" i="34" s="1"/>
  <c r="AG468" i="34"/>
  <c r="AE468" i="34"/>
  <c r="AH468" i="34" s="1"/>
  <c r="AG467" i="34"/>
  <c r="AH467" i="34" s="1"/>
  <c r="AE467" i="34"/>
  <c r="AG466" i="34"/>
  <c r="AE466" i="34"/>
  <c r="AG465" i="34"/>
  <c r="AE465" i="34"/>
  <c r="AH465" i="34" s="1"/>
  <c r="AG464" i="34"/>
  <c r="AE464" i="34"/>
  <c r="AH464" i="34" s="1"/>
  <c r="AG463" i="34"/>
  <c r="AE463" i="34"/>
  <c r="AH463" i="34" s="1"/>
  <c r="AG462" i="34"/>
  <c r="AE462" i="34"/>
  <c r="AH462" i="34" s="1"/>
  <c r="AG461" i="34"/>
  <c r="AE461" i="34"/>
  <c r="AG460" i="34"/>
  <c r="AE460" i="34"/>
  <c r="AH460" i="34" s="1"/>
  <c r="AG459" i="34"/>
  <c r="AE459" i="34"/>
  <c r="AH459" i="34" s="1"/>
  <c r="AG458" i="34"/>
  <c r="AE458" i="34"/>
  <c r="AH458" i="34" s="1"/>
  <c r="AG457" i="34"/>
  <c r="AE457" i="34"/>
  <c r="AH457" i="34" s="1"/>
  <c r="AG456" i="34"/>
  <c r="AE456" i="34"/>
  <c r="AH456" i="34" s="1"/>
  <c r="AG455" i="34"/>
  <c r="AE455" i="34"/>
  <c r="AH455" i="34" s="1"/>
  <c r="AG454" i="34"/>
  <c r="AE454" i="34"/>
  <c r="AG453" i="34"/>
  <c r="AE453" i="34"/>
  <c r="AH453" i="34" s="1"/>
  <c r="AG452" i="34"/>
  <c r="AE452" i="34"/>
  <c r="AH452" i="34" s="1"/>
  <c r="AG451" i="34"/>
  <c r="AE451" i="34"/>
  <c r="AH451" i="34" s="1"/>
  <c r="AG450" i="34"/>
  <c r="AE450" i="34"/>
  <c r="AH450" i="34" s="1"/>
  <c r="AG449" i="34"/>
  <c r="AE449" i="34"/>
  <c r="AG448" i="34"/>
  <c r="AE448" i="34"/>
  <c r="AG447" i="34"/>
  <c r="AE447" i="34"/>
  <c r="AH447" i="34" s="1"/>
  <c r="AG446" i="34"/>
  <c r="AE446" i="34"/>
  <c r="AH446" i="34" s="1"/>
  <c r="AG445" i="34"/>
  <c r="AE445" i="34"/>
  <c r="AH445" i="34" s="1"/>
  <c r="AG444" i="34"/>
  <c r="AE444" i="34"/>
  <c r="AH444" i="34" s="1"/>
  <c r="AG443" i="34"/>
  <c r="AH443" i="34" s="1"/>
  <c r="AE443" i="34"/>
  <c r="AG442" i="34"/>
  <c r="AE442" i="34"/>
  <c r="AG441" i="34"/>
  <c r="AE441" i="34"/>
  <c r="AG440" i="34"/>
  <c r="AE440" i="34"/>
  <c r="AH440" i="34" s="1"/>
  <c r="AG439" i="34"/>
  <c r="AE439" i="34"/>
  <c r="AH439" i="34" s="1"/>
  <c r="AG438" i="34"/>
  <c r="AE438" i="34"/>
  <c r="AH438" i="34" s="1"/>
  <c r="AG437" i="34"/>
  <c r="AE437" i="34"/>
  <c r="AG436" i="34"/>
  <c r="AE436" i="34"/>
  <c r="AG435" i="34"/>
  <c r="AE435" i="34"/>
  <c r="AH435" i="34" s="1"/>
  <c r="AG434" i="34"/>
  <c r="AE434" i="34"/>
  <c r="AH434" i="34" s="1"/>
  <c r="AG433" i="34"/>
  <c r="AE433" i="34"/>
  <c r="AH433" i="34" s="1"/>
  <c r="AG432" i="34"/>
  <c r="AE432" i="34"/>
  <c r="AH432" i="34" s="1"/>
  <c r="AG431" i="34"/>
  <c r="AH431" i="34" s="1"/>
  <c r="AE431" i="34"/>
  <c r="AG430" i="34"/>
  <c r="AE430" i="34"/>
  <c r="AG429" i="34"/>
  <c r="AE429" i="34"/>
  <c r="AH429" i="34" s="1"/>
  <c r="AG428" i="34"/>
  <c r="AE428" i="34"/>
  <c r="AH428" i="34" s="1"/>
  <c r="AG427" i="34"/>
  <c r="AE427" i="34"/>
  <c r="AH427" i="34" s="1"/>
  <c r="AG426" i="34"/>
  <c r="AE426" i="34"/>
  <c r="AH426" i="34" s="1"/>
  <c r="AG425" i="34"/>
  <c r="AE425" i="34"/>
  <c r="AG424" i="34"/>
  <c r="AE424" i="34"/>
  <c r="AG423" i="34"/>
  <c r="AE423" i="34"/>
  <c r="AG422" i="34"/>
  <c r="AE422" i="34"/>
  <c r="AH422" i="34" s="1"/>
  <c r="AG421" i="34"/>
  <c r="AE421" i="34"/>
  <c r="AH421" i="34" s="1"/>
  <c r="AG420" i="34"/>
  <c r="AE420" i="34"/>
  <c r="AH420" i="34" s="1"/>
  <c r="AG419" i="34"/>
  <c r="AH419" i="34" s="1"/>
  <c r="AE419" i="34"/>
  <c r="AG418" i="34"/>
  <c r="AE418" i="34"/>
  <c r="AG417" i="34"/>
  <c r="AE417" i="34"/>
  <c r="AH417" i="34" s="1"/>
  <c r="AG416" i="34"/>
  <c r="AE416" i="34"/>
  <c r="AH416" i="34" s="1"/>
  <c r="AG415" i="34"/>
  <c r="AE415" i="34"/>
  <c r="AH415" i="34" s="1"/>
  <c r="AG414" i="34"/>
  <c r="AE414" i="34"/>
  <c r="AH414" i="34" s="1"/>
  <c r="AG413" i="34"/>
  <c r="AE413" i="34"/>
  <c r="AG412" i="34"/>
  <c r="AE412" i="34"/>
  <c r="AG411" i="34"/>
  <c r="AE411" i="34"/>
  <c r="AH411" i="34" s="1"/>
  <c r="AG410" i="34"/>
  <c r="AE410" i="34"/>
  <c r="AH410" i="34" s="1"/>
  <c r="AG409" i="34"/>
  <c r="AE409" i="34"/>
  <c r="AH409" i="34" s="1"/>
  <c r="AG408" i="34"/>
  <c r="AE408" i="34"/>
  <c r="AH408" i="34" s="1"/>
  <c r="AG407" i="34"/>
  <c r="AH407" i="34" s="1"/>
  <c r="AE407" i="34"/>
  <c r="AG406" i="34"/>
  <c r="AE406" i="34"/>
  <c r="AG405" i="34"/>
  <c r="AE405" i="34"/>
  <c r="AH405" i="34" s="1"/>
  <c r="AG404" i="34"/>
  <c r="AE404" i="34"/>
  <c r="AH404" i="34" s="1"/>
  <c r="AG403" i="34"/>
  <c r="AE403" i="34"/>
  <c r="AH403" i="34" s="1"/>
  <c r="AG402" i="34"/>
  <c r="AE402" i="34"/>
  <c r="AH402" i="34" s="1"/>
  <c r="AG401" i="34"/>
  <c r="AE401" i="34"/>
  <c r="AG400" i="34"/>
  <c r="AE400" i="34"/>
  <c r="AG399" i="34"/>
  <c r="AE399" i="34"/>
  <c r="AG398" i="34"/>
  <c r="AE398" i="34"/>
  <c r="AH398" i="34" s="1"/>
  <c r="AG397" i="34"/>
  <c r="AE397" i="34"/>
  <c r="AH397" i="34" s="1"/>
  <c r="AG396" i="34"/>
  <c r="AE396" i="34"/>
  <c r="AH396" i="34" s="1"/>
  <c r="AG395" i="34"/>
  <c r="AH395" i="34" s="1"/>
  <c r="AE395" i="34"/>
  <c r="AG394" i="34"/>
  <c r="AE394" i="34"/>
  <c r="AG393" i="34"/>
  <c r="AE393" i="34"/>
  <c r="AH393" i="34" s="1"/>
  <c r="AG392" i="34"/>
  <c r="AE392" i="34"/>
  <c r="AH392" i="34" s="1"/>
  <c r="AG391" i="34"/>
  <c r="AE391" i="34"/>
  <c r="AH391" i="34" s="1"/>
  <c r="AG390" i="34"/>
  <c r="AE390" i="34"/>
  <c r="AH390" i="34" s="1"/>
  <c r="AG389" i="34"/>
  <c r="AE389" i="34"/>
  <c r="AG388" i="34"/>
  <c r="AE388" i="34"/>
  <c r="AG387" i="34"/>
  <c r="AE387" i="34"/>
  <c r="AH387" i="34" s="1"/>
  <c r="AG386" i="34"/>
  <c r="AE386" i="34"/>
  <c r="AH386" i="34" s="1"/>
  <c r="AG385" i="34"/>
  <c r="AE385" i="34"/>
  <c r="AH385" i="34" s="1"/>
  <c r="AG384" i="34"/>
  <c r="AE384" i="34"/>
  <c r="AH384" i="34" s="1"/>
  <c r="AG383" i="34"/>
  <c r="AH383" i="34" s="1"/>
  <c r="AE383" i="34"/>
  <c r="AG382" i="34"/>
  <c r="AE382" i="34"/>
  <c r="AG381" i="34"/>
  <c r="AE381" i="34"/>
  <c r="AG380" i="34"/>
  <c r="AE380" i="34"/>
  <c r="AH380" i="34" s="1"/>
  <c r="AG379" i="34"/>
  <c r="AE379" i="34"/>
  <c r="AH379" i="34" s="1"/>
  <c r="AG378" i="34"/>
  <c r="AE378" i="34"/>
  <c r="AH378" i="34" s="1"/>
  <c r="AG377" i="34"/>
  <c r="AE377" i="34"/>
  <c r="AG376" i="34"/>
  <c r="AE376" i="34"/>
  <c r="AG375" i="34"/>
  <c r="AE375" i="34"/>
  <c r="AH375" i="34" s="1"/>
  <c r="AG374" i="34"/>
  <c r="AE374" i="34"/>
  <c r="AH374" i="34" s="1"/>
  <c r="AG373" i="34"/>
  <c r="AE373" i="34"/>
  <c r="AH373" i="34" s="1"/>
  <c r="AG372" i="34"/>
  <c r="AE372" i="34"/>
  <c r="AH372" i="34" s="1"/>
  <c r="AG371" i="34"/>
  <c r="AH371" i="34" s="1"/>
  <c r="AE371" i="34"/>
  <c r="AG370" i="34"/>
  <c r="AE370" i="34"/>
  <c r="AG369" i="34"/>
  <c r="AE369" i="34"/>
  <c r="AH369" i="34" s="1"/>
  <c r="AG368" i="34"/>
  <c r="AE368" i="34"/>
  <c r="AH368" i="34" s="1"/>
  <c r="AG367" i="34"/>
  <c r="AE367" i="34"/>
  <c r="AH367" i="34" s="1"/>
  <c r="AG366" i="34"/>
  <c r="AE366" i="34"/>
  <c r="AH366" i="34" s="1"/>
  <c r="AG365" i="34"/>
  <c r="AE365" i="34"/>
  <c r="AG364" i="34"/>
  <c r="AE364" i="34"/>
  <c r="AG363" i="34"/>
  <c r="AH363" i="34" s="1"/>
  <c r="AG362" i="34"/>
  <c r="AG361" i="34"/>
  <c r="AG360" i="34"/>
  <c r="AG359" i="34"/>
  <c r="AG358" i="34"/>
  <c r="AG357" i="34"/>
  <c r="AG356" i="34"/>
  <c r="AG355" i="34"/>
  <c r="AG354" i="34"/>
  <c r="AG353" i="34"/>
  <c r="AG352" i="34"/>
  <c r="AH352" i="34" s="1"/>
  <c r="AG351" i="34"/>
  <c r="AG350" i="34"/>
  <c r="AG349" i="34"/>
  <c r="AG348" i="34"/>
  <c r="AG347" i="34"/>
  <c r="AG346" i="34"/>
  <c r="AG345" i="34"/>
  <c r="AG344" i="34"/>
  <c r="AG343" i="34"/>
  <c r="AH343" i="34" s="1"/>
  <c r="AG342" i="34"/>
  <c r="AG341" i="34"/>
  <c r="AG340" i="34"/>
  <c r="AG339" i="34"/>
  <c r="AG338" i="34"/>
  <c r="AG337" i="34"/>
  <c r="AG336" i="34"/>
  <c r="AG335" i="34"/>
  <c r="AG334" i="34"/>
  <c r="AG333" i="34"/>
  <c r="AG332" i="34"/>
  <c r="AG331" i="34"/>
  <c r="AG330" i="34"/>
  <c r="AG329" i="34"/>
  <c r="AG328" i="34"/>
  <c r="AH328" i="34" s="1"/>
  <c r="AG327" i="34"/>
  <c r="AG326" i="34"/>
  <c r="AG325" i="34"/>
  <c r="AG324" i="34"/>
  <c r="AG323" i="34"/>
  <c r="AG322" i="34"/>
  <c r="AG321" i="34"/>
  <c r="AG320" i="34"/>
  <c r="AG319" i="34"/>
  <c r="AG318" i="34"/>
  <c r="AG317" i="34"/>
  <c r="AG316" i="34"/>
  <c r="AG315" i="34"/>
  <c r="AG314" i="34"/>
  <c r="AG313" i="34"/>
  <c r="AG312" i="34"/>
  <c r="AG311" i="34"/>
  <c r="AG310" i="34"/>
  <c r="Q42" i="34"/>
  <c r="K41" i="34"/>
  <c r="P39" i="34"/>
  <c r="O39" i="34"/>
  <c r="N39" i="34"/>
  <c r="J39" i="34"/>
  <c r="F39" i="34"/>
  <c r="E39" i="34"/>
  <c r="D39" i="34"/>
  <c r="P38" i="34"/>
  <c r="O38" i="34"/>
  <c r="N38" i="34"/>
  <c r="J38" i="34"/>
  <c r="L38" i="34" s="1"/>
  <c r="F38" i="34"/>
  <c r="E38" i="34"/>
  <c r="D38" i="34"/>
  <c r="P37" i="34"/>
  <c r="O37" i="34"/>
  <c r="N37" i="34"/>
  <c r="J37" i="34"/>
  <c r="L37" i="34" s="1"/>
  <c r="F37" i="34"/>
  <c r="E37" i="34"/>
  <c r="D37" i="34"/>
  <c r="P36" i="34"/>
  <c r="O36" i="34"/>
  <c r="N36" i="34"/>
  <c r="J36" i="34"/>
  <c r="C36" i="34" s="1"/>
  <c r="H36" i="34"/>
  <c r="F36" i="34"/>
  <c r="E36" i="34"/>
  <c r="D36" i="34"/>
  <c r="P35" i="34"/>
  <c r="O35" i="34"/>
  <c r="N35" i="34"/>
  <c r="J35" i="34"/>
  <c r="L35" i="34" s="1"/>
  <c r="F35" i="34"/>
  <c r="E35" i="34"/>
  <c r="D35" i="34"/>
  <c r="P34" i="34"/>
  <c r="O34" i="34"/>
  <c r="N34" i="34"/>
  <c r="J34" i="34"/>
  <c r="F34" i="34"/>
  <c r="E34" i="34"/>
  <c r="D34" i="34"/>
  <c r="P33" i="34"/>
  <c r="O33" i="34"/>
  <c r="N33" i="34"/>
  <c r="J33" i="34"/>
  <c r="F33" i="34"/>
  <c r="E33" i="34"/>
  <c r="D33" i="34"/>
  <c r="P32" i="34"/>
  <c r="O32" i="34"/>
  <c r="N32" i="34"/>
  <c r="J32" i="34"/>
  <c r="L32" i="34" s="1"/>
  <c r="F32" i="34"/>
  <c r="E32" i="34"/>
  <c r="D32" i="34"/>
  <c r="P31" i="34"/>
  <c r="O31" i="34"/>
  <c r="N31" i="34"/>
  <c r="J31" i="34"/>
  <c r="L31" i="34" s="1"/>
  <c r="F31" i="34"/>
  <c r="E31" i="34"/>
  <c r="D31" i="34"/>
  <c r="P30" i="34"/>
  <c r="O30" i="34"/>
  <c r="N30" i="34"/>
  <c r="J30" i="34"/>
  <c r="F30" i="34"/>
  <c r="E30" i="34"/>
  <c r="D30" i="34"/>
  <c r="P29" i="34"/>
  <c r="O29" i="34"/>
  <c r="N29" i="34"/>
  <c r="J29" i="34"/>
  <c r="F29" i="34"/>
  <c r="E29" i="34"/>
  <c r="D29" i="34"/>
  <c r="P28" i="34"/>
  <c r="O28" i="34"/>
  <c r="N28" i="34"/>
  <c r="J28" i="34"/>
  <c r="F28" i="34"/>
  <c r="E28" i="34"/>
  <c r="D28" i="34"/>
  <c r="P27" i="34"/>
  <c r="O27" i="34"/>
  <c r="N27" i="34"/>
  <c r="J27" i="34"/>
  <c r="F27" i="34"/>
  <c r="E27" i="34"/>
  <c r="D27" i="34"/>
  <c r="P26" i="34"/>
  <c r="O26" i="34"/>
  <c r="N26" i="34"/>
  <c r="J26" i="34"/>
  <c r="F26" i="34"/>
  <c r="E26" i="34"/>
  <c r="D26" i="34"/>
  <c r="P25" i="34"/>
  <c r="O25" i="34"/>
  <c r="N25" i="34"/>
  <c r="J25" i="34"/>
  <c r="L25" i="34" s="1"/>
  <c r="F25" i="34"/>
  <c r="E25" i="34"/>
  <c r="D25" i="34"/>
  <c r="P24" i="34"/>
  <c r="O24" i="34"/>
  <c r="N24" i="34"/>
  <c r="J24" i="34"/>
  <c r="L24" i="34" s="1"/>
  <c r="F24" i="34"/>
  <c r="E24" i="34"/>
  <c r="D24" i="34"/>
  <c r="P23" i="34"/>
  <c r="O23" i="34"/>
  <c r="N23" i="34"/>
  <c r="J23" i="34"/>
  <c r="F23" i="34"/>
  <c r="E23" i="34"/>
  <c r="D23" i="34"/>
  <c r="P22" i="34"/>
  <c r="O22" i="34"/>
  <c r="N22" i="34"/>
  <c r="J22" i="34"/>
  <c r="F22" i="34"/>
  <c r="E22" i="34"/>
  <c r="D22" i="34"/>
  <c r="P21" i="34"/>
  <c r="O21" i="34"/>
  <c r="N21" i="34"/>
  <c r="J21" i="34"/>
  <c r="F21" i="34"/>
  <c r="E21" i="34"/>
  <c r="D21" i="34"/>
  <c r="P20" i="34"/>
  <c r="O20" i="34"/>
  <c r="N20" i="34"/>
  <c r="J20" i="34"/>
  <c r="F20" i="34"/>
  <c r="E20" i="34"/>
  <c r="D20" i="34"/>
  <c r="P19" i="34"/>
  <c r="O19" i="34"/>
  <c r="N19" i="34"/>
  <c r="J19" i="34"/>
  <c r="C19" i="34" s="1"/>
  <c r="F19" i="34"/>
  <c r="E19" i="34"/>
  <c r="D19" i="34"/>
  <c r="P18" i="34"/>
  <c r="O18" i="34"/>
  <c r="N18" i="34"/>
  <c r="F18" i="34"/>
  <c r="E18" i="34"/>
  <c r="D18" i="34"/>
  <c r="P17" i="34"/>
  <c r="O17" i="34"/>
  <c r="N17" i="34"/>
  <c r="J17" i="34"/>
  <c r="F17" i="34"/>
  <c r="E17" i="34"/>
  <c r="D17" i="34"/>
  <c r="P16" i="34"/>
  <c r="O16" i="34"/>
  <c r="N16" i="34"/>
  <c r="J16" i="34"/>
  <c r="L16" i="34" s="1"/>
  <c r="F16" i="34"/>
  <c r="E16" i="34"/>
  <c r="D16" i="34"/>
  <c r="P15" i="34"/>
  <c r="O15" i="34"/>
  <c r="N15" i="34"/>
  <c r="J15" i="34"/>
  <c r="F15" i="34"/>
  <c r="E15" i="34"/>
  <c r="D15" i="34"/>
  <c r="P14" i="34"/>
  <c r="O14" i="34"/>
  <c r="N14" i="34"/>
  <c r="J14" i="34"/>
  <c r="L14" i="34" s="1"/>
  <c r="F14" i="34"/>
  <c r="E14" i="34"/>
  <c r="D14" i="34"/>
  <c r="P13" i="34"/>
  <c r="O13" i="34"/>
  <c r="N13" i="34"/>
  <c r="J13" i="34"/>
  <c r="L13" i="34" s="1"/>
  <c r="F13" i="34"/>
  <c r="E13" i="34"/>
  <c r="D13" i="34"/>
  <c r="P12" i="34"/>
  <c r="O12" i="34"/>
  <c r="N12" i="34"/>
  <c r="J12" i="34"/>
  <c r="C12" i="34" s="1"/>
  <c r="F12" i="34"/>
  <c r="E12" i="34"/>
  <c r="D12" i="34"/>
  <c r="P11" i="34"/>
  <c r="O11" i="34"/>
  <c r="N11" i="34"/>
  <c r="J11" i="34"/>
  <c r="F11" i="34"/>
  <c r="E11" i="34"/>
  <c r="D11" i="34"/>
  <c r="P10" i="34"/>
  <c r="O10" i="34"/>
  <c r="N10" i="34"/>
  <c r="J10" i="34"/>
  <c r="L10" i="34" s="1"/>
  <c r="F10" i="34"/>
  <c r="E10" i="34"/>
  <c r="D10" i="34"/>
  <c r="AE8" i="34"/>
  <c r="AE7" i="34"/>
  <c r="AG6" i="34"/>
  <c r="AE6" i="34"/>
  <c r="AG5" i="34"/>
  <c r="AE5" i="34"/>
  <c r="AH218" i="32"/>
  <c r="AG219" i="32"/>
  <c r="AH219" i="32" s="1"/>
  <c r="AG220" i="32"/>
  <c r="AH220" i="32" s="1"/>
  <c r="AG221" i="32"/>
  <c r="AH221" i="32" s="1"/>
  <c r="AG222" i="32"/>
  <c r="AH222" i="32" s="1"/>
  <c r="AE219" i="32"/>
  <c r="AE220" i="32"/>
  <c r="AE221" i="32"/>
  <c r="AE222" i="32"/>
  <c r="AE223" i="32"/>
  <c r="AH29" i="34" l="1"/>
  <c r="AH356" i="34"/>
  <c r="AH25" i="34"/>
  <c r="AH273" i="34"/>
  <c r="AH213" i="34"/>
  <c r="AH8" i="34"/>
  <c r="AH58" i="34"/>
  <c r="AH306" i="34"/>
  <c r="AH294" i="34"/>
  <c r="AH282" i="34"/>
  <c r="AH270" i="34"/>
  <c r="AH258" i="34"/>
  <c r="AH246" i="34"/>
  <c r="AH222" i="34"/>
  <c r="AH210" i="34"/>
  <c r="AH364" i="34"/>
  <c r="AH370" i="34"/>
  <c r="AH388" i="34"/>
  <c r="AH406" i="34"/>
  <c r="AH412" i="34"/>
  <c r="AH430" i="34"/>
  <c r="AH448" i="34"/>
  <c r="AH454" i="34"/>
  <c r="AH466" i="34"/>
  <c r="AH472" i="34"/>
  <c r="AH490" i="34"/>
  <c r="AH496" i="34"/>
  <c r="AH508" i="34"/>
  <c r="AH514" i="34"/>
  <c r="AH526" i="34"/>
  <c r="AH532" i="34"/>
  <c r="AH544" i="34"/>
  <c r="AH550" i="34"/>
  <c r="AH562" i="34"/>
  <c r="AH568" i="34"/>
  <c r="AH580" i="34"/>
  <c r="AH586" i="34"/>
  <c r="AH621" i="34"/>
  <c r="AH645" i="34"/>
  <c r="AH651" i="34"/>
  <c r="AH674" i="34"/>
  <c r="AH704" i="34"/>
  <c r="AH710" i="34"/>
  <c r="AH716" i="34"/>
  <c r="AH722" i="34"/>
  <c r="AH728" i="34"/>
  <c r="AH734" i="34"/>
  <c r="AH17" i="34"/>
  <c r="AH712" i="34"/>
  <c r="AH730" i="34"/>
  <c r="AH344" i="34"/>
  <c r="AH332" i="34"/>
  <c r="AH37" i="34"/>
  <c r="AH309" i="34"/>
  <c r="AH285" i="34"/>
  <c r="AH261" i="34"/>
  <c r="AH249" i="34"/>
  <c r="AH225" i="34"/>
  <c r="AH201" i="34"/>
  <c r="AH720" i="34"/>
  <c r="AH355" i="34"/>
  <c r="AH331" i="34"/>
  <c r="AH685" i="34"/>
  <c r="AH750" i="34"/>
  <c r="AH656" i="34"/>
  <c r="AH327" i="34"/>
  <c r="AH9" i="34"/>
  <c r="AH318" i="34"/>
  <c r="AH330" i="34"/>
  <c r="AH342" i="34"/>
  <c r="AH354" i="34"/>
  <c r="AH652" i="34"/>
  <c r="AH658" i="34"/>
  <c r="AH664" i="34"/>
  <c r="AH670" i="34"/>
  <c r="AH711" i="34"/>
  <c r="AH717" i="34"/>
  <c r="AH723" i="34"/>
  <c r="AH752" i="34"/>
  <c r="AH302" i="34"/>
  <c r="AH290" i="34"/>
  <c r="AH278" i="34"/>
  <c r="AH266" i="34"/>
  <c r="AH254" i="34"/>
  <c r="AH242" i="34"/>
  <c r="AH243" i="34"/>
  <c r="AH144" i="34"/>
  <c r="AH726" i="34"/>
  <c r="AH732" i="34"/>
  <c r="AH132" i="34"/>
  <c r="AH228" i="34"/>
  <c r="AH167" i="34"/>
  <c r="AH119" i="34"/>
  <c r="AH646" i="34"/>
  <c r="AH180" i="34"/>
  <c r="AH168" i="34"/>
  <c r="AH120" i="34"/>
  <c r="AH108" i="34"/>
  <c r="AH216" i="34"/>
  <c r="AH204" i="34"/>
  <c r="AH179" i="34"/>
  <c r="AH143" i="34"/>
  <c r="AH131" i="34"/>
  <c r="AH107" i="34"/>
  <c r="AH624" i="34"/>
  <c r="AH358" i="34"/>
  <c r="AH346" i="34"/>
  <c r="AH334" i="34"/>
  <c r="AH322" i="34"/>
  <c r="AH310" i="34"/>
  <c r="AH675" i="34"/>
  <c r="AH176" i="34"/>
  <c r="AH200" i="34"/>
  <c r="AH139" i="34"/>
  <c r="C27" i="34"/>
  <c r="AH597" i="34"/>
  <c r="AH603" i="34"/>
  <c r="AH609" i="34"/>
  <c r="AH655" i="34"/>
  <c r="AH694" i="34"/>
  <c r="AH700" i="34"/>
  <c r="AH705" i="34"/>
  <c r="AH198" i="34"/>
  <c r="AH59" i="34"/>
  <c r="AH721" i="34"/>
  <c r="AH698" i="34"/>
  <c r="AH665" i="34"/>
  <c r="AH140" i="34"/>
  <c r="AH116" i="34"/>
  <c r="AH48" i="34"/>
  <c r="AH224" i="34"/>
  <c r="AH163" i="34"/>
  <c r="AH115" i="34"/>
  <c r="AH365" i="34"/>
  <c r="AH377" i="34"/>
  <c r="AH389" i="34"/>
  <c r="AH401" i="34"/>
  <c r="AH413" i="34"/>
  <c r="AH425" i="34"/>
  <c r="AH437" i="34"/>
  <c r="AH449" i="34"/>
  <c r="AH461" i="34"/>
  <c r="AH473" i="34"/>
  <c r="AH485" i="34"/>
  <c r="AH497" i="34"/>
  <c r="AH509" i="34"/>
  <c r="AH521" i="34"/>
  <c r="AH533" i="34"/>
  <c r="AH545" i="34"/>
  <c r="AH557" i="34"/>
  <c r="AH569" i="34"/>
  <c r="AH581" i="34"/>
  <c r="AH593" i="34"/>
  <c r="AH616" i="34"/>
  <c r="AH747" i="34"/>
  <c r="AH231" i="34"/>
  <c r="AH219" i="34"/>
  <c r="AH207" i="34"/>
  <c r="AH195" i="34"/>
  <c r="AH99" i="34"/>
  <c r="AH87" i="34"/>
  <c r="AH362" i="34"/>
  <c r="AH350" i="34"/>
  <c r="AH338" i="34"/>
  <c r="AH326" i="34"/>
  <c r="AH314" i="34"/>
  <c r="AH98" i="34"/>
  <c r="AH86" i="34"/>
  <c r="AH12" i="34"/>
  <c r="AH686" i="34"/>
  <c r="AH15" i="34"/>
  <c r="AH164" i="34"/>
  <c r="AH602" i="34"/>
  <c r="AH24" i="34"/>
  <c r="C15" i="34"/>
  <c r="G15" i="34" s="1"/>
  <c r="AH113" i="34"/>
  <c r="AH101" i="34"/>
  <c r="AH89" i="34"/>
  <c r="H21" i="34" s="1"/>
  <c r="I21" i="34" s="1"/>
  <c r="AH5" i="34"/>
  <c r="C26" i="34"/>
  <c r="G26" i="34" s="1"/>
  <c r="AH663" i="34"/>
  <c r="AH669" i="34"/>
  <c r="AH708" i="34"/>
  <c r="AH714" i="34"/>
  <c r="AH748" i="34"/>
  <c r="AH361" i="34"/>
  <c r="AH349" i="34"/>
  <c r="AH337" i="34"/>
  <c r="AH325" i="34"/>
  <c r="AH313" i="34"/>
  <c r="AH301" i="34"/>
  <c r="AH289" i="34"/>
  <c r="AH277" i="34"/>
  <c r="AH265" i="34"/>
  <c r="AH253" i="34"/>
  <c r="AH241" i="34"/>
  <c r="AH229" i="34"/>
  <c r="AH217" i="34"/>
  <c r="AH205" i="34"/>
  <c r="AH193" i="34"/>
  <c r="AH181" i="34"/>
  <c r="AH169" i="34"/>
  <c r="AH97" i="34"/>
  <c r="AH85" i="34"/>
  <c r="H20" i="34" s="1"/>
  <c r="I20" i="34" s="1"/>
  <c r="AH63" i="34"/>
  <c r="AH51" i="34"/>
  <c r="AH227" i="34"/>
  <c r="AH203" i="34"/>
  <c r="AH178" i="34"/>
  <c r="AH166" i="34"/>
  <c r="AH142" i="34"/>
  <c r="AH118" i="34"/>
  <c r="AH26" i="34"/>
  <c r="AH604" i="34"/>
  <c r="AH610" i="34"/>
  <c r="AH632" i="34"/>
  <c r="AH637" i="34"/>
  <c r="AH643" i="34"/>
  <c r="AH649" i="34"/>
  <c r="AH666" i="34"/>
  <c r="AH677" i="34"/>
  <c r="AH682" i="34"/>
  <c r="AH733" i="34"/>
  <c r="AH739" i="34"/>
  <c r="AH238" i="34"/>
  <c r="H32" i="34" s="1"/>
  <c r="I32" i="34" s="1"/>
  <c r="AH226" i="34"/>
  <c r="AH202" i="34"/>
  <c r="AH177" i="34"/>
  <c r="H28" i="34" s="1"/>
  <c r="I28" i="34" s="1"/>
  <c r="AH165" i="34"/>
  <c r="AH141" i="34"/>
  <c r="AH117" i="34"/>
  <c r="AH600" i="34"/>
  <c r="AH639" i="34"/>
  <c r="AH644" i="34"/>
  <c r="AH650" i="34"/>
  <c r="AH673" i="34"/>
  <c r="AH695" i="34"/>
  <c r="AH706" i="34"/>
  <c r="AH718" i="34"/>
  <c r="AH729" i="34"/>
  <c r="AH735" i="34"/>
  <c r="AH751" i="34"/>
  <c r="AH757" i="34"/>
  <c r="AH223" i="34"/>
  <c r="AH199" i="34"/>
  <c r="AH162" i="34"/>
  <c r="AH102" i="34"/>
  <c r="AH70" i="34"/>
  <c r="AH595" i="34"/>
  <c r="AH601" i="34"/>
  <c r="AH640" i="34"/>
  <c r="AH657" i="34"/>
  <c r="AH668" i="34"/>
  <c r="AH679" i="34"/>
  <c r="AH690" i="34"/>
  <c r="AH696" i="34"/>
  <c r="AH707" i="34"/>
  <c r="AH713" i="34"/>
  <c r="AH719" i="34"/>
  <c r="AH736" i="34"/>
  <c r="AH746" i="34"/>
  <c r="AH758" i="34"/>
  <c r="AH232" i="34"/>
  <c r="AH220" i="34"/>
  <c r="AH208" i="34"/>
  <c r="AH196" i="34"/>
  <c r="AH100" i="34"/>
  <c r="AH88" i="34"/>
  <c r="Q30" i="34"/>
  <c r="Q17" i="34"/>
  <c r="Q22" i="34"/>
  <c r="AH230" i="34"/>
  <c r="AH218" i="34"/>
  <c r="AH206" i="34"/>
  <c r="AH194" i="34"/>
  <c r="H30" i="34"/>
  <c r="I30" i="34" s="1"/>
  <c r="C29" i="34"/>
  <c r="AH183" i="34"/>
  <c r="AH171" i="34"/>
  <c r="AH159" i="34"/>
  <c r="AH182" i="34"/>
  <c r="AH170" i="34"/>
  <c r="AH158" i="34"/>
  <c r="Q31" i="34"/>
  <c r="Q36" i="34"/>
  <c r="Q13" i="34"/>
  <c r="Q33" i="34"/>
  <c r="AH147" i="34"/>
  <c r="AH135" i="34"/>
  <c r="AH123" i="34"/>
  <c r="AH111" i="34"/>
  <c r="C23" i="34"/>
  <c r="G23" i="34" s="1"/>
  <c r="AH106" i="34"/>
  <c r="AH94" i="34"/>
  <c r="C20" i="34"/>
  <c r="G20" i="34" s="1"/>
  <c r="C22" i="34"/>
  <c r="G22" i="34" s="1"/>
  <c r="Q11" i="34"/>
  <c r="Q18" i="34"/>
  <c r="Q25" i="34"/>
  <c r="Q12" i="34"/>
  <c r="Q19" i="34"/>
  <c r="Q39" i="34"/>
  <c r="AH43" i="34"/>
  <c r="AH65" i="34"/>
  <c r="AH53" i="34"/>
  <c r="AH41" i="34"/>
  <c r="AH31" i="34"/>
  <c r="AH19" i="34"/>
  <c r="AH10" i="34"/>
  <c r="H13" i="34" s="1"/>
  <c r="I13" i="34" s="1"/>
  <c r="AH68" i="34"/>
  <c r="AH56" i="34"/>
  <c r="AH44" i="34"/>
  <c r="AH34" i="34"/>
  <c r="AH22" i="34"/>
  <c r="AH67" i="34"/>
  <c r="AH55" i="34"/>
  <c r="AH33" i="34"/>
  <c r="AH21" i="34"/>
  <c r="AH66" i="34"/>
  <c r="AH54" i="34"/>
  <c r="AH42" i="34"/>
  <c r="AH32" i="34"/>
  <c r="AH20" i="34"/>
  <c r="AH11" i="34"/>
  <c r="H18" i="34"/>
  <c r="I18" i="34" s="1"/>
  <c r="AH64" i="34"/>
  <c r="AH52" i="34"/>
  <c r="AH30" i="34"/>
  <c r="AH18" i="34"/>
  <c r="AH62" i="34"/>
  <c r="AH50" i="34"/>
  <c r="AH40" i="34"/>
  <c r="AH28" i="34"/>
  <c r="AH16" i="34"/>
  <c r="AH73" i="34"/>
  <c r="AH61" i="34"/>
  <c r="AH49" i="34"/>
  <c r="AH39" i="34"/>
  <c r="AH27" i="34"/>
  <c r="Q37" i="34"/>
  <c r="Q16" i="34"/>
  <c r="Q26" i="34"/>
  <c r="Q29" i="34"/>
  <c r="AH6" i="34"/>
  <c r="AH7" i="34"/>
  <c r="C32" i="34"/>
  <c r="G32" i="34" s="1"/>
  <c r="C31" i="34"/>
  <c r="G31" i="34" s="1"/>
  <c r="G19" i="34"/>
  <c r="Q24" i="34"/>
  <c r="Q21" i="34"/>
  <c r="L28" i="34"/>
  <c r="C28" i="34"/>
  <c r="G28" i="34" s="1"/>
  <c r="L19" i="34"/>
  <c r="H12" i="34"/>
  <c r="I12" i="34" s="1"/>
  <c r="G27" i="34"/>
  <c r="G12" i="34"/>
  <c r="Q34" i="34"/>
  <c r="L22" i="34"/>
  <c r="L23" i="34"/>
  <c r="Q38" i="34"/>
  <c r="Q23" i="34"/>
  <c r="Q32" i="34"/>
  <c r="G29" i="34"/>
  <c r="Q20" i="34"/>
  <c r="C25" i="34"/>
  <c r="G25" i="34" s="1"/>
  <c r="Q15" i="34"/>
  <c r="Q28" i="34"/>
  <c r="Q35" i="34"/>
  <c r="D41" i="34"/>
  <c r="Q14" i="34"/>
  <c r="G36" i="34"/>
  <c r="E41" i="34"/>
  <c r="F41" i="34"/>
  <c r="H26" i="34"/>
  <c r="I26" i="34" s="1"/>
  <c r="H25" i="34"/>
  <c r="I25" i="34" s="1"/>
  <c r="H37" i="34"/>
  <c r="I37" i="34" s="1"/>
  <c r="C11" i="34"/>
  <c r="G11" i="34" s="1"/>
  <c r="J41" i="34"/>
  <c r="L11" i="34"/>
  <c r="L34" i="34"/>
  <c r="C34" i="34"/>
  <c r="G34" i="34" s="1"/>
  <c r="C16" i="34"/>
  <c r="G16" i="34" s="1"/>
  <c r="H19" i="34"/>
  <c r="I19" i="34" s="1"/>
  <c r="H33" i="34"/>
  <c r="I33" i="34" s="1"/>
  <c r="O41" i="34"/>
  <c r="L20" i="34"/>
  <c r="L29" i="34"/>
  <c r="C30" i="34"/>
  <c r="G30" i="34" s="1"/>
  <c r="L30" i="34"/>
  <c r="C13" i="34"/>
  <c r="G13" i="34" s="1"/>
  <c r="C37" i="34"/>
  <c r="G37" i="34" s="1"/>
  <c r="H38" i="34"/>
  <c r="I38" i="34" s="1"/>
  <c r="C38" i="34"/>
  <c r="G38" i="34" s="1"/>
  <c r="C39" i="34"/>
  <c r="G39" i="34" s="1"/>
  <c r="L39" i="34"/>
  <c r="N41" i="34"/>
  <c r="Q10" i="34"/>
  <c r="C14" i="34"/>
  <c r="G14" i="34" s="1"/>
  <c r="C17" i="34"/>
  <c r="G17" i="34" s="1"/>
  <c r="L15" i="34"/>
  <c r="I36" i="34"/>
  <c r="P41" i="34"/>
  <c r="C21" i="34"/>
  <c r="G21" i="34" s="1"/>
  <c r="L21" i="34"/>
  <c r="C35" i="34"/>
  <c r="G35" i="34" s="1"/>
  <c r="AH661" i="34"/>
  <c r="AH653" i="34"/>
  <c r="L26" i="34"/>
  <c r="L36" i="34"/>
  <c r="H34" i="34"/>
  <c r="I34" i="34" s="1"/>
  <c r="H39" i="34"/>
  <c r="I39" i="34" s="1"/>
  <c r="C10" i="34"/>
  <c r="Q27" i="34"/>
  <c r="H35" i="34"/>
  <c r="I35" i="34" s="1"/>
  <c r="L17" i="34"/>
  <c r="L27" i="34"/>
  <c r="L12" i="34"/>
  <c r="C18" i="34"/>
  <c r="G18" i="34" s="1"/>
  <c r="C24" i="34"/>
  <c r="G24" i="34" s="1"/>
  <c r="H11" i="34"/>
  <c r="I11" i="34" s="1"/>
  <c r="C33" i="34"/>
  <c r="G33" i="34" s="1"/>
  <c r="AH618" i="34"/>
  <c r="AH688" i="34"/>
  <c r="AH749" i="34"/>
  <c r="H14" i="34" l="1"/>
  <c r="I14" i="34" s="1"/>
  <c r="H29" i="34"/>
  <c r="I29" i="34" s="1"/>
  <c r="H31" i="34"/>
  <c r="I31" i="34" s="1"/>
  <c r="H23" i="34"/>
  <c r="I23" i="34" s="1"/>
  <c r="H27" i="34"/>
  <c r="I27" i="34" s="1"/>
  <c r="H17" i="34"/>
  <c r="I17" i="34" s="1"/>
  <c r="H15" i="34"/>
  <c r="I15" i="34" s="1"/>
  <c r="H22" i="34"/>
  <c r="I22" i="34" s="1"/>
  <c r="H24" i="34"/>
  <c r="I24" i="34" s="1"/>
  <c r="H10" i="34"/>
  <c r="I10" i="34" s="1"/>
  <c r="Q41" i="34"/>
  <c r="L41" i="34"/>
  <c r="K42" i="34" s="1"/>
  <c r="H16" i="34"/>
  <c r="I16" i="34" s="1"/>
  <c r="C41" i="34"/>
  <c r="G10" i="34"/>
  <c r="G41" i="34" s="1"/>
  <c r="L42" i="34" l="1"/>
  <c r="D42" i="34"/>
  <c r="F42" i="34"/>
  <c r="E42" i="34"/>
  <c r="C42" i="34"/>
  <c r="J42" i="34"/>
  <c r="I41" i="34"/>
  <c r="H41" i="34"/>
  <c r="AH12" i="32" l="1"/>
  <c r="AH13" i="32"/>
  <c r="AH14" i="32"/>
  <c r="AH15" i="32"/>
  <c r="AH16" i="32"/>
  <c r="AH17" i="32"/>
  <c r="AH24" i="32"/>
  <c r="AH25" i="32"/>
  <c r="AH26" i="32"/>
  <c r="AH27" i="32"/>
  <c r="AH28" i="32"/>
  <c r="AH29" i="32"/>
  <c r="AH36" i="32"/>
  <c r="AH37" i="32"/>
  <c r="AH38" i="32"/>
  <c r="AH39" i="32"/>
  <c r="AH40" i="32"/>
  <c r="AH41" i="32"/>
  <c r="AH48" i="32"/>
  <c r="AH49" i="32"/>
  <c r="AH50" i="32"/>
  <c r="AH51" i="32"/>
  <c r="AH52" i="32"/>
  <c r="AH53" i="32"/>
  <c r="AH55" i="32"/>
  <c r="AH60" i="32"/>
  <c r="AH61" i="32"/>
  <c r="AH62" i="32"/>
  <c r="AH63" i="32"/>
  <c r="AH64" i="32"/>
  <c r="AH65" i="32"/>
  <c r="AH67" i="32"/>
  <c r="AH72" i="32"/>
  <c r="AH73" i="32"/>
  <c r="AH74" i="32"/>
  <c r="AH75" i="32"/>
  <c r="AH76" i="32"/>
  <c r="AH77" i="32"/>
  <c r="AH79" i="32"/>
  <c r="AH84" i="32"/>
  <c r="AH85" i="32"/>
  <c r="AH86" i="32"/>
  <c r="AH87" i="32"/>
  <c r="AH88" i="32"/>
  <c r="AH89" i="32"/>
  <c r="AH91" i="32"/>
  <c r="AH96" i="32"/>
  <c r="AH97" i="32"/>
  <c r="AH98" i="32"/>
  <c r="AH99" i="32"/>
  <c r="AH100" i="32"/>
  <c r="AH101" i="32"/>
  <c r="AH103" i="32"/>
  <c r="AH108" i="32"/>
  <c r="AH109" i="32"/>
  <c r="AH110" i="32"/>
  <c r="AH111" i="32"/>
  <c r="AH112" i="32"/>
  <c r="AH113" i="32"/>
  <c r="AH115" i="32"/>
  <c r="AH120" i="32"/>
  <c r="AH121" i="32"/>
  <c r="AH122" i="32"/>
  <c r="AH123" i="32"/>
  <c r="AH124" i="32"/>
  <c r="AH125" i="32"/>
  <c r="AH127" i="32"/>
  <c r="AH132" i="32"/>
  <c r="AH133" i="32"/>
  <c r="AH134" i="32"/>
  <c r="AH135" i="32"/>
  <c r="AH136" i="32"/>
  <c r="AH137" i="32"/>
  <c r="AH139" i="32"/>
  <c r="AH144" i="32"/>
  <c r="AH145" i="32"/>
  <c r="AH146" i="32"/>
  <c r="AH147" i="32"/>
  <c r="AH148" i="32"/>
  <c r="AH149" i="32"/>
  <c r="AH151" i="32"/>
  <c r="AH156" i="32"/>
  <c r="AH157" i="32"/>
  <c r="AH158" i="32"/>
  <c r="AH159" i="32"/>
  <c r="AH160" i="32"/>
  <c r="AH161" i="32"/>
  <c r="AH163" i="32"/>
  <c r="AH168" i="32"/>
  <c r="AH169" i="32"/>
  <c r="AH170" i="32"/>
  <c r="AH171" i="32"/>
  <c r="AH172" i="32"/>
  <c r="AH173" i="32"/>
  <c r="AH175" i="32"/>
  <c r="AG6" i="32"/>
  <c r="AH6" i="32" s="1"/>
  <c r="AG7" i="32"/>
  <c r="AH7" i="32" s="1"/>
  <c r="AG8" i="32"/>
  <c r="AH8" i="32" s="1"/>
  <c r="AG9" i="32"/>
  <c r="AH9" i="32" s="1"/>
  <c r="AG10" i="32"/>
  <c r="AH10" i="32" s="1"/>
  <c r="AG11" i="32"/>
  <c r="AH11" i="32" s="1"/>
  <c r="AG12" i="32"/>
  <c r="AG13" i="32"/>
  <c r="AG14" i="32"/>
  <c r="AG15" i="32"/>
  <c r="AG16" i="32"/>
  <c r="AG17" i="32"/>
  <c r="AG18" i="32"/>
  <c r="AH18" i="32" s="1"/>
  <c r="AG19" i="32"/>
  <c r="AH19" i="32" s="1"/>
  <c r="AG20" i="32"/>
  <c r="AH20" i="32" s="1"/>
  <c r="AG21" i="32"/>
  <c r="AH21" i="32" s="1"/>
  <c r="AG22" i="32"/>
  <c r="AH22" i="32" s="1"/>
  <c r="AG23" i="32"/>
  <c r="AH23" i="32" s="1"/>
  <c r="AG24" i="32"/>
  <c r="AG25" i="32"/>
  <c r="AG26" i="32"/>
  <c r="AG27" i="32"/>
  <c r="AG28" i="32"/>
  <c r="AG29" i="32"/>
  <c r="AG30" i="32"/>
  <c r="AH30" i="32" s="1"/>
  <c r="AG31" i="32"/>
  <c r="AH31" i="32" s="1"/>
  <c r="AG32" i="32"/>
  <c r="AH32" i="32" s="1"/>
  <c r="AG33" i="32"/>
  <c r="AH33" i="32" s="1"/>
  <c r="AG34" i="32"/>
  <c r="AH34" i="32" s="1"/>
  <c r="AG35" i="32"/>
  <c r="AH35" i="32" s="1"/>
  <c r="AG36" i="32"/>
  <c r="AG37" i="32"/>
  <c r="AG38" i="32"/>
  <c r="AG39" i="32"/>
  <c r="AG40" i="32"/>
  <c r="AG41" i="32"/>
  <c r="AG42" i="32"/>
  <c r="AH42" i="32" s="1"/>
  <c r="AG43" i="32"/>
  <c r="AH43" i="32" s="1"/>
  <c r="AG44" i="32"/>
  <c r="AH44" i="32" s="1"/>
  <c r="AG45" i="32"/>
  <c r="AH45" i="32" s="1"/>
  <c r="AG46" i="32"/>
  <c r="AH46" i="32" s="1"/>
  <c r="AG47" i="32"/>
  <c r="AH47" i="32" s="1"/>
  <c r="AG48" i="32"/>
  <c r="AG49" i="32"/>
  <c r="AG50" i="32"/>
  <c r="AG51" i="32"/>
  <c r="AG52" i="32"/>
  <c r="AG53" i="32"/>
  <c r="AG54" i="32"/>
  <c r="AH54" i="32" s="1"/>
  <c r="AG55" i="32"/>
  <c r="AG56" i="32"/>
  <c r="AH56" i="32" s="1"/>
  <c r="AG57" i="32"/>
  <c r="AH57" i="32" s="1"/>
  <c r="AG58" i="32"/>
  <c r="AH58" i="32" s="1"/>
  <c r="AG59" i="32"/>
  <c r="AH59" i="32" s="1"/>
  <c r="AG60" i="32"/>
  <c r="AG61" i="32"/>
  <c r="AG62" i="32"/>
  <c r="AG63" i="32"/>
  <c r="AG64" i="32"/>
  <c r="AG65" i="32"/>
  <c r="AG66" i="32"/>
  <c r="AH66" i="32" s="1"/>
  <c r="AG67" i="32"/>
  <c r="AG68" i="32"/>
  <c r="AH68" i="32" s="1"/>
  <c r="AG69" i="32"/>
  <c r="AH69" i="32" s="1"/>
  <c r="AG70" i="32"/>
  <c r="AH70" i="32" s="1"/>
  <c r="AG71" i="32"/>
  <c r="AH71" i="32" s="1"/>
  <c r="AG72" i="32"/>
  <c r="AG73" i="32"/>
  <c r="AG74" i="32"/>
  <c r="AG75" i="32"/>
  <c r="AG76" i="32"/>
  <c r="AG77" i="32"/>
  <c r="AG78" i="32"/>
  <c r="AH78" i="32" s="1"/>
  <c r="AG79" i="32"/>
  <c r="AG80" i="32"/>
  <c r="AH80" i="32" s="1"/>
  <c r="AG81" i="32"/>
  <c r="AH81" i="32" s="1"/>
  <c r="AG82" i="32"/>
  <c r="AH82" i="32" s="1"/>
  <c r="AG83" i="32"/>
  <c r="AH83" i="32" s="1"/>
  <c r="AG84" i="32"/>
  <c r="AG85" i="32"/>
  <c r="AG86" i="32"/>
  <c r="AG87" i="32"/>
  <c r="AG88" i="32"/>
  <c r="AG89" i="32"/>
  <c r="AG90" i="32"/>
  <c r="AH90" i="32" s="1"/>
  <c r="AG91" i="32"/>
  <c r="AG92" i="32"/>
  <c r="AH92" i="32" s="1"/>
  <c r="AG93" i="32"/>
  <c r="AH93" i="32" s="1"/>
  <c r="AG94" i="32"/>
  <c r="AH94" i="32" s="1"/>
  <c r="AG95" i="32"/>
  <c r="AH95" i="32" s="1"/>
  <c r="AG96" i="32"/>
  <c r="AG97" i="32"/>
  <c r="AG98" i="32"/>
  <c r="AG99" i="32"/>
  <c r="AG100" i="32"/>
  <c r="AG101" i="32"/>
  <c r="AG102" i="32"/>
  <c r="AH102" i="32" s="1"/>
  <c r="AG103" i="32"/>
  <c r="AG104" i="32"/>
  <c r="AH104" i="32" s="1"/>
  <c r="AG105" i="32"/>
  <c r="AH105" i="32" s="1"/>
  <c r="AG106" i="32"/>
  <c r="AH106" i="32" s="1"/>
  <c r="AG107" i="32"/>
  <c r="AH107" i="32" s="1"/>
  <c r="AG108" i="32"/>
  <c r="AG109" i="32"/>
  <c r="AG110" i="32"/>
  <c r="AG111" i="32"/>
  <c r="AG112" i="32"/>
  <c r="AG113" i="32"/>
  <c r="AG114" i="32"/>
  <c r="AH114" i="32" s="1"/>
  <c r="AG115" i="32"/>
  <c r="AG116" i="32"/>
  <c r="AH116" i="32" s="1"/>
  <c r="AG117" i="32"/>
  <c r="AH117" i="32" s="1"/>
  <c r="AG118" i="32"/>
  <c r="AH118" i="32" s="1"/>
  <c r="AG119" i="32"/>
  <c r="AH119" i="32" s="1"/>
  <c r="AG120" i="32"/>
  <c r="AG121" i="32"/>
  <c r="AG122" i="32"/>
  <c r="AG123" i="32"/>
  <c r="AG124" i="32"/>
  <c r="AG125" i="32"/>
  <c r="AG126" i="32"/>
  <c r="AH126" i="32" s="1"/>
  <c r="AG127" i="32"/>
  <c r="AG128" i="32"/>
  <c r="AH128" i="32" s="1"/>
  <c r="AG129" i="32"/>
  <c r="AH129" i="32" s="1"/>
  <c r="AG130" i="32"/>
  <c r="AH130" i="32" s="1"/>
  <c r="AG131" i="32"/>
  <c r="AH131" i="32" s="1"/>
  <c r="AG132" i="32"/>
  <c r="AG133" i="32"/>
  <c r="AG134" i="32"/>
  <c r="AG135" i="32"/>
  <c r="AG136" i="32"/>
  <c r="AG137" i="32"/>
  <c r="AG138" i="32"/>
  <c r="AH138" i="32" s="1"/>
  <c r="AG139" i="32"/>
  <c r="AG140" i="32"/>
  <c r="AH140" i="32" s="1"/>
  <c r="AG141" i="32"/>
  <c r="AH141" i="32" s="1"/>
  <c r="AG142" i="32"/>
  <c r="AH142" i="32" s="1"/>
  <c r="AG143" i="32"/>
  <c r="AH143" i="32" s="1"/>
  <c r="AG144" i="32"/>
  <c r="AG145" i="32"/>
  <c r="AG146" i="32"/>
  <c r="AG147" i="32"/>
  <c r="AG148" i="32"/>
  <c r="AG149" i="32"/>
  <c r="AG150" i="32"/>
  <c r="AH150" i="32" s="1"/>
  <c r="AG151" i="32"/>
  <c r="AG152" i="32"/>
  <c r="AH152" i="32" s="1"/>
  <c r="AG153" i="32"/>
  <c r="AH153" i="32" s="1"/>
  <c r="AG154" i="32"/>
  <c r="AH154" i="32" s="1"/>
  <c r="AG155" i="32"/>
  <c r="AH155" i="32" s="1"/>
  <c r="AG156" i="32"/>
  <c r="AG157" i="32"/>
  <c r="AG158" i="32"/>
  <c r="AG159" i="32"/>
  <c r="AG160" i="32"/>
  <c r="AG161" i="32"/>
  <c r="AG162" i="32"/>
  <c r="AH162" i="32" s="1"/>
  <c r="AG163" i="32"/>
  <c r="AG164" i="32"/>
  <c r="AH164" i="32" s="1"/>
  <c r="AG165" i="32"/>
  <c r="AH165" i="32" s="1"/>
  <c r="AG166" i="32"/>
  <c r="AH166" i="32" s="1"/>
  <c r="AG167" i="32"/>
  <c r="AH167" i="32" s="1"/>
  <c r="AG168" i="32"/>
  <c r="AG169" i="32"/>
  <c r="AG170" i="32"/>
  <c r="AG171" i="32"/>
  <c r="AG172" i="32"/>
  <c r="AG173" i="32"/>
  <c r="AG174" i="32"/>
  <c r="AH174" i="32" s="1"/>
  <c r="AG175" i="32"/>
  <c r="AG176" i="32"/>
  <c r="AH176" i="32" s="1"/>
  <c r="AG177" i="32"/>
  <c r="AH177" i="32" s="1"/>
  <c r="AG178" i="32"/>
  <c r="AG179" i="32"/>
  <c r="AG181" i="32"/>
  <c r="AG182" i="32"/>
  <c r="AG183" i="32"/>
  <c r="AG184" i="32"/>
  <c r="AG185" i="32"/>
  <c r="AG186" i="32"/>
  <c r="AG187" i="32"/>
  <c r="AG188" i="32"/>
  <c r="AG189" i="32"/>
  <c r="AG190" i="32"/>
  <c r="AG191" i="32"/>
  <c r="AG192" i="32"/>
  <c r="AG193" i="32"/>
  <c r="AG194" i="32"/>
  <c r="AG195" i="32"/>
  <c r="AG196" i="32"/>
  <c r="AG197" i="32"/>
  <c r="AG198" i="32"/>
  <c r="AG199" i="32"/>
  <c r="AG200" i="32"/>
  <c r="AG201" i="32"/>
  <c r="AG202" i="32"/>
  <c r="AG203" i="32"/>
  <c r="AG204" i="32"/>
  <c r="AG205" i="32"/>
  <c r="AG206" i="32"/>
  <c r="AG207" i="32"/>
  <c r="AG208" i="32"/>
  <c r="AG209" i="32"/>
  <c r="AG210" i="32"/>
  <c r="AG211" i="32"/>
  <c r="AG212" i="32"/>
  <c r="AG213" i="32"/>
  <c r="AG214" i="32"/>
  <c r="AG215" i="32"/>
  <c r="AG216" i="32"/>
  <c r="AG217" i="32"/>
  <c r="AG218" i="32"/>
  <c r="AG223" i="32"/>
  <c r="AH223" i="32" s="1"/>
  <c r="AG224" i="32"/>
  <c r="AG225" i="32"/>
  <c r="AG226" i="32"/>
  <c r="AG227" i="32"/>
  <c r="AG228" i="32"/>
  <c r="AG229" i="32"/>
  <c r="AG230" i="32"/>
  <c r="AG231" i="32"/>
  <c r="AG232" i="32"/>
  <c r="AG233" i="32"/>
  <c r="AG234" i="32"/>
  <c r="AG235" i="32"/>
  <c r="AG236" i="32"/>
  <c r="AG237" i="32"/>
  <c r="AG238" i="32"/>
  <c r="AG239" i="32"/>
  <c r="AG240" i="32"/>
  <c r="AG241" i="32"/>
  <c r="AG242" i="32"/>
  <c r="AG243" i="32"/>
  <c r="AG244" i="32"/>
  <c r="AG245" i="32"/>
  <c r="AG246" i="32"/>
  <c r="AG247" i="32"/>
  <c r="AG248" i="32"/>
  <c r="AG250" i="32"/>
  <c r="AG251" i="32"/>
  <c r="AG252" i="32"/>
  <c r="AG253" i="32"/>
  <c r="AG254" i="32"/>
  <c r="AG255" i="32"/>
  <c r="AG256" i="32"/>
  <c r="AG257" i="32"/>
  <c r="AG258" i="32"/>
  <c r="AG259" i="32"/>
  <c r="AG260" i="32"/>
  <c r="AG261" i="32"/>
  <c r="AG262" i="32"/>
  <c r="AG263" i="32"/>
  <c r="AG264" i="32"/>
  <c r="AG265" i="32"/>
  <c r="AG266" i="32"/>
  <c r="AG267" i="32"/>
  <c r="AG268" i="32"/>
  <c r="AG269" i="32"/>
  <c r="AG270" i="32"/>
  <c r="AG271" i="32"/>
  <c r="AG272" i="32"/>
  <c r="AG273" i="32"/>
  <c r="AG274" i="32"/>
  <c r="AG275" i="32"/>
  <c r="AG276" i="32"/>
  <c r="AG277" i="32"/>
  <c r="AG278" i="32"/>
  <c r="AG279" i="32"/>
  <c r="AG280" i="32"/>
  <c r="AG281" i="32"/>
  <c r="AG282" i="32"/>
  <c r="AG283" i="32"/>
  <c r="AG284" i="32"/>
  <c r="AG285" i="32"/>
  <c r="AG286" i="32"/>
  <c r="AG287" i="32"/>
  <c r="AG288" i="32"/>
  <c r="AG289" i="32"/>
  <c r="AE6" i="32" l="1"/>
  <c r="AE7" i="32"/>
  <c r="AE8" i="32"/>
  <c r="AE9" i="32"/>
  <c r="AE10" i="32"/>
  <c r="AE11" i="32"/>
  <c r="AE12" i="32"/>
  <c r="AE13" i="32"/>
  <c r="AE14" i="32"/>
  <c r="AE15" i="32"/>
  <c r="AE16" i="32"/>
  <c r="AE17" i="32"/>
  <c r="AE18" i="32"/>
  <c r="AE19" i="32"/>
  <c r="AE20" i="32"/>
  <c r="AE21" i="32"/>
  <c r="AE22" i="32"/>
  <c r="AE23" i="32"/>
  <c r="AE24" i="32"/>
  <c r="AE25" i="32"/>
  <c r="AE26" i="32"/>
  <c r="AE27" i="32"/>
  <c r="AE28" i="32"/>
  <c r="AE29" i="32"/>
  <c r="AE30" i="32"/>
  <c r="AE31" i="32"/>
  <c r="AE32" i="32"/>
  <c r="AE33" i="32"/>
  <c r="AE34" i="32"/>
  <c r="AE35" i="32"/>
  <c r="AE36" i="32"/>
  <c r="AE37" i="32"/>
  <c r="AE38" i="32"/>
  <c r="AE39" i="32"/>
  <c r="AE40" i="32"/>
  <c r="AE41" i="32"/>
  <c r="AE42" i="32"/>
  <c r="AE43" i="32"/>
  <c r="AE44" i="32"/>
  <c r="AE45" i="32"/>
  <c r="AE46" i="32"/>
  <c r="AE47" i="32"/>
  <c r="AE48" i="32"/>
  <c r="AE49" i="32"/>
  <c r="AE50" i="32"/>
  <c r="AE51" i="32"/>
  <c r="AE52" i="32"/>
  <c r="AE53" i="32"/>
  <c r="AE54" i="32"/>
  <c r="AE55" i="32"/>
  <c r="AE58" i="32"/>
  <c r="AE59" i="32"/>
  <c r="AE60" i="32"/>
  <c r="AE61" i="32"/>
  <c r="AE62" i="32"/>
  <c r="AE63" i="32"/>
  <c r="AE64" i="32"/>
  <c r="AE65" i="32"/>
  <c r="AE66" i="32"/>
  <c r="AE67" i="32"/>
  <c r="AE68" i="32"/>
  <c r="AE69" i="32"/>
  <c r="AE70" i="32"/>
  <c r="AE71" i="32"/>
  <c r="AE72" i="32"/>
  <c r="AE73" i="32"/>
  <c r="AE74" i="32"/>
  <c r="AE75" i="32"/>
  <c r="AE76" i="32"/>
  <c r="AE77" i="32"/>
  <c r="AE78" i="32"/>
  <c r="AE79" i="32"/>
  <c r="AE80" i="32"/>
  <c r="AE81" i="32"/>
  <c r="AE82" i="32"/>
  <c r="AE83" i="32"/>
  <c r="AE84" i="32"/>
  <c r="AE85" i="32"/>
  <c r="AE86" i="32"/>
  <c r="AE87" i="32"/>
  <c r="AE88" i="32"/>
  <c r="AE89" i="32"/>
  <c r="AE90" i="32"/>
  <c r="AE91" i="32"/>
  <c r="AE92" i="32"/>
  <c r="AE93" i="32"/>
  <c r="AE94" i="32"/>
  <c r="AE96" i="32"/>
  <c r="AE97" i="32"/>
  <c r="AE98" i="32"/>
  <c r="AE99" i="32"/>
  <c r="AE100" i="32"/>
  <c r="AE101" i="32"/>
  <c r="AE102" i="32"/>
  <c r="AE103" i="32"/>
  <c r="AE104" i="32"/>
  <c r="AE105" i="32"/>
  <c r="AE106" i="32"/>
  <c r="AE107" i="32"/>
  <c r="AE108" i="32"/>
  <c r="AE109" i="32"/>
  <c r="AE110" i="32"/>
  <c r="AE111" i="32"/>
  <c r="AE112" i="32"/>
  <c r="AE113" i="32"/>
  <c r="AE114" i="32"/>
  <c r="AE115" i="32"/>
  <c r="AE116" i="32"/>
  <c r="AE117" i="32"/>
  <c r="AE118" i="32"/>
  <c r="AE119" i="32"/>
  <c r="AE120" i="32"/>
  <c r="AE121" i="32"/>
  <c r="AE122" i="32"/>
  <c r="AE123" i="32"/>
  <c r="AE124" i="32"/>
  <c r="AE125" i="32"/>
  <c r="AE126" i="32"/>
  <c r="AE127" i="32"/>
  <c r="AE128" i="32"/>
  <c r="AE129" i="32"/>
  <c r="AE130" i="32"/>
  <c r="AE131" i="32"/>
  <c r="AE132" i="32"/>
  <c r="AE133" i="32"/>
  <c r="AE134" i="32"/>
  <c r="AE135" i="32"/>
  <c r="AE136" i="32"/>
  <c r="AE137" i="32"/>
  <c r="AE138" i="32"/>
  <c r="AE139" i="32"/>
  <c r="AE140" i="32"/>
  <c r="AE141" i="32"/>
  <c r="AE142" i="32"/>
  <c r="AE143" i="32"/>
  <c r="AE144" i="32"/>
  <c r="AE145" i="32"/>
  <c r="AE146" i="32"/>
  <c r="AE147" i="32"/>
  <c r="AE148" i="32"/>
  <c r="AE149" i="32"/>
  <c r="AE150" i="32"/>
  <c r="AE151" i="32"/>
  <c r="AE152" i="32"/>
  <c r="AE153" i="32"/>
  <c r="AE154" i="32"/>
  <c r="AE155" i="32"/>
  <c r="AE156" i="32"/>
  <c r="AE157" i="32"/>
  <c r="AE158" i="32"/>
  <c r="AE159" i="32"/>
  <c r="AE160" i="32"/>
  <c r="AE161" i="32"/>
  <c r="AE162" i="32"/>
  <c r="AE163" i="32"/>
  <c r="AE164" i="32"/>
  <c r="AE165" i="32"/>
  <c r="AE166" i="32"/>
  <c r="AE167" i="32"/>
  <c r="AE168" i="32"/>
  <c r="AE169" i="32"/>
  <c r="AE170" i="32"/>
  <c r="AE171" i="32"/>
  <c r="AE172" i="32"/>
  <c r="AE173" i="32"/>
  <c r="AE174" i="32"/>
  <c r="AE175" i="32"/>
  <c r="AE176" i="32"/>
  <c r="AE177" i="32"/>
  <c r="AE178" i="32"/>
  <c r="AH178" i="32" s="1"/>
  <c r="AE179" i="32"/>
  <c r="AH179" i="32" s="1"/>
  <c r="AE181" i="32"/>
  <c r="AH181" i="32" s="1"/>
  <c r="AE182" i="32"/>
  <c r="AH182" i="32" s="1"/>
  <c r="AE183" i="32"/>
  <c r="AH183" i="32" s="1"/>
  <c r="AE184" i="32"/>
  <c r="AH184" i="32" s="1"/>
  <c r="AE185" i="32"/>
  <c r="AH185" i="32" s="1"/>
  <c r="AE186" i="32"/>
  <c r="AH186" i="32" s="1"/>
  <c r="AE187" i="32"/>
  <c r="AH187" i="32" s="1"/>
  <c r="AE188" i="32"/>
  <c r="AH188" i="32" s="1"/>
  <c r="AE189" i="32"/>
  <c r="AH189" i="32" s="1"/>
  <c r="AE190" i="32"/>
  <c r="AH190" i="32" s="1"/>
  <c r="AE191" i="32"/>
  <c r="AH191" i="32" s="1"/>
  <c r="AE192" i="32"/>
  <c r="AH192" i="32" s="1"/>
  <c r="AE193" i="32"/>
  <c r="AH193" i="32" s="1"/>
  <c r="AE194" i="32"/>
  <c r="AH194" i="32" s="1"/>
  <c r="AE195" i="32"/>
  <c r="AE196" i="32"/>
  <c r="AH196" i="32"/>
  <c r="AE197" i="32"/>
  <c r="AH197" i="32" s="1"/>
  <c r="AE198" i="32"/>
  <c r="AE199" i="32"/>
  <c r="AE200" i="32"/>
  <c r="AH200" i="32" s="1"/>
  <c r="AE201" i="32"/>
  <c r="AE202" i="32"/>
  <c r="AE203" i="32"/>
  <c r="AE204" i="32"/>
  <c r="AH204" i="32"/>
  <c r="AE205" i="32"/>
  <c r="AE206" i="32"/>
  <c r="AE207" i="32"/>
  <c r="AE208" i="32"/>
  <c r="AH208" i="32"/>
  <c r="AE209" i="32"/>
  <c r="AE210" i="32"/>
  <c r="AH210" i="32" s="1"/>
  <c r="AE211" i="32"/>
  <c r="AH211" i="32" s="1"/>
  <c r="AE212" i="32"/>
  <c r="AE213" i="32"/>
  <c r="AH213" i="32"/>
  <c r="AE214" i="32"/>
  <c r="AH214" i="32" s="1"/>
  <c r="AE215" i="32"/>
  <c r="AE216" i="32"/>
  <c r="AE217" i="32"/>
  <c r="AE218" i="32"/>
  <c r="AE224" i="32"/>
  <c r="AE225" i="32"/>
  <c r="AH225" i="32" s="1"/>
  <c r="AE226" i="32"/>
  <c r="AH226" i="32"/>
  <c r="AE227" i="32"/>
  <c r="AH227" i="32"/>
  <c r="AE228" i="32"/>
  <c r="AE229" i="32"/>
  <c r="AE230" i="32"/>
  <c r="AE231" i="32"/>
  <c r="AH231" i="32" s="1"/>
  <c r="AE232" i="32"/>
  <c r="AH232" i="32" s="1"/>
  <c r="AE233" i="32"/>
  <c r="AH233" i="32" s="1"/>
  <c r="AE234" i="32"/>
  <c r="AE235" i="32"/>
  <c r="AE236" i="32"/>
  <c r="AE237" i="32"/>
  <c r="AE238" i="32"/>
  <c r="AE239" i="32"/>
  <c r="AE240" i="32"/>
  <c r="AE241" i="32"/>
  <c r="AE242" i="32"/>
  <c r="AE243" i="32"/>
  <c r="AH243" i="32" s="1"/>
  <c r="AE244" i="32"/>
  <c r="AH244" i="32" s="1"/>
  <c r="AE245" i="32"/>
  <c r="AE246" i="32"/>
  <c r="AE247" i="32"/>
  <c r="AE248" i="32"/>
  <c r="AH248" i="32"/>
  <c r="AE250" i="32"/>
  <c r="AE251" i="32"/>
  <c r="AH251" i="32"/>
  <c r="AE252" i="32"/>
  <c r="AE253" i="32"/>
  <c r="AH253" i="32" s="1"/>
  <c r="AE254" i="32"/>
  <c r="AE255" i="32"/>
  <c r="AH255" i="32"/>
  <c r="AE256" i="32"/>
  <c r="AE257" i="32"/>
  <c r="AE258" i="32"/>
  <c r="AE259" i="32"/>
  <c r="AH259" i="32"/>
  <c r="AE260" i="32"/>
  <c r="AE261" i="32"/>
  <c r="AE262" i="32"/>
  <c r="AH262" i="32" s="1"/>
  <c r="AE263" i="32"/>
  <c r="AE264" i="32"/>
  <c r="AE265" i="32"/>
  <c r="AE266" i="32"/>
  <c r="AH266" i="32" s="1"/>
  <c r="AE267" i="32"/>
  <c r="AE268" i="32"/>
  <c r="AE269" i="32"/>
  <c r="AH269" i="32"/>
  <c r="AE270" i="32"/>
  <c r="AH270" i="32"/>
  <c r="AE271" i="32"/>
  <c r="AE272" i="32"/>
  <c r="AE273" i="32"/>
  <c r="AE274" i="32"/>
  <c r="AE275" i="32"/>
  <c r="AH275" i="32"/>
  <c r="AE276" i="32"/>
  <c r="AE277" i="32"/>
  <c r="AE278" i="32"/>
  <c r="AH278" i="32"/>
  <c r="AE279" i="32"/>
  <c r="AE280" i="32"/>
  <c r="AE281" i="32"/>
  <c r="AE282" i="32"/>
  <c r="AH282" i="32"/>
  <c r="AE283" i="32"/>
  <c r="AE284" i="32"/>
  <c r="AH284" i="32" s="1"/>
  <c r="AE285" i="32"/>
  <c r="AE286" i="32"/>
  <c r="AE287" i="32"/>
  <c r="AE288" i="32"/>
  <c r="AE289" i="32"/>
  <c r="AH289" i="32" s="1"/>
  <c r="AE290" i="32"/>
  <c r="AG290" i="32"/>
  <c r="AE291" i="32"/>
  <c r="AG291" i="32"/>
  <c r="AH291" i="32" s="1"/>
  <c r="AE292" i="32"/>
  <c r="AG292" i="32"/>
  <c r="AE293" i="32"/>
  <c r="AG293" i="32"/>
  <c r="AE294" i="32"/>
  <c r="AG294" i="32"/>
  <c r="AE295" i="32"/>
  <c r="AG295" i="32"/>
  <c r="AH295" i="32" s="1"/>
  <c r="AE296" i="32"/>
  <c r="AG296" i="32"/>
  <c r="AE297" i="32"/>
  <c r="AG297" i="32"/>
  <c r="AE298" i="32"/>
  <c r="AG298" i="32"/>
  <c r="AE299" i="32"/>
  <c r="AG299" i="32"/>
  <c r="AH299" i="32" s="1"/>
  <c r="AE300" i="32"/>
  <c r="AG300" i="32"/>
  <c r="AE301" i="32"/>
  <c r="AG301" i="32"/>
  <c r="AE302" i="32"/>
  <c r="AG302" i="32"/>
  <c r="AE303" i="32"/>
  <c r="AG303" i="32"/>
  <c r="AH303" i="32" s="1"/>
  <c r="AE304" i="32"/>
  <c r="AG304" i="32"/>
  <c r="AE305" i="32"/>
  <c r="AG305" i="32"/>
  <c r="AE306" i="32"/>
  <c r="AG306" i="32"/>
  <c r="AE307" i="32"/>
  <c r="AG307" i="32"/>
  <c r="AE308" i="32"/>
  <c r="AG308" i="32"/>
  <c r="AH308" i="32"/>
  <c r="AE309" i="32"/>
  <c r="AG309" i="32"/>
  <c r="AE310" i="32"/>
  <c r="AG310" i="32"/>
  <c r="AE311" i="32"/>
  <c r="AG311" i="32"/>
  <c r="AE312" i="32"/>
  <c r="AG312" i="32"/>
  <c r="AE313" i="32"/>
  <c r="AG313" i="32"/>
  <c r="AH313" i="32" s="1"/>
  <c r="AE314" i="32"/>
  <c r="AG314" i="32"/>
  <c r="AH314" i="32"/>
  <c r="AE315" i="32"/>
  <c r="AG315" i="32"/>
  <c r="AE316" i="32"/>
  <c r="AG316" i="32"/>
  <c r="AE317" i="32"/>
  <c r="AH317" i="32" s="1"/>
  <c r="AG317" i="32"/>
  <c r="AE318" i="32"/>
  <c r="AG318" i="32"/>
  <c r="AH318" i="32"/>
  <c r="AE319" i="32"/>
  <c r="AG319" i="32"/>
  <c r="AH319" i="32" s="1"/>
  <c r="AE320" i="32"/>
  <c r="AG320" i="32"/>
  <c r="AE321" i="32"/>
  <c r="AG321" i="32"/>
  <c r="AE322" i="32"/>
  <c r="AH322" i="32" s="1"/>
  <c r="AG322" i="32"/>
  <c r="AE323" i="32"/>
  <c r="AG323" i="32"/>
  <c r="AH323" i="32" s="1"/>
  <c r="AE324" i="32"/>
  <c r="AG324" i="32"/>
  <c r="AH324" i="32" s="1"/>
  <c r="AE325" i="32"/>
  <c r="AG325" i="32"/>
  <c r="AE326" i="32"/>
  <c r="AG326" i="32"/>
  <c r="AE327" i="32"/>
  <c r="AG327" i="32"/>
  <c r="AH327" i="32" s="1"/>
  <c r="AE328" i="32"/>
  <c r="AG328" i="32"/>
  <c r="AH328" i="32" s="1"/>
  <c r="AE329" i="32"/>
  <c r="AG329" i="32"/>
  <c r="AE330" i="32"/>
  <c r="AH330" i="32" s="1"/>
  <c r="AG330" i="32"/>
  <c r="AE331" i="32"/>
  <c r="AG331" i="32"/>
  <c r="AH331" i="32" s="1"/>
  <c r="AE332" i="32"/>
  <c r="AH332" i="32" s="1"/>
  <c r="AG332" i="32"/>
  <c r="AE333" i="32"/>
  <c r="AH333" i="32" s="1"/>
  <c r="AG333" i="32"/>
  <c r="AE334" i="32"/>
  <c r="AG334" i="32"/>
  <c r="AE335" i="32"/>
  <c r="AG335" i="32"/>
  <c r="AH335" i="32" s="1"/>
  <c r="AE336" i="32"/>
  <c r="AH336" i="32" s="1"/>
  <c r="AG336" i="32"/>
  <c r="AE337" i="32"/>
  <c r="AG337" i="32"/>
  <c r="AE338" i="32"/>
  <c r="AG338" i="32"/>
  <c r="AE339" i="32"/>
  <c r="AG339" i="32"/>
  <c r="AE340" i="32"/>
  <c r="AG340" i="32"/>
  <c r="AH340" i="32"/>
  <c r="AE341" i="32"/>
  <c r="AG341" i="32"/>
  <c r="AE342" i="32"/>
  <c r="AG342" i="32"/>
  <c r="AE343" i="32"/>
  <c r="AH343" i="32" s="1"/>
  <c r="AG343" i="32"/>
  <c r="AE344" i="32"/>
  <c r="AG344" i="32"/>
  <c r="AE345" i="32"/>
  <c r="AG345" i="32"/>
  <c r="AH345" i="32"/>
  <c r="AE346" i="32"/>
  <c r="AG346" i="32"/>
  <c r="AE347" i="32"/>
  <c r="AG347" i="32"/>
  <c r="AE348" i="32"/>
  <c r="AG348" i="32"/>
  <c r="AE349" i="32"/>
  <c r="AH349" i="32" s="1"/>
  <c r="AG349" i="32"/>
  <c r="AE350" i="32"/>
  <c r="AG350" i="32"/>
  <c r="AE351" i="32"/>
  <c r="AG351" i="32"/>
  <c r="AE352" i="32"/>
  <c r="AG352" i="32"/>
  <c r="AE353" i="32"/>
  <c r="AG353" i="32"/>
  <c r="AE354" i="32"/>
  <c r="AH354" i="32" s="1"/>
  <c r="AG354" i="32"/>
  <c r="AE355" i="32"/>
  <c r="AH355" i="32" s="1"/>
  <c r="AG355" i="32"/>
  <c r="AE356" i="32"/>
  <c r="AG356" i="32"/>
  <c r="AE357" i="32"/>
  <c r="AG357" i="32"/>
  <c r="AE358" i="32"/>
  <c r="AH358" i="32" s="1"/>
  <c r="AG358" i="32"/>
  <c r="AE359" i="32"/>
  <c r="AG359" i="32"/>
  <c r="AE360" i="32"/>
  <c r="AG360" i="32"/>
  <c r="AE361" i="32"/>
  <c r="AH361" i="32" s="1"/>
  <c r="AG361" i="32"/>
  <c r="AE362" i="32"/>
  <c r="AG362" i="32"/>
  <c r="AE363" i="32"/>
  <c r="AG363" i="32"/>
  <c r="AE364" i="32"/>
  <c r="AG364" i="32"/>
  <c r="AE365" i="32"/>
  <c r="AG365" i="32"/>
  <c r="AE366" i="32"/>
  <c r="AG366" i="32"/>
  <c r="AE367" i="32"/>
  <c r="AH367" i="32" s="1"/>
  <c r="AG367" i="32"/>
  <c r="AE368" i="32"/>
  <c r="AG368" i="32"/>
  <c r="AE369" i="32"/>
  <c r="AG369" i="32"/>
  <c r="AE370" i="32"/>
  <c r="AG370" i="32"/>
  <c r="AE371" i="32"/>
  <c r="AH371" i="32" s="1"/>
  <c r="AG371" i="32"/>
  <c r="AE372" i="32"/>
  <c r="AG372" i="32"/>
  <c r="AE373" i="32"/>
  <c r="AG373" i="32"/>
  <c r="AE374" i="32"/>
  <c r="AG374" i="32"/>
  <c r="AE375" i="32"/>
  <c r="AH375" i="32" s="1"/>
  <c r="AG375" i="32"/>
  <c r="AE376" i="32"/>
  <c r="AG376" i="32"/>
  <c r="AH376" i="32" s="1"/>
  <c r="AE377" i="32"/>
  <c r="AH377" i="32" s="1"/>
  <c r="AG377" i="32"/>
  <c r="AE378" i="32"/>
  <c r="AG378" i="32"/>
  <c r="AE379" i="32"/>
  <c r="AG379" i="32"/>
  <c r="AE380" i="32"/>
  <c r="AH380" i="32" s="1"/>
  <c r="AG380" i="32"/>
  <c r="AE381" i="32"/>
  <c r="AG381" i="32"/>
  <c r="AE382" i="32"/>
  <c r="AG382" i="32"/>
  <c r="AE383" i="32"/>
  <c r="AG383" i="32"/>
  <c r="AE384" i="32"/>
  <c r="AG384" i="32"/>
  <c r="AE385" i="32"/>
  <c r="AG385" i="32"/>
  <c r="AE386" i="32"/>
  <c r="AH386" i="32" s="1"/>
  <c r="AG386" i="32"/>
  <c r="AE387" i="32"/>
  <c r="AG387" i="32"/>
  <c r="AH387" i="32"/>
  <c r="AE388" i="32"/>
  <c r="AH388" i="32" s="1"/>
  <c r="AG388" i="32"/>
  <c r="AE389" i="32"/>
  <c r="AG389" i="32"/>
  <c r="AE390" i="32"/>
  <c r="AG390" i="32"/>
  <c r="AE391" i="32"/>
  <c r="AG391" i="32"/>
  <c r="AE392" i="32"/>
  <c r="AG392" i="32"/>
  <c r="AE393" i="32"/>
  <c r="AG393" i="32"/>
  <c r="AE394" i="32"/>
  <c r="AH394" i="32" s="1"/>
  <c r="AG394" i="32"/>
  <c r="AE395" i="32"/>
  <c r="AG395" i="32"/>
  <c r="AE396" i="32"/>
  <c r="AG396" i="32"/>
  <c r="AE397" i="32"/>
  <c r="AG397" i="32"/>
  <c r="AE398" i="32"/>
  <c r="AH398" i="32" s="1"/>
  <c r="AG398" i="32"/>
  <c r="AE399" i="32"/>
  <c r="AG399" i="32"/>
  <c r="AH399" i="32"/>
  <c r="AE400" i="32"/>
  <c r="AG400" i="32"/>
  <c r="AE401" i="32"/>
  <c r="AH401" i="32" s="1"/>
  <c r="AG401" i="32"/>
  <c r="AE402" i="32"/>
  <c r="AG402" i="32"/>
  <c r="AE403" i="32"/>
  <c r="AH403" i="32" s="1"/>
  <c r="AG403" i="32"/>
  <c r="AE404" i="32"/>
  <c r="AG404" i="32"/>
  <c r="AH404" i="32"/>
  <c r="AE405" i="32"/>
  <c r="AH405" i="32" s="1"/>
  <c r="AG405" i="32"/>
  <c r="AE406" i="32"/>
  <c r="AG406" i="32"/>
  <c r="AE407" i="32"/>
  <c r="AG407" i="32"/>
  <c r="AE408" i="32"/>
  <c r="AG408" i="32"/>
  <c r="AE409" i="32"/>
  <c r="AH409" i="32" s="1"/>
  <c r="AG409" i="32"/>
  <c r="AE410" i="32"/>
  <c r="AH410" i="32" s="1"/>
  <c r="AG410" i="32"/>
  <c r="AE411" i="32"/>
  <c r="AG411" i="32"/>
  <c r="AH411" i="32" s="1"/>
  <c r="AE412" i="32"/>
  <c r="AG412" i="32"/>
  <c r="AH412" i="32" s="1"/>
  <c r="AE413" i="32"/>
  <c r="AG413" i="32"/>
  <c r="AH413" i="32"/>
  <c r="AE414" i="32"/>
  <c r="AG414" i="32"/>
  <c r="AE415" i="32"/>
  <c r="AG415" i="32"/>
  <c r="AE416" i="32"/>
  <c r="AG416" i="32"/>
  <c r="AE417" i="32"/>
  <c r="AG417" i="32"/>
  <c r="AE418" i="32"/>
  <c r="AG418" i="32"/>
  <c r="AE419" i="32"/>
  <c r="AG419" i="32"/>
  <c r="AE420" i="32"/>
  <c r="AG420" i="32"/>
  <c r="AE421" i="32"/>
  <c r="AH421" i="32" s="1"/>
  <c r="AG421" i="32"/>
  <c r="AE422" i="32"/>
  <c r="AH422" i="32" s="1"/>
  <c r="AG422" i="32"/>
  <c r="AE423" i="32"/>
  <c r="AG423" i="32"/>
  <c r="AH423" i="32"/>
  <c r="AE424" i="32"/>
  <c r="AG424" i="32"/>
  <c r="AH424" i="32" s="1"/>
  <c r="AE425" i="32"/>
  <c r="AG425" i="32"/>
  <c r="AE426" i="32"/>
  <c r="AG426" i="32"/>
  <c r="AE427" i="32"/>
  <c r="AG427" i="32"/>
  <c r="AE428" i="32"/>
  <c r="AG428" i="32"/>
  <c r="AH428" i="32"/>
  <c r="AE429" i="32"/>
  <c r="AG429" i="32"/>
  <c r="AH429" i="32"/>
  <c r="AE430" i="32"/>
  <c r="AG430" i="32"/>
  <c r="AE431" i="32"/>
  <c r="AG431" i="32"/>
  <c r="AH431" i="32" s="1"/>
  <c r="AE432" i="32"/>
  <c r="AH432" i="32" s="1"/>
  <c r="AG432" i="32"/>
  <c r="AE433" i="32"/>
  <c r="AG433" i="32"/>
  <c r="AE434" i="32"/>
  <c r="AG434" i="32"/>
  <c r="AE435" i="32"/>
  <c r="AG435" i="32"/>
  <c r="AE436" i="32"/>
  <c r="AG436" i="32"/>
  <c r="AE437" i="32"/>
  <c r="AG437" i="32"/>
  <c r="AE438" i="32"/>
  <c r="AH438" i="32" s="1"/>
  <c r="AG438" i="32"/>
  <c r="AE439" i="32"/>
  <c r="AG439" i="32"/>
  <c r="AH439" i="32"/>
  <c r="AE440" i="32"/>
  <c r="AG440" i="32"/>
  <c r="AE441" i="32"/>
  <c r="AG441" i="32"/>
  <c r="AE442" i="32"/>
  <c r="AG442" i="32"/>
  <c r="AE443" i="32"/>
  <c r="AG443" i="32"/>
  <c r="AE444" i="32"/>
  <c r="AG444" i="32"/>
  <c r="AH444" i="32"/>
  <c r="AE445" i="32"/>
  <c r="AG445" i="32"/>
  <c r="AH445" i="32" s="1"/>
  <c r="AE446" i="32"/>
  <c r="AH446" i="32" s="1"/>
  <c r="AG446" i="32"/>
  <c r="AE447" i="32"/>
  <c r="AG447" i="32"/>
  <c r="AH447" i="32" s="1"/>
  <c r="AE448" i="32"/>
  <c r="AG448" i="32"/>
  <c r="AE449" i="32"/>
  <c r="AH449" i="32" s="1"/>
  <c r="AG449" i="32"/>
  <c r="AE450" i="32"/>
  <c r="AG450" i="32"/>
  <c r="AE451" i="32"/>
  <c r="AG451" i="32"/>
  <c r="AE452" i="32"/>
  <c r="AG452" i="32"/>
  <c r="AE453" i="32"/>
  <c r="AG453" i="32"/>
  <c r="AE454" i="32"/>
  <c r="AH454" i="32" s="1"/>
  <c r="AG454" i="32"/>
  <c r="AE455" i="32"/>
  <c r="AG455" i="32"/>
  <c r="AE456" i="32"/>
  <c r="AG456" i="32"/>
  <c r="AH456" i="32" s="1"/>
  <c r="AE457" i="32"/>
  <c r="AH457" i="32" s="1"/>
  <c r="AG457" i="32"/>
  <c r="AE458" i="32"/>
  <c r="AG458" i="32"/>
  <c r="AE459" i="32"/>
  <c r="AG459" i="32"/>
  <c r="AE460" i="32"/>
  <c r="AH460" i="32" s="1"/>
  <c r="AG460" i="32"/>
  <c r="AE461" i="32"/>
  <c r="AG461" i="32"/>
  <c r="AE462" i="32"/>
  <c r="AG462" i="32"/>
  <c r="AE463" i="32"/>
  <c r="AG463" i="32"/>
  <c r="AE464" i="32"/>
  <c r="AG464" i="32"/>
  <c r="AE465" i="32"/>
  <c r="AG465" i="32"/>
  <c r="AE466" i="32"/>
  <c r="AG466" i="32"/>
  <c r="AE467" i="32"/>
  <c r="AG467" i="32"/>
  <c r="AE468" i="32"/>
  <c r="AG468" i="32"/>
  <c r="AE469" i="32"/>
  <c r="AG469" i="32"/>
  <c r="AE470" i="32"/>
  <c r="AG470" i="32"/>
  <c r="AE471" i="32"/>
  <c r="AH471" i="32" s="1"/>
  <c r="AG471" i="32"/>
  <c r="AE472" i="32"/>
  <c r="AG472" i="32"/>
  <c r="AE473" i="32"/>
  <c r="AG473" i="32"/>
  <c r="AE474" i="32"/>
  <c r="AH474" i="32" s="1"/>
  <c r="AG474" i="32"/>
  <c r="AE475" i="32"/>
  <c r="AG475" i="32"/>
  <c r="AH475" i="32"/>
  <c r="AE476" i="32"/>
  <c r="AG476" i="32"/>
  <c r="AH476" i="32" s="1"/>
  <c r="AE477" i="32"/>
  <c r="AG477" i="32"/>
  <c r="AE478" i="32"/>
  <c r="AG478" i="32"/>
  <c r="AE479" i="32"/>
  <c r="AH479" i="32" s="1"/>
  <c r="AG479" i="32"/>
  <c r="AE480" i="32"/>
  <c r="AG480" i="32"/>
  <c r="AH480" i="32"/>
  <c r="AE481" i="32"/>
  <c r="AG481" i="32"/>
  <c r="AE482" i="32"/>
  <c r="AH482" i="32" s="1"/>
  <c r="AG482" i="32"/>
  <c r="AE483" i="32"/>
  <c r="AG483" i="32"/>
  <c r="AH483" i="32" s="1"/>
  <c r="AE484" i="32"/>
  <c r="AG484" i="32"/>
  <c r="AE485" i="32"/>
  <c r="AG485" i="32"/>
  <c r="AH485" i="32" s="1"/>
  <c r="AE486" i="32"/>
  <c r="AG486" i="32"/>
  <c r="AE487" i="32"/>
  <c r="AG487" i="32"/>
  <c r="AE488" i="32"/>
  <c r="AG488" i="32"/>
  <c r="AE489" i="32"/>
  <c r="AG489" i="32"/>
  <c r="AH489" i="32" s="1"/>
  <c r="AE490" i="32"/>
  <c r="AG490" i="32"/>
  <c r="AE491" i="32"/>
  <c r="AG491" i="32"/>
  <c r="AE492" i="32"/>
  <c r="AH492" i="32" s="1"/>
  <c r="AG492" i="32"/>
  <c r="AE493" i="32"/>
  <c r="AG493" i="32"/>
  <c r="AE494" i="32"/>
  <c r="AG494" i="32"/>
  <c r="AE495" i="32"/>
  <c r="AH495" i="32" s="1"/>
  <c r="AG495" i="32"/>
  <c r="AE496" i="32"/>
  <c r="AG496" i="32"/>
  <c r="AE497" i="32"/>
  <c r="AH497" i="32" s="1"/>
  <c r="AG497" i="32"/>
  <c r="AE498" i="32"/>
  <c r="AG498" i="32"/>
  <c r="AE499" i="32"/>
  <c r="AG499" i="32"/>
  <c r="AH499" i="32"/>
  <c r="AE500" i="32"/>
  <c r="AG500" i="32"/>
  <c r="AE501" i="32"/>
  <c r="AG501" i="32"/>
  <c r="AE502" i="32"/>
  <c r="AH502" i="32" s="1"/>
  <c r="AG502" i="32"/>
  <c r="AE503" i="32"/>
  <c r="AG503" i="32"/>
  <c r="AH503" i="32" s="1"/>
  <c r="AE504" i="32"/>
  <c r="AG504" i="32"/>
  <c r="AH504" i="32" s="1"/>
  <c r="AE505" i="32"/>
  <c r="AG505" i="32"/>
  <c r="AE506" i="32"/>
  <c r="AH506" i="32" s="1"/>
  <c r="AG506" i="32"/>
  <c r="AE507" i="32"/>
  <c r="AG507" i="32"/>
  <c r="AE508" i="32"/>
  <c r="AG508" i="32"/>
  <c r="AE509" i="32"/>
  <c r="AH509" i="32" s="1"/>
  <c r="AG509" i="32"/>
  <c r="AE510" i="32"/>
  <c r="AG510" i="32"/>
  <c r="AE511" i="32"/>
  <c r="AG511" i="32"/>
  <c r="AH511" i="32" s="1"/>
  <c r="AE512" i="32"/>
  <c r="AH512" i="32" s="1"/>
  <c r="AG512" i="32"/>
  <c r="AE513" i="32"/>
  <c r="AG513" i="32"/>
  <c r="AE514" i="32"/>
  <c r="AG514" i="32"/>
  <c r="AE515" i="32"/>
  <c r="AH515" i="32" s="1"/>
  <c r="AG515" i="32"/>
  <c r="AE516" i="32"/>
  <c r="AG516" i="32"/>
  <c r="AE517" i="32"/>
  <c r="AH517" i="32" s="1"/>
  <c r="AG517" i="32"/>
  <c r="AE518" i="32"/>
  <c r="AG518" i="32"/>
  <c r="AE519" i="32"/>
  <c r="AG519" i="32"/>
  <c r="AE520" i="32"/>
  <c r="AG520" i="32"/>
  <c r="AE521" i="32"/>
  <c r="AG521" i="32"/>
  <c r="AH521" i="32" s="1"/>
  <c r="AE522" i="32"/>
  <c r="AG522" i="32"/>
  <c r="AE523" i="32"/>
  <c r="AH523" i="32" s="1"/>
  <c r="AG523" i="32"/>
  <c r="AE524" i="32"/>
  <c r="AG524" i="32"/>
  <c r="AE525" i="32"/>
  <c r="AH525" i="32" s="1"/>
  <c r="AG525" i="32"/>
  <c r="AE526" i="32"/>
  <c r="AH526" i="32" s="1"/>
  <c r="AG526" i="32"/>
  <c r="AE527" i="32"/>
  <c r="AG527" i="32"/>
  <c r="AH527" i="32"/>
  <c r="AE528" i="32"/>
  <c r="AG528" i="32"/>
  <c r="AE529" i="32"/>
  <c r="AG529" i="32"/>
  <c r="AE530" i="32"/>
  <c r="AG530" i="32"/>
  <c r="AE531" i="32"/>
  <c r="AG531" i="32"/>
  <c r="AE532" i="32"/>
  <c r="AG532" i="32"/>
  <c r="AH532" i="32"/>
  <c r="AE533" i="32"/>
  <c r="AG533" i="32"/>
  <c r="AH533" i="32" s="1"/>
  <c r="AE534" i="32"/>
  <c r="AH534" i="32" s="1"/>
  <c r="AG534" i="32"/>
  <c r="AE535" i="32"/>
  <c r="AG535" i="32"/>
  <c r="AH535" i="32" s="1"/>
  <c r="AE536" i="32"/>
  <c r="AG536" i="32"/>
  <c r="AE537" i="32"/>
  <c r="AH537" i="32" s="1"/>
  <c r="AG537" i="32"/>
  <c r="AE538" i="32"/>
  <c r="AG538" i="32"/>
  <c r="AE539" i="32"/>
  <c r="AG539" i="32"/>
  <c r="AE540" i="32"/>
  <c r="AG540" i="32"/>
  <c r="AE541" i="32"/>
  <c r="AG541" i="32"/>
  <c r="AH541" i="32" s="1"/>
  <c r="AE542" i="32"/>
  <c r="AG542" i="32"/>
  <c r="AE543" i="32"/>
  <c r="AG543" i="32"/>
  <c r="AH543" i="32"/>
  <c r="AE544" i="32"/>
  <c r="AG544" i="32"/>
  <c r="AH544" i="32" s="1"/>
  <c r="AE545" i="32"/>
  <c r="AG545" i="32"/>
  <c r="AE546" i="32"/>
  <c r="AG546" i="32"/>
  <c r="AE547" i="32"/>
  <c r="AH547" i="32" s="1"/>
  <c r="AG547" i="32"/>
  <c r="AE548" i="32"/>
  <c r="AG548" i="32"/>
  <c r="AE549" i="32"/>
  <c r="AG549" i="32"/>
  <c r="AE550" i="32"/>
  <c r="AG550" i="32"/>
  <c r="AE551" i="32"/>
  <c r="AG551" i="32"/>
  <c r="AE552" i="32"/>
  <c r="AG552" i="32"/>
  <c r="AH552" i="32" s="1"/>
  <c r="AE553" i="32"/>
  <c r="AG553" i="32"/>
  <c r="AE554" i="32"/>
  <c r="AH554" i="32" s="1"/>
  <c r="AG554" i="32"/>
  <c r="AE555" i="32"/>
  <c r="AG555" i="32"/>
  <c r="AH555" i="32"/>
  <c r="AE556" i="32"/>
  <c r="AH556" i="32" s="1"/>
  <c r="AG556" i="32"/>
  <c r="AE557" i="32"/>
  <c r="AG557" i="32"/>
  <c r="AH557" i="32"/>
  <c r="AE558" i="32"/>
  <c r="AG558" i="32"/>
  <c r="AE559" i="32"/>
  <c r="AH559" i="32" s="1"/>
  <c r="AG559" i="32"/>
  <c r="AE560" i="32"/>
  <c r="AG560" i="32"/>
  <c r="AE561" i="32"/>
  <c r="AG561" i="32"/>
  <c r="AE562" i="32"/>
  <c r="AG562" i="32"/>
  <c r="AE563" i="32"/>
  <c r="AG563" i="32"/>
  <c r="AH563" i="32" s="1"/>
  <c r="AE564" i="32"/>
  <c r="AG564" i="32"/>
  <c r="AH564" i="32" s="1"/>
  <c r="AE565" i="32"/>
  <c r="AG565" i="32"/>
  <c r="AE566" i="32"/>
  <c r="AG566" i="32"/>
  <c r="AE567" i="32"/>
  <c r="AG567" i="32"/>
  <c r="AE568" i="32"/>
  <c r="AG568" i="32"/>
  <c r="AH568" i="32" s="1"/>
  <c r="AE569" i="32"/>
  <c r="AG569" i="32"/>
  <c r="AE570" i="32"/>
  <c r="AG570" i="32"/>
  <c r="AE571" i="32"/>
  <c r="AH571" i="32" s="1"/>
  <c r="AG571" i="32"/>
  <c r="AE572" i="32"/>
  <c r="AG572" i="32"/>
  <c r="AE573" i="32"/>
  <c r="AG573" i="32"/>
  <c r="AE574" i="32"/>
  <c r="AG574" i="32"/>
  <c r="AE575" i="32"/>
  <c r="AG575" i="32"/>
  <c r="AE576" i="32"/>
  <c r="AH576" i="32" s="1"/>
  <c r="AG576" i="32"/>
  <c r="AE577" i="32"/>
  <c r="AG577" i="32"/>
  <c r="AE578" i="32"/>
  <c r="AG578" i="32"/>
  <c r="AE579" i="32"/>
  <c r="AH579" i="32" s="1"/>
  <c r="AG579" i="32"/>
  <c r="AE580" i="32"/>
  <c r="AG580" i="32"/>
  <c r="AE581" i="32"/>
  <c r="AG581" i="32"/>
  <c r="AH581" i="32" s="1"/>
  <c r="AE582" i="32"/>
  <c r="AG582" i="32"/>
  <c r="AE583" i="32"/>
  <c r="AG583" i="32"/>
  <c r="AE584" i="32"/>
  <c r="AG584" i="32"/>
  <c r="AH584" i="32" s="1"/>
  <c r="AE585" i="32"/>
  <c r="AG585" i="32"/>
  <c r="AH585" i="32"/>
  <c r="AE586" i="32"/>
  <c r="AH586" i="32" s="1"/>
  <c r="AG586" i="32"/>
  <c r="AE587" i="32"/>
  <c r="AG587" i="32"/>
  <c r="AE588" i="32"/>
  <c r="AG588" i="32"/>
  <c r="AH588" i="32"/>
  <c r="AE589" i="32"/>
  <c r="AG589" i="32"/>
  <c r="AE590" i="32"/>
  <c r="AG590" i="32"/>
  <c r="AE591" i="32"/>
  <c r="AH591" i="32" s="1"/>
  <c r="AG591" i="32"/>
  <c r="AE592" i="32"/>
  <c r="AH592" i="32" s="1"/>
  <c r="AG592" i="32"/>
  <c r="AE593" i="32"/>
  <c r="AG593" i="32"/>
  <c r="AE594" i="32"/>
  <c r="AG594" i="32"/>
  <c r="AE595" i="32"/>
  <c r="AH595" i="32" s="1"/>
  <c r="AG595" i="32"/>
  <c r="AE596" i="32"/>
  <c r="AG596" i="32"/>
  <c r="AH596" i="32" s="1"/>
  <c r="AE597" i="32"/>
  <c r="AG597" i="32"/>
  <c r="AE598" i="32"/>
  <c r="AG598" i="32"/>
  <c r="AE599" i="32"/>
  <c r="AG599" i="32"/>
  <c r="AH599" i="32"/>
  <c r="AE600" i="32"/>
  <c r="AG600" i="32"/>
  <c r="AE601" i="32"/>
  <c r="AG601" i="32"/>
  <c r="AH601" i="32" s="1"/>
  <c r="AE602" i="32"/>
  <c r="AH602" i="32" s="1"/>
  <c r="AG602" i="32"/>
  <c r="AE603" i="32"/>
  <c r="AH603" i="32" s="1"/>
  <c r="AG603" i="32"/>
  <c r="AE604" i="32"/>
  <c r="AG604" i="32"/>
  <c r="AH604" i="32"/>
  <c r="AE605" i="32"/>
  <c r="AG605" i="32"/>
  <c r="AE606" i="32"/>
  <c r="AG606" i="32"/>
  <c r="AE607" i="32"/>
  <c r="AG607" i="32"/>
  <c r="AE608" i="32"/>
  <c r="AH608" i="32" s="1"/>
  <c r="AG608" i="32"/>
  <c r="AE609" i="32"/>
  <c r="AG609" i="32"/>
  <c r="AE610" i="32"/>
  <c r="AG610" i="32"/>
  <c r="AE611" i="32"/>
  <c r="AH611" i="32" s="1"/>
  <c r="AG611" i="32"/>
  <c r="AE612" i="32"/>
  <c r="AG612" i="32"/>
  <c r="AE613" i="32"/>
  <c r="AG613" i="32"/>
  <c r="AE614" i="32"/>
  <c r="AH614" i="32" s="1"/>
  <c r="AG614" i="32"/>
  <c r="AE615" i="32"/>
  <c r="AG615" i="32"/>
  <c r="AE616" i="32"/>
  <c r="AG616" i="32"/>
  <c r="AH616" i="32" s="1"/>
  <c r="AE617" i="32"/>
  <c r="AG617" i="32"/>
  <c r="AE618" i="32"/>
  <c r="AG618" i="32"/>
  <c r="AE619" i="32"/>
  <c r="AH619" i="32" s="1"/>
  <c r="AG619" i="32"/>
  <c r="AE620" i="32"/>
  <c r="AG620" i="32"/>
  <c r="AE621" i="32"/>
  <c r="AG621" i="32"/>
  <c r="AH621" i="32"/>
  <c r="AE622" i="32"/>
  <c r="AG622" i="32"/>
  <c r="AE623" i="32"/>
  <c r="AG623" i="32"/>
  <c r="AH623" i="32"/>
  <c r="AE624" i="32"/>
  <c r="AH624" i="32" s="1"/>
  <c r="AG624" i="32"/>
  <c r="AE625" i="32"/>
  <c r="AG625" i="32"/>
  <c r="AE626" i="32"/>
  <c r="AG626" i="32"/>
  <c r="AE627" i="32"/>
  <c r="AG627" i="32"/>
  <c r="AE628" i="32"/>
  <c r="AH628" i="32" s="1"/>
  <c r="AG628" i="32"/>
  <c r="AE629" i="32"/>
  <c r="AG629" i="32"/>
  <c r="AH629" i="32" s="1"/>
  <c r="AE630" i="32"/>
  <c r="AG630" i="32"/>
  <c r="AE631" i="32"/>
  <c r="AG631" i="32"/>
  <c r="AH631" i="32"/>
  <c r="AE632" i="32"/>
  <c r="AG632" i="32"/>
  <c r="AE633" i="32"/>
  <c r="AH633" i="32" s="1"/>
  <c r="AG633" i="32"/>
  <c r="AE634" i="32"/>
  <c r="AG634" i="32"/>
  <c r="AE635" i="32"/>
  <c r="AH635" i="32" s="1"/>
  <c r="AG635" i="32"/>
  <c r="AE636" i="32"/>
  <c r="AG636" i="32"/>
  <c r="AH636" i="32" s="1"/>
  <c r="AE637" i="32"/>
  <c r="AG637" i="32"/>
  <c r="AE638" i="32"/>
  <c r="AH638" i="32" s="1"/>
  <c r="AG638" i="32"/>
  <c r="AE639" i="32"/>
  <c r="AG639" i="32"/>
  <c r="AE640" i="32"/>
  <c r="AG640" i="32"/>
  <c r="AE641" i="32"/>
  <c r="AH641" i="32" s="1"/>
  <c r="AG641" i="32"/>
  <c r="AE642" i="32"/>
  <c r="AG642" i="32"/>
  <c r="AE643" i="32"/>
  <c r="AH643" i="32" s="1"/>
  <c r="AG643" i="32"/>
  <c r="AE644" i="32"/>
  <c r="AG644" i="32"/>
  <c r="AH644" i="32" s="1"/>
  <c r="AE645" i="32"/>
  <c r="AG645" i="32"/>
  <c r="AE646" i="32"/>
  <c r="AH646" i="32" s="1"/>
  <c r="AG646" i="32"/>
  <c r="AE647" i="32"/>
  <c r="AG647" i="32"/>
  <c r="AH647" i="32" s="1"/>
  <c r="AE648" i="32"/>
  <c r="AG648" i="32"/>
  <c r="AH648" i="32" s="1"/>
  <c r="AE649" i="32"/>
  <c r="AG649" i="32"/>
  <c r="AE650" i="32"/>
  <c r="AG650" i="32"/>
  <c r="AE651" i="32"/>
  <c r="AH651" i="32" s="1"/>
  <c r="AG651" i="32"/>
  <c r="AE652" i="32"/>
  <c r="AG652" i="32"/>
  <c r="AH652" i="32" s="1"/>
  <c r="AE653" i="32"/>
  <c r="AG653" i="32"/>
  <c r="AH653" i="32"/>
  <c r="AE654" i="32"/>
  <c r="AG654" i="32"/>
  <c r="AE655" i="32"/>
  <c r="AG655" i="32"/>
  <c r="AE656" i="32"/>
  <c r="AG656" i="32"/>
  <c r="AE657" i="32"/>
  <c r="AG657" i="32"/>
  <c r="AH657" i="32"/>
  <c r="AE658" i="32"/>
  <c r="AG658" i="32"/>
  <c r="AE659" i="32"/>
  <c r="AH659" i="32" s="1"/>
  <c r="AG659" i="32"/>
  <c r="AE660" i="32"/>
  <c r="AG660" i="32"/>
  <c r="AE661" i="32"/>
  <c r="AG661" i="32"/>
  <c r="AE662" i="32"/>
  <c r="AH662" i="32" s="1"/>
  <c r="AG662" i="32"/>
  <c r="AE663" i="32"/>
  <c r="AG663" i="32"/>
  <c r="AE664" i="32"/>
  <c r="AG664" i="32"/>
  <c r="AE665" i="32"/>
  <c r="AG665" i="32"/>
  <c r="AE666" i="32"/>
  <c r="AG666" i="32"/>
  <c r="AE667" i="32"/>
  <c r="AG667" i="32"/>
  <c r="AH667" i="32" s="1"/>
  <c r="AE668" i="32"/>
  <c r="AG668" i="32"/>
  <c r="AE669" i="32"/>
  <c r="AG669" i="32"/>
  <c r="AH669" i="32" s="1"/>
  <c r="AE670" i="32"/>
  <c r="AH670" i="32" s="1"/>
  <c r="AG670" i="32"/>
  <c r="AE671" i="32"/>
  <c r="AG671" i="32"/>
  <c r="AE672" i="32"/>
  <c r="AG672" i="32"/>
  <c r="AH672" i="32" s="1"/>
  <c r="AE673" i="32"/>
  <c r="AH673" i="32" s="1"/>
  <c r="AG673" i="32"/>
  <c r="AE674" i="32"/>
  <c r="AG674" i="32"/>
  <c r="AE675" i="32"/>
  <c r="AH675" i="32" s="1"/>
  <c r="AG675" i="32"/>
  <c r="AE676" i="32"/>
  <c r="AG676" i="32"/>
  <c r="AE677" i="32"/>
  <c r="AG677" i="32"/>
  <c r="AE678" i="32"/>
  <c r="AH678" i="32" s="1"/>
  <c r="AG678" i="32"/>
  <c r="AE679" i="32"/>
  <c r="AG679" i="32"/>
  <c r="AH679" i="32"/>
  <c r="AE680" i="32"/>
  <c r="AG680" i="32"/>
  <c r="AH680" i="32" s="1"/>
  <c r="AE681" i="32"/>
  <c r="AG681" i="32"/>
  <c r="AE682" i="32"/>
  <c r="AG682" i="32"/>
  <c r="AH682" i="32" s="1"/>
  <c r="AE683" i="32"/>
  <c r="AG683" i="32"/>
  <c r="AH683" i="32" s="1"/>
  <c r="AE684" i="32"/>
  <c r="AG684" i="32"/>
  <c r="AH684" i="32" s="1"/>
  <c r="AE685" i="32"/>
  <c r="AG685" i="32"/>
  <c r="AH685" i="32"/>
  <c r="AE686" i="32"/>
  <c r="AG686" i="32"/>
  <c r="AE687" i="32"/>
  <c r="AG687" i="32"/>
  <c r="AE688" i="32"/>
  <c r="AG688" i="32"/>
  <c r="AH688" i="32" s="1"/>
  <c r="AE689" i="32"/>
  <c r="AG689" i="32"/>
  <c r="AH689" i="32"/>
  <c r="AE690" i="32"/>
  <c r="AG690" i="32"/>
  <c r="AE691" i="32"/>
  <c r="AH691" i="32" s="1"/>
  <c r="AG691" i="32"/>
  <c r="AE692" i="32"/>
  <c r="AG692" i="32"/>
  <c r="AH692" i="32" s="1"/>
  <c r="AE693" i="32"/>
  <c r="AH693" i="32" s="1"/>
  <c r="AG693" i="32"/>
  <c r="AE694" i="32"/>
  <c r="AH694" i="32" s="1"/>
  <c r="AG694" i="32"/>
  <c r="AE695" i="32"/>
  <c r="AG695" i="32"/>
  <c r="AH695" i="32" s="1"/>
  <c r="AE696" i="32"/>
  <c r="AG696" i="32"/>
  <c r="AE697" i="32"/>
  <c r="AG697" i="32"/>
  <c r="AE698" i="32"/>
  <c r="AG698" i="32"/>
  <c r="AE699" i="32"/>
  <c r="AH699" i="32" s="1"/>
  <c r="AG699" i="32"/>
  <c r="AE700" i="32"/>
  <c r="AG700" i="32"/>
  <c r="AH700" i="32" s="1"/>
  <c r="AE701" i="32"/>
  <c r="AG701" i="32"/>
  <c r="AE702" i="32"/>
  <c r="AG702" i="32"/>
  <c r="AE703" i="32"/>
  <c r="AG703" i="32"/>
  <c r="AE704" i="32"/>
  <c r="AG704" i="32"/>
  <c r="AE705" i="32"/>
  <c r="AG705" i="32"/>
  <c r="AH705" i="32"/>
  <c r="AE706" i="32"/>
  <c r="AH706" i="32" s="1"/>
  <c r="AG706" i="32"/>
  <c r="AE707" i="32"/>
  <c r="AG707" i="32"/>
  <c r="AH707" i="32"/>
  <c r="AE708" i="32"/>
  <c r="AG708" i="32"/>
  <c r="AE709" i="32"/>
  <c r="AH709" i="32" s="1"/>
  <c r="AG709" i="32"/>
  <c r="AE710" i="32"/>
  <c r="AG710" i="32"/>
  <c r="AH710" i="32"/>
  <c r="AE711" i="32"/>
  <c r="AH711" i="32" s="1"/>
  <c r="AG711" i="32"/>
  <c r="AE712" i="32"/>
  <c r="AG712" i="32"/>
  <c r="AE713" i="32"/>
  <c r="AH713" i="32" s="1"/>
  <c r="AG713" i="32"/>
  <c r="AE714" i="32"/>
  <c r="AG714" i="32"/>
  <c r="AE715" i="32"/>
  <c r="AG715" i="32"/>
  <c r="AE716" i="32"/>
  <c r="AG716" i="32"/>
  <c r="AH716" i="32" s="1"/>
  <c r="AE717" i="32"/>
  <c r="AG717" i="32"/>
  <c r="AE718" i="32"/>
  <c r="AG718" i="32"/>
  <c r="AH718" i="32" s="1"/>
  <c r="AE719" i="32"/>
  <c r="AG719" i="32"/>
  <c r="AE720" i="32"/>
  <c r="AG720" i="32"/>
  <c r="AE721" i="32"/>
  <c r="AG721" i="32"/>
  <c r="AH721" i="32"/>
  <c r="AE722" i="32"/>
  <c r="AH722" i="32" s="1"/>
  <c r="AG722" i="32"/>
  <c r="AE723" i="32"/>
  <c r="AG723" i="32"/>
  <c r="AE724" i="32"/>
  <c r="AG724" i="32"/>
  <c r="AE725" i="32"/>
  <c r="AH725" i="32" s="1"/>
  <c r="AG725" i="32"/>
  <c r="AE726" i="32"/>
  <c r="AG726" i="32"/>
  <c r="AE727" i="32"/>
  <c r="AG727" i="32"/>
  <c r="AH727" i="32"/>
  <c r="AE728" i="32"/>
  <c r="AG728" i="32"/>
  <c r="AH728" i="32" s="1"/>
  <c r="AE729" i="32"/>
  <c r="AH729" i="32" s="1"/>
  <c r="AG729" i="32"/>
  <c r="AE730" i="32"/>
  <c r="AG730" i="32"/>
  <c r="AH730" i="32" s="1"/>
  <c r="AE731" i="32"/>
  <c r="AG731" i="32"/>
  <c r="AH731" i="32"/>
  <c r="AE732" i="32"/>
  <c r="AG732" i="32"/>
  <c r="AH732" i="32" s="1"/>
  <c r="AE733" i="32"/>
  <c r="AH733" i="32" s="1"/>
  <c r="AG733" i="32"/>
  <c r="AE734" i="32"/>
  <c r="AG734" i="32"/>
  <c r="AH734" i="32" s="1"/>
  <c r="AE735" i="32"/>
  <c r="AG735" i="32"/>
  <c r="AH735" i="32" s="1"/>
  <c r="AE736" i="32"/>
  <c r="AG736" i="32"/>
  <c r="AH736" i="32" s="1"/>
  <c r="AE737" i="32"/>
  <c r="AG737" i="32"/>
  <c r="AH737" i="32"/>
  <c r="AE738" i="32"/>
  <c r="AG738" i="32"/>
  <c r="AE739" i="32"/>
  <c r="AG739" i="32"/>
  <c r="AE740" i="32"/>
  <c r="AG740" i="32"/>
  <c r="AH740" i="32" s="1"/>
  <c r="AE741" i="32"/>
  <c r="AG741" i="32"/>
  <c r="AH741" i="32"/>
  <c r="AE742" i="32"/>
  <c r="AG742" i="32"/>
  <c r="AH742" i="32"/>
  <c r="AE743" i="32"/>
  <c r="AG743" i="32"/>
  <c r="AH743" i="32" s="1"/>
  <c r="AE744" i="32"/>
  <c r="AG744" i="32"/>
  <c r="AH744" i="32" s="1"/>
  <c r="AE745" i="32"/>
  <c r="AG745" i="32"/>
  <c r="AE746" i="32"/>
  <c r="AG746" i="32"/>
  <c r="AH746" i="32"/>
  <c r="AE747" i="32"/>
  <c r="AG747" i="32"/>
  <c r="AE748" i="32"/>
  <c r="AG748" i="32"/>
  <c r="AE749" i="32"/>
  <c r="AG749" i="32"/>
  <c r="AH749" i="32" s="1"/>
  <c r="AE750" i="32"/>
  <c r="AH750" i="32" s="1"/>
  <c r="AG750" i="32"/>
  <c r="AE751" i="32"/>
  <c r="AG751" i="32"/>
  <c r="AE752" i="32"/>
  <c r="AG752" i="32"/>
  <c r="AE753" i="32"/>
  <c r="AG753" i="32"/>
  <c r="AE754" i="32"/>
  <c r="AG754" i="32"/>
  <c r="AE755" i="32"/>
  <c r="AH755" i="32" s="1"/>
  <c r="AG755" i="32"/>
  <c r="AE756" i="32"/>
  <c r="AG756" i="32"/>
  <c r="AH756" i="32" s="1"/>
  <c r="AE757" i="32"/>
  <c r="AG757" i="32"/>
  <c r="AE758" i="32"/>
  <c r="AG758" i="32"/>
  <c r="AE759" i="32"/>
  <c r="AG759" i="32"/>
  <c r="AH759" i="32"/>
  <c r="AE760" i="32"/>
  <c r="AG760" i="32"/>
  <c r="AE761" i="32"/>
  <c r="AH761" i="32" s="1"/>
  <c r="AG761" i="32"/>
  <c r="AE762" i="32"/>
  <c r="AG762" i="32"/>
  <c r="AH762" i="32"/>
  <c r="AE763" i="32"/>
  <c r="AG763" i="32"/>
  <c r="AE764" i="32"/>
  <c r="AG764" i="32"/>
  <c r="AH764" i="32" s="1"/>
  <c r="AE765" i="32"/>
  <c r="AG765" i="32"/>
  <c r="AH765" i="32" s="1"/>
  <c r="AE766" i="32"/>
  <c r="AH766" i="32" s="1"/>
  <c r="AG766" i="32"/>
  <c r="AH500" i="32" l="1"/>
  <c r="AH294" i="32"/>
  <c r="AH230" i="32"/>
  <c r="AH701" i="32"/>
  <c r="AH666" i="32"/>
  <c r="AH660" i="32"/>
  <c r="AH575" i="32"/>
  <c r="AH569" i="32"/>
  <c r="AH426" i="32"/>
  <c r="AH316" i="32"/>
  <c r="AH247" i="32"/>
  <c r="AH539" i="32"/>
  <c r="AH470" i="32"/>
  <c r="AH464" i="32"/>
  <c r="AH458" i="32"/>
  <c r="AH419" i="32"/>
  <c r="AH304" i="32"/>
  <c r="AH292" i="32"/>
  <c r="AH607" i="32"/>
  <c r="AH573" i="32"/>
  <c r="AH567" i="32"/>
  <c r="AH561" i="32"/>
  <c r="AH550" i="32"/>
  <c r="AH309" i="32"/>
  <c r="AH321" i="32"/>
  <c r="AH687" i="32"/>
  <c r="AH451" i="32"/>
  <c r="AH348" i="32"/>
  <c r="AH258" i="32"/>
  <c r="AH763" i="32"/>
  <c r="AH758" i="32"/>
  <c r="AH698" i="32"/>
  <c r="AH634" i="32"/>
  <c r="AH589" i="32"/>
  <c r="AH491" i="32"/>
  <c r="AH739" i="32"/>
  <c r="AH671" i="32"/>
  <c r="AH753" i="32"/>
  <c r="AH650" i="32"/>
  <c r="AH415" i="32"/>
  <c r="AH580" i="32"/>
  <c r="AH528" i="32"/>
  <c r="AH281" i="32"/>
  <c r="AH605" i="32"/>
  <c r="AH696" i="32"/>
  <c r="AH645" i="32"/>
  <c r="AH622" i="32"/>
  <c r="AH519" i="32"/>
  <c r="AH513" i="32"/>
  <c r="AH484" i="32"/>
  <c r="AH271" i="32"/>
  <c r="AH658" i="32"/>
  <c r="AH374" i="32"/>
  <c r="AH241" i="32"/>
  <c r="AH583" i="32"/>
  <c r="AH467" i="32"/>
  <c r="AH461" i="32"/>
  <c r="AH402" i="32"/>
  <c r="AH379" i="32"/>
  <c r="AH368" i="32"/>
  <c r="AH297" i="32"/>
  <c r="AH274" i="32"/>
  <c r="AH257" i="32"/>
  <c r="AH246" i="32"/>
  <c r="AH229" i="32"/>
  <c r="AH627" i="32"/>
  <c r="AH351" i="32"/>
  <c r="AH663" i="32"/>
  <c r="AH642" i="32"/>
  <c r="AH572" i="32"/>
  <c r="AH549" i="32"/>
  <c r="AH450" i="32"/>
  <c r="AH726" i="32"/>
  <c r="AH715" i="32"/>
  <c r="AH615" i="32"/>
  <c r="AH593" i="32"/>
  <c r="AH510" i="32"/>
  <c r="AH493" i="32"/>
  <c r="AH477" i="32"/>
  <c r="AH455" i="32"/>
  <c r="AH407" i="32"/>
  <c r="AH396" i="32"/>
  <c r="AH373" i="32"/>
  <c r="AH356" i="32"/>
  <c r="AH350" i="32"/>
  <c r="AH268" i="32"/>
  <c r="AH747" i="32"/>
  <c r="AH505" i="32"/>
  <c r="AH757" i="32"/>
  <c r="AH674" i="32"/>
  <c r="AH560" i="32"/>
  <c r="AH522" i="32"/>
  <c r="AH714" i="32"/>
  <c r="AH620" i="32"/>
  <c r="AH598" i="32"/>
  <c r="AH587" i="32"/>
  <c r="AH565" i="32"/>
  <c r="AH417" i="32"/>
  <c r="AH395" i="32"/>
  <c r="AH384" i="32"/>
  <c r="AH372" i="32"/>
  <c r="AH312" i="32"/>
  <c r="AH307" i="32"/>
  <c r="AH302" i="32"/>
  <c r="AH296" i="32"/>
  <c r="AH290" i="32"/>
  <c r="AH267" i="32"/>
  <c r="AH256" i="32"/>
  <c r="AH245" i="32"/>
  <c r="AH228" i="32"/>
  <c r="AH212" i="32"/>
  <c r="AH637" i="32"/>
  <c r="AH578" i="32"/>
  <c r="AH363" i="32"/>
  <c r="AH391" i="32"/>
  <c r="AH286" i="32"/>
  <c r="AH745" i="32"/>
  <c r="AH724" i="32"/>
  <c r="AH719" i="32"/>
  <c r="AH708" i="32"/>
  <c r="AH661" i="32"/>
  <c r="AH640" i="32"/>
  <c r="AH630" i="32"/>
  <c r="AH536" i="32"/>
  <c r="AH531" i="32"/>
  <c r="AH508" i="32"/>
  <c r="AH459" i="32"/>
  <c r="AH448" i="32"/>
  <c r="AH443" i="32"/>
  <c r="AH437" i="32"/>
  <c r="AH427" i="32"/>
  <c r="AH416" i="32"/>
  <c r="AH400" i="32"/>
  <c r="AH360" i="32"/>
  <c r="AH306" i="32"/>
  <c r="AH261" i="32"/>
  <c r="AH216" i="32"/>
  <c r="AH205" i="32"/>
  <c r="AH754" i="32"/>
  <c r="AH723" i="32"/>
  <c r="AH702" i="32"/>
  <c r="AH639" i="32"/>
  <c r="AH546" i="32"/>
  <c r="AH524" i="32"/>
  <c r="AH507" i="32"/>
  <c r="AH452" i="32"/>
  <c r="AH436" i="32"/>
  <c r="AH393" i="32"/>
  <c r="AH365" i="32"/>
  <c r="AH359" i="32"/>
  <c r="AH337" i="32"/>
  <c r="AH310" i="32"/>
  <c r="AH305" i="32"/>
  <c r="AH748" i="32"/>
  <c r="AH738" i="32"/>
  <c r="AH717" i="32"/>
  <c r="AH697" i="32"/>
  <c r="AH686" i="32"/>
  <c r="AH681" i="32"/>
  <c r="AH665" i="32"/>
  <c r="AH654" i="32"/>
  <c r="AH649" i="32"/>
  <c r="AH617" i="32"/>
  <c r="AH600" i="32"/>
  <c r="AH551" i="32"/>
  <c r="AH540" i="32"/>
  <c r="AH501" i="32"/>
  <c r="AH490" i="32"/>
  <c r="AH469" i="32"/>
  <c r="AH463" i="32"/>
  <c r="AH441" i="32"/>
  <c r="AH430" i="32"/>
  <c r="AH425" i="32"/>
  <c r="AH392" i="32"/>
  <c r="AH381" i="32"/>
  <c r="AH370" i="32"/>
  <c r="AH352" i="32"/>
  <c r="AH347" i="32"/>
  <c r="AH342" i="32"/>
  <c r="AH325" i="32"/>
  <c r="AH287" i="32"/>
  <c r="AH264" i="32"/>
  <c r="AH236" i="32"/>
  <c r="AH209" i="32"/>
  <c r="AH518" i="32"/>
  <c r="AH466" i="32"/>
  <c r="AH590" i="32"/>
  <c r="AH217" i="32"/>
  <c r="AH362" i="32"/>
  <c r="AH486" i="32"/>
  <c r="AH254" i="32"/>
  <c r="AH487" i="32"/>
  <c r="AH481" i="32"/>
  <c r="AH383" i="32"/>
  <c r="AH260" i="32"/>
  <c r="AH548" i="32"/>
  <c r="AH298" i="32"/>
  <c r="AH496" i="32"/>
  <c r="AH382" i="32"/>
  <c r="AH609" i="32"/>
  <c r="AH594" i="32"/>
  <c r="AH542" i="32"/>
  <c r="AH433" i="32"/>
  <c r="AH334" i="32"/>
  <c r="AH751" i="32"/>
  <c r="AH703" i="32"/>
  <c r="AH553" i="32"/>
  <c r="AH329" i="32"/>
  <c r="AH668" i="32"/>
  <c r="AH562" i="32"/>
  <c r="AH453" i="32"/>
  <c r="AH397" i="32"/>
  <c r="AH344" i="32"/>
  <c r="AH339" i="32"/>
  <c r="AH280" i="32"/>
  <c r="AH263" i="32"/>
  <c r="AH198" i="32"/>
  <c r="AH435" i="32"/>
  <c r="AH414" i="32"/>
  <c r="AH434" i="32"/>
  <c r="AH655" i="32"/>
  <c r="AH720" i="32"/>
  <c r="AH520" i="32"/>
  <c r="AH279" i="32"/>
  <c r="AH203" i="32"/>
  <c r="AH690" i="32"/>
  <c r="AH570" i="32"/>
  <c r="AH378" i="32"/>
  <c r="AH357" i="32"/>
  <c r="AH293" i="32"/>
  <c r="AH238" i="32"/>
  <c r="AH677" i="32"/>
  <c r="AH613" i="32"/>
  <c r="AH514" i="32"/>
  <c r="AH494" i="32"/>
  <c r="AH406" i="32"/>
  <c r="AH364" i="32"/>
  <c r="AH353" i="32"/>
  <c r="AH338" i="32"/>
  <c r="AH273" i="32"/>
  <c r="AH676" i="32"/>
  <c r="AH618" i="32"/>
  <c r="AH612" i="32"/>
  <c r="AH566" i="32"/>
  <c r="AH529" i="32"/>
  <c r="AH473" i="32"/>
  <c r="AH462" i="32"/>
  <c r="AH300" i="32"/>
  <c r="AH283" i="32"/>
  <c r="AH272" i="32"/>
  <c r="AH234" i="32"/>
  <c r="AH538" i="32"/>
  <c r="AH632" i="32"/>
  <c r="AH472" i="32"/>
  <c r="AH420" i="32"/>
  <c r="AH315" i="32"/>
  <c r="AH288" i="32"/>
  <c r="AH239" i="32"/>
  <c r="AH207" i="32"/>
  <c r="AH626" i="32"/>
  <c r="AH574" i="32"/>
  <c r="AH465" i="32"/>
  <c r="AH442" i="32"/>
  <c r="AH418" i="32"/>
  <c r="AH390" i="32"/>
  <c r="AH385" i="32"/>
  <c r="AH366" i="32"/>
  <c r="AH277" i="32"/>
  <c r="AH201" i="32"/>
  <c r="AH597" i="32"/>
  <c r="AH545" i="32"/>
  <c r="AH498" i="32"/>
  <c r="AH408" i="32"/>
  <c r="AH389" i="32"/>
  <c r="AH276" i="32"/>
  <c r="AH252" i="32"/>
  <c r="AH242" i="32"/>
  <c r="AH215" i="32"/>
  <c r="AH206" i="32"/>
  <c r="AH752" i="32"/>
  <c r="AH704" i="32"/>
  <c r="AH656" i="32"/>
  <c r="AH625" i="32"/>
  <c r="AH606" i="32"/>
  <c r="AH516" i="32"/>
  <c r="AH488" i="32"/>
  <c r="AH326" i="32"/>
  <c r="AH311" i="32"/>
  <c r="AH235" i="32"/>
  <c r="AH195" i="32"/>
  <c r="AH760" i="32"/>
  <c r="AH712" i="32"/>
  <c r="AH664" i="32"/>
  <c r="AH610" i="32"/>
  <c r="AH582" i="32"/>
  <c r="AH577" i="32"/>
  <c r="AH558" i="32"/>
  <c r="AH530" i="32"/>
  <c r="AH478" i="32"/>
  <c r="AH468" i="32"/>
  <c r="AH440" i="32"/>
  <c r="AH369" i="32"/>
  <c r="AH346" i="32"/>
  <c r="AH341" i="32"/>
  <c r="AH320" i="32"/>
  <c r="AH301" i="32"/>
  <c r="AH265" i="32"/>
  <c r="AH240" i="32"/>
  <c r="AH224" i="32"/>
  <c r="AH199" i="32"/>
  <c r="AH237" i="32"/>
  <c r="AH285" i="32"/>
  <c r="AH250" i="32"/>
  <c r="AH202" i="32"/>
  <c r="D39" i="32" l="1"/>
  <c r="E39" i="32"/>
  <c r="F39" i="32"/>
  <c r="H39" i="32"/>
  <c r="J39" i="32"/>
  <c r="C39" i="32" s="1"/>
  <c r="N39" i="32"/>
  <c r="O39" i="32"/>
  <c r="P39" i="32"/>
  <c r="D40" i="32"/>
  <c r="E40" i="32"/>
  <c r="F40" i="32"/>
  <c r="H40" i="32"/>
  <c r="J40" i="32"/>
  <c r="C40" i="32" s="1"/>
  <c r="N40" i="32"/>
  <c r="O40" i="32"/>
  <c r="P40" i="32"/>
  <c r="H37" i="32"/>
  <c r="H34" i="32"/>
  <c r="H31" i="32"/>
  <c r="H19" i="32"/>
  <c r="H16" i="32"/>
  <c r="Q42" i="32"/>
  <c r="K41" i="32"/>
  <c r="P38" i="32"/>
  <c r="O38" i="32"/>
  <c r="N38" i="32"/>
  <c r="J38" i="32"/>
  <c r="L38" i="32" s="1"/>
  <c r="H38" i="32"/>
  <c r="F38" i="32"/>
  <c r="E38" i="32"/>
  <c r="D38" i="32"/>
  <c r="P37" i="32"/>
  <c r="O37" i="32"/>
  <c r="N37" i="32"/>
  <c r="J37" i="32"/>
  <c r="F37" i="32"/>
  <c r="E37" i="32"/>
  <c r="D37" i="32"/>
  <c r="P36" i="32"/>
  <c r="O36" i="32"/>
  <c r="N36" i="32"/>
  <c r="J36" i="32"/>
  <c r="C36" i="32" s="1"/>
  <c r="F36" i="32"/>
  <c r="E36" i="32"/>
  <c r="D36" i="32"/>
  <c r="P35" i="32"/>
  <c r="O35" i="32"/>
  <c r="N35" i="32"/>
  <c r="J35" i="32"/>
  <c r="L35" i="32" s="1"/>
  <c r="F35" i="32"/>
  <c r="E35" i="32"/>
  <c r="D35" i="32"/>
  <c r="P34" i="32"/>
  <c r="O34" i="32"/>
  <c r="N34" i="32"/>
  <c r="J34" i="32"/>
  <c r="C34" i="32" s="1"/>
  <c r="F34" i="32"/>
  <c r="E34" i="32"/>
  <c r="D34" i="32"/>
  <c r="P33" i="32"/>
  <c r="O33" i="32"/>
  <c r="N33" i="32"/>
  <c r="J33" i="32"/>
  <c r="F33" i="32"/>
  <c r="E33" i="32"/>
  <c r="D33" i="32"/>
  <c r="P32" i="32"/>
  <c r="O32" i="32"/>
  <c r="N32" i="32"/>
  <c r="J32" i="32"/>
  <c r="L32" i="32" s="1"/>
  <c r="F32" i="32"/>
  <c r="E32" i="32"/>
  <c r="D32" i="32"/>
  <c r="P31" i="32"/>
  <c r="O31" i="32"/>
  <c r="N31" i="32"/>
  <c r="J31" i="32"/>
  <c r="F31" i="32"/>
  <c r="E31" i="32"/>
  <c r="D31" i="32"/>
  <c r="P30" i="32"/>
  <c r="O30" i="32"/>
  <c r="N30" i="32"/>
  <c r="J30" i="32"/>
  <c r="L30" i="32" s="1"/>
  <c r="F30" i="32"/>
  <c r="E30" i="32"/>
  <c r="D30" i="32"/>
  <c r="P29" i="32"/>
  <c r="O29" i="32"/>
  <c r="N29" i="32"/>
  <c r="J29" i="32"/>
  <c r="L29" i="32" s="1"/>
  <c r="F29" i="32"/>
  <c r="E29" i="32"/>
  <c r="D29" i="32"/>
  <c r="P28" i="32"/>
  <c r="O28" i="32"/>
  <c r="N28" i="32"/>
  <c r="J28" i="32"/>
  <c r="F28" i="32"/>
  <c r="E28" i="32"/>
  <c r="D28" i="32"/>
  <c r="P27" i="32"/>
  <c r="O27" i="32"/>
  <c r="N27" i="32"/>
  <c r="J27" i="32"/>
  <c r="L27" i="32" s="1"/>
  <c r="F27" i="32"/>
  <c r="E27" i="32"/>
  <c r="D27" i="32"/>
  <c r="P26" i="32"/>
  <c r="O26" i="32"/>
  <c r="N26" i="32"/>
  <c r="J26" i="32"/>
  <c r="L26" i="32" s="1"/>
  <c r="F26" i="32"/>
  <c r="E26" i="32"/>
  <c r="D26" i="32"/>
  <c r="P25" i="32"/>
  <c r="O25" i="32"/>
  <c r="N25" i="32"/>
  <c r="J25" i="32"/>
  <c r="F25" i="32"/>
  <c r="E25" i="32"/>
  <c r="D25" i="32"/>
  <c r="P24" i="32"/>
  <c r="O24" i="32"/>
  <c r="N24" i="32"/>
  <c r="J24" i="32"/>
  <c r="C24" i="32" s="1"/>
  <c r="H24" i="32"/>
  <c r="F24" i="32"/>
  <c r="E24" i="32"/>
  <c r="D24" i="32"/>
  <c r="P23" i="32"/>
  <c r="O23" i="32"/>
  <c r="N23" i="32"/>
  <c r="J23" i="32"/>
  <c r="L23" i="32" s="1"/>
  <c r="F23" i="32"/>
  <c r="E23" i="32"/>
  <c r="D23" i="32"/>
  <c r="P22" i="32"/>
  <c r="O22" i="32"/>
  <c r="N22" i="32"/>
  <c r="J22" i="32"/>
  <c r="C22" i="32" s="1"/>
  <c r="F22" i="32"/>
  <c r="E22" i="32"/>
  <c r="D22" i="32"/>
  <c r="P21" i="32"/>
  <c r="O21" i="32"/>
  <c r="N21" i="32"/>
  <c r="J21" i="32"/>
  <c r="L21" i="32" s="1"/>
  <c r="F21" i="32"/>
  <c r="E21" i="32"/>
  <c r="D21" i="32"/>
  <c r="P20" i="32"/>
  <c r="O20" i="32"/>
  <c r="N20" i="32"/>
  <c r="J20" i="32"/>
  <c r="L20" i="32" s="1"/>
  <c r="F20" i="32"/>
  <c r="E20" i="32"/>
  <c r="D20" i="32"/>
  <c r="P19" i="32"/>
  <c r="O19" i="32"/>
  <c r="N19" i="32"/>
  <c r="J19" i="32"/>
  <c r="F19" i="32"/>
  <c r="E19" i="32"/>
  <c r="D19" i="32"/>
  <c r="P18" i="32"/>
  <c r="O18" i="32"/>
  <c r="N18" i="32"/>
  <c r="J18" i="32"/>
  <c r="C18" i="32" s="1"/>
  <c r="F18" i="32"/>
  <c r="E18" i="32"/>
  <c r="D18" i="32"/>
  <c r="P17" i="32"/>
  <c r="O17" i="32"/>
  <c r="N17" i="32"/>
  <c r="J17" i="32"/>
  <c r="L17" i="32" s="1"/>
  <c r="F17" i="32"/>
  <c r="E17" i="32"/>
  <c r="D17" i="32"/>
  <c r="P16" i="32"/>
  <c r="O16" i="32"/>
  <c r="N16" i="32"/>
  <c r="J16" i="32"/>
  <c r="C16" i="32" s="1"/>
  <c r="F16" i="32"/>
  <c r="E16" i="32"/>
  <c r="D16" i="32"/>
  <c r="P15" i="32"/>
  <c r="O15" i="32"/>
  <c r="N15" i="32"/>
  <c r="J15" i="32"/>
  <c r="L15" i="32" s="1"/>
  <c r="F15" i="32"/>
  <c r="E15" i="32"/>
  <c r="D15" i="32"/>
  <c r="P14" i="32"/>
  <c r="O14" i="32"/>
  <c r="N14" i="32"/>
  <c r="F14" i="32"/>
  <c r="E14" i="32"/>
  <c r="D14" i="32"/>
  <c r="P13" i="32"/>
  <c r="O13" i="32"/>
  <c r="N13" i="32"/>
  <c r="J13" i="32"/>
  <c r="F13" i="32"/>
  <c r="E13" i="32"/>
  <c r="D13" i="32"/>
  <c r="P12" i="32"/>
  <c r="O12" i="32"/>
  <c r="N12" i="32"/>
  <c r="J12" i="32"/>
  <c r="F12" i="32"/>
  <c r="E12" i="32"/>
  <c r="D12" i="32"/>
  <c r="P11" i="32"/>
  <c r="O11" i="32"/>
  <c r="N11" i="32"/>
  <c r="J11" i="32"/>
  <c r="L11" i="32" s="1"/>
  <c r="F11" i="32"/>
  <c r="E11" i="32"/>
  <c r="D11" i="32"/>
  <c r="P10" i="32"/>
  <c r="O10" i="32"/>
  <c r="N10" i="32"/>
  <c r="J10" i="32"/>
  <c r="F10" i="32"/>
  <c r="E10" i="32"/>
  <c r="D10" i="32"/>
  <c r="AG5" i="32"/>
  <c r="AE5" i="32"/>
  <c r="AH5" i="32" l="1"/>
  <c r="C12" i="32"/>
  <c r="G12" i="32" s="1"/>
  <c r="J14" i="32"/>
  <c r="L14" i="32" s="1"/>
  <c r="C32" i="32"/>
  <c r="G32" i="32" s="1"/>
  <c r="L40" i="32"/>
  <c r="L39" i="32"/>
  <c r="C27" i="32"/>
  <c r="G27" i="32" s="1"/>
  <c r="Q16" i="32"/>
  <c r="Q15" i="32"/>
  <c r="Q19" i="32"/>
  <c r="Q27" i="32"/>
  <c r="Q31" i="32"/>
  <c r="I39" i="32"/>
  <c r="Q33" i="32"/>
  <c r="Q37" i="32"/>
  <c r="Q24" i="32"/>
  <c r="Q28" i="32"/>
  <c r="Q36" i="32"/>
  <c r="G39" i="32"/>
  <c r="Q13" i="32"/>
  <c r="Q21" i="32"/>
  <c r="Q38" i="32"/>
  <c r="I40" i="32"/>
  <c r="Q40" i="32"/>
  <c r="G40" i="32"/>
  <c r="Q10" i="32"/>
  <c r="Q18" i="32"/>
  <c r="Q22" i="32"/>
  <c r="G24" i="32"/>
  <c r="Q39" i="32"/>
  <c r="I16" i="32"/>
  <c r="I19" i="32"/>
  <c r="G34" i="32"/>
  <c r="I24" i="32"/>
  <c r="Q34" i="32"/>
  <c r="I34" i="32"/>
  <c r="H10" i="32"/>
  <c r="I10" i="32" s="1"/>
  <c r="C30" i="32"/>
  <c r="G30" i="32" s="1"/>
  <c r="G22" i="32"/>
  <c r="I37" i="32"/>
  <c r="Q32" i="32"/>
  <c r="C17" i="32"/>
  <c r="G17" i="32" s="1"/>
  <c r="P41" i="32"/>
  <c r="Q20" i="32"/>
  <c r="Q35" i="32"/>
  <c r="E41" i="32"/>
  <c r="Q29" i="32"/>
  <c r="F41" i="32"/>
  <c r="G18" i="32"/>
  <c r="I38" i="32"/>
  <c r="D41" i="32"/>
  <c r="Q23" i="32"/>
  <c r="Q14" i="32"/>
  <c r="G36" i="32"/>
  <c r="G16" i="32"/>
  <c r="Q17" i="32"/>
  <c r="Q26" i="32"/>
  <c r="Q25" i="32"/>
  <c r="Q30" i="32"/>
  <c r="C38" i="32"/>
  <c r="G38" i="32" s="1"/>
  <c r="I31" i="32"/>
  <c r="Q12" i="32"/>
  <c r="O41" i="32"/>
  <c r="H29" i="32"/>
  <c r="I29" i="32" s="1"/>
  <c r="H11" i="32"/>
  <c r="I11" i="32" s="1"/>
  <c r="H36" i="32"/>
  <c r="I36" i="32" s="1"/>
  <c r="H14" i="32"/>
  <c r="I14" i="32" s="1"/>
  <c r="H23" i="32"/>
  <c r="I23" i="32" s="1"/>
  <c r="H26" i="32"/>
  <c r="I26" i="32" s="1"/>
  <c r="H20" i="32"/>
  <c r="I20" i="32" s="1"/>
  <c r="H28" i="32"/>
  <c r="I28" i="32" s="1"/>
  <c r="H22" i="32"/>
  <c r="I22" i="32" s="1"/>
  <c r="H35" i="32"/>
  <c r="I35" i="32" s="1"/>
  <c r="H33" i="32"/>
  <c r="I33" i="32" s="1"/>
  <c r="H18" i="32"/>
  <c r="I18" i="32" s="1"/>
  <c r="C10" i="32"/>
  <c r="H27" i="32"/>
  <c r="I27" i="32" s="1"/>
  <c r="C28" i="32"/>
  <c r="G28" i="32" s="1"/>
  <c r="C14" i="32"/>
  <c r="G14" i="32" s="1"/>
  <c r="C20" i="32"/>
  <c r="G20" i="32" s="1"/>
  <c r="C15" i="32"/>
  <c r="G15" i="32" s="1"/>
  <c r="C13" i="32"/>
  <c r="G13" i="32" s="1"/>
  <c r="Q11" i="32"/>
  <c r="C25" i="32"/>
  <c r="G25" i="32" s="1"/>
  <c r="C35" i="32"/>
  <c r="G35" i="32" s="1"/>
  <c r="C29" i="32"/>
  <c r="G29" i="32" s="1"/>
  <c r="H13" i="32"/>
  <c r="I13" i="32" s="1"/>
  <c r="H25" i="32"/>
  <c r="I25" i="32" s="1"/>
  <c r="H32" i="32"/>
  <c r="I32" i="32" s="1"/>
  <c r="H30" i="32"/>
  <c r="I30" i="32" s="1"/>
  <c r="L10" i="32"/>
  <c r="L16" i="32"/>
  <c r="L22" i="32"/>
  <c r="L34" i="32"/>
  <c r="L28" i="32"/>
  <c r="C26" i="32"/>
  <c r="G26" i="32" s="1"/>
  <c r="H12" i="32"/>
  <c r="I12" i="32" s="1"/>
  <c r="L36" i="32"/>
  <c r="H17" i="32"/>
  <c r="I17" i="32" s="1"/>
  <c r="L12" i="32"/>
  <c r="L18" i="32"/>
  <c r="C21" i="32"/>
  <c r="G21" i="32" s="1"/>
  <c r="C37" i="32"/>
  <c r="G37" i="32" s="1"/>
  <c r="N41" i="32"/>
  <c r="C19" i="32"/>
  <c r="G19" i="32" s="1"/>
  <c r="L24" i="32"/>
  <c r="C33" i="32"/>
  <c r="G33" i="32" s="1"/>
  <c r="L37" i="32"/>
  <c r="L13" i="32"/>
  <c r="L19" i="32"/>
  <c r="C31" i="32"/>
  <c r="G31" i="32" s="1"/>
  <c r="C11" i="32"/>
  <c r="G11" i="32" s="1"/>
  <c r="C23" i="32"/>
  <c r="G23" i="32" s="1"/>
  <c r="L25" i="32"/>
  <c r="L31" i="32"/>
  <c r="H15" i="32"/>
  <c r="I15" i="32" s="1"/>
  <c r="H21" i="32"/>
  <c r="I21" i="32" s="1"/>
  <c r="J41" i="32" l="1"/>
  <c r="L41" i="32" s="1"/>
  <c r="K42" i="32" s="1"/>
  <c r="Q41" i="32"/>
  <c r="H41" i="32"/>
  <c r="I41" i="32"/>
  <c r="C41" i="32"/>
  <c r="G10" i="32"/>
  <c r="G41" i="32" s="1"/>
  <c r="J42" i="32" l="1"/>
  <c r="L42" i="32"/>
  <c r="E42" i="32"/>
  <c r="D42" i="32"/>
  <c r="F42" i="32"/>
  <c r="C42" i="32"/>
  <c r="AE35" i="31" l="1"/>
  <c r="AE36" i="31"/>
  <c r="AE37" i="31"/>
  <c r="AE38" i="31"/>
  <c r="AE39" i="31"/>
  <c r="AE40" i="31"/>
  <c r="AE41" i="31"/>
  <c r="AE42" i="31"/>
  <c r="AE43" i="31"/>
  <c r="AE70" i="31"/>
  <c r="AE71" i="31"/>
  <c r="AE72" i="31"/>
  <c r="AE73" i="31"/>
  <c r="AH284" i="31"/>
  <c r="AH285" i="31"/>
  <c r="AH286" i="31"/>
  <c r="AH287" i="31"/>
  <c r="AH288" i="31"/>
  <c r="AH289" i="31"/>
  <c r="AH290" i="31"/>
  <c r="AH291" i="31"/>
  <c r="AH292" i="31"/>
  <c r="AH293" i="31"/>
  <c r="AH294" i="31"/>
  <c r="AH295" i="31"/>
  <c r="AE285" i="31"/>
  <c r="AE286" i="31"/>
  <c r="AE287" i="31"/>
  <c r="AE288" i="31"/>
  <c r="AE289" i="31"/>
  <c r="AE290" i="31"/>
  <c r="AE291" i="31"/>
  <c r="AE292" i="31"/>
  <c r="AE293" i="31"/>
  <c r="AE294" i="31"/>
  <c r="AE295" i="31"/>
  <c r="AE296" i="31"/>
  <c r="AE297" i="31"/>
  <c r="AE298" i="31"/>
  <c r="AE299" i="31"/>
  <c r="AE300" i="31"/>
  <c r="AE301" i="31"/>
  <c r="AE302" i="31"/>
  <c r="AE303" i="31"/>
  <c r="AE304" i="31"/>
  <c r="AE241" i="31"/>
  <c r="AH241" i="31" s="1"/>
  <c r="AE242" i="31"/>
  <c r="AH242" i="31" s="1"/>
  <c r="AE243" i="31"/>
  <c r="AE244" i="31"/>
  <c r="AH244" i="31" s="1"/>
  <c r="AE245" i="31"/>
  <c r="AE246" i="31"/>
  <c r="AH243" i="31"/>
  <c r="AE156" i="31" l="1"/>
  <c r="AH156" i="31" s="1"/>
  <c r="AE157" i="31"/>
  <c r="AE158" i="31"/>
  <c r="AE160" i="31"/>
  <c r="AH160" i="31" s="1"/>
  <c r="AE161" i="31"/>
  <c r="AH161" i="31" s="1"/>
  <c r="AE162" i="31"/>
  <c r="AH153" i="31"/>
  <c r="AH154" i="31"/>
  <c r="AH155" i="31"/>
  <c r="AH157" i="31"/>
  <c r="AH158" i="31"/>
  <c r="AG151" i="31"/>
  <c r="AG152" i="31"/>
  <c r="AG153" i="31"/>
  <c r="AG154" i="31"/>
  <c r="AG155" i="31"/>
  <c r="AG156" i="31"/>
  <c r="AG157" i="31"/>
  <c r="AG158" i="31"/>
  <c r="AG160" i="31"/>
  <c r="AG161" i="31"/>
  <c r="AG162" i="31"/>
  <c r="AG163" i="31"/>
  <c r="AE102" i="31" l="1"/>
  <c r="AE103" i="31"/>
  <c r="AE104" i="31"/>
  <c r="AE105" i="31"/>
  <c r="AE106" i="31"/>
  <c r="AE109" i="31"/>
  <c r="AE110" i="31"/>
  <c r="AE111" i="31"/>
  <c r="AE112" i="31"/>
  <c r="AE113" i="31"/>
  <c r="AE114" i="31"/>
  <c r="AE115" i="31"/>
  <c r="AE116" i="31"/>
  <c r="AE117" i="31"/>
  <c r="AE118" i="31"/>
  <c r="AE119" i="31"/>
  <c r="AE120" i="31"/>
  <c r="AE121" i="31"/>
  <c r="AE122" i="31"/>
  <c r="AE123" i="31"/>
  <c r="AE124" i="31"/>
  <c r="AE125" i="31"/>
  <c r="AE126" i="31"/>
  <c r="AE127" i="31"/>
  <c r="AE128" i="31"/>
  <c r="AE129" i="31"/>
  <c r="AE130" i="31"/>
  <c r="AE131" i="31"/>
  <c r="AE132" i="31"/>
  <c r="AE134" i="31"/>
  <c r="AE135" i="31"/>
  <c r="AE136" i="31"/>
  <c r="AE137" i="31"/>
  <c r="AE138" i="31"/>
  <c r="AE139" i="31"/>
  <c r="AE140" i="31"/>
  <c r="AE141" i="31"/>
  <c r="AE142" i="31"/>
  <c r="AE143" i="31"/>
  <c r="AE144" i="31"/>
  <c r="AE145" i="31"/>
  <c r="AE146" i="31"/>
  <c r="AE147" i="31"/>
  <c r="AE148" i="31"/>
  <c r="AE149" i="31"/>
  <c r="AE150" i="31"/>
  <c r="AE151" i="31"/>
  <c r="AE152" i="31"/>
  <c r="AE153" i="31"/>
  <c r="AE154" i="31"/>
  <c r="AE155" i="31"/>
  <c r="AE163" i="31"/>
  <c r="AE164" i="31"/>
  <c r="AE165" i="31"/>
  <c r="AE166" i="31"/>
  <c r="AE167" i="31"/>
  <c r="AE168" i="31"/>
  <c r="AE169" i="31"/>
  <c r="AE170" i="31"/>
  <c r="AE171" i="31"/>
  <c r="AE172" i="31"/>
  <c r="AE173" i="31"/>
  <c r="AE174" i="31"/>
  <c r="AE175" i="31"/>
  <c r="AE176" i="31"/>
  <c r="AE177" i="31"/>
  <c r="AE178" i="31"/>
  <c r="AE179" i="31"/>
  <c r="AE180" i="31"/>
  <c r="AE181" i="31"/>
  <c r="AE182" i="31"/>
  <c r="AE183" i="31"/>
  <c r="AE185" i="31"/>
  <c r="AE186" i="31"/>
  <c r="AE187" i="31"/>
  <c r="AE188" i="31"/>
  <c r="AE189" i="31"/>
  <c r="AE190" i="31"/>
  <c r="AE191" i="31"/>
  <c r="AE192" i="31"/>
  <c r="AE193" i="31"/>
  <c r="AE194" i="31"/>
  <c r="AE195" i="31"/>
  <c r="AE196" i="31"/>
  <c r="AE197" i="31"/>
  <c r="AE198" i="31"/>
  <c r="AE199" i="31"/>
  <c r="AE200" i="31"/>
  <c r="AE201" i="31"/>
  <c r="AE202" i="31"/>
  <c r="AE203" i="31"/>
  <c r="AE204" i="31"/>
  <c r="AE205" i="31"/>
  <c r="AE206" i="31"/>
  <c r="AE207" i="31"/>
  <c r="AE208" i="31"/>
  <c r="AE209" i="31"/>
  <c r="AE210" i="31"/>
  <c r="AG372" i="31" l="1"/>
  <c r="AG373" i="31"/>
  <c r="AG374" i="31"/>
  <c r="AG375" i="31"/>
  <c r="AG376" i="31"/>
  <c r="AG377" i="31"/>
  <c r="AG378" i="31"/>
  <c r="AG379" i="31"/>
  <c r="AG380" i="31"/>
  <c r="AG381" i="31"/>
  <c r="AG382" i="31"/>
  <c r="AG383" i="31"/>
  <c r="AG384" i="31"/>
  <c r="AG385" i="31"/>
  <c r="AG386" i="31"/>
  <c r="AG387" i="31"/>
  <c r="AG388" i="31"/>
  <c r="AG389" i="31"/>
  <c r="AG390" i="31"/>
  <c r="AG391" i="31"/>
  <c r="AG392" i="31"/>
  <c r="AG393" i="31"/>
  <c r="AG394" i="31"/>
  <c r="AG395" i="31"/>
  <c r="AG396" i="31"/>
  <c r="AG397" i="31"/>
  <c r="AG398" i="31"/>
  <c r="AG399" i="31"/>
  <c r="AG400" i="31"/>
  <c r="AG401" i="31"/>
  <c r="AG402" i="31"/>
  <c r="AG403" i="31"/>
  <c r="AG404" i="31"/>
  <c r="AG405" i="31"/>
  <c r="AG406" i="31"/>
  <c r="AG407" i="31"/>
  <c r="AG408" i="31"/>
  <c r="AG409" i="31"/>
  <c r="AG410" i="31"/>
  <c r="AG411" i="31"/>
  <c r="AG412" i="31"/>
  <c r="AG413" i="31"/>
  <c r="AG414" i="31"/>
  <c r="AG415" i="31"/>
  <c r="AG416" i="31"/>
  <c r="AG417" i="31"/>
  <c r="AG418" i="31"/>
  <c r="AG419" i="31"/>
  <c r="AG420" i="31"/>
  <c r="AG421" i="31"/>
  <c r="AG422" i="31"/>
  <c r="AG423" i="31"/>
  <c r="AG424" i="31"/>
  <c r="AG425" i="31"/>
  <c r="AG426" i="31"/>
  <c r="AG427" i="31"/>
  <c r="AG428" i="31"/>
  <c r="AH428" i="31" s="1"/>
  <c r="AG429" i="31"/>
  <c r="AG430" i="31"/>
  <c r="AG431" i="31"/>
  <c r="AG432" i="31"/>
  <c r="AG433" i="31"/>
  <c r="AG434" i="31"/>
  <c r="AG435" i="31"/>
  <c r="AG436" i="31"/>
  <c r="AG437" i="31"/>
  <c r="AG438" i="31"/>
  <c r="AG439" i="31"/>
  <c r="AG440" i="31"/>
  <c r="AG441" i="31"/>
  <c r="AG442" i="31"/>
  <c r="AG443" i="31"/>
  <c r="AG444" i="31"/>
  <c r="AG445" i="31"/>
  <c r="AG446" i="31"/>
  <c r="AG447" i="31"/>
  <c r="AG448" i="31"/>
  <c r="AG449" i="31"/>
  <c r="AG450" i="31"/>
  <c r="AG451" i="31"/>
  <c r="AH451" i="31" s="1"/>
  <c r="AG452" i="31"/>
  <c r="AH452" i="31" s="1"/>
  <c r="AG453" i="31"/>
  <c r="AG454" i="31"/>
  <c r="AG455" i="31"/>
  <c r="AG456" i="31"/>
  <c r="AG457" i="31"/>
  <c r="AG458" i="31"/>
  <c r="AG459" i="31"/>
  <c r="AG460" i="31"/>
  <c r="AG461" i="31"/>
  <c r="AG462" i="31"/>
  <c r="AG463" i="31"/>
  <c r="AG464" i="31"/>
  <c r="AG465" i="31"/>
  <c r="AG466" i="31"/>
  <c r="AG467" i="31"/>
  <c r="AG468" i="31"/>
  <c r="AG469" i="31"/>
  <c r="AG470" i="31"/>
  <c r="AG471" i="31"/>
  <c r="AG472" i="31"/>
  <c r="AG473" i="31"/>
  <c r="AG474" i="31"/>
  <c r="AG475" i="31"/>
  <c r="AG476" i="31"/>
  <c r="AG477" i="31"/>
  <c r="AG478" i="31"/>
  <c r="AG479" i="31"/>
  <c r="AG480" i="31"/>
  <c r="AG481" i="31"/>
  <c r="AG482" i="31"/>
  <c r="AG483" i="31"/>
  <c r="AG484" i="31"/>
  <c r="AH484" i="31" s="1"/>
  <c r="AG485" i="31"/>
  <c r="AH485" i="31" s="1"/>
  <c r="AG486" i="31"/>
  <c r="AH486" i="31" s="1"/>
  <c r="AG487" i="31"/>
  <c r="AH487" i="31" s="1"/>
  <c r="AG488" i="31"/>
  <c r="AG489" i="31"/>
  <c r="AG490" i="31"/>
  <c r="AG491" i="31"/>
  <c r="AG492" i="31"/>
  <c r="AG493" i="31"/>
  <c r="AG494" i="31"/>
  <c r="AG495" i="31"/>
  <c r="AG496" i="31"/>
  <c r="AG497" i="31"/>
  <c r="AG498" i="31"/>
  <c r="AG499" i="31"/>
  <c r="AG500" i="31"/>
  <c r="AG501" i="31"/>
  <c r="AG502" i="31"/>
  <c r="AG503" i="31"/>
  <c r="AG504" i="31"/>
  <c r="AG505" i="31"/>
  <c r="AG506" i="31"/>
  <c r="AG507" i="31"/>
  <c r="AG508" i="31"/>
  <c r="AG509" i="31"/>
  <c r="AG510" i="31"/>
  <c r="AG511" i="31"/>
  <c r="AG512" i="31"/>
  <c r="AG513" i="31"/>
  <c r="AG514" i="31"/>
  <c r="AG515" i="31"/>
  <c r="AG516" i="31"/>
  <c r="AG517" i="31"/>
  <c r="AG518" i="31"/>
  <c r="AG519" i="31"/>
  <c r="AG520" i="31"/>
  <c r="AG521" i="31"/>
  <c r="AG522" i="31"/>
  <c r="AG523" i="31"/>
  <c r="AG524" i="31"/>
  <c r="AG525" i="31"/>
  <c r="AG526" i="31"/>
  <c r="AG527" i="31"/>
  <c r="AG528" i="31"/>
  <c r="AG529" i="31"/>
  <c r="AG530" i="31"/>
  <c r="AG531" i="31"/>
  <c r="AG532" i="31"/>
  <c r="AG533" i="31"/>
  <c r="AG534" i="31"/>
  <c r="AG535" i="31"/>
  <c r="AG536" i="31"/>
  <c r="AG537" i="31"/>
  <c r="AG538" i="31"/>
  <c r="AG539" i="31"/>
  <c r="AG540" i="31"/>
  <c r="AG541" i="31"/>
  <c r="AG542" i="31"/>
  <c r="AG543" i="31"/>
  <c r="AG544" i="31"/>
  <c r="AG545" i="31"/>
  <c r="AG546" i="31"/>
  <c r="AG547" i="31"/>
  <c r="AG548" i="31"/>
  <c r="AG549" i="31"/>
  <c r="AG550" i="31"/>
  <c r="AG551" i="31"/>
  <c r="AG552" i="31"/>
  <c r="AG553" i="31"/>
  <c r="AG554" i="31"/>
  <c r="AG555" i="31"/>
  <c r="AG556" i="31"/>
  <c r="AG557" i="31"/>
  <c r="AG558" i="31"/>
  <c r="AG559" i="31"/>
  <c r="AG560" i="31"/>
  <c r="AG561" i="31"/>
  <c r="AG562" i="31"/>
  <c r="AG563" i="31"/>
  <c r="AG564" i="31"/>
  <c r="AG565" i="31"/>
  <c r="AG566" i="31"/>
  <c r="AG567" i="31"/>
  <c r="AG568" i="31"/>
  <c r="AG569" i="31"/>
  <c r="AG570" i="31"/>
  <c r="AG571" i="31"/>
  <c r="AG572" i="31"/>
  <c r="AG573" i="31"/>
  <c r="AG574" i="31"/>
  <c r="AG575" i="31"/>
  <c r="AG576" i="31"/>
  <c r="AG577" i="31"/>
  <c r="AG578" i="31"/>
  <c r="AG579" i="31"/>
  <c r="AG580" i="31"/>
  <c r="AG581" i="31"/>
  <c r="AG582" i="31"/>
  <c r="AG583" i="31"/>
  <c r="AG584" i="31"/>
  <c r="AG585" i="31"/>
  <c r="AG586" i="31"/>
  <c r="AG587" i="31"/>
  <c r="AG588" i="31"/>
  <c r="AG589" i="31"/>
  <c r="AG590" i="31"/>
  <c r="AG591" i="31"/>
  <c r="AG592" i="31"/>
  <c r="AG593" i="31"/>
  <c r="AG594" i="31"/>
  <c r="AG595" i="31"/>
  <c r="AG596" i="31"/>
  <c r="AG597" i="31"/>
  <c r="AG598" i="31"/>
  <c r="AG599" i="31"/>
  <c r="AG600" i="31"/>
  <c r="AG601" i="31"/>
  <c r="AG602" i="31"/>
  <c r="AG603" i="31"/>
  <c r="AG604" i="31"/>
  <c r="AG605" i="31"/>
  <c r="AG606" i="31"/>
  <c r="AG607" i="31"/>
  <c r="AG608" i="31"/>
  <c r="AG609" i="31"/>
  <c r="AG610" i="31"/>
  <c r="AG611" i="31"/>
  <c r="AG612" i="31"/>
  <c r="AG613" i="31"/>
  <c r="AG614" i="31"/>
  <c r="AG615" i="31"/>
  <c r="AG616" i="31"/>
  <c r="AG617" i="31"/>
  <c r="AG618" i="31"/>
  <c r="AG619" i="31"/>
  <c r="AG620" i="31"/>
  <c r="AG621" i="31"/>
  <c r="AG622" i="31"/>
  <c r="AG623" i="31"/>
  <c r="AG624" i="31"/>
  <c r="AG625" i="31"/>
  <c r="AG626" i="31"/>
  <c r="AG627" i="31"/>
  <c r="AG628" i="31"/>
  <c r="AG629" i="31"/>
  <c r="AG630" i="31"/>
  <c r="AG631" i="31"/>
  <c r="AG632" i="31"/>
  <c r="AG633" i="31"/>
  <c r="AG634" i="31"/>
  <c r="AG635" i="31"/>
  <c r="AG636" i="31"/>
  <c r="AG637" i="31"/>
  <c r="AG638" i="31"/>
  <c r="AG639" i="31"/>
  <c r="AG640" i="31"/>
  <c r="AG641" i="31"/>
  <c r="AG642" i="31"/>
  <c r="AG643" i="31"/>
  <c r="AG644" i="31"/>
  <c r="AG645" i="31"/>
  <c r="AG646" i="31"/>
  <c r="AG647" i="31"/>
  <c r="AG648" i="31"/>
  <c r="AG649" i="31"/>
  <c r="AG650" i="31"/>
  <c r="AG651" i="31"/>
  <c r="AG652" i="31"/>
  <c r="AG653" i="31"/>
  <c r="AG654" i="31"/>
  <c r="AG655" i="31"/>
  <c r="AG656" i="31"/>
  <c r="AG657" i="31"/>
  <c r="AG658" i="31"/>
  <c r="AG659" i="31"/>
  <c r="AG660" i="31"/>
  <c r="AG661" i="31"/>
  <c r="AG662" i="31"/>
  <c r="AG663" i="31"/>
  <c r="AG664" i="31"/>
  <c r="AG665" i="31"/>
  <c r="AG666" i="31"/>
  <c r="AG667" i="31"/>
  <c r="AG668" i="31"/>
  <c r="AG669" i="31"/>
  <c r="AG670" i="31"/>
  <c r="AG671" i="31"/>
  <c r="AG672" i="31"/>
  <c r="AG673" i="31"/>
  <c r="AG674" i="31"/>
  <c r="AG675" i="31"/>
  <c r="AG676" i="31"/>
  <c r="AG677" i="31"/>
  <c r="AG678" i="31"/>
  <c r="AG679" i="31"/>
  <c r="AG680" i="31"/>
  <c r="AG681" i="31"/>
  <c r="AG682" i="31"/>
  <c r="AG683" i="31"/>
  <c r="AG684" i="31"/>
  <c r="AG685" i="31"/>
  <c r="AG686" i="31"/>
  <c r="AG687" i="31"/>
  <c r="AG688" i="31"/>
  <c r="AG689" i="31"/>
  <c r="AG690" i="31"/>
  <c r="AG691" i="31"/>
  <c r="AG692" i="31"/>
  <c r="AG693" i="31"/>
  <c r="AG694" i="31"/>
  <c r="AG695" i="31"/>
  <c r="AG696" i="31"/>
  <c r="AG697" i="31"/>
  <c r="AG698" i="31"/>
  <c r="AG699" i="31"/>
  <c r="AG700" i="31"/>
  <c r="AG701" i="31"/>
  <c r="AG702" i="31"/>
  <c r="AG703" i="31"/>
  <c r="AG704" i="31"/>
  <c r="AG705" i="31"/>
  <c r="AG706" i="31"/>
  <c r="AG707" i="31"/>
  <c r="AG708" i="31"/>
  <c r="AG709" i="31"/>
  <c r="AG710" i="31"/>
  <c r="AG711" i="31"/>
  <c r="AG712" i="31"/>
  <c r="AG713" i="31"/>
  <c r="AG352" i="31"/>
  <c r="AG353" i="31"/>
  <c r="AG354" i="31"/>
  <c r="AG355" i="31"/>
  <c r="AG356" i="31"/>
  <c r="AG357" i="31"/>
  <c r="AG358" i="31"/>
  <c r="AG359" i="31"/>
  <c r="AG360" i="31"/>
  <c r="AG361" i="31"/>
  <c r="AG362" i="31"/>
  <c r="AG363" i="31"/>
  <c r="AG364" i="31"/>
  <c r="AG365" i="31"/>
  <c r="AG366" i="31"/>
  <c r="AG367" i="31"/>
  <c r="AG368" i="31"/>
  <c r="AG369" i="31"/>
  <c r="AG370" i="31"/>
  <c r="AG371" i="31"/>
  <c r="AG320" i="31"/>
  <c r="AG321" i="31"/>
  <c r="AG322" i="31"/>
  <c r="AG323" i="31"/>
  <c r="AG324" i="31"/>
  <c r="AG325" i="31"/>
  <c r="AG326" i="31"/>
  <c r="AG327" i="31"/>
  <c r="AG328" i="31"/>
  <c r="AG329" i="31"/>
  <c r="AG330" i="31"/>
  <c r="AG331" i="31"/>
  <c r="AG332" i="31"/>
  <c r="AG333" i="31"/>
  <c r="AG334" i="31"/>
  <c r="AG335" i="31"/>
  <c r="AG336" i="31"/>
  <c r="AG337" i="31"/>
  <c r="AG338" i="31"/>
  <c r="AG339" i="31"/>
  <c r="AG340" i="31"/>
  <c r="AG341" i="31"/>
  <c r="AG342" i="31"/>
  <c r="AG343" i="31"/>
  <c r="AG344" i="31"/>
  <c r="AG345" i="31"/>
  <c r="AG346" i="31"/>
  <c r="AG347" i="31"/>
  <c r="AG348" i="31"/>
  <c r="AG349" i="31"/>
  <c r="AG350" i="31"/>
  <c r="AH350" i="31" s="1"/>
  <c r="AG351" i="31"/>
  <c r="AG290" i="31"/>
  <c r="AG291" i="31"/>
  <c r="AG292" i="31"/>
  <c r="AG293" i="31"/>
  <c r="AG294" i="31"/>
  <c r="AG295" i="31"/>
  <c r="AG296" i="31"/>
  <c r="AG297" i="31"/>
  <c r="AG298" i="31"/>
  <c r="AG299" i="31"/>
  <c r="AG300" i="31"/>
  <c r="AG301" i="31"/>
  <c r="AG302" i="31"/>
  <c r="AG303" i="31"/>
  <c r="AG304" i="31"/>
  <c r="AG305" i="31"/>
  <c r="AG306" i="31"/>
  <c r="AG307" i="31"/>
  <c r="AG308" i="31"/>
  <c r="AG309" i="31"/>
  <c r="AG311" i="31"/>
  <c r="AG312" i="31"/>
  <c r="AG313" i="31"/>
  <c r="AG314" i="31"/>
  <c r="AG315" i="31"/>
  <c r="AG316" i="31"/>
  <c r="AG317" i="31"/>
  <c r="AG318" i="31"/>
  <c r="AG319" i="31"/>
  <c r="AG6" i="31"/>
  <c r="AG7" i="31"/>
  <c r="AG8" i="31"/>
  <c r="AG9" i="31"/>
  <c r="AG10" i="31"/>
  <c r="AG11" i="31"/>
  <c r="AG12" i="31"/>
  <c r="AG13" i="31"/>
  <c r="AG14" i="31"/>
  <c r="AG15" i="31"/>
  <c r="AG16" i="31"/>
  <c r="AG17" i="31"/>
  <c r="AG18" i="31"/>
  <c r="AG19" i="31"/>
  <c r="AG20" i="31"/>
  <c r="AG21" i="31"/>
  <c r="AG22" i="31"/>
  <c r="AG23" i="31"/>
  <c r="AG24" i="31"/>
  <c r="AG25" i="31"/>
  <c r="AG26" i="31"/>
  <c r="AG27" i="31"/>
  <c r="AG28" i="31"/>
  <c r="AG29" i="31"/>
  <c r="AG30" i="31"/>
  <c r="AG31" i="31"/>
  <c r="AG32" i="31"/>
  <c r="AG33" i="31"/>
  <c r="AG34" i="31"/>
  <c r="AG35" i="31"/>
  <c r="AG36" i="31"/>
  <c r="AG37" i="31"/>
  <c r="AG38" i="31"/>
  <c r="AG39" i="31"/>
  <c r="AG40" i="31"/>
  <c r="AG41" i="31"/>
  <c r="AG42" i="31"/>
  <c r="AG43" i="31"/>
  <c r="AG44" i="31"/>
  <c r="AG45" i="31"/>
  <c r="AG46" i="31"/>
  <c r="AG47" i="31"/>
  <c r="AG48" i="31"/>
  <c r="AG49" i="31"/>
  <c r="AG50" i="31"/>
  <c r="AG53" i="31"/>
  <c r="AG54" i="31"/>
  <c r="AG55" i="31"/>
  <c r="AG56" i="31"/>
  <c r="AG57" i="31"/>
  <c r="AG58" i="31"/>
  <c r="AG59" i="31"/>
  <c r="AG60" i="31"/>
  <c r="AG61" i="31"/>
  <c r="AG62" i="31"/>
  <c r="AG63" i="31"/>
  <c r="AG64" i="31"/>
  <c r="AG65" i="31"/>
  <c r="AG66" i="31"/>
  <c r="AG67" i="31"/>
  <c r="AG68" i="31"/>
  <c r="AG69" i="31"/>
  <c r="AG70" i="31"/>
  <c r="AG71" i="31"/>
  <c r="AH71" i="31" s="1"/>
  <c r="AG72" i="31"/>
  <c r="AG73" i="31"/>
  <c r="AG74" i="31"/>
  <c r="AG75" i="31"/>
  <c r="AG76" i="31"/>
  <c r="AG77" i="31"/>
  <c r="AG78" i="31"/>
  <c r="AG79" i="31"/>
  <c r="AG80" i="31"/>
  <c r="AG81" i="31"/>
  <c r="AG82" i="31"/>
  <c r="AG83" i="31"/>
  <c r="AG84" i="31"/>
  <c r="AG85" i="31"/>
  <c r="AG87" i="31"/>
  <c r="AG88" i="31"/>
  <c r="AG89" i="31"/>
  <c r="AG90" i="31"/>
  <c r="AG91" i="31"/>
  <c r="AG93" i="31"/>
  <c r="AG94" i="31"/>
  <c r="AG95" i="31"/>
  <c r="AG96" i="31"/>
  <c r="AG97" i="31"/>
  <c r="AG98" i="31"/>
  <c r="AG99" i="31"/>
  <c r="AG100" i="31"/>
  <c r="AG101" i="31"/>
  <c r="AG102" i="31"/>
  <c r="AG103" i="31"/>
  <c r="AG104" i="31"/>
  <c r="AG105" i="31"/>
  <c r="AG106" i="31"/>
  <c r="AG109" i="31"/>
  <c r="AG110" i="31"/>
  <c r="AG111" i="31"/>
  <c r="AG112" i="31"/>
  <c r="AG113" i="31"/>
  <c r="AG114" i="31"/>
  <c r="AG115" i="31"/>
  <c r="AG116" i="31"/>
  <c r="AG117" i="31"/>
  <c r="AH117" i="31" s="1"/>
  <c r="AG118" i="31"/>
  <c r="AG119" i="31"/>
  <c r="AG120" i="31"/>
  <c r="AG121" i="31"/>
  <c r="AG122" i="31"/>
  <c r="AG123" i="31"/>
  <c r="AG124" i="31"/>
  <c r="AG125" i="31"/>
  <c r="AG126" i="31"/>
  <c r="AG127" i="31"/>
  <c r="AG128" i="31"/>
  <c r="AG129" i="31"/>
  <c r="AG130" i="31"/>
  <c r="AG131" i="31"/>
  <c r="AG132" i="31"/>
  <c r="AG134" i="31"/>
  <c r="AG135" i="31"/>
  <c r="AG136" i="31"/>
  <c r="AG137" i="31"/>
  <c r="AG138" i="31"/>
  <c r="AG139" i="31"/>
  <c r="AG140" i="31"/>
  <c r="AG141" i="31"/>
  <c r="AG142" i="31"/>
  <c r="AG143" i="31"/>
  <c r="AG144" i="31"/>
  <c r="AG145" i="31"/>
  <c r="AG146" i="31"/>
  <c r="AG147" i="31"/>
  <c r="AG148" i="31"/>
  <c r="AG149" i="31"/>
  <c r="AG150" i="31"/>
  <c r="AG164" i="31"/>
  <c r="AG165" i="31"/>
  <c r="AG166" i="31"/>
  <c r="AG167" i="31"/>
  <c r="AG168" i="31"/>
  <c r="AG169" i="31"/>
  <c r="AG170" i="31"/>
  <c r="AG171" i="31"/>
  <c r="AG172" i="31"/>
  <c r="AG173" i="31"/>
  <c r="AG174" i="31"/>
  <c r="AG175" i="31"/>
  <c r="AG176" i="31"/>
  <c r="AG177" i="31"/>
  <c r="AG178" i="31"/>
  <c r="AG179" i="31"/>
  <c r="AG180" i="31"/>
  <c r="AG181" i="31"/>
  <c r="AG182" i="31"/>
  <c r="AG183" i="31"/>
  <c r="AG185" i="31"/>
  <c r="AG186" i="31"/>
  <c r="AG187" i="31"/>
  <c r="AG188" i="31"/>
  <c r="AG189" i="31"/>
  <c r="AG190" i="31"/>
  <c r="AG191" i="31"/>
  <c r="AG192" i="31"/>
  <c r="AG193" i="31"/>
  <c r="AG194" i="31"/>
  <c r="AG195" i="31"/>
  <c r="AG196" i="31"/>
  <c r="AG197" i="31"/>
  <c r="AG198" i="31"/>
  <c r="AG199" i="31"/>
  <c r="AG200" i="31"/>
  <c r="AG201" i="31"/>
  <c r="AG202" i="31"/>
  <c r="AH202" i="31" s="1"/>
  <c r="AG203" i="31"/>
  <c r="AG204" i="31"/>
  <c r="AG205" i="31"/>
  <c r="AG206" i="31"/>
  <c r="AG207" i="31"/>
  <c r="AG208" i="31"/>
  <c r="AG209" i="31"/>
  <c r="AG210" i="31"/>
  <c r="AG211" i="31"/>
  <c r="AG212" i="31"/>
  <c r="AG213" i="31"/>
  <c r="AG214" i="31"/>
  <c r="AG215" i="31"/>
  <c r="AG216" i="31"/>
  <c r="AG217" i="31"/>
  <c r="AG218" i="31"/>
  <c r="AG219" i="31"/>
  <c r="AG220" i="31"/>
  <c r="AG221" i="31"/>
  <c r="AG223" i="31"/>
  <c r="AG224" i="31"/>
  <c r="AG225" i="31"/>
  <c r="AG226" i="31"/>
  <c r="AG227" i="31"/>
  <c r="AG228" i="31"/>
  <c r="AG229" i="31"/>
  <c r="AG230" i="31"/>
  <c r="AG231" i="31"/>
  <c r="AG232" i="31"/>
  <c r="AG233" i="31"/>
  <c r="AG234" i="31"/>
  <c r="AG235" i="31"/>
  <c r="AG236" i="31"/>
  <c r="AG237" i="31"/>
  <c r="AG238" i="31"/>
  <c r="AG239" i="31"/>
  <c r="AG240" i="31"/>
  <c r="AG241" i="31"/>
  <c r="AG242" i="31"/>
  <c r="AG243" i="31"/>
  <c r="AG244" i="31"/>
  <c r="AG245" i="31"/>
  <c r="AG246" i="31"/>
  <c r="AG247" i="31"/>
  <c r="AG248" i="31"/>
  <c r="AG249" i="31"/>
  <c r="AG250" i="31"/>
  <c r="AG251" i="31"/>
  <c r="AG252" i="31"/>
  <c r="AG253" i="31"/>
  <c r="AG254" i="31"/>
  <c r="AG255" i="31"/>
  <c r="AG256" i="31"/>
  <c r="AG257" i="31"/>
  <c r="AG258" i="31"/>
  <c r="AG259" i="31"/>
  <c r="AG260" i="31"/>
  <c r="AG262" i="31"/>
  <c r="AG263" i="31"/>
  <c r="AG264" i="31"/>
  <c r="AG265" i="31"/>
  <c r="AG266" i="31"/>
  <c r="AG267" i="31"/>
  <c r="AG268" i="31"/>
  <c r="AG269" i="31"/>
  <c r="AG270" i="31"/>
  <c r="AG271" i="31"/>
  <c r="AG272" i="31"/>
  <c r="AG273" i="31"/>
  <c r="AG274" i="31"/>
  <c r="AG275" i="31"/>
  <c r="AG276" i="31"/>
  <c r="AG277" i="31"/>
  <c r="AG278" i="31"/>
  <c r="AG279" i="31"/>
  <c r="AG280" i="31"/>
  <c r="AG281" i="31"/>
  <c r="AG282" i="31"/>
  <c r="AG283" i="31"/>
  <c r="AG284" i="31"/>
  <c r="AG285" i="31"/>
  <c r="AG286" i="31"/>
  <c r="AG287" i="31"/>
  <c r="AG288" i="31"/>
  <c r="AG289" i="31"/>
  <c r="AE483" i="31"/>
  <c r="AH483" i="31" s="1"/>
  <c r="AE482" i="31"/>
  <c r="AE481" i="31"/>
  <c r="AE480" i="31"/>
  <c r="AE479" i="31"/>
  <c r="AE478" i="31"/>
  <c r="AE477" i="31"/>
  <c r="AE476" i="31"/>
  <c r="AE475" i="31"/>
  <c r="AE474" i="31"/>
  <c r="AE473" i="31"/>
  <c r="AE472" i="31"/>
  <c r="AE471" i="31"/>
  <c r="AH471" i="31" s="1"/>
  <c r="AE470" i="31"/>
  <c r="AE469" i="31"/>
  <c r="AE468" i="31"/>
  <c r="AH468" i="31" s="1"/>
  <c r="AE467" i="31"/>
  <c r="AE466" i="31"/>
  <c r="AE465" i="31"/>
  <c r="AE464" i="31"/>
  <c r="AE463" i="31"/>
  <c r="AE462" i="31"/>
  <c r="AE461" i="31"/>
  <c r="AE460" i="31"/>
  <c r="AH460" i="31" s="1"/>
  <c r="AE459" i="31"/>
  <c r="AE458" i="31"/>
  <c r="AE457" i="31"/>
  <c r="AE456" i="31"/>
  <c r="AH456" i="31" s="1"/>
  <c r="AE455" i="31"/>
  <c r="AE454" i="31"/>
  <c r="AH454" i="31" s="1"/>
  <c r="AE453" i="31"/>
  <c r="AE452" i="31"/>
  <c r="AE451" i="31"/>
  <c r="AE450" i="31"/>
  <c r="AE449" i="31"/>
  <c r="AH449" i="31" s="1"/>
  <c r="AE448" i="31"/>
  <c r="AH448" i="31" s="1"/>
  <c r="AE447" i="31"/>
  <c r="AE446" i="31"/>
  <c r="AE445" i="31"/>
  <c r="AE444" i="31"/>
  <c r="AH444" i="31" s="1"/>
  <c r="AE443" i="31"/>
  <c r="AE442" i="31"/>
  <c r="AE441" i="31"/>
  <c r="AE440" i="31"/>
  <c r="AE439" i="31"/>
  <c r="AE438" i="31"/>
  <c r="AH438" i="31" s="1"/>
  <c r="AE437" i="31"/>
  <c r="AH437" i="31" s="1"/>
  <c r="AE436" i="31"/>
  <c r="AE435" i="31"/>
  <c r="AE434" i="31"/>
  <c r="AE433" i="31"/>
  <c r="AE432" i="31"/>
  <c r="AH432" i="31" s="1"/>
  <c r="AE431" i="31"/>
  <c r="AE430" i="31"/>
  <c r="AE429" i="31"/>
  <c r="AH429" i="31" s="1"/>
  <c r="AE428" i="31"/>
  <c r="AE427" i="31"/>
  <c r="AE426" i="31"/>
  <c r="AE425" i="31"/>
  <c r="AE424" i="31"/>
  <c r="AE423" i="31"/>
  <c r="AE422" i="31"/>
  <c r="AE421" i="31"/>
  <c r="AH421" i="31" s="1"/>
  <c r="AE420" i="31"/>
  <c r="AH420" i="31" s="1"/>
  <c r="AE419" i="31"/>
  <c r="AE418" i="31"/>
  <c r="AE417" i="31"/>
  <c r="AE416" i="31"/>
  <c r="AE415" i="31"/>
  <c r="AE414" i="31"/>
  <c r="AE413" i="31"/>
  <c r="AH413" i="31" s="1"/>
  <c r="AE412" i="31"/>
  <c r="AE411" i="31"/>
  <c r="AE410" i="31"/>
  <c r="AE409" i="31"/>
  <c r="AE408" i="31"/>
  <c r="AH408" i="31" s="1"/>
  <c r="AE407" i="31"/>
  <c r="AE406" i="31"/>
  <c r="AE405" i="31"/>
  <c r="AE404" i="31"/>
  <c r="AE403" i="31"/>
  <c r="AE402" i="31"/>
  <c r="AE401" i="31"/>
  <c r="AE400" i="31"/>
  <c r="AE399" i="31"/>
  <c r="AE398" i="31"/>
  <c r="AE397" i="31"/>
  <c r="AE396" i="31"/>
  <c r="AH396" i="31" s="1"/>
  <c r="AE395" i="31"/>
  <c r="AH395" i="31" s="1"/>
  <c r="AE394" i="31"/>
  <c r="AE393" i="31"/>
  <c r="AE392" i="31"/>
  <c r="AE391" i="31"/>
  <c r="AE390" i="31"/>
  <c r="AE389" i="31"/>
  <c r="AH389" i="31" s="1"/>
  <c r="AE388" i="31"/>
  <c r="AE387" i="31"/>
  <c r="AE386" i="31"/>
  <c r="AE385" i="31"/>
  <c r="AH385" i="31" s="1"/>
  <c r="AE384" i="31"/>
  <c r="AE383" i="31"/>
  <c r="AE382" i="31"/>
  <c r="AE381" i="31"/>
  <c r="AE380" i="31"/>
  <c r="AE379" i="31"/>
  <c r="AH379" i="31" s="1"/>
  <c r="AE378" i="31"/>
  <c r="AE377" i="31"/>
  <c r="AE376" i="31"/>
  <c r="AE375" i="31"/>
  <c r="AE374" i="31"/>
  <c r="AE373" i="31"/>
  <c r="AH373" i="31" s="1"/>
  <c r="AE371" i="31"/>
  <c r="AE370" i="31"/>
  <c r="AE369" i="31"/>
  <c r="AH369" i="31" s="1"/>
  <c r="AE368" i="31"/>
  <c r="AH368" i="31" s="1"/>
  <c r="AE367" i="31"/>
  <c r="AE366" i="31"/>
  <c r="AE365" i="31"/>
  <c r="AE364" i="31"/>
  <c r="AE363" i="31"/>
  <c r="AE362" i="31"/>
  <c r="AE361" i="31"/>
  <c r="AE360" i="31"/>
  <c r="AE359" i="31"/>
  <c r="AE358" i="31"/>
  <c r="AE357" i="31"/>
  <c r="AH357" i="31" s="1"/>
  <c r="AE356" i="31"/>
  <c r="AH356" i="31" s="1"/>
  <c r="AE355" i="31"/>
  <c r="AE354" i="31"/>
  <c r="AE353" i="31"/>
  <c r="AE352" i="31"/>
  <c r="AE351" i="31"/>
  <c r="AE350" i="31"/>
  <c r="AE349" i="31"/>
  <c r="AE348" i="31"/>
  <c r="AE347" i="31"/>
  <c r="AE346" i="31"/>
  <c r="AE345" i="31"/>
  <c r="AE344" i="31"/>
  <c r="AE343" i="31"/>
  <c r="AE342" i="31"/>
  <c r="AE341" i="31"/>
  <c r="AE340" i="31"/>
  <c r="AE339" i="31"/>
  <c r="AE336" i="31"/>
  <c r="AE335" i="31"/>
  <c r="AE334" i="31"/>
  <c r="AE333" i="31"/>
  <c r="AE332" i="31"/>
  <c r="AE331" i="31"/>
  <c r="AH331" i="31" s="1"/>
  <c r="AE330" i="31"/>
  <c r="AE329" i="31"/>
  <c r="AE328" i="31"/>
  <c r="AE327" i="31"/>
  <c r="AE326" i="31"/>
  <c r="AE325" i="31"/>
  <c r="AE324" i="31"/>
  <c r="AE323" i="31"/>
  <c r="AE322" i="31"/>
  <c r="AE321" i="31"/>
  <c r="AE320" i="31"/>
  <c r="AE319" i="31"/>
  <c r="AE318" i="31"/>
  <c r="AH318" i="31" s="1"/>
  <c r="AE317" i="31"/>
  <c r="AE316" i="31"/>
  <c r="AE315" i="31"/>
  <c r="AE314" i="31"/>
  <c r="AE313" i="31"/>
  <c r="AE312" i="31"/>
  <c r="AE311" i="31"/>
  <c r="J37" i="31"/>
  <c r="AE309" i="31"/>
  <c r="AE308" i="31"/>
  <c r="AE307" i="31"/>
  <c r="AE306" i="31"/>
  <c r="AH306" i="31" s="1"/>
  <c r="AE305" i="31"/>
  <c r="AE284" i="31"/>
  <c r="AE283" i="31"/>
  <c r="AE282" i="31"/>
  <c r="AH282" i="31" s="1"/>
  <c r="AE281" i="31"/>
  <c r="AE280" i="31"/>
  <c r="AE279" i="31"/>
  <c r="AE278" i="31"/>
  <c r="AE277" i="31"/>
  <c r="AE276" i="31"/>
  <c r="AE275" i="31"/>
  <c r="AE274" i="31"/>
  <c r="AE273" i="31"/>
  <c r="AE272" i="31"/>
  <c r="AE271" i="31"/>
  <c r="AE270" i="31"/>
  <c r="AH270" i="31" s="1"/>
  <c r="AE269" i="31"/>
  <c r="AE268" i="31"/>
  <c r="AE267" i="31"/>
  <c r="AE266" i="31"/>
  <c r="AE265" i="31"/>
  <c r="AE264" i="31"/>
  <c r="AE263" i="31"/>
  <c r="AE262" i="31"/>
  <c r="J33" i="31"/>
  <c r="AE260" i="31"/>
  <c r="AE259" i="31"/>
  <c r="AE258" i="31"/>
  <c r="AE257" i="31"/>
  <c r="AE256" i="31"/>
  <c r="AE255" i="31"/>
  <c r="AE254" i="31"/>
  <c r="AE253" i="31"/>
  <c r="AE252" i="31"/>
  <c r="AE251" i="31"/>
  <c r="AE250" i="31"/>
  <c r="AE249" i="31"/>
  <c r="AE248" i="31"/>
  <c r="AE247" i="31"/>
  <c r="AH246" i="31"/>
  <c r="AE240" i="31"/>
  <c r="AE239" i="31"/>
  <c r="AE238" i="31"/>
  <c r="AE237" i="31"/>
  <c r="AE236" i="31"/>
  <c r="AE235" i="31"/>
  <c r="AE234" i="31"/>
  <c r="AE233" i="31"/>
  <c r="AE232" i="31"/>
  <c r="AE231" i="31"/>
  <c r="AE230" i="31"/>
  <c r="AE229" i="31"/>
  <c r="AE228" i="31"/>
  <c r="AE227" i="31"/>
  <c r="AE226" i="31"/>
  <c r="AE225" i="31"/>
  <c r="AE224" i="31"/>
  <c r="AE223" i="31"/>
  <c r="AE221" i="31"/>
  <c r="AE220" i="31"/>
  <c r="AE219" i="31"/>
  <c r="AE218" i="31"/>
  <c r="AE217" i="31"/>
  <c r="AE216" i="31"/>
  <c r="AE215" i="31"/>
  <c r="AE214" i="31"/>
  <c r="AE213" i="31"/>
  <c r="AE212" i="31"/>
  <c r="AE211" i="31"/>
  <c r="J19" i="31"/>
  <c r="C19" i="31" s="1"/>
  <c r="AE101" i="31"/>
  <c r="AE100" i="31"/>
  <c r="AE99" i="31"/>
  <c r="AE98" i="31"/>
  <c r="AE97" i="31"/>
  <c r="AE96" i="31"/>
  <c r="AE95" i="31"/>
  <c r="AE94" i="31"/>
  <c r="AE93" i="31"/>
  <c r="AE91" i="31"/>
  <c r="AE90" i="31"/>
  <c r="AE89" i="31"/>
  <c r="AE88" i="31"/>
  <c r="AE87" i="31"/>
  <c r="AE85" i="31"/>
  <c r="AE84" i="31"/>
  <c r="AE83" i="31"/>
  <c r="AE82" i="31"/>
  <c r="AE81" i="31"/>
  <c r="AE80" i="31"/>
  <c r="AE79" i="31"/>
  <c r="AE78" i="31"/>
  <c r="AE77" i="31"/>
  <c r="AE76" i="31"/>
  <c r="AE75" i="31"/>
  <c r="AE74" i="31"/>
  <c r="AH74" i="31" s="1"/>
  <c r="AE69" i="31"/>
  <c r="AE68" i="31"/>
  <c r="AE67" i="31"/>
  <c r="AE66" i="31"/>
  <c r="AE65" i="31"/>
  <c r="AE64" i="31"/>
  <c r="AE63" i="31"/>
  <c r="AE62" i="31"/>
  <c r="AE61" i="31"/>
  <c r="AE60" i="31"/>
  <c r="AE59" i="31"/>
  <c r="AE58" i="31"/>
  <c r="AE57" i="31"/>
  <c r="AE56" i="31"/>
  <c r="AE55" i="31"/>
  <c r="AE54" i="31"/>
  <c r="AE53" i="31"/>
  <c r="AE50" i="31"/>
  <c r="AE49" i="31"/>
  <c r="AE48" i="31"/>
  <c r="AE47" i="31"/>
  <c r="AE46" i="31"/>
  <c r="AE45" i="31"/>
  <c r="AE44" i="31"/>
  <c r="Q42" i="31"/>
  <c r="K41" i="31"/>
  <c r="P40" i="31"/>
  <c r="O40" i="31"/>
  <c r="N40" i="31"/>
  <c r="P39" i="31"/>
  <c r="O39" i="31"/>
  <c r="N39" i="31"/>
  <c r="J39" i="31"/>
  <c r="L39" i="31" s="1"/>
  <c r="F39" i="31"/>
  <c r="E39" i="31"/>
  <c r="D39" i="31"/>
  <c r="P38" i="31"/>
  <c r="O38" i="31"/>
  <c r="N38" i="31"/>
  <c r="Q38" i="31" s="1"/>
  <c r="J38" i="31"/>
  <c r="C38" i="31" s="1"/>
  <c r="F38" i="31"/>
  <c r="E38" i="31"/>
  <c r="D38" i="31"/>
  <c r="AH37" i="31"/>
  <c r="P37" i="31"/>
  <c r="O37" i="31"/>
  <c r="N37" i="31"/>
  <c r="F37" i="31"/>
  <c r="E37" i="31"/>
  <c r="D37" i="31"/>
  <c r="P36" i="31"/>
  <c r="O36" i="31"/>
  <c r="N36" i="31"/>
  <c r="J36" i="31"/>
  <c r="F36" i="31"/>
  <c r="E36" i="31"/>
  <c r="D36" i="31"/>
  <c r="P35" i="31"/>
  <c r="O35" i="31"/>
  <c r="N35" i="31"/>
  <c r="Q35" i="31" s="1"/>
  <c r="J35" i="31"/>
  <c r="F35" i="31"/>
  <c r="E35" i="31"/>
  <c r="D35" i="31"/>
  <c r="AE34" i="31"/>
  <c r="P34" i="31"/>
  <c r="O34" i="31"/>
  <c r="N34" i="31"/>
  <c r="J34" i="31"/>
  <c r="F34" i="31"/>
  <c r="E34" i="31"/>
  <c r="D34" i="31"/>
  <c r="AE33" i="31"/>
  <c r="P33" i="31"/>
  <c r="O33" i="31"/>
  <c r="N33" i="31"/>
  <c r="F33" i="31"/>
  <c r="E33" i="31"/>
  <c r="D33" i="31"/>
  <c r="AE32" i="31"/>
  <c r="P32" i="31"/>
  <c r="O32" i="31"/>
  <c r="N32" i="31"/>
  <c r="J32" i="31"/>
  <c r="C32" i="31" s="1"/>
  <c r="F32" i="31"/>
  <c r="E32" i="31"/>
  <c r="D32" i="31"/>
  <c r="AE31" i="31"/>
  <c r="P31" i="31"/>
  <c r="O31" i="31"/>
  <c r="N31" i="31"/>
  <c r="J31" i="31"/>
  <c r="F31" i="31"/>
  <c r="E31" i="31"/>
  <c r="D31" i="31"/>
  <c r="AE30" i="31"/>
  <c r="P30" i="31"/>
  <c r="O30" i="31"/>
  <c r="N30" i="31"/>
  <c r="J30" i="31"/>
  <c r="L30" i="31" s="1"/>
  <c r="F30" i="31"/>
  <c r="E30" i="31"/>
  <c r="D30" i="31"/>
  <c r="AE29" i="31"/>
  <c r="P29" i="31"/>
  <c r="O29" i="31"/>
  <c r="N29" i="31"/>
  <c r="J29" i="31"/>
  <c r="F29" i="31"/>
  <c r="E29" i="31"/>
  <c r="D29" i="31"/>
  <c r="AE28" i="31"/>
  <c r="P28" i="31"/>
  <c r="O28" i="31"/>
  <c r="N28" i="31"/>
  <c r="J28" i="31"/>
  <c r="C28" i="31" s="1"/>
  <c r="F28" i="31"/>
  <c r="E28" i="31"/>
  <c r="D28" i="31"/>
  <c r="AE27" i="31"/>
  <c r="P27" i="31"/>
  <c r="O27" i="31"/>
  <c r="N27" i="31"/>
  <c r="J27" i="31"/>
  <c r="L27" i="31" s="1"/>
  <c r="F27" i="31"/>
  <c r="E27" i="31"/>
  <c r="D27" i="31"/>
  <c r="AE26" i="31"/>
  <c r="P26" i="31"/>
  <c r="O26" i="31"/>
  <c r="N26" i="31"/>
  <c r="J26" i="31"/>
  <c r="L26" i="31" s="1"/>
  <c r="F26" i="31"/>
  <c r="E26" i="31"/>
  <c r="D26" i="31"/>
  <c r="AE25" i="31"/>
  <c r="P25" i="31"/>
  <c r="O25" i="31"/>
  <c r="N25" i="31"/>
  <c r="J25" i="31"/>
  <c r="L25" i="31" s="1"/>
  <c r="F25" i="31"/>
  <c r="E25" i="31"/>
  <c r="D25" i="31"/>
  <c r="AE24" i="31"/>
  <c r="AH24" i="31" s="1"/>
  <c r="P24" i="31"/>
  <c r="O24" i="31"/>
  <c r="N24" i="31"/>
  <c r="J24" i="31"/>
  <c r="L24" i="31" s="1"/>
  <c r="F24" i="31"/>
  <c r="E24" i="31"/>
  <c r="D24" i="31"/>
  <c r="AE23" i="31"/>
  <c r="P23" i="31"/>
  <c r="O23" i="31"/>
  <c r="N23" i="31"/>
  <c r="J23" i="31"/>
  <c r="L23" i="31" s="1"/>
  <c r="F23" i="31"/>
  <c r="E23" i="31"/>
  <c r="D23" i="31"/>
  <c r="AE22" i="31"/>
  <c r="P22" i="31"/>
  <c r="O22" i="31"/>
  <c r="N22" i="31"/>
  <c r="J22" i="31"/>
  <c r="F22" i="31"/>
  <c r="E22" i="31"/>
  <c r="D22" i="31"/>
  <c r="AE21" i="31"/>
  <c r="P21" i="31"/>
  <c r="O21" i="31"/>
  <c r="N21" i="31"/>
  <c r="J21" i="31"/>
  <c r="L21" i="31" s="1"/>
  <c r="F21" i="31"/>
  <c r="E21" i="31"/>
  <c r="D21" i="31"/>
  <c r="AE20" i="31"/>
  <c r="P20" i="31"/>
  <c r="O20" i="31"/>
  <c r="N20" i="31"/>
  <c r="J20" i="31"/>
  <c r="L20" i="31" s="1"/>
  <c r="F20" i="31"/>
  <c r="E20" i="31"/>
  <c r="D20" i="31"/>
  <c r="AE19" i="31"/>
  <c r="P19" i="31"/>
  <c r="O19" i="31"/>
  <c r="N19" i="31"/>
  <c r="F19" i="31"/>
  <c r="E19" i="31"/>
  <c r="D19" i="31"/>
  <c r="AE18" i="31"/>
  <c r="P18" i="31"/>
  <c r="O18" i="31"/>
  <c r="N18" i="31"/>
  <c r="J18" i="31"/>
  <c r="L18" i="31" s="1"/>
  <c r="F18" i="31"/>
  <c r="E18" i="31"/>
  <c r="D18" i="31"/>
  <c r="AE17" i="31"/>
  <c r="P17" i="31"/>
  <c r="O17" i="31"/>
  <c r="N17" i="31"/>
  <c r="J17" i="31"/>
  <c r="F17" i="31"/>
  <c r="E17" i="31"/>
  <c r="D17" i="31"/>
  <c r="AE16" i="31"/>
  <c r="AH16" i="31" s="1"/>
  <c r="P16" i="31"/>
  <c r="O16" i="31"/>
  <c r="N16" i="31"/>
  <c r="J16" i="31"/>
  <c r="L16" i="31" s="1"/>
  <c r="F16" i="31"/>
  <c r="E16" i="31"/>
  <c r="D16" i="31"/>
  <c r="AE15" i="31"/>
  <c r="P15" i="31"/>
  <c r="O15" i="31"/>
  <c r="N15" i="31"/>
  <c r="J15" i="31"/>
  <c r="L15" i="31" s="1"/>
  <c r="F15" i="31"/>
  <c r="E15" i="31"/>
  <c r="D15" i="31"/>
  <c r="AE14" i="31"/>
  <c r="P14" i="31"/>
  <c r="O14" i="31"/>
  <c r="N14" i="31"/>
  <c r="J14" i="31"/>
  <c r="F14" i="31"/>
  <c r="E14" i="31"/>
  <c r="D14" i="31"/>
  <c r="AE13" i="31"/>
  <c r="AH13" i="31" s="1"/>
  <c r="P13" i="31"/>
  <c r="O13" i="31"/>
  <c r="N13" i="31"/>
  <c r="J13" i="31"/>
  <c r="L13" i="31" s="1"/>
  <c r="F13" i="31"/>
  <c r="E13" i="31"/>
  <c r="D13" i="31"/>
  <c r="AE12" i="31"/>
  <c r="AH12" i="31" s="1"/>
  <c r="P12" i="31"/>
  <c r="O12" i="31"/>
  <c r="N12" i="31"/>
  <c r="J12" i="31"/>
  <c r="F12" i="31"/>
  <c r="E12" i="31"/>
  <c r="D12" i="31"/>
  <c r="AE11" i="31"/>
  <c r="P11" i="31"/>
  <c r="O11" i="31"/>
  <c r="N11" i="31"/>
  <c r="J11" i="31"/>
  <c r="F11" i="31"/>
  <c r="E11" i="31"/>
  <c r="D11" i="31"/>
  <c r="AE10" i="31"/>
  <c r="P10" i="31"/>
  <c r="O10" i="31"/>
  <c r="N10" i="31"/>
  <c r="J10" i="31"/>
  <c r="F10" i="31"/>
  <c r="E10" i="31"/>
  <c r="D10" i="31"/>
  <c r="AE9" i="31"/>
  <c r="AE8" i="31"/>
  <c r="AE7" i="31"/>
  <c r="AE6" i="31"/>
  <c r="AH6" i="31" s="1"/>
  <c r="AG5" i="31"/>
  <c r="AE5" i="31"/>
  <c r="AG329" i="29"/>
  <c r="AG330" i="29"/>
  <c r="AG331" i="29"/>
  <c r="AG332" i="29"/>
  <c r="AG333" i="29"/>
  <c r="AG334" i="29"/>
  <c r="AG335" i="29"/>
  <c r="AG336" i="29"/>
  <c r="AG339" i="29"/>
  <c r="AG340" i="29"/>
  <c r="AG341" i="29"/>
  <c r="AG342" i="29"/>
  <c r="AG343" i="29"/>
  <c r="AG344" i="29"/>
  <c r="AG345" i="29"/>
  <c r="AG346" i="29"/>
  <c r="AG347" i="29"/>
  <c r="AG348" i="29"/>
  <c r="AG349" i="29"/>
  <c r="AG350" i="29"/>
  <c r="AG351" i="29"/>
  <c r="AG352" i="29"/>
  <c r="AG353" i="29"/>
  <c r="AG354" i="29"/>
  <c r="AG355" i="29"/>
  <c r="AG356" i="29"/>
  <c r="AG357" i="29"/>
  <c r="AG358" i="29"/>
  <c r="AG359" i="29"/>
  <c r="AG360" i="29"/>
  <c r="AG361" i="29"/>
  <c r="AG362" i="29"/>
  <c r="AG363" i="29"/>
  <c r="AG364" i="29"/>
  <c r="AG365" i="29"/>
  <c r="AG366" i="29"/>
  <c r="AG367" i="29"/>
  <c r="AG368" i="29"/>
  <c r="AG369" i="29"/>
  <c r="AG370" i="29"/>
  <c r="AG371" i="29"/>
  <c r="AG373" i="29"/>
  <c r="AG374" i="29"/>
  <c r="AG375" i="29"/>
  <c r="AG376" i="29"/>
  <c r="AG377" i="29"/>
  <c r="AG378" i="29"/>
  <c r="AG379" i="29"/>
  <c r="AG380" i="29"/>
  <c r="AG381" i="29"/>
  <c r="AG382" i="29"/>
  <c r="AG383" i="29"/>
  <c r="AG384" i="29"/>
  <c r="AG385" i="29"/>
  <c r="AG386" i="29"/>
  <c r="AG387" i="29"/>
  <c r="AG388" i="29"/>
  <c r="AG389" i="29"/>
  <c r="AG390" i="29"/>
  <c r="AG391" i="29"/>
  <c r="AG392" i="29"/>
  <c r="AG393" i="29"/>
  <c r="AG394" i="29"/>
  <c r="AG395" i="29"/>
  <c r="AG396" i="29"/>
  <c r="AG397" i="29"/>
  <c r="AG398" i="29"/>
  <c r="AG399" i="29"/>
  <c r="AG400" i="29"/>
  <c r="AG401" i="29"/>
  <c r="AG402" i="29"/>
  <c r="AG403" i="29"/>
  <c r="AG404" i="29"/>
  <c r="AG405" i="29"/>
  <c r="AG406" i="29"/>
  <c r="AG407" i="29"/>
  <c r="AG408" i="29"/>
  <c r="AG409" i="29"/>
  <c r="AG410" i="29"/>
  <c r="AG411" i="29"/>
  <c r="AG412" i="29"/>
  <c r="AG413" i="29"/>
  <c r="AG414" i="29"/>
  <c r="AG415" i="29"/>
  <c r="AG416" i="29"/>
  <c r="AG417" i="29"/>
  <c r="AG418" i="29"/>
  <c r="AG419" i="29"/>
  <c r="AG420" i="29"/>
  <c r="AG421" i="29"/>
  <c r="AG422" i="29"/>
  <c r="AG423" i="29"/>
  <c r="AG424" i="29"/>
  <c r="AG425" i="29"/>
  <c r="AG426" i="29"/>
  <c r="AG427" i="29"/>
  <c r="AG428" i="29"/>
  <c r="AG429" i="29"/>
  <c r="AG430" i="29"/>
  <c r="AG431" i="29"/>
  <c r="AG432" i="29"/>
  <c r="AG433" i="29"/>
  <c r="AG434" i="29"/>
  <c r="AG299" i="29"/>
  <c r="AG300" i="29"/>
  <c r="AG301" i="29"/>
  <c r="AG302" i="29"/>
  <c r="AG303" i="29"/>
  <c r="AG304" i="29"/>
  <c r="AG305" i="29"/>
  <c r="AG306" i="29"/>
  <c r="AG307" i="29"/>
  <c r="AG308" i="29"/>
  <c r="AG309" i="29"/>
  <c r="AG310" i="29"/>
  <c r="AG311" i="29"/>
  <c r="AG312" i="29"/>
  <c r="AG313" i="29"/>
  <c r="AG314" i="29"/>
  <c r="AG315" i="29"/>
  <c r="AG316" i="29"/>
  <c r="AG317" i="29"/>
  <c r="AG318" i="29"/>
  <c r="AG319" i="29"/>
  <c r="AG320" i="29"/>
  <c r="AG321" i="29"/>
  <c r="AG322" i="29"/>
  <c r="AG323" i="29"/>
  <c r="AG324" i="29"/>
  <c r="AG325" i="29"/>
  <c r="AG326" i="29"/>
  <c r="AG327" i="29"/>
  <c r="AG328" i="29"/>
  <c r="AG267" i="29"/>
  <c r="AG268" i="29"/>
  <c r="AG269" i="29"/>
  <c r="AG270" i="29"/>
  <c r="AG271" i="29"/>
  <c r="AG272" i="29"/>
  <c r="AG273" i="29"/>
  <c r="AG274" i="29"/>
  <c r="AG275" i="29"/>
  <c r="AG276" i="29"/>
  <c r="AG277" i="29"/>
  <c r="AG278" i="29"/>
  <c r="AG279" i="29"/>
  <c r="AG280" i="29"/>
  <c r="AG281" i="29"/>
  <c r="AG282" i="29"/>
  <c r="AG283" i="29"/>
  <c r="AG284" i="29"/>
  <c r="AH284" i="29" s="1"/>
  <c r="AG285" i="29"/>
  <c r="AG286" i="29"/>
  <c r="AG287" i="29"/>
  <c r="AG288" i="29"/>
  <c r="AG289" i="29"/>
  <c r="AG291" i="29"/>
  <c r="AG292" i="29"/>
  <c r="AG293" i="29"/>
  <c r="AG294" i="29"/>
  <c r="AG295" i="29"/>
  <c r="AG296" i="29"/>
  <c r="AG297" i="29"/>
  <c r="AG298" i="29"/>
  <c r="AG236" i="29"/>
  <c r="AG237" i="29"/>
  <c r="AG238" i="29"/>
  <c r="AG239" i="29"/>
  <c r="AG240" i="29"/>
  <c r="AG241" i="29"/>
  <c r="AG242" i="29"/>
  <c r="AG243" i="29"/>
  <c r="AH243" i="29" s="1"/>
  <c r="AG244" i="29"/>
  <c r="AG245" i="29"/>
  <c r="AG246" i="29"/>
  <c r="AG247" i="29"/>
  <c r="AG248" i="29"/>
  <c r="AG249" i="29"/>
  <c r="AG250" i="29"/>
  <c r="AG251" i="29"/>
  <c r="AG252" i="29"/>
  <c r="AG253" i="29"/>
  <c r="AG254" i="29"/>
  <c r="AG255" i="29"/>
  <c r="AG256" i="29"/>
  <c r="AG257" i="29"/>
  <c r="AG258" i="29"/>
  <c r="AG259" i="29"/>
  <c r="AG260" i="29"/>
  <c r="AG261" i="29"/>
  <c r="AG262" i="29"/>
  <c r="AG263" i="29"/>
  <c r="AG264" i="29"/>
  <c r="AG265" i="29"/>
  <c r="AG266" i="29"/>
  <c r="AG207" i="29"/>
  <c r="AG208" i="29"/>
  <c r="AG209" i="29"/>
  <c r="AG210" i="29"/>
  <c r="AG211" i="29"/>
  <c r="AG212" i="29"/>
  <c r="AG213" i="29"/>
  <c r="AG214" i="29"/>
  <c r="AG215" i="29"/>
  <c r="AG216" i="29"/>
  <c r="AG217" i="29"/>
  <c r="AG218" i="29"/>
  <c r="AG219" i="29"/>
  <c r="AG220" i="29"/>
  <c r="AG221" i="29"/>
  <c r="AG222" i="29"/>
  <c r="AG223" i="29"/>
  <c r="AG224" i="29"/>
  <c r="AG225" i="29"/>
  <c r="AG226" i="29"/>
  <c r="AG227" i="29"/>
  <c r="AG228" i="29"/>
  <c r="AG229" i="29"/>
  <c r="AG230" i="29"/>
  <c r="AG231" i="29"/>
  <c r="AG232" i="29"/>
  <c r="AG233" i="29"/>
  <c r="AG234" i="29"/>
  <c r="AG235" i="29"/>
  <c r="AG177" i="29"/>
  <c r="AG178" i="29"/>
  <c r="AG179" i="29"/>
  <c r="AG180" i="29"/>
  <c r="AG181" i="29"/>
  <c r="AG182" i="29"/>
  <c r="AG183" i="29"/>
  <c r="AG184" i="29"/>
  <c r="AG185" i="29"/>
  <c r="AG186" i="29"/>
  <c r="AG187" i="29"/>
  <c r="AG188" i="29"/>
  <c r="AG189" i="29"/>
  <c r="AG190" i="29"/>
  <c r="AG191" i="29"/>
  <c r="AG192" i="29"/>
  <c r="AG193" i="29"/>
  <c r="AG194" i="29"/>
  <c r="AG195" i="29"/>
  <c r="AG196" i="29"/>
  <c r="AG197" i="29"/>
  <c r="AG198" i="29"/>
  <c r="AG199" i="29"/>
  <c r="AG200" i="29"/>
  <c r="AG201" i="29"/>
  <c r="AG202" i="29"/>
  <c r="AH202" i="29" s="1"/>
  <c r="AG203" i="29"/>
  <c r="AG204" i="29"/>
  <c r="AG205" i="29"/>
  <c r="AG206" i="29"/>
  <c r="AG145" i="29"/>
  <c r="AG146" i="29"/>
  <c r="AG147" i="29"/>
  <c r="AG148" i="29"/>
  <c r="AG149" i="29"/>
  <c r="AG150" i="29"/>
  <c r="AG151" i="29"/>
  <c r="AG152" i="29"/>
  <c r="AG153" i="29"/>
  <c r="AG154" i="29"/>
  <c r="AG155" i="29"/>
  <c r="AG156" i="29"/>
  <c r="AG157" i="29"/>
  <c r="AH157" i="29" s="1"/>
  <c r="AG158" i="29"/>
  <c r="AG159" i="29"/>
  <c r="AG160" i="29"/>
  <c r="AG161" i="29"/>
  <c r="AG162" i="29"/>
  <c r="AG163" i="29"/>
  <c r="AG164" i="29"/>
  <c r="AG165" i="29"/>
  <c r="AG166" i="29"/>
  <c r="AG167" i="29"/>
  <c r="AG168" i="29"/>
  <c r="AG169" i="29"/>
  <c r="AG170" i="29"/>
  <c r="AG171" i="29"/>
  <c r="AG172" i="29"/>
  <c r="AG173" i="29"/>
  <c r="AG174" i="29"/>
  <c r="AG175" i="29"/>
  <c r="AG176" i="29"/>
  <c r="AG124" i="29"/>
  <c r="AG125" i="29"/>
  <c r="AG126" i="29"/>
  <c r="AG127" i="29"/>
  <c r="AG128" i="29"/>
  <c r="AG129" i="29"/>
  <c r="AG130" i="29"/>
  <c r="AG131" i="29"/>
  <c r="AG132" i="29"/>
  <c r="AG133" i="29"/>
  <c r="AG134" i="29"/>
  <c r="AG135" i="29"/>
  <c r="AG136" i="29"/>
  <c r="AG137" i="29"/>
  <c r="AG138" i="29"/>
  <c r="AG139" i="29"/>
  <c r="AG140" i="29"/>
  <c r="AG141" i="29"/>
  <c r="AG142" i="29"/>
  <c r="AG143" i="29"/>
  <c r="AG144" i="29"/>
  <c r="AG98" i="29"/>
  <c r="AG99" i="29"/>
  <c r="AG100" i="29"/>
  <c r="AG101" i="29"/>
  <c r="AG102" i="29"/>
  <c r="AG103" i="29"/>
  <c r="AG104" i="29"/>
  <c r="AG105" i="29"/>
  <c r="AG106" i="29"/>
  <c r="AG107" i="29"/>
  <c r="AG108" i="29"/>
  <c r="AG109" i="29"/>
  <c r="AG110" i="29"/>
  <c r="AG111" i="29"/>
  <c r="AG112" i="29"/>
  <c r="AG113" i="29"/>
  <c r="AG114" i="29"/>
  <c r="AG115" i="29"/>
  <c r="AG116" i="29"/>
  <c r="AG117" i="29"/>
  <c r="AH117" i="29" s="1"/>
  <c r="AG118" i="29"/>
  <c r="AG119" i="29"/>
  <c r="AG120" i="29"/>
  <c r="AG121" i="29"/>
  <c r="AG122" i="29"/>
  <c r="AG123" i="29"/>
  <c r="AG71" i="29"/>
  <c r="AH71" i="29" s="1"/>
  <c r="AG72" i="29"/>
  <c r="AG73" i="29"/>
  <c r="AG74" i="29"/>
  <c r="AG75" i="29"/>
  <c r="AG76" i="29"/>
  <c r="AG77" i="29"/>
  <c r="AG78" i="29"/>
  <c r="AG79" i="29"/>
  <c r="AG80" i="29"/>
  <c r="AG81" i="29"/>
  <c r="AG82" i="29"/>
  <c r="AG83" i="29"/>
  <c r="AG84" i="29"/>
  <c r="AG85" i="29"/>
  <c r="AG86" i="29"/>
  <c r="AG87" i="29"/>
  <c r="AG88" i="29"/>
  <c r="AG89" i="29"/>
  <c r="AG90" i="29"/>
  <c r="AG91" i="29"/>
  <c r="AG92" i="29"/>
  <c r="AG93" i="29"/>
  <c r="AG94" i="29"/>
  <c r="AG95" i="29"/>
  <c r="AG96" i="29"/>
  <c r="AG97" i="29"/>
  <c r="AG44" i="29"/>
  <c r="AG45" i="29"/>
  <c r="AG46" i="29"/>
  <c r="AG47" i="29"/>
  <c r="AG48" i="29"/>
  <c r="AG49" i="29"/>
  <c r="AG50" i="29"/>
  <c r="AG51" i="29"/>
  <c r="AG52" i="29"/>
  <c r="AG53" i="29"/>
  <c r="AG54" i="29"/>
  <c r="AG55" i="29"/>
  <c r="AG56" i="29"/>
  <c r="AG57" i="29"/>
  <c r="AG58" i="29"/>
  <c r="AG59" i="29"/>
  <c r="AG60" i="29"/>
  <c r="AG61" i="29"/>
  <c r="AG62" i="29"/>
  <c r="AG63" i="29"/>
  <c r="AG64" i="29"/>
  <c r="AG65" i="29"/>
  <c r="AG66" i="29"/>
  <c r="AG67" i="29"/>
  <c r="AG68" i="29"/>
  <c r="AG69" i="29"/>
  <c r="AG70" i="29"/>
  <c r="AG28" i="29"/>
  <c r="AG29" i="29"/>
  <c r="AG30" i="29"/>
  <c r="AG31" i="29"/>
  <c r="AG32" i="29"/>
  <c r="AG33" i="29"/>
  <c r="AG34" i="29"/>
  <c r="AG35" i="29"/>
  <c r="AG36" i="29"/>
  <c r="AG37" i="29"/>
  <c r="AH37" i="29" s="1"/>
  <c r="AG38" i="29"/>
  <c r="AG39" i="29"/>
  <c r="AG40" i="29"/>
  <c r="AG41" i="29"/>
  <c r="AG42" i="29"/>
  <c r="AG43" i="29"/>
  <c r="AE283" i="29"/>
  <c r="AH283" i="29" s="1"/>
  <c r="AE284" i="29"/>
  <c r="AE285" i="29"/>
  <c r="AE286" i="29"/>
  <c r="AH286" i="29" s="1"/>
  <c r="AE287" i="29"/>
  <c r="AH287" i="29" s="1"/>
  <c r="AE288" i="29"/>
  <c r="AH288" i="29" s="1"/>
  <c r="AE289" i="29"/>
  <c r="AH289" i="29" s="1"/>
  <c r="AE291" i="29"/>
  <c r="AH291" i="29" s="1"/>
  <c r="AE292" i="29"/>
  <c r="AH292" i="29" s="1"/>
  <c r="AE293" i="29"/>
  <c r="AH293" i="29" s="1"/>
  <c r="L7" i="30"/>
  <c r="J7" i="30"/>
  <c r="M7" i="30" s="1"/>
  <c r="M6" i="30"/>
  <c r="L6" i="30"/>
  <c r="J6" i="30"/>
  <c r="L5" i="30"/>
  <c r="J5" i="30"/>
  <c r="M5" i="30" s="1"/>
  <c r="AH315" i="31" l="1"/>
  <c r="Q40" i="31"/>
  <c r="Q20" i="31"/>
  <c r="Q23" i="31"/>
  <c r="Q26" i="31"/>
  <c r="Q29" i="31"/>
  <c r="Q11" i="31"/>
  <c r="AH302" i="31"/>
  <c r="AH235" i="31"/>
  <c r="AH252" i="31"/>
  <c r="AH239" i="31"/>
  <c r="AH223" i="31"/>
  <c r="AH380" i="31"/>
  <c r="AH409" i="31"/>
  <c r="AH102" i="31"/>
  <c r="AH114" i="31"/>
  <c r="AH127" i="31"/>
  <c r="AH139" i="31"/>
  <c r="AH164" i="31"/>
  <c r="AH176" i="31"/>
  <c r="AH188" i="31"/>
  <c r="AH200" i="31"/>
  <c r="AH386" i="31"/>
  <c r="AH410" i="31"/>
  <c r="AH422" i="31"/>
  <c r="AH433" i="31"/>
  <c r="AH480" i="31"/>
  <c r="AH103" i="31"/>
  <c r="AH336" i="31"/>
  <c r="AH375" i="31"/>
  <c r="AH387" i="31"/>
  <c r="AH399" i="31"/>
  <c r="AH411" i="31"/>
  <c r="AH423" i="31"/>
  <c r="AH434" i="31"/>
  <c r="AH445" i="31"/>
  <c r="AH427" i="31"/>
  <c r="AH415" i="31"/>
  <c r="AH404" i="31"/>
  <c r="AH109" i="31"/>
  <c r="AH377" i="31"/>
  <c r="AH73" i="31"/>
  <c r="AH98" i="31"/>
  <c r="AH308" i="31"/>
  <c r="AH465" i="31"/>
  <c r="AH447" i="31"/>
  <c r="AH212" i="31"/>
  <c r="AH348" i="31"/>
  <c r="AH79" i="31"/>
  <c r="AH141" i="31"/>
  <c r="AH325" i="31"/>
  <c r="AH376" i="31"/>
  <c r="AH412" i="31"/>
  <c r="AH424" i="31"/>
  <c r="AH435" i="31"/>
  <c r="AH61" i="31"/>
  <c r="AH439" i="31"/>
  <c r="AH403" i="31"/>
  <c r="AH32" i="31"/>
  <c r="AH353" i="31"/>
  <c r="AH405" i="31"/>
  <c r="AH116" i="31"/>
  <c r="AH189" i="31"/>
  <c r="AH190" i="31"/>
  <c r="AH272" i="31"/>
  <c r="AH319" i="31"/>
  <c r="AH388" i="31"/>
  <c r="AH119" i="31"/>
  <c r="AH131" i="31"/>
  <c r="AH203" i="31"/>
  <c r="AH214" i="31"/>
  <c r="AH237" i="31"/>
  <c r="AH250" i="31"/>
  <c r="AH273" i="31"/>
  <c r="AH345" i="31"/>
  <c r="AH446" i="31"/>
  <c r="AH457" i="31"/>
  <c r="AH384" i="31"/>
  <c r="AH110" i="31"/>
  <c r="AH217" i="31"/>
  <c r="AH352" i="31"/>
  <c r="AH477" i="31"/>
  <c r="AH22" i="31"/>
  <c r="AH152" i="31"/>
  <c r="AH177" i="31"/>
  <c r="AH201" i="31"/>
  <c r="AH224" i="31"/>
  <c r="AH307" i="31"/>
  <c r="AH425" i="31"/>
  <c r="AH166" i="31"/>
  <c r="AH178" i="31"/>
  <c r="AH225" i="31"/>
  <c r="AH236" i="31"/>
  <c r="AH344" i="31"/>
  <c r="AH398" i="31"/>
  <c r="AH215" i="31"/>
  <c r="AH238" i="31"/>
  <c r="AH321" i="31"/>
  <c r="AH333" i="31"/>
  <c r="AH436" i="31"/>
  <c r="AH458" i="31"/>
  <c r="AH469" i="31"/>
  <c r="AH481" i="31"/>
  <c r="AH124" i="31"/>
  <c r="AH455" i="31"/>
  <c r="AH443" i="31"/>
  <c r="AH431" i="31"/>
  <c r="AH419" i="31"/>
  <c r="AH407" i="31"/>
  <c r="AH383" i="31"/>
  <c r="AH278" i="31"/>
  <c r="AH391" i="31"/>
  <c r="AH476" i="31"/>
  <c r="AH414" i="31"/>
  <c r="AH104" i="31"/>
  <c r="AH165" i="31"/>
  <c r="AH260" i="31"/>
  <c r="AH213" i="31"/>
  <c r="AH30" i="31"/>
  <c r="AH97" i="31"/>
  <c r="AH121" i="31"/>
  <c r="AH144" i="31"/>
  <c r="AH322" i="31"/>
  <c r="AH347" i="31"/>
  <c r="AH359" i="31"/>
  <c r="AH390" i="31"/>
  <c r="AH400" i="31"/>
  <c r="AH459" i="31"/>
  <c r="AH470" i="31"/>
  <c r="AH482" i="31"/>
  <c r="AH135" i="31"/>
  <c r="Q18" i="31"/>
  <c r="Q21" i="31"/>
  <c r="Q24" i="31"/>
  <c r="Q27" i="31"/>
  <c r="Q36" i="31"/>
  <c r="G38" i="31"/>
  <c r="AH34" i="31"/>
  <c r="AH8" i="31"/>
  <c r="AH44" i="31"/>
  <c r="AH56" i="31"/>
  <c r="AH9" i="31"/>
  <c r="AH33" i="31"/>
  <c r="AH45" i="31"/>
  <c r="AH57" i="31"/>
  <c r="AH20" i="31"/>
  <c r="AH35" i="31"/>
  <c r="AH40" i="31"/>
  <c r="AH62" i="31"/>
  <c r="AH5" i="31"/>
  <c r="C14" i="31"/>
  <c r="G14" i="31" s="1"/>
  <c r="AH28" i="31"/>
  <c r="C12" i="31"/>
  <c r="G12" i="31" s="1"/>
  <c r="C15" i="31"/>
  <c r="G15" i="31" s="1"/>
  <c r="Q14" i="31"/>
  <c r="G32" i="31"/>
  <c r="G19" i="31"/>
  <c r="Q13" i="31"/>
  <c r="Q16" i="31"/>
  <c r="Q25" i="31"/>
  <c r="Q31" i="31"/>
  <c r="Q37" i="31"/>
  <c r="AH406" i="31"/>
  <c r="AH430" i="31"/>
  <c r="AH466" i="31"/>
  <c r="AH478" i="31"/>
  <c r="AH381" i="31"/>
  <c r="AH467" i="31"/>
  <c r="AH479" i="31"/>
  <c r="AH382" i="31"/>
  <c r="AH416" i="31"/>
  <c r="AH440" i="31"/>
  <c r="AH450" i="31"/>
  <c r="AH401" i="31"/>
  <c r="AH417" i="31"/>
  <c r="AH426" i="31"/>
  <c r="AH441" i="31"/>
  <c r="AH392" i="31"/>
  <c r="AH402" i="31"/>
  <c r="AH418" i="31"/>
  <c r="AH442" i="31"/>
  <c r="AH461" i="31"/>
  <c r="AH472" i="31"/>
  <c r="AH393" i="31"/>
  <c r="AH462" i="31"/>
  <c r="AH473" i="31"/>
  <c r="AH378" i="31"/>
  <c r="AH394" i="31"/>
  <c r="AH463" i="31"/>
  <c r="AH474" i="31"/>
  <c r="AH453" i="31"/>
  <c r="AH464" i="31"/>
  <c r="AH475" i="31"/>
  <c r="AH363" i="31"/>
  <c r="AH326" i="31"/>
  <c r="AH339" i="31"/>
  <c r="AH327" i="31"/>
  <c r="AH351" i="31"/>
  <c r="AH341" i="31"/>
  <c r="AH330" i="31"/>
  <c r="AH297" i="31"/>
  <c r="AH298" i="31"/>
  <c r="AH309" i="31"/>
  <c r="AH313" i="31"/>
  <c r="H39" i="31" s="1"/>
  <c r="I39" i="31" s="1"/>
  <c r="AH303" i="31"/>
  <c r="AH88" i="31"/>
  <c r="AH100" i="31"/>
  <c r="AH193" i="31"/>
  <c r="AH170" i="31"/>
  <c r="AH182" i="31"/>
  <c r="AH194" i="31"/>
  <c r="AH206" i="31"/>
  <c r="AH228" i="31"/>
  <c r="AH196" i="31"/>
  <c r="AH41" i="31"/>
  <c r="AH257" i="31"/>
  <c r="AH75" i="31"/>
  <c r="AH87" i="31"/>
  <c r="AH269" i="31"/>
  <c r="AH281" i="31"/>
  <c r="AH64" i="31"/>
  <c r="AH76" i="31"/>
  <c r="AH99" i="31"/>
  <c r="AH111" i="31"/>
  <c r="AH123" i="31"/>
  <c r="AH65" i="31"/>
  <c r="AH77" i="31"/>
  <c r="AH89" i="31"/>
  <c r="AH112" i="31"/>
  <c r="H19" i="31" s="1"/>
  <c r="I19" i="31" s="1"/>
  <c r="AH145" i="31"/>
  <c r="AH169" i="31"/>
  <c r="AH181" i="31"/>
  <c r="AH205" i="31"/>
  <c r="AH136" i="31"/>
  <c r="AH147" i="31"/>
  <c r="AH207" i="31"/>
  <c r="AH229" i="31"/>
  <c r="AH39" i="31"/>
  <c r="AH148" i="31"/>
  <c r="AH172" i="31"/>
  <c r="AH218" i="31"/>
  <c r="AH230" i="31"/>
  <c r="AH14" i="31"/>
  <c r="AH17" i="31"/>
  <c r="AH26" i="31"/>
  <c r="AH69" i="31"/>
  <c r="AH173" i="31"/>
  <c r="AH185" i="31"/>
  <c r="AH197" i="31"/>
  <c r="AH209" i="31"/>
  <c r="AH219" i="31"/>
  <c r="AH231" i="31"/>
  <c r="AH29" i="31"/>
  <c r="AH82" i="31"/>
  <c r="AH94" i="31"/>
  <c r="AH105" i="31"/>
  <c r="AH128" i="31"/>
  <c r="AH220" i="31"/>
  <c r="AH232" i="31"/>
  <c r="AH253" i="31"/>
  <c r="AH264" i="31"/>
  <c r="AH276" i="31"/>
  <c r="AH49" i="31"/>
  <c r="AH83" i="31"/>
  <c r="AH95" i="31"/>
  <c r="AH106" i="31"/>
  <c r="AH140" i="31"/>
  <c r="AH211" i="31"/>
  <c r="AH254" i="31"/>
  <c r="AH265" i="31"/>
  <c r="AH277" i="31"/>
  <c r="AH36" i="31"/>
  <c r="AH101" i="31"/>
  <c r="AH113" i="31"/>
  <c r="AH143" i="31"/>
  <c r="AH149" i="31"/>
  <c r="AH204" i="31"/>
  <c r="AH210" i="31"/>
  <c r="AH227" i="31"/>
  <c r="AH233" i="31"/>
  <c r="AH256" i="31"/>
  <c r="AH262" i="31"/>
  <c r="AH274" i="31"/>
  <c r="AH280" i="31"/>
  <c r="AH11" i="31"/>
  <c r="AH15" i="31"/>
  <c r="AH19" i="31"/>
  <c r="AH23" i="31"/>
  <c r="AH27" i="31"/>
  <c r="AH48" i="31"/>
  <c r="AH60" i="31"/>
  <c r="AH78" i="31"/>
  <c r="AH84" i="31"/>
  <c r="AH90" i="31"/>
  <c r="AH120" i="31"/>
  <c r="AH132" i="31"/>
  <c r="AH162" i="31"/>
  <c r="AH174" i="31"/>
  <c r="AH180" i="31"/>
  <c r="AH186" i="31"/>
  <c r="H27" i="31" s="1"/>
  <c r="I27" i="31" s="1"/>
  <c r="AH192" i="31"/>
  <c r="AH198" i="31"/>
  <c r="AH216" i="31"/>
  <c r="AH245" i="31"/>
  <c r="AH299" i="31"/>
  <c r="AH305" i="31"/>
  <c r="AH311" i="31"/>
  <c r="AH317" i="31"/>
  <c r="AH323" i="31"/>
  <c r="AH329" i="31"/>
  <c r="AH335" i="31"/>
  <c r="AH343" i="31"/>
  <c r="AH349" i="31"/>
  <c r="AH355" i="31"/>
  <c r="AH361" i="31"/>
  <c r="AH367" i="31"/>
  <c r="AH374" i="31"/>
  <c r="AH397" i="31"/>
  <c r="AH46" i="31"/>
  <c r="AH58" i="31"/>
  <c r="AH47" i="31"/>
  <c r="AH59" i="31"/>
  <c r="AH195" i="31"/>
  <c r="L34" i="31"/>
  <c r="C34" i="31"/>
  <c r="G34" i="31" s="1"/>
  <c r="Q22" i="31"/>
  <c r="AH70" i="31"/>
  <c r="L22" i="31"/>
  <c r="C22" i="31"/>
  <c r="G22" i="31" s="1"/>
  <c r="AH362" i="31"/>
  <c r="AH171" i="31"/>
  <c r="AH183" i="31"/>
  <c r="AH31" i="31"/>
  <c r="AH130" i="31"/>
  <c r="AH7" i="31"/>
  <c r="AH142" i="31"/>
  <c r="AH314" i="31"/>
  <c r="AH320" i="31"/>
  <c r="AH332" i="31"/>
  <c r="AH340" i="31"/>
  <c r="AH346" i="31"/>
  <c r="AH18" i="31"/>
  <c r="AH125" i="31"/>
  <c r="AH137" i="31"/>
  <c r="AH167" i="31"/>
  <c r="AH267" i="31"/>
  <c r="AH279" i="31"/>
  <c r="AH91" i="31"/>
  <c r="AH126" i="31"/>
  <c r="AH251" i="31"/>
  <c r="AH304" i="31"/>
  <c r="AH80" i="31"/>
  <c r="AH63" i="31"/>
  <c r="C30" i="31"/>
  <c r="G30" i="31" s="1"/>
  <c r="AH263" i="31"/>
  <c r="AH208" i="31"/>
  <c r="AH247" i="31"/>
  <c r="AH275" i="31"/>
  <c r="AH358" i="31"/>
  <c r="Q34" i="31"/>
  <c r="AH42" i="31"/>
  <c r="AH54" i="31"/>
  <c r="AH115" i="31"/>
  <c r="AH138" i="31"/>
  <c r="AH179" i="31"/>
  <c r="AH191" i="31"/>
  <c r="AH258" i="31"/>
  <c r="AH316" i="31"/>
  <c r="AH328" i="31"/>
  <c r="AH364" i="31"/>
  <c r="AH370" i="31"/>
  <c r="AH21" i="31"/>
  <c r="AH150" i="31"/>
  <c r="AH248" i="31"/>
  <c r="AH300" i="31"/>
  <c r="AH25" i="31"/>
  <c r="AH43" i="31"/>
  <c r="AH55" i="31"/>
  <c r="AH66" i="31"/>
  <c r="AH72" i="31"/>
  <c r="AH122" i="31"/>
  <c r="AH259" i="31"/>
  <c r="AH334" i="31"/>
  <c r="AH342" i="31"/>
  <c r="AH354" i="31"/>
  <c r="AH371" i="31"/>
  <c r="AH38" i="31"/>
  <c r="AH151" i="31"/>
  <c r="AH163" i="31"/>
  <c r="AH249" i="31"/>
  <c r="AH271" i="31"/>
  <c r="AH301" i="31"/>
  <c r="AH50" i="31"/>
  <c r="AH67" i="31"/>
  <c r="AH134" i="31"/>
  <c r="AH175" i="31"/>
  <c r="AH187" i="31"/>
  <c r="AH221" i="31"/>
  <c r="AH283" i="31"/>
  <c r="AH312" i="31"/>
  <c r="AH324" i="31"/>
  <c r="AH360" i="31"/>
  <c r="AH366" i="31"/>
  <c r="AH118" i="31"/>
  <c r="AH129" i="31"/>
  <c r="AH146" i="31"/>
  <c r="H22" i="31" s="1"/>
  <c r="I22" i="31" s="1"/>
  <c r="AH199" i="31"/>
  <c r="AH255" i="31"/>
  <c r="AH266" i="31"/>
  <c r="AH296" i="31"/>
  <c r="Q28" i="31"/>
  <c r="L19" i="31"/>
  <c r="Q32" i="31"/>
  <c r="Q19" i="31"/>
  <c r="Q17" i="31"/>
  <c r="Q30" i="31"/>
  <c r="C20" i="31"/>
  <c r="G20" i="31" s="1"/>
  <c r="G28" i="31"/>
  <c r="Q15" i="31"/>
  <c r="Q33" i="31"/>
  <c r="Q39" i="31"/>
  <c r="C16" i="31"/>
  <c r="G16" i="31" s="1"/>
  <c r="L12" i="31"/>
  <c r="Q12" i="31"/>
  <c r="P41" i="31"/>
  <c r="H38" i="31"/>
  <c r="I38" i="31" s="1"/>
  <c r="J41" i="31"/>
  <c r="C18" i="31"/>
  <c r="G18" i="31" s="1"/>
  <c r="AH96" i="31"/>
  <c r="L14" i="31"/>
  <c r="L28" i="31"/>
  <c r="C29" i="31"/>
  <c r="G29" i="31" s="1"/>
  <c r="C25" i="31"/>
  <c r="G25" i="31" s="1"/>
  <c r="C31" i="31"/>
  <c r="G31" i="31" s="1"/>
  <c r="E41" i="31"/>
  <c r="L31" i="31"/>
  <c r="C37" i="31"/>
  <c r="G37" i="31" s="1"/>
  <c r="C17" i="31"/>
  <c r="G17" i="31" s="1"/>
  <c r="C23" i="31"/>
  <c r="G23" i="31" s="1"/>
  <c r="C26" i="31"/>
  <c r="G26" i="31" s="1"/>
  <c r="L32" i="31"/>
  <c r="C35" i="31"/>
  <c r="G35" i="31" s="1"/>
  <c r="L36" i="31"/>
  <c r="C36" i="31"/>
  <c r="G36" i="31" s="1"/>
  <c r="L37" i="31"/>
  <c r="F41" i="31"/>
  <c r="L17" i="31"/>
  <c r="C27" i="31"/>
  <c r="G27" i="31" s="1"/>
  <c r="L35" i="31"/>
  <c r="AH53" i="31"/>
  <c r="AH240" i="31"/>
  <c r="AH68" i="31"/>
  <c r="H24" i="31"/>
  <c r="I24" i="31" s="1"/>
  <c r="C24" i="31"/>
  <c r="G24" i="31" s="1"/>
  <c r="C10" i="31"/>
  <c r="L10" i="31"/>
  <c r="C11" i="31"/>
  <c r="G11" i="31" s="1"/>
  <c r="AH168" i="31"/>
  <c r="Q10" i="31"/>
  <c r="N41" i="31"/>
  <c r="C39" i="31"/>
  <c r="G39" i="31" s="1"/>
  <c r="C13" i="31"/>
  <c r="G13" i="31" s="1"/>
  <c r="C33" i="31"/>
  <c r="G33" i="31" s="1"/>
  <c r="AH81" i="31"/>
  <c r="C21" i="31"/>
  <c r="G21" i="31" s="1"/>
  <c r="AH268" i="31"/>
  <c r="AH365" i="31"/>
  <c r="O41" i="31"/>
  <c r="L11" i="31"/>
  <c r="L29" i="31"/>
  <c r="L38" i="31"/>
  <c r="D41" i="31"/>
  <c r="AH10" i="31"/>
  <c r="H10" i="31" s="1"/>
  <c r="AH93" i="31"/>
  <c r="AH234" i="31"/>
  <c r="AH85" i="31"/>
  <c r="AH226" i="31"/>
  <c r="AH285" i="29"/>
  <c r="AH487" i="29"/>
  <c r="AH486" i="29"/>
  <c r="AH485" i="29"/>
  <c r="AH484" i="29"/>
  <c r="AE483" i="29"/>
  <c r="AH483" i="29" s="1"/>
  <c r="AE482" i="29"/>
  <c r="AH482" i="29" s="1"/>
  <c r="AE481" i="29"/>
  <c r="AH481" i="29" s="1"/>
  <c r="AE480" i="29"/>
  <c r="AH480" i="29" s="1"/>
  <c r="AE479" i="29"/>
  <c r="AH479" i="29" s="1"/>
  <c r="AE478" i="29"/>
  <c r="AH478" i="29" s="1"/>
  <c r="AE477" i="29"/>
  <c r="AH477" i="29" s="1"/>
  <c r="AE476" i="29"/>
  <c r="AH476" i="29" s="1"/>
  <c r="AE475" i="29"/>
  <c r="AH475" i="29" s="1"/>
  <c r="AE474" i="29"/>
  <c r="AH474" i="29" s="1"/>
  <c r="AE473" i="29"/>
  <c r="AH473" i="29" s="1"/>
  <c r="AE472" i="29"/>
  <c r="AH472" i="29" s="1"/>
  <c r="AE471" i="29"/>
  <c r="AH471" i="29" s="1"/>
  <c r="AE470" i="29"/>
  <c r="AH470" i="29" s="1"/>
  <c r="AE469" i="29"/>
  <c r="AH469" i="29" s="1"/>
  <c r="AE468" i="29"/>
  <c r="AH468" i="29" s="1"/>
  <c r="AE467" i="29"/>
  <c r="AH467" i="29" s="1"/>
  <c r="AE466" i="29"/>
  <c r="AH466" i="29" s="1"/>
  <c r="AE465" i="29"/>
  <c r="AH465" i="29" s="1"/>
  <c r="AE464" i="29"/>
  <c r="AH464" i="29" s="1"/>
  <c r="AE463" i="29"/>
  <c r="AH463" i="29" s="1"/>
  <c r="AE462" i="29"/>
  <c r="AH462" i="29" s="1"/>
  <c r="AE461" i="29"/>
  <c r="AH461" i="29" s="1"/>
  <c r="AE460" i="29"/>
  <c r="AH460" i="29" s="1"/>
  <c r="AE459" i="29"/>
  <c r="AH459" i="29" s="1"/>
  <c r="AE458" i="29"/>
  <c r="AH458" i="29" s="1"/>
  <c r="AE457" i="29"/>
  <c r="AH457" i="29" s="1"/>
  <c r="AE456" i="29"/>
  <c r="AH456" i="29" s="1"/>
  <c r="AG455" i="29"/>
  <c r="AE455" i="29"/>
  <c r="AG454" i="29"/>
  <c r="AE454" i="29"/>
  <c r="AG453" i="29"/>
  <c r="AE453" i="29"/>
  <c r="AG452" i="29"/>
  <c r="AE452" i="29"/>
  <c r="AG451" i="29"/>
  <c r="AE451" i="29"/>
  <c r="AG450" i="29"/>
  <c r="AE450" i="29"/>
  <c r="AG449" i="29"/>
  <c r="AE449" i="29"/>
  <c r="AG448" i="29"/>
  <c r="AE448" i="29"/>
  <c r="AG447" i="29"/>
  <c r="AE447" i="29"/>
  <c r="AG446" i="29"/>
  <c r="AE446" i="29"/>
  <c r="AH446" i="29" s="1"/>
  <c r="AG445" i="29"/>
  <c r="AE445" i="29"/>
  <c r="AG444" i="29"/>
  <c r="AE444" i="29"/>
  <c r="AG443" i="29"/>
  <c r="AE443" i="29"/>
  <c r="AG442" i="29"/>
  <c r="AE442" i="29"/>
  <c r="AG441" i="29"/>
  <c r="AE441" i="29"/>
  <c r="AG440" i="29"/>
  <c r="AE440" i="29"/>
  <c r="AG439" i="29"/>
  <c r="AE439" i="29"/>
  <c r="AG438" i="29"/>
  <c r="AE438" i="29"/>
  <c r="AG437" i="29"/>
  <c r="AE437" i="29"/>
  <c r="AG436" i="29"/>
  <c r="AE436" i="29"/>
  <c r="AG435" i="29"/>
  <c r="AE435" i="29"/>
  <c r="AE434" i="29"/>
  <c r="AH434" i="29" s="1"/>
  <c r="AE433" i="29"/>
  <c r="AH433" i="29" s="1"/>
  <c r="AE432" i="29"/>
  <c r="AH432" i="29" s="1"/>
  <c r="AE431" i="29"/>
  <c r="AE430" i="29"/>
  <c r="AH430" i="29" s="1"/>
  <c r="AE429" i="29"/>
  <c r="AE428" i="29"/>
  <c r="AE427" i="29"/>
  <c r="AH427" i="29" s="1"/>
  <c r="AE426" i="29"/>
  <c r="AH426" i="29" s="1"/>
  <c r="AE425" i="29"/>
  <c r="AE424" i="29"/>
  <c r="AE423" i="29"/>
  <c r="AH423" i="29" s="1"/>
  <c r="AE422" i="29"/>
  <c r="AE421" i="29"/>
  <c r="AH421" i="29" s="1"/>
  <c r="AE420" i="29"/>
  <c r="AH420" i="29" s="1"/>
  <c r="AE419" i="29"/>
  <c r="AH419" i="29" s="1"/>
  <c r="AE418" i="29"/>
  <c r="AH418" i="29" s="1"/>
  <c r="AE417" i="29"/>
  <c r="AH417" i="29" s="1"/>
  <c r="AE416" i="29"/>
  <c r="AE415" i="29"/>
  <c r="AE414" i="29"/>
  <c r="AH414" i="29" s="1"/>
  <c r="AE413" i="29"/>
  <c r="AH413" i="29" s="1"/>
  <c r="AE412" i="29"/>
  <c r="AH412" i="29" s="1"/>
  <c r="AE411" i="29"/>
  <c r="AH411" i="29" s="1"/>
  <c r="AE410" i="29"/>
  <c r="AH410" i="29" s="1"/>
  <c r="AE409" i="29"/>
  <c r="AH409" i="29" s="1"/>
  <c r="AE408" i="29"/>
  <c r="AH408" i="29" s="1"/>
  <c r="AE407" i="29"/>
  <c r="AH407" i="29" s="1"/>
  <c r="AE406" i="29"/>
  <c r="AH406" i="29" s="1"/>
  <c r="AE405" i="29"/>
  <c r="AH405" i="29" s="1"/>
  <c r="AE404" i="29"/>
  <c r="AH404" i="29" s="1"/>
  <c r="AE403" i="29"/>
  <c r="AH403" i="29" s="1"/>
  <c r="AE402" i="29"/>
  <c r="AH402" i="29" s="1"/>
  <c r="AE401" i="29"/>
  <c r="AH401" i="29" s="1"/>
  <c r="AE400" i="29"/>
  <c r="AH400" i="29" s="1"/>
  <c r="AE399" i="29"/>
  <c r="AH399" i="29" s="1"/>
  <c r="AE398" i="29"/>
  <c r="AH398" i="29" s="1"/>
  <c r="AE397" i="29"/>
  <c r="AH397" i="29" s="1"/>
  <c r="AE396" i="29"/>
  <c r="AH396" i="29" s="1"/>
  <c r="AE395" i="29"/>
  <c r="AH395" i="29" s="1"/>
  <c r="AE394" i="29"/>
  <c r="AH394" i="29" s="1"/>
  <c r="AE393" i="29"/>
  <c r="AH393" i="29" s="1"/>
  <c r="AE392" i="29"/>
  <c r="AH392" i="29" s="1"/>
  <c r="AE391" i="29"/>
  <c r="AH391" i="29" s="1"/>
  <c r="AE390" i="29"/>
  <c r="AH390" i="29" s="1"/>
  <c r="AE389" i="29"/>
  <c r="AH389" i="29" s="1"/>
  <c r="AE388" i="29"/>
  <c r="AH388" i="29" s="1"/>
  <c r="AE387" i="29"/>
  <c r="AH387" i="29" s="1"/>
  <c r="AE386" i="29"/>
  <c r="AH386" i="29" s="1"/>
  <c r="AE385" i="29"/>
  <c r="AH385" i="29" s="1"/>
  <c r="AE384" i="29"/>
  <c r="AH384" i="29" s="1"/>
  <c r="AE383" i="29"/>
  <c r="AH383" i="29" s="1"/>
  <c r="AE382" i="29"/>
  <c r="AH382" i="29" s="1"/>
  <c r="AE381" i="29"/>
  <c r="AH381" i="29" s="1"/>
  <c r="AE380" i="29"/>
  <c r="AH380" i="29" s="1"/>
  <c r="AE379" i="29"/>
  <c r="AH379" i="29" s="1"/>
  <c r="AE378" i="29"/>
  <c r="AH378" i="29" s="1"/>
  <c r="AE377" i="29"/>
  <c r="AH377" i="29" s="1"/>
  <c r="AE376" i="29"/>
  <c r="AH376" i="29" s="1"/>
  <c r="AE375" i="29"/>
  <c r="AH375" i="29" s="1"/>
  <c r="AE374" i="29"/>
  <c r="AH374" i="29" s="1"/>
  <c r="AE373" i="29"/>
  <c r="AH373" i="29" s="1"/>
  <c r="AE371" i="29"/>
  <c r="AH371" i="29" s="1"/>
  <c r="AE370" i="29"/>
  <c r="AH370" i="29" s="1"/>
  <c r="AE369" i="29"/>
  <c r="AH369" i="29" s="1"/>
  <c r="AE368" i="29"/>
  <c r="AH368" i="29" s="1"/>
  <c r="AE367" i="29"/>
  <c r="AH367" i="29" s="1"/>
  <c r="AE366" i="29"/>
  <c r="AH366" i="29" s="1"/>
  <c r="AE365" i="29"/>
  <c r="AH365" i="29" s="1"/>
  <c r="AE364" i="29"/>
  <c r="AH364" i="29" s="1"/>
  <c r="AE363" i="29"/>
  <c r="AH363" i="29" s="1"/>
  <c r="AE362" i="29"/>
  <c r="AH362" i="29" s="1"/>
  <c r="AE361" i="29"/>
  <c r="AH361" i="29" s="1"/>
  <c r="AE360" i="29"/>
  <c r="AH360" i="29" s="1"/>
  <c r="AE359" i="29"/>
  <c r="AH359" i="29" s="1"/>
  <c r="AE358" i="29"/>
  <c r="AH358" i="29" s="1"/>
  <c r="AE357" i="29"/>
  <c r="AH357" i="29" s="1"/>
  <c r="AE356" i="29"/>
  <c r="AH356" i="29" s="1"/>
  <c r="AE355" i="29"/>
  <c r="AH355" i="29" s="1"/>
  <c r="AE354" i="29"/>
  <c r="AH354" i="29" s="1"/>
  <c r="AE353" i="29"/>
  <c r="AH353" i="29" s="1"/>
  <c r="AE352" i="29"/>
  <c r="AH352" i="29" s="1"/>
  <c r="AE351" i="29"/>
  <c r="AH351" i="29" s="1"/>
  <c r="AE350" i="29"/>
  <c r="AH350" i="29" s="1"/>
  <c r="AE349" i="29"/>
  <c r="AH349" i="29" s="1"/>
  <c r="AE348" i="29"/>
  <c r="AH348" i="29" s="1"/>
  <c r="AE347" i="29"/>
  <c r="AH347" i="29" s="1"/>
  <c r="AE346" i="29"/>
  <c r="AH346" i="29" s="1"/>
  <c r="AE345" i="29"/>
  <c r="AH345" i="29" s="1"/>
  <c r="AE344" i="29"/>
  <c r="AH344" i="29" s="1"/>
  <c r="AE343" i="29"/>
  <c r="AH343" i="29" s="1"/>
  <c r="AE342" i="29"/>
  <c r="AH342" i="29" s="1"/>
  <c r="AE341" i="29"/>
  <c r="AH341" i="29" s="1"/>
  <c r="AE340" i="29"/>
  <c r="AH340" i="29" s="1"/>
  <c r="AE339" i="29"/>
  <c r="AH339" i="29" s="1"/>
  <c r="AE336" i="29"/>
  <c r="AH336" i="29" s="1"/>
  <c r="AE335" i="29"/>
  <c r="AH335" i="29" s="1"/>
  <c r="AE334" i="29"/>
  <c r="AH334" i="29" s="1"/>
  <c r="AE333" i="29"/>
  <c r="AH333" i="29" s="1"/>
  <c r="AE332" i="29"/>
  <c r="AH332" i="29" s="1"/>
  <c r="AE331" i="29"/>
  <c r="AH331" i="29" s="1"/>
  <c r="AE330" i="29"/>
  <c r="AH330" i="29" s="1"/>
  <c r="AE329" i="29"/>
  <c r="AH329" i="29" s="1"/>
  <c r="AE328" i="29"/>
  <c r="AH328" i="29" s="1"/>
  <c r="AE327" i="29"/>
  <c r="AH327" i="29" s="1"/>
  <c r="AE326" i="29"/>
  <c r="AH326" i="29" s="1"/>
  <c r="AE325" i="29"/>
  <c r="AH325" i="29" s="1"/>
  <c r="AE324" i="29"/>
  <c r="AH324" i="29" s="1"/>
  <c r="AE323" i="29"/>
  <c r="AH323" i="29" s="1"/>
  <c r="AE322" i="29"/>
  <c r="AH322" i="29" s="1"/>
  <c r="AE321" i="29"/>
  <c r="AH321" i="29" s="1"/>
  <c r="AE320" i="29"/>
  <c r="AH320" i="29" s="1"/>
  <c r="AE319" i="29"/>
  <c r="AH319" i="29" s="1"/>
  <c r="AE318" i="29"/>
  <c r="AH318" i="29" s="1"/>
  <c r="AE317" i="29"/>
  <c r="AH317" i="29" s="1"/>
  <c r="AE316" i="29"/>
  <c r="AH316" i="29" s="1"/>
  <c r="AE315" i="29"/>
  <c r="AH315" i="29" s="1"/>
  <c r="AE314" i="29"/>
  <c r="AH314" i="29" s="1"/>
  <c r="AE313" i="29"/>
  <c r="AH313" i="29" s="1"/>
  <c r="AE312" i="29"/>
  <c r="AH312" i="29" s="1"/>
  <c r="AE311" i="29"/>
  <c r="AH311" i="29" s="1"/>
  <c r="AE310" i="29"/>
  <c r="AH310" i="29" s="1"/>
  <c r="AE309" i="29"/>
  <c r="AH309" i="29" s="1"/>
  <c r="AE308" i="29"/>
  <c r="AH308" i="29" s="1"/>
  <c r="AE307" i="29"/>
  <c r="AH307" i="29" s="1"/>
  <c r="AE306" i="29"/>
  <c r="AH306" i="29" s="1"/>
  <c r="AE305" i="29"/>
  <c r="AH305" i="29" s="1"/>
  <c r="AE304" i="29"/>
  <c r="AH304" i="29" s="1"/>
  <c r="AE303" i="29"/>
  <c r="AH303" i="29" s="1"/>
  <c r="AE302" i="29"/>
  <c r="AH302" i="29" s="1"/>
  <c r="AE301" i="29"/>
  <c r="AH301" i="29" s="1"/>
  <c r="AE300" i="29"/>
  <c r="AH300" i="29" s="1"/>
  <c r="AE299" i="29"/>
  <c r="AH299" i="29" s="1"/>
  <c r="AE298" i="29"/>
  <c r="AH298" i="29" s="1"/>
  <c r="AE297" i="29"/>
  <c r="AH297" i="29" s="1"/>
  <c r="AE296" i="29"/>
  <c r="AH296" i="29" s="1"/>
  <c r="AE295" i="29"/>
  <c r="AH295" i="29" s="1"/>
  <c r="AE294" i="29"/>
  <c r="AH294" i="29" s="1"/>
  <c r="AE282" i="29"/>
  <c r="AH282" i="29" s="1"/>
  <c r="AE281" i="29"/>
  <c r="AH281" i="29" s="1"/>
  <c r="AE280" i="29"/>
  <c r="AH280" i="29" s="1"/>
  <c r="AE279" i="29"/>
  <c r="AH279" i="29" s="1"/>
  <c r="AE278" i="29"/>
  <c r="AH278" i="29" s="1"/>
  <c r="AE277" i="29"/>
  <c r="AH277" i="29" s="1"/>
  <c r="AE276" i="29"/>
  <c r="AH276" i="29" s="1"/>
  <c r="AE275" i="29"/>
  <c r="AH275" i="29" s="1"/>
  <c r="AE274" i="29"/>
  <c r="AH274" i="29" s="1"/>
  <c r="AE273" i="29"/>
  <c r="AH273" i="29" s="1"/>
  <c r="AE272" i="29"/>
  <c r="AH272" i="29" s="1"/>
  <c r="AE271" i="29"/>
  <c r="AH271" i="29" s="1"/>
  <c r="AE270" i="29"/>
  <c r="AH270" i="29" s="1"/>
  <c r="AE269" i="29"/>
  <c r="AH269" i="29" s="1"/>
  <c r="AE268" i="29"/>
  <c r="AH268" i="29" s="1"/>
  <c r="AE267" i="29"/>
  <c r="AH267" i="29" s="1"/>
  <c r="AE266" i="29"/>
  <c r="AH266" i="29" s="1"/>
  <c r="AE265" i="29"/>
  <c r="AH265" i="29" s="1"/>
  <c r="AE264" i="29"/>
  <c r="AH264" i="29" s="1"/>
  <c r="AE263" i="29"/>
  <c r="AH263" i="29" s="1"/>
  <c r="AE262" i="29"/>
  <c r="AH262" i="29" s="1"/>
  <c r="AE261" i="29"/>
  <c r="AH261" i="29" s="1"/>
  <c r="AE260" i="29"/>
  <c r="AH260" i="29" s="1"/>
  <c r="AE259" i="29"/>
  <c r="AH259" i="29" s="1"/>
  <c r="AE258" i="29"/>
  <c r="AH258" i="29" s="1"/>
  <c r="AE257" i="29"/>
  <c r="AH257" i="29" s="1"/>
  <c r="AE256" i="29"/>
  <c r="AH256" i="29" s="1"/>
  <c r="AE255" i="29"/>
  <c r="AH255" i="29" s="1"/>
  <c r="AE254" i="29"/>
  <c r="AH254" i="29" s="1"/>
  <c r="AE253" i="29"/>
  <c r="AH253" i="29" s="1"/>
  <c r="AE252" i="29"/>
  <c r="AH252" i="29" s="1"/>
  <c r="AE251" i="29"/>
  <c r="AH251" i="29" s="1"/>
  <c r="AE250" i="29"/>
  <c r="AH250" i="29" s="1"/>
  <c r="AE249" i="29"/>
  <c r="AH249" i="29" s="1"/>
  <c r="AE248" i="29"/>
  <c r="AH248" i="29" s="1"/>
  <c r="AE247" i="29"/>
  <c r="AH247" i="29" s="1"/>
  <c r="AE246" i="29"/>
  <c r="AH246" i="29" s="1"/>
  <c r="AE245" i="29"/>
  <c r="AH245" i="29" s="1"/>
  <c r="AE244" i="29"/>
  <c r="AH244" i="29" s="1"/>
  <c r="AE242" i="29"/>
  <c r="AH242" i="29" s="1"/>
  <c r="AE241" i="29"/>
  <c r="AE240" i="29"/>
  <c r="AH240" i="29" s="1"/>
  <c r="AE239" i="29"/>
  <c r="AH239" i="29" s="1"/>
  <c r="AE238" i="29"/>
  <c r="AH238" i="29" s="1"/>
  <c r="AE237" i="29"/>
  <c r="AH237" i="29" s="1"/>
  <c r="AE236" i="29"/>
  <c r="AH236" i="29" s="1"/>
  <c r="AE235" i="29"/>
  <c r="AH235" i="29" s="1"/>
  <c r="AE234" i="29"/>
  <c r="AH234" i="29" s="1"/>
  <c r="AE233" i="29"/>
  <c r="AH233" i="29" s="1"/>
  <c r="AE232" i="29"/>
  <c r="AH232" i="29" s="1"/>
  <c r="AE231" i="29"/>
  <c r="AH231" i="29" s="1"/>
  <c r="AE230" i="29"/>
  <c r="AH230" i="29" s="1"/>
  <c r="AE229" i="29"/>
  <c r="AH229" i="29" s="1"/>
  <c r="AE228" i="29"/>
  <c r="AH228" i="29" s="1"/>
  <c r="AE227" i="29"/>
  <c r="AH227" i="29" s="1"/>
  <c r="AE226" i="29"/>
  <c r="AH226" i="29" s="1"/>
  <c r="AE225" i="29"/>
  <c r="AH225" i="29" s="1"/>
  <c r="AE224" i="29"/>
  <c r="AH224" i="29" s="1"/>
  <c r="AE223" i="29"/>
  <c r="AH223" i="29" s="1"/>
  <c r="AE222" i="29"/>
  <c r="AH222" i="29" s="1"/>
  <c r="AE221" i="29"/>
  <c r="AH221" i="29" s="1"/>
  <c r="AE220" i="29"/>
  <c r="AH220" i="29" s="1"/>
  <c r="AE219" i="29"/>
  <c r="AH219" i="29" s="1"/>
  <c r="AE218" i="29"/>
  <c r="AH218" i="29" s="1"/>
  <c r="AE217" i="29"/>
  <c r="AH217" i="29" s="1"/>
  <c r="AE216" i="29"/>
  <c r="AH216" i="29" s="1"/>
  <c r="AE215" i="29"/>
  <c r="AH215" i="29" s="1"/>
  <c r="AE214" i="29"/>
  <c r="AH214" i="29" s="1"/>
  <c r="AE213" i="29"/>
  <c r="AH213" i="29" s="1"/>
  <c r="AE212" i="29"/>
  <c r="AH212" i="29" s="1"/>
  <c r="AE211" i="29"/>
  <c r="AH211" i="29" s="1"/>
  <c r="AE210" i="29"/>
  <c r="AH210" i="29" s="1"/>
  <c r="AE209" i="29"/>
  <c r="AH209" i="29" s="1"/>
  <c r="AE208" i="29"/>
  <c r="AH208" i="29" s="1"/>
  <c r="AE207" i="29"/>
  <c r="AH207" i="29" s="1"/>
  <c r="AE206" i="29"/>
  <c r="AE205" i="29"/>
  <c r="AH205" i="29" s="1"/>
  <c r="AE204" i="29"/>
  <c r="AH204" i="29" s="1"/>
  <c r="AE203" i="29"/>
  <c r="AH203" i="29" s="1"/>
  <c r="AE201" i="29"/>
  <c r="AH201" i="29" s="1"/>
  <c r="AE200" i="29"/>
  <c r="AH200" i="29" s="1"/>
  <c r="AE199" i="29"/>
  <c r="AH199" i="29" s="1"/>
  <c r="AE198" i="29"/>
  <c r="AH198" i="29" s="1"/>
  <c r="AE197" i="29"/>
  <c r="AH197" i="29" s="1"/>
  <c r="AE196" i="29"/>
  <c r="AH196" i="29" s="1"/>
  <c r="AE195" i="29"/>
  <c r="AH195" i="29" s="1"/>
  <c r="AE194" i="29"/>
  <c r="AH194" i="29" s="1"/>
  <c r="AE193" i="29"/>
  <c r="AH193" i="29" s="1"/>
  <c r="AE192" i="29"/>
  <c r="AH192" i="29" s="1"/>
  <c r="AE191" i="29"/>
  <c r="AH191" i="29" s="1"/>
  <c r="AE190" i="29"/>
  <c r="AH190" i="29" s="1"/>
  <c r="AE189" i="29"/>
  <c r="AH189" i="29" s="1"/>
  <c r="AE188" i="29"/>
  <c r="AH188" i="29" s="1"/>
  <c r="AE187" i="29"/>
  <c r="AH187" i="29" s="1"/>
  <c r="AE186" i="29"/>
  <c r="AH186" i="29" s="1"/>
  <c r="AE185" i="29"/>
  <c r="AH185" i="29" s="1"/>
  <c r="AE184" i="29"/>
  <c r="AH184" i="29" s="1"/>
  <c r="AE183" i="29"/>
  <c r="AH183" i="29" s="1"/>
  <c r="AE182" i="29"/>
  <c r="AH182" i="29" s="1"/>
  <c r="AE181" i="29"/>
  <c r="AH181" i="29" s="1"/>
  <c r="AE180" i="29"/>
  <c r="AH180" i="29" s="1"/>
  <c r="AE179" i="29"/>
  <c r="AH179" i="29" s="1"/>
  <c r="AE178" i="29"/>
  <c r="AH178" i="29" s="1"/>
  <c r="AE177" i="29"/>
  <c r="AH177" i="29" s="1"/>
  <c r="AE176" i="29"/>
  <c r="AH176" i="29" s="1"/>
  <c r="AE175" i="29"/>
  <c r="AH175" i="29" s="1"/>
  <c r="AE174" i="29"/>
  <c r="AH174" i="29" s="1"/>
  <c r="AE173" i="29"/>
  <c r="AH173" i="29" s="1"/>
  <c r="AE172" i="29"/>
  <c r="AH172" i="29" s="1"/>
  <c r="AE171" i="29"/>
  <c r="AH171" i="29" s="1"/>
  <c r="AE170" i="29"/>
  <c r="AH170" i="29" s="1"/>
  <c r="AE169" i="29"/>
  <c r="AH169" i="29" s="1"/>
  <c r="AE168" i="29"/>
  <c r="AH168" i="29" s="1"/>
  <c r="AE167" i="29"/>
  <c r="AH167" i="29" s="1"/>
  <c r="AE166" i="29"/>
  <c r="AH166" i="29" s="1"/>
  <c r="AE165" i="29"/>
  <c r="AH165" i="29" s="1"/>
  <c r="AE164" i="29"/>
  <c r="AH164" i="29" s="1"/>
  <c r="AE163" i="29"/>
  <c r="AH163" i="29" s="1"/>
  <c r="AE162" i="29"/>
  <c r="AH162" i="29" s="1"/>
  <c r="AE161" i="29"/>
  <c r="AH161" i="29" s="1"/>
  <c r="AE160" i="29"/>
  <c r="AH160" i="29" s="1"/>
  <c r="AE159" i="29"/>
  <c r="AH159" i="29" s="1"/>
  <c r="AE158" i="29"/>
  <c r="AH158" i="29" s="1"/>
  <c r="AE156" i="29"/>
  <c r="AH156" i="29" s="1"/>
  <c r="AE155" i="29"/>
  <c r="AH155" i="29" s="1"/>
  <c r="AE154" i="29"/>
  <c r="AH154" i="29" s="1"/>
  <c r="AE153" i="29"/>
  <c r="AH153" i="29" s="1"/>
  <c r="AE152" i="29"/>
  <c r="AH152" i="29" s="1"/>
  <c r="AE151" i="29"/>
  <c r="AH151" i="29" s="1"/>
  <c r="AE150" i="29"/>
  <c r="AH150" i="29" s="1"/>
  <c r="AE149" i="29"/>
  <c r="AH149" i="29" s="1"/>
  <c r="AE148" i="29"/>
  <c r="AH148" i="29" s="1"/>
  <c r="AE147" i="29"/>
  <c r="AH147" i="29" s="1"/>
  <c r="AE146" i="29"/>
  <c r="AH146" i="29" s="1"/>
  <c r="AE145" i="29"/>
  <c r="AH145" i="29" s="1"/>
  <c r="AE144" i="29"/>
  <c r="AH144" i="29" s="1"/>
  <c r="AE143" i="29"/>
  <c r="AH143" i="29" s="1"/>
  <c r="AE142" i="29"/>
  <c r="AH142" i="29" s="1"/>
  <c r="AE141" i="29"/>
  <c r="AH141" i="29" s="1"/>
  <c r="AE140" i="29"/>
  <c r="AH140" i="29" s="1"/>
  <c r="AE139" i="29"/>
  <c r="AH139" i="29" s="1"/>
  <c r="AE138" i="29"/>
  <c r="AH138" i="29" s="1"/>
  <c r="AE137" i="29"/>
  <c r="AH137" i="29" s="1"/>
  <c r="AE136" i="29"/>
  <c r="AH136" i="29" s="1"/>
  <c r="AE135" i="29"/>
  <c r="AH135" i="29" s="1"/>
  <c r="AE134" i="29"/>
  <c r="AH134" i="29" s="1"/>
  <c r="AE133" i="29"/>
  <c r="AH133" i="29" s="1"/>
  <c r="AE132" i="29"/>
  <c r="AH132" i="29" s="1"/>
  <c r="AE131" i="29"/>
  <c r="AH131" i="29" s="1"/>
  <c r="AE130" i="29"/>
  <c r="AH130" i="29" s="1"/>
  <c r="AE129" i="29"/>
  <c r="AH129" i="29" s="1"/>
  <c r="AE128" i="29"/>
  <c r="AH128" i="29" s="1"/>
  <c r="AE127" i="29"/>
  <c r="AH127" i="29" s="1"/>
  <c r="AE126" i="29"/>
  <c r="AH126" i="29" s="1"/>
  <c r="AE125" i="29"/>
  <c r="AH125" i="29" s="1"/>
  <c r="AE124" i="29"/>
  <c r="AH124" i="29" s="1"/>
  <c r="AE123" i="29"/>
  <c r="AH123" i="29" s="1"/>
  <c r="AE122" i="29"/>
  <c r="AH122" i="29" s="1"/>
  <c r="AE121" i="29"/>
  <c r="AH121" i="29" s="1"/>
  <c r="AE120" i="29"/>
  <c r="AH120" i="29" s="1"/>
  <c r="AE119" i="29"/>
  <c r="AH119" i="29" s="1"/>
  <c r="AE118" i="29"/>
  <c r="AH118" i="29" s="1"/>
  <c r="AE116" i="29"/>
  <c r="AH116" i="29" s="1"/>
  <c r="AE115" i="29"/>
  <c r="AH115" i="29" s="1"/>
  <c r="AE114" i="29"/>
  <c r="AH114" i="29" s="1"/>
  <c r="AE113" i="29"/>
  <c r="AH113" i="29" s="1"/>
  <c r="AE112" i="29"/>
  <c r="AH112" i="29" s="1"/>
  <c r="AE111" i="29"/>
  <c r="AH111" i="29" s="1"/>
  <c r="AE110" i="29"/>
  <c r="AH110" i="29" s="1"/>
  <c r="AE109" i="29"/>
  <c r="AH109" i="29" s="1"/>
  <c r="AE108" i="29"/>
  <c r="AH108" i="29" s="1"/>
  <c r="AE107" i="29"/>
  <c r="AH107" i="29" s="1"/>
  <c r="AE106" i="29"/>
  <c r="AH106" i="29" s="1"/>
  <c r="AE105" i="29"/>
  <c r="AH105" i="29" s="1"/>
  <c r="AE104" i="29"/>
  <c r="AH104" i="29" s="1"/>
  <c r="AE103" i="29"/>
  <c r="AH103" i="29" s="1"/>
  <c r="AE102" i="29"/>
  <c r="AH102" i="29" s="1"/>
  <c r="AE101" i="29"/>
  <c r="AH101" i="29" s="1"/>
  <c r="AE100" i="29"/>
  <c r="AH100" i="29" s="1"/>
  <c r="AE99" i="29"/>
  <c r="AH99" i="29" s="1"/>
  <c r="AE98" i="29"/>
  <c r="AH98" i="29" s="1"/>
  <c r="AE97" i="29"/>
  <c r="AH97" i="29" s="1"/>
  <c r="AE96" i="29"/>
  <c r="AH96" i="29" s="1"/>
  <c r="AE95" i="29"/>
  <c r="AH95" i="29" s="1"/>
  <c r="AE94" i="29"/>
  <c r="AH94" i="29" s="1"/>
  <c r="AE93" i="29"/>
  <c r="AH93" i="29" s="1"/>
  <c r="AE92" i="29"/>
  <c r="AH92" i="29" s="1"/>
  <c r="AE91" i="29"/>
  <c r="AH91" i="29" s="1"/>
  <c r="AE90" i="29"/>
  <c r="AH90" i="29" s="1"/>
  <c r="AE89" i="29"/>
  <c r="AH89" i="29" s="1"/>
  <c r="AE88" i="29"/>
  <c r="AH88" i="29" s="1"/>
  <c r="AE87" i="29"/>
  <c r="AH87" i="29" s="1"/>
  <c r="AE86" i="29"/>
  <c r="AH86" i="29" s="1"/>
  <c r="AE85" i="29"/>
  <c r="AH85" i="29" s="1"/>
  <c r="AE84" i="29"/>
  <c r="AH84" i="29" s="1"/>
  <c r="AE83" i="29"/>
  <c r="AH83" i="29" s="1"/>
  <c r="AE82" i="29"/>
  <c r="AH82" i="29" s="1"/>
  <c r="AE81" i="29"/>
  <c r="AH81" i="29" s="1"/>
  <c r="AE80" i="29"/>
  <c r="AH80" i="29" s="1"/>
  <c r="AE79" i="29"/>
  <c r="AH79" i="29" s="1"/>
  <c r="AE78" i="29"/>
  <c r="AH78" i="29" s="1"/>
  <c r="AE77" i="29"/>
  <c r="AH77" i="29" s="1"/>
  <c r="AE76" i="29"/>
  <c r="AH76" i="29" s="1"/>
  <c r="AE75" i="29"/>
  <c r="AH75" i="29" s="1"/>
  <c r="AE74" i="29"/>
  <c r="AH74" i="29" s="1"/>
  <c r="AE73" i="29"/>
  <c r="AH73" i="29" s="1"/>
  <c r="AE72" i="29"/>
  <c r="AH72" i="29" s="1"/>
  <c r="AE70" i="29"/>
  <c r="AH70" i="29" s="1"/>
  <c r="AE69" i="29"/>
  <c r="AH69" i="29" s="1"/>
  <c r="AE68" i="29"/>
  <c r="AH68" i="29" s="1"/>
  <c r="AE67" i="29"/>
  <c r="AH67" i="29" s="1"/>
  <c r="AE66" i="29"/>
  <c r="AH66" i="29" s="1"/>
  <c r="AE65" i="29"/>
  <c r="AH65" i="29" s="1"/>
  <c r="AE64" i="29"/>
  <c r="AH64" i="29" s="1"/>
  <c r="AE63" i="29"/>
  <c r="AH63" i="29" s="1"/>
  <c r="AE62" i="29"/>
  <c r="AH62" i="29" s="1"/>
  <c r="AE61" i="29"/>
  <c r="AH61" i="29" s="1"/>
  <c r="AE60" i="29"/>
  <c r="AH60" i="29" s="1"/>
  <c r="AE59" i="29"/>
  <c r="AH59" i="29" s="1"/>
  <c r="AE58" i="29"/>
  <c r="AH58" i="29" s="1"/>
  <c r="AE57" i="29"/>
  <c r="AH57" i="29" s="1"/>
  <c r="AE56" i="29"/>
  <c r="AH56" i="29" s="1"/>
  <c r="AE55" i="29"/>
  <c r="AH55" i="29" s="1"/>
  <c r="AE54" i="29"/>
  <c r="AH54" i="29" s="1"/>
  <c r="AE53" i="29"/>
  <c r="AH53" i="29" s="1"/>
  <c r="AE52" i="29"/>
  <c r="AH52" i="29" s="1"/>
  <c r="AE51" i="29"/>
  <c r="AH51" i="29" s="1"/>
  <c r="AE50" i="29"/>
  <c r="AH50" i="29" s="1"/>
  <c r="AE49" i="29"/>
  <c r="AH49" i="29" s="1"/>
  <c r="AE48" i="29"/>
  <c r="AH48" i="29" s="1"/>
  <c r="AE47" i="29"/>
  <c r="AH47" i="29" s="1"/>
  <c r="AE46" i="29"/>
  <c r="AH46" i="29" s="1"/>
  <c r="AE45" i="29"/>
  <c r="AH45" i="29" s="1"/>
  <c r="AE44" i="29"/>
  <c r="AH44" i="29" s="1"/>
  <c r="AE43" i="29"/>
  <c r="AH43" i="29" s="1"/>
  <c r="AE42" i="29"/>
  <c r="AH42" i="29" s="1"/>
  <c r="Q42" i="29"/>
  <c r="AE41" i="29"/>
  <c r="AH41" i="29" s="1"/>
  <c r="K41" i="29"/>
  <c r="AE40" i="29"/>
  <c r="AH40" i="29" s="1"/>
  <c r="P40" i="29"/>
  <c r="O40" i="29"/>
  <c r="N40" i="29"/>
  <c r="J40" i="29"/>
  <c r="F40" i="29"/>
  <c r="E40" i="29"/>
  <c r="D40" i="29"/>
  <c r="AE39" i="29"/>
  <c r="AH39" i="29" s="1"/>
  <c r="P39" i="29"/>
  <c r="O39" i="29"/>
  <c r="N39" i="29"/>
  <c r="J39" i="29"/>
  <c r="F39" i="29"/>
  <c r="E39" i="29"/>
  <c r="D39" i="29"/>
  <c r="AE38" i="29"/>
  <c r="AH38" i="29" s="1"/>
  <c r="P38" i="29"/>
  <c r="O38" i="29"/>
  <c r="N38" i="29"/>
  <c r="J38" i="29"/>
  <c r="L38" i="29" s="1"/>
  <c r="F38" i="29"/>
  <c r="E38" i="29"/>
  <c r="D38" i="29"/>
  <c r="P37" i="29"/>
  <c r="O37" i="29"/>
  <c r="N37" i="29"/>
  <c r="J37" i="29"/>
  <c r="L37" i="29" s="1"/>
  <c r="F37" i="29"/>
  <c r="E37" i="29"/>
  <c r="D37" i="29"/>
  <c r="AE36" i="29"/>
  <c r="AH36" i="29" s="1"/>
  <c r="P36" i="29"/>
  <c r="O36" i="29"/>
  <c r="N36" i="29"/>
  <c r="F36" i="29"/>
  <c r="E36" i="29"/>
  <c r="D36" i="29"/>
  <c r="AE35" i="29"/>
  <c r="AH35" i="29" s="1"/>
  <c r="P35" i="29"/>
  <c r="O35" i="29"/>
  <c r="N35" i="29"/>
  <c r="J35" i="29"/>
  <c r="F35" i="29"/>
  <c r="E35" i="29"/>
  <c r="D35" i="29"/>
  <c r="AE34" i="29"/>
  <c r="AH34" i="29" s="1"/>
  <c r="P34" i="29"/>
  <c r="O34" i="29"/>
  <c r="N34" i="29"/>
  <c r="F34" i="29"/>
  <c r="E34" i="29"/>
  <c r="D34" i="29"/>
  <c r="AE33" i="29"/>
  <c r="AH33" i="29" s="1"/>
  <c r="P33" i="29"/>
  <c r="O33" i="29"/>
  <c r="N33" i="29"/>
  <c r="J33" i="29"/>
  <c r="F33" i="29"/>
  <c r="E33" i="29"/>
  <c r="D33" i="29"/>
  <c r="AE32" i="29"/>
  <c r="AH32" i="29" s="1"/>
  <c r="P32" i="29"/>
  <c r="O32" i="29"/>
  <c r="N32" i="29"/>
  <c r="J32" i="29"/>
  <c r="L32" i="29" s="1"/>
  <c r="F32" i="29"/>
  <c r="E32" i="29"/>
  <c r="D32" i="29"/>
  <c r="AE31" i="29"/>
  <c r="AH31" i="29" s="1"/>
  <c r="P31" i="29"/>
  <c r="O31" i="29"/>
  <c r="N31" i="29"/>
  <c r="J31" i="29"/>
  <c r="L31" i="29" s="1"/>
  <c r="F31" i="29"/>
  <c r="E31" i="29"/>
  <c r="D31" i="29"/>
  <c r="AE30" i="29"/>
  <c r="AH30" i="29" s="1"/>
  <c r="P30" i="29"/>
  <c r="O30" i="29"/>
  <c r="N30" i="29"/>
  <c r="J30" i="29"/>
  <c r="F30" i="29"/>
  <c r="E30" i="29"/>
  <c r="D30" i="29"/>
  <c r="AE29" i="29"/>
  <c r="AH29" i="29" s="1"/>
  <c r="P29" i="29"/>
  <c r="O29" i="29"/>
  <c r="N29" i="29"/>
  <c r="F29" i="29"/>
  <c r="E29" i="29"/>
  <c r="D29" i="29"/>
  <c r="AE28" i="29"/>
  <c r="AH28" i="29" s="1"/>
  <c r="P28" i="29"/>
  <c r="O28" i="29"/>
  <c r="N28" i="29"/>
  <c r="J28" i="29"/>
  <c r="L28" i="29" s="1"/>
  <c r="F28" i="29"/>
  <c r="E28" i="29"/>
  <c r="D28" i="29"/>
  <c r="AG27" i="29"/>
  <c r="AE27" i="29"/>
  <c r="AH27" i="29" s="1"/>
  <c r="P27" i="29"/>
  <c r="O27" i="29"/>
  <c r="N27" i="29"/>
  <c r="J27" i="29"/>
  <c r="F27" i="29"/>
  <c r="E27" i="29"/>
  <c r="D27" i="29"/>
  <c r="AG26" i="29"/>
  <c r="AE26" i="29"/>
  <c r="AH26" i="29" s="1"/>
  <c r="P26" i="29"/>
  <c r="O26" i="29"/>
  <c r="N26" i="29"/>
  <c r="J26" i="29"/>
  <c r="L26" i="29" s="1"/>
  <c r="F26" i="29"/>
  <c r="E26" i="29"/>
  <c r="D26" i="29"/>
  <c r="AG25" i="29"/>
  <c r="AE25" i="29"/>
  <c r="AH25" i="29" s="1"/>
  <c r="P25" i="29"/>
  <c r="O25" i="29"/>
  <c r="N25" i="29"/>
  <c r="J25" i="29"/>
  <c r="L25" i="29" s="1"/>
  <c r="F25" i="29"/>
  <c r="E25" i="29"/>
  <c r="D25" i="29"/>
  <c r="AG24" i="29"/>
  <c r="AE24" i="29"/>
  <c r="AH24" i="29" s="1"/>
  <c r="P24" i="29"/>
  <c r="O24" i="29"/>
  <c r="N24" i="29"/>
  <c r="J24" i="29"/>
  <c r="F24" i="29"/>
  <c r="E24" i="29"/>
  <c r="D24" i="29"/>
  <c r="AG23" i="29"/>
  <c r="AE23" i="29"/>
  <c r="AH23" i="29" s="1"/>
  <c r="P23" i="29"/>
  <c r="O23" i="29"/>
  <c r="N23" i="29"/>
  <c r="J23" i="29"/>
  <c r="L23" i="29" s="1"/>
  <c r="F23" i="29"/>
  <c r="E23" i="29"/>
  <c r="D23" i="29"/>
  <c r="AG22" i="29"/>
  <c r="AE22" i="29"/>
  <c r="AH22" i="29" s="1"/>
  <c r="P22" i="29"/>
  <c r="O22" i="29"/>
  <c r="N22" i="29"/>
  <c r="J22" i="29"/>
  <c r="L22" i="29" s="1"/>
  <c r="F22" i="29"/>
  <c r="E22" i="29"/>
  <c r="D22" i="29"/>
  <c r="AG21" i="29"/>
  <c r="AE21" i="29"/>
  <c r="AH21" i="29" s="1"/>
  <c r="P21" i="29"/>
  <c r="O21" i="29"/>
  <c r="N21" i="29"/>
  <c r="J21" i="29"/>
  <c r="L21" i="29" s="1"/>
  <c r="F21" i="29"/>
  <c r="E21" i="29"/>
  <c r="D21" i="29"/>
  <c r="AG20" i="29"/>
  <c r="AE20" i="29"/>
  <c r="AH20" i="29" s="1"/>
  <c r="P20" i="29"/>
  <c r="O20" i="29"/>
  <c r="N20" i="29"/>
  <c r="J20" i="29"/>
  <c r="F20" i="29"/>
  <c r="E20" i="29"/>
  <c r="D20" i="29"/>
  <c r="AG19" i="29"/>
  <c r="AE19" i="29"/>
  <c r="AH19" i="29" s="1"/>
  <c r="P19" i="29"/>
  <c r="O19" i="29"/>
  <c r="N19" i="29"/>
  <c r="F19" i="29"/>
  <c r="E19" i="29"/>
  <c r="D19" i="29"/>
  <c r="AG18" i="29"/>
  <c r="AE18" i="29"/>
  <c r="P18" i="29"/>
  <c r="O18" i="29"/>
  <c r="N18" i="29"/>
  <c r="J18" i="29"/>
  <c r="F18" i="29"/>
  <c r="E18" i="29"/>
  <c r="D18" i="29"/>
  <c r="AG17" i="29"/>
  <c r="AE17" i="29"/>
  <c r="P17" i="29"/>
  <c r="O17" i="29"/>
  <c r="N17" i="29"/>
  <c r="J17" i="29"/>
  <c r="L17" i="29" s="1"/>
  <c r="F17" i="29"/>
  <c r="E17" i="29"/>
  <c r="D17" i="29"/>
  <c r="AG16" i="29"/>
  <c r="AE16" i="29"/>
  <c r="P16" i="29"/>
  <c r="O16" i="29"/>
  <c r="N16" i="29"/>
  <c r="J16" i="29"/>
  <c r="F16" i="29"/>
  <c r="E16" i="29"/>
  <c r="D16" i="29"/>
  <c r="AG15" i="29"/>
  <c r="AE15" i="29"/>
  <c r="P15" i="29"/>
  <c r="O15" i="29"/>
  <c r="N15" i="29"/>
  <c r="J15" i="29"/>
  <c r="F15" i="29"/>
  <c r="E15" i="29"/>
  <c r="D15" i="29"/>
  <c r="AG14" i="29"/>
  <c r="AE14" i="29"/>
  <c r="P14" i="29"/>
  <c r="O14" i="29"/>
  <c r="N14" i="29"/>
  <c r="F14" i="29"/>
  <c r="E14" i="29"/>
  <c r="D14" i="29"/>
  <c r="AG13" i="29"/>
  <c r="AE13" i="29"/>
  <c r="P13" i="29"/>
  <c r="O13" i="29"/>
  <c r="N13" i="29"/>
  <c r="J13" i="29"/>
  <c r="F13" i="29"/>
  <c r="E13" i="29"/>
  <c r="D13" i="29"/>
  <c r="AG12" i="29"/>
  <c r="AE12" i="29"/>
  <c r="P12" i="29"/>
  <c r="O12" i="29"/>
  <c r="N12" i="29"/>
  <c r="J12" i="29"/>
  <c r="F12" i="29"/>
  <c r="E12" i="29"/>
  <c r="D12" i="29"/>
  <c r="AG11" i="29"/>
  <c r="AE11" i="29"/>
  <c r="P11" i="29"/>
  <c r="O11" i="29"/>
  <c r="N11" i="29"/>
  <c r="J11" i="29"/>
  <c r="F11" i="29"/>
  <c r="E11" i="29"/>
  <c r="D11" i="29"/>
  <c r="AG10" i="29"/>
  <c r="AE10" i="29"/>
  <c r="P10" i="29"/>
  <c r="O10" i="29"/>
  <c r="N10" i="29"/>
  <c r="J10" i="29"/>
  <c r="F10" i="29"/>
  <c r="E10" i="29"/>
  <c r="D10" i="29"/>
  <c r="AG9" i="29"/>
  <c r="AE9" i="29"/>
  <c r="AG8" i="29"/>
  <c r="AE8" i="29"/>
  <c r="AG7" i="29"/>
  <c r="AE7" i="29"/>
  <c r="AG6" i="29"/>
  <c r="AE6" i="29"/>
  <c r="AG5" i="29"/>
  <c r="AE5" i="29"/>
  <c r="N40" i="28"/>
  <c r="O40" i="28"/>
  <c r="P40" i="28"/>
  <c r="D40" i="28"/>
  <c r="E40" i="28"/>
  <c r="F40" i="28"/>
  <c r="J40" i="28"/>
  <c r="AH487" i="28"/>
  <c r="AH486" i="28"/>
  <c r="AH485" i="28"/>
  <c r="AH484" i="28"/>
  <c r="AE483" i="28"/>
  <c r="AH483" i="28" s="1"/>
  <c r="AE482" i="28"/>
  <c r="AH482" i="28" s="1"/>
  <c r="AE481" i="28"/>
  <c r="AH481" i="28" s="1"/>
  <c r="AE480" i="28"/>
  <c r="AH480" i="28" s="1"/>
  <c r="AE479" i="28"/>
  <c r="AH479" i="28" s="1"/>
  <c r="AE478" i="28"/>
  <c r="AH478" i="28" s="1"/>
  <c r="AE477" i="28"/>
  <c r="AH477" i="28" s="1"/>
  <c r="AE476" i="28"/>
  <c r="AH476" i="28" s="1"/>
  <c r="AE475" i="28"/>
  <c r="AH475" i="28" s="1"/>
  <c r="AE474" i="28"/>
  <c r="AH474" i="28" s="1"/>
  <c r="AE473" i="28"/>
  <c r="AH473" i="28" s="1"/>
  <c r="AH472" i="28"/>
  <c r="AE472" i="28"/>
  <c r="AE471" i="28"/>
  <c r="AH471" i="28" s="1"/>
  <c r="AE470" i="28"/>
  <c r="AH470" i="28" s="1"/>
  <c r="AE469" i="28"/>
  <c r="AH469" i="28" s="1"/>
  <c r="AE468" i="28"/>
  <c r="AH468" i="28" s="1"/>
  <c r="AH467" i="28"/>
  <c r="AE467" i="28"/>
  <c r="AE466" i="28"/>
  <c r="AH466" i="28" s="1"/>
  <c r="AE465" i="28"/>
  <c r="AH465" i="28" s="1"/>
  <c r="AE464" i="28"/>
  <c r="AH464" i="28" s="1"/>
  <c r="AE463" i="28"/>
  <c r="AH463" i="28" s="1"/>
  <c r="AE462" i="28"/>
  <c r="AH462" i="28" s="1"/>
  <c r="AE461" i="28"/>
  <c r="AH461" i="28" s="1"/>
  <c r="AE460" i="28"/>
  <c r="AH460" i="28" s="1"/>
  <c r="AE459" i="28"/>
  <c r="AH459" i="28" s="1"/>
  <c r="AE458" i="28"/>
  <c r="AH458" i="28" s="1"/>
  <c r="AE457" i="28"/>
  <c r="AH457" i="28" s="1"/>
  <c r="AE456" i="28"/>
  <c r="AH456" i="28" s="1"/>
  <c r="AG455" i="28"/>
  <c r="AH455" i="28" s="1"/>
  <c r="AE455" i="28"/>
  <c r="AG454" i="28"/>
  <c r="AE454" i="28"/>
  <c r="AG453" i="28"/>
  <c r="AE453" i="28"/>
  <c r="AG452" i="28"/>
  <c r="AH452" i="28" s="1"/>
  <c r="AE452" i="28"/>
  <c r="AG451" i="28"/>
  <c r="AE451" i="28"/>
  <c r="AG450" i="28"/>
  <c r="AE450" i="28"/>
  <c r="AG449" i="28"/>
  <c r="AE449" i="28"/>
  <c r="AG448" i="28"/>
  <c r="AE448" i="28"/>
  <c r="AH448" i="28" s="1"/>
  <c r="AG447" i="28"/>
  <c r="AE447" i="28"/>
  <c r="AG446" i="28"/>
  <c r="AE446" i="28"/>
  <c r="AG445" i="28"/>
  <c r="AE445" i="28"/>
  <c r="AH445" i="28" s="1"/>
  <c r="AG444" i="28"/>
  <c r="AE444" i="28"/>
  <c r="AH444" i="28" s="1"/>
  <c r="AG443" i="28"/>
  <c r="AE443" i="28"/>
  <c r="AG442" i="28"/>
  <c r="AE442" i="28"/>
  <c r="AG441" i="28"/>
  <c r="AE441" i="28"/>
  <c r="AH441" i="28" s="1"/>
  <c r="AG440" i="28"/>
  <c r="AH440" i="28" s="1"/>
  <c r="AE440" i="28"/>
  <c r="AG439" i="28"/>
  <c r="AE439" i="28"/>
  <c r="AG438" i="28"/>
  <c r="AE438" i="28"/>
  <c r="AG437" i="28"/>
  <c r="AE437" i="28"/>
  <c r="AH437" i="28" s="1"/>
  <c r="AG436" i="28"/>
  <c r="AE436" i="28"/>
  <c r="AG435" i="28"/>
  <c r="AE435" i="28"/>
  <c r="AG434" i="28"/>
  <c r="AE434" i="28"/>
  <c r="AG433" i="28"/>
  <c r="AE433" i="28"/>
  <c r="AH433" i="28" s="1"/>
  <c r="AG432" i="28"/>
  <c r="AE432" i="28"/>
  <c r="AH432" i="28" s="1"/>
  <c r="AG431" i="28"/>
  <c r="AE431" i="28"/>
  <c r="AG430" i="28"/>
  <c r="AE430" i="28"/>
  <c r="AH430" i="28" s="1"/>
  <c r="AG429" i="28"/>
  <c r="AE429" i="28"/>
  <c r="AG428" i="28"/>
  <c r="AE428" i="28"/>
  <c r="AG427" i="28"/>
  <c r="AE427" i="28"/>
  <c r="AG426" i="28"/>
  <c r="AE426" i="28"/>
  <c r="AG425" i="28"/>
  <c r="AE425" i="28"/>
  <c r="AG424" i="28"/>
  <c r="AE424" i="28"/>
  <c r="AH424" i="28" s="1"/>
  <c r="AG423" i="28"/>
  <c r="AE423" i="28"/>
  <c r="AG422" i="28"/>
  <c r="AE422" i="28"/>
  <c r="AG421" i="28"/>
  <c r="AE421" i="28"/>
  <c r="AH421" i="28" s="1"/>
  <c r="AG420" i="28"/>
  <c r="AE420" i="28"/>
  <c r="AG419" i="28"/>
  <c r="AE419" i="28"/>
  <c r="AG418" i="28"/>
  <c r="AE418" i="28"/>
  <c r="AH418" i="28" s="1"/>
  <c r="AG417" i="28"/>
  <c r="AE417" i="28"/>
  <c r="AG416" i="28"/>
  <c r="AE416" i="28"/>
  <c r="AG415" i="28"/>
  <c r="AE415" i="28"/>
  <c r="AG414" i="28"/>
  <c r="AE414" i="28"/>
  <c r="AG413" i="28"/>
  <c r="AE413" i="28"/>
  <c r="AH413" i="28" s="1"/>
  <c r="AG412" i="28"/>
  <c r="AE412" i="28"/>
  <c r="AG411" i="28"/>
  <c r="AE411" i="28"/>
  <c r="AG410" i="28"/>
  <c r="AE410" i="28"/>
  <c r="AG409" i="28"/>
  <c r="AH409" i="28" s="1"/>
  <c r="AE409" i="28"/>
  <c r="AG408" i="28"/>
  <c r="AE408" i="28"/>
  <c r="AG407" i="28"/>
  <c r="AE407" i="28"/>
  <c r="AG406" i="28"/>
  <c r="AE406" i="28"/>
  <c r="AG405" i="28"/>
  <c r="AE405" i="28"/>
  <c r="AG404" i="28"/>
  <c r="AE404" i="28"/>
  <c r="AG403" i="28"/>
  <c r="AE403" i="28"/>
  <c r="AG402" i="28"/>
  <c r="AE402" i="28"/>
  <c r="AG401" i="28"/>
  <c r="AE401" i="28"/>
  <c r="AG400" i="28"/>
  <c r="AE400" i="28"/>
  <c r="AG399" i="28"/>
  <c r="AE399" i="28"/>
  <c r="AG398" i="28"/>
  <c r="AE398" i="28"/>
  <c r="AH398" i="28" s="1"/>
  <c r="AG397" i="28"/>
  <c r="AE397" i="28"/>
  <c r="AG396" i="28"/>
  <c r="AE396" i="28"/>
  <c r="AG395" i="28"/>
  <c r="AE395" i="28"/>
  <c r="AG394" i="28"/>
  <c r="AE394" i="28"/>
  <c r="AG393" i="28"/>
  <c r="AE393" i="28"/>
  <c r="AG392" i="28"/>
  <c r="AE392" i="28"/>
  <c r="AG391" i="28"/>
  <c r="AE391" i="28"/>
  <c r="AG390" i="28"/>
  <c r="AE390" i="28"/>
  <c r="AG389" i="28"/>
  <c r="AE389" i="28"/>
  <c r="AH389" i="28" s="1"/>
  <c r="AG388" i="28"/>
  <c r="AE388" i="28"/>
  <c r="AH388" i="28" s="1"/>
  <c r="AG387" i="28"/>
  <c r="AE387" i="28"/>
  <c r="AG386" i="28"/>
  <c r="AE386" i="28"/>
  <c r="AG385" i="28"/>
  <c r="AE385" i="28"/>
  <c r="AG384" i="28"/>
  <c r="AE384" i="28"/>
  <c r="AH384" i="28" s="1"/>
  <c r="AG383" i="28"/>
  <c r="AE383" i="28"/>
  <c r="AG382" i="28"/>
  <c r="AE382" i="28"/>
  <c r="AH382" i="28" s="1"/>
  <c r="AG381" i="28"/>
  <c r="AE381" i="28"/>
  <c r="AG380" i="28"/>
  <c r="AE380" i="28"/>
  <c r="AG379" i="28"/>
  <c r="AE379" i="28"/>
  <c r="AG378" i="28"/>
  <c r="AE378" i="28"/>
  <c r="AG377" i="28"/>
  <c r="AE377" i="28"/>
  <c r="AG376" i="28"/>
  <c r="AE376" i="28"/>
  <c r="AH376" i="28" s="1"/>
  <c r="AG375" i="28"/>
  <c r="AE375" i="28"/>
  <c r="AG374" i="28"/>
  <c r="AH374" i="28" s="1"/>
  <c r="AE374" i="28"/>
  <c r="AG373" i="28"/>
  <c r="AE373" i="28"/>
  <c r="AG372" i="28"/>
  <c r="AE372" i="28"/>
  <c r="AH372" i="28" s="1"/>
  <c r="AG371" i="28"/>
  <c r="AE371" i="28"/>
  <c r="AG370" i="28"/>
  <c r="AH370" i="28" s="1"/>
  <c r="AE370" i="28"/>
  <c r="AG369" i="28"/>
  <c r="AE369" i="28"/>
  <c r="AH369" i="28" s="1"/>
  <c r="AG368" i="28"/>
  <c r="AE368" i="28"/>
  <c r="AG367" i="28"/>
  <c r="AE367" i="28"/>
  <c r="AG366" i="28"/>
  <c r="AE366" i="28"/>
  <c r="AH366" i="28" s="1"/>
  <c r="AG365" i="28"/>
  <c r="AE365" i="28"/>
  <c r="AG364" i="28"/>
  <c r="AE364" i="28"/>
  <c r="AG363" i="28"/>
  <c r="AE363" i="28"/>
  <c r="AG362" i="28"/>
  <c r="AE362" i="28"/>
  <c r="AH362" i="28" s="1"/>
  <c r="AG361" i="28"/>
  <c r="AE361" i="28"/>
  <c r="AG360" i="28"/>
  <c r="AE360" i="28"/>
  <c r="AH360" i="28" s="1"/>
  <c r="AG359" i="28"/>
  <c r="AE359" i="28"/>
  <c r="AG358" i="28"/>
  <c r="AE358" i="28"/>
  <c r="AG357" i="28"/>
  <c r="AE357" i="28"/>
  <c r="AG356" i="28"/>
  <c r="AE356" i="28"/>
  <c r="AH356" i="28" s="1"/>
  <c r="AG355" i="28"/>
  <c r="AE355" i="28"/>
  <c r="AG354" i="28"/>
  <c r="AE354" i="28"/>
  <c r="AG353" i="28"/>
  <c r="AE353" i="28"/>
  <c r="AG352" i="28"/>
  <c r="AE352" i="28"/>
  <c r="AG351" i="28"/>
  <c r="AE351" i="28"/>
  <c r="AG350" i="28"/>
  <c r="AE350" i="28"/>
  <c r="AG349" i="28"/>
  <c r="AE349" i="28"/>
  <c r="AH349" i="28" s="1"/>
  <c r="AG348" i="28"/>
  <c r="AE348" i="28"/>
  <c r="AH348" i="28" s="1"/>
  <c r="AG347" i="28"/>
  <c r="AE347" i="28"/>
  <c r="AG346" i="28"/>
  <c r="AE346" i="28"/>
  <c r="AG345" i="28"/>
  <c r="AE345" i="28"/>
  <c r="AH345" i="28" s="1"/>
  <c r="AG344" i="28"/>
  <c r="AE344" i="28"/>
  <c r="AG343" i="28"/>
  <c r="AE343" i="28"/>
  <c r="AG342" i="28"/>
  <c r="AE342" i="28"/>
  <c r="AH342" i="28" s="1"/>
  <c r="AG341" i="28"/>
  <c r="AE341" i="28"/>
  <c r="AG340" i="28"/>
  <c r="AE340" i="28"/>
  <c r="AG339" i="28"/>
  <c r="AE339" i="28"/>
  <c r="AG338" i="28"/>
  <c r="AE338" i="28"/>
  <c r="AH338" i="28" s="1"/>
  <c r="AG337" i="28"/>
  <c r="AE337" i="28"/>
  <c r="AH337" i="28" s="1"/>
  <c r="AG336" i="28"/>
  <c r="AE336" i="28"/>
  <c r="AH336" i="28" s="1"/>
  <c r="AG335" i="28"/>
  <c r="AE335" i="28"/>
  <c r="AG334" i="28"/>
  <c r="AH334" i="28" s="1"/>
  <c r="AE334" i="28"/>
  <c r="AG333" i="28"/>
  <c r="AE333" i="28"/>
  <c r="AG332" i="28"/>
  <c r="AE332" i="28"/>
  <c r="AG331" i="28"/>
  <c r="AE331" i="28"/>
  <c r="AG330" i="28"/>
  <c r="AE330" i="28"/>
  <c r="AH330" i="28" s="1"/>
  <c r="AG329" i="28"/>
  <c r="AE329" i="28"/>
  <c r="AH329" i="28" s="1"/>
  <c r="AG328" i="28"/>
  <c r="AE328" i="28"/>
  <c r="AG327" i="28"/>
  <c r="AE327" i="28"/>
  <c r="AG326" i="28"/>
  <c r="AE326" i="28"/>
  <c r="AH326" i="28" s="1"/>
  <c r="AG325" i="28"/>
  <c r="AE325" i="28"/>
  <c r="AG324" i="28"/>
  <c r="AE324" i="28"/>
  <c r="AH324" i="28" s="1"/>
  <c r="AG323" i="28"/>
  <c r="AE323" i="28"/>
  <c r="AG322" i="28"/>
  <c r="AH322" i="28" s="1"/>
  <c r="AE322" i="28"/>
  <c r="AG321" i="28"/>
  <c r="AE321" i="28"/>
  <c r="AH321" i="28" s="1"/>
  <c r="AG320" i="28"/>
  <c r="AE320" i="28"/>
  <c r="AG319" i="28"/>
  <c r="AE319" i="28"/>
  <c r="AG318" i="28"/>
  <c r="AE318" i="28"/>
  <c r="AH318" i="28" s="1"/>
  <c r="AG317" i="28"/>
  <c r="AE317" i="28"/>
  <c r="AH317" i="28" s="1"/>
  <c r="AG316" i="28"/>
  <c r="AE316" i="28"/>
  <c r="AG315" i="28"/>
  <c r="AE315" i="28"/>
  <c r="AG314" i="28"/>
  <c r="AE314" i="28"/>
  <c r="AH314" i="28" s="1"/>
  <c r="AG313" i="28"/>
  <c r="AE313" i="28"/>
  <c r="AG312" i="28"/>
  <c r="AE312" i="28"/>
  <c r="AH312" i="28" s="1"/>
  <c r="AG311" i="28"/>
  <c r="AE311" i="28"/>
  <c r="AG310" i="28"/>
  <c r="AE310" i="28"/>
  <c r="AG309" i="28"/>
  <c r="AE309" i="28"/>
  <c r="AG308" i="28"/>
  <c r="AE308" i="28"/>
  <c r="AH308" i="28" s="1"/>
  <c r="AG307" i="28"/>
  <c r="AE307" i="28"/>
  <c r="AG306" i="28"/>
  <c r="AE306" i="28"/>
  <c r="AH306" i="28" s="1"/>
  <c r="AG305" i="28"/>
  <c r="AE305" i="28"/>
  <c r="AG304" i="28"/>
  <c r="AE304" i="28"/>
  <c r="AG303" i="28"/>
  <c r="AE303" i="28"/>
  <c r="AG302" i="28"/>
  <c r="AE302" i="28"/>
  <c r="AG301" i="28"/>
  <c r="AE301" i="28"/>
  <c r="AG300" i="28"/>
  <c r="AE300" i="28"/>
  <c r="AH300" i="28" s="1"/>
  <c r="AG299" i="28"/>
  <c r="AE299" i="28"/>
  <c r="AG298" i="28"/>
  <c r="AE298" i="28"/>
  <c r="AG297" i="28"/>
  <c r="AE297" i="28"/>
  <c r="AG296" i="28"/>
  <c r="AE296" i="28"/>
  <c r="AG295" i="28"/>
  <c r="AE295" i="28"/>
  <c r="AG294" i="28"/>
  <c r="AE294" i="28"/>
  <c r="AH294" i="28" s="1"/>
  <c r="AG293" i="28"/>
  <c r="AE293" i="28"/>
  <c r="AG292" i="28"/>
  <c r="AE292" i="28"/>
  <c r="AG291" i="28"/>
  <c r="AE291" i="28"/>
  <c r="AG290" i="28"/>
  <c r="AE290" i="28"/>
  <c r="AG289" i="28"/>
  <c r="AE289" i="28"/>
  <c r="AG288" i="28"/>
  <c r="AE288" i="28"/>
  <c r="AH288" i="28" s="1"/>
  <c r="AG287" i="28"/>
  <c r="AE287" i="28"/>
  <c r="AG286" i="28"/>
  <c r="AE286" i="28"/>
  <c r="AG285" i="28"/>
  <c r="AE285" i="28"/>
  <c r="AG284" i="28"/>
  <c r="AE284" i="28"/>
  <c r="AG283" i="28"/>
  <c r="AE283" i="28"/>
  <c r="AG282" i="28"/>
  <c r="AE282" i="28"/>
  <c r="AH282" i="28" s="1"/>
  <c r="AG281" i="28"/>
  <c r="AE281" i="28"/>
  <c r="AH281" i="28" s="1"/>
  <c r="AG280" i="28"/>
  <c r="AE280" i="28"/>
  <c r="AG279" i="28"/>
  <c r="AE279" i="28"/>
  <c r="AG278" i="28"/>
  <c r="AE278" i="28"/>
  <c r="AG277" i="28"/>
  <c r="AE277" i="28"/>
  <c r="AG276" i="28"/>
  <c r="AE276" i="28"/>
  <c r="AH276" i="28" s="1"/>
  <c r="AG275" i="28"/>
  <c r="AE275" i="28"/>
  <c r="AG274" i="28"/>
  <c r="AE274" i="28"/>
  <c r="AG273" i="28"/>
  <c r="AE273" i="28"/>
  <c r="AH273" i="28" s="1"/>
  <c r="AG272" i="28"/>
  <c r="AE272" i="28"/>
  <c r="AG271" i="28"/>
  <c r="AE271" i="28"/>
  <c r="AG270" i="28"/>
  <c r="AE270" i="28"/>
  <c r="AH270" i="28" s="1"/>
  <c r="AG269" i="28"/>
  <c r="AE269" i="28"/>
  <c r="AH269" i="28" s="1"/>
  <c r="AG268" i="28"/>
  <c r="AE268" i="28"/>
  <c r="AG267" i="28"/>
  <c r="AE267" i="28"/>
  <c r="AG266" i="28"/>
  <c r="AE266" i="28"/>
  <c r="AG265" i="28"/>
  <c r="AE265" i="28"/>
  <c r="AG264" i="28"/>
  <c r="AE264" i="28"/>
  <c r="AG263" i="28"/>
  <c r="AE263" i="28"/>
  <c r="AG262" i="28"/>
  <c r="AE262" i="28"/>
  <c r="AG261" i="28"/>
  <c r="AE261" i="28"/>
  <c r="AG260" i="28"/>
  <c r="AE260" i="28"/>
  <c r="AG259" i="28"/>
  <c r="AE259" i="28"/>
  <c r="AG258" i="28"/>
  <c r="AE258" i="28"/>
  <c r="AH258" i="28" s="1"/>
  <c r="AG257" i="28"/>
  <c r="AE257" i="28"/>
  <c r="AG256" i="28"/>
  <c r="AE256" i="28"/>
  <c r="AG255" i="28"/>
  <c r="AE255" i="28"/>
  <c r="AG254" i="28"/>
  <c r="AE254" i="28"/>
  <c r="AG253" i="28"/>
  <c r="AE253" i="28"/>
  <c r="AG252" i="28"/>
  <c r="AE252" i="28"/>
  <c r="AG251" i="28"/>
  <c r="AE251" i="28"/>
  <c r="AG250" i="28"/>
  <c r="AH250" i="28" s="1"/>
  <c r="AE250" i="28"/>
  <c r="AG249" i="28"/>
  <c r="AE249" i="28"/>
  <c r="AG248" i="28"/>
  <c r="AE248" i="28"/>
  <c r="AG247" i="28"/>
  <c r="AE247" i="28"/>
  <c r="AG246" i="28"/>
  <c r="AE246" i="28"/>
  <c r="AG245" i="28"/>
  <c r="AE245" i="28"/>
  <c r="AG244" i="28"/>
  <c r="AE244" i="28"/>
  <c r="AH244" i="28" s="1"/>
  <c r="AG243" i="28"/>
  <c r="AH243" i="28" s="1"/>
  <c r="AE243" i="28"/>
  <c r="AG242" i="28"/>
  <c r="AE242" i="28"/>
  <c r="AG241" i="28"/>
  <c r="AE241" i="28"/>
  <c r="AG240" i="28"/>
  <c r="AE240" i="28"/>
  <c r="AG239" i="28"/>
  <c r="AE239" i="28"/>
  <c r="AG238" i="28"/>
  <c r="AE238" i="28"/>
  <c r="AG237" i="28"/>
  <c r="AE237" i="28"/>
  <c r="AG236" i="28"/>
  <c r="AE236" i="28"/>
  <c r="AG235" i="28"/>
  <c r="AE235" i="28"/>
  <c r="AG234" i="28"/>
  <c r="AE234" i="28"/>
  <c r="AG233" i="28"/>
  <c r="AE233" i="28"/>
  <c r="AG232" i="28"/>
  <c r="AE232" i="28"/>
  <c r="AG231" i="28"/>
  <c r="AE231" i="28"/>
  <c r="AG230" i="28"/>
  <c r="AE230" i="28"/>
  <c r="AG229" i="28"/>
  <c r="AE229" i="28"/>
  <c r="AH229" i="28" s="1"/>
  <c r="AG228" i="28"/>
  <c r="AE228" i="28"/>
  <c r="AG227" i="28"/>
  <c r="AE227" i="28"/>
  <c r="AG226" i="28"/>
  <c r="AE226" i="28"/>
  <c r="AG225" i="28"/>
  <c r="AE225" i="28"/>
  <c r="AG224" i="28"/>
  <c r="AE224" i="28"/>
  <c r="AG223" i="28"/>
  <c r="AE223" i="28"/>
  <c r="AG222" i="28"/>
  <c r="AE222" i="28"/>
  <c r="J28" i="28" s="1"/>
  <c r="L28" i="28" s="1"/>
  <c r="AG221" i="28"/>
  <c r="AE221" i="28"/>
  <c r="AG220" i="28"/>
  <c r="AE220" i="28"/>
  <c r="AH220" i="28" s="1"/>
  <c r="AG219" i="28"/>
  <c r="AE219" i="28"/>
  <c r="AG218" i="28"/>
  <c r="AE218" i="28"/>
  <c r="AG217" i="28"/>
  <c r="AE217" i="28"/>
  <c r="AG216" i="28"/>
  <c r="AE216" i="28"/>
  <c r="AG215" i="28"/>
  <c r="AE215" i="28"/>
  <c r="AG214" i="28"/>
  <c r="AE214" i="28"/>
  <c r="AH214" i="28" s="1"/>
  <c r="AG213" i="28"/>
  <c r="AE213" i="28"/>
  <c r="AG212" i="28"/>
  <c r="AE212" i="28"/>
  <c r="AG211" i="28"/>
  <c r="AE211" i="28"/>
  <c r="AG210" i="28"/>
  <c r="AE210" i="28"/>
  <c r="AG209" i="28"/>
  <c r="AE209" i="28"/>
  <c r="AG208" i="28"/>
  <c r="AE208" i="28"/>
  <c r="AH208" i="28" s="1"/>
  <c r="AG207" i="28"/>
  <c r="AE207" i="28"/>
  <c r="AG206" i="28"/>
  <c r="AE206" i="28"/>
  <c r="AG205" i="28"/>
  <c r="AE205" i="28"/>
  <c r="AG204" i="28"/>
  <c r="AE204" i="28"/>
  <c r="AG203" i="28"/>
  <c r="AE203" i="28"/>
  <c r="AG202" i="28"/>
  <c r="AE202" i="28"/>
  <c r="AG201" i="28"/>
  <c r="AE201" i="28"/>
  <c r="AG200" i="28"/>
  <c r="AE200" i="28"/>
  <c r="AG199" i="28"/>
  <c r="AE199" i="28"/>
  <c r="AG198" i="28"/>
  <c r="AE198" i="28"/>
  <c r="AG197" i="28"/>
  <c r="AE197" i="28"/>
  <c r="AG196" i="28"/>
  <c r="AE196" i="28"/>
  <c r="AG195" i="28"/>
  <c r="AE195" i="28"/>
  <c r="AG194" i="28"/>
  <c r="AE194" i="28"/>
  <c r="AG193" i="28"/>
  <c r="AE193" i="28"/>
  <c r="AG192" i="28"/>
  <c r="AE192" i="28"/>
  <c r="AG191" i="28"/>
  <c r="AE191" i="28"/>
  <c r="AG190" i="28"/>
  <c r="AE190" i="28"/>
  <c r="AG189" i="28"/>
  <c r="AE189" i="28"/>
  <c r="AG188" i="28"/>
  <c r="AE188" i="28"/>
  <c r="AG187" i="28"/>
  <c r="AE187" i="28"/>
  <c r="AG186" i="28"/>
  <c r="AE186" i="28"/>
  <c r="AG185" i="28"/>
  <c r="AE185" i="28"/>
  <c r="AG184" i="28"/>
  <c r="AE184" i="28"/>
  <c r="AG183" i="28"/>
  <c r="AE183" i="28"/>
  <c r="AG182" i="28"/>
  <c r="AE182" i="28"/>
  <c r="AG181" i="28"/>
  <c r="AE181" i="28"/>
  <c r="AH181" i="28" s="1"/>
  <c r="AG180" i="28"/>
  <c r="AE180" i="28"/>
  <c r="AG179" i="28"/>
  <c r="AE179" i="28"/>
  <c r="AG178" i="28"/>
  <c r="AE178" i="28"/>
  <c r="AG177" i="28"/>
  <c r="AE177" i="28"/>
  <c r="AG176" i="28"/>
  <c r="AE176" i="28"/>
  <c r="AG175" i="28"/>
  <c r="AE175" i="28"/>
  <c r="AG174" i="28"/>
  <c r="AE174" i="28"/>
  <c r="AG173" i="28"/>
  <c r="AE173" i="28"/>
  <c r="AG172" i="28"/>
  <c r="AE172" i="28"/>
  <c r="AG171" i="28"/>
  <c r="AE171" i="28"/>
  <c r="AG170" i="28"/>
  <c r="AE170" i="28"/>
  <c r="AG169" i="28"/>
  <c r="AE169" i="28"/>
  <c r="AG168" i="28"/>
  <c r="AE168" i="28"/>
  <c r="AG167" i="28"/>
  <c r="AE167" i="28"/>
  <c r="AG166" i="28"/>
  <c r="AE166" i="28"/>
  <c r="AG165" i="28"/>
  <c r="AE165" i="28"/>
  <c r="AG164" i="28"/>
  <c r="AE164" i="28"/>
  <c r="AG163" i="28"/>
  <c r="AE163" i="28"/>
  <c r="AG162" i="28"/>
  <c r="AE162" i="28"/>
  <c r="AG161" i="28"/>
  <c r="AE161" i="28"/>
  <c r="AG160" i="28"/>
  <c r="AE160" i="28"/>
  <c r="AG159" i="28"/>
  <c r="AE159" i="28"/>
  <c r="AG158" i="28"/>
  <c r="AE158" i="28"/>
  <c r="AG157" i="28"/>
  <c r="AE157" i="28"/>
  <c r="AH157" i="28" s="1"/>
  <c r="AG156" i="28"/>
  <c r="AE156" i="28"/>
  <c r="AG155" i="28"/>
  <c r="AE155" i="28"/>
  <c r="AG154" i="28"/>
  <c r="AE154" i="28"/>
  <c r="AG153" i="28"/>
  <c r="AE153" i="28"/>
  <c r="AG152" i="28"/>
  <c r="AE152" i="28"/>
  <c r="AG151" i="28"/>
  <c r="AE151" i="28"/>
  <c r="AG150" i="28"/>
  <c r="AE150" i="28"/>
  <c r="AG149" i="28"/>
  <c r="AE149" i="28"/>
  <c r="AG148" i="28"/>
  <c r="AE148" i="28"/>
  <c r="AG147" i="28"/>
  <c r="AH147" i="28" s="1"/>
  <c r="AE147" i="28"/>
  <c r="AG146" i="28"/>
  <c r="AE146" i="28"/>
  <c r="AG145" i="28"/>
  <c r="AE145" i="28"/>
  <c r="AG144" i="28"/>
  <c r="AE144" i="28"/>
  <c r="AG143" i="28"/>
  <c r="AE143" i="28"/>
  <c r="AG142" i="28"/>
  <c r="AE142" i="28"/>
  <c r="AG141" i="28"/>
  <c r="AE141" i="28"/>
  <c r="AG140" i="28"/>
  <c r="AE140" i="28"/>
  <c r="AG139" i="28"/>
  <c r="AE139" i="28"/>
  <c r="AG138" i="28"/>
  <c r="AE138" i="28"/>
  <c r="AG137" i="28"/>
  <c r="AE137" i="28"/>
  <c r="AH137" i="28" s="1"/>
  <c r="AG136" i="28"/>
  <c r="AE136" i="28"/>
  <c r="AG135" i="28"/>
  <c r="AE135" i="28"/>
  <c r="AG134" i="28"/>
  <c r="AE134" i="28"/>
  <c r="AG133" i="28"/>
  <c r="AE133" i="28"/>
  <c r="AH133" i="28" s="1"/>
  <c r="AG132" i="28"/>
  <c r="AE132" i="28"/>
  <c r="AG131" i="28"/>
  <c r="AE131" i="28"/>
  <c r="AG130" i="28"/>
  <c r="AE130" i="28"/>
  <c r="AG129" i="28"/>
  <c r="AE129" i="28"/>
  <c r="AG128" i="28"/>
  <c r="AE128" i="28"/>
  <c r="AG127" i="28"/>
  <c r="AE127" i="28"/>
  <c r="AG126" i="28"/>
  <c r="AE126" i="28"/>
  <c r="AG125" i="28"/>
  <c r="AE125" i="28"/>
  <c r="AH125" i="28" s="1"/>
  <c r="AG124" i="28"/>
  <c r="AE124" i="28"/>
  <c r="AG123" i="28"/>
  <c r="AE123" i="28"/>
  <c r="AG122" i="28"/>
  <c r="AE122" i="28"/>
  <c r="AG121" i="28"/>
  <c r="AE121" i="28"/>
  <c r="AG120" i="28"/>
  <c r="AE120" i="28"/>
  <c r="AG119" i="28"/>
  <c r="AE119" i="28"/>
  <c r="AG118" i="28"/>
  <c r="AE118" i="28"/>
  <c r="AG117" i="28"/>
  <c r="AE117" i="28"/>
  <c r="AG116" i="28"/>
  <c r="AE116" i="28"/>
  <c r="AG115" i="28"/>
  <c r="AE115" i="28"/>
  <c r="AG114" i="28"/>
  <c r="AE114" i="28"/>
  <c r="AG113" i="28"/>
  <c r="AE113" i="28"/>
  <c r="AG112" i="28"/>
  <c r="AE112" i="28"/>
  <c r="AG111" i="28"/>
  <c r="AE111" i="28"/>
  <c r="AG110" i="28"/>
  <c r="AE110" i="28"/>
  <c r="AG109" i="28"/>
  <c r="AE109" i="28"/>
  <c r="AG108" i="28"/>
  <c r="AE108" i="28"/>
  <c r="AG107" i="28"/>
  <c r="AE107" i="28"/>
  <c r="AG106" i="28"/>
  <c r="AE106" i="28"/>
  <c r="AG105" i="28"/>
  <c r="AE105" i="28"/>
  <c r="AG104" i="28"/>
  <c r="AE104" i="28"/>
  <c r="AG103" i="28"/>
  <c r="AE103" i="28"/>
  <c r="AG102" i="28"/>
  <c r="AE102" i="28"/>
  <c r="AG101" i="28"/>
  <c r="AE101" i="28"/>
  <c r="AG100" i="28"/>
  <c r="AE100" i="28"/>
  <c r="AG99" i="28"/>
  <c r="AE99" i="28"/>
  <c r="AG98" i="28"/>
  <c r="AE98" i="28"/>
  <c r="AG97" i="28"/>
  <c r="AE97" i="28"/>
  <c r="AG96" i="28"/>
  <c r="AE96" i="28"/>
  <c r="AG95" i="28"/>
  <c r="AE95" i="28"/>
  <c r="AG94" i="28"/>
  <c r="AE94" i="28"/>
  <c r="AG93" i="28"/>
  <c r="AE93" i="28"/>
  <c r="AG92" i="28"/>
  <c r="AE92" i="28"/>
  <c r="AG91" i="28"/>
  <c r="AE91" i="28"/>
  <c r="AG90" i="28"/>
  <c r="AE90" i="28"/>
  <c r="AG89" i="28"/>
  <c r="AE89" i="28"/>
  <c r="AG88" i="28"/>
  <c r="AE88" i="28"/>
  <c r="AG87" i="28"/>
  <c r="AE87" i="28"/>
  <c r="AG86" i="28"/>
  <c r="AE86" i="28"/>
  <c r="AG85" i="28"/>
  <c r="AE85" i="28"/>
  <c r="AG84" i="28"/>
  <c r="AE84" i="28"/>
  <c r="AG83" i="28"/>
  <c r="AE83" i="28"/>
  <c r="AG82" i="28"/>
  <c r="AE82" i="28"/>
  <c r="AG81" i="28"/>
  <c r="AE81" i="28"/>
  <c r="AG80" i="28"/>
  <c r="AE80" i="28"/>
  <c r="AG79" i="28"/>
  <c r="AE79" i="28"/>
  <c r="AG78" i="28"/>
  <c r="AE78" i="28"/>
  <c r="AG77" i="28"/>
  <c r="AE77" i="28"/>
  <c r="J17" i="28" s="1"/>
  <c r="L17" i="28" s="1"/>
  <c r="AG76" i="28"/>
  <c r="AE76" i="28"/>
  <c r="AG75" i="28"/>
  <c r="AE75" i="28"/>
  <c r="AG74" i="28"/>
  <c r="AE74" i="28"/>
  <c r="AG73" i="28"/>
  <c r="AE73" i="28"/>
  <c r="AH73" i="28" s="1"/>
  <c r="AG72" i="28"/>
  <c r="AE72" i="28"/>
  <c r="AG71" i="28"/>
  <c r="AE71" i="28"/>
  <c r="AG70" i="28"/>
  <c r="AE70" i="28"/>
  <c r="AG69" i="28"/>
  <c r="AE69" i="28"/>
  <c r="AG68" i="28"/>
  <c r="AE68" i="28"/>
  <c r="AG67" i="28"/>
  <c r="AE67" i="28"/>
  <c r="AG66" i="28"/>
  <c r="AE66" i="28"/>
  <c r="AG65" i="28"/>
  <c r="AE65" i="28"/>
  <c r="AG64" i="28"/>
  <c r="AE64" i="28"/>
  <c r="AG63" i="28"/>
  <c r="AE63" i="28"/>
  <c r="AG62" i="28"/>
  <c r="AE62" i="28"/>
  <c r="AG61" i="28"/>
  <c r="AE61" i="28"/>
  <c r="AG60" i="28"/>
  <c r="AE60" i="28"/>
  <c r="AG59" i="28"/>
  <c r="AE59" i="28"/>
  <c r="AG58" i="28"/>
  <c r="AE58" i="28"/>
  <c r="AG57" i="28"/>
  <c r="AE57" i="28"/>
  <c r="AG56" i="28"/>
  <c r="AE56" i="28"/>
  <c r="AG55" i="28"/>
  <c r="AE55" i="28"/>
  <c r="AG54" i="28"/>
  <c r="AE54" i="28"/>
  <c r="AG53" i="28"/>
  <c r="AE53" i="28"/>
  <c r="AG52" i="28"/>
  <c r="AE52" i="28"/>
  <c r="AG51" i="28"/>
  <c r="AE51" i="28"/>
  <c r="AG50" i="28"/>
  <c r="AE50" i="28"/>
  <c r="AG49" i="28"/>
  <c r="AE49" i="28"/>
  <c r="AG48" i="28"/>
  <c r="AE48" i="28"/>
  <c r="AG47" i="28"/>
  <c r="AE47" i="28"/>
  <c r="AG46" i="28"/>
  <c r="AE46" i="28"/>
  <c r="AG45" i="28"/>
  <c r="AE45" i="28"/>
  <c r="AG44" i="28"/>
  <c r="AE44" i="28"/>
  <c r="AG43" i="28"/>
  <c r="AE43" i="28"/>
  <c r="AG42" i="28"/>
  <c r="AE42" i="28"/>
  <c r="Q42" i="28"/>
  <c r="AG41" i="28"/>
  <c r="AE41" i="28"/>
  <c r="K41" i="28"/>
  <c r="AG40" i="28"/>
  <c r="AE40" i="28"/>
  <c r="AG39" i="28"/>
  <c r="AE39" i="28"/>
  <c r="P39" i="28"/>
  <c r="O39" i="28"/>
  <c r="N39" i="28"/>
  <c r="J39" i="28"/>
  <c r="F39" i="28"/>
  <c r="E39" i="28"/>
  <c r="D39" i="28"/>
  <c r="AG38" i="28"/>
  <c r="AE38" i="28"/>
  <c r="P38" i="28"/>
  <c r="O38" i="28"/>
  <c r="N38" i="28"/>
  <c r="J38" i="28"/>
  <c r="F38" i="28"/>
  <c r="E38" i="28"/>
  <c r="D38" i="28"/>
  <c r="AG37" i="28"/>
  <c r="AE37" i="28"/>
  <c r="P37" i="28"/>
  <c r="O37" i="28"/>
  <c r="N37" i="28"/>
  <c r="J37" i="28"/>
  <c r="L37" i="28" s="1"/>
  <c r="F37" i="28"/>
  <c r="E37" i="28"/>
  <c r="D37" i="28"/>
  <c r="AG36" i="28"/>
  <c r="AE36" i="28"/>
  <c r="P36" i="28"/>
  <c r="O36" i="28"/>
  <c r="N36" i="28"/>
  <c r="J36" i="28"/>
  <c r="F36" i="28"/>
  <c r="E36" i="28"/>
  <c r="D36" i="28"/>
  <c r="AG35" i="28"/>
  <c r="AE35" i="28"/>
  <c r="P35" i="28"/>
  <c r="O35" i="28"/>
  <c r="N35" i="28"/>
  <c r="J35" i="28"/>
  <c r="L35" i="28" s="1"/>
  <c r="F35" i="28"/>
  <c r="E35" i="28"/>
  <c r="D35" i="28"/>
  <c r="AG34" i="28"/>
  <c r="AE34" i="28"/>
  <c r="AH34" i="28" s="1"/>
  <c r="P34" i="28"/>
  <c r="O34" i="28"/>
  <c r="N34" i="28"/>
  <c r="J34" i="28"/>
  <c r="L34" i="28" s="1"/>
  <c r="F34" i="28"/>
  <c r="E34" i="28"/>
  <c r="D34" i="28"/>
  <c r="AG33" i="28"/>
  <c r="AE33" i="28"/>
  <c r="P33" i="28"/>
  <c r="O33" i="28"/>
  <c r="N33" i="28"/>
  <c r="F33" i="28"/>
  <c r="E33" i="28"/>
  <c r="D33" i="28"/>
  <c r="AG32" i="28"/>
  <c r="AE32" i="28"/>
  <c r="P32" i="28"/>
  <c r="O32" i="28"/>
  <c r="N32" i="28"/>
  <c r="J32" i="28"/>
  <c r="F32" i="28"/>
  <c r="E32" i="28"/>
  <c r="D32" i="28"/>
  <c r="AG31" i="28"/>
  <c r="AE31" i="28"/>
  <c r="P31" i="28"/>
  <c r="O31" i="28"/>
  <c r="N31" i="28"/>
  <c r="J31" i="28"/>
  <c r="L31" i="28" s="1"/>
  <c r="F31" i="28"/>
  <c r="E31" i="28"/>
  <c r="D31" i="28"/>
  <c r="AG30" i="28"/>
  <c r="AE30" i="28"/>
  <c r="P30" i="28"/>
  <c r="O30" i="28"/>
  <c r="N30" i="28"/>
  <c r="J30" i="28"/>
  <c r="F30" i="28"/>
  <c r="E30" i="28"/>
  <c r="D30" i="28"/>
  <c r="AG29" i="28"/>
  <c r="AE29" i="28"/>
  <c r="P29" i="28"/>
  <c r="O29" i="28"/>
  <c r="N29" i="28"/>
  <c r="J29" i="28"/>
  <c r="F29" i="28"/>
  <c r="E29" i="28"/>
  <c r="D29" i="28"/>
  <c r="AG28" i="28"/>
  <c r="AE28" i="28"/>
  <c r="P28" i="28"/>
  <c r="O28" i="28"/>
  <c r="N28" i="28"/>
  <c r="F28" i="28"/>
  <c r="E28" i="28"/>
  <c r="D28" i="28"/>
  <c r="AG27" i="28"/>
  <c r="AE27" i="28"/>
  <c r="AH27" i="28" s="1"/>
  <c r="P27" i="28"/>
  <c r="O27" i="28"/>
  <c r="N27" i="28"/>
  <c r="J27" i="28"/>
  <c r="F27" i="28"/>
  <c r="E27" i="28"/>
  <c r="D27" i="28"/>
  <c r="AG26" i="28"/>
  <c r="AE26" i="28"/>
  <c r="P26" i="28"/>
  <c r="O26" i="28"/>
  <c r="N26" i="28"/>
  <c r="Q26" i="28" s="1"/>
  <c r="J26" i="28"/>
  <c r="L26" i="28" s="1"/>
  <c r="F26" i="28"/>
  <c r="E26" i="28"/>
  <c r="D26" i="28"/>
  <c r="AG25" i="28"/>
  <c r="AE25" i="28"/>
  <c r="P25" i="28"/>
  <c r="O25" i="28"/>
  <c r="N25" i="28"/>
  <c r="J25" i="28"/>
  <c r="L25" i="28" s="1"/>
  <c r="F25" i="28"/>
  <c r="E25" i="28"/>
  <c r="D25" i="28"/>
  <c r="AG24" i="28"/>
  <c r="AE24" i="28"/>
  <c r="AH24" i="28" s="1"/>
  <c r="P24" i="28"/>
  <c r="O24" i="28"/>
  <c r="N24" i="28"/>
  <c r="J24" i="28"/>
  <c r="F24" i="28"/>
  <c r="E24" i="28"/>
  <c r="D24" i="28"/>
  <c r="AG23" i="28"/>
  <c r="AE23" i="28"/>
  <c r="AH23" i="28" s="1"/>
  <c r="P23" i="28"/>
  <c r="O23" i="28"/>
  <c r="N23" i="28"/>
  <c r="J23" i="28"/>
  <c r="L23" i="28" s="1"/>
  <c r="F23" i="28"/>
  <c r="E23" i="28"/>
  <c r="D23" i="28"/>
  <c r="AG22" i="28"/>
  <c r="AE22" i="28"/>
  <c r="P22" i="28"/>
  <c r="O22" i="28"/>
  <c r="N22" i="28"/>
  <c r="J22" i="28"/>
  <c r="L22" i="28" s="1"/>
  <c r="F22" i="28"/>
  <c r="E22" i="28"/>
  <c r="D22" i="28"/>
  <c r="AG21" i="28"/>
  <c r="AE21" i="28"/>
  <c r="P21" i="28"/>
  <c r="O21" i="28"/>
  <c r="N21" i="28"/>
  <c r="J21" i="28"/>
  <c r="F21" i="28"/>
  <c r="E21" i="28"/>
  <c r="D21" i="28"/>
  <c r="AG20" i="28"/>
  <c r="AE20" i="28"/>
  <c r="AH20" i="28" s="1"/>
  <c r="P20" i="28"/>
  <c r="O20" i="28"/>
  <c r="N20" i="28"/>
  <c r="J20" i="28"/>
  <c r="L20" i="28" s="1"/>
  <c r="F20" i="28"/>
  <c r="E20" i="28"/>
  <c r="D20" i="28"/>
  <c r="AG19" i="28"/>
  <c r="AE19" i="28"/>
  <c r="P19" i="28"/>
  <c r="O19" i="28"/>
  <c r="N19" i="28"/>
  <c r="J19" i="28"/>
  <c r="L19" i="28" s="1"/>
  <c r="F19" i="28"/>
  <c r="E19" i="28"/>
  <c r="D19" i="28"/>
  <c r="AG18" i="28"/>
  <c r="AE18" i="28"/>
  <c r="P18" i="28"/>
  <c r="O18" i="28"/>
  <c r="N18" i="28"/>
  <c r="J18" i="28"/>
  <c r="F18" i="28"/>
  <c r="E18" i="28"/>
  <c r="D18" i="28"/>
  <c r="AG17" i="28"/>
  <c r="AE17" i="28"/>
  <c r="P17" i="28"/>
  <c r="O17" i="28"/>
  <c r="N17" i="28"/>
  <c r="F17" i="28"/>
  <c r="E17" i="28"/>
  <c r="D17" i="28"/>
  <c r="AG16" i="28"/>
  <c r="AE16" i="28"/>
  <c r="P16" i="28"/>
  <c r="O16" i="28"/>
  <c r="N16" i="28"/>
  <c r="J16" i="28"/>
  <c r="L16" i="28" s="1"/>
  <c r="F16" i="28"/>
  <c r="E16" i="28"/>
  <c r="D16" i="28"/>
  <c r="AG15" i="28"/>
  <c r="AE15" i="28"/>
  <c r="P15" i="28"/>
  <c r="O15" i="28"/>
  <c r="N15" i="28"/>
  <c r="J15" i="28"/>
  <c r="F15" i="28"/>
  <c r="E15" i="28"/>
  <c r="D15" i="28"/>
  <c r="AG14" i="28"/>
  <c r="AE14" i="28"/>
  <c r="P14" i="28"/>
  <c r="O14" i="28"/>
  <c r="N14" i="28"/>
  <c r="J14" i="28"/>
  <c r="L14" i="28" s="1"/>
  <c r="F14" i="28"/>
  <c r="E14" i="28"/>
  <c r="D14" i="28"/>
  <c r="AG13" i="28"/>
  <c r="AE13" i="28"/>
  <c r="P13" i="28"/>
  <c r="O13" i="28"/>
  <c r="N13" i="28"/>
  <c r="J13" i="28"/>
  <c r="L13" i="28" s="1"/>
  <c r="F13" i="28"/>
  <c r="E13" i="28"/>
  <c r="D13" i="28"/>
  <c r="AG12" i="28"/>
  <c r="AE12" i="28"/>
  <c r="J10" i="28" s="1"/>
  <c r="P12" i="28"/>
  <c r="O12" i="28"/>
  <c r="N12" i="28"/>
  <c r="J12" i="28"/>
  <c r="F12" i="28"/>
  <c r="E12" i="28"/>
  <c r="D12" i="28"/>
  <c r="AG11" i="28"/>
  <c r="AE11" i="28"/>
  <c r="P11" i="28"/>
  <c r="O11" i="28"/>
  <c r="N11" i="28"/>
  <c r="J11" i="28"/>
  <c r="F11" i="28"/>
  <c r="E11" i="28"/>
  <c r="D11" i="28"/>
  <c r="AG10" i="28"/>
  <c r="AE10" i="28"/>
  <c r="P10" i="28"/>
  <c r="O10" i="28"/>
  <c r="N10" i="28"/>
  <c r="F10" i="28"/>
  <c r="E10" i="28"/>
  <c r="D10" i="28"/>
  <c r="AG9" i="28"/>
  <c r="AE9" i="28"/>
  <c r="AG8" i="28"/>
  <c r="AE8" i="28"/>
  <c r="AG7" i="28"/>
  <c r="AE7" i="28"/>
  <c r="AH7" i="28" s="1"/>
  <c r="AG6" i="28"/>
  <c r="AE6" i="28"/>
  <c r="AG5" i="28"/>
  <c r="AE5" i="28"/>
  <c r="AH487" i="27"/>
  <c r="AH486" i="27"/>
  <c r="AH485" i="27"/>
  <c r="AH484" i="27"/>
  <c r="AE483" i="27"/>
  <c r="AH483" i="27" s="1"/>
  <c r="AE482" i="27"/>
  <c r="AH482" i="27" s="1"/>
  <c r="AE481" i="27"/>
  <c r="AH481" i="27" s="1"/>
  <c r="AE480" i="27"/>
  <c r="AH480" i="27" s="1"/>
  <c r="AH479" i="27"/>
  <c r="AE479" i="27"/>
  <c r="AE478" i="27"/>
  <c r="AH478" i="27" s="1"/>
  <c r="AE477" i="27"/>
  <c r="AH477" i="27" s="1"/>
  <c r="AE476" i="27"/>
  <c r="AH476" i="27" s="1"/>
  <c r="AE475" i="27"/>
  <c r="AH475" i="27" s="1"/>
  <c r="AE474" i="27"/>
  <c r="AH474" i="27" s="1"/>
  <c r="AH473" i="27"/>
  <c r="AE473" i="27"/>
  <c r="AE472" i="27"/>
  <c r="AH472" i="27" s="1"/>
  <c r="AE471" i="27"/>
  <c r="AH471" i="27" s="1"/>
  <c r="AE470" i="27"/>
  <c r="AH470" i="27" s="1"/>
  <c r="AE469" i="27"/>
  <c r="AH469" i="27" s="1"/>
  <c r="AE468" i="27"/>
  <c r="AH468" i="27" s="1"/>
  <c r="AH467" i="27"/>
  <c r="AE467" i="27"/>
  <c r="AE466" i="27"/>
  <c r="AH466" i="27" s="1"/>
  <c r="AE465" i="27"/>
  <c r="AH465" i="27" s="1"/>
  <c r="AE464" i="27"/>
  <c r="AH464" i="27" s="1"/>
  <c r="AE463" i="27"/>
  <c r="AH463" i="27" s="1"/>
  <c r="AH462" i="27"/>
  <c r="AE462" i="27"/>
  <c r="AH461" i="27"/>
  <c r="AE461" i="27"/>
  <c r="AE460" i="27"/>
  <c r="AH460" i="27" s="1"/>
  <c r="AE459" i="27"/>
  <c r="AH459" i="27" s="1"/>
  <c r="AE458" i="27"/>
  <c r="AH458" i="27" s="1"/>
  <c r="AE457" i="27"/>
  <c r="AH457" i="27" s="1"/>
  <c r="AE456" i="27"/>
  <c r="AH456" i="27" s="1"/>
  <c r="AG455" i="27"/>
  <c r="AE455" i="27"/>
  <c r="AH455" i="27" s="1"/>
  <c r="AG454" i="27"/>
  <c r="AE454" i="27"/>
  <c r="AH454" i="27" s="1"/>
  <c r="AG453" i="27"/>
  <c r="AE453" i="27"/>
  <c r="AH453" i="27" s="1"/>
  <c r="AG452" i="27"/>
  <c r="AE452" i="27"/>
  <c r="AH452" i="27" s="1"/>
  <c r="AG451" i="27"/>
  <c r="AE451" i="27"/>
  <c r="AH451" i="27" s="1"/>
  <c r="AG450" i="27"/>
  <c r="AE450" i="27"/>
  <c r="AH450" i="27" s="1"/>
  <c r="AG449" i="27"/>
  <c r="AH449" i="27" s="1"/>
  <c r="AE449" i="27"/>
  <c r="AG448" i="27"/>
  <c r="AE448" i="27"/>
  <c r="AH448" i="27" s="1"/>
  <c r="AG447" i="27"/>
  <c r="AE447" i="27"/>
  <c r="AH447" i="27" s="1"/>
  <c r="AG446" i="27"/>
  <c r="AE446" i="27"/>
  <c r="AH446" i="27" s="1"/>
  <c r="AG445" i="27"/>
  <c r="AE445" i="27"/>
  <c r="AH445" i="27" s="1"/>
  <c r="AG444" i="27"/>
  <c r="AH444" i="27" s="1"/>
  <c r="AE444" i="27"/>
  <c r="AG443" i="27"/>
  <c r="AE443" i="27"/>
  <c r="AH443" i="27" s="1"/>
  <c r="AH442" i="27"/>
  <c r="AG442" i="27"/>
  <c r="AE442" i="27"/>
  <c r="AG441" i="27"/>
  <c r="AE441" i="27"/>
  <c r="AH441" i="27" s="1"/>
  <c r="AG440" i="27"/>
  <c r="AE440" i="27"/>
  <c r="AH440" i="27" s="1"/>
  <c r="AG439" i="27"/>
  <c r="AE439" i="27"/>
  <c r="AH439" i="27" s="1"/>
  <c r="AG438" i="27"/>
  <c r="AH438" i="27" s="1"/>
  <c r="AE438" i="27"/>
  <c r="AG437" i="27"/>
  <c r="AE437" i="27"/>
  <c r="AH437" i="27" s="1"/>
  <c r="AG436" i="27"/>
  <c r="AE436" i="27"/>
  <c r="AH436" i="27" s="1"/>
  <c r="AG435" i="27"/>
  <c r="AE435" i="27"/>
  <c r="AH435" i="27" s="1"/>
  <c r="AH434" i="27"/>
  <c r="AG434" i="27"/>
  <c r="AE434" i="27"/>
  <c r="AG433" i="27"/>
  <c r="AE433" i="27"/>
  <c r="AH433" i="27" s="1"/>
  <c r="AG432" i="27"/>
  <c r="AE432" i="27"/>
  <c r="AH432" i="27" s="1"/>
  <c r="AG431" i="27"/>
  <c r="AE431" i="27"/>
  <c r="AH431" i="27" s="1"/>
  <c r="AG430" i="27"/>
  <c r="AE430" i="27"/>
  <c r="AH430" i="27" s="1"/>
  <c r="AH429" i="27"/>
  <c r="AG429" i="27"/>
  <c r="AE429" i="27"/>
  <c r="AG428" i="27"/>
  <c r="AE428" i="27"/>
  <c r="AH428" i="27" s="1"/>
  <c r="AG427" i="27"/>
  <c r="AE427" i="27"/>
  <c r="AH427" i="27" s="1"/>
  <c r="AG426" i="27"/>
  <c r="AE426" i="27"/>
  <c r="AH426" i="27" s="1"/>
  <c r="AG425" i="27"/>
  <c r="AH425" i="27" s="1"/>
  <c r="AE425" i="27"/>
  <c r="AG424" i="27"/>
  <c r="AE424" i="27"/>
  <c r="AH424" i="27" s="1"/>
  <c r="AG423" i="27"/>
  <c r="AE423" i="27"/>
  <c r="AH423" i="27" s="1"/>
  <c r="AG422" i="27"/>
  <c r="AE422" i="27"/>
  <c r="AH422" i="27" s="1"/>
  <c r="AG421" i="27"/>
  <c r="AE421" i="27"/>
  <c r="AH421" i="27" s="1"/>
  <c r="AG420" i="27"/>
  <c r="AE420" i="27"/>
  <c r="AH420" i="27" s="1"/>
  <c r="AG419" i="27"/>
  <c r="AE419" i="27"/>
  <c r="AH419" i="27" s="1"/>
  <c r="AG418" i="27"/>
  <c r="AE418" i="27"/>
  <c r="AH418" i="27" s="1"/>
  <c r="AG417" i="27"/>
  <c r="AE417" i="27"/>
  <c r="AH416" i="27"/>
  <c r="AG416" i="27"/>
  <c r="AE416" i="27"/>
  <c r="AG415" i="27"/>
  <c r="AE415" i="27"/>
  <c r="AH415" i="27" s="1"/>
  <c r="AG414" i="27"/>
  <c r="AE414" i="27"/>
  <c r="AH414" i="27" s="1"/>
  <c r="AG413" i="27"/>
  <c r="AE413" i="27"/>
  <c r="AH413" i="27" s="1"/>
  <c r="AH412" i="27"/>
  <c r="AG412" i="27"/>
  <c r="AE412" i="27"/>
  <c r="AG411" i="27"/>
  <c r="AE411" i="27"/>
  <c r="AH411" i="27" s="1"/>
  <c r="AG410" i="27"/>
  <c r="AE410" i="27"/>
  <c r="AH410" i="27" s="1"/>
  <c r="AG409" i="27"/>
  <c r="AE409" i="27"/>
  <c r="AH409" i="27" s="1"/>
  <c r="AG408" i="27"/>
  <c r="AE408" i="27"/>
  <c r="AH408" i="27" s="1"/>
  <c r="AG407" i="27"/>
  <c r="AE407" i="27"/>
  <c r="AH407" i="27" s="1"/>
  <c r="AG406" i="27"/>
  <c r="AE406" i="27"/>
  <c r="AH406" i="27" s="1"/>
  <c r="AG405" i="27"/>
  <c r="AE405" i="27"/>
  <c r="AH405" i="27" s="1"/>
  <c r="AG404" i="27"/>
  <c r="AE404" i="27"/>
  <c r="AH404" i="27" s="1"/>
  <c r="AG403" i="27"/>
  <c r="AE403" i="27"/>
  <c r="AH403" i="27" s="1"/>
  <c r="AG402" i="27"/>
  <c r="AE402" i="27"/>
  <c r="AH402" i="27" s="1"/>
  <c r="AG401" i="27"/>
  <c r="AH401" i="27" s="1"/>
  <c r="AE401" i="27"/>
  <c r="AG400" i="27"/>
  <c r="AE400" i="27"/>
  <c r="AH400" i="27" s="1"/>
  <c r="AG399" i="27"/>
  <c r="AE399" i="27"/>
  <c r="AH399" i="27" s="1"/>
  <c r="AG398" i="27"/>
  <c r="AE398" i="27"/>
  <c r="AH398" i="27" s="1"/>
  <c r="AG397" i="27"/>
  <c r="AE397" i="27"/>
  <c r="AH397" i="27" s="1"/>
  <c r="AG396" i="27"/>
  <c r="AH396" i="27" s="1"/>
  <c r="AE396" i="27"/>
  <c r="AG395" i="27"/>
  <c r="AE395" i="27"/>
  <c r="AH395" i="27" s="1"/>
  <c r="AH394" i="27"/>
  <c r="AG394" i="27"/>
  <c r="AE394" i="27"/>
  <c r="AG393" i="27"/>
  <c r="AE393" i="27"/>
  <c r="AH393" i="27" s="1"/>
  <c r="AG392" i="27"/>
  <c r="AE392" i="27"/>
  <c r="AH392" i="27" s="1"/>
  <c r="AG391" i="27"/>
  <c r="AE391" i="27"/>
  <c r="AH391" i="27" s="1"/>
  <c r="AG390" i="27"/>
  <c r="AH390" i="27" s="1"/>
  <c r="AE390" i="27"/>
  <c r="AG389" i="27"/>
  <c r="AE389" i="27"/>
  <c r="AH389" i="27" s="1"/>
  <c r="AG388" i="27"/>
  <c r="AE388" i="27"/>
  <c r="AH388" i="27" s="1"/>
  <c r="AG387" i="27"/>
  <c r="AE387" i="27"/>
  <c r="AH387" i="27" s="1"/>
  <c r="AH386" i="27"/>
  <c r="AG386" i="27"/>
  <c r="AE386" i="27"/>
  <c r="AG385" i="27"/>
  <c r="AE385" i="27"/>
  <c r="AH385" i="27" s="1"/>
  <c r="AG384" i="27"/>
  <c r="AE384" i="27"/>
  <c r="AH384" i="27" s="1"/>
  <c r="AG383" i="27"/>
  <c r="AE383" i="27"/>
  <c r="AH383" i="27" s="1"/>
  <c r="AG382" i="27"/>
  <c r="AE382" i="27"/>
  <c r="AH382" i="27" s="1"/>
  <c r="AH381" i="27"/>
  <c r="AG381" i="27"/>
  <c r="AE381" i="27"/>
  <c r="AG380" i="27"/>
  <c r="AE380" i="27"/>
  <c r="AH380" i="27" s="1"/>
  <c r="AG379" i="27"/>
  <c r="AE379" i="27"/>
  <c r="AH379" i="27" s="1"/>
  <c r="AG378" i="27"/>
  <c r="AE378" i="27"/>
  <c r="AH378" i="27" s="1"/>
  <c r="AG377" i="27"/>
  <c r="AH377" i="27" s="1"/>
  <c r="AE377" i="27"/>
  <c r="AG376" i="27"/>
  <c r="AE376" i="27"/>
  <c r="AH376" i="27" s="1"/>
  <c r="AG375" i="27"/>
  <c r="AE375" i="27"/>
  <c r="AH375" i="27" s="1"/>
  <c r="AG374" i="27"/>
  <c r="AE374" i="27"/>
  <c r="AH374" i="27" s="1"/>
  <c r="AG373" i="27"/>
  <c r="AE373" i="27"/>
  <c r="AH373" i="27" s="1"/>
  <c r="AG372" i="27"/>
  <c r="AE372" i="27"/>
  <c r="AH372" i="27" s="1"/>
  <c r="AG371" i="27"/>
  <c r="AE371" i="27"/>
  <c r="AH371" i="27" s="1"/>
  <c r="AG370" i="27"/>
  <c r="AE370" i="27"/>
  <c r="AH370" i="27" s="1"/>
  <c r="AG369" i="27"/>
  <c r="AE369" i="27"/>
  <c r="AH369" i="27" s="1"/>
  <c r="AH368" i="27"/>
  <c r="AG368" i="27"/>
  <c r="AE368" i="27"/>
  <c r="AG367" i="27"/>
  <c r="AE367" i="27"/>
  <c r="AH367" i="27" s="1"/>
  <c r="AG366" i="27"/>
  <c r="AE366" i="27"/>
  <c r="AH366" i="27" s="1"/>
  <c r="AG365" i="27"/>
  <c r="AE365" i="27"/>
  <c r="AH365" i="27" s="1"/>
  <c r="AH364" i="27"/>
  <c r="AG364" i="27"/>
  <c r="AE364" i="27"/>
  <c r="AG363" i="27"/>
  <c r="AE363" i="27"/>
  <c r="AH363" i="27" s="1"/>
  <c r="AG362" i="27"/>
  <c r="AE362" i="27"/>
  <c r="AH362" i="27" s="1"/>
  <c r="AG361" i="27"/>
  <c r="AE361" i="27"/>
  <c r="AH361" i="27" s="1"/>
  <c r="AG360" i="27"/>
  <c r="AE360" i="27"/>
  <c r="AH360" i="27" s="1"/>
  <c r="AG359" i="27"/>
  <c r="AE359" i="27"/>
  <c r="AH359" i="27" s="1"/>
  <c r="AG358" i="27"/>
  <c r="AE358" i="27"/>
  <c r="AH358" i="27" s="1"/>
  <c r="AG357" i="27"/>
  <c r="AE357" i="27"/>
  <c r="AH357" i="27" s="1"/>
  <c r="AG356" i="27"/>
  <c r="AE356" i="27"/>
  <c r="AH356" i="27" s="1"/>
  <c r="AG355" i="27"/>
  <c r="AE355" i="27"/>
  <c r="AH355" i="27" s="1"/>
  <c r="AG354" i="27"/>
  <c r="AE354" i="27"/>
  <c r="AH354" i="27" s="1"/>
  <c r="AH353" i="27"/>
  <c r="AG353" i="27"/>
  <c r="AE353" i="27"/>
  <c r="AG352" i="27"/>
  <c r="AE352" i="27"/>
  <c r="AH352" i="27" s="1"/>
  <c r="AG351" i="27"/>
  <c r="AE351" i="27"/>
  <c r="AH351" i="27" s="1"/>
  <c r="AG350" i="27"/>
  <c r="AE350" i="27"/>
  <c r="AH350" i="27" s="1"/>
  <c r="AG349" i="27"/>
  <c r="AE349" i="27"/>
  <c r="AH349" i="27" s="1"/>
  <c r="AG348" i="27"/>
  <c r="AH348" i="27" s="1"/>
  <c r="AE348" i="27"/>
  <c r="AG347" i="27"/>
  <c r="AE347" i="27"/>
  <c r="AH347" i="27" s="1"/>
  <c r="AH346" i="27"/>
  <c r="AG346" i="27"/>
  <c r="AE346" i="27"/>
  <c r="AG345" i="27"/>
  <c r="AE345" i="27"/>
  <c r="AH345" i="27" s="1"/>
  <c r="AG344" i="27"/>
  <c r="AE344" i="27"/>
  <c r="AH344" i="27" s="1"/>
  <c r="AG343" i="27"/>
  <c r="AE343" i="27"/>
  <c r="AH343" i="27" s="1"/>
  <c r="AG342" i="27"/>
  <c r="AH342" i="27" s="1"/>
  <c r="AE342" i="27"/>
  <c r="AG341" i="27"/>
  <c r="AE341" i="27"/>
  <c r="AH341" i="27" s="1"/>
  <c r="AG340" i="27"/>
  <c r="AE340" i="27"/>
  <c r="AH340" i="27" s="1"/>
  <c r="AG339" i="27"/>
  <c r="AE339" i="27"/>
  <c r="AH339" i="27" s="1"/>
  <c r="AG338" i="27"/>
  <c r="AE338" i="27"/>
  <c r="AH338" i="27" s="1"/>
  <c r="AG337" i="27"/>
  <c r="AE337" i="27"/>
  <c r="AH337" i="27" s="1"/>
  <c r="AG336" i="27"/>
  <c r="AE336" i="27"/>
  <c r="AG335" i="27"/>
  <c r="AE335" i="27"/>
  <c r="AH335" i="27" s="1"/>
  <c r="AG334" i="27"/>
  <c r="AE334" i="27"/>
  <c r="AH334" i="27" s="1"/>
  <c r="AG333" i="27"/>
  <c r="AE333" i="27"/>
  <c r="AH333" i="27" s="1"/>
  <c r="AG332" i="27"/>
  <c r="AE332" i="27"/>
  <c r="AH332" i="27" s="1"/>
  <c r="AG331" i="27"/>
  <c r="AE331" i="27"/>
  <c r="AH331" i="27" s="1"/>
  <c r="AG330" i="27"/>
  <c r="AE330" i="27"/>
  <c r="AG329" i="27"/>
  <c r="AE329" i="27"/>
  <c r="AG328" i="27"/>
  <c r="AE328" i="27"/>
  <c r="AH328" i="27" s="1"/>
  <c r="AG327" i="27"/>
  <c r="AE327" i="27"/>
  <c r="AH327" i="27" s="1"/>
  <c r="AG326" i="27"/>
  <c r="AE326" i="27"/>
  <c r="AH326" i="27" s="1"/>
  <c r="AG325" i="27"/>
  <c r="AE325" i="27"/>
  <c r="AH325" i="27" s="1"/>
  <c r="AG324" i="27"/>
  <c r="AE324" i="27"/>
  <c r="AG323" i="27"/>
  <c r="AE323" i="27"/>
  <c r="AG322" i="27"/>
  <c r="AE322" i="27"/>
  <c r="AH322" i="27" s="1"/>
  <c r="AG321" i="27"/>
  <c r="AE321" i="27"/>
  <c r="AH321" i="27" s="1"/>
  <c r="AG320" i="27"/>
  <c r="AE320" i="27"/>
  <c r="AH320" i="27" s="1"/>
  <c r="AG319" i="27"/>
  <c r="AE319" i="27"/>
  <c r="AH319" i="27" s="1"/>
  <c r="AG318" i="27"/>
  <c r="AE318" i="27"/>
  <c r="AG317" i="27"/>
  <c r="AE317" i="27"/>
  <c r="AG316" i="27"/>
  <c r="AE316" i="27"/>
  <c r="AG315" i="27"/>
  <c r="AE315" i="27"/>
  <c r="AH315" i="27" s="1"/>
  <c r="AG314" i="27"/>
  <c r="AE314" i="27"/>
  <c r="AH314" i="27" s="1"/>
  <c r="AG313" i="27"/>
  <c r="AE313" i="27"/>
  <c r="AH313" i="27" s="1"/>
  <c r="AG312" i="27"/>
  <c r="AE312" i="27"/>
  <c r="AG311" i="27"/>
  <c r="AE311" i="27"/>
  <c r="AG310" i="27"/>
  <c r="AE310" i="27"/>
  <c r="AH310" i="27" s="1"/>
  <c r="AG309" i="27"/>
  <c r="AE309" i="27"/>
  <c r="AH309" i="27" s="1"/>
  <c r="AG308" i="27"/>
  <c r="AE308" i="27"/>
  <c r="AH308" i="27" s="1"/>
  <c r="AG307" i="27"/>
  <c r="AE307" i="27"/>
  <c r="AH307" i="27" s="1"/>
  <c r="AG306" i="27"/>
  <c r="AE306" i="27"/>
  <c r="AG305" i="27"/>
  <c r="AE305" i="27"/>
  <c r="AG304" i="27"/>
  <c r="AE304" i="27"/>
  <c r="AH304" i="27" s="1"/>
  <c r="AG303" i="27"/>
  <c r="AE303" i="27"/>
  <c r="AH303" i="27" s="1"/>
  <c r="AG302" i="27"/>
  <c r="AE302" i="27"/>
  <c r="AH302" i="27" s="1"/>
  <c r="AG301" i="27"/>
  <c r="AE301" i="27"/>
  <c r="AH301" i="27" s="1"/>
  <c r="AG300" i="27"/>
  <c r="AE300" i="27"/>
  <c r="AG299" i="27"/>
  <c r="AE299" i="27"/>
  <c r="AG298" i="27"/>
  <c r="AE298" i="27"/>
  <c r="AH298" i="27" s="1"/>
  <c r="AG297" i="27"/>
  <c r="AE297" i="27"/>
  <c r="AH297" i="27" s="1"/>
  <c r="AG296" i="27"/>
  <c r="AE296" i="27"/>
  <c r="AH296" i="27" s="1"/>
  <c r="AG295" i="27"/>
  <c r="AE295" i="27"/>
  <c r="AH295" i="27" s="1"/>
  <c r="AG294" i="27"/>
  <c r="AE294" i="27"/>
  <c r="AG293" i="27"/>
  <c r="AE293" i="27"/>
  <c r="AG292" i="27"/>
  <c r="AE292" i="27"/>
  <c r="AH292" i="27" s="1"/>
  <c r="AG291" i="27"/>
  <c r="AE291" i="27"/>
  <c r="AG290" i="27"/>
  <c r="AE290" i="27"/>
  <c r="AH290" i="27" s="1"/>
  <c r="AG289" i="27"/>
  <c r="AE289" i="27"/>
  <c r="AH289" i="27" s="1"/>
  <c r="AG288" i="27"/>
  <c r="AE288" i="27"/>
  <c r="AG287" i="27"/>
  <c r="AE287" i="27"/>
  <c r="AG286" i="27"/>
  <c r="AE286" i="27"/>
  <c r="AH286" i="27" s="1"/>
  <c r="AG285" i="27"/>
  <c r="AE285" i="27"/>
  <c r="AH285" i="27" s="1"/>
  <c r="AG284" i="27"/>
  <c r="AE284" i="27"/>
  <c r="AH284" i="27" s="1"/>
  <c r="AG283" i="27"/>
  <c r="AE283" i="27"/>
  <c r="AH283" i="27" s="1"/>
  <c r="AG282" i="27"/>
  <c r="AE282" i="27"/>
  <c r="AG281" i="27"/>
  <c r="AE281" i="27"/>
  <c r="AG280" i="27"/>
  <c r="AE280" i="27"/>
  <c r="AH280" i="27" s="1"/>
  <c r="AG279" i="27"/>
  <c r="AE279" i="27"/>
  <c r="AH279" i="27" s="1"/>
  <c r="AG278" i="27"/>
  <c r="AE278" i="27"/>
  <c r="AH278" i="27" s="1"/>
  <c r="AG277" i="27"/>
  <c r="AE277" i="27"/>
  <c r="AH277" i="27" s="1"/>
  <c r="AG276" i="27"/>
  <c r="AE276" i="27"/>
  <c r="AG275" i="27"/>
  <c r="AE275" i="27"/>
  <c r="AG274" i="27"/>
  <c r="AE274" i="27"/>
  <c r="AH274" i="27" s="1"/>
  <c r="AG273" i="27"/>
  <c r="AE273" i="27"/>
  <c r="AH273" i="27" s="1"/>
  <c r="AG272" i="27"/>
  <c r="AE272" i="27"/>
  <c r="AH272" i="27" s="1"/>
  <c r="AG271" i="27"/>
  <c r="AE271" i="27"/>
  <c r="AH271" i="27" s="1"/>
  <c r="AG270" i="27"/>
  <c r="AE270" i="27"/>
  <c r="AG269" i="27"/>
  <c r="AE269" i="27"/>
  <c r="AG268" i="27"/>
  <c r="AE268" i="27"/>
  <c r="AG267" i="27"/>
  <c r="AE267" i="27"/>
  <c r="AH267" i="27" s="1"/>
  <c r="AG266" i="27"/>
  <c r="AE266" i="27"/>
  <c r="AG265" i="27"/>
  <c r="AE265" i="27"/>
  <c r="AH265" i="27" s="1"/>
  <c r="AG264" i="27"/>
  <c r="AE264" i="27"/>
  <c r="AG263" i="27"/>
  <c r="AE263" i="27"/>
  <c r="AH263" i="27" s="1"/>
  <c r="AG262" i="27"/>
  <c r="AE262" i="27"/>
  <c r="AH262" i="27" s="1"/>
  <c r="AG261" i="27"/>
  <c r="AE261" i="27"/>
  <c r="AH261" i="27" s="1"/>
  <c r="AG260" i="27"/>
  <c r="AE260" i="27"/>
  <c r="AH260" i="27" s="1"/>
  <c r="AG259" i="27"/>
  <c r="AE259" i="27"/>
  <c r="AH259" i="27" s="1"/>
  <c r="AG258" i="27"/>
  <c r="AE258" i="27"/>
  <c r="AG257" i="27"/>
  <c r="AE257" i="27"/>
  <c r="AG256" i="27"/>
  <c r="AE256" i="27"/>
  <c r="AH256" i="27" s="1"/>
  <c r="AG255" i="27"/>
  <c r="AE255" i="27"/>
  <c r="AH255" i="27" s="1"/>
  <c r="AG254" i="27"/>
  <c r="AE254" i="27"/>
  <c r="AH254" i="27" s="1"/>
  <c r="AG253" i="27"/>
  <c r="AE253" i="27"/>
  <c r="AH253" i="27" s="1"/>
  <c r="AG252" i="27"/>
  <c r="AE252" i="27"/>
  <c r="AG251" i="27"/>
  <c r="AE251" i="27"/>
  <c r="AH251" i="27" s="1"/>
  <c r="AG250" i="27"/>
  <c r="AE250" i="27"/>
  <c r="AH250" i="27" s="1"/>
  <c r="AG249" i="27"/>
  <c r="AE249" i="27"/>
  <c r="AH249" i="27" s="1"/>
  <c r="AG248" i="27"/>
  <c r="AE248" i="27"/>
  <c r="AG247" i="27"/>
  <c r="AE247" i="27"/>
  <c r="AH247" i="27" s="1"/>
  <c r="AG246" i="27"/>
  <c r="AH246" i="27" s="1"/>
  <c r="AE246" i="27"/>
  <c r="AG245" i="27"/>
  <c r="AE245" i="27"/>
  <c r="AH245" i="27" s="1"/>
  <c r="AG244" i="27"/>
  <c r="AE244" i="27"/>
  <c r="AH244" i="27" s="1"/>
  <c r="AG243" i="27"/>
  <c r="AE243" i="27"/>
  <c r="AH243" i="27" s="1"/>
  <c r="AG242" i="27"/>
  <c r="AE242" i="27"/>
  <c r="AH242" i="27" s="1"/>
  <c r="AG241" i="27"/>
  <c r="AE241" i="27"/>
  <c r="AH241" i="27" s="1"/>
  <c r="AG240" i="27"/>
  <c r="AE240" i="27"/>
  <c r="AG239" i="27"/>
  <c r="AE239" i="27"/>
  <c r="AH239" i="27" s="1"/>
  <c r="AG238" i="27"/>
  <c r="AE238" i="27"/>
  <c r="AH238" i="27" s="1"/>
  <c r="AG237" i="27"/>
  <c r="AE237" i="27"/>
  <c r="AH237" i="27" s="1"/>
  <c r="AG236" i="27"/>
  <c r="AE236" i="27"/>
  <c r="AH236" i="27" s="1"/>
  <c r="AG235" i="27"/>
  <c r="AE235" i="27"/>
  <c r="AH235" i="27" s="1"/>
  <c r="AG234" i="27"/>
  <c r="AE234" i="27"/>
  <c r="J31" i="27" s="1"/>
  <c r="L31" i="27" s="1"/>
  <c r="AG233" i="27"/>
  <c r="AE233" i="27"/>
  <c r="AG232" i="27"/>
  <c r="AE232" i="27"/>
  <c r="AH232" i="27" s="1"/>
  <c r="AG231" i="27"/>
  <c r="AE231" i="27"/>
  <c r="AH231" i="27" s="1"/>
  <c r="AG230" i="27"/>
  <c r="AE230" i="27"/>
  <c r="AH230" i="27" s="1"/>
  <c r="AG229" i="27"/>
  <c r="AE229" i="27"/>
  <c r="AH229" i="27" s="1"/>
  <c r="AG228" i="27"/>
  <c r="AE228" i="27"/>
  <c r="AG227" i="27"/>
  <c r="AE227" i="27"/>
  <c r="AH227" i="27" s="1"/>
  <c r="AG226" i="27"/>
  <c r="AE226" i="27"/>
  <c r="AH226" i="27" s="1"/>
  <c r="AG225" i="27"/>
  <c r="AE225" i="27"/>
  <c r="AH225" i="27" s="1"/>
  <c r="AG224" i="27"/>
  <c r="AE224" i="27"/>
  <c r="AH224" i="27" s="1"/>
  <c r="AG223" i="27"/>
  <c r="AE223" i="27"/>
  <c r="AH223" i="27" s="1"/>
  <c r="AG222" i="27"/>
  <c r="AE222" i="27"/>
  <c r="AG221" i="27"/>
  <c r="AE221" i="27"/>
  <c r="AH221" i="27" s="1"/>
  <c r="AG220" i="27"/>
  <c r="AE220" i="27"/>
  <c r="AG219" i="27"/>
  <c r="AE219" i="27"/>
  <c r="AH219" i="27" s="1"/>
  <c r="AG218" i="27"/>
  <c r="AE218" i="27"/>
  <c r="AH218" i="27" s="1"/>
  <c r="AG217" i="27"/>
  <c r="AE217" i="27"/>
  <c r="AH217" i="27" s="1"/>
  <c r="AG216" i="27"/>
  <c r="AE216" i="27"/>
  <c r="AG215" i="27"/>
  <c r="AE215" i="27"/>
  <c r="AH215" i="27" s="1"/>
  <c r="AG214" i="27"/>
  <c r="AE214" i="27"/>
  <c r="AH214" i="27" s="1"/>
  <c r="AG213" i="27"/>
  <c r="AE213" i="27"/>
  <c r="AH213" i="27" s="1"/>
  <c r="AG212" i="27"/>
  <c r="AE212" i="27"/>
  <c r="AH212" i="27" s="1"/>
  <c r="AG211" i="27"/>
  <c r="AE211" i="27"/>
  <c r="AH211" i="27" s="1"/>
  <c r="AG210" i="27"/>
  <c r="AE210" i="27"/>
  <c r="AG209" i="27"/>
  <c r="AE209" i="27"/>
  <c r="AG208" i="27"/>
  <c r="AE208" i="27"/>
  <c r="AH208" i="27" s="1"/>
  <c r="AG207" i="27"/>
  <c r="AE207" i="27"/>
  <c r="AH207" i="27" s="1"/>
  <c r="AG206" i="27"/>
  <c r="AE206" i="27"/>
  <c r="AH206" i="27" s="1"/>
  <c r="AG205" i="27"/>
  <c r="AE205" i="27"/>
  <c r="AG204" i="27"/>
  <c r="AE204" i="27"/>
  <c r="AG203" i="27"/>
  <c r="AE203" i="27"/>
  <c r="AH203" i="27" s="1"/>
  <c r="AG202" i="27"/>
  <c r="AE202" i="27"/>
  <c r="AH202" i="27" s="1"/>
  <c r="AG201" i="27"/>
  <c r="AE201" i="27"/>
  <c r="AH201" i="27" s="1"/>
  <c r="AG200" i="27"/>
  <c r="AE200" i="27"/>
  <c r="AG199" i="27"/>
  <c r="AE199" i="27"/>
  <c r="AH199" i="27" s="1"/>
  <c r="AG198" i="27"/>
  <c r="AE198" i="27"/>
  <c r="AG197" i="27"/>
  <c r="AE197" i="27"/>
  <c r="AH197" i="27" s="1"/>
  <c r="AG196" i="27"/>
  <c r="AE196" i="27"/>
  <c r="AH196" i="27" s="1"/>
  <c r="AG195" i="27"/>
  <c r="AE195" i="27"/>
  <c r="AH195" i="27" s="1"/>
  <c r="AG194" i="27"/>
  <c r="AE194" i="27"/>
  <c r="AG193" i="27"/>
  <c r="AE193" i="27"/>
  <c r="AG192" i="27"/>
  <c r="AE192" i="27"/>
  <c r="AG191" i="27"/>
  <c r="AE191" i="27"/>
  <c r="AH191" i="27" s="1"/>
  <c r="AG190" i="27"/>
  <c r="AE190" i="27"/>
  <c r="AG189" i="27"/>
  <c r="AE189" i="27"/>
  <c r="AG188" i="27"/>
  <c r="AE188" i="27"/>
  <c r="AH188" i="27" s="1"/>
  <c r="AG187" i="27"/>
  <c r="AE187" i="27"/>
  <c r="AG186" i="27"/>
  <c r="AE186" i="27"/>
  <c r="AG185" i="27"/>
  <c r="AE185" i="27"/>
  <c r="AH185" i="27" s="1"/>
  <c r="AG184" i="27"/>
  <c r="AE184" i="27"/>
  <c r="AH184" i="27" s="1"/>
  <c r="AG183" i="27"/>
  <c r="AE183" i="27"/>
  <c r="AH183" i="27" s="1"/>
  <c r="AG182" i="27"/>
  <c r="AE182" i="27"/>
  <c r="AH182" i="27" s="1"/>
  <c r="AG181" i="27"/>
  <c r="AE181" i="27"/>
  <c r="AG180" i="27"/>
  <c r="AE180" i="27"/>
  <c r="AG179" i="27"/>
  <c r="AE179" i="27"/>
  <c r="AH179" i="27" s="1"/>
  <c r="AG178" i="27"/>
  <c r="AE178" i="27"/>
  <c r="AH178" i="27" s="1"/>
  <c r="AG177" i="27"/>
  <c r="AE177" i="27"/>
  <c r="AH177" i="27" s="1"/>
  <c r="AG176" i="27"/>
  <c r="AE176" i="27"/>
  <c r="AH176" i="27" s="1"/>
  <c r="AG175" i="27"/>
  <c r="AE175" i="27"/>
  <c r="AG174" i="27"/>
  <c r="AE174" i="27"/>
  <c r="AG173" i="27"/>
  <c r="AE173" i="27"/>
  <c r="AH173" i="27" s="1"/>
  <c r="AG172" i="27"/>
  <c r="AE172" i="27"/>
  <c r="AG171" i="27"/>
  <c r="AE171" i="27"/>
  <c r="AH171" i="27" s="1"/>
  <c r="AG170" i="27"/>
  <c r="AE170" i="27"/>
  <c r="AH170" i="27" s="1"/>
  <c r="AG169" i="27"/>
  <c r="AE169" i="27"/>
  <c r="AG168" i="27"/>
  <c r="AE168" i="27"/>
  <c r="AG167" i="27"/>
  <c r="AE167" i="27"/>
  <c r="AH167" i="27" s="1"/>
  <c r="AG166" i="27"/>
  <c r="AE166" i="27"/>
  <c r="AH166" i="27" s="1"/>
  <c r="AG165" i="27"/>
  <c r="AE165" i="27"/>
  <c r="AH165" i="27" s="1"/>
  <c r="AG164" i="27"/>
  <c r="AE164" i="27"/>
  <c r="AH164" i="27" s="1"/>
  <c r="AG163" i="27"/>
  <c r="AE163" i="27"/>
  <c r="AG162" i="27"/>
  <c r="AE162" i="27"/>
  <c r="AG161" i="27"/>
  <c r="AE161" i="27"/>
  <c r="AG160" i="27"/>
  <c r="AE160" i="27"/>
  <c r="AH160" i="27" s="1"/>
  <c r="AG159" i="27"/>
  <c r="AE159" i="27"/>
  <c r="AH159" i="27" s="1"/>
  <c r="AG158" i="27"/>
  <c r="AE158" i="27"/>
  <c r="AH158" i="27" s="1"/>
  <c r="AG157" i="27"/>
  <c r="AE157" i="27"/>
  <c r="AG156" i="27"/>
  <c r="AE156" i="27"/>
  <c r="AG155" i="27"/>
  <c r="AE155" i="27"/>
  <c r="AH155" i="27" s="1"/>
  <c r="AG154" i="27"/>
  <c r="AE154" i="27"/>
  <c r="AG153" i="27"/>
  <c r="AE153" i="27"/>
  <c r="AH153" i="27" s="1"/>
  <c r="AG152" i="27"/>
  <c r="AE152" i="27"/>
  <c r="AG151" i="27"/>
  <c r="AE151" i="27"/>
  <c r="AG150" i="27"/>
  <c r="AE150" i="27"/>
  <c r="AG149" i="27"/>
  <c r="AE149" i="27"/>
  <c r="AH149" i="27" s="1"/>
  <c r="AG148" i="27"/>
  <c r="AE148" i="27"/>
  <c r="AH148" i="27" s="1"/>
  <c r="AG147" i="27"/>
  <c r="AE147" i="27"/>
  <c r="AH147" i="27" s="1"/>
  <c r="AG146" i="27"/>
  <c r="AE146" i="27"/>
  <c r="AG145" i="27"/>
  <c r="AE145" i="27"/>
  <c r="AG144" i="27"/>
  <c r="AE144" i="27"/>
  <c r="AG143" i="27"/>
  <c r="AE143" i="27"/>
  <c r="AH143" i="27" s="1"/>
  <c r="AG142" i="27"/>
  <c r="AE142" i="27"/>
  <c r="AH142" i="27" s="1"/>
  <c r="AG141" i="27"/>
  <c r="AE141" i="27"/>
  <c r="AH141" i="27" s="1"/>
  <c r="AG140" i="27"/>
  <c r="AE140" i="27"/>
  <c r="AG139" i="27"/>
  <c r="AE139" i="27"/>
  <c r="AG138" i="27"/>
  <c r="AE138" i="27"/>
  <c r="AG137" i="27"/>
  <c r="AE137" i="27"/>
  <c r="AH137" i="27" s="1"/>
  <c r="AG136" i="27"/>
  <c r="AE136" i="27"/>
  <c r="AH136" i="27" s="1"/>
  <c r="AG135" i="27"/>
  <c r="AE135" i="27"/>
  <c r="AH135" i="27" s="1"/>
  <c r="AG134" i="27"/>
  <c r="AE134" i="27"/>
  <c r="AG133" i="27"/>
  <c r="AE133" i="27"/>
  <c r="AG132" i="27"/>
  <c r="AE132" i="27"/>
  <c r="AG131" i="27"/>
  <c r="AE131" i="27"/>
  <c r="AH131" i="27" s="1"/>
  <c r="AG130" i="27"/>
  <c r="AE130" i="27"/>
  <c r="AH130" i="27" s="1"/>
  <c r="AG129" i="27"/>
  <c r="AE129" i="27"/>
  <c r="AH129" i="27" s="1"/>
  <c r="AG128" i="27"/>
  <c r="AE128" i="27"/>
  <c r="AG127" i="27"/>
  <c r="AE127" i="27"/>
  <c r="AG126" i="27"/>
  <c r="AE126" i="27"/>
  <c r="AG125" i="27"/>
  <c r="AE125" i="27"/>
  <c r="AH125" i="27" s="1"/>
  <c r="AG124" i="27"/>
  <c r="AE124" i="27"/>
  <c r="AG123" i="27"/>
  <c r="AE123" i="27"/>
  <c r="AH123" i="27" s="1"/>
  <c r="AG122" i="27"/>
  <c r="AE122" i="27"/>
  <c r="AG121" i="27"/>
  <c r="AE121" i="27"/>
  <c r="AG120" i="27"/>
  <c r="AE120" i="27"/>
  <c r="AG119" i="27"/>
  <c r="AE119" i="27"/>
  <c r="AH119" i="27" s="1"/>
  <c r="AG118" i="27"/>
  <c r="AE118" i="27"/>
  <c r="AH118" i="27" s="1"/>
  <c r="AG117" i="27"/>
  <c r="AE117" i="27"/>
  <c r="AH117" i="27" s="1"/>
  <c r="AG116" i="27"/>
  <c r="AE116" i="27"/>
  <c r="AG115" i="27"/>
  <c r="AH115" i="27" s="1"/>
  <c r="AE115" i="27"/>
  <c r="AG114" i="27"/>
  <c r="AE114" i="27"/>
  <c r="AG113" i="27"/>
  <c r="AE113" i="27"/>
  <c r="AH113" i="27" s="1"/>
  <c r="AG112" i="27"/>
  <c r="AE112" i="27"/>
  <c r="AH112" i="27" s="1"/>
  <c r="AG111" i="27"/>
  <c r="AE111" i="27"/>
  <c r="AG110" i="27"/>
  <c r="AE110" i="27"/>
  <c r="AH110" i="27" s="1"/>
  <c r="AG109" i="27"/>
  <c r="AE109" i="27"/>
  <c r="AG108" i="27"/>
  <c r="AE108" i="27"/>
  <c r="AH108" i="27" s="1"/>
  <c r="AG107" i="27"/>
  <c r="AE107" i="27"/>
  <c r="AH107" i="27" s="1"/>
  <c r="AG106" i="27"/>
  <c r="AE106" i="27"/>
  <c r="AG105" i="27"/>
  <c r="AE105" i="27"/>
  <c r="AG104" i="27"/>
  <c r="AE104" i="27"/>
  <c r="AH104" i="27" s="1"/>
  <c r="AG103" i="27"/>
  <c r="AE103" i="27"/>
  <c r="AG102" i="27"/>
  <c r="AE102" i="27"/>
  <c r="AH102" i="27" s="1"/>
  <c r="AG101" i="27"/>
  <c r="AE101" i="27"/>
  <c r="AH101" i="27" s="1"/>
  <c r="AG100" i="27"/>
  <c r="AE100" i="27"/>
  <c r="AG99" i="27"/>
  <c r="AE99" i="27"/>
  <c r="AG98" i="27"/>
  <c r="AE98" i="27"/>
  <c r="AH98" i="27" s="1"/>
  <c r="AG97" i="27"/>
  <c r="AE97" i="27"/>
  <c r="AG96" i="27"/>
  <c r="AE96" i="27"/>
  <c r="AG95" i="27"/>
  <c r="AE95" i="27"/>
  <c r="AG94" i="27"/>
  <c r="AE94" i="27"/>
  <c r="AG93" i="27"/>
  <c r="AE93" i="27"/>
  <c r="AH93" i="27" s="1"/>
  <c r="AG92" i="27"/>
  <c r="AE92" i="27"/>
  <c r="AH92" i="27" s="1"/>
  <c r="AG91" i="27"/>
  <c r="AE91" i="27"/>
  <c r="AH91" i="27" s="1"/>
  <c r="AG90" i="27"/>
  <c r="AE90" i="27"/>
  <c r="AH90" i="27" s="1"/>
  <c r="AG89" i="27"/>
  <c r="AE89" i="27"/>
  <c r="AH89" i="27" s="1"/>
  <c r="AG88" i="27"/>
  <c r="AE88" i="27"/>
  <c r="AG87" i="27"/>
  <c r="AE87" i="27"/>
  <c r="AH87" i="27" s="1"/>
  <c r="AG86" i="27"/>
  <c r="AE86" i="27"/>
  <c r="AH86" i="27" s="1"/>
  <c r="AG85" i="27"/>
  <c r="AE85" i="27"/>
  <c r="AH85" i="27" s="1"/>
  <c r="AG84" i="27"/>
  <c r="AE84" i="27"/>
  <c r="AH84" i="27" s="1"/>
  <c r="AG83" i="27"/>
  <c r="AE83" i="27"/>
  <c r="AH83" i="27" s="1"/>
  <c r="AG82" i="27"/>
  <c r="AE82" i="27"/>
  <c r="AG81" i="27"/>
  <c r="AE81" i="27"/>
  <c r="AH81" i="27" s="1"/>
  <c r="AG80" i="27"/>
  <c r="AE80" i="27"/>
  <c r="AH80" i="27" s="1"/>
  <c r="AG79" i="27"/>
  <c r="AE79" i="27"/>
  <c r="AG78" i="27"/>
  <c r="AE78" i="27"/>
  <c r="AH78" i="27" s="1"/>
  <c r="AG77" i="27"/>
  <c r="AE77" i="27"/>
  <c r="AH77" i="27" s="1"/>
  <c r="AG76" i="27"/>
  <c r="AE76" i="27"/>
  <c r="AG75" i="27"/>
  <c r="AE75" i="27"/>
  <c r="AH75" i="27" s="1"/>
  <c r="AG74" i="27"/>
  <c r="AE74" i="27"/>
  <c r="AH74" i="27" s="1"/>
  <c r="AG73" i="27"/>
  <c r="AE73" i="27"/>
  <c r="AH73" i="27" s="1"/>
  <c r="AG72" i="27"/>
  <c r="AE72" i="27"/>
  <c r="AH72" i="27" s="1"/>
  <c r="AG71" i="27"/>
  <c r="AE71" i="27"/>
  <c r="AH71" i="27" s="1"/>
  <c r="AG70" i="27"/>
  <c r="AE70" i="27"/>
  <c r="AG69" i="27"/>
  <c r="AE69" i="27"/>
  <c r="AH69" i="27" s="1"/>
  <c r="AG68" i="27"/>
  <c r="AE68" i="27"/>
  <c r="AH68" i="27" s="1"/>
  <c r="AG67" i="27"/>
  <c r="AE67" i="27"/>
  <c r="AH67" i="27" s="1"/>
  <c r="AG66" i="27"/>
  <c r="AE66" i="27"/>
  <c r="AH66" i="27" s="1"/>
  <c r="AG65" i="27"/>
  <c r="AE65" i="27"/>
  <c r="AH65" i="27" s="1"/>
  <c r="AG64" i="27"/>
  <c r="AE64" i="27"/>
  <c r="AG63" i="27"/>
  <c r="AE63" i="27"/>
  <c r="AH63" i="27" s="1"/>
  <c r="AG62" i="27"/>
  <c r="AE62" i="27"/>
  <c r="AH62" i="27" s="1"/>
  <c r="AG61" i="27"/>
  <c r="AE61" i="27"/>
  <c r="AG60" i="27"/>
  <c r="AE60" i="27"/>
  <c r="AH60" i="27" s="1"/>
  <c r="AG59" i="27"/>
  <c r="AE59" i="27"/>
  <c r="AG58" i="27"/>
  <c r="AE58" i="27"/>
  <c r="AH58" i="27" s="1"/>
  <c r="AG57" i="27"/>
  <c r="AE57" i="27"/>
  <c r="AH57" i="27" s="1"/>
  <c r="AG56" i="27"/>
  <c r="AE56" i="27"/>
  <c r="AH56" i="27" s="1"/>
  <c r="AG55" i="27"/>
  <c r="AE55" i="27"/>
  <c r="AH55" i="27" s="1"/>
  <c r="AG54" i="27"/>
  <c r="AE54" i="27"/>
  <c r="AH54" i="27" s="1"/>
  <c r="AG53" i="27"/>
  <c r="AE53" i="27"/>
  <c r="AH53" i="27" s="1"/>
  <c r="AG52" i="27"/>
  <c r="AE52" i="27"/>
  <c r="AH52" i="27" s="1"/>
  <c r="AG51" i="27"/>
  <c r="AE51" i="27"/>
  <c r="AH51" i="27" s="1"/>
  <c r="AG50" i="27"/>
  <c r="AE50" i="27"/>
  <c r="AH50" i="27" s="1"/>
  <c r="AG49" i="27"/>
  <c r="AE49" i="27"/>
  <c r="AG48" i="27"/>
  <c r="AE48" i="27"/>
  <c r="AG47" i="27"/>
  <c r="AE47" i="27"/>
  <c r="AG46" i="27"/>
  <c r="AE46" i="27"/>
  <c r="AH46" i="27" s="1"/>
  <c r="AG45" i="27"/>
  <c r="AE45" i="27"/>
  <c r="J14" i="27" s="1"/>
  <c r="AG44" i="27"/>
  <c r="AE44" i="27"/>
  <c r="AH44" i="27" s="1"/>
  <c r="AG43" i="27"/>
  <c r="AE43" i="27"/>
  <c r="AG42" i="27"/>
  <c r="AE42" i="27"/>
  <c r="Q42" i="27"/>
  <c r="AG41" i="27"/>
  <c r="AE41" i="27"/>
  <c r="AH41" i="27" s="1"/>
  <c r="K41" i="27"/>
  <c r="AG40" i="27"/>
  <c r="AE40" i="27"/>
  <c r="AG39" i="27"/>
  <c r="AE39" i="27"/>
  <c r="AH39" i="27" s="1"/>
  <c r="P39" i="27"/>
  <c r="O39" i="27"/>
  <c r="N39" i="27"/>
  <c r="J39" i="27"/>
  <c r="F39" i="27"/>
  <c r="E39" i="27"/>
  <c r="D39" i="27"/>
  <c r="AG38" i="27"/>
  <c r="AE38" i="27"/>
  <c r="P38" i="27"/>
  <c r="O38" i="27"/>
  <c r="N38" i="27"/>
  <c r="Q38" i="27" s="1"/>
  <c r="J38" i="27"/>
  <c r="C38" i="27" s="1"/>
  <c r="F38" i="27"/>
  <c r="E38" i="27"/>
  <c r="D38" i="27"/>
  <c r="AG37" i="27"/>
  <c r="AE37" i="27"/>
  <c r="P37" i="27"/>
  <c r="O37" i="27"/>
  <c r="N37" i="27"/>
  <c r="J37" i="27"/>
  <c r="L37" i="27" s="1"/>
  <c r="F37" i="27"/>
  <c r="E37" i="27"/>
  <c r="D37" i="27"/>
  <c r="AG36" i="27"/>
  <c r="AE36" i="27"/>
  <c r="AH36" i="27" s="1"/>
  <c r="P36" i="27"/>
  <c r="O36" i="27"/>
  <c r="N36" i="27"/>
  <c r="J36" i="27"/>
  <c r="L36" i="27" s="1"/>
  <c r="F36" i="27"/>
  <c r="E36" i="27"/>
  <c r="D36" i="27"/>
  <c r="AG35" i="27"/>
  <c r="AE35" i="27"/>
  <c r="AH35" i="27" s="1"/>
  <c r="P35" i="27"/>
  <c r="O35" i="27"/>
  <c r="N35" i="27"/>
  <c r="J35" i="27"/>
  <c r="F35" i="27"/>
  <c r="E35" i="27"/>
  <c r="D35" i="27"/>
  <c r="AG34" i="27"/>
  <c r="AE34" i="27"/>
  <c r="P34" i="27"/>
  <c r="O34" i="27"/>
  <c r="N34" i="27"/>
  <c r="F34" i="27"/>
  <c r="E34" i="27"/>
  <c r="D34" i="27"/>
  <c r="AG33" i="27"/>
  <c r="AE33" i="27"/>
  <c r="AH33" i="27" s="1"/>
  <c r="P33" i="27"/>
  <c r="O33" i="27"/>
  <c r="N33" i="27"/>
  <c r="J33" i="27"/>
  <c r="F33" i="27"/>
  <c r="E33" i="27"/>
  <c r="D33" i="27"/>
  <c r="AG32" i="27"/>
  <c r="AE32" i="27"/>
  <c r="AH32" i="27" s="1"/>
  <c r="P32" i="27"/>
  <c r="O32" i="27"/>
  <c r="N32" i="27"/>
  <c r="J32" i="27"/>
  <c r="L32" i="27" s="1"/>
  <c r="F32" i="27"/>
  <c r="E32" i="27"/>
  <c r="D32" i="27"/>
  <c r="AG31" i="27"/>
  <c r="AE31" i="27"/>
  <c r="AH31" i="27" s="1"/>
  <c r="P31" i="27"/>
  <c r="O31" i="27"/>
  <c r="N31" i="27"/>
  <c r="F31" i="27"/>
  <c r="E31" i="27"/>
  <c r="D31" i="27"/>
  <c r="AG30" i="27"/>
  <c r="AE30" i="27"/>
  <c r="P30" i="27"/>
  <c r="O30" i="27"/>
  <c r="N30" i="27"/>
  <c r="J30" i="27"/>
  <c r="F30" i="27"/>
  <c r="E30" i="27"/>
  <c r="D30" i="27"/>
  <c r="AG29" i="27"/>
  <c r="AE29" i="27"/>
  <c r="AH29" i="27" s="1"/>
  <c r="P29" i="27"/>
  <c r="O29" i="27"/>
  <c r="N29" i="27"/>
  <c r="J29" i="27"/>
  <c r="L29" i="27" s="1"/>
  <c r="F29" i="27"/>
  <c r="E29" i="27"/>
  <c r="D29" i="27"/>
  <c r="AG28" i="27"/>
  <c r="AE28" i="27"/>
  <c r="AH28" i="27" s="1"/>
  <c r="P28" i="27"/>
  <c r="O28" i="27"/>
  <c r="N28" i="27"/>
  <c r="J28" i="27"/>
  <c r="L28" i="27" s="1"/>
  <c r="F28" i="27"/>
  <c r="E28" i="27"/>
  <c r="D28" i="27"/>
  <c r="AG27" i="27"/>
  <c r="AE27" i="27"/>
  <c r="AH27" i="27" s="1"/>
  <c r="P27" i="27"/>
  <c r="O27" i="27"/>
  <c r="N27" i="27"/>
  <c r="Q27" i="27" s="1"/>
  <c r="F27" i="27"/>
  <c r="E27" i="27"/>
  <c r="D27" i="27"/>
  <c r="AG26" i="27"/>
  <c r="AE26" i="27"/>
  <c r="P26" i="27"/>
  <c r="O26" i="27"/>
  <c r="N26" i="27"/>
  <c r="J26" i="27"/>
  <c r="F26" i="27"/>
  <c r="E26" i="27"/>
  <c r="D26" i="27"/>
  <c r="AG25" i="27"/>
  <c r="AH25" i="27" s="1"/>
  <c r="AE25" i="27"/>
  <c r="P25" i="27"/>
  <c r="O25" i="27"/>
  <c r="N25" i="27"/>
  <c r="J25" i="27"/>
  <c r="L25" i="27" s="1"/>
  <c r="F25" i="27"/>
  <c r="E25" i="27"/>
  <c r="D25" i="27"/>
  <c r="AG24" i="27"/>
  <c r="AE24" i="27"/>
  <c r="AH24" i="27" s="1"/>
  <c r="P24" i="27"/>
  <c r="O24" i="27"/>
  <c r="N24" i="27"/>
  <c r="J24" i="27"/>
  <c r="L24" i="27" s="1"/>
  <c r="F24" i="27"/>
  <c r="E24" i="27"/>
  <c r="D24" i="27"/>
  <c r="AG23" i="27"/>
  <c r="AE23" i="27"/>
  <c r="P23" i="27"/>
  <c r="O23" i="27"/>
  <c r="N23" i="27"/>
  <c r="Q23" i="27" s="1"/>
  <c r="J23" i="27"/>
  <c r="F23" i="27"/>
  <c r="E23" i="27"/>
  <c r="D23" i="27"/>
  <c r="AG22" i="27"/>
  <c r="AE22" i="27"/>
  <c r="AH22" i="27" s="1"/>
  <c r="P22" i="27"/>
  <c r="O22" i="27"/>
  <c r="N22" i="27"/>
  <c r="J22" i="27"/>
  <c r="L22" i="27" s="1"/>
  <c r="F22" i="27"/>
  <c r="E22" i="27"/>
  <c r="D22" i="27"/>
  <c r="AG21" i="27"/>
  <c r="AE21" i="27"/>
  <c r="P21" i="27"/>
  <c r="O21" i="27"/>
  <c r="N21" i="27"/>
  <c r="J21" i="27"/>
  <c r="F21" i="27"/>
  <c r="E21" i="27"/>
  <c r="D21" i="27"/>
  <c r="AG20" i="27"/>
  <c r="AE20" i="27"/>
  <c r="AH20" i="27" s="1"/>
  <c r="P20" i="27"/>
  <c r="O20" i="27"/>
  <c r="N20" i="27"/>
  <c r="J20" i="27"/>
  <c r="L20" i="27" s="1"/>
  <c r="F20" i="27"/>
  <c r="E20" i="27"/>
  <c r="D20" i="27"/>
  <c r="AG19" i="27"/>
  <c r="AE19" i="27"/>
  <c r="P19" i="27"/>
  <c r="O19" i="27"/>
  <c r="N19" i="27"/>
  <c r="Q19" i="27" s="1"/>
  <c r="F19" i="27"/>
  <c r="E19" i="27"/>
  <c r="D19" i="27"/>
  <c r="AG18" i="27"/>
  <c r="AE18" i="27"/>
  <c r="P18" i="27"/>
  <c r="O18" i="27"/>
  <c r="N18" i="27"/>
  <c r="J18" i="27"/>
  <c r="F18" i="27"/>
  <c r="E18" i="27"/>
  <c r="D18" i="27"/>
  <c r="AG17" i="27"/>
  <c r="AE17" i="27"/>
  <c r="P17" i="27"/>
  <c r="O17" i="27"/>
  <c r="N17" i="27"/>
  <c r="J17" i="27"/>
  <c r="F17" i="27"/>
  <c r="E17" i="27"/>
  <c r="D17" i="27"/>
  <c r="AG16" i="27"/>
  <c r="AE16" i="27"/>
  <c r="AH16" i="27" s="1"/>
  <c r="P16" i="27"/>
  <c r="O16" i="27"/>
  <c r="N16" i="27"/>
  <c r="J16" i="27"/>
  <c r="L16" i="27" s="1"/>
  <c r="F16" i="27"/>
  <c r="E16" i="27"/>
  <c r="D16" i="27"/>
  <c r="AG15" i="27"/>
  <c r="AE15" i="27"/>
  <c r="AH15" i="27" s="1"/>
  <c r="P15" i="27"/>
  <c r="O15" i="27"/>
  <c r="N15" i="27"/>
  <c r="Q15" i="27" s="1"/>
  <c r="J15" i="27"/>
  <c r="F15" i="27"/>
  <c r="E15" i="27"/>
  <c r="D15" i="27"/>
  <c r="AG14" i="27"/>
  <c r="AE14" i="27"/>
  <c r="AH14" i="27" s="1"/>
  <c r="P14" i="27"/>
  <c r="O14" i="27"/>
  <c r="N14" i="27"/>
  <c r="F14" i="27"/>
  <c r="E14" i="27"/>
  <c r="D14" i="27"/>
  <c r="AG13" i="27"/>
  <c r="AE13" i="27"/>
  <c r="AH13" i="27" s="1"/>
  <c r="P13" i="27"/>
  <c r="O13" i="27"/>
  <c r="N13" i="27"/>
  <c r="J13" i="27"/>
  <c r="L13" i="27" s="1"/>
  <c r="F13" i="27"/>
  <c r="E13" i="27"/>
  <c r="D13" i="27"/>
  <c r="AG12" i="27"/>
  <c r="AE12" i="27"/>
  <c r="P12" i="27"/>
  <c r="O12" i="27"/>
  <c r="N12" i="27"/>
  <c r="J12" i="27"/>
  <c r="L12" i="27" s="1"/>
  <c r="F12" i="27"/>
  <c r="E12" i="27"/>
  <c r="D12" i="27"/>
  <c r="AG11" i="27"/>
  <c r="AE11" i="27"/>
  <c r="AH11" i="27" s="1"/>
  <c r="P11" i="27"/>
  <c r="O11" i="27"/>
  <c r="N11" i="27"/>
  <c r="J11" i="27"/>
  <c r="L11" i="27" s="1"/>
  <c r="F11" i="27"/>
  <c r="E11" i="27"/>
  <c r="D11" i="27"/>
  <c r="AG10" i="27"/>
  <c r="AE10" i="27"/>
  <c r="P10" i="27"/>
  <c r="O10" i="27"/>
  <c r="N10" i="27"/>
  <c r="J10" i="27"/>
  <c r="L10" i="27" s="1"/>
  <c r="F10" i="27"/>
  <c r="E10" i="27"/>
  <c r="D10" i="27"/>
  <c r="AG9" i="27"/>
  <c r="AE9" i="27"/>
  <c r="AH9" i="27" s="1"/>
  <c r="AG8" i="27"/>
  <c r="AE8" i="27"/>
  <c r="AH8" i="27" s="1"/>
  <c r="AG7" i="27"/>
  <c r="AE7" i="27"/>
  <c r="AH7" i="27" s="1"/>
  <c r="AG6" i="27"/>
  <c r="AE6" i="27"/>
  <c r="AH6" i="27" s="1"/>
  <c r="AG5" i="27"/>
  <c r="AE5" i="27"/>
  <c r="H32" i="31" l="1"/>
  <c r="I32" i="31" s="1"/>
  <c r="H35" i="31"/>
  <c r="I35" i="31" s="1"/>
  <c r="H36" i="31"/>
  <c r="I36" i="31" s="1"/>
  <c r="H37" i="31"/>
  <c r="I37" i="31" s="1"/>
  <c r="H34" i="31"/>
  <c r="I34" i="31" s="1"/>
  <c r="H33" i="31"/>
  <c r="I33" i="31" s="1"/>
  <c r="H23" i="31"/>
  <c r="I23" i="31" s="1"/>
  <c r="H25" i="31"/>
  <c r="I25" i="31" s="1"/>
  <c r="H30" i="31"/>
  <c r="I30" i="31" s="1"/>
  <c r="H26" i="31"/>
  <c r="I26" i="31" s="1"/>
  <c r="H28" i="31"/>
  <c r="I28" i="31" s="1"/>
  <c r="H31" i="31"/>
  <c r="I31" i="31" s="1"/>
  <c r="H29" i="31"/>
  <c r="I29" i="31" s="1"/>
  <c r="H21" i="31"/>
  <c r="I21" i="31" s="1"/>
  <c r="H20" i="31"/>
  <c r="I20" i="31" s="1"/>
  <c r="H16" i="31"/>
  <c r="I16" i="31" s="1"/>
  <c r="H14" i="31"/>
  <c r="I14" i="31" s="1"/>
  <c r="H12" i="31"/>
  <c r="I12" i="31" s="1"/>
  <c r="H11" i="31"/>
  <c r="I11" i="31" s="1"/>
  <c r="H18" i="31"/>
  <c r="I18" i="31" s="1"/>
  <c r="H15" i="31"/>
  <c r="I15" i="31" s="1"/>
  <c r="H13" i="31"/>
  <c r="I13" i="31" s="1"/>
  <c r="Q41" i="31"/>
  <c r="I10" i="31"/>
  <c r="H17" i="31"/>
  <c r="I17" i="31" s="1"/>
  <c r="C41" i="31"/>
  <c r="G10" i="31"/>
  <c r="G41" i="31" s="1"/>
  <c r="E42" i="31" s="1"/>
  <c r="L41" i="31"/>
  <c r="K42" i="31" s="1"/>
  <c r="AH455" i="29"/>
  <c r="AH436" i="29"/>
  <c r="AH448" i="29"/>
  <c r="J34" i="29"/>
  <c r="L34" i="29" s="1"/>
  <c r="AH241" i="29"/>
  <c r="J29" i="29"/>
  <c r="L29" i="29" s="1"/>
  <c r="AH206" i="29"/>
  <c r="AH444" i="29"/>
  <c r="AH439" i="29"/>
  <c r="AH451" i="29"/>
  <c r="AH452" i="29"/>
  <c r="AH435" i="29"/>
  <c r="AH447" i="29"/>
  <c r="AH453" i="29"/>
  <c r="AH437" i="29"/>
  <c r="C30" i="29"/>
  <c r="G30" i="29" s="1"/>
  <c r="C33" i="29"/>
  <c r="G33" i="29" s="1"/>
  <c r="Q12" i="29"/>
  <c r="Q35" i="29"/>
  <c r="AH422" i="29"/>
  <c r="AH445" i="29"/>
  <c r="AH450" i="29"/>
  <c r="Q38" i="29"/>
  <c r="AH16" i="29"/>
  <c r="AH440" i="29"/>
  <c r="AH424" i="29"/>
  <c r="AH429" i="29"/>
  <c r="AH441" i="29"/>
  <c r="AH425" i="29"/>
  <c r="AH415" i="29"/>
  <c r="AH431" i="29"/>
  <c r="AH442" i="29"/>
  <c r="AH454" i="29"/>
  <c r="AH416" i="29"/>
  <c r="AH443" i="29"/>
  <c r="AH438" i="29"/>
  <c r="AH449" i="29"/>
  <c r="Q16" i="29"/>
  <c r="AH17" i="29"/>
  <c r="C20" i="29"/>
  <c r="G20" i="29" s="1"/>
  <c r="C27" i="29"/>
  <c r="G27" i="29" s="1"/>
  <c r="C21" i="29"/>
  <c r="G21" i="29" s="1"/>
  <c r="AH6" i="29"/>
  <c r="AH11" i="29"/>
  <c r="AH7" i="29"/>
  <c r="AH14" i="29"/>
  <c r="Q14" i="29"/>
  <c r="Q22" i="29"/>
  <c r="Q30" i="29"/>
  <c r="Q37" i="29"/>
  <c r="Q17" i="29"/>
  <c r="Q25" i="29"/>
  <c r="Q36" i="29"/>
  <c r="Q40" i="29"/>
  <c r="C15" i="29"/>
  <c r="G15" i="29" s="1"/>
  <c r="J19" i="29"/>
  <c r="L19" i="29" s="1"/>
  <c r="C12" i="29"/>
  <c r="G12" i="29" s="1"/>
  <c r="C11" i="29"/>
  <c r="G11" i="29" s="1"/>
  <c r="C23" i="29"/>
  <c r="G23" i="29" s="1"/>
  <c r="Q15" i="29"/>
  <c r="Q24" i="29"/>
  <c r="Q28" i="29"/>
  <c r="Q32" i="29"/>
  <c r="AH13" i="29"/>
  <c r="L20" i="29"/>
  <c r="AH5" i="29"/>
  <c r="Q20" i="29"/>
  <c r="AH12" i="29"/>
  <c r="Q19" i="29"/>
  <c r="H32" i="29"/>
  <c r="I32" i="29" s="1"/>
  <c r="AH15" i="29"/>
  <c r="AH8" i="29"/>
  <c r="AH10" i="29"/>
  <c r="Q13" i="29"/>
  <c r="AH18" i="29"/>
  <c r="AH9" i="29"/>
  <c r="C37" i="29"/>
  <c r="G37" i="29" s="1"/>
  <c r="C17" i="29"/>
  <c r="G17" i="29" s="1"/>
  <c r="Q27" i="29"/>
  <c r="Q26" i="29"/>
  <c r="L30" i="29"/>
  <c r="C38" i="29"/>
  <c r="G38" i="29" s="1"/>
  <c r="Q29" i="29"/>
  <c r="Q21" i="29"/>
  <c r="Q34" i="29"/>
  <c r="L11" i="29"/>
  <c r="Q11" i="29"/>
  <c r="F41" i="29"/>
  <c r="L16" i="29"/>
  <c r="C16" i="29"/>
  <c r="G16" i="29" s="1"/>
  <c r="C10" i="29"/>
  <c r="L10" i="29"/>
  <c r="L15" i="29"/>
  <c r="C26" i="29"/>
  <c r="G26" i="29" s="1"/>
  <c r="L12" i="29"/>
  <c r="L13" i="29"/>
  <c r="C13" i="29"/>
  <c r="G13" i="29" s="1"/>
  <c r="L27" i="29"/>
  <c r="D41" i="29"/>
  <c r="C24" i="29"/>
  <c r="G24" i="29" s="1"/>
  <c r="E41" i="29"/>
  <c r="L24" i="29"/>
  <c r="C34" i="29"/>
  <c r="G34" i="29" s="1"/>
  <c r="C39" i="29"/>
  <c r="G39" i="29" s="1"/>
  <c r="J14" i="29"/>
  <c r="L39" i="29"/>
  <c r="L40" i="29"/>
  <c r="C40" i="29"/>
  <c r="G40" i="29" s="1"/>
  <c r="Q23" i="29"/>
  <c r="C32" i="29"/>
  <c r="G32" i="29" s="1"/>
  <c r="J36" i="29"/>
  <c r="Q39" i="29"/>
  <c r="N41" i="29"/>
  <c r="C22" i="29"/>
  <c r="G22" i="29" s="1"/>
  <c r="C31" i="29"/>
  <c r="G31" i="29" s="1"/>
  <c r="O41" i="29"/>
  <c r="C18" i="29"/>
  <c r="G18" i="29" s="1"/>
  <c r="H34" i="29"/>
  <c r="I34" i="29" s="1"/>
  <c r="P41" i="29"/>
  <c r="L18" i="29"/>
  <c r="C28" i="29"/>
  <c r="G28" i="29" s="1"/>
  <c r="Q10" i="29"/>
  <c r="Q18" i="29"/>
  <c r="C35" i="29"/>
  <c r="G35" i="29" s="1"/>
  <c r="Q31" i="29"/>
  <c r="L35" i="29"/>
  <c r="C25" i="29"/>
  <c r="G25" i="29" s="1"/>
  <c r="AH428" i="29"/>
  <c r="Q33" i="29"/>
  <c r="AH278" i="28"/>
  <c r="AH284" i="28"/>
  <c r="AH290" i="28"/>
  <c r="AH302" i="28"/>
  <c r="AH274" i="28"/>
  <c r="AH298" i="28"/>
  <c r="C40" i="28"/>
  <c r="C39" i="28"/>
  <c r="G39" i="28" s="1"/>
  <c r="C38" i="28"/>
  <c r="Q39" i="28"/>
  <c r="Q18" i="28"/>
  <c r="AH264" i="28"/>
  <c r="AH260" i="28"/>
  <c r="AH266" i="28"/>
  <c r="AH245" i="28"/>
  <c r="AH246" i="28"/>
  <c r="AH254" i="28"/>
  <c r="AH249" i="28"/>
  <c r="AH436" i="28"/>
  <c r="AH218" i="28"/>
  <c r="AH247" i="28"/>
  <c r="AH295" i="28"/>
  <c r="AH319" i="28"/>
  <c r="AH343" i="28"/>
  <c r="AH361" i="28"/>
  <c r="AH373" i="28"/>
  <c r="AH390" i="28"/>
  <c r="AH396" i="28"/>
  <c r="AH401" i="28"/>
  <c r="AH350" i="28"/>
  <c r="AH380" i="28"/>
  <c r="AH385" i="28"/>
  <c r="AH420" i="28"/>
  <c r="AH339" i="28"/>
  <c r="AH386" i="28"/>
  <c r="AH415" i="28"/>
  <c r="AH451" i="28"/>
  <c r="AH340" i="28"/>
  <c r="AH352" i="28"/>
  <c r="AH364" i="28"/>
  <c r="AH375" i="28"/>
  <c r="AH381" i="28"/>
  <c r="AH404" i="28"/>
  <c r="AH422" i="28"/>
  <c r="AH446" i="28"/>
  <c r="AH36" i="28"/>
  <c r="AH293" i="28"/>
  <c r="AH341" i="28"/>
  <c r="AH417" i="28"/>
  <c r="AH9" i="28"/>
  <c r="AH78" i="28"/>
  <c r="AH90" i="28"/>
  <c r="AH102" i="28"/>
  <c r="AH108" i="28"/>
  <c r="AH114" i="28"/>
  <c r="AH120" i="28"/>
  <c r="AH126" i="28"/>
  <c r="AH132" i="28"/>
  <c r="AH138" i="28"/>
  <c r="AH144" i="28"/>
  <c r="H23" i="28" s="1"/>
  <c r="I23" i="28" s="1"/>
  <c r="AH156" i="28"/>
  <c r="AH162" i="28"/>
  <c r="AH168" i="28"/>
  <c r="AH174" i="28"/>
  <c r="AH192" i="28"/>
  <c r="AH198" i="28"/>
  <c r="AH210" i="28"/>
  <c r="AH216" i="28"/>
  <c r="AH234" i="28"/>
  <c r="AH240" i="28"/>
  <c r="AH377" i="28"/>
  <c r="AH400" i="28"/>
  <c r="AH32" i="28"/>
  <c r="AH263" i="28"/>
  <c r="AH287" i="28"/>
  <c r="AH305" i="28"/>
  <c r="AH383" i="28"/>
  <c r="AH394" i="28"/>
  <c r="AH399" i="28"/>
  <c r="AH410" i="28"/>
  <c r="AH416" i="28"/>
  <c r="AH426" i="28"/>
  <c r="AH453" i="28"/>
  <c r="AH228" i="28"/>
  <c r="AH335" i="28"/>
  <c r="AH346" i="28"/>
  <c r="AH351" i="28"/>
  <c r="AH368" i="28"/>
  <c r="AH378" i="28"/>
  <c r="AH405" i="28"/>
  <c r="AH443" i="28"/>
  <c r="AH454" i="28"/>
  <c r="Q34" i="28"/>
  <c r="AH357" i="28"/>
  <c r="AH395" i="28"/>
  <c r="AH411" i="28"/>
  <c r="AH427" i="28"/>
  <c r="AH253" i="28"/>
  <c r="AH265" i="28"/>
  <c r="AH277" i="28"/>
  <c r="AH289" i="28"/>
  <c r="AH301" i="28"/>
  <c r="AH313" i="28"/>
  <c r="AH325" i="28"/>
  <c r="AH347" i="28"/>
  <c r="AH358" i="28"/>
  <c r="AH363" i="28"/>
  <c r="AH379" i="28"/>
  <c r="AH406" i="28"/>
  <c r="AH412" i="28"/>
  <c r="AH438" i="28"/>
  <c r="AH449" i="28"/>
  <c r="AH62" i="28"/>
  <c r="AH68" i="28"/>
  <c r="AH80" i="28"/>
  <c r="AH92" i="28"/>
  <c r="AH98" i="28"/>
  <c r="AH104" i="28"/>
  <c r="AH110" i="28"/>
  <c r="AH116" i="28"/>
  <c r="AH146" i="28"/>
  <c r="AH188" i="28"/>
  <c r="AH206" i="28"/>
  <c r="AH431" i="28"/>
  <c r="AH212" i="28"/>
  <c r="AH353" i="28"/>
  <c r="AH407" i="28"/>
  <c r="AH439" i="28"/>
  <c r="AH450" i="28"/>
  <c r="AH161" i="28"/>
  <c r="AH209" i="28"/>
  <c r="AH215" i="28"/>
  <c r="AH227" i="28"/>
  <c r="AH367" i="28"/>
  <c r="AH442" i="28"/>
  <c r="Q14" i="28"/>
  <c r="AH153" i="28"/>
  <c r="AH201" i="28"/>
  <c r="AH225" i="28"/>
  <c r="AH272" i="28"/>
  <c r="AH320" i="28"/>
  <c r="AH354" i="28"/>
  <c r="AH359" i="28"/>
  <c r="AH365" i="28"/>
  <c r="AH391" i="28"/>
  <c r="AH397" i="28"/>
  <c r="AH402" i="28"/>
  <c r="AH408" i="28"/>
  <c r="AH423" i="28"/>
  <c r="AH429" i="28"/>
  <c r="AH434" i="28"/>
  <c r="C32" i="28"/>
  <c r="G32" i="28" s="1"/>
  <c r="AH279" i="28"/>
  <c r="AH285" i="28"/>
  <c r="AH303" i="28"/>
  <c r="AH309" i="28"/>
  <c r="AH327" i="28"/>
  <c r="AH333" i="28"/>
  <c r="AH392" i="28"/>
  <c r="AH403" i="28"/>
  <c r="AH414" i="28"/>
  <c r="AH419" i="28"/>
  <c r="AH435" i="28"/>
  <c r="AH203" i="28"/>
  <c r="AH447" i="28"/>
  <c r="AH29" i="28"/>
  <c r="AH76" i="28"/>
  <c r="AH112" i="28"/>
  <c r="AH142" i="28"/>
  <c r="AH226" i="28"/>
  <c r="AH280" i="28"/>
  <c r="AH286" i="28"/>
  <c r="AH292" i="28"/>
  <c r="AH304" i="28"/>
  <c r="AH310" i="28"/>
  <c r="AH316" i="28"/>
  <c r="AH328" i="28"/>
  <c r="AH344" i="28"/>
  <c r="AH355" i="28"/>
  <c r="AH371" i="28"/>
  <c r="AH387" i="28"/>
  <c r="AH393" i="28"/>
  <c r="AH425" i="28"/>
  <c r="AH242" i="28"/>
  <c r="AH232" i="28"/>
  <c r="AH238" i="28"/>
  <c r="AH221" i="28"/>
  <c r="AH239" i="28"/>
  <c r="AH211" i="28"/>
  <c r="AH223" i="28"/>
  <c r="AH252" i="28"/>
  <c r="J33" i="28"/>
  <c r="C33" i="28" s="1"/>
  <c r="G33" i="28" s="1"/>
  <c r="AH235" i="28"/>
  <c r="AH241" i="28"/>
  <c r="AH230" i="28"/>
  <c r="AH219" i="28"/>
  <c r="AH255" i="28"/>
  <c r="Q37" i="28"/>
  <c r="AH148" i="28"/>
  <c r="AH160" i="28"/>
  <c r="AH166" i="28"/>
  <c r="AH184" i="28"/>
  <c r="AH190" i="28"/>
  <c r="AH149" i="28"/>
  <c r="AH185" i="28"/>
  <c r="AH197" i="28"/>
  <c r="AH158" i="28"/>
  <c r="AH164" i="28"/>
  <c r="AH182" i="28"/>
  <c r="AH200" i="28"/>
  <c r="AH180" i="28"/>
  <c r="AH145" i="28"/>
  <c r="AH169" i="28"/>
  <c r="AH175" i="28"/>
  <c r="AH193" i="28"/>
  <c r="AH165" i="28"/>
  <c r="AH177" i="28"/>
  <c r="AH204" i="28"/>
  <c r="AH196" i="28"/>
  <c r="AH11" i="28"/>
  <c r="AH15" i="28"/>
  <c r="AH12" i="28"/>
  <c r="AH54" i="28"/>
  <c r="AH38" i="28"/>
  <c r="AH51" i="28"/>
  <c r="AH63" i="28"/>
  <c r="AH69" i="28"/>
  <c r="AH17" i="28"/>
  <c r="AH33" i="28"/>
  <c r="AH37" i="28"/>
  <c r="AH46" i="28"/>
  <c r="AH52" i="28"/>
  <c r="AH58" i="28"/>
  <c r="AH70" i="28"/>
  <c r="AH82" i="28"/>
  <c r="AH100" i="28"/>
  <c r="AH106" i="28"/>
  <c r="AH118" i="28"/>
  <c r="AH124" i="28"/>
  <c r="AH130" i="28"/>
  <c r="AH136" i="28"/>
  <c r="AH41" i="28"/>
  <c r="AH81" i="28"/>
  <c r="AH99" i="28"/>
  <c r="AH123" i="28"/>
  <c r="AH129" i="28"/>
  <c r="AH135" i="28"/>
  <c r="AH141" i="28"/>
  <c r="AH83" i="28"/>
  <c r="AH89" i="28"/>
  <c r="AH107" i="28"/>
  <c r="AH131" i="28"/>
  <c r="AH72" i="28"/>
  <c r="AH84" i="28"/>
  <c r="AH96" i="28"/>
  <c r="AH79" i="28"/>
  <c r="AH91" i="28"/>
  <c r="AH115" i="28"/>
  <c r="AH121" i="28"/>
  <c r="AH139" i="28"/>
  <c r="AH74" i="28"/>
  <c r="AH86" i="28"/>
  <c r="AH128" i="28"/>
  <c r="AH134" i="28"/>
  <c r="AH65" i="28"/>
  <c r="AH60" i="28"/>
  <c r="AH48" i="28"/>
  <c r="AH42" i="28"/>
  <c r="Q15" i="28"/>
  <c r="Q23" i="28"/>
  <c r="AH19" i="28"/>
  <c r="AH43" i="28"/>
  <c r="AH55" i="28"/>
  <c r="AH61" i="28"/>
  <c r="AH5" i="28"/>
  <c r="AH31" i="28"/>
  <c r="AH50" i="28"/>
  <c r="AH56" i="28"/>
  <c r="AH21" i="28"/>
  <c r="AH64" i="28"/>
  <c r="C11" i="28"/>
  <c r="G11" i="28" s="1"/>
  <c r="AH28" i="28"/>
  <c r="AH59" i="28"/>
  <c r="Q38" i="28"/>
  <c r="G40" i="28"/>
  <c r="Q22" i="28"/>
  <c r="Q12" i="28"/>
  <c r="G38" i="28"/>
  <c r="Q40" i="28"/>
  <c r="AH14" i="28"/>
  <c r="AH18" i="28"/>
  <c r="AH66" i="28"/>
  <c r="AH88" i="28"/>
  <c r="AH122" i="28"/>
  <c r="AH150" i="28"/>
  <c r="AH172" i="28"/>
  <c r="AH194" i="28"/>
  <c r="AH205" i="28"/>
  <c r="AH233" i="28"/>
  <c r="AH297" i="28"/>
  <c r="AH8" i="28"/>
  <c r="AH26" i="28"/>
  <c r="AH30" i="28"/>
  <c r="AH39" i="28"/>
  <c r="AH44" i="28"/>
  <c r="AH94" i="28"/>
  <c r="AH178" i="28"/>
  <c r="AH217" i="28"/>
  <c r="AH256" i="28"/>
  <c r="AH262" i="28"/>
  <c r="AH268" i="28"/>
  <c r="H36" i="28" s="1"/>
  <c r="I36" i="28" s="1"/>
  <c r="AH97" i="28"/>
  <c r="AH199" i="28"/>
  <c r="AH231" i="28"/>
  <c r="AH237" i="28"/>
  <c r="AH296" i="28"/>
  <c r="AH307" i="28"/>
  <c r="AH323" i="28"/>
  <c r="AH25" i="28"/>
  <c r="AH35" i="28"/>
  <c r="AH47" i="28"/>
  <c r="AH57" i="28"/>
  <c r="AH103" i="28"/>
  <c r="AH119" i="28"/>
  <c r="AH151" i="28"/>
  <c r="AH173" i="28"/>
  <c r="AH183" i="28"/>
  <c r="AH189" i="28"/>
  <c r="AH248" i="28"/>
  <c r="H30" i="28" s="1"/>
  <c r="I30" i="28" s="1"/>
  <c r="AH259" i="28"/>
  <c r="AH275" i="28"/>
  <c r="AH291" i="28"/>
  <c r="AH16" i="28"/>
  <c r="AH10" i="28"/>
  <c r="C16" i="28"/>
  <c r="G16" i="28" s="1"/>
  <c r="L38" i="28"/>
  <c r="AH53" i="28"/>
  <c r="AH93" i="28"/>
  <c r="AH109" i="28"/>
  <c r="AH152" i="28"/>
  <c r="AH163" i="28"/>
  <c r="AH179" i="28"/>
  <c r="AH195" i="28"/>
  <c r="AH271" i="28"/>
  <c r="Q19" i="28"/>
  <c r="AH6" i="28"/>
  <c r="H10" i="28" s="1"/>
  <c r="I10" i="28" s="1"/>
  <c r="AH87" i="28"/>
  <c r="AH113" i="28"/>
  <c r="AH105" i="28"/>
  <c r="AH127" i="28"/>
  <c r="AH191" i="28"/>
  <c r="AH202" i="28"/>
  <c r="AH224" i="28"/>
  <c r="AH261" i="28"/>
  <c r="AH315" i="28"/>
  <c r="AH331" i="28"/>
  <c r="AH75" i="28"/>
  <c r="AH85" i="28"/>
  <c r="AH95" i="28"/>
  <c r="AH111" i="28"/>
  <c r="AH143" i="28"/>
  <c r="AH154" i="28"/>
  <c r="AH159" i="28"/>
  <c r="AH170" i="28"/>
  <c r="AH176" i="28"/>
  <c r="AH186" i="28"/>
  <c r="AH213" i="28"/>
  <c r="AH251" i="28"/>
  <c r="AH267" i="28"/>
  <c r="AH283" i="28"/>
  <c r="AH49" i="28"/>
  <c r="AH207" i="28"/>
  <c r="AH299" i="28"/>
  <c r="AH13" i="28"/>
  <c r="AH22" i="28"/>
  <c r="AH67" i="28"/>
  <c r="AH77" i="28"/>
  <c r="AH167" i="28"/>
  <c r="AH45" i="28"/>
  <c r="AH71" i="28"/>
  <c r="AH101" i="28"/>
  <c r="AH117" i="28"/>
  <c r="AH155" i="28"/>
  <c r="AH171" i="28"/>
  <c r="AH187" i="28"/>
  <c r="AH257" i="28"/>
  <c r="AH311" i="28"/>
  <c r="L40" i="28"/>
  <c r="Q20" i="28"/>
  <c r="Q30" i="28"/>
  <c r="Q36" i="28"/>
  <c r="Q31" i="28"/>
  <c r="Q24" i="28"/>
  <c r="Q25" i="28"/>
  <c r="Q29" i="28"/>
  <c r="Q35" i="28"/>
  <c r="C13" i="28"/>
  <c r="G13" i="28" s="1"/>
  <c r="Q13" i="28"/>
  <c r="Q33" i="28"/>
  <c r="D41" i="28"/>
  <c r="Q17" i="28"/>
  <c r="Q28" i="28"/>
  <c r="Q16" i="28"/>
  <c r="C25" i="28"/>
  <c r="G25" i="28" s="1"/>
  <c r="Q27" i="28"/>
  <c r="Q21" i="28"/>
  <c r="Q32" i="28"/>
  <c r="L11" i="28"/>
  <c r="Q11" i="28"/>
  <c r="F41" i="28"/>
  <c r="Q10" i="28"/>
  <c r="P41" i="28"/>
  <c r="O41" i="28"/>
  <c r="C15" i="28"/>
  <c r="G15" i="28" s="1"/>
  <c r="L15" i="28"/>
  <c r="L10" i="28"/>
  <c r="C36" i="28"/>
  <c r="G36" i="28" s="1"/>
  <c r="H37" i="28"/>
  <c r="I37" i="28" s="1"/>
  <c r="L36" i="28"/>
  <c r="AH40" i="28"/>
  <c r="C18" i="28"/>
  <c r="G18" i="28" s="1"/>
  <c r="L18" i="28"/>
  <c r="C27" i="28"/>
  <c r="G27" i="28" s="1"/>
  <c r="L27" i="28"/>
  <c r="AH222" i="28"/>
  <c r="C22" i="28"/>
  <c r="G22" i="28" s="1"/>
  <c r="C28" i="28"/>
  <c r="G28" i="28" s="1"/>
  <c r="C10" i="28"/>
  <c r="C34" i="28"/>
  <c r="G34" i="28" s="1"/>
  <c r="C24" i="28"/>
  <c r="G24" i="28" s="1"/>
  <c r="L24" i="28"/>
  <c r="L32" i="28"/>
  <c r="C31" i="28"/>
  <c r="G31" i="28" s="1"/>
  <c r="C19" i="28"/>
  <c r="G19" i="28" s="1"/>
  <c r="L39" i="28"/>
  <c r="AH140" i="28"/>
  <c r="AH236" i="28"/>
  <c r="AH332" i="28"/>
  <c r="AH428" i="28"/>
  <c r="C12" i="28"/>
  <c r="G12" i="28" s="1"/>
  <c r="L12" i="28"/>
  <c r="C29" i="28"/>
  <c r="G29" i="28" s="1"/>
  <c r="C35" i="28"/>
  <c r="G35" i="28" s="1"/>
  <c r="N41" i="28"/>
  <c r="C21" i="28"/>
  <c r="G21" i="28" s="1"/>
  <c r="L21" i="28"/>
  <c r="E41" i="28"/>
  <c r="C14" i="28"/>
  <c r="G14" i="28" s="1"/>
  <c r="C17" i="28"/>
  <c r="G17" i="28" s="1"/>
  <c r="C20" i="28"/>
  <c r="G20" i="28" s="1"/>
  <c r="C23" i="28"/>
  <c r="G23" i="28" s="1"/>
  <c r="C26" i="28"/>
  <c r="G26" i="28" s="1"/>
  <c r="L29" i="28"/>
  <c r="C30" i="28"/>
  <c r="G30" i="28" s="1"/>
  <c r="L30" i="28"/>
  <c r="C37" i="28"/>
  <c r="G37" i="28" s="1"/>
  <c r="AH269" i="27"/>
  <c r="AH287" i="27"/>
  <c r="AH293" i="27"/>
  <c r="AH299" i="27"/>
  <c r="AH305" i="27"/>
  <c r="AH311" i="27"/>
  <c r="AH317" i="27"/>
  <c r="AH323" i="27"/>
  <c r="AH266" i="27"/>
  <c r="Q22" i="27"/>
  <c r="Q14" i="27"/>
  <c r="Q18" i="27"/>
  <c r="Q10" i="27"/>
  <c r="Q29" i="27"/>
  <c r="Q25" i="27"/>
  <c r="AH192" i="27"/>
  <c r="AH194" i="27"/>
  <c r="AH200" i="27"/>
  <c r="AH189" i="27"/>
  <c r="Q35" i="27"/>
  <c r="Q31" i="27"/>
  <c r="AH114" i="27"/>
  <c r="AH120" i="27"/>
  <c r="AH126" i="27"/>
  <c r="AH132" i="27"/>
  <c r="AH144" i="27"/>
  <c r="AH162" i="27"/>
  <c r="AH168" i="27"/>
  <c r="AH174" i="27"/>
  <c r="AH180" i="27"/>
  <c r="AH186" i="27"/>
  <c r="AH121" i="27"/>
  <c r="AH127" i="27"/>
  <c r="AH133" i="27"/>
  <c r="AH139" i="27"/>
  <c r="AH145" i="27"/>
  <c r="AH151" i="27"/>
  <c r="AH172" i="27"/>
  <c r="H25" i="27" s="1"/>
  <c r="I25" i="27" s="1"/>
  <c r="AH111" i="27"/>
  <c r="AH154" i="27"/>
  <c r="AH103" i="27"/>
  <c r="Q21" i="27"/>
  <c r="Q17" i="27"/>
  <c r="Q13" i="27"/>
  <c r="AH12" i="27"/>
  <c r="AH19" i="27"/>
  <c r="AH23" i="27"/>
  <c r="AH34" i="27"/>
  <c r="C10" i="27"/>
  <c r="G10" i="27" s="1"/>
  <c r="AH59" i="27"/>
  <c r="AH95" i="27"/>
  <c r="AH43" i="27"/>
  <c r="AH79" i="27"/>
  <c r="AH100" i="27"/>
  <c r="C12" i="27"/>
  <c r="G12" i="27" s="1"/>
  <c r="C11" i="27"/>
  <c r="G11" i="27" s="1"/>
  <c r="G38" i="27"/>
  <c r="Q39" i="27"/>
  <c r="C25" i="27"/>
  <c r="G25" i="27" s="1"/>
  <c r="Q34" i="27"/>
  <c r="C20" i="27"/>
  <c r="G20" i="27" s="1"/>
  <c r="Q30" i="27"/>
  <c r="Q37" i="27"/>
  <c r="Q33" i="27"/>
  <c r="Q12" i="27"/>
  <c r="Q11" i="27"/>
  <c r="Q16" i="27"/>
  <c r="Q20" i="27"/>
  <c r="Q24" i="27"/>
  <c r="Q28" i="27"/>
  <c r="Q32" i="27"/>
  <c r="Q36" i="27"/>
  <c r="AH26" i="27"/>
  <c r="AH30" i="27"/>
  <c r="AH38" i="27"/>
  <c r="AH47" i="27"/>
  <c r="AH64" i="27"/>
  <c r="AH76" i="27"/>
  <c r="H16" i="27" s="1"/>
  <c r="I16" i="27" s="1"/>
  <c r="AH99" i="27"/>
  <c r="AH163" i="27"/>
  <c r="AH169" i="27"/>
  <c r="AH175" i="27"/>
  <c r="AH181" i="27"/>
  <c r="AH187" i="27"/>
  <c r="AH5" i="27"/>
  <c r="AH17" i="27"/>
  <c r="H11" i="27" s="1"/>
  <c r="I11" i="27" s="1"/>
  <c r="AH21" i="27"/>
  <c r="AH42" i="27"/>
  <c r="AH82" i="27"/>
  <c r="AH94" i="27"/>
  <c r="AH105" i="27"/>
  <c r="AH116" i="27"/>
  <c r="AH122" i="27"/>
  <c r="AH128" i="27"/>
  <c r="AH134" i="27"/>
  <c r="AH140" i="27"/>
  <c r="AH146" i="27"/>
  <c r="AH152" i="27"/>
  <c r="AH193" i="27"/>
  <c r="H26" i="27" s="1"/>
  <c r="I26" i="27" s="1"/>
  <c r="AH210" i="27"/>
  <c r="AH222" i="27"/>
  <c r="AH228" i="27"/>
  <c r="AH240" i="27"/>
  <c r="AH252" i="27"/>
  <c r="AH258" i="27"/>
  <c r="AH270" i="27"/>
  <c r="AH276" i="27"/>
  <c r="H34" i="27" s="1"/>
  <c r="I34" i="27" s="1"/>
  <c r="AH282" i="27"/>
  <c r="AH288" i="27"/>
  <c r="AH300" i="27"/>
  <c r="AH306" i="27"/>
  <c r="H38" i="27" s="1"/>
  <c r="I38" i="27" s="1"/>
  <c r="AH312" i="27"/>
  <c r="AH318" i="27"/>
  <c r="AH324" i="27"/>
  <c r="AH330" i="27"/>
  <c r="AH336" i="27"/>
  <c r="AH49" i="27"/>
  <c r="AH96" i="27"/>
  <c r="AH18" i="27"/>
  <c r="C33" i="27"/>
  <c r="G33" i="27" s="1"/>
  <c r="L15" i="27"/>
  <c r="C15" i="27"/>
  <c r="G15" i="27" s="1"/>
  <c r="AH257" i="27"/>
  <c r="AH161" i="27"/>
  <c r="AH281" i="27"/>
  <c r="AH40" i="27"/>
  <c r="AH150" i="27"/>
  <c r="H21" i="27" s="1"/>
  <c r="I21" i="27" s="1"/>
  <c r="AH190" i="27"/>
  <c r="AH10" i="27"/>
  <c r="AH97" i="27"/>
  <c r="AH156" i="27"/>
  <c r="AH248" i="27"/>
  <c r="AH316" i="27"/>
  <c r="AH61" i="27"/>
  <c r="AH124" i="27"/>
  <c r="AH220" i="27"/>
  <c r="AH294" i="27"/>
  <c r="AH88" i="27"/>
  <c r="AH198" i="27"/>
  <c r="AH209" i="27"/>
  <c r="AH329" i="27"/>
  <c r="AH109" i="27"/>
  <c r="AH233" i="27"/>
  <c r="AH204" i="27"/>
  <c r="AH48" i="27"/>
  <c r="C22" i="27"/>
  <c r="G22" i="27" s="1"/>
  <c r="AH268" i="27"/>
  <c r="H32" i="27"/>
  <c r="I32" i="27" s="1"/>
  <c r="H39" i="27"/>
  <c r="I39" i="27" s="1"/>
  <c r="H28" i="27"/>
  <c r="I28" i="27" s="1"/>
  <c r="L30" i="27"/>
  <c r="C30" i="27"/>
  <c r="G30" i="27" s="1"/>
  <c r="C14" i="27"/>
  <c r="G14" i="27" s="1"/>
  <c r="L14" i="27"/>
  <c r="AH291" i="27"/>
  <c r="C37" i="27"/>
  <c r="G37" i="27" s="1"/>
  <c r="C36" i="27"/>
  <c r="G36" i="27" s="1"/>
  <c r="D41" i="27"/>
  <c r="C23" i="27"/>
  <c r="G23" i="27" s="1"/>
  <c r="L23" i="27"/>
  <c r="AH70" i="27"/>
  <c r="C16" i="27"/>
  <c r="G16" i="27" s="1"/>
  <c r="AH234" i="27"/>
  <c r="F41" i="27"/>
  <c r="C17" i="27"/>
  <c r="G17" i="27" s="1"/>
  <c r="L17" i="27"/>
  <c r="H12" i="27"/>
  <c r="I12" i="27" s="1"/>
  <c r="C31" i="27"/>
  <c r="G31" i="27" s="1"/>
  <c r="L39" i="27"/>
  <c r="C39" i="27"/>
  <c r="G39" i="27" s="1"/>
  <c r="O41" i="27"/>
  <c r="C13" i="27"/>
  <c r="G13" i="27" s="1"/>
  <c r="AH157" i="27"/>
  <c r="AH216" i="27"/>
  <c r="AH417" i="27"/>
  <c r="AH45" i="27"/>
  <c r="H14" i="27" s="1"/>
  <c r="I14" i="27" s="1"/>
  <c r="AH138" i="27"/>
  <c r="E41" i="27"/>
  <c r="L21" i="27"/>
  <c r="C21" i="27"/>
  <c r="G21" i="27" s="1"/>
  <c r="C18" i="27"/>
  <c r="G18" i="27" s="1"/>
  <c r="L38" i="27"/>
  <c r="P41" i="27"/>
  <c r="C29" i="27"/>
  <c r="G29" i="27" s="1"/>
  <c r="J19" i="27"/>
  <c r="AH106" i="27"/>
  <c r="AH205" i="27"/>
  <c r="C28" i="27"/>
  <c r="G28" i="27" s="1"/>
  <c r="AH264" i="27"/>
  <c r="H31" i="27" s="1"/>
  <c r="I31" i="27" s="1"/>
  <c r="L18" i="27"/>
  <c r="C32" i="27"/>
  <c r="G32" i="27" s="1"/>
  <c r="N41" i="27"/>
  <c r="AH37" i="27"/>
  <c r="C26" i="27"/>
  <c r="G26" i="27" s="1"/>
  <c r="L26" i="27"/>
  <c r="C35" i="27"/>
  <c r="G35" i="27" s="1"/>
  <c r="AH275" i="27"/>
  <c r="J34" i="27"/>
  <c r="C24" i="27"/>
  <c r="G24" i="27" s="1"/>
  <c r="Q26" i="27"/>
  <c r="J27" i="27"/>
  <c r="L35" i="27"/>
  <c r="I41" i="31" l="1"/>
  <c r="H41" i="31"/>
  <c r="J42" i="31"/>
  <c r="L42" i="31"/>
  <c r="C42" i="31"/>
  <c r="D42" i="31"/>
  <c r="F42" i="31"/>
  <c r="C29" i="29"/>
  <c r="G29" i="29" s="1"/>
  <c r="H36" i="29"/>
  <c r="I36" i="29" s="1"/>
  <c r="H39" i="29"/>
  <c r="I39" i="29" s="1"/>
  <c r="H35" i="29"/>
  <c r="I35" i="29" s="1"/>
  <c r="H40" i="29"/>
  <c r="I40" i="29" s="1"/>
  <c r="H37" i="29"/>
  <c r="I37" i="29" s="1"/>
  <c r="H38" i="29"/>
  <c r="I38" i="29" s="1"/>
  <c r="H31" i="29"/>
  <c r="I31" i="29" s="1"/>
  <c r="H29" i="29"/>
  <c r="I29" i="29" s="1"/>
  <c r="H28" i="29"/>
  <c r="I28" i="29" s="1"/>
  <c r="H30" i="29"/>
  <c r="I30" i="29" s="1"/>
  <c r="H33" i="29"/>
  <c r="I33" i="29" s="1"/>
  <c r="H17" i="29"/>
  <c r="I17" i="29" s="1"/>
  <c r="H21" i="29"/>
  <c r="I21" i="29" s="1"/>
  <c r="H27" i="29"/>
  <c r="I27" i="29" s="1"/>
  <c r="H23" i="29"/>
  <c r="I23" i="29" s="1"/>
  <c r="H25" i="29"/>
  <c r="I25" i="29" s="1"/>
  <c r="H22" i="29"/>
  <c r="I22" i="29" s="1"/>
  <c r="H24" i="29"/>
  <c r="I24" i="29" s="1"/>
  <c r="H26" i="29"/>
  <c r="I26" i="29" s="1"/>
  <c r="H20" i="29"/>
  <c r="I20" i="29" s="1"/>
  <c r="H12" i="29"/>
  <c r="I12" i="29" s="1"/>
  <c r="H14" i="29"/>
  <c r="I14" i="29" s="1"/>
  <c r="H16" i="29"/>
  <c r="I16" i="29" s="1"/>
  <c r="H15" i="29"/>
  <c r="I15" i="29" s="1"/>
  <c r="H18" i="29"/>
  <c r="I18" i="29" s="1"/>
  <c r="H19" i="29"/>
  <c r="I19" i="29" s="1"/>
  <c r="C19" i="29"/>
  <c r="G19" i="29" s="1"/>
  <c r="H13" i="29"/>
  <c r="I13" i="29" s="1"/>
  <c r="H11" i="29"/>
  <c r="I11" i="29" s="1"/>
  <c r="H10" i="29"/>
  <c r="I10" i="29" s="1"/>
  <c r="C36" i="29"/>
  <c r="G36" i="29" s="1"/>
  <c r="L36" i="29"/>
  <c r="J41" i="29"/>
  <c r="C14" i="29"/>
  <c r="G14" i="29" s="1"/>
  <c r="L14" i="29"/>
  <c r="Q41" i="29"/>
  <c r="G10" i="29"/>
  <c r="H38" i="28"/>
  <c r="I38" i="28" s="1"/>
  <c r="H40" i="28"/>
  <c r="I40" i="28" s="1"/>
  <c r="H39" i="28"/>
  <c r="I39" i="28" s="1"/>
  <c r="H35" i="28"/>
  <c r="I35" i="28" s="1"/>
  <c r="J41" i="28"/>
  <c r="L41" i="28" s="1"/>
  <c r="K42" i="28" s="1"/>
  <c r="H31" i="28"/>
  <c r="I31" i="28" s="1"/>
  <c r="H26" i="28"/>
  <c r="I26" i="28" s="1"/>
  <c r="H34" i="28"/>
  <c r="I34" i="28" s="1"/>
  <c r="H33" i="28"/>
  <c r="I33" i="28" s="1"/>
  <c r="H32" i="28"/>
  <c r="I32" i="28" s="1"/>
  <c r="H27" i="28"/>
  <c r="I27" i="28" s="1"/>
  <c r="H24" i="28"/>
  <c r="I24" i="28" s="1"/>
  <c r="H29" i="28"/>
  <c r="I29" i="28" s="1"/>
  <c r="H25" i="28"/>
  <c r="I25" i="28" s="1"/>
  <c r="H28" i="28"/>
  <c r="I28" i="28" s="1"/>
  <c r="H15" i="28"/>
  <c r="I15" i="28" s="1"/>
  <c r="H20" i="28"/>
  <c r="I20" i="28" s="1"/>
  <c r="H12" i="28"/>
  <c r="I12" i="28" s="1"/>
  <c r="H11" i="28"/>
  <c r="I11" i="28" s="1"/>
  <c r="H18" i="28"/>
  <c r="I18" i="28" s="1"/>
  <c r="H19" i="28"/>
  <c r="I19" i="28" s="1"/>
  <c r="H17" i="28"/>
  <c r="I17" i="28" s="1"/>
  <c r="H22" i="28"/>
  <c r="I22" i="28" s="1"/>
  <c r="H21" i="28"/>
  <c r="I21" i="28" s="1"/>
  <c r="H14" i="28"/>
  <c r="I14" i="28" s="1"/>
  <c r="H16" i="28"/>
  <c r="I16" i="28" s="1"/>
  <c r="H13" i="28"/>
  <c r="I13" i="28" s="1"/>
  <c r="Q41" i="28"/>
  <c r="G10" i="28"/>
  <c r="G41" i="28" s="1"/>
  <c r="E42" i="28" s="1"/>
  <c r="C41" i="28"/>
  <c r="H33" i="27"/>
  <c r="I33" i="27" s="1"/>
  <c r="H37" i="27"/>
  <c r="I37" i="27" s="1"/>
  <c r="H35" i="27"/>
  <c r="I35" i="27" s="1"/>
  <c r="H36" i="27"/>
  <c r="I36" i="27" s="1"/>
  <c r="H29" i="27"/>
  <c r="I29" i="27" s="1"/>
  <c r="H30" i="27"/>
  <c r="I30" i="27" s="1"/>
  <c r="H27" i="27"/>
  <c r="I27" i="27" s="1"/>
  <c r="H24" i="27"/>
  <c r="I24" i="27" s="1"/>
  <c r="H20" i="27"/>
  <c r="I20" i="27" s="1"/>
  <c r="H22" i="27"/>
  <c r="I22" i="27" s="1"/>
  <c r="H19" i="27"/>
  <c r="I19" i="27" s="1"/>
  <c r="H23" i="27"/>
  <c r="I23" i="27" s="1"/>
  <c r="H17" i="27"/>
  <c r="I17" i="27" s="1"/>
  <c r="H15" i="27"/>
  <c r="I15" i="27" s="1"/>
  <c r="H10" i="27"/>
  <c r="I10" i="27" s="1"/>
  <c r="H13" i="27"/>
  <c r="I13" i="27" s="1"/>
  <c r="H18" i="27"/>
  <c r="I18" i="27" s="1"/>
  <c r="Q41" i="27"/>
  <c r="J41" i="27"/>
  <c r="L34" i="27"/>
  <c r="C34" i="27"/>
  <c r="G34" i="27" s="1"/>
  <c r="L19" i="27"/>
  <c r="C19" i="27"/>
  <c r="G19" i="27" s="1"/>
  <c r="L27" i="27"/>
  <c r="C27" i="27"/>
  <c r="G27" i="27" s="1"/>
  <c r="I41" i="29" l="1"/>
  <c r="H41" i="29"/>
  <c r="C41" i="29"/>
  <c r="G41" i="29"/>
  <c r="F42" i="29" s="1"/>
  <c r="L41" i="29"/>
  <c r="K42" i="29" s="1"/>
  <c r="I41" i="28"/>
  <c r="H41" i="28"/>
  <c r="C42" i="28"/>
  <c r="J42" i="28"/>
  <c r="L42" i="28"/>
  <c r="D42" i="28"/>
  <c r="F42" i="28"/>
  <c r="H41" i="27"/>
  <c r="I41" i="27"/>
  <c r="G41" i="27"/>
  <c r="L41" i="27"/>
  <c r="K42" i="27" s="1"/>
  <c r="C41" i="27"/>
  <c r="J42" i="29" l="1"/>
  <c r="C42" i="29"/>
  <c r="E42" i="29"/>
  <c r="D42" i="29"/>
  <c r="L42" i="29"/>
  <c r="J42" i="27"/>
  <c r="L42" i="27"/>
  <c r="C42" i="27"/>
  <c r="F42" i="27"/>
  <c r="E42" i="27"/>
  <c r="D42" i="27"/>
  <c r="AH6" i="24" l="1"/>
  <c r="AH7" i="24"/>
  <c r="AH8" i="24"/>
  <c r="AH9" i="24"/>
  <c r="AH10" i="24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H25" i="24"/>
  <c r="AH26" i="24"/>
  <c r="AH27" i="24"/>
  <c r="AH28" i="24"/>
  <c r="AH29" i="24"/>
  <c r="AH30" i="24"/>
  <c r="AH31" i="24"/>
  <c r="AH32" i="24"/>
  <c r="AH33" i="24"/>
  <c r="AH34" i="24"/>
  <c r="AH35" i="24"/>
  <c r="AH36" i="24"/>
  <c r="AH37" i="24"/>
  <c r="AH38" i="24"/>
  <c r="AH39" i="24"/>
  <c r="AH40" i="24"/>
  <c r="AH41" i="24"/>
  <c r="AH42" i="24"/>
  <c r="AH43" i="24"/>
  <c r="AH44" i="24"/>
  <c r="AH45" i="24"/>
  <c r="AH46" i="24"/>
  <c r="AH47" i="24"/>
  <c r="AH48" i="24"/>
  <c r="AH49" i="24"/>
  <c r="AH50" i="24"/>
  <c r="AH51" i="24"/>
  <c r="AH52" i="24"/>
  <c r="AH53" i="24"/>
  <c r="AH54" i="24"/>
  <c r="AH55" i="24"/>
  <c r="AH56" i="24"/>
  <c r="AH57" i="24"/>
  <c r="AH58" i="24"/>
  <c r="AH59" i="24"/>
  <c r="AH60" i="24"/>
  <c r="AH61" i="24"/>
  <c r="AH62" i="24"/>
  <c r="AH63" i="24"/>
  <c r="AH64" i="24"/>
  <c r="AH65" i="24"/>
  <c r="AH66" i="24"/>
  <c r="AH67" i="24"/>
  <c r="AH68" i="24"/>
  <c r="AH69" i="24"/>
  <c r="AH70" i="24"/>
  <c r="AH71" i="24"/>
  <c r="AH72" i="24"/>
  <c r="AH73" i="24"/>
  <c r="AH74" i="24"/>
  <c r="AH75" i="24"/>
  <c r="AH76" i="24"/>
  <c r="AH77" i="24"/>
  <c r="AH78" i="24"/>
  <c r="AH79" i="24"/>
  <c r="AH80" i="24"/>
  <c r="AH81" i="24"/>
  <c r="AH82" i="24"/>
  <c r="AH83" i="24"/>
  <c r="AH84" i="24"/>
  <c r="AH85" i="24"/>
  <c r="AH86" i="24"/>
  <c r="AH87" i="24"/>
  <c r="AH88" i="24"/>
  <c r="AH89" i="24"/>
  <c r="AH90" i="24"/>
  <c r="AH91" i="24"/>
  <c r="AH92" i="24"/>
  <c r="AH93" i="24"/>
  <c r="AH94" i="24"/>
  <c r="AH95" i="24"/>
  <c r="AH96" i="24"/>
  <c r="AH97" i="24"/>
  <c r="AH98" i="24"/>
  <c r="AH99" i="24"/>
  <c r="AH100" i="24"/>
  <c r="AH101" i="24"/>
  <c r="AH102" i="24"/>
  <c r="AH103" i="24"/>
  <c r="AH104" i="24"/>
  <c r="AH105" i="24"/>
  <c r="AH106" i="24"/>
  <c r="AH107" i="24"/>
  <c r="AH108" i="24"/>
  <c r="AH109" i="24"/>
  <c r="AH110" i="24"/>
  <c r="AH111" i="24"/>
  <c r="AH112" i="24"/>
  <c r="AH113" i="24"/>
  <c r="AH114" i="24"/>
  <c r="AH115" i="24"/>
  <c r="AH116" i="24"/>
  <c r="AH117" i="24"/>
  <c r="AH118" i="24"/>
  <c r="AH119" i="24"/>
  <c r="AH120" i="24"/>
  <c r="AH121" i="24"/>
  <c r="AH122" i="24"/>
  <c r="AH123" i="24"/>
  <c r="AH124" i="24"/>
  <c r="AH125" i="24"/>
  <c r="AH126" i="24"/>
  <c r="AH127" i="24"/>
  <c r="AH128" i="24"/>
  <c r="AH129" i="24"/>
  <c r="AH130" i="24"/>
  <c r="AH131" i="24"/>
  <c r="AH132" i="24"/>
  <c r="AH133" i="24"/>
  <c r="AH134" i="24"/>
  <c r="AH135" i="24"/>
  <c r="AH136" i="24"/>
  <c r="AH137" i="24"/>
  <c r="AH138" i="24"/>
  <c r="AH139" i="24"/>
  <c r="AH140" i="24"/>
  <c r="AH141" i="24"/>
  <c r="AH142" i="24"/>
  <c r="AH143" i="24"/>
  <c r="AH144" i="24"/>
  <c r="AH145" i="24"/>
  <c r="AH146" i="24"/>
  <c r="AH147" i="24"/>
  <c r="AH148" i="24"/>
  <c r="AH149" i="24"/>
  <c r="AH150" i="24"/>
  <c r="AH151" i="24"/>
  <c r="AH152" i="24"/>
  <c r="AH153" i="24"/>
  <c r="AH154" i="24"/>
  <c r="AH155" i="24"/>
  <c r="AH156" i="24"/>
  <c r="AH157" i="24"/>
  <c r="AH158" i="24"/>
  <c r="AH159" i="24"/>
  <c r="AH160" i="24"/>
  <c r="AH161" i="24"/>
  <c r="AH162" i="24"/>
  <c r="AH163" i="24"/>
  <c r="AH164" i="24"/>
  <c r="AH165" i="24"/>
  <c r="AH166" i="24"/>
  <c r="AH167" i="24"/>
  <c r="AH168" i="24"/>
  <c r="AH169" i="24"/>
  <c r="AH170" i="24"/>
  <c r="AH171" i="24"/>
  <c r="AH172" i="24"/>
  <c r="AH173" i="24"/>
  <c r="AH174" i="24"/>
  <c r="AH175" i="24"/>
  <c r="AH176" i="24"/>
  <c r="AH177" i="24"/>
  <c r="AH178" i="24"/>
  <c r="AH179" i="24"/>
  <c r="AH180" i="24"/>
  <c r="AH181" i="24"/>
  <c r="AH182" i="24"/>
  <c r="AH183" i="24"/>
  <c r="AH184" i="24"/>
  <c r="AH185" i="24"/>
  <c r="AH186" i="24"/>
  <c r="AH187" i="24"/>
  <c r="AH188" i="24"/>
  <c r="AH189" i="24"/>
  <c r="AH190" i="24"/>
  <c r="AH191" i="24"/>
  <c r="AH192" i="24"/>
  <c r="AH193" i="24"/>
  <c r="AH194" i="24"/>
  <c r="AH195" i="24"/>
  <c r="AH196" i="24"/>
  <c r="AH197" i="24"/>
  <c r="AH198" i="24"/>
  <c r="AH199" i="24"/>
  <c r="AH200" i="24"/>
  <c r="AH201" i="24"/>
  <c r="AH202" i="24"/>
  <c r="AH203" i="24"/>
  <c r="AH204" i="24"/>
  <c r="AH205" i="24"/>
  <c r="AH206" i="24"/>
  <c r="AH207" i="24"/>
  <c r="AH208" i="24"/>
  <c r="AH209" i="24"/>
  <c r="AH210" i="24"/>
  <c r="AH211" i="24"/>
  <c r="AH212" i="24"/>
  <c r="AH213" i="24"/>
  <c r="AH214" i="24"/>
  <c r="AH215" i="24"/>
  <c r="AH216" i="24"/>
  <c r="AH217" i="24"/>
  <c r="AH218" i="24"/>
  <c r="AH219" i="24"/>
  <c r="AH220" i="24"/>
  <c r="AH221" i="24"/>
  <c r="AH222" i="24"/>
  <c r="AH223" i="24"/>
  <c r="AH224" i="24"/>
  <c r="AH225" i="24"/>
  <c r="AH226" i="24"/>
  <c r="AH227" i="24"/>
  <c r="AH228" i="24"/>
  <c r="AH229" i="24"/>
  <c r="AH230" i="24"/>
  <c r="AH231" i="24"/>
  <c r="AH232" i="24"/>
  <c r="AH233" i="24"/>
  <c r="AH234" i="24"/>
  <c r="AH235" i="24"/>
  <c r="AH236" i="24"/>
  <c r="AH237" i="24"/>
  <c r="AH238" i="24"/>
  <c r="AH239" i="24"/>
  <c r="AH240" i="24"/>
  <c r="AH241" i="24"/>
  <c r="AH242" i="24"/>
  <c r="AH243" i="24"/>
  <c r="AH244" i="24"/>
  <c r="AH245" i="24"/>
  <c r="AH246" i="24"/>
  <c r="AH247" i="24"/>
  <c r="AH248" i="24"/>
  <c r="AH249" i="24"/>
  <c r="AH250" i="24"/>
  <c r="AH251" i="24"/>
  <c r="AH252" i="24"/>
  <c r="AH253" i="24"/>
  <c r="AH254" i="24"/>
  <c r="AH255" i="24"/>
  <c r="AH256" i="24"/>
  <c r="AH257" i="24"/>
  <c r="AH258" i="24"/>
  <c r="AH259" i="24"/>
  <c r="AH260" i="24"/>
  <c r="AH261" i="24"/>
  <c r="AH262" i="24"/>
  <c r="AH263" i="24"/>
  <c r="AH264" i="24"/>
  <c r="AH265" i="24"/>
  <c r="AH266" i="24"/>
  <c r="AH267" i="24"/>
  <c r="AH268" i="24"/>
  <c r="AH269" i="24"/>
  <c r="AH270" i="24"/>
  <c r="AH271" i="24"/>
  <c r="AH272" i="24"/>
  <c r="AH273" i="24"/>
  <c r="AH274" i="24"/>
  <c r="AH275" i="24"/>
  <c r="AH276" i="24"/>
  <c r="AH277" i="24"/>
  <c r="AH278" i="24"/>
  <c r="AH279" i="24"/>
  <c r="AH280" i="24"/>
  <c r="AH281" i="24"/>
  <c r="AH282" i="24"/>
  <c r="AH283" i="24"/>
  <c r="AH284" i="24"/>
  <c r="AH285" i="24"/>
  <c r="AH286" i="24"/>
  <c r="AH287" i="24"/>
  <c r="AH288" i="24"/>
  <c r="AH289" i="24"/>
  <c r="AH290" i="24"/>
  <c r="AH291" i="24"/>
  <c r="AH292" i="24"/>
  <c r="AH293" i="24"/>
  <c r="AH294" i="24"/>
  <c r="AH295" i="24"/>
  <c r="AH296" i="24"/>
  <c r="AH297" i="24"/>
  <c r="AH298" i="24"/>
  <c r="AH299" i="24"/>
  <c r="AH300" i="24"/>
  <c r="AH301" i="24"/>
  <c r="AH302" i="24"/>
  <c r="AH303" i="24"/>
  <c r="AH304" i="24"/>
  <c r="AH305" i="24"/>
  <c r="AH306" i="24"/>
  <c r="AH307" i="24"/>
  <c r="AH308" i="24"/>
  <c r="AH309" i="24"/>
  <c r="AH310" i="24"/>
  <c r="AH311" i="24"/>
  <c r="AH312" i="24"/>
  <c r="AH313" i="24"/>
  <c r="AH314" i="24"/>
  <c r="AH315" i="24"/>
  <c r="AH316" i="24"/>
  <c r="AH317" i="24"/>
  <c r="AH318" i="24"/>
  <c r="AH319" i="24"/>
  <c r="AH320" i="24"/>
  <c r="AH321" i="24"/>
  <c r="AH322" i="24"/>
  <c r="AH323" i="24"/>
  <c r="AH324" i="24"/>
  <c r="AH325" i="24"/>
  <c r="AH326" i="24"/>
  <c r="AH327" i="24"/>
  <c r="AH328" i="24"/>
  <c r="AH329" i="24"/>
  <c r="AH330" i="24"/>
  <c r="AH331" i="24"/>
  <c r="AH332" i="24"/>
  <c r="AH333" i="24"/>
  <c r="AH334" i="24"/>
  <c r="AH335" i="24"/>
  <c r="AH336" i="24"/>
  <c r="AH337" i="24"/>
  <c r="AH338" i="24"/>
  <c r="AH339" i="24"/>
  <c r="AH340" i="24"/>
  <c r="AH341" i="24"/>
  <c r="AH342" i="24"/>
  <c r="AH343" i="24"/>
  <c r="AH344" i="24"/>
  <c r="AH345" i="24"/>
  <c r="AH346" i="24"/>
  <c r="AH347" i="24"/>
  <c r="AH348" i="24"/>
  <c r="AH349" i="24"/>
  <c r="AH350" i="24"/>
  <c r="AH351" i="24"/>
  <c r="AH352" i="24"/>
  <c r="AH353" i="24"/>
  <c r="AH354" i="24"/>
  <c r="AH355" i="24"/>
  <c r="AH356" i="24"/>
  <c r="AH357" i="24"/>
  <c r="AH358" i="24"/>
  <c r="AH359" i="24"/>
  <c r="AH360" i="24"/>
  <c r="AH361" i="24"/>
  <c r="AH362" i="24"/>
  <c r="AH363" i="24"/>
  <c r="AH364" i="24"/>
  <c r="AH365" i="24"/>
  <c r="AH366" i="24"/>
  <c r="AH367" i="24"/>
  <c r="AH368" i="24"/>
  <c r="AH369" i="24"/>
  <c r="AH370" i="24"/>
  <c r="AH371" i="24"/>
  <c r="AH372" i="24"/>
  <c r="AH373" i="24"/>
  <c r="AH374" i="24"/>
  <c r="AH375" i="24"/>
  <c r="AH376" i="24"/>
  <c r="AH377" i="24"/>
  <c r="AH378" i="24"/>
  <c r="AH379" i="24"/>
  <c r="AH380" i="24"/>
  <c r="AH381" i="24"/>
  <c r="AH382" i="24"/>
  <c r="AH383" i="24"/>
  <c r="AH384" i="24"/>
  <c r="AH385" i="24"/>
  <c r="AH386" i="24"/>
  <c r="AH387" i="24"/>
  <c r="AH388" i="24"/>
  <c r="AH389" i="24"/>
  <c r="AH390" i="24"/>
  <c r="AH391" i="24"/>
  <c r="AH392" i="24"/>
  <c r="AH393" i="24"/>
  <c r="AH394" i="24"/>
  <c r="AH395" i="24"/>
  <c r="AH396" i="24"/>
  <c r="AH397" i="24"/>
  <c r="AH398" i="24"/>
  <c r="AH399" i="24"/>
  <c r="AH400" i="24"/>
  <c r="AH401" i="24"/>
  <c r="AH402" i="24"/>
  <c r="AH403" i="24"/>
  <c r="AH404" i="24"/>
  <c r="AH405" i="24"/>
  <c r="AH406" i="24"/>
  <c r="AH407" i="24"/>
  <c r="AH408" i="24"/>
  <c r="AH409" i="24"/>
  <c r="AH410" i="24"/>
  <c r="AH411" i="24"/>
  <c r="AH412" i="24"/>
  <c r="AH413" i="24"/>
  <c r="AH414" i="24"/>
  <c r="AH415" i="24"/>
  <c r="AH416" i="24"/>
  <c r="AH417" i="24"/>
  <c r="AH418" i="24"/>
  <c r="AH419" i="24"/>
  <c r="AH420" i="24"/>
  <c r="AH421" i="24"/>
  <c r="AH422" i="24"/>
  <c r="AH423" i="24"/>
  <c r="AH424" i="24"/>
  <c r="AH425" i="24"/>
  <c r="AH426" i="24"/>
  <c r="AH427" i="24"/>
  <c r="AH428" i="24"/>
  <c r="AH429" i="24"/>
  <c r="AH430" i="24"/>
  <c r="AH431" i="24"/>
  <c r="AH432" i="24"/>
  <c r="AH433" i="24"/>
  <c r="AH434" i="24"/>
  <c r="AH435" i="24"/>
  <c r="AH436" i="24"/>
  <c r="AH437" i="24"/>
  <c r="AH438" i="24"/>
  <c r="AH439" i="24"/>
  <c r="AH440" i="24"/>
  <c r="AH441" i="24"/>
  <c r="AH442" i="24"/>
  <c r="AH443" i="24"/>
  <c r="AH444" i="24"/>
  <c r="AH445" i="24"/>
  <c r="AH446" i="24"/>
  <c r="AH447" i="24"/>
  <c r="AH448" i="24"/>
  <c r="AH449" i="24"/>
  <c r="AH450" i="24"/>
  <c r="AH451" i="24"/>
  <c r="AH452" i="24"/>
  <c r="AH453" i="24"/>
  <c r="AH454" i="24"/>
  <c r="AH455" i="24"/>
  <c r="AH456" i="24"/>
  <c r="AH457" i="24"/>
  <c r="AH458" i="24"/>
  <c r="AH459" i="24"/>
  <c r="AH460" i="24"/>
  <c r="AH461" i="24"/>
  <c r="AH462" i="24"/>
  <c r="AH463" i="24"/>
  <c r="AH464" i="24"/>
  <c r="AH465" i="24"/>
  <c r="AH466" i="24"/>
  <c r="AH467" i="24"/>
  <c r="AH468" i="24"/>
  <c r="AH469" i="24"/>
  <c r="AH470" i="24"/>
  <c r="AH471" i="24"/>
  <c r="AH472" i="24"/>
  <c r="AH473" i="24"/>
  <c r="AH474" i="24"/>
  <c r="AH475" i="24"/>
  <c r="AH476" i="24"/>
  <c r="AH477" i="24"/>
  <c r="AH5" i="24"/>
  <c r="AH22" i="25"/>
  <c r="AH27" i="25"/>
  <c r="AH39" i="25"/>
  <c r="AH62" i="25"/>
  <c r="AH66" i="25"/>
  <c r="AH74" i="25"/>
  <c r="AH146" i="25"/>
  <c r="AH194" i="25"/>
  <c r="AH210" i="25"/>
  <c r="AH211" i="25"/>
  <c r="AH215" i="25"/>
  <c r="AH264" i="25"/>
  <c r="AH289" i="25"/>
  <c r="AH300" i="25"/>
  <c r="AH311" i="25"/>
  <c r="AH312" i="25"/>
  <c r="AH313" i="25"/>
  <c r="AH339" i="25"/>
  <c r="AH342" i="25"/>
  <c r="AH344" i="25"/>
  <c r="AH345" i="25"/>
  <c r="AH348" i="25"/>
  <c r="AH351" i="25"/>
  <c r="AH353" i="25"/>
  <c r="AH357" i="25"/>
  <c r="AH360" i="25"/>
  <c r="AH366" i="25"/>
  <c r="AH367" i="25"/>
  <c r="AH368" i="25"/>
  <c r="AH369" i="25"/>
  <c r="AH375" i="25"/>
  <c r="AH378" i="25"/>
  <c r="AH380" i="25"/>
  <c r="AH381" i="25"/>
  <c r="AH384" i="25"/>
  <c r="AH387" i="25"/>
  <c r="AH389" i="25"/>
  <c r="AH393" i="25"/>
  <c r="AH396" i="25"/>
  <c r="AH402" i="25"/>
  <c r="AH403" i="25"/>
  <c r="AH404" i="25"/>
  <c r="AH405" i="25"/>
  <c r="AH411" i="25"/>
  <c r="AH414" i="25"/>
  <c r="AH416" i="25"/>
  <c r="AH417" i="25"/>
  <c r="AH420" i="25"/>
  <c r="AH423" i="25"/>
  <c r="AH425" i="25"/>
  <c r="AH429" i="25"/>
  <c r="AH432" i="25"/>
  <c r="AH438" i="25"/>
  <c r="AH439" i="25"/>
  <c r="AH440" i="25"/>
  <c r="AH441" i="25"/>
  <c r="AH447" i="25"/>
  <c r="AH450" i="25"/>
  <c r="AH452" i="25"/>
  <c r="AH453" i="25"/>
  <c r="AH456" i="25"/>
  <c r="AH459" i="25"/>
  <c r="AH460" i="25"/>
  <c r="AH461" i="25"/>
  <c r="AH463" i="25"/>
  <c r="AH465" i="25"/>
  <c r="AH468" i="25"/>
  <c r="AH472" i="25"/>
  <c r="AH473" i="25"/>
  <c r="AH474" i="25"/>
  <c r="AH475" i="25"/>
  <c r="AH477" i="25"/>
  <c r="AH484" i="25"/>
  <c r="AH485" i="25"/>
  <c r="AH486" i="25"/>
  <c r="AH487" i="25"/>
  <c r="AH5" i="25"/>
  <c r="P40" i="25"/>
  <c r="O40" i="25"/>
  <c r="N40" i="25"/>
  <c r="L40" i="25"/>
  <c r="J40" i="25"/>
  <c r="F40" i="25"/>
  <c r="E40" i="25"/>
  <c r="D40" i="25"/>
  <c r="AE483" i="25"/>
  <c r="AH483" i="25" s="1"/>
  <c r="AE482" i="25"/>
  <c r="AH482" i="25" s="1"/>
  <c r="AE481" i="25"/>
  <c r="AH481" i="25" s="1"/>
  <c r="AE480" i="25"/>
  <c r="AH480" i="25" s="1"/>
  <c r="AE479" i="25"/>
  <c r="AH479" i="25" s="1"/>
  <c r="AE478" i="25"/>
  <c r="AH478" i="25" s="1"/>
  <c r="AE477" i="25"/>
  <c r="AE476" i="25"/>
  <c r="AH476" i="25" s="1"/>
  <c r="AE475" i="25"/>
  <c r="AE474" i="25"/>
  <c r="AE473" i="25"/>
  <c r="AE472" i="25"/>
  <c r="AE471" i="25"/>
  <c r="AH471" i="25" s="1"/>
  <c r="AE470" i="25"/>
  <c r="AH470" i="25" s="1"/>
  <c r="AE469" i="25"/>
  <c r="AH469" i="25" s="1"/>
  <c r="AE468" i="25"/>
  <c r="AE467" i="25"/>
  <c r="AH467" i="25" s="1"/>
  <c r="AE466" i="25"/>
  <c r="AH466" i="25" s="1"/>
  <c r="AE465" i="25"/>
  <c r="AE464" i="25"/>
  <c r="AH464" i="25" s="1"/>
  <c r="AE463" i="25"/>
  <c r="AE462" i="25"/>
  <c r="AH462" i="25" s="1"/>
  <c r="AE461" i="25"/>
  <c r="AE460" i="25"/>
  <c r="AE459" i="25"/>
  <c r="AE458" i="25"/>
  <c r="AH458" i="25" s="1"/>
  <c r="AE457" i="25"/>
  <c r="AH457" i="25" s="1"/>
  <c r="AE456" i="25"/>
  <c r="AG455" i="25"/>
  <c r="AE455" i="25"/>
  <c r="AH455" i="25" s="1"/>
  <c r="AG454" i="25"/>
  <c r="AE454" i="25"/>
  <c r="AH454" i="25" s="1"/>
  <c r="AG453" i="25"/>
  <c r="AE453" i="25"/>
  <c r="AG452" i="25"/>
  <c r="AE452" i="25"/>
  <c r="AG451" i="25"/>
  <c r="AE451" i="25"/>
  <c r="AH451" i="25" s="1"/>
  <c r="AG450" i="25"/>
  <c r="AE450" i="25"/>
  <c r="AG449" i="25"/>
  <c r="AH449" i="25" s="1"/>
  <c r="AE449" i="25"/>
  <c r="AG448" i="25"/>
  <c r="AE448" i="25"/>
  <c r="AH448" i="25" s="1"/>
  <c r="AG447" i="25"/>
  <c r="AE447" i="25"/>
  <c r="AG446" i="25"/>
  <c r="AE446" i="25"/>
  <c r="AG445" i="25"/>
  <c r="AE445" i="25"/>
  <c r="AH445" i="25" s="1"/>
  <c r="AG444" i="25"/>
  <c r="AE444" i="25"/>
  <c r="AH444" i="25" s="1"/>
  <c r="AG443" i="25"/>
  <c r="AE443" i="25"/>
  <c r="AH443" i="25" s="1"/>
  <c r="AG442" i="25"/>
  <c r="AE442" i="25"/>
  <c r="AH442" i="25" s="1"/>
  <c r="AG441" i="25"/>
  <c r="AE441" i="25"/>
  <c r="AG440" i="25"/>
  <c r="AE440" i="25"/>
  <c r="AG439" i="25"/>
  <c r="AE439" i="25"/>
  <c r="AG438" i="25"/>
  <c r="AE438" i="25"/>
  <c r="AG437" i="25"/>
  <c r="AH437" i="25" s="1"/>
  <c r="AE437" i="25"/>
  <c r="AG436" i="25"/>
  <c r="AE436" i="25"/>
  <c r="AH436" i="25" s="1"/>
  <c r="AG435" i="25"/>
  <c r="AE435" i="25"/>
  <c r="AH435" i="25" s="1"/>
  <c r="AG434" i="25"/>
  <c r="AE434" i="25"/>
  <c r="AG433" i="25"/>
  <c r="AE433" i="25"/>
  <c r="AH433" i="25" s="1"/>
  <c r="AG432" i="25"/>
  <c r="AE432" i="25"/>
  <c r="AG431" i="25"/>
  <c r="AE431" i="25"/>
  <c r="AH431" i="25" s="1"/>
  <c r="AG430" i="25"/>
  <c r="AE430" i="25"/>
  <c r="AH430" i="25" s="1"/>
  <c r="AG429" i="25"/>
  <c r="AE429" i="25"/>
  <c r="AG428" i="25"/>
  <c r="AE428" i="25"/>
  <c r="AH428" i="25" s="1"/>
  <c r="AG427" i="25"/>
  <c r="AE427" i="25"/>
  <c r="AH427" i="25" s="1"/>
  <c r="AG426" i="25"/>
  <c r="AE426" i="25"/>
  <c r="AH426" i="25" s="1"/>
  <c r="AG425" i="25"/>
  <c r="AE425" i="25"/>
  <c r="AG424" i="25"/>
  <c r="AE424" i="25"/>
  <c r="AH424" i="25" s="1"/>
  <c r="AG423" i="25"/>
  <c r="AE423" i="25"/>
  <c r="AG422" i="25"/>
  <c r="AE422" i="25"/>
  <c r="AG421" i="25"/>
  <c r="AE421" i="25"/>
  <c r="AH421" i="25" s="1"/>
  <c r="AG420" i="25"/>
  <c r="AE420" i="25"/>
  <c r="AG419" i="25"/>
  <c r="AE419" i="25"/>
  <c r="AH419" i="25" s="1"/>
  <c r="AG418" i="25"/>
  <c r="AE418" i="25"/>
  <c r="AH418" i="25" s="1"/>
  <c r="AG417" i="25"/>
  <c r="AE417" i="25"/>
  <c r="AG416" i="25"/>
  <c r="AE416" i="25"/>
  <c r="AG415" i="25"/>
  <c r="AE415" i="25"/>
  <c r="AH415" i="25" s="1"/>
  <c r="AG414" i="25"/>
  <c r="AE414" i="25"/>
  <c r="AG413" i="25"/>
  <c r="AH413" i="25" s="1"/>
  <c r="AE413" i="25"/>
  <c r="AG412" i="25"/>
  <c r="AE412" i="25"/>
  <c r="AH412" i="25" s="1"/>
  <c r="AG411" i="25"/>
  <c r="AE411" i="25"/>
  <c r="AG410" i="25"/>
  <c r="AE410" i="25"/>
  <c r="AG409" i="25"/>
  <c r="AE409" i="25"/>
  <c r="AH409" i="25" s="1"/>
  <c r="AG408" i="25"/>
  <c r="AE408" i="25"/>
  <c r="AH408" i="25" s="1"/>
  <c r="AG407" i="25"/>
  <c r="AE407" i="25"/>
  <c r="AH407" i="25" s="1"/>
  <c r="AG406" i="25"/>
  <c r="AE406" i="25"/>
  <c r="AH406" i="25" s="1"/>
  <c r="AG405" i="25"/>
  <c r="AE405" i="25"/>
  <c r="AG404" i="25"/>
  <c r="AE404" i="25"/>
  <c r="AG403" i="25"/>
  <c r="AE403" i="25"/>
  <c r="AG402" i="25"/>
  <c r="AE402" i="25"/>
  <c r="AG401" i="25"/>
  <c r="AH401" i="25" s="1"/>
  <c r="AE401" i="25"/>
  <c r="AG400" i="25"/>
  <c r="AE400" i="25"/>
  <c r="AH400" i="25" s="1"/>
  <c r="AG399" i="25"/>
  <c r="AE399" i="25"/>
  <c r="AH399" i="25" s="1"/>
  <c r="AG398" i="25"/>
  <c r="AE398" i="25"/>
  <c r="AG397" i="25"/>
  <c r="AE397" i="25"/>
  <c r="AH397" i="25" s="1"/>
  <c r="AG396" i="25"/>
  <c r="AE396" i="25"/>
  <c r="AG395" i="25"/>
  <c r="AE395" i="25"/>
  <c r="AH395" i="25" s="1"/>
  <c r="AG394" i="25"/>
  <c r="AE394" i="25"/>
  <c r="AH394" i="25" s="1"/>
  <c r="AG393" i="25"/>
  <c r="AE393" i="25"/>
  <c r="AG392" i="25"/>
  <c r="AE392" i="25"/>
  <c r="AH392" i="25" s="1"/>
  <c r="AG391" i="25"/>
  <c r="AE391" i="25"/>
  <c r="AH391" i="25" s="1"/>
  <c r="AG390" i="25"/>
  <c r="AE390" i="25"/>
  <c r="AH390" i="25" s="1"/>
  <c r="AG389" i="25"/>
  <c r="AE389" i="25"/>
  <c r="AG388" i="25"/>
  <c r="AE388" i="25"/>
  <c r="AH388" i="25" s="1"/>
  <c r="AG387" i="25"/>
  <c r="AE387" i="25"/>
  <c r="AG386" i="25"/>
  <c r="AE386" i="25"/>
  <c r="AG385" i="25"/>
  <c r="AE385" i="25"/>
  <c r="AH385" i="25" s="1"/>
  <c r="AG384" i="25"/>
  <c r="AE384" i="25"/>
  <c r="AG383" i="25"/>
  <c r="AE383" i="25"/>
  <c r="AH383" i="25" s="1"/>
  <c r="AG382" i="25"/>
  <c r="AE382" i="25"/>
  <c r="AH382" i="25" s="1"/>
  <c r="AG381" i="25"/>
  <c r="AE381" i="25"/>
  <c r="AG380" i="25"/>
  <c r="AE380" i="25"/>
  <c r="AG379" i="25"/>
  <c r="AE379" i="25"/>
  <c r="AH379" i="25" s="1"/>
  <c r="AG378" i="25"/>
  <c r="AE378" i="25"/>
  <c r="AG377" i="25"/>
  <c r="AH377" i="25" s="1"/>
  <c r="AE377" i="25"/>
  <c r="AG376" i="25"/>
  <c r="AE376" i="25"/>
  <c r="AH376" i="25" s="1"/>
  <c r="AG375" i="25"/>
  <c r="AE375" i="25"/>
  <c r="AG374" i="25"/>
  <c r="AE374" i="25"/>
  <c r="AG373" i="25"/>
  <c r="AE373" i="25"/>
  <c r="AH373" i="25" s="1"/>
  <c r="AG372" i="25"/>
  <c r="AE372" i="25"/>
  <c r="AH372" i="25" s="1"/>
  <c r="AG371" i="25"/>
  <c r="AE371" i="25"/>
  <c r="AH371" i="25" s="1"/>
  <c r="AG370" i="25"/>
  <c r="AE370" i="25"/>
  <c r="AH370" i="25" s="1"/>
  <c r="AG369" i="25"/>
  <c r="AE369" i="25"/>
  <c r="AG368" i="25"/>
  <c r="AE368" i="25"/>
  <c r="AG367" i="25"/>
  <c r="AE367" i="25"/>
  <c r="AG366" i="25"/>
  <c r="AE366" i="25"/>
  <c r="AG365" i="25"/>
  <c r="AH365" i="25" s="1"/>
  <c r="AE365" i="25"/>
  <c r="AG364" i="25"/>
  <c r="AE364" i="25"/>
  <c r="AH364" i="25" s="1"/>
  <c r="AG363" i="25"/>
  <c r="AE363" i="25"/>
  <c r="AH363" i="25" s="1"/>
  <c r="AG362" i="25"/>
  <c r="AE362" i="25"/>
  <c r="AG361" i="25"/>
  <c r="AE361" i="25"/>
  <c r="AH361" i="25" s="1"/>
  <c r="AG360" i="25"/>
  <c r="AE360" i="25"/>
  <c r="AG359" i="25"/>
  <c r="AE359" i="25"/>
  <c r="AH359" i="25" s="1"/>
  <c r="AG358" i="25"/>
  <c r="AE358" i="25"/>
  <c r="AH358" i="25" s="1"/>
  <c r="AG357" i="25"/>
  <c r="AE357" i="25"/>
  <c r="AG356" i="25"/>
  <c r="AE356" i="25"/>
  <c r="AH356" i="25" s="1"/>
  <c r="AG355" i="25"/>
  <c r="AE355" i="25"/>
  <c r="AH355" i="25" s="1"/>
  <c r="AG354" i="25"/>
  <c r="AE354" i="25"/>
  <c r="AH354" i="25" s="1"/>
  <c r="AG353" i="25"/>
  <c r="AE353" i="25"/>
  <c r="AG352" i="25"/>
  <c r="AE352" i="25"/>
  <c r="AH352" i="25" s="1"/>
  <c r="AG351" i="25"/>
  <c r="AE351" i="25"/>
  <c r="AG350" i="25"/>
  <c r="AE350" i="25"/>
  <c r="AG349" i="25"/>
  <c r="AE349" i="25"/>
  <c r="AH349" i="25" s="1"/>
  <c r="AG348" i="25"/>
  <c r="AE348" i="25"/>
  <c r="AG347" i="25"/>
  <c r="AE347" i="25"/>
  <c r="AH347" i="25" s="1"/>
  <c r="AG346" i="25"/>
  <c r="AE346" i="25"/>
  <c r="AH346" i="25" s="1"/>
  <c r="AG345" i="25"/>
  <c r="AE345" i="25"/>
  <c r="AG344" i="25"/>
  <c r="AE344" i="25"/>
  <c r="AG343" i="25"/>
  <c r="AE343" i="25"/>
  <c r="AH343" i="25" s="1"/>
  <c r="AG342" i="25"/>
  <c r="AE342" i="25"/>
  <c r="AG341" i="25"/>
  <c r="AH341" i="25" s="1"/>
  <c r="AE341" i="25"/>
  <c r="AG340" i="25"/>
  <c r="AE340" i="25"/>
  <c r="AH340" i="25" s="1"/>
  <c r="AG339" i="25"/>
  <c r="AE339" i="25"/>
  <c r="AG338" i="25"/>
  <c r="AH338" i="25" s="1"/>
  <c r="AE338" i="25"/>
  <c r="AG337" i="25"/>
  <c r="AE337" i="25"/>
  <c r="AH337" i="25" s="1"/>
  <c r="AG336" i="25"/>
  <c r="AE336" i="25"/>
  <c r="AH336" i="25" s="1"/>
  <c r="AG335" i="25"/>
  <c r="AH335" i="25" s="1"/>
  <c r="AE335" i="25"/>
  <c r="AG334" i="25"/>
  <c r="AE334" i="25"/>
  <c r="AG333" i="25"/>
  <c r="AE333" i="25"/>
  <c r="AG332" i="25"/>
  <c r="AH332" i="25" s="1"/>
  <c r="AE332" i="25"/>
  <c r="AG331" i="25"/>
  <c r="AE331" i="25"/>
  <c r="AG330" i="25"/>
  <c r="AE330" i="25"/>
  <c r="AG329" i="25"/>
  <c r="AH329" i="25" s="1"/>
  <c r="AE329" i="25"/>
  <c r="AG328" i="25"/>
  <c r="AE328" i="25"/>
  <c r="AG327" i="25"/>
  <c r="AE327" i="25"/>
  <c r="AG326" i="25"/>
  <c r="AE326" i="25"/>
  <c r="AG325" i="25"/>
  <c r="AE325" i="25"/>
  <c r="AG324" i="25"/>
  <c r="AE324" i="25"/>
  <c r="AH324" i="25" s="1"/>
  <c r="AG323" i="25"/>
  <c r="AH323" i="25" s="1"/>
  <c r="AE323" i="25"/>
  <c r="AG322" i="25"/>
  <c r="AE322" i="25"/>
  <c r="AG321" i="25"/>
  <c r="AE321" i="25"/>
  <c r="AG320" i="25"/>
  <c r="AH320" i="25" s="1"/>
  <c r="AE320" i="25"/>
  <c r="AG319" i="25"/>
  <c r="AE319" i="25"/>
  <c r="AG318" i="25"/>
  <c r="AE318" i="25"/>
  <c r="AG317" i="25"/>
  <c r="AH317" i="25" s="1"/>
  <c r="AE317" i="25"/>
  <c r="AG316" i="25"/>
  <c r="AE316" i="25"/>
  <c r="AG315" i="25"/>
  <c r="AE315" i="25"/>
  <c r="AG314" i="25"/>
  <c r="AH314" i="25" s="1"/>
  <c r="AE314" i="25"/>
  <c r="AG313" i="25"/>
  <c r="AE313" i="25"/>
  <c r="AG312" i="25"/>
  <c r="AE312" i="25"/>
  <c r="AG311" i="25"/>
  <c r="AE311" i="25"/>
  <c r="AG310" i="25"/>
  <c r="AE310" i="25"/>
  <c r="AG309" i="25"/>
  <c r="AE309" i="25"/>
  <c r="AG308" i="25"/>
  <c r="AH308" i="25" s="1"/>
  <c r="AE308" i="25"/>
  <c r="AG307" i="25"/>
  <c r="AE307" i="25"/>
  <c r="AG306" i="25"/>
  <c r="AE306" i="25"/>
  <c r="AG305" i="25"/>
  <c r="AH305" i="25" s="1"/>
  <c r="AE305" i="25"/>
  <c r="AG304" i="25"/>
  <c r="AE304" i="25"/>
  <c r="AG303" i="25"/>
  <c r="AE303" i="25"/>
  <c r="AG302" i="25"/>
  <c r="AH302" i="25" s="1"/>
  <c r="AE302" i="25"/>
  <c r="AG301" i="25"/>
  <c r="AE301" i="25"/>
  <c r="AG300" i="25"/>
  <c r="AE300" i="25"/>
  <c r="AG299" i="25"/>
  <c r="AH299" i="25" s="1"/>
  <c r="AE299" i="25"/>
  <c r="AG298" i="25"/>
  <c r="AE298" i="25"/>
  <c r="AG297" i="25"/>
  <c r="AE297" i="25"/>
  <c r="AG296" i="25"/>
  <c r="AH296" i="25" s="1"/>
  <c r="AE296" i="25"/>
  <c r="AG295" i="25"/>
  <c r="AE295" i="25"/>
  <c r="AG294" i="25"/>
  <c r="AE294" i="25"/>
  <c r="AG293" i="25"/>
  <c r="AH293" i="25" s="1"/>
  <c r="AE293" i="25"/>
  <c r="AG292" i="25"/>
  <c r="AE292" i="25"/>
  <c r="AG291" i="25"/>
  <c r="AE291" i="25"/>
  <c r="AG290" i="25"/>
  <c r="AH290" i="25" s="1"/>
  <c r="AE290" i="25"/>
  <c r="AG289" i="25"/>
  <c r="AE289" i="25"/>
  <c r="AG288" i="25"/>
  <c r="AE288" i="25"/>
  <c r="AH288" i="25" s="1"/>
  <c r="AG287" i="25"/>
  <c r="AH287" i="25" s="1"/>
  <c r="AE287" i="25"/>
  <c r="AG286" i="25"/>
  <c r="AE286" i="25"/>
  <c r="AG285" i="25"/>
  <c r="AE285" i="25"/>
  <c r="AG284" i="25"/>
  <c r="AH284" i="25" s="1"/>
  <c r="AE284" i="25"/>
  <c r="AG283" i="25"/>
  <c r="AE283" i="25"/>
  <c r="AG282" i="25"/>
  <c r="AE282" i="25"/>
  <c r="AG281" i="25"/>
  <c r="AH281" i="25" s="1"/>
  <c r="AE281" i="25"/>
  <c r="AG280" i="25"/>
  <c r="AE280" i="25"/>
  <c r="AG279" i="25"/>
  <c r="AE279" i="25"/>
  <c r="AG278" i="25"/>
  <c r="AH278" i="25" s="1"/>
  <c r="AE278" i="25"/>
  <c r="AG277" i="25"/>
  <c r="AE277" i="25"/>
  <c r="AG276" i="25"/>
  <c r="AE276" i="25"/>
  <c r="AH276" i="25" s="1"/>
  <c r="AG275" i="25"/>
  <c r="AH275" i="25" s="1"/>
  <c r="AE275" i="25"/>
  <c r="AG274" i="25"/>
  <c r="AE274" i="25"/>
  <c r="AG273" i="25"/>
  <c r="AE273" i="25"/>
  <c r="AG272" i="25"/>
  <c r="AH272" i="25" s="1"/>
  <c r="AE272" i="25"/>
  <c r="AG271" i="25"/>
  <c r="AE271" i="25"/>
  <c r="AG270" i="25"/>
  <c r="AE270" i="25"/>
  <c r="AG269" i="25"/>
  <c r="AH269" i="25" s="1"/>
  <c r="AE269" i="25"/>
  <c r="AG268" i="25"/>
  <c r="AE268" i="25"/>
  <c r="AG267" i="25"/>
  <c r="AE267" i="25"/>
  <c r="AG266" i="25"/>
  <c r="AH266" i="25" s="1"/>
  <c r="AE266" i="25"/>
  <c r="AG265" i="25"/>
  <c r="AE265" i="25"/>
  <c r="AH265" i="25" s="1"/>
  <c r="AG264" i="25"/>
  <c r="AE264" i="25"/>
  <c r="AG263" i="25"/>
  <c r="AE263" i="25"/>
  <c r="AH263" i="25" s="1"/>
  <c r="AG262" i="25"/>
  <c r="AE262" i="25"/>
  <c r="AG261" i="25"/>
  <c r="AE261" i="25"/>
  <c r="AG260" i="25"/>
  <c r="AH260" i="25" s="1"/>
  <c r="AE260" i="25"/>
  <c r="AG259" i="25"/>
  <c r="AE259" i="25"/>
  <c r="AG258" i="25"/>
  <c r="AE258" i="25"/>
  <c r="AG257" i="25"/>
  <c r="AH257" i="25" s="1"/>
  <c r="AE257" i="25"/>
  <c r="AG256" i="25"/>
  <c r="AE256" i="25"/>
  <c r="AG255" i="25"/>
  <c r="AE255" i="25"/>
  <c r="AG254" i="25"/>
  <c r="AH254" i="25" s="1"/>
  <c r="AE254" i="25"/>
  <c r="AG253" i="25"/>
  <c r="AE253" i="25"/>
  <c r="AG252" i="25"/>
  <c r="AE252" i="25"/>
  <c r="AH252" i="25" s="1"/>
  <c r="AG251" i="25"/>
  <c r="AH251" i="25" s="1"/>
  <c r="AE251" i="25"/>
  <c r="AG250" i="25"/>
  <c r="AE250" i="25"/>
  <c r="AG249" i="25"/>
  <c r="AE249" i="25"/>
  <c r="AG248" i="25"/>
  <c r="AH248" i="25" s="1"/>
  <c r="AE248" i="25"/>
  <c r="AG247" i="25"/>
  <c r="AE247" i="25"/>
  <c r="AG246" i="25"/>
  <c r="AE246" i="25"/>
  <c r="AG245" i="25"/>
  <c r="AH245" i="25" s="1"/>
  <c r="AE245" i="25"/>
  <c r="AG244" i="25"/>
  <c r="AE244" i="25"/>
  <c r="AG243" i="25"/>
  <c r="AE243" i="25"/>
  <c r="AG242" i="25"/>
  <c r="AH242" i="25" s="1"/>
  <c r="AE242" i="25"/>
  <c r="AG241" i="25"/>
  <c r="AE241" i="25"/>
  <c r="AH241" i="25" s="1"/>
  <c r="AG240" i="25"/>
  <c r="AE240" i="25"/>
  <c r="AH240" i="25" s="1"/>
  <c r="AG239" i="25"/>
  <c r="AH239" i="25" s="1"/>
  <c r="AE239" i="25"/>
  <c r="AG238" i="25"/>
  <c r="AE238" i="25"/>
  <c r="AG237" i="25"/>
  <c r="AE237" i="25"/>
  <c r="AG236" i="25"/>
  <c r="AH236" i="25" s="1"/>
  <c r="AE236" i="25"/>
  <c r="AG235" i="25"/>
  <c r="AE235" i="25"/>
  <c r="AG234" i="25"/>
  <c r="AE234" i="25"/>
  <c r="J31" i="25" s="1"/>
  <c r="L31" i="25" s="1"/>
  <c r="AG233" i="25"/>
  <c r="AH233" i="25" s="1"/>
  <c r="AE233" i="25"/>
  <c r="AG232" i="25"/>
  <c r="AE232" i="25"/>
  <c r="AG231" i="25"/>
  <c r="AE231" i="25"/>
  <c r="AG230" i="25"/>
  <c r="AH230" i="25" s="1"/>
  <c r="AE230" i="25"/>
  <c r="AG229" i="25"/>
  <c r="AE229" i="25"/>
  <c r="AG228" i="25"/>
  <c r="AE228" i="25"/>
  <c r="AG227" i="25"/>
  <c r="AH227" i="25" s="1"/>
  <c r="AE227" i="25"/>
  <c r="AG226" i="25"/>
  <c r="AE226" i="25"/>
  <c r="AG225" i="25"/>
  <c r="AE225" i="25"/>
  <c r="AG224" i="25"/>
  <c r="AH224" i="25" s="1"/>
  <c r="AE224" i="25"/>
  <c r="AG223" i="25"/>
  <c r="AE223" i="25"/>
  <c r="AG222" i="25"/>
  <c r="AE222" i="25"/>
  <c r="AG221" i="25"/>
  <c r="AH221" i="25" s="1"/>
  <c r="AE221" i="25"/>
  <c r="AG220" i="25"/>
  <c r="AE220" i="25"/>
  <c r="AG219" i="25"/>
  <c r="AE219" i="25"/>
  <c r="AG218" i="25"/>
  <c r="AH218" i="25" s="1"/>
  <c r="AE218" i="25"/>
  <c r="AG217" i="25"/>
  <c r="AE217" i="25"/>
  <c r="AG216" i="25"/>
  <c r="AE216" i="25"/>
  <c r="AG215" i="25"/>
  <c r="AE215" i="25"/>
  <c r="AG214" i="25"/>
  <c r="AE214" i="25"/>
  <c r="AG213" i="25"/>
  <c r="AE213" i="25"/>
  <c r="AG212" i="25"/>
  <c r="AH212" i="25" s="1"/>
  <c r="AE212" i="25"/>
  <c r="AG211" i="25"/>
  <c r="AE211" i="25"/>
  <c r="AG210" i="25"/>
  <c r="AE210" i="25"/>
  <c r="AG209" i="25"/>
  <c r="AH209" i="25" s="1"/>
  <c r="AE209" i="25"/>
  <c r="AG208" i="25"/>
  <c r="AE208" i="25"/>
  <c r="AG207" i="25"/>
  <c r="AE207" i="25"/>
  <c r="AG206" i="25"/>
  <c r="AE206" i="25"/>
  <c r="AG205" i="25"/>
  <c r="AE205" i="25"/>
  <c r="AG204" i="25"/>
  <c r="AE204" i="25"/>
  <c r="AG203" i="25"/>
  <c r="AH203" i="25" s="1"/>
  <c r="AE203" i="25"/>
  <c r="AG202" i="25"/>
  <c r="AE202" i="25"/>
  <c r="AG201" i="25"/>
  <c r="AE201" i="25"/>
  <c r="AG200" i="25"/>
  <c r="AH200" i="25" s="1"/>
  <c r="AE200" i="25"/>
  <c r="AG199" i="25"/>
  <c r="AE199" i="25"/>
  <c r="AG198" i="25"/>
  <c r="AE198" i="25"/>
  <c r="AH198" i="25" s="1"/>
  <c r="AG197" i="25"/>
  <c r="AH197" i="25" s="1"/>
  <c r="AE197" i="25"/>
  <c r="AG196" i="25"/>
  <c r="AE196" i="25"/>
  <c r="AG195" i="25"/>
  <c r="AE195" i="25"/>
  <c r="AG194" i="25"/>
  <c r="AE194" i="25"/>
  <c r="AG193" i="25"/>
  <c r="AE193" i="25"/>
  <c r="AG192" i="25"/>
  <c r="AE192" i="25"/>
  <c r="AG191" i="25"/>
  <c r="AH191" i="25" s="1"/>
  <c r="AE191" i="25"/>
  <c r="AG190" i="25"/>
  <c r="AE190" i="25"/>
  <c r="AG189" i="25"/>
  <c r="AE189" i="25"/>
  <c r="AG188" i="25"/>
  <c r="AH188" i="25" s="1"/>
  <c r="AE188" i="25"/>
  <c r="AG187" i="25"/>
  <c r="AE187" i="25"/>
  <c r="AG186" i="25"/>
  <c r="AE186" i="25"/>
  <c r="AH186" i="25" s="1"/>
  <c r="AG185" i="25"/>
  <c r="AH185" i="25" s="1"/>
  <c r="AE185" i="25"/>
  <c r="AG184" i="25"/>
  <c r="AE184" i="25"/>
  <c r="AG183" i="25"/>
  <c r="AE183" i="25"/>
  <c r="AG182" i="25"/>
  <c r="AE182" i="25"/>
  <c r="AG181" i="25"/>
  <c r="AE181" i="25"/>
  <c r="AG180" i="25"/>
  <c r="AE180" i="25"/>
  <c r="AG179" i="25"/>
  <c r="AH179" i="25" s="1"/>
  <c r="AE179" i="25"/>
  <c r="AG178" i="25"/>
  <c r="AE178" i="25"/>
  <c r="AG177" i="25"/>
  <c r="AE177" i="25"/>
  <c r="AG176" i="25"/>
  <c r="AH176" i="25" s="1"/>
  <c r="AE176" i="25"/>
  <c r="AG175" i="25"/>
  <c r="AE175" i="25"/>
  <c r="AG174" i="25"/>
  <c r="AE174" i="25"/>
  <c r="AG173" i="25"/>
  <c r="AH173" i="25" s="1"/>
  <c r="AE173" i="25"/>
  <c r="AG172" i="25"/>
  <c r="AE172" i="25"/>
  <c r="AG171" i="25"/>
  <c r="AE171" i="25"/>
  <c r="AG170" i="25"/>
  <c r="AH170" i="25" s="1"/>
  <c r="AE170" i="25"/>
  <c r="AG169" i="25"/>
  <c r="AE169" i="25"/>
  <c r="AG168" i="25"/>
  <c r="AE168" i="25"/>
  <c r="AG167" i="25"/>
  <c r="AH167" i="25" s="1"/>
  <c r="AE167" i="25"/>
  <c r="AG166" i="25"/>
  <c r="AE166" i="25"/>
  <c r="AG165" i="25"/>
  <c r="AE165" i="25"/>
  <c r="AG164" i="25"/>
  <c r="AH164" i="25" s="1"/>
  <c r="AE164" i="25"/>
  <c r="AG163" i="25"/>
  <c r="AE163" i="25"/>
  <c r="AG162" i="25"/>
  <c r="AE162" i="25"/>
  <c r="AG161" i="25"/>
  <c r="AH161" i="25" s="1"/>
  <c r="AE161" i="25"/>
  <c r="AG160" i="25"/>
  <c r="AE160" i="25"/>
  <c r="J24" i="25" s="1"/>
  <c r="L24" i="25" s="1"/>
  <c r="AG159" i="25"/>
  <c r="AE159" i="25"/>
  <c r="AG158" i="25"/>
  <c r="AH158" i="25" s="1"/>
  <c r="AE158" i="25"/>
  <c r="AG157" i="25"/>
  <c r="AE157" i="25"/>
  <c r="AG156" i="25"/>
  <c r="AE156" i="25"/>
  <c r="AG155" i="25"/>
  <c r="AH155" i="25" s="1"/>
  <c r="AE155" i="25"/>
  <c r="AG154" i="25"/>
  <c r="AE154" i="25"/>
  <c r="AG153" i="25"/>
  <c r="AE153" i="25"/>
  <c r="AG152" i="25"/>
  <c r="AH152" i="25" s="1"/>
  <c r="AE152" i="25"/>
  <c r="AG151" i="25"/>
  <c r="AE151" i="25"/>
  <c r="AH151" i="25" s="1"/>
  <c r="AG150" i="25"/>
  <c r="AE150" i="25"/>
  <c r="AH150" i="25" s="1"/>
  <c r="AG149" i="25"/>
  <c r="AH149" i="25" s="1"/>
  <c r="AE149" i="25"/>
  <c r="AG148" i="25"/>
  <c r="AE148" i="25"/>
  <c r="AG147" i="25"/>
  <c r="AE147" i="25"/>
  <c r="AG146" i="25"/>
  <c r="AE146" i="25"/>
  <c r="AG145" i="25"/>
  <c r="AE145" i="25"/>
  <c r="AG144" i="25"/>
  <c r="AE144" i="25"/>
  <c r="AG143" i="25"/>
  <c r="AH143" i="25" s="1"/>
  <c r="AE143" i="25"/>
  <c r="AG142" i="25"/>
  <c r="AE142" i="25"/>
  <c r="AG141" i="25"/>
  <c r="AE141" i="25"/>
  <c r="AG140" i="25"/>
  <c r="AH140" i="25" s="1"/>
  <c r="AE140" i="25"/>
  <c r="AG139" i="25"/>
  <c r="AE139" i="25"/>
  <c r="AG138" i="25"/>
  <c r="AE138" i="25"/>
  <c r="AH138" i="25" s="1"/>
  <c r="AG137" i="25"/>
  <c r="AH137" i="25" s="1"/>
  <c r="AE137" i="25"/>
  <c r="AG136" i="25"/>
  <c r="AE136" i="25"/>
  <c r="AG135" i="25"/>
  <c r="AE135" i="25"/>
  <c r="AG134" i="25"/>
  <c r="AE134" i="25"/>
  <c r="AH134" i="25" s="1"/>
  <c r="AG133" i="25"/>
  <c r="AE133" i="25"/>
  <c r="AG132" i="25"/>
  <c r="AE132" i="25"/>
  <c r="AG131" i="25"/>
  <c r="AH131" i="25" s="1"/>
  <c r="AE131" i="25"/>
  <c r="AG130" i="25"/>
  <c r="AE130" i="25"/>
  <c r="AG129" i="25"/>
  <c r="AE129" i="25"/>
  <c r="AG128" i="25"/>
  <c r="AH128" i="25" s="1"/>
  <c r="AE128" i="25"/>
  <c r="AG127" i="25"/>
  <c r="AE127" i="25"/>
  <c r="AG126" i="25"/>
  <c r="AE126" i="25"/>
  <c r="AH126" i="25" s="1"/>
  <c r="AG125" i="25"/>
  <c r="AH125" i="25" s="1"/>
  <c r="AE125" i="25"/>
  <c r="AG124" i="25"/>
  <c r="AE124" i="25"/>
  <c r="AG123" i="25"/>
  <c r="AE123" i="25"/>
  <c r="AG122" i="25"/>
  <c r="AE122" i="25"/>
  <c r="AG121" i="25"/>
  <c r="AE121" i="25"/>
  <c r="AG120" i="25"/>
  <c r="AE120" i="25"/>
  <c r="AG119" i="25"/>
  <c r="AH119" i="25" s="1"/>
  <c r="AE119" i="25"/>
  <c r="AG118" i="25"/>
  <c r="AE118" i="25"/>
  <c r="AG117" i="25"/>
  <c r="AE117" i="25"/>
  <c r="AG116" i="25"/>
  <c r="AH116" i="25" s="1"/>
  <c r="AE116" i="25"/>
  <c r="AG115" i="25"/>
  <c r="AE115" i="25"/>
  <c r="AG114" i="25"/>
  <c r="AE114" i="25"/>
  <c r="AG113" i="25"/>
  <c r="AH113" i="25" s="1"/>
  <c r="AE113" i="25"/>
  <c r="AG112" i="25"/>
  <c r="AE112" i="25"/>
  <c r="AG111" i="25"/>
  <c r="AE111" i="25"/>
  <c r="AG110" i="25"/>
  <c r="AH110" i="25" s="1"/>
  <c r="AE110" i="25"/>
  <c r="AG109" i="25"/>
  <c r="AE109" i="25"/>
  <c r="AG108" i="25"/>
  <c r="AE108" i="25"/>
  <c r="AG107" i="25"/>
  <c r="AH107" i="25" s="1"/>
  <c r="AE107" i="25"/>
  <c r="AG106" i="25"/>
  <c r="AE106" i="25"/>
  <c r="J19" i="25" s="1"/>
  <c r="AG105" i="25"/>
  <c r="AE105" i="25"/>
  <c r="AG104" i="25"/>
  <c r="AH104" i="25" s="1"/>
  <c r="AE104" i="25"/>
  <c r="AG103" i="25"/>
  <c r="AE103" i="25"/>
  <c r="AG102" i="25"/>
  <c r="AE102" i="25"/>
  <c r="AG101" i="25"/>
  <c r="AH101" i="25" s="1"/>
  <c r="AE101" i="25"/>
  <c r="AG100" i="25"/>
  <c r="AE100" i="25"/>
  <c r="AG99" i="25"/>
  <c r="AE99" i="25"/>
  <c r="AG98" i="25"/>
  <c r="AH98" i="25" s="1"/>
  <c r="AE98" i="25"/>
  <c r="AG97" i="25"/>
  <c r="AE97" i="25"/>
  <c r="AG96" i="25"/>
  <c r="AE96" i="25"/>
  <c r="AG95" i="25"/>
  <c r="AE95" i="25"/>
  <c r="AH95" i="25" s="1"/>
  <c r="AG94" i="25"/>
  <c r="AE94" i="25"/>
  <c r="AG93" i="25"/>
  <c r="AE93" i="25"/>
  <c r="AG92" i="25"/>
  <c r="AH92" i="25" s="1"/>
  <c r="AE92" i="25"/>
  <c r="AG91" i="25"/>
  <c r="AE91" i="25"/>
  <c r="AH91" i="25" s="1"/>
  <c r="AG90" i="25"/>
  <c r="AE90" i="25"/>
  <c r="AH90" i="25" s="1"/>
  <c r="AG89" i="25"/>
  <c r="AH89" i="25" s="1"/>
  <c r="AE89" i="25"/>
  <c r="AG88" i="25"/>
  <c r="AE88" i="25"/>
  <c r="AG87" i="25"/>
  <c r="AE87" i="25"/>
  <c r="AG86" i="25"/>
  <c r="AH86" i="25" s="1"/>
  <c r="AE86" i="25"/>
  <c r="AG85" i="25"/>
  <c r="AE85" i="25"/>
  <c r="AG84" i="25"/>
  <c r="AE84" i="25"/>
  <c r="AG83" i="25"/>
  <c r="AH83" i="25" s="1"/>
  <c r="AE83" i="25"/>
  <c r="AG82" i="25"/>
  <c r="AE82" i="25"/>
  <c r="AG81" i="25"/>
  <c r="AE81" i="25"/>
  <c r="AG80" i="25"/>
  <c r="AH80" i="25" s="1"/>
  <c r="AE80" i="25"/>
  <c r="AG79" i="25"/>
  <c r="AE79" i="25"/>
  <c r="AG78" i="25"/>
  <c r="AE78" i="25"/>
  <c r="AH78" i="25" s="1"/>
  <c r="AG77" i="25"/>
  <c r="AH77" i="25" s="1"/>
  <c r="AE77" i="25"/>
  <c r="AG76" i="25"/>
  <c r="AE76" i="25"/>
  <c r="AG75" i="25"/>
  <c r="AE75" i="25"/>
  <c r="AG74" i="25"/>
  <c r="AE74" i="25"/>
  <c r="AG73" i="25"/>
  <c r="AE73" i="25"/>
  <c r="AG72" i="25"/>
  <c r="AE72" i="25"/>
  <c r="AG71" i="25"/>
  <c r="AH71" i="25" s="1"/>
  <c r="AE71" i="25"/>
  <c r="AG70" i="25"/>
  <c r="AE70" i="25"/>
  <c r="AG69" i="25"/>
  <c r="AE69" i="25"/>
  <c r="AG68" i="25"/>
  <c r="AH68" i="25" s="1"/>
  <c r="AE68" i="25"/>
  <c r="AG67" i="25"/>
  <c r="AE67" i="25"/>
  <c r="AG66" i="25"/>
  <c r="AE66" i="25"/>
  <c r="AG65" i="25"/>
  <c r="AH65" i="25" s="1"/>
  <c r="AE65" i="25"/>
  <c r="AG64" i="25"/>
  <c r="AE64" i="25"/>
  <c r="AG63" i="25"/>
  <c r="AE63" i="25"/>
  <c r="AG62" i="25"/>
  <c r="AE62" i="25"/>
  <c r="AG61" i="25"/>
  <c r="AE61" i="25"/>
  <c r="AG60" i="25"/>
  <c r="AE60" i="25"/>
  <c r="AG59" i="25"/>
  <c r="AH59" i="25" s="1"/>
  <c r="AE59" i="25"/>
  <c r="AG58" i="25"/>
  <c r="AE58" i="25"/>
  <c r="AG57" i="25"/>
  <c r="AE57" i="25"/>
  <c r="AG56" i="25"/>
  <c r="AH56" i="25" s="1"/>
  <c r="AE56" i="25"/>
  <c r="AG55" i="25"/>
  <c r="AE55" i="25"/>
  <c r="AG54" i="25"/>
  <c r="AE54" i="25"/>
  <c r="AG53" i="25"/>
  <c r="AH53" i="25" s="1"/>
  <c r="AE53" i="25"/>
  <c r="AG52" i="25"/>
  <c r="AE52" i="25"/>
  <c r="AG51" i="25"/>
  <c r="AE51" i="25"/>
  <c r="AG50" i="25"/>
  <c r="AH50" i="25" s="1"/>
  <c r="AE50" i="25"/>
  <c r="AG49" i="25"/>
  <c r="AE49" i="25"/>
  <c r="AG48" i="25"/>
  <c r="AE48" i="25"/>
  <c r="AG47" i="25"/>
  <c r="AH47" i="25" s="1"/>
  <c r="AE47" i="25"/>
  <c r="AG46" i="25"/>
  <c r="AE46" i="25"/>
  <c r="AG45" i="25"/>
  <c r="AE45" i="25"/>
  <c r="AG44" i="25"/>
  <c r="AH44" i="25" s="1"/>
  <c r="AE44" i="25"/>
  <c r="AG43" i="25"/>
  <c r="AE43" i="25"/>
  <c r="AG42" i="25"/>
  <c r="AE42" i="25"/>
  <c r="AG41" i="25"/>
  <c r="AH41" i="25" s="1"/>
  <c r="AE41" i="25"/>
  <c r="Q42" i="25"/>
  <c r="AG40" i="25"/>
  <c r="AH40" i="25" s="1"/>
  <c r="AE40" i="25"/>
  <c r="K41" i="25"/>
  <c r="AG39" i="25"/>
  <c r="AE39" i="25"/>
  <c r="AG38" i="25"/>
  <c r="AE38" i="25"/>
  <c r="P39" i="25"/>
  <c r="O39" i="25"/>
  <c r="N39" i="25"/>
  <c r="J39" i="25"/>
  <c r="L39" i="25" s="1"/>
  <c r="F39" i="25"/>
  <c r="E39" i="25"/>
  <c r="D39" i="25"/>
  <c r="AG37" i="25"/>
  <c r="AE37" i="25"/>
  <c r="P38" i="25"/>
  <c r="O38" i="25"/>
  <c r="N38" i="25"/>
  <c r="J38" i="25"/>
  <c r="F38" i="25"/>
  <c r="E38" i="25"/>
  <c r="D38" i="25"/>
  <c r="AG36" i="25"/>
  <c r="AE36" i="25"/>
  <c r="P37" i="25"/>
  <c r="O37" i="25"/>
  <c r="N37" i="25"/>
  <c r="J37" i="25"/>
  <c r="F37" i="25"/>
  <c r="E37" i="25"/>
  <c r="D37" i="25"/>
  <c r="AG35" i="25"/>
  <c r="AE35" i="25"/>
  <c r="P36" i="25"/>
  <c r="O36" i="25"/>
  <c r="N36" i="25"/>
  <c r="J36" i="25"/>
  <c r="L36" i="25" s="1"/>
  <c r="F36" i="25"/>
  <c r="E36" i="25"/>
  <c r="D36" i="25"/>
  <c r="AG34" i="25"/>
  <c r="AE34" i="25"/>
  <c r="P35" i="25"/>
  <c r="O35" i="25"/>
  <c r="N35" i="25"/>
  <c r="J35" i="25"/>
  <c r="F35" i="25"/>
  <c r="E35" i="25"/>
  <c r="D35" i="25"/>
  <c r="AG33" i="25"/>
  <c r="AE33" i="25"/>
  <c r="P34" i="25"/>
  <c r="O34" i="25"/>
  <c r="N34" i="25"/>
  <c r="J34" i="25"/>
  <c r="F34" i="25"/>
  <c r="E34" i="25"/>
  <c r="D34" i="25"/>
  <c r="AG32" i="25"/>
  <c r="AE32" i="25"/>
  <c r="P33" i="25"/>
  <c r="O33" i="25"/>
  <c r="N33" i="25"/>
  <c r="J33" i="25"/>
  <c r="L33" i="25" s="1"/>
  <c r="F33" i="25"/>
  <c r="E33" i="25"/>
  <c r="D33" i="25"/>
  <c r="AG31" i="25"/>
  <c r="AE31" i="25"/>
  <c r="P32" i="25"/>
  <c r="O32" i="25"/>
  <c r="N32" i="25"/>
  <c r="J32" i="25"/>
  <c r="L32" i="25" s="1"/>
  <c r="F32" i="25"/>
  <c r="E32" i="25"/>
  <c r="D32" i="25"/>
  <c r="AG30" i="25"/>
  <c r="AE30" i="25"/>
  <c r="P31" i="25"/>
  <c r="O31" i="25"/>
  <c r="N31" i="25"/>
  <c r="F31" i="25"/>
  <c r="E31" i="25"/>
  <c r="D31" i="25"/>
  <c r="AG29" i="25"/>
  <c r="AH29" i="25" s="1"/>
  <c r="AE29" i="25"/>
  <c r="P30" i="25"/>
  <c r="O30" i="25"/>
  <c r="N30" i="25"/>
  <c r="J30" i="25"/>
  <c r="L30" i="25" s="1"/>
  <c r="F30" i="25"/>
  <c r="E30" i="25"/>
  <c r="D30" i="25"/>
  <c r="AG28" i="25"/>
  <c r="AE28" i="25"/>
  <c r="P29" i="25"/>
  <c r="O29" i="25"/>
  <c r="N29" i="25"/>
  <c r="J29" i="25"/>
  <c r="F29" i="25"/>
  <c r="E29" i="25"/>
  <c r="D29" i="25"/>
  <c r="AG27" i="25"/>
  <c r="AE27" i="25"/>
  <c r="P28" i="25"/>
  <c r="O28" i="25"/>
  <c r="N28" i="25"/>
  <c r="J28" i="25"/>
  <c r="F28" i="25"/>
  <c r="E28" i="25"/>
  <c r="D28" i="25"/>
  <c r="AG26" i="25"/>
  <c r="AE26" i="25"/>
  <c r="P27" i="25"/>
  <c r="O27" i="25"/>
  <c r="N27" i="25"/>
  <c r="J27" i="25"/>
  <c r="L27" i="25" s="1"/>
  <c r="F27" i="25"/>
  <c r="E27" i="25"/>
  <c r="D27" i="25"/>
  <c r="AG25" i="25"/>
  <c r="AH25" i="25" s="1"/>
  <c r="AE25" i="25"/>
  <c r="P26" i="25"/>
  <c r="O26" i="25"/>
  <c r="N26" i="25"/>
  <c r="J26" i="25"/>
  <c r="L26" i="25" s="1"/>
  <c r="F26" i="25"/>
  <c r="E26" i="25"/>
  <c r="D26" i="25"/>
  <c r="AG24" i="25"/>
  <c r="AE24" i="25"/>
  <c r="P25" i="25"/>
  <c r="O25" i="25"/>
  <c r="N25" i="25"/>
  <c r="J25" i="25"/>
  <c r="F25" i="25"/>
  <c r="E25" i="25"/>
  <c r="D25" i="25"/>
  <c r="AG23" i="25"/>
  <c r="AE23" i="25"/>
  <c r="P24" i="25"/>
  <c r="O24" i="25"/>
  <c r="N24" i="25"/>
  <c r="F24" i="25"/>
  <c r="E24" i="25"/>
  <c r="D24" i="25"/>
  <c r="AG22" i="25"/>
  <c r="AE22" i="25"/>
  <c r="P23" i="25"/>
  <c r="O23" i="25"/>
  <c r="N23" i="25"/>
  <c r="J23" i="25"/>
  <c r="L23" i="25" s="1"/>
  <c r="F23" i="25"/>
  <c r="E23" i="25"/>
  <c r="D23" i="25"/>
  <c r="AG21" i="25"/>
  <c r="AE21" i="25"/>
  <c r="AH21" i="25" s="1"/>
  <c r="P22" i="25"/>
  <c r="O22" i="25"/>
  <c r="N22" i="25"/>
  <c r="J22" i="25"/>
  <c r="F22" i="25"/>
  <c r="E22" i="25"/>
  <c r="D22" i="25"/>
  <c r="AG20" i="25"/>
  <c r="AE20" i="25"/>
  <c r="P21" i="25"/>
  <c r="O21" i="25"/>
  <c r="N21" i="25"/>
  <c r="J21" i="25"/>
  <c r="L21" i="25" s="1"/>
  <c r="F21" i="25"/>
  <c r="E21" i="25"/>
  <c r="D21" i="25"/>
  <c r="AG19" i="25"/>
  <c r="AH19" i="25" s="1"/>
  <c r="AE19" i="25"/>
  <c r="P20" i="25"/>
  <c r="O20" i="25"/>
  <c r="N20" i="25"/>
  <c r="J20" i="25"/>
  <c r="F20" i="25"/>
  <c r="E20" i="25"/>
  <c r="D20" i="25"/>
  <c r="AG18" i="25"/>
  <c r="AE18" i="25"/>
  <c r="P19" i="25"/>
  <c r="O19" i="25"/>
  <c r="N19" i="25"/>
  <c r="F19" i="25"/>
  <c r="E19" i="25"/>
  <c r="D19" i="25"/>
  <c r="AG17" i="25"/>
  <c r="AE17" i="25"/>
  <c r="P18" i="25"/>
  <c r="O18" i="25"/>
  <c r="N18" i="25"/>
  <c r="J18" i="25"/>
  <c r="L18" i="25" s="1"/>
  <c r="F18" i="25"/>
  <c r="E18" i="25"/>
  <c r="D18" i="25"/>
  <c r="AG16" i="25"/>
  <c r="AE16" i="25"/>
  <c r="P17" i="25"/>
  <c r="O17" i="25"/>
  <c r="N17" i="25"/>
  <c r="J17" i="25"/>
  <c r="F17" i="25"/>
  <c r="E17" i="25"/>
  <c r="D17" i="25"/>
  <c r="AG15" i="25"/>
  <c r="AE15" i="25"/>
  <c r="P16" i="25"/>
  <c r="O16" i="25"/>
  <c r="N16" i="25"/>
  <c r="J16" i="25"/>
  <c r="F16" i="25"/>
  <c r="E16" i="25"/>
  <c r="D16" i="25"/>
  <c r="AG14" i="25"/>
  <c r="AE14" i="25"/>
  <c r="P15" i="25"/>
  <c r="O15" i="25"/>
  <c r="N15" i="25"/>
  <c r="J15" i="25"/>
  <c r="L15" i="25" s="1"/>
  <c r="F15" i="25"/>
  <c r="E15" i="25"/>
  <c r="D15" i="25"/>
  <c r="AG13" i="25"/>
  <c r="AE13" i="25"/>
  <c r="P14" i="25"/>
  <c r="O14" i="25"/>
  <c r="N14" i="25"/>
  <c r="J14" i="25"/>
  <c r="F14" i="25"/>
  <c r="E14" i="25"/>
  <c r="D14" i="25"/>
  <c r="AG12" i="25"/>
  <c r="AE12" i="25"/>
  <c r="P13" i="25"/>
  <c r="O13" i="25"/>
  <c r="N13" i="25"/>
  <c r="J13" i="25"/>
  <c r="L13" i="25" s="1"/>
  <c r="F13" i="25"/>
  <c r="E13" i="25"/>
  <c r="D13" i="25"/>
  <c r="J10" i="25"/>
  <c r="P12" i="25"/>
  <c r="O12" i="25"/>
  <c r="N12" i="25"/>
  <c r="J12" i="25"/>
  <c r="L12" i="25" s="1"/>
  <c r="F12" i="25"/>
  <c r="E12" i="25"/>
  <c r="D12" i="25"/>
  <c r="AG11" i="25"/>
  <c r="AH11" i="25" s="1"/>
  <c r="AE11" i="25"/>
  <c r="P11" i="25"/>
  <c r="O11" i="25"/>
  <c r="N11" i="25"/>
  <c r="J11" i="25"/>
  <c r="F11" i="25"/>
  <c r="E11" i="25"/>
  <c r="D11" i="25"/>
  <c r="AG10" i="25"/>
  <c r="AH10" i="25" s="1"/>
  <c r="AE10" i="25"/>
  <c r="P10" i="25"/>
  <c r="O10" i="25"/>
  <c r="N10" i="25"/>
  <c r="F10" i="25"/>
  <c r="E10" i="25"/>
  <c r="D10" i="25"/>
  <c r="AG9" i="25"/>
  <c r="AH9" i="25" s="1"/>
  <c r="AE9" i="25"/>
  <c r="AG8" i="25"/>
  <c r="AE8" i="25"/>
  <c r="AG7" i="25"/>
  <c r="AH7" i="25" s="1"/>
  <c r="AE7" i="25"/>
  <c r="AG6" i="25"/>
  <c r="AE6" i="25"/>
  <c r="AG5" i="25"/>
  <c r="AE5" i="25"/>
  <c r="AH24" i="25" l="1"/>
  <c r="AH8" i="25"/>
  <c r="AH16" i="25"/>
  <c r="AH31" i="25"/>
  <c r="AH35" i="25"/>
  <c r="AH23" i="25"/>
  <c r="C34" i="25"/>
  <c r="G34" i="25" s="1"/>
  <c r="AH42" i="25"/>
  <c r="AH48" i="25"/>
  <c r="AH54" i="25"/>
  <c r="AH60" i="25"/>
  <c r="AH72" i="25"/>
  <c r="AH84" i="25"/>
  <c r="AH96" i="25"/>
  <c r="AH102" i="25"/>
  <c r="AH108" i="25"/>
  <c r="AH114" i="25"/>
  <c r="AH120" i="25"/>
  <c r="AH132" i="25"/>
  <c r="AH144" i="25"/>
  <c r="AH156" i="25"/>
  <c r="AH162" i="25"/>
  <c r="AH168" i="25"/>
  <c r="AH174" i="25"/>
  <c r="AH180" i="25"/>
  <c r="AH192" i="25"/>
  <c r="AH204" i="25"/>
  <c r="AH216" i="25"/>
  <c r="AH222" i="25"/>
  <c r="AH228" i="25"/>
  <c r="AH234" i="25"/>
  <c r="AH246" i="25"/>
  <c r="AH258" i="25"/>
  <c r="AH270" i="25"/>
  <c r="AH282" i="25"/>
  <c r="AH294" i="25"/>
  <c r="AH306" i="25"/>
  <c r="AH318" i="25"/>
  <c r="AH330" i="25"/>
  <c r="AH6" i="25"/>
  <c r="AH15" i="25"/>
  <c r="AH34" i="25"/>
  <c r="AH122" i="25"/>
  <c r="AH182" i="25"/>
  <c r="AH206" i="25"/>
  <c r="AH326" i="25"/>
  <c r="H40" i="25" s="1"/>
  <c r="I40" i="25" s="1"/>
  <c r="AH350" i="25"/>
  <c r="AH362" i="25"/>
  <c r="AH374" i="25"/>
  <c r="AH386" i="25"/>
  <c r="AH398" i="25"/>
  <c r="AH410" i="25"/>
  <c r="AH422" i="25"/>
  <c r="AH434" i="25"/>
  <c r="AH446" i="25"/>
  <c r="AH20" i="25"/>
  <c r="AH12" i="25"/>
  <c r="AH30" i="25"/>
  <c r="AH38" i="25"/>
  <c r="AH43" i="25"/>
  <c r="AH49" i="25"/>
  <c r="AH55" i="25"/>
  <c r="AH61" i="25"/>
  <c r="AH67" i="25"/>
  <c r="AH73" i="25"/>
  <c r="AH79" i="25"/>
  <c r="AH85" i="25"/>
  <c r="AH97" i="25"/>
  <c r="AH103" i="25"/>
  <c r="AH109" i="25"/>
  <c r="AH115" i="25"/>
  <c r="AH121" i="25"/>
  <c r="AH127" i="25"/>
  <c r="AH133" i="25"/>
  <c r="AH139" i="25"/>
  <c r="AH145" i="25"/>
  <c r="AH157" i="25"/>
  <c r="AH163" i="25"/>
  <c r="AH169" i="25"/>
  <c r="AH175" i="25"/>
  <c r="AH181" i="25"/>
  <c r="AH187" i="25"/>
  <c r="AH193" i="25"/>
  <c r="AH199" i="25"/>
  <c r="AH205" i="25"/>
  <c r="AH217" i="25"/>
  <c r="AH223" i="25"/>
  <c r="AH229" i="25"/>
  <c r="AH235" i="25"/>
  <c r="AH247" i="25"/>
  <c r="AH253" i="25"/>
  <c r="AH259" i="25"/>
  <c r="AH271" i="25"/>
  <c r="AH277" i="25"/>
  <c r="H35" i="25" s="1"/>
  <c r="I35" i="25" s="1"/>
  <c r="AH283" i="25"/>
  <c r="AH295" i="25"/>
  <c r="AH301" i="25"/>
  <c r="AH307" i="25"/>
  <c r="AH319" i="25"/>
  <c r="AH325" i="25"/>
  <c r="AH331" i="25"/>
  <c r="AH26" i="25"/>
  <c r="AH18" i="25"/>
  <c r="AH14" i="25"/>
  <c r="AH33" i="25"/>
  <c r="AH37" i="25"/>
  <c r="AH13" i="25"/>
  <c r="AH17" i="25"/>
  <c r="AH45" i="25"/>
  <c r="AH51" i="25"/>
  <c r="AH57" i="25"/>
  <c r="AH63" i="25"/>
  <c r="AH69" i="25"/>
  <c r="AH75" i="25"/>
  <c r="AH81" i="25"/>
  <c r="AH87" i="25"/>
  <c r="AH93" i="25"/>
  <c r="AH99" i="25"/>
  <c r="AH105" i="25"/>
  <c r="AH111" i="25"/>
  <c r="AH117" i="25"/>
  <c r="AH123" i="25"/>
  <c r="AH129" i="25"/>
  <c r="AH135" i="25"/>
  <c r="AH141" i="25"/>
  <c r="AH147" i="25"/>
  <c r="AH153" i="25"/>
  <c r="AH159" i="25"/>
  <c r="AH165" i="25"/>
  <c r="AH171" i="25"/>
  <c r="AH177" i="25"/>
  <c r="AH183" i="25"/>
  <c r="AH189" i="25"/>
  <c r="AH195" i="25"/>
  <c r="AH201" i="25"/>
  <c r="AH207" i="25"/>
  <c r="AH213" i="25"/>
  <c r="AH219" i="25"/>
  <c r="AH225" i="25"/>
  <c r="AH231" i="25"/>
  <c r="AH237" i="25"/>
  <c r="AH243" i="25"/>
  <c r="H32" i="25" s="1"/>
  <c r="I32" i="25" s="1"/>
  <c r="AH249" i="25"/>
  <c r="AH255" i="25"/>
  <c r="AH261" i="25"/>
  <c r="AH267" i="25"/>
  <c r="AH273" i="25"/>
  <c r="AH279" i="25"/>
  <c r="AH285" i="25"/>
  <c r="AH291" i="25"/>
  <c r="AH297" i="25"/>
  <c r="AH303" i="25"/>
  <c r="AH309" i="25"/>
  <c r="H38" i="25" s="1"/>
  <c r="I38" i="25" s="1"/>
  <c r="AH315" i="25"/>
  <c r="H39" i="25" s="1"/>
  <c r="I39" i="25" s="1"/>
  <c r="AH321" i="25"/>
  <c r="AH327" i="25"/>
  <c r="AH333" i="25"/>
  <c r="C40" i="25"/>
  <c r="AH28" i="25"/>
  <c r="AH32" i="25"/>
  <c r="AH36" i="25"/>
  <c r="AH46" i="25"/>
  <c r="AH52" i="25"/>
  <c r="AH58" i="25"/>
  <c r="AH64" i="25"/>
  <c r="AH70" i="25"/>
  <c r="AH76" i="25"/>
  <c r="AH82" i="25"/>
  <c r="AH88" i="25"/>
  <c r="AH94" i="25"/>
  <c r="AH100" i="25"/>
  <c r="AH106" i="25"/>
  <c r="AH112" i="25"/>
  <c r="AH118" i="25"/>
  <c r="AH124" i="25"/>
  <c r="AH130" i="25"/>
  <c r="AH136" i="25"/>
  <c r="AH142" i="25"/>
  <c r="AH148" i="25"/>
  <c r="AH154" i="25"/>
  <c r="AH160" i="25"/>
  <c r="AH166" i="25"/>
  <c r="AH172" i="25"/>
  <c r="AH178" i="25"/>
  <c r="AH184" i="25"/>
  <c r="AH190" i="25"/>
  <c r="AH196" i="25"/>
  <c r="AH202" i="25"/>
  <c r="AH208" i="25"/>
  <c r="AH214" i="25"/>
  <c r="AH220" i="25"/>
  <c r="AH226" i="25"/>
  <c r="AH232" i="25"/>
  <c r="AH238" i="25"/>
  <c r="AH244" i="25"/>
  <c r="AH250" i="25"/>
  <c r="AH256" i="25"/>
  <c r="H33" i="25" s="1"/>
  <c r="I33" i="25" s="1"/>
  <c r="AH262" i="25"/>
  <c r="AH268" i="25"/>
  <c r="AH274" i="25"/>
  <c r="AH280" i="25"/>
  <c r="AH286" i="25"/>
  <c r="AH292" i="25"/>
  <c r="AH298" i="25"/>
  <c r="AH304" i="25"/>
  <c r="AH310" i="25"/>
  <c r="AH316" i="25"/>
  <c r="AH322" i="25"/>
  <c r="AH328" i="25"/>
  <c r="AH334" i="25"/>
  <c r="Q40" i="25"/>
  <c r="G40" i="25"/>
  <c r="C37" i="25"/>
  <c r="G37" i="25" s="1"/>
  <c r="C28" i="25"/>
  <c r="G28" i="25" s="1"/>
  <c r="C22" i="25"/>
  <c r="G22" i="25" s="1"/>
  <c r="C25" i="25"/>
  <c r="G25" i="25" s="1"/>
  <c r="C14" i="25"/>
  <c r="G14" i="25" s="1"/>
  <c r="C19" i="25"/>
  <c r="G19" i="25" s="1"/>
  <c r="C16" i="25"/>
  <c r="G16" i="25" s="1"/>
  <c r="C20" i="25"/>
  <c r="G20" i="25" s="1"/>
  <c r="C17" i="25"/>
  <c r="G17" i="25" s="1"/>
  <c r="H28" i="25"/>
  <c r="I28" i="25" s="1"/>
  <c r="Q23" i="25"/>
  <c r="Q19" i="25"/>
  <c r="Q34" i="25"/>
  <c r="C10" i="25"/>
  <c r="G10" i="25" s="1"/>
  <c r="C18" i="25"/>
  <c r="G18" i="25" s="1"/>
  <c r="Q32" i="25"/>
  <c r="Q16" i="25"/>
  <c r="Q20" i="25"/>
  <c r="Q37" i="25"/>
  <c r="Q24" i="25"/>
  <c r="Q28" i="25"/>
  <c r="H34" i="25"/>
  <c r="I34" i="25" s="1"/>
  <c r="C36" i="25"/>
  <c r="G36" i="25" s="1"/>
  <c r="Q22" i="25"/>
  <c r="C33" i="25"/>
  <c r="G33" i="25" s="1"/>
  <c r="C13" i="25"/>
  <c r="G13" i="25" s="1"/>
  <c r="Q18" i="25"/>
  <c r="L16" i="25"/>
  <c r="Q39" i="25"/>
  <c r="L14" i="25"/>
  <c r="Q14" i="25"/>
  <c r="Q15" i="25"/>
  <c r="Q21" i="25"/>
  <c r="Q27" i="25"/>
  <c r="Q33" i="25"/>
  <c r="Q38" i="25"/>
  <c r="L25" i="25"/>
  <c r="Q12" i="25"/>
  <c r="Q13" i="25"/>
  <c r="Q25" i="25"/>
  <c r="L22" i="25"/>
  <c r="Q31" i="25"/>
  <c r="Q36" i="25"/>
  <c r="Q30" i="25"/>
  <c r="Q29" i="25"/>
  <c r="L34" i="25"/>
  <c r="N41" i="25"/>
  <c r="P41" i="25"/>
  <c r="F41" i="25"/>
  <c r="Q11" i="25"/>
  <c r="Q10" i="25"/>
  <c r="L28" i="25"/>
  <c r="L37" i="25"/>
  <c r="C31" i="25"/>
  <c r="G31" i="25" s="1"/>
  <c r="L19" i="25"/>
  <c r="O41" i="25"/>
  <c r="C27" i="25"/>
  <c r="G27" i="25" s="1"/>
  <c r="C29" i="25"/>
  <c r="G29" i="25" s="1"/>
  <c r="C38" i="25"/>
  <c r="G38" i="25" s="1"/>
  <c r="L10" i="25"/>
  <c r="C11" i="25"/>
  <c r="G11" i="25" s="1"/>
  <c r="L11" i="25"/>
  <c r="L20" i="25"/>
  <c r="L29" i="25"/>
  <c r="L38" i="25"/>
  <c r="C24" i="25"/>
  <c r="G24" i="25" s="1"/>
  <c r="C35" i="25"/>
  <c r="G35" i="25" s="1"/>
  <c r="E41" i="25"/>
  <c r="L17" i="25"/>
  <c r="L35" i="25"/>
  <c r="Q17" i="25"/>
  <c r="Q26" i="25"/>
  <c r="Q35" i="25"/>
  <c r="C15" i="25"/>
  <c r="G15" i="25" s="1"/>
  <c r="J41" i="25"/>
  <c r="D41" i="25"/>
  <c r="C26" i="25"/>
  <c r="G26" i="25" s="1"/>
  <c r="C12" i="25"/>
  <c r="G12" i="25" s="1"/>
  <c r="C21" i="25"/>
  <c r="G21" i="25" s="1"/>
  <c r="C23" i="25"/>
  <c r="G23" i="25" s="1"/>
  <c r="C30" i="25"/>
  <c r="G30" i="25" s="1"/>
  <c r="C32" i="25"/>
  <c r="G32" i="25" s="1"/>
  <c r="C39" i="25"/>
  <c r="G39" i="25" s="1"/>
  <c r="H37" i="25" l="1"/>
  <c r="I37" i="25" s="1"/>
  <c r="H36" i="25"/>
  <c r="I36" i="25" s="1"/>
  <c r="H30" i="25"/>
  <c r="I30" i="25" s="1"/>
  <c r="H29" i="25"/>
  <c r="I29" i="25" s="1"/>
  <c r="H31" i="25"/>
  <c r="I31" i="25" s="1"/>
  <c r="H27" i="25"/>
  <c r="I27" i="25" s="1"/>
  <c r="H25" i="25"/>
  <c r="I25" i="25" s="1"/>
  <c r="H23" i="25"/>
  <c r="I23" i="25" s="1"/>
  <c r="H26" i="25"/>
  <c r="I26" i="25" s="1"/>
  <c r="H22" i="25"/>
  <c r="I22" i="25" s="1"/>
  <c r="H24" i="25"/>
  <c r="I24" i="25" s="1"/>
  <c r="H16" i="25"/>
  <c r="I16" i="25" s="1"/>
  <c r="H21" i="25"/>
  <c r="I21" i="25" s="1"/>
  <c r="H17" i="25"/>
  <c r="I17" i="25" s="1"/>
  <c r="H19" i="25"/>
  <c r="I19" i="25" s="1"/>
  <c r="H14" i="25"/>
  <c r="I14" i="25" s="1"/>
  <c r="H20" i="25"/>
  <c r="I20" i="25" s="1"/>
  <c r="H15" i="25"/>
  <c r="I15" i="25" s="1"/>
  <c r="H18" i="25"/>
  <c r="I18" i="25" s="1"/>
  <c r="H12" i="25"/>
  <c r="I12" i="25" s="1"/>
  <c r="H11" i="25"/>
  <c r="I11" i="25" s="1"/>
  <c r="H13" i="25"/>
  <c r="I13" i="25" s="1"/>
  <c r="H10" i="25"/>
  <c r="I10" i="25" s="1"/>
  <c r="Q41" i="25"/>
  <c r="C41" i="25"/>
  <c r="G41" i="25"/>
  <c r="D42" i="25" s="1"/>
  <c r="L41" i="25"/>
  <c r="K42" i="25" s="1"/>
  <c r="I41" i="25" l="1"/>
  <c r="H41" i="25"/>
  <c r="J42" i="25"/>
  <c r="L42" i="25"/>
  <c r="F42" i="25"/>
  <c r="E42" i="25"/>
  <c r="C42" i="25"/>
  <c r="AG189" i="24" l="1"/>
  <c r="AG190" i="24"/>
  <c r="AG191" i="24"/>
  <c r="AG192" i="24"/>
  <c r="AG193" i="24"/>
  <c r="AG194" i="24"/>
  <c r="AG195" i="24"/>
  <c r="AG196" i="24"/>
  <c r="AG197" i="24"/>
  <c r="AG198" i="24"/>
  <c r="AG199" i="24"/>
  <c r="AG200" i="24"/>
  <c r="AG201" i="24"/>
  <c r="AG202" i="24"/>
  <c r="AG203" i="24"/>
  <c r="AG204" i="24"/>
  <c r="AG205" i="24"/>
  <c r="AG206" i="24"/>
  <c r="AG207" i="24"/>
  <c r="AG208" i="24"/>
  <c r="AG209" i="24"/>
  <c r="AG210" i="24"/>
  <c r="AG211" i="24"/>
  <c r="AG212" i="24"/>
  <c r="AG213" i="24"/>
  <c r="AG214" i="24"/>
  <c r="AG215" i="24"/>
  <c r="AG216" i="24"/>
  <c r="AG217" i="24"/>
  <c r="AG218" i="24"/>
  <c r="AG219" i="24"/>
  <c r="AG220" i="24"/>
  <c r="AG221" i="24"/>
  <c r="AG222" i="24"/>
  <c r="AG223" i="24"/>
  <c r="AG224" i="24"/>
  <c r="AG225" i="24"/>
  <c r="AG226" i="24"/>
  <c r="AG227" i="24"/>
  <c r="AG228" i="24"/>
  <c r="AG229" i="24"/>
  <c r="AG230" i="24"/>
  <c r="AG231" i="24"/>
  <c r="AG232" i="24"/>
  <c r="AG233" i="24"/>
  <c r="AG234" i="24"/>
  <c r="AG235" i="24"/>
  <c r="AG236" i="24"/>
  <c r="AG237" i="24"/>
  <c r="AG238" i="24"/>
  <c r="AG239" i="24"/>
  <c r="AG240" i="24"/>
  <c r="AG241" i="24"/>
  <c r="AG242" i="24"/>
  <c r="AG243" i="24"/>
  <c r="AG244" i="24"/>
  <c r="AG245" i="24"/>
  <c r="AG246" i="24"/>
  <c r="AG247" i="24"/>
  <c r="AG248" i="24"/>
  <c r="AG249" i="24"/>
  <c r="AG250" i="24"/>
  <c r="AG251" i="24"/>
  <c r="AG252" i="24"/>
  <c r="AG253" i="24"/>
  <c r="AG254" i="24"/>
  <c r="AG255" i="24"/>
  <c r="AG256" i="24"/>
  <c r="AG257" i="24"/>
  <c r="AG258" i="24"/>
  <c r="AG259" i="24"/>
  <c r="AG260" i="24"/>
  <c r="AG261" i="24"/>
  <c r="AG262" i="24"/>
  <c r="AG263" i="24"/>
  <c r="AG264" i="24"/>
  <c r="AG265" i="24"/>
  <c r="AG266" i="24"/>
  <c r="AG267" i="24"/>
  <c r="AG268" i="24"/>
  <c r="AG269" i="24"/>
  <c r="AG270" i="24"/>
  <c r="AG271" i="24"/>
  <c r="AG272" i="24"/>
  <c r="AG273" i="24"/>
  <c r="AG274" i="24"/>
  <c r="AG275" i="24"/>
  <c r="AG276" i="24"/>
  <c r="AG277" i="24"/>
  <c r="AG278" i="24"/>
  <c r="AG279" i="24"/>
  <c r="AG280" i="24"/>
  <c r="AG281" i="24"/>
  <c r="AG282" i="24"/>
  <c r="AG283" i="24"/>
  <c r="AG284" i="24"/>
  <c r="AG285" i="24"/>
  <c r="AG286" i="24"/>
  <c r="AG287" i="24"/>
  <c r="AG288" i="24"/>
  <c r="AG289" i="24"/>
  <c r="AG290" i="24"/>
  <c r="AG291" i="24"/>
  <c r="AG292" i="24"/>
  <c r="AG293" i="24"/>
  <c r="AG294" i="24"/>
  <c r="AG295" i="24"/>
  <c r="AG296" i="24"/>
  <c r="AG297" i="24"/>
  <c r="AG298" i="24"/>
  <c r="AG299" i="24"/>
  <c r="AG300" i="24"/>
  <c r="AG301" i="24"/>
  <c r="AG302" i="24"/>
  <c r="AG303" i="24"/>
  <c r="AG304" i="24"/>
  <c r="AG305" i="24"/>
  <c r="AG306" i="24"/>
  <c r="AG307" i="24"/>
  <c r="AG308" i="24"/>
  <c r="AG309" i="24"/>
  <c r="AG310" i="24"/>
  <c r="AG311" i="24"/>
  <c r="AG312" i="24"/>
  <c r="AG313" i="24"/>
  <c r="AG314" i="24"/>
  <c r="AG315" i="24"/>
  <c r="AG316" i="24"/>
  <c r="AG317" i="24"/>
  <c r="AG318" i="24"/>
  <c r="AG319" i="24"/>
  <c r="AG320" i="24"/>
  <c r="AG321" i="24"/>
  <c r="AG322" i="24"/>
  <c r="AG323" i="24"/>
  <c r="AG324" i="24"/>
  <c r="AG325" i="24"/>
  <c r="AG326" i="24"/>
  <c r="AG327" i="24"/>
  <c r="AG328" i="24"/>
  <c r="AG329" i="24"/>
  <c r="AG330" i="24"/>
  <c r="AG331" i="24"/>
  <c r="AG332" i="24"/>
  <c r="AG333" i="24"/>
  <c r="AG334" i="24"/>
  <c r="AG335" i="24"/>
  <c r="AG336" i="24"/>
  <c r="AG337" i="24"/>
  <c r="AG338" i="24"/>
  <c r="AG339" i="24"/>
  <c r="AG340" i="24"/>
  <c r="AG341" i="24"/>
  <c r="AG342" i="24"/>
  <c r="AG343" i="24"/>
  <c r="AG344" i="24"/>
  <c r="AG345" i="24"/>
  <c r="AG346" i="24"/>
  <c r="AG347" i="24"/>
  <c r="AG348" i="24"/>
  <c r="AG349" i="24"/>
  <c r="AG350" i="24"/>
  <c r="AG351" i="24"/>
  <c r="AG352" i="24"/>
  <c r="AG353" i="24"/>
  <c r="AG354" i="24"/>
  <c r="AG355" i="24"/>
  <c r="AG356" i="24"/>
  <c r="AG357" i="24"/>
  <c r="AG358" i="24"/>
  <c r="AG359" i="24"/>
  <c r="AG360" i="24"/>
  <c r="AG361" i="24"/>
  <c r="AG362" i="24"/>
  <c r="AG363" i="24"/>
  <c r="AG364" i="24"/>
  <c r="AG365" i="24"/>
  <c r="AG366" i="24"/>
  <c r="AG367" i="24"/>
  <c r="AG368" i="24"/>
  <c r="AG369" i="24"/>
  <c r="AG370" i="24"/>
  <c r="AG371" i="24"/>
  <c r="AG372" i="24"/>
  <c r="AG373" i="24"/>
  <c r="AG374" i="24"/>
  <c r="AG375" i="24"/>
  <c r="AG376" i="24"/>
  <c r="AG377" i="24"/>
  <c r="AG378" i="24"/>
  <c r="AG379" i="24"/>
  <c r="AG380" i="24"/>
  <c r="AG381" i="24"/>
  <c r="AG382" i="24"/>
  <c r="AG383" i="24"/>
  <c r="AG384" i="24"/>
  <c r="AG385" i="24"/>
  <c r="AG386" i="24"/>
  <c r="AG387" i="24"/>
  <c r="AG388" i="24"/>
  <c r="AG389" i="24"/>
  <c r="AG390" i="24"/>
  <c r="AG391" i="24"/>
  <c r="AG392" i="24"/>
  <c r="AG393" i="24"/>
  <c r="AG394" i="24"/>
  <c r="AG395" i="24"/>
  <c r="AG396" i="24"/>
  <c r="AG397" i="24"/>
  <c r="AG398" i="24"/>
  <c r="AG399" i="24"/>
  <c r="AG400" i="24"/>
  <c r="AG401" i="24"/>
  <c r="AG402" i="24"/>
  <c r="AG403" i="24"/>
  <c r="AG404" i="24"/>
  <c r="AG405" i="24"/>
  <c r="AG406" i="24"/>
  <c r="AG407" i="24"/>
  <c r="AG408" i="24"/>
  <c r="AG409" i="24"/>
  <c r="AG410" i="24"/>
  <c r="AG411" i="24"/>
  <c r="AG412" i="24"/>
  <c r="AG413" i="24"/>
  <c r="AG414" i="24"/>
  <c r="AG415" i="24"/>
  <c r="AG416" i="24"/>
  <c r="AG417" i="24"/>
  <c r="AG418" i="24"/>
  <c r="AG419" i="24"/>
  <c r="AG420" i="24"/>
  <c r="AG421" i="24"/>
  <c r="AG422" i="24"/>
  <c r="AG423" i="24"/>
  <c r="AG424" i="24"/>
  <c r="AG425" i="24"/>
  <c r="AG426" i="24"/>
  <c r="AG427" i="24"/>
  <c r="AG428" i="24"/>
  <c r="AG429" i="24"/>
  <c r="AG430" i="24"/>
  <c r="AG431" i="24"/>
  <c r="AG432" i="24"/>
  <c r="AG433" i="24"/>
  <c r="AG434" i="24"/>
  <c r="AG435" i="24"/>
  <c r="AG436" i="24"/>
  <c r="AG437" i="24"/>
  <c r="AG438" i="24"/>
  <c r="AG439" i="24"/>
  <c r="AG440" i="24"/>
  <c r="AG441" i="24"/>
  <c r="AG442" i="24"/>
  <c r="AG443" i="24"/>
  <c r="AG444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AG25" i="24"/>
  <c r="AG26" i="24"/>
  <c r="AG27" i="24"/>
  <c r="AG28" i="24"/>
  <c r="AG29" i="24"/>
  <c r="AG30" i="24"/>
  <c r="AG31" i="24"/>
  <c r="AG32" i="24"/>
  <c r="AG33" i="24"/>
  <c r="AG34" i="24"/>
  <c r="AG35" i="24"/>
  <c r="AG36" i="24"/>
  <c r="AG37" i="24"/>
  <c r="AG38" i="24"/>
  <c r="AG39" i="24"/>
  <c r="AG40" i="24"/>
  <c r="AG41" i="24"/>
  <c r="AG42" i="24"/>
  <c r="AG43" i="24"/>
  <c r="AG44" i="24"/>
  <c r="AG45" i="24"/>
  <c r="AG46" i="24"/>
  <c r="AG47" i="24"/>
  <c r="AG48" i="24"/>
  <c r="AG49" i="24"/>
  <c r="AG50" i="24"/>
  <c r="AG51" i="24"/>
  <c r="AG52" i="24"/>
  <c r="AG53" i="24"/>
  <c r="AG54" i="24"/>
  <c r="AG55" i="24"/>
  <c r="AG56" i="24"/>
  <c r="AG57" i="24"/>
  <c r="AG58" i="24"/>
  <c r="AG59" i="24"/>
  <c r="AG60" i="24"/>
  <c r="AG61" i="24"/>
  <c r="AG62" i="24"/>
  <c r="AG63" i="24"/>
  <c r="AG64" i="24"/>
  <c r="AG65" i="24"/>
  <c r="AG66" i="24"/>
  <c r="AG67" i="24"/>
  <c r="AG68" i="24"/>
  <c r="AG69" i="24"/>
  <c r="AG70" i="24"/>
  <c r="AG71" i="24"/>
  <c r="AG72" i="24"/>
  <c r="AG73" i="24"/>
  <c r="AG74" i="24"/>
  <c r="AG75" i="24"/>
  <c r="AG76" i="24"/>
  <c r="AG77" i="24"/>
  <c r="AG78" i="24"/>
  <c r="AG79" i="24"/>
  <c r="AG80" i="24"/>
  <c r="AG81" i="24"/>
  <c r="AG82" i="24"/>
  <c r="AG83" i="24"/>
  <c r="AG84" i="24"/>
  <c r="AG85" i="24"/>
  <c r="AG86" i="24"/>
  <c r="AG87" i="24"/>
  <c r="AG88" i="24"/>
  <c r="AG89" i="24"/>
  <c r="AG90" i="24"/>
  <c r="AG91" i="24"/>
  <c r="AG92" i="24"/>
  <c r="AG93" i="24"/>
  <c r="AG94" i="24"/>
  <c r="AG95" i="24"/>
  <c r="AG96" i="24"/>
  <c r="AG97" i="24"/>
  <c r="AG98" i="24"/>
  <c r="AG99" i="24"/>
  <c r="AG100" i="24"/>
  <c r="AG101" i="24"/>
  <c r="AG102" i="24"/>
  <c r="AG103" i="24"/>
  <c r="AG104" i="24"/>
  <c r="AG105" i="24"/>
  <c r="AG106" i="24"/>
  <c r="AG107" i="24"/>
  <c r="AG108" i="24"/>
  <c r="AG109" i="24"/>
  <c r="AG110" i="24"/>
  <c r="AG111" i="24"/>
  <c r="AG112" i="24"/>
  <c r="AG113" i="24"/>
  <c r="AG114" i="24"/>
  <c r="AG115" i="24"/>
  <c r="AG116" i="24"/>
  <c r="AG117" i="24"/>
  <c r="AG118" i="24"/>
  <c r="AG119" i="24"/>
  <c r="AG120" i="24"/>
  <c r="AG121" i="24"/>
  <c r="AG122" i="24"/>
  <c r="AG123" i="24"/>
  <c r="AG124" i="24"/>
  <c r="AG125" i="24"/>
  <c r="AG126" i="24"/>
  <c r="AG127" i="24"/>
  <c r="AG128" i="24"/>
  <c r="AG129" i="24"/>
  <c r="AG130" i="24"/>
  <c r="AG131" i="24"/>
  <c r="AG132" i="24"/>
  <c r="AG133" i="24"/>
  <c r="AG134" i="24"/>
  <c r="AG135" i="24"/>
  <c r="AG136" i="24"/>
  <c r="AG137" i="24"/>
  <c r="AG138" i="24"/>
  <c r="AG139" i="24"/>
  <c r="AG140" i="24"/>
  <c r="AG141" i="24"/>
  <c r="AG142" i="24"/>
  <c r="AG143" i="24"/>
  <c r="AG144" i="24"/>
  <c r="AG145" i="24"/>
  <c r="AG146" i="24"/>
  <c r="AG147" i="24"/>
  <c r="AG148" i="24"/>
  <c r="AG149" i="24"/>
  <c r="AG150" i="24"/>
  <c r="AG151" i="24"/>
  <c r="AG152" i="24"/>
  <c r="AG153" i="24"/>
  <c r="AG154" i="24"/>
  <c r="AG155" i="24"/>
  <c r="AG156" i="24"/>
  <c r="AG157" i="24"/>
  <c r="AG158" i="24"/>
  <c r="AG159" i="24"/>
  <c r="AG160" i="24"/>
  <c r="AG161" i="24"/>
  <c r="AG162" i="24"/>
  <c r="AG163" i="24"/>
  <c r="AG164" i="24"/>
  <c r="AG165" i="24"/>
  <c r="AG166" i="24"/>
  <c r="AG167" i="24"/>
  <c r="AG168" i="24"/>
  <c r="AG169" i="24"/>
  <c r="AG170" i="24"/>
  <c r="AG171" i="24"/>
  <c r="AG172" i="24"/>
  <c r="AG173" i="24"/>
  <c r="AG174" i="24"/>
  <c r="AG175" i="24"/>
  <c r="AG176" i="24"/>
  <c r="AG177" i="24"/>
  <c r="AG178" i="24"/>
  <c r="AG179" i="24"/>
  <c r="AG180" i="24"/>
  <c r="AG181" i="24"/>
  <c r="AG182" i="24"/>
  <c r="AG183" i="24"/>
  <c r="AG184" i="24"/>
  <c r="AG185" i="24"/>
  <c r="AG186" i="24"/>
  <c r="AG187" i="24"/>
  <c r="AG188" i="24"/>
  <c r="AG5" i="24"/>
  <c r="AE62" i="24"/>
  <c r="AE63" i="24"/>
  <c r="AE64" i="24"/>
  <c r="AE65" i="24"/>
  <c r="AE66" i="24"/>
  <c r="AE67" i="24"/>
  <c r="AE68" i="24"/>
  <c r="AE69" i="24"/>
  <c r="AE70" i="24"/>
  <c r="AE71" i="24"/>
  <c r="AE72" i="24"/>
  <c r="AE73" i="24"/>
  <c r="AE74" i="24"/>
  <c r="AE75" i="24"/>
  <c r="AE76" i="24"/>
  <c r="AE77" i="24"/>
  <c r="AE78" i="24"/>
  <c r="AE79" i="24"/>
  <c r="AE80" i="24"/>
  <c r="AE81" i="24"/>
  <c r="AE82" i="24"/>
  <c r="AE83" i="24"/>
  <c r="AE84" i="24"/>
  <c r="AE85" i="24"/>
  <c r="AE86" i="24"/>
  <c r="AE87" i="24"/>
  <c r="AE88" i="24"/>
  <c r="AE89" i="24"/>
  <c r="AE90" i="24"/>
  <c r="AE91" i="24"/>
  <c r="AE92" i="24"/>
  <c r="AE93" i="24"/>
  <c r="AE94" i="24"/>
  <c r="AE95" i="24"/>
  <c r="AE96" i="24"/>
  <c r="AE97" i="24"/>
  <c r="AE98" i="24"/>
  <c r="AE99" i="24"/>
  <c r="AE100" i="24"/>
  <c r="AE101" i="24"/>
  <c r="AE102" i="24"/>
  <c r="AE103" i="24"/>
  <c r="AE104" i="24"/>
  <c r="AE105" i="24"/>
  <c r="AE106" i="24"/>
  <c r="AE107" i="24"/>
  <c r="AE108" i="24"/>
  <c r="AE109" i="24"/>
  <c r="AE110" i="24"/>
  <c r="AE111" i="24"/>
  <c r="AE112" i="24"/>
  <c r="AE113" i="24"/>
  <c r="AE114" i="24"/>
  <c r="AE115" i="24"/>
  <c r="AE116" i="24"/>
  <c r="AE117" i="24"/>
  <c r="AE118" i="24"/>
  <c r="AE119" i="24"/>
  <c r="AE120" i="24"/>
  <c r="AE121" i="24"/>
  <c r="AE122" i="24"/>
  <c r="AE123" i="24"/>
  <c r="AE124" i="24"/>
  <c r="AE125" i="24"/>
  <c r="AE126" i="24"/>
  <c r="AE127" i="24"/>
  <c r="AE128" i="24"/>
  <c r="AE129" i="24"/>
  <c r="AE130" i="24"/>
  <c r="AE131" i="24"/>
  <c r="AE472" i="24" l="1"/>
  <c r="AE471" i="24"/>
  <c r="AE470" i="24"/>
  <c r="AE469" i="24"/>
  <c r="AE468" i="24"/>
  <c r="AE467" i="24"/>
  <c r="AE466" i="24"/>
  <c r="AE465" i="24"/>
  <c r="AE464" i="24"/>
  <c r="AE463" i="24"/>
  <c r="AE462" i="24"/>
  <c r="AE461" i="24"/>
  <c r="AE460" i="24"/>
  <c r="AE459" i="24"/>
  <c r="AE458" i="24"/>
  <c r="AE457" i="24"/>
  <c r="AE456" i="24"/>
  <c r="AE455" i="24"/>
  <c r="AE454" i="24"/>
  <c r="AE453" i="24"/>
  <c r="AE452" i="24"/>
  <c r="AE451" i="24"/>
  <c r="AE450" i="24"/>
  <c r="AE449" i="24"/>
  <c r="AE448" i="24"/>
  <c r="AE447" i="24"/>
  <c r="AE446" i="24"/>
  <c r="AE445" i="24"/>
  <c r="AE444" i="24"/>
  <c r="AE443" i="24"/>
  <c r="AE442" i="24"/>
  <c r="AE441" i="24"/>
  <c r="AE440" i="24"/>
  <c r="AE439" i="24"/>
  <c r="AE438" i="24"/>
  <c r="AE437" i="24"/>
  <c r="AE436" i="24"/>
  <c r="AE435" i="24"/>
  <c r="AE434" i="24"/>
  <c r="AE433" i="24"/>
  <c r="AE432" i="24"/>
  <c r="AE431" i="24"/>
  <c r="AE430" i="24"/>
  <c r="AE429" i="24"/>
  <c r="AE428" i="24"/>
  <c r="AE427" i="24"/>
  <c r="AE426" i="24"/>
  <c r="AE425" i="24"/>
  <c r="AE424" i="24"/>
  <c r="AE423" i="24"/>
  <c r="AE422" i="24"/>
  <c r="AE421" i="24"/>
  <c r="AE420" i="24"/>
  <c r="AE419" i="24"/>
  <c r="AE418" i="24"/>
  <c r="AE417" i="24"/>
  <c r="AE416" i="24"/>
  <c r="AE415" i="24"/>
  <c r="AE414" i="24"/>
  <c r="AE413" i="24"/>
  <c r="AE412" i="24"/>
  <c r="AE411" i="24"/>
  <c r="AE410" i="24"/>
  <c r="AE409" i="24"/>
  <c r="AE408" i="24"/>
  <c r="AE407" i="24"/>
  <c r="AE406" i="24"/>
  <c r="AE405" i="24"/>
  <c r="AE404" i="24"/>
  <c r="AE403" i="24"/>
  <c r="AE402" i="24"/>
  <c r="AE401" i="24"/>
  <c r="AE400" i="24"/>
  <c r="AE399" i="24"/>
  <c r="AE398" i="24"/>
  <c r="AE397" i="24"/>
  <c r="AE396" i="24"/>
  <c r="AE395" i="24"/>
  <c r="AE394" i="24"/>
  <c r="AE393" i="24"/>
  <c r="AE392" i="24"/>
  <c r="AE391" i="24"/>
  <c r="AE390" i="24"/>
  <c r="AE389" i="24"/>
  <c r="AE388" i="24"/>
  <c r="AE387" i="24"/>
  <c r="AE386" i="24"/>
  <c r="AE385" i="24"/>
  <c r="AE384" i="24"/>
  <c r="AE383" i="24"/>
  <c r="AE382" i="24"/>
  <c r="AE381" i="24"/>
  <c r="AE380" i="24"/>
  <c r="AE379" i="24"/>
  <c r="AE378" i="24"/>
  <c r="AE377" i="24"/>
  <c r="AE376" i="24"/>
  <c r="AE375" i="24"/>
  <c r="AE374" i="24"/>
  <c r="AE373" i="24"/>
  <c r="AE372" i="24"/>
  <c r="AE371" i="24"/>
  <c r="AE370" i="24"/>
  <c r="AE369" i="24"/>
  <c r="AE368" i="24"/>
  <c r="AE367" i="24"/>
  <c r="AE366" i="24"/>
  <c r="AE365" i="24"/>
  <c r="AE364" i="24"/>
  <c r="AE363" i="24"/>
  <c r="AE362" i="24"/>
  <c r="AE361" i="24"/>
  <c r="AE360" i="24"/>
  <c r="AE359" i="24"/>
  <c r="AE358" i="24"/>
  <c r="AE357" i="24"/>
  <c r="AE356" i="24"/>
  <c r="AE355" i="24"/>
  <c r="AE354" i="24"/>
  <c r="AE353" i="24"/>
  <c r="AE352" i="24"/>
  <c r="AE351" i="24"/>
  <c r="AE350" i="24"/>
  <c r="AE349" i="24"/>
  <c r="AE348" i="24"/>
  <c r="AE347" i="24"/>
  <c r="AE346" i="24"/>
  <c r="AE345" i="24"/>
  <c r="AE344" i="24"/>
  <c r="AE343" i="24"/>
  <c r="AE342" i="24"/>
  <c r="AE341" i="24"/>
  <c r="AE340" i="24"/>
  <c r="AE339" i="24"/>
  <c r="AE338" i="24"/>
  <c r="AE337" i="24"/>
  <c r="AE336" i="24"/>
  <c r="AE335" i="24"/>
  <c r="AE334" i="24"/>
  <c r="AE333" i="24"/>
  <c r="AE332" i="24"/>
  <c r="AE331" i="24"/>
  <c r="AE330" i="24"/>
  <c r="AE329" i="24"/>
  <c r="AE328" i="24"/>
  <c r="AE327" i="24"/>
  <c r="AE326" i="24"/>
  <c r="AE325" i="24"/>
  <c r="AE324" i="24"/>
  <c r="AE323" i="24"/>
  <c r="AE322" i="24"/>
  <c r="AE321" i="24"/>
  <c r="AE320" i="24"/>
  <c r="AE319" i="24"/>
  <c r="AE318" i="24"/>
  <c r="AE317" i="24"/>
  <c r="AE316" i="24"/>
  <c r="AE315" i="24"/>
  <c r="AE314" i="24"/>
  <c r="AE313" i="24"/>
  <c r="AE312" i="24"/>
  <c r="AE311" i="24"/>
  <c r="AE310" i="24"/>
  <c r="AE309" i="24"/>
  <c r="AE308" i="24"/>
  <c r="AE307" i="24"/>
  <c r="AE306" i="24"/>
  <c r="AE305" i="24"/>
  <c r="AE304" i="24"/>
  <c r="AE303" i="24"/>
  <c r="AE302" i="24"/>
  <c r="AE301" i="24"/>
  <c r="AE300" i="24"/>
  <c r="AE299" i="24"/>
  <c r="AE298" i="24"/>
  <c r="AE297" i="24"/>
  <c r="AE296" i="24"/>
  <c r="AE295" i="24"/>
  <c r="AE294" i="24"/>
  <c r="AE293" i="24"/>
  <c r="AE292" i="24"/>
  <c r="AE291" i="24"/>
  <c r="AE290" i="24"/>
  <c r="AE289" i="24"/>
  <c r="AE288" i="24"/>
  <c r="AE287" i="24"/>
  <c r="AE286" i="24"/>
  <c r="AE285" i="24"/>
  <c r="AE284" i="24"/>
  <c r="AE283" i="24"/>
  <c r="AE282" i="24"/>
  <c r="AE281" i="24"/>
  <c r="AE280" i="24"/>
  <c r="AE279" i="24"/>
  <c r="AE278" i="24"/>
  <c r="AE277" i="24"/>
  <c r="AE276" i="24"/>
  <c r="AE275" i="24"/>
  <c r="AE274" i="24"/>
  <c r="AE273" i="24"/>
  <c r="AE272" i="24"/>
  <c r="AE271" i="24"/>
  <c r="AE270" i="24"/>
  <c r="AE269" i="24"/>
  <c r="AE268" i="24"/>
  <c r="AE267" i="24"/>
  <c r="AE266" i="24"/>
  <c r="AE265" i="24"/>
  <c r="AE264" i="24"/>
  <c r="AE263" i="24"/>
  <c r="AE262" i="24"/>
  <c r="AE261" i="24"/>
  <c r="AE260" i="24"/>
  <c r="AE259" i="24"/>
  <c r="AE258" i="24"/>
  <c r="AE257" i="24"/>
  <c r="AE256" i="24"/>
  <c r="AE255" i="24"/>
  <c r="AE254" i="24"/>
  <c r="AE253" i="24"/>
  <c r="AE252" i="24"/>
  <c r="AE251" i="24"/>
  <c r="AE250" i="24"/>
  <c r="AE249" i="24"/>
  <c r="AE248" i="24"/>
  <c r="AE247" i="24"/>
  <c r="AE246" i="24"/>
  <c r="AE245" i="24"/>
  <c r="AE244" i="24"/>
  <c r="AE243" i="24"/>
  <c r="AE242" i="24"/>
  <c r="AE241" i="24"/>
  <c r="AE240" i="24"/>
  <c r="AE239" i="24"/>
  <c r="AE238" i="24"/>
  <c r="AE237" i="24"/>
  <c r="AE236" i="24"/>
  <c r="AE235" i="24"/>
  <c r="AE234" i="24"/>
  <c r="AE233" i="24"/>
  <c r="AE232" i="24"/>
  <c r="AE231" i="24"/>
  <c r="AE230" i="24"/>
  <c r="AE229" i="24"/>
  <c r="AE228" i="24"/>
  <c r="AE227" i="24"/>
  <c r="AE226" i="24"/>
  <c r="AE225" i="24"/>
  <c r="AE224" i="24"/>
  <c r="AE223" i="24"/>
  <c r="AE222" i="24"/>
  <c r="AE221" i="24"/>
  <c r="AE220" i="24"/>
  <c r="AE219" i="24"/>
  <c r="AE218" i="24"/>
  <c r="AE217" i="24"/>
  <c r="AE216" i="24"/>
  <c r="AE215" i="24"/>
  <c r="AE214" i="24"/>
  <c r="AE213" i="24"/>
  <c r="AE212" i="24"/>
  <c r="AE211" i="24"/>
  <c r="AE210" i="24"/>
  <c r="AE209" i="24"/>
  <c r="AE208" i="24"/>
  <c r="AE207" i="24"/>
  <c r="AE206" i="24"/>
  <c r="AE205" i="24"/>
  <c r="AE204" i="24"/>
  <c r="AE203" i="24"/>
  <c r="AE202" i="24"/>
  <c r="AE201" i="24"/>
  <c r="AE200" i="24"/>
  <c r="H30" i="24"/>
  <c r="AE199" i="24"/>
  <c r="AE198" i="24"/>
  <c r="AE197" i="24"/>
  <c r="AE196" i="24"/>
  <c r="AE195" i="24"/>
  <c r="AE194" i="24"/>
  <c r="AE193" i="24"/>
  <c r="AE192" i="24"/>
  <c r="AE191" i="24"/>
  <c r="AE190" i="24"/>
  <c r="AE189" i="24"/>
  <c r="AE188" i="24"/>
  <c r="AE187" i="24"/>
  <c r="AE186" i="24"/>
  <c r="AE185" i="24"/>
  <c r="AE184" i="24"/>
  <c r="AE183" i="24"/>
  <c r="AE182" i="24"/>
  <c r="AE181" i="24"/>
  <c r="AE180" i="24"/>
  <c r="AE179" i="24"/>
  <c r="AE178" i="24"/>
  <c r="AE177" i="24"/>
  <c r="AE176" i="24"/>
  <c r="AE175" i="24"/>
  <c r="AE174" i="24"/>
  <c r="AE173" i="24"/>
  <c r="AE172" i="24"/>
  <c r="AE171" i="24"/>
  <c r="AE170" i="24"/>
  <c r="AE169" i="24"/>
  <c r="AE168" i="24"/>
  <c r="AE167" i="24"/>
  <c r="AE166" i="24"/>
  <c r="AE165" i="24"/>
  <c r="AE164" i="24"/>
  <c r="AE163" i="24"/>
  <c r="AE162" i="24"/>
  <c r="AE161" i="24"/>
  <c r="AE160" i="24"/>
  <c r="AE159" i="24"/>
  <c r="AE158" i="24"/>
  <c r="AE157" i="24"/>
  <c r="AE156" i="24"/>
  <c r="AE155" i="24"/>
  <c r="AE154" i="24"/>
  <c r="AE153" i="24"/>
  <c r="AE152" i="24"/>
  <c r="AE151" i="24"/>
  <c r="AE150" i="24"/>
  <c r="AE149" i="24"/>
  <c r="AE148" i="24"/>
  <c r="AE147" i="24"/>
  <c r="AE146" i="24"/>
  <c r="AE145" i="24"/>
  <c r="AE144" i="24"/>
  <c r="AE143" i="24"/>
  <c r="AE142" i="24"/>
  <c r="AE141" i="24"/>
  <c r="AE140" i="24"/>
  <c r="AE139" i="24"/>
  <c r="AE138" i="24"/>
  <c r="AE137" i="24"/>
  <c r="AE136" i="24"/>
  <c r="AE135" i="24"/>
  <c r="AE134" i="24"/>
  <c r="AE133" i="24"/>
  <c r="AE132" i="24"/>
  <c r="AE61" i="24"/>
  <c r="AE60" i="24"/>
  <c r="AE59" i="24"/>
  <c r="AE58" i="24"/>
  <c r="AE57" i="24"/>
  <c r="AE56" i="24"/>
  <c r="AE55" i="24"/>
  <c r="AE54" i="24"/>
  <c r="AE53" i="24"/>
  <c r="AE52" i="24"/>
  <c r="AE51" i="24"/>
  <c r="AE50" i="24"/>
  <c r="AE49" i="24"/>
  <c r="AE48" i="24"/>
  <c r="AE47" i="24"/>
  <c r="AE46" i="24"/>
  <c r="AE45" i="24"/>
  <c r="AE44" i="24"/>
  <c r="AE43" i="24"/>
  <c r="AE42" i="24"/>
  <c r="Q42" i="24"/>
  <c r="AE41" i="24"/>
  <c r="K41" i="24"/>
  <c r="AE40" i="24"/>
  <c r="AE39" i="24"/>
  <c r="P39" i="24"/>
  <c r="O39" i="24"/>
  <c r="N39" i="24"/>
  <c r="J39" i="24"/>
  <c r="F39" i="24"/>
  <c r="E39" i="24"/>
  <c r="D39" i="24"/>
  <c r="AE38" i="24"/>
  <c r="P38" i="24"/>
  <c r="O38" i="24"/>
  <c r="N38" i="24"/>
  <c r="J38" i="24"/>
  <c r="L38" i="24" s="1"/>
  <c r="F38" i="24"/>
  <c r="E38" i="24"/>
  <c r="D38" i="24"/>
  <c r="AE37" i="24"/>
  <c r="P37" i="24"/>
  <c r="O37" i="24"/>
  <c r="N37" i="24"/>
  <c r="J37" i="24"/>
  <c r="L37" i="24" s="1"/>
  <c r="F37" i="24"/>
  <c r="E37" i="24"/>
  <c r="D37" i="24"/>
  <c r="AE36" i="24"/>
  <c r="P36" i="24"/>
  <c r="O36" i="24"/>
  <c r="N36" i="24"/>
  <c r="J36" i="24"/>
  <c r="F36" i="24"/>
  <c r="E36" i="24"/>
  <c r="D36" i="24"/>
  <c r="AE35" i="24"/>
  <c r="P35" i="24"/>
  <c r="O35" i="24"/>
  <c r="N35" i="24"/>
  <c r="J35" i="24"/>
  <c r="L35" i="24" s="1"/>
  <c r="F35" i="24"/>
  <c r="E35" i="24"/>
  <c r="D35" i="24"/>
  <c r="AE34" i="24"/>
  <c r="P34" i="24"/>
  <c r="O34" i="24"/>
  <c r="N34" i="24"/>
  <c r="J34" i="24"/>
  <c r="F34" i="24"/>
  <c r="E34" i="24"/>
  <c r="D34" i="24"/>
  <c r="AE33" i="24"/>
  <c r="P33" i="24"/>
  <c r="O33" i="24"/>
  <c r="N33" i="24"/>
  <c r="J33" i="24"/>
  <c r="L33" i="24" s="1"/>
  <c r="F33" i="24"/>
  <c r="E33" i="24"/>
  <c r="D33" i="24"/>
  <c r="AE32" i="24"/>
  <c r="P32" i="24"/>
  <c r="O32" i="24"/>
  <c r="N32" i="24"/>
  <c r="J32" i="24"/>
  <c r="L32" i="24" s="1"/>
  <c r="F32" i="24"/>
  <c r="E32" i="24"/>
  <c r="D32" i="24"/>
  <c r="AE31" i="24"/>
  <c r="P31" i="24"/>
  <c r="O31" i="24"/>
  <c r="N31" i="24"/>
  <c r="J31" i="24"/>
  <c r="L31" i="24" s="1"/>
  <c r="F31" i="24"/>
  <c r="E31" i="24"/>
  <c r="D31" i="24"/>
  <c r="AE30" i="24"/>
  <c r="P30" i="24"/>
  <c r="O30" i="24"/>
  <c r="N30" i="24"/>
  <c r="J30" i="24"/>
  <c r="L30" i="24" s="1"/>
  <c r="F30" i="24"/>
  <c r="E30" i="24"/>
  <c r="D30" i="24"/>
  <c r="AE29" i="24"/>
  <c r="P29" i="24"/>
  <c r="O29" i="24"/>
  <c r="N29" i="24"/>
  <c r="J29" i="24"/>
  <c r="L29" i="24" s="1"/>
  <c r="F29" i="24"/>
  <c r="E29" i="24"/>
  <c r="D29" i="24"/>
  <c r="AE28" i="24"/>
  <c r="P28" i="24"/>
  <c r="O28" i="24"/>
  <c r="N28" i="24"/>
  <c r="J28" i="24"/>
  <c r="L28" i="24" s="1"/>
  <c r="F28" i="24"/>
  <c r="E28" i="24"/>
  <c r="D28" i="24"/>
  <c r="AE27" i="24"/>
  <c r="P27" i="24"/>
  <c r="O27" i="24"/>
  <c r="N27" i="24"/>
  <c r="J27" i="24"/>
  <c r="L27" i="24" s="1"/>
  <c r="F27" i="24"/>
  <c r="E27" i="24"/>
  <c r="D27" i="24"/>
  <c r="AE26" i="24"/>
  <c r="P26" i="24"/>
  <c r="O26" i="24"/>
  <c r="N26" i="24"/>
  <c r="J26" i="24"/>
  <c r="F26" i="24"/>
  <c r="E26" i="24"/>
  <c r="D26" i="24"/>
  <c r="AE25" i="24"/>
  <c r="P25" i="24"/>
  <c r="O25" i="24"/>
  <c r="N25" i="24"/>
  <c r="J25" i="24"/>
  <c r="F25" i="24"/>
  <c r="E25" i="24"/>
  <c r="D25" i="24"/>
  <c r="AE24" i="24"/>
  <c r="P24" i="24"/>
  <c r="O24" i="24"/>
  <c r="N24" i="24"/>
  <c r="J24" i="24"/>
  <c r="L24" i="24" s="1"/>
  <c r="F24" i="24"/>
  <c r="E24" i="24"/>
  <c r="D24" i="24"/>
  <c r="AE23" i="24"/>
  <c r="P23" i="24"/>
  <c r="O23" i="24"/>
  <c r="N23" i="24"/>
  <c r="J23" i="24"/>
  <c r="L23" i="24" s="1"/>
  <c r="F23" i="24"/>
  <c r="E23" i="24"/>
  <c r="D23" i="24"/>
  <c r="AE22" i="24"/>
  <c r="P22" i="24"/>
  <c r="O22" i="24"/>
  <c r="N22" i="24"/>
  <c r="J22" i="24"/>
  <c r="F22" i="24"/>
  <c r="E22" i="24"/>
  <c r="D22" i="24"/>
  <c r="AE21" i="24"/>
  <c r="P21" i="24"/>
  <c r="O21" i="24"/>
  <c r="N21" i="24"/>
  <c r="J21" i="24"/>
  <c r="L21" i="24" s="1"/>
  <c r="F21" i="24"/>
  <c r="E21" i="24"/>
  <c r="D21" i="24"/>
  <c r="AE20" i="24"/>
  <c r="P20" i="24"/>
  <c r="O20" i="24"/>
  <c r="N20" i="24"/>
  <c r="J20" i="24"/>
  <c r="L20" i="24" s="1"/>
  <c r="F20" i="24"/>
  <c r="E20" i="24"/>
  <c r="D20" i="24"/>
  <c r="AE19" i="24"/>
  <c r="P19" i="24"/>
  <c r="O19" i="24"/>
  <c r="N19" i="24"/>
  <c r="J19" i="24"/>
  <c r="F19" i="24"/>
  <c r="E19" i="24"/>
  <c r="D19" i="24"/>
  <c r="AE18" i="24"/>
  <c r="P18" i="24"/>
  <c r="O18" i="24"/>
  <c r="N18" i="24"/>
  <c r="J18" i="24"/>
  <c r="L18" i="24" s="1"/>
  <c r="F18" i="24"/>
  <c r="E18" i="24"/>
  <c r="D18" i="24"/>
  <c r="AE17" i="24"/>
  <c r="P17" i="24"/>
  <c r="O17" i="24"/>
  <c r="N17" i="24"/>
  <c r="J17" i="24"/>
  <c r="L17" i="24" s="1"/>
  <c r="F17" i="24"/>
  <c r="E17" i="24"/>
  <c r="D17" i="24"/>
  <c r="AE16" i="24"/>
  <c r="P16" i="24"/>
  <c r="O16" i="24"/>
  <c r="N16" i="24"/>
  <c r="J16" i="24"/>
  <c r="F16" i="24"/>
  <c r="E16" i="24"/>
  <c r="D16" i="24"/>
  <c r="AE15" i="24"/>
  <c r="P15" i="24"/>
  <c r="O15" i="24"/>
  <c r="N15" i="24"/>
  <c r="J15" i="24"/>
  <c r="F15" i="24"/>
  <c r="E15" i="24"/>
  <c r="D15" i="24"/>
  <c r="AE14" i="24"/>
  <c r="P14" i="24"/>
  <c r="O14" i="24"/>
  <c r="N14" i="24"/>
  <c r="J14" i="24"/>
  <c r="L14" i="24" s="1"/>
  <c r="F14" i="24"/>
  <c r="E14" i="24"/>
  <c r="D14" i="24"/>
  <c r="AE13" i="24"/>
  <c r="P13" i="24"/>
  <c r="O13" i="24"/>
  <c r="N13" i="24"/>
  <c r="J13" i="24"/>
  <c r="F13" i="24"/>
  <c r="E13" i="24"/>
  <c r="D13" i="24"/>
  <c r="AE12" i="24"/>
  <c r="P12" i="24"/>
  <c r="O12" i="24"/>
  <c r="N12" i="24"/>
  <c r="J12" i="24"/>
  <c r="F12" i="24"/>
  <c r="E12" i="24"/>
  <c r="D12" i="24"/>
  <c r="AE11" i="24"/>
  <c r="P11" i="24"/>
  <c r="O11" i="24"/>
  <c r="N11" i="24"/>
  <c r="J11" i="24"/>
  <c r="L11" i="24" s="1"/>
  <c r="F11" i="24"/>
  <c r="E11" i="24"/>
  <c r="D11" i="24"/>
  <c r="AE10" i="24"/>
  <c r="P10" i="24"/>
  <c r="O10" i="24"/>
  <c r="N10" i="24"/>
  <c r="J10" i="24"/>
  <c r="F10" i="24"/>
  <c r="E10" i="24"/>
  <c r="D10" i="24"/>
  <c r="AE9" i="24"/>
  <c r="AE8" i="24"/>
  <c r="AE7" i="24"/>
  <c r="AE6" i="24"/>
  <c r="AE5" i="24"/>
  <c r="C25" i="24" l="1"/>
  <c r="G25" i="24" s="1"/>
  <c r="C36" i="24"/>
  <c r="G36" i="24" s="1"/>
  <c r="H33" i="24"/>
  <c r="I33" i="24" s="1"/>
  <c r="C15" i="24"/>
  <c r="G15" i="24" s="1"/>
  <c r="H39" i="24"/>
  <c r="I39" i="24" s="1"/>
  <c r="C39" i="24"/>
  <c r="G39" i="24" s="1"/>
  <c r="H32" i="24"/>
  <c r="I32" i="24" s="1"/>
  <c r="H34" i="24"/>
  <c r="I34" i="24" s="1"/>
  <c r="C34" i="24"/>
  <c r="G34" i="24" s="1"/>
  <c r="H38" i="24"/>
  <c r="I38" i="24" s="1"/>
  <c r="H29" i="24"/>
  <c r="I29" i="24" s="1"/>
  <c r="C26" i="24"/>
  <c r="G26" i="24" s="1"/>
  <c r="C33" i="24"/>
  <c r="G33" i="24" s="1"/>
  <c r="H19" i="24"/>
  <c r="I19" i="24" s="1"/>
  <c r="H20" i="24"/>
  <c r="I20" i="24" s="1"/>
  <c r="H22" i="24"/>
  <c r="I22" i="24" s="1"/>
  <c r="C22" i="24"/>
  <c r="G22" i="24" s="1"/>
  <c r="C19" i="24"/>
  <c r="G19" i="24" s="1"/>
  <c r="C16" i="24"/>
  <c r="G16" i="24" s="1"/>
  <c r="Q29" i="24"/>
  <c r="H12" i="24"/>
  <c r="I12" i="24" s="1"/>
  <c r="C12" i="24"/>
  <c r="G12" i="24" s="1"/>
  <c r="C13" i="24"/>
  <c r="G13" i="24" s="1"/>
  <c r="C14" i="24"/>
  <c r="G14" i="24" s="1"/>
  <c r="L16" i="24"/>
  <c r="C24" i="24"/>
  <c r="G24" i="24" s="1"/>
  <c r="Q26" i="24"/>
  <c r="Q21" i="24"/>
  <c r="Q16" i="24"/>
  <c r="Q15" i="24"/>
  <c r="Q20" i="24"/>
  <c r="P41" i="24"/>
  <c r="Q24" i="24"/>
  <c r="Q28" i="24"/>
  <c r="Q37" i="24"/>
  <c r="Q38" i="24"/>
  <c r="Q12" i="24"/>
  <c r="Q31" i="24"/>
  <c r="Q32" i="24"/>
  <c r="Q36" i="24"/>
  <c r="Q14" i="24"/>
  <c r="L13" i="24"/>
  <c r="Q13" i="24"/>
  <c r="Q25" i="24"/>
  <c r="Q30" i="24"/>
  <c r="Q19" i="24"/>
  <c r="I30" i="24"/>
  <c r="C21" i="24"/>
  <c r="G21" i="24" s="1"/>
  <c r="Q18" i="24"/>
  <c r="Q23" i="24"/>
  <c r="Q39" i="24"/>
  <c r="Q33" i="24"/>
  <c r="Q17" i="24"/>
  <c r="Q22" i="24"/>
  <c r="Q27" i="24"/>
  <c r="D41" i="24"/>
  <c r="Q11" i="24"/>
  <c r="O41" i="24"/>
  <c r="Q10" i="24"/>
  <c r="L25" i="24"/>
  <c r="L26" i="24"/>
  <c r="Q35" i="24"/>
  <c r="F41" i="24"/>
  <c r="C17" i="24"/>
  <c r="G17" i="24" s="1"/>
  <c r="C18" i="24"/>
  <c r="G18" i="24" s="1"/>
  <c r="C27" i="24"/>
  <c r="G27" i="24" s="1"/>
  <c r="L22" i="24"/>
  <c r="L39" i="24"/>
  <c r="L19" i="24"/>
  <c r="H14" i="24"/>
  <c r="I14" i="24" s="1"/>
  <c r="H16" i="24"/>
  <c r="I16" i="24" s="1"/>
  <c r="H35" i="24"/>
  <c r="I35" i="24" s="1"/>
  <c r="H13" i="24"/>
  <c r="I13" i="24" s="1"/>
  <c r="H23" i="24"/>
  <c r="I23" i="24" s="1"/>
  <c r="H10" i="24"/>
  <c r="H11" i="24"/>
  <c r="I11" i="24" s="1"/>
  <c r="H15" i="24"/>
  <c r="I15" i="24" s="1"/>
  <c r="H36" i="24"/>
  <c r="I36" i="24" s="1"/>
  <c r="H21" i="24"/>
  <c r="I21" i="24" s="1"/>
  <c r="H18" i="24"/>
  <c r="I18" i="24" s="1"/>
  <c r="H37" i="24"/>
  <c r="I37" i="24" s="1"/>
  <c r="H31" i="24"/>
  <c r="I31" i="24" s="1"/>
  <c r="H17" i="24"/>
  <c r="I17" i="24" s="1"/>
  <c r="C11" i="24"/>
  <c r="G11" i="24" s="1"/>
  <c r="L12" i="24"/>
  <c r="L15" i="24"/>
  <c r="C20" i="24"/>
  <c r="G20" i="24" s="1"/>
  <c r="C23" i="24"/>
  <c r="G23" i="24" s="1"/>
  <c r="L36" i="24"/>
  <c r="N41" i="24"/>
  <c r="C30" i="24"/>
  <c r="G30" i="24" s="1"/>
  <c r="C28" i="24"/>
  <c r="G28" i="24" s="1"/>
  <c r="C35" i="24"/>
  <c r="G35" i="24" s="1"/>
  <c r="C37" i="24"/>
  <c r="G37" i="24" s="1"/>
  <c r="J41" i="24"/>
  <c r="C32" i="24"/>
  <c r="G32" i="24" s="1"/>
  <c r="L34" i="24"/>
  <c r="C10" i="24"/>
  <c r="Q34" i="24"/>
  <c r="L10" i="24"/>
  <c r="E41" i="24"/>
  <c r="C29" i="24"/>
  <c r="G29" i="24" s="1"/>
  <c r="C31" i="24"/>
  <c r="G31" i="24" s="1"/>
  <c r="C38" i="24"/>
  <c r="G38" i="24" s="1"/>
  <c r="H24" i="24" l="1"/>
  <c r="I24" i="24" s="1"/>
  <c r="H25" i="24"/>
  <c r="I25" i="24" s="1"/>
  <c r="H27" i="24"/>
  <c r="I27" i="24" s="1"/>
  <c r="H28" i="24"/>
  <c r="I28" i="24" s="1"/>
  <c r="H26" i="24"/>
  <c r="I26" i="24" s="1"/>
  <c r="Q41" i="24"/>
  <c r="C41" i="24"/>
  <c r="G10" i="24"/>
  <c r="G41" i="24" s="1"/>
  <c r="E42" i="24" s="1"/>
  <c r="I10" i="24"/>
  <c r="L41" i="24"/>
  <c r="K42" i="24" s="1"/>
  <c r="I41" i="24" l="1"/>
  <c r="H41" i="24"/>
  <c r="J42" i="24"/>
  <c r="L42" i="24"/>
  <c r="F42" i="24"/>
  <c r="D42" i="24"/>
  <c r="C4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tc={8DAE9123-6877-49DA-ADC8-5B35D7F47CE1}</author>
  </authors>
  <commentList>
    <comment ref="Q41" authorId="0" shapeId="0" xr:uid="{8DAE9123-6877-49DA-ADC8-5B35D7F47CE1}">
      <text>
        <t>[Threaded comment]
Your version of Excel allows you to read this threaded comment; however, any edits to it will get removed if the file is opened in a newer version of Excel. Learn more: https://go.microsoft.com/fwlink/?linkid=870924
Comment:
    DEDUCTED MISSING WEIGHTAG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tc={D26F59F4-9A7D-4A8C-B200-53979D9B1177}</author>
  </authors>
  <commentList>
    <comment ref="Q41" authorId="0" shapeId="0" xr:uid="{D26F59F4-9A7D-4A8C-B200-53979D9B1177}">
      <text>
        <t>[Threaded comment]
Your version of Excel allows you to read this threaded comment; however, any edits to it will get removed if the file is opened in a newer version of Excel. Learn more: https://go.microsoft.com/fwlink/?linkid=870924
Comment:
    DEDUCTED MISSING WEIGHTAG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tc={274FC397-6F39-4A50-8187-4A2126563FD1}</author>
  </authors>
  <commentList>
    <comment ref="Q41" authorId="0" shapeId="0" xr:uid="{274FC397-6F39-4A50-8187-4A2126563FD1}">
      <text>
        <t>[Threaded comment]
Your version of Excel allows you to read this threaded comment; however, any edits to it will get removed if the file is opened in a newer version of Excel. Learn more: https://go.microsoft.com/fwlink/?linkid=870924
Comment:
    DEDUCTED MISSING WEIGHTAG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tc={314C0C44-FCE2-465B-8EB8-BB94EC99D4BF}</author>
  </authors>
  <commentList>
    <comment ref="Q41" authorId="0" shapeId="0" xr:uid="{314C0C44-FCE2-465B-8EB8-BB94EC99D4BF}">
      <text>
        <t>[Threaded comment]
Your version of Excel allows you to read this threaded comment; however, any edits to it will get removed if the file is opened in a newer version of Excel. Learn more: https://go.microsoft.com/fwlink/?linkid=870924
Comment:
    DEDUCTED MISSING WEIGHTAG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tc={D7B635D7-094A-4339-8889-E6C1150AC150}</author>
  </authors>
  <commentList>
    <comment ref="Q41" authorId="0" shapeId="0" xr:uid="{D7B635D7-094A-4339-8889-E6C1150AC150}">
      <text>
        <t>[Threaded comment]
Your version of Excel allows you to read this threaded comment; however, any edits to it will get removed if the file is opened in a newer version of Excel. Learn more: https://go.microsoft.com/fwlink/?linkid=870924
Comment:
    DEDUCTED MISSING WEIGHTAG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tc={0FA6EFD4-28BE-489D-BCA1-F284C641C734}</author>
  </authors>
  <commentList>
    <comment ref="Q41" authorId="0" shapeId="0" xr:uid="{0FA6EFD4-28BE-489D-BCA1-F284C641C734}">
      <text>
        <t>[Threaded comment]
Your version of Excel allows you to read this threaded comment; however, any edits to it will get removed if the file is opened in a newer version of Excel. Learn more: https://go.microsoft.com/fwlink/?linkid=870924
Comment:
    DEDUCTED MISSING WEIGHTAG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tc={DD1B25B4-B4D8-4B02-938E-4AA331606EF0}</author>
  </authors>
  <commentList>
    <comment ref="Q41" authorId="0" shapeId="0" xr:uid="{DD1B25B4-B4D8-4B02-938E-4AA331606EF0}">
      <text>
        <t>[Threaded comment]
Your version of Excel allows you to read this threaded comment; however, any edits to it will get removed if the file is opened in a newer version of Excel. Learn more: https://go.microsoft.com/fwlink/?linkid=870924
Comment:
    DEDUCTED MISSING WEIGHTAG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tc={4C663E76-F047-4073-B611-2D439F575A77}</author>
  </authors>
  <commentList>
    <comment ref="Q41" authorId="0" shapeId="0" xr:uid="{4C663E76-F047-4073-B611-2D439F575A77}">
      <text>
        <t>[Threaded comment]
Your version of Excel allows you to read this threaded comment; however, any edits to it will get removed if the file is opened in a newer version of Excel. Learn more: https://go.microsoft.com/fwlink/?linkid=870924
Comment:
    DEDUCTED MISSING WEIGHTAG</t>
      </text>
    </comment>
  </commentList>
</comments>
</file>

<file path=xl/sharedStrings.xml><?xml version="1.0" encoding="utf-8"?>
<sst xmlns="http://schemas.openxmlformats.org/spreadsheetml/2006/main" count="9909" uniqueCount="3032">
  <si>
    <t>DATE</t>
  </si>
  <si>
    <t>DELIVERED TO BIOGAS DPO</t>
  </si>
  <si>
    <t xml:space="preserve">TOTAL </t>
  </si>
  <si>
    <t>Diverted to Composting due to SBVC</t>
  </si>
  <si>
    <t>FW</t>
  </si>
  <si>
    <t>EW</t>
  </si>
  <si>
    <t>Legends:</t>
  </si>
  <si>
    <r>
      <rPr>
        <b/>
        <sz val="11"/>
        <color theme="1"/>
        <rFont val="Aptos Narrow"/>
        <family val="2"/>
        <scheme val="minor"/>
      </rPr>
      <t>PW | 104 | Transferred to Surallah</t>
    </r>
    <r>
      <rPr>
        <sz val="11"/>
        <color theme="1"/>
        <rFont val="Aptos Narrow"/>
        <family val="2"/>
        <scheme val="minor"/>
      </rPr>
      <t xml:space="preserve"> - Pulp Waste</t>
    </r>
  </si>
  <si>
    <r>
      <rPr>
        <b/>
        <sz val="11"/>
        <color theme="1"/>
        <rFont val="Aptos Narrow"/>
        <family val="2"/>
        <scheme val="minor"/>
      </rPr>
      <t>FW</t>
    </r>
    <r>
      <rPr>
        <sz val="11"/>
        <color theme="1"/>
        <rFont val="Aptos Narrow"/>
        <family val="2"/>
        <scheme val="minor"/>
      </rPr>
      <t xml:space="preserve"> - Fruit Waste</t>
    </r>
  </si>
  <si>
    <r>
      <rPr>
        <b/>
        <sz val="11"/>
        <color theme="1"/>
        <rFont val="Aptos Narrow"/>
        <family val="2"/>
        <scheme val="minor"/>
      </rPr>
      <t>EW</t>
    </r>
    <r>
      <rPr>
        <sz val="11"/>
        <color theme="1"/>
        <rFont val="Aptos Narrow"/>
        <family val="2"/>
        <scheme val="minor"/>
      </rPr>
      <t xml:space="preserve"> - External Waste</t>
    </r>
  </si>
  <si>
    <r>
      <rPr>
        <b/>
        <sz val="11"/>
        <color theme="1"/>
        <rFont val="Aptos Narrow"/>
        <family val="2"/>
        <scheme val="minor"/>
      </rPr>
      <t>104</t>
    </r>
    <r>
      <rPr>
        <sz val="11"/>
        <color theme="1"/>
        <rFont val="Aptos Narrow"/>
        <family val="2"/>
        <scheme val="minor"/>
      </rPr>
      <t xml:space="preserve"> - Composting</t>
    </r>
  </si>
  <si>
    <t>Signed by:</t>
  </si>
  <si>
    <t>Francis David A. Requillo</t>
  </si>
  <si>
    <t>SBVC Representative</t>
  </si>
  <si>
    <t>DOLE Representative</t>
  </si>
  <si>
    <t>DOLE DR</t>
  </si>
  <si>
    <t>COMMODITY</t>
  </si>
  <si>
    <t>INBOUND</t>
  </si>
  <si>
    <t>OUTBOUND</t>
  </si>
  <si>
    <t>NET</t>
  </si>
  <si>
    <t>REMARKS 1</t>
  </si>
  <si>
    <t>REMARKS 2</t>
  </si>
  <si>
    <t>Clean up</t>
  </si>
  <si>
    <t>TOTAL</t>
  </si>
  <si>
    <t>TOTAL MISSING WEIGHTAG</t>
  </si>
  <si>
    <t>DAILY WASTES MONITORING</t>
  </si>
  <si>
    <t>DELIVERED TO BIOGAS</t>
  </si>
  <si>
    <t>PRESSED PULP &amp; UN PRESSED PULP</t>
  </si>
  <si>
    <t>WHOLE FRUIT/ FRUIT WASTES / PINEAPPLE PEEL</t>
  </si>
  <si>
    <t>TRANSFERRED TO SURALLAH</t>
  </si>
  <si>
    <t>PRESSED PULP</t>
  </si>
  <si>
    <t>FRUIT WASTES / EXTERNAL WASTES</t>
  </si>
  <si>
    <t xml:space="preserve">TRUCK LOADS DELIVERED TO BIOGAS </t>
  </si>
  <si>
    <t>DOLE RECORD</t>
  </si>
  <si>
    <t>FIELD</t>
  </si>
  <si>
    <t>Diverted to Composting</t>
  </si>
  <si>
    <t>PW</t>
  </si>
  <si>
    <t>DR NO.</t>
  </si>
  <si>
    <t>RECORD FROM DOLE</t>
  </si>
  <si>
    <t>DATE RECEIVED</t>
  </si>
  <si>
    <t>DS ANALYSIS</t>
  </si>
  <si>
    <t>NEW WEIGHT (MT)</t>
  </si>
  <si>
    <t>TOTAL NEW WEIGHT (MT)</t>
  </si>
  <si>
    <t>DS CONTENT</t>
  </si>
  <si>
    <t>NET (MT)</t>
  </si>
  <si>
    <t>SBVC DR</t>
  </si>
  <si>
    <t>PRORATED</t>
  </si>
  <si>
    <t>REMARKS</t>
  </si>
  <si>
    <t xml:space="preserve"> </t>
  </si>
  <si>
    <t>Cannery</t>
  </si>
  <si>
    <t>504B4</t>
  </si>
  <si>
    <t>204B1</t>
  </si>
  <si>
    <t>410B2</t>
  </si>
  <si>
    <t>306C1</t>
  </si>
  <si>
    <t>304C2</t>
  </si>
  <si>
    <t>APRIL 1 - 30, 2025</t>
  </si>
  <si>
    <t>due to dole</t>
  </si>
  <si>
    <t>3069C1</t>
  </si>
  <si>
    <t>305c7</t>
  </si>
  <si>
    <t>106B13</t>
  </si>
  <si>
    <t>306C11</t>
  </si>
  <si>
    <t>410B2/3</t>
  </si>
  <si>
    <t>410B</t>
  </si>
  <si>
    <t>410B2,3</t>
  </si>
  <si>
    <t>410B3/4</t>
  </si>
  <si>
    <t>110C22</t>
  </si>
  <si>
    <t>116B13</t>
  </si>
  <si>
    <t>106B31</t>
  </si>
  <si>
    <t>106b21</t>
  </si>
  <si>
    <t>302d12</t>
  </si>
  <si>
    <t>302b12</t>
  </si>
  <si>
    <t>302bd12</t>
  </si>
  <si>
    <t>502b2</t>
  </si>
  <si>
    <t>108f2</t>
  </si>
  <si>
    <t>406a42</t>
  </si>
  <si>
    <t>104c31</t>
  </si>
  <si>
    <t>104A52</t>
  </si>
  <si>
    <t>502A2</t>
  </si>
  <si>
    <t>118A3</t>
  </si>
  <si>
    <t>504b6</t>
  </si>
  <si>
    <t>204c7</t>
  </si>
  <si>
    <t>206a11</t>
  </si>
  <si>
    <t>306b4</t>
  </si>
  <si>
    <t>206a4</t>
  </si>
  <si>
    <t>5022b</t>
  </si>
  <si>
    <t>204c3</t>
  </si>
  <si>
    <t>104a52</t>
  </si>
  <si>
    <t>104c4</t>
  </si>
  <si>
    <t>1045c4</t>
  </si>
  <si>
    <t>2101a</t>
  </si>
  <si>
    <t>201a</t>
  </si>
  <si>
    <t>206a2</t>
  </si>
  <si>
    <t>206A4</t>
  </si>
  <si>
    <t>504B6</t>
  </si>
  <si>
    <t>101A2</t>
  </si>
  <si>
    <t>206A</t>
  </si>
  <si>
    <t>202A32</t>
  </si>
  <si>
    <t>202A1</t>
  </si>
  <si>
    <t>101A31</t>
  </si>
  <si>
    <t>101A21</t>
  </si>
  <si>
    <t xml:space="preserve">202A </t>
  </si>
  <si>
    <t>502B1</t>
  </si>
  <si>
    <t>502B2,1</t>
  </si>
  <si>
    <t>201B12</t>
  </si>
  <si>
    <t>101A31/32</t>
  </si>
  <si>
    <t>104A2</t>
  </si>
  <si>
    <t>201A</t>
  </si>
  <si>
    <t>201B23</t>
  </si>
  <si>
    <t>204C3</t>
  </si>
  <si>
    <t>104A</t>
  </si>
  <si>
    <t>502B11</t>
  </si>
  <si>
    <t>502A21</t>
  </si>
  <si>
    <t>MAY 1 - 31, 2025</t>
  </si>
  <si>
    <t>201A6\7</t>
  </si>
  <si>
    <t>201A67</t>
  </si>
  <si>
    <t>201A7/8</t>
  </si>
  <si>
    <t>202-01</t>
  </si>
  <si>
    <t>101C 6</t>
  </si>
  <si>
    <t>101C6</t>
  </si>
  <si>
    <t>204B3</t>
  </si>
  <si>
    <t>503C6</t>
  </si>
  <si>
    <t>101C21</t>
  </si>
  <si>
    <t>113B33</t>
  </si>
  <si>
    <t>206A21</t>
  </si>
  <si>
    <t>508B1</t>
  </si>
  <si>
    <t>502c6</t>
  </si>
  <si>
    <t>104a61</t>
  </si>
  <si>
    <t>101c6</t>
  </si>
  <si>
    <t>204b5</t>
  </si>
  <si>
    <t>202a5</t>
  </si>
  <si>
    <t>503c6</t>
  </si>
  <si>
    <t>502a1</t>
  </si>
  <si>
    <t>104a61`</t>
  </si>
  <si>
    <t>410b4</t>
  </si>
  <si>
    <t>110c21</t>
  </si>
  <si>
    <t>410c6</t>
  </si>
  <si>
    <t>107a2</t>
  </si>
  <si>
    <t>103C6</t>
  </si>
  <si>
    <t>202C62</t>
  </si>
  <si>
    <t>101C</t>
  </si>
  <si>
    <t>02-040125-9015</t>
  </si>
  <si>
    <t>02-040125-9016</t>
  </si>
  <si>
    <t>02-040125-9017</t>
  </si>
  <si>
    <t>02-040125-9018</t>
  </si>
  <si>
    <t>02-040125-9019</t>
  </si>
  <si>
    <t>02-040125-9020</t>
  </si>
  <si>
    <t>02-040125-9021</t>
  </si>
  <si>
    <t>02-040225-9023</t>
  </si>
  <si>
    <t>02-040225-9024</t>
  </si>
  <si>
    <t>02-040225-9028</t>
  </si>
  <si>
    <t>02-040325-9036</t>
  </si>
  <si>
    <t>02-040325-9039</t>
  </si>
  <si>
    <t>02-040325-9040</t>
  </si>
  <si>
    <t>02-040325-9041</t>
  </si>
  <si>
    <t>02-040325-9042</t>
  </si>
  <si>
    <t>02-040325-9043</t>
  </si>
  <si>
    <t>02-040325-9045</t>
  </si>
  <si>
    <t>02-040325-9046</t>
  </si>
  <si>
    <t>02-040325-9050</t>
  </si>
  <si>
    <t>02-040425-9064</t>
  </si>
  <si>
    <t>02-040425-9065</t>
  </si>
  <si>
    <t>02-040425-9066</t>
  </si>
  <si>
    <t>02-040425-9068</t>
  </si>
  <si>
    <t>02-040425-9069</t>
  </si>
  <si>
    <t>02-040425-9071</t>
  </si>
  <si>
    <t>02-040425-9072</t>
  </si>
  <si>
    <t>02-040525-9084</t>
  </si>
  <si>
    <t>02-040525-9086</t>
  </si>
  <si>
    <t>02-040525-9087</t>
  </si>
  <si>
    <t>02-040525-9089</t>
  </si>
  <si>
    <t>02-040525-9090</t>
  </si>
  <si>
    <t>02-040525-9092</t>
  </si>
  <si>
    <t>02-040725-9107</t>
  </si>
  <si>
    <t>02-040825-9116</t>
  </si>
  <si>
    <t>02-040825-9117</t>
  </si>
  <si>
    <t>02-040825-9118</t>
  </si>
  <si>
    <t>02-040925-9132</t>
  </si>
  <si>
    <t>02-040925-9134</t>
  </si>
  <si>
    <t>02-040925-9135</t>
  </si>
  <si>
    <t>02-040925-9136</t>
  </si>
  <si>
    <t>02-040925-9137</t>
  </si>
  <si>
    <t>02-040925-9138</t>
  </si>
  <si>
    <t>02-041025-9140</t>
  </si>
  <si>
    <t>02-041025-9141</t>
  </si>
  <si>
    <t>02-041025-9143</t>
  </si>
  <si>
    <t>02-041025-9145</t>
  </si>
  <si>
    <t>02-041125-9160</t>
  </si>
  <si>
    <t>02-041225-9170</t>
  </si>
  <si>
    <t>02-041225-9173</t>
  </si>
  <si>
    <t>02-041425-9192</t>
  </si>
  <si>
    <t>02-041525-9204</t>
  </si>
  <si>
    <t>02-041525-9206</t>
  </si>
  <si>
    <t>02-041525-9208</t>
  </si>
  <si>
    <t>02-041625-9220</t>
  </si>
  <si>
    <t>02-041625-9221</t>
  </si>
  <si>
    <t>02-041625-9226</t>
  </si>
  <si>
    <t>02-041625-9227</t>
  </si>
  <si>
    <t>02-041625-9229</t>
  </si>
  <si>
    <t>02-041625-9231</t>
  </si>
  <si>
    <t>02-041625-9232</t>
  </si>
  <si>
    <t>02-041725-9244</t>
  </si>
  <si>
    <t>02-041725-9246</t>
  </si>
  <si>
    <t>02-041725-9247</t>
  </si>
  <si>
    <t>02-041725-9249</t>
  </si>
  <si>
    <t>02-041725-9250</t>
  </si>
  <si>
    <t>02-041725-9251</t>
  </si>
  <si>
    <t>02-041725-9253</t>
  </si>
  <si>
    <t>02-041725-9254</t>
  </si>
  <si>
    <t>02-041725-9255</t>
  </si>
  <si>
    <t>02-041725-9257</t>
  </si>
  <si>
    <t>02-041725-9258</t>
  </si>
  <si>
    <t>02-041925-9275</t>
  </si>
  <si>
    <t>02-041925-9276</t>
  </si>
  <si>
    <t>02-041925-9278</t>
  </si>
  <si>
    <t>02-041925-9279</t>
  </si>
  <si>
    <t>02-041925-9281</t>
  </si>
  <si>
    <t>02-041925-9282</t>
  </si>
  <si>
    <t>02-041925-9283</t>
  </si>
  <si>
    <t>02-041925-9285</t>
  </si>
  <si>
    <t>02-041925-9286</t>
  </si>
  <si>
    <t>02-042025-9297</t>
  </si>
  <si>
    <t>02-042025-9300</t>
  </si>
  <si>
    <t>02-042025-9301</t>
  </si>
  <si>
    <t>02-042125-9302</t>
  </si>
  <si>
    <t>02-042125-9303</t>
  </si>
  <si>
    <t>02-042125-9304</t>
  </si>
  <si>
    <t>02-042125-9305</t>
  </si>
  <si>
    <t>02-042125-9306</t>
  </si>
  <si>
    <t>02-042125-9307</t>
  </si>
  <si>
    <t>02-042125-9308</t>
  </si>
  <si>
    <t>02-042125-9309</t>
  </si>
  <si>
    <t>02-042125-9311</t>
  </si>
  <si>
    <t>02-042125-9312</t>
  </si>
  <si>
    <t>02-042225-9313</t>
  </si>
  <si>
    <t>02-042225-9315</t>
  </si>
  <si>
    <t>02-042225-9317</t>
  </si>
  <si>
    <t>02-042325-9322</t>
  </si>
  <si>
    <t>02-042325-9324</t>
  </si>
  <si>
    <t>02-042325-9325</t>
  </si>
  <si>
    <t>02-042325-9327</t>
  </si>
  <si>
    <t>02-042325-9328</t>
  </si>
  <si>
    <t>02-042325-9329</t>
  </si>
  <si>
    <t>02-042325-9332</t>
  </si>
  <si>
    <t>02-042425-9340</t>
  </si>
  <si>
    <t>02-042425-9342</t>
  </si>
  <si>
    <t>02-042425-9343</t>
  </si>
  <si>
    <t>02-042425-9344</t>
  </si>
  <si>
    <t>02-042425-9346</t>
  </si>
  <si>
    <t>02-042425-9347</t>
  </si>
  <si>
    <t>02-042425-9348</t>
  </si>
  <si>
    <t>02-042425-9349</t>
  </si>
  <si>
    <t>02-042425-9350</t>
  </si>
  <si>
    <t>02-042425-9352</t>
  </si>
  <si>
    <t>02-042425-9353</t>
  </si>
  <si>
    <t>02-042425-9355</t>
  </si>
  <si>
    <t>02-042425-9356</t>
  </si>
  <si>
    <t>02-042425-9357</t>
  </si>
  <si>
    <t>02-042425-9359</t>
  </si>
  <si>
    <t>02-042525-9369</t>
  </si>
  <si>
    <t>02-042525-9371</t>
  </si>
  <si>
    <t>02-042525-9372</t>
  </si>
  <si>
    <t>02-042525-9373</t>
  </si>
  <si>
    <t>02-042525-9374</t>
  </si>
  <si>
    <t>02-042525-9376</t>
  </si>
  <si>
    <t>02-042525-9377</t>
  </si>
  <si>
    <t>02-042525-9378</t>
  </si>
  <si>
    <t>02-042525-9380</t>
  </si>
  <si>
    <t>02-042525-9381</t>
  </si>
  <si>
    <t>02-042525-9383</t>
  </si>
  <si>
    <t>02-042525-9384</t>
  </si>
  <si>
    <t>02-042525-9386</t>
  </si>
  <si>
    <t>02-042625-9398</t>
  </si>
  <si>
    <t>02-042625-9400</t>
  </si>
  <si>
    <t>02-042625-9401</t>
  </si>
  <si>
    <t>02-042625-9402</t>
  </si>
  <si>
    <t>02-042625-9403</t>
  </si>
  <si>
    <t>02-042625-9406</t>
  </si>
  <si>
    <t>02-042625-9409</t>
  </si>
  <si>
    <t>02-042625-9410</t>
  </si>
  <si>
    <t>02-042625-9411</t>
  </si>
  <si>
    <t>02-042625-9413</t>
  </si>
  <si>
    <t>02-042825-9430</t>
  </si>
  <si>
    <t>02-042825-9431</t>
  </si>
  <si>
    <t>02-042825-9432</t>
  </si>
  <si>
    <t>02-042825-9433</t>
  </si>
  <si>
    <t>02-042825-9434</t>
  </si>
  <si>
    <t>02-042825-9435</t>
  </si>
  <si>
    <t>02-042825-9436</t>
  </si>
  <si>
    <t>02-042825-9437</t>
  </si>
  <si>
    <t>02-042825-9438</t>
  </si>
  <si>
    <t>02-042825-9439</t>
  </si>
  <si>
    <t>02-042825-9440</t>
  </si>
  <si>
    <t>02-042825-9441</t>
  </si>
  <si>
    <t>02-042825-9442</t>
  </si>
  <si>
    <t>02-042825-9443</t>
  </si>
  <si>
    <t>02-042825-9444</t>
  </si>
  <si>
    <t>02-042825-9445</t>
  </si>
  <si>
    <t>02-042825-9446</t>
  </si>
  <si>
    <t>02-042925-9454</t>
  </si>
  <si>
    <t>02-042925-9457</t>
  </si>
  <si>
    <t>02-042925-9458</t>
  </si>
  <si>
    <t>02-042925-9459</t>
  </si>
  <si>
    <t>02-042925-9460</t>
  </si>
  <si>
    <t>02-042925-9461</t>
  </si>
  <si>
    <t>02-042925-9463</t>
  </si>
  <si>
    <t>02-042925-9464</t>
  </si>
  <si>
    <t>02-042925-9466</t>
  </si>
  <si>
    <t>02-042925-9467</t>
  </si>
  <si>
    <t>02-042925-9468</t>
  </si>
  <si>
    <t>02-042925-9470</t>
  </si>
  <si>
    <t>02-043025-9482</t>
  </si>
  <si>
    <t>02-043025-9484</t>
  </si>
  <si>
    <t>02-043025-9485</t>
  </si>
  <si>
    <t>02-043025-9486</t>
  </si>
  <si>
    <t>02-043025-9488</t>
  </si>
  <si>
    <t>02-043025-9489</t>
  </si>
  <si>
    <t>02-043025-9491</t>
  </si>
  <si>
    <t>02-043025-9492</t>
  </si>
  <si>
    <t>02-043025-9494</t>
  </si>
  <si>
    <t>April 01, 2025 09:12 AM</t>
  </si>
  <si>
    <t>April 01, 2025 10:08 AM</t>
  </si>
  <si>
    <t>April 01, 2025 10:09 AM</t>
  </si>
  <si>
    <t>April 01, 2025 10:14 AM</t>
  </si>
  <si>
    <t>April 01, 2025 10:23 AM</t>
  </si>
  <si>
    <t>April 01, 2025 10:37 AM</t>
  </si>
  <si>
    <t>April 01, 2025 11:06 AM</t>
  </si>
  <si>
    <t>April 01, 2025 02:04 PM</t>
  </si>
  <si>
    <t>April 01, 2025 02:05 PM</t>
  </si>
  <si>
    <t>April 01, 2025 03:49 PM</t>
  </si>
  <si>
    <t>April 02, 2025 11:54 AM</t>
  </si>
  <si>
    <t>April 02, 2025 12:02 PM</t>
  </si>
  <si>
    <t>April 02, 2025 12:13 PM</t>
  </si>
  <si>
    <t>April 02, 2025 03:55 PM</t>
  </si>
  <si>
    <t>April 02, 2025 04:03 PM</t>
  </si>
  <si>
    <t>April 03, 2025 07:43 AM</t>
  </si>
  <si>
    <t>April 03, 2025 08:19 AM</t>
  </si>
  <si>
    <t>April 03, 2025 10:31 AM</t>
  </si>
  <si>
    <t>April 03, 2025 10:45 AM</t>
  </si>
  <si>
    <t>April 03, 2025 11:09 AM</t>
  </si>
  <si>
    <t>April 03, 2025 10:48 AM</t>
  </si>
  <si>
    <t>April 03, 2025 10:49 AM</t>
  </si>
  <si>
    <t>April 03, 2025 11:29 AM</t>
  </si>
  <si>
    <t>April 03, 2025 11:34 AM</t>
  </si>
  <si>
    <t>April 03, 2025 11:58 AM</t>
  </si>
  <si>
    <t>April 03, 2025 12:03 PM</t>
  </si>
  <si>
    <t>April 03, 2025 12:04 PM</t>
  </si>
  <si>
    <t>April 03, 2025 01:16 PM</t>
  </si>
  <si>
    <t>April 03, 2025 01:53 PM</t>
  </si>
  <si>
    <t>April 03, 2025 04:22 PM</t>
  </si>
  <si>
    <t>April 03, 2025 04:45 PM</t>
  </si>
  <si>
    <t>April 04, 2025 09:55 AM</t>
  </si>
  <si>
    <t>April 04, 2025 10:20 AM</t>
  </si>
  <si>
    <t>April 04, 2025 10:30 AM</t>
  </si>
  <si>
    <t>April 04, 2025 10:31 AM</t>
  </si>
  <si>
    <t>April 04, 2025 11:25 AM</t>
  </si>
  <si>
    <t>April 04, 2025 11:48 AM</t>
  </si>
  <si>
    <t>April 04, 2025 12:13 PM</t>
  </si>
  <si>
    <t>April 04, 2025 12:54 PM</t>
  </si>
  <si>
    <t>April 04, 2025 01:59 PM</t>
  </si>
  <si>
    <t>April 04, 2025 01:34 PM</t>
  </si>
  <si>
    <t>April 04, 2025 02:14 PM</t>
  </si>
  <si>
    <t>April 04, 2025 02:44 PM</t>
  </si>
  <si>
    <t>April 04, 2025 03:09 PM</t>
  </si>
  <si>
    <t>April 05, 2025 08:35 AM</t>
  </si>
  <si>
    <t>April 05, 2025 10:21 AM</t>
  </si>
  <si>
    <t>April 05, 2025 10:22 AM</t>
  </si>
  <si>
    <t>April 05, 2025 10:35 AM</t>
  </si>
  <si>
    <t>April 05, 2025 11:13 AM</t>
  </si>
  <si>
    <t>April 05, 2025 11:17 AM</t>
  </si>
  <si>
    <t>April 05, 2025 11:24 AM</t>
  </si>
  <si>
    <t>April 05, 2025 01:58 PM</t>
  </si>
  <si>
    <t>April 07, 2025 10:41 AM</t>
  </si>
  <si>
    <t>April 07, 2025 11:09 AM</t>
  </si>
  <si>
    <t>April 08, 2025 10:01 AM</t>
  </si>
  <si>
    <t>April 08, 2025 10:37 AM</t>
  </si>
  <si>
    <t>April 08, 2025 11:36 AM</t>
  </si>
  <si>
    <t>April 08, 2025 11:48 AM</t>
  </si>
  <si>
    <t>April 08, 2025 11:49 AM</t>
  </si>
  <si>
    <t>April 09, 2025 09:01 AM</t>
  </si>
  <si>
    <t>April 09, 2025 11:09 AM</t>
  </si>
  <si>
    <t>April 09, 2025 11:29 AM</t>
  </si>
  <si>
    <t>April 09, 2025 11:43 AM</t>
  </si>
  <si>
    <t>April 09, 2025 11:44 AM</t>
  </si>
  <si>
    <t>April 09, 2025 04:12 PM</t>
  </si>
  <si>
    <t>April 09, 2025 04:28 PM</t>
  </si>
  <si>
    <t>April 09, 2025 05:11 PM</t>
  </si>
  <si>
    <t>April 09, 2025 05:18 PM</t>
  </si>
  <si>
    <t>April 10, 2025 10:34 AM</t>
  </si>
  <si>
    <t>April 10, 2025 10:35 AM</t>
  </si>
  <si>
    <t>April 10, 2025 11:29 AM</t>
  </si>
  <si>
    <t>April 10, 2025 11:48 AM</t>
  </si>
  <si>
    <t>April 10, 2025 01:33 PM</t>
  </si>
  <si>
    <t>April 10, 2025 02:34 PM</t>
  </si>
  <si>
    <t>April 11, 2025 07:46 PM</t>
  </si>
  <si>
    <t>April 11, 2025 07:56 PM</t>
  </si>
  <si>
    <t>April 12, 2025 09:45 AM</t>
  </si>
  <si>
    <t>April 12, 2025 01:54 PM</t>
  </si>
  <si>
    <t>April 12, 2025 01:55 PM</t>
  </si>
  <si>
    <t>April 14, 2025 01:42 PM</t>
  </si>
  <si>
    <t>April 14, 2025 02:15 PM</t>
  </si>
  <si>
    <t>April 15, 2025 09:51 AM</t>
  </si>
  <si>
    <t>April 15, 2025 10:20 AM</t>
  </si>
  <si>
    <t>April 15, 2025 10:46 AM</t>
  </si>
  <si>
    <t>April 15, 2025 11:34 AM</t>
  </si>
  <si>
    <t>April 15, 2025 01:24 PM</t>
  </si>
  <si>
    <t>April 15, 2025 02:17 PM</t>
  </si>
  <si>
    <t>April 16, 2025 08:58 AM</t>
  </si>
  <si>
    <t>April 16, 2025 09:21 AM</t>
  </si>
  <si>
    <t>April 16, 2025 10:07 AM</t>
  </si>
  <si>
    <t>April 16, 2025 10:12 AM</t>
  </si>
  <si>
    <t>April 16, 2025 12:11 PM</t>
  </si>
  <si>
    <t>April 16, 2025 12:12 PM</t>
  </si>
  <si>
    <t>April 16, 2025 12:36 PM</t>
  </si>
  <si>
    <t>April 16, 2025 12:54 PM</t>
  </si>
  <si>
    <t>April 16, 2025 01:00 PM</t>
  </si>
  <si>
    <t>April 16, 2025 02:55 PM</t>
  </si>
  <si>
    <t>April 16, 2025 03:38 PM</t>
  </si>
  <si>
    <t>April 16, 2025 03:39 PM</t>
  </si>
  <si>
    <t>April 17, 2025 08:39 AM</t>
  </si>
  <si>
    <t>April 17, 2025 09:30 AM</t>
  </si>
  <si>
    <t>April 17, 2025 10:27 AM</t>
  </si>
  <si>
    <t>April 17, 2025 10:48 AM</t>
  </si>
  <si>
    <t>April 17, 2025 10:55 AM</t>
  </si>
  <si>
    <t>April 17, 2025 12:06 PM</t>
  </si>
  <si>
    <t>April 17, 2025 01:35 PM</t>
  </si>
  <si>
    <t>April 17, 2025 01:44 PM</t>
  </si>
  <si>
    <t>April 17, 2025 01:52 PM</t>
  </si>
  <si>
    <t>April 17, 2025 02:14 PM</t>
  </si>
  <si>
    <t>April 17, 2025 02:25 PM</t>
  </si>
  <si>
    <t>April 17, 2025 02:20 PM</t>
  </si>
  <si>
    <t>April 19, 2025 09:20 AM</t>
  </si>
  <si>
    <t>April 19, 2025 09:26 AM</t>
  </si>
  <si>
    <t>April 19, 2025 11:01 AM</t>
  </si>
  <si>
    <t>April 19, 2025 12:55 PM</t>
  </si>
  <si>
    <t>April 19, 2025 12:56 PM</t>
  </si>
  <si>
    <t>April 19, 2025 01:26 PM</t>
  </si>
  <si>
    <t>April 19, 2025 02:35 PM</t>
  </si>
  <si>
    <t>April 19, 2025 02:36 PM</t>
  </si>
  <si>
    <t>April 19, 2025 02:48 PM</t>
  </si>
  <si>
    <t>April 19, 2025 03:13 PM</t>
  </si>
  <si>
    <t>April 19, 2025 03:14 PM</t>
  </si>
  <si>
    <t>April 19, 2025 03:53 PM</t>
  </si>
  <si>
    <t>April 20, 2025 08:41 AM</t>
  </si>
  <si>
    <t>April 20, 2025 11:10 AM</t>
  </si>
  <si>
    <t>April 20, 2025 11:14 AM</t>
  </si>
  <si>
    <t>April 21, 2025 08:32 AM</t>
  </si>
  <si>
    <t>April 21, 2025 08:42 AM</t>
  </si>
  <si>
    <t>April 21, 2025 08:59 AM</t>
  </si>
  <si>
    <t>April 21, 2025 09:47 AM</t>
  </si>
  <si>
    <t>April 21, 2025 10:16 AM</t>
  </si>
  <si>
    <t>April 21, 2025 10:53 AM</t>
  </si>
  <si>
    <t>April 21, 2025 11:38 AM</t>
  </si>
  <si>
    <t>April 21, 2025 11:48 AM</t>
  </si>
  <si>
    <t>April 21, 2025 12:33 PM</t>
  </si>
  <si>
    <t>April 21, 2025 04:35 PM</t>
  </si>
  <si>
    <t>April 21, 2025 04:36 PM</t>
  </si>
  <si>
    <t>April 21, 2025 04:51 PM</t>
  </si>
  <si>
    <t>April 22, 2025 09:30 AM</t>
  </si>
  <si>
    <t>April 22, 2025 09:59 AM</t>
  </si>
  <si>
    <t>April 22, 2025 10:29 AM</t>
  </si>
  <si>
    <t>April 22, 2025 12:47 PM</t>
  </si>
  <si>
    <t>April 23, 2025 07:13 AM</t>
  </si>
  <si>
    <t>April 23, 2025 08:04 AM</t>
  </si>
  <si>
    <t>April 23, 2025 10:07 AM</t>
  </si>
  <si>
    <t>April 23, 2025 10:39 AM</t>
  </si>
  <si>
    <t>April 23, 2025 12:13 PM</t>
  </si>
  <si>
    <t>April 23, 2025 12:52 PM</t>
  </si>
  <si>
    <t>April 23, 2025 12:53 PM</t>
  </si>
  <si>
    <t>April 23, 2025 01:33 PM</t>
  </si>
  <si>
    <t>April 23, 2025 02:19 PM</t>
  </si>
  <si>
    <t>April 23, 2025 03:55 PM</t>
  </si>
  <si>
    <t>April 23, 2025 04:18 PM</t>
  </si>
  <si>
    <t>April 24, 2025 07:00 AM</t>
  </si>
  <si>
    <t>April 24, 2025 07:01 AM</t>
  </si>
  <si>
    <t>April 24, 2025 08:17 AM</t>
  </si>
  <si>
    <t>April 24, 2025 08:20 AM</t>
  </si>
  <si>
    <t>April 24, 2025 08:19 AM</t>
  </si>
  <si>
    <t>April 24, 2025 08:50 AM</t>
  </si>
  <si>
    <t>April 24, 2025 08:43 AM</t>
  </si>
  <si>
    <t>April 24, 2025 10:05 AM</t>
  </si>
  <si>
    <t>April 24, 2025 10:14 AM</t>
  </si>
  <si>
    <t>April 24, 2025 11:18 AM</t>
  </si>
  <si>
    <t>April 24, 2025 10:35 AM</t>
  </si>
  <si>
    <t>April 24, 2025 10:36 AM</t>
  </si>
  <si>
    <t>April 24, 2025 10:47 AM</t>
  </si>
  <si>
    <t>April 24, 2025 11:40 AM</t>
  </si>
  <si>
    <t>April 24, 2025 12:17 PM</t>
  </si>
  <si>
    <t>April 24, 2025 12:33 PM</t>
  </si>
  <si>
    <t>April 24, 2025 01:57 PM</t>
  </si>
  <si>
    <t>April 24, 2025 12:38 PM</t>
  </si>
  <si>
    <t>April 24, 2025 12:39 PM</t>
  </si>
  <si>
    <t>April 24, 2025 01:26 PM</t>
  </si>
  <si>
    <t>April 24, 2025 02:00 PM</t>
  </si>
  <si>
    <t>April 24, 2025 02:07 PM</t>
  </si>
  <si>
    <t>April 24, 2025 03:19 PM</t>
  </si>
  <si>
    <t>April 24, 2025 04:19 PM</t>
  </si>
  <si>
    <t>April 24, 2025 04:50 PM</t>
  </si>
  <si>
    <t>April 25, 2025 08:38 AM</t>
  </si>
  <si>
    <t>April 25, 2025 09:09 AM</t>
  </si>
  <si>
    <t>April 25, 2025 10:32 AM</t>
  </si>
  <si>
    <t>April 25, 2025 10:59 AM</t>
  </si>
  <si>
    <t>April 25, 2025 10:45 AM</t>
  </si>
  <si>
    <t>April 25, 2025 10:47 AM</t>
  </si>
  <si>
    <t>April 25, 2025 10:54 AM</t>
  </si>
  <si>
    <t>April 25, 2025 11:31 AM</t>
  </si>
  <si>
    <t>April 25, 2025 11:27 AM</t>
  </si>
  <si>
    <t>April 25, 2025 11:53 AM</t>
  </si>
  <si>
    <t>April 25, 2025 11:57 AM</t>
  </si>
  <si>
    <t>April 25, 2025 11:58 AM</t>
  </si>
  <si>
    <t>April 25, 2025 12:33 PM</t>
  </si>
  <si>
    <t>April 25, 2025 01:38 PM</t>
  </si>
  <si>
    <t>April 25, 2025 01:15 PM</t>
  </si>
  <si>
    <t>April 25, 2025 01:43 PM</t>
  </si>
  <si>
    <t>April 25, 2025 01:50 PM</t>
  </si>
  <si>
    <t>April 25, 2025 01:55 PM</t>
  </si>
  <si>
    <t>April 25, 2025 03:47 PM</t>
  </si>
  <si>
    <t>April 25, 2025 04:31 PM</t>
  </si>
  <si>
    <t>April 26, 2025 08:39 AM</t>
  </si>
  <si>
    <t>April 26, 2025 09:45 AM</t>
  </si>
  <si>
    <t>April 26, 2025 09:46 AM</t>
  </si>
  <si>
    <t>April 26, 2025 09:52 AM</t>
  </si>
  <si>
    <t>April 26, 2025 10:20 AM</t>
  </si>
  <si>
    <t>April 26, 2025 10:11 AM</t>
  </si>
  <si>
    <t>April 26, 2025 10:12 AM</t>
  </si>
  <si>
    <t>April 26, 2025 10:47 AM</t>
  </si>
  <si>
    <t>April 26, 2025 12:33 PM</t>
  </si>
  <si>
    <t>April 26, 2025 02:28 PM</t>
  </si>
  <si>
    <t>April 26, 2025 01:35 PM</t>
  </si>
  <si>
    <t>April 26, 2025 01:39 PM</t>
  </si>
  <si>
    <t>April 26, 2025 01:52 PM</t>
  </si>
  <si>
    <t>April 26, 2025 02:47 PM</t>
  </si>
  <si>
    <t>April 28, 2025 08:13 AM</t>
  </si>
  <si>
    <t>April 28, 2025 08:40 AM</t>
  </si>
  <si>
    <t>April 28, 2025 08:27 AM</t>
  </si>
  <si>
    <t>April 28, 2025 09:05 AM</t>
  </si>
  <si>
    <t>April 28, 2025 09:38 AM</t>
  </si>
  <si>
    <t>April 28, 2025 09:39 AM</t>
  </si>
  <si>
    <t>April 28, 2025 10:01 AM</t>
  </si>
  <si>
    <t>April 28, 2025 10:06 AM</t>
  </si>
  <si>
    <t>April 28, 2025 10:14 AM</t>
  </si>
  <si>
    <t>April 28, 2025 10:29 AM</t>
  </si>
  <si>
    <t>April 28, 2025 10:55 AM</t>
  </si>
  <si>
    <t>April 28, 2025 10:42 AM</t>
  </si>
  <si>
    <t>April 28, 2025 10:43 AM</t>
  </si>
  <si>
    <t>April 28, 2025 11:02 AM</t>
  </si>
  <si>
    <t>April 28, 2025 11:12 AM</t>
  </si>
  <si>
    <t>April 28, 2025 11:40 AM</t>
  </si>
  <si>
    <t>April 28, 2025 12:05 PM</t>
  </si>
  <si>
    <t>April 28, 2025 12:09 PM</t>
  </si>
  <si>
    <t>April 28, 2025 12:10 PM</t>
  </si>
  <si>
    <t>April 28, 2025 01:20 PM</t>
  </si>
  <si>
    <t>April 28, 2025 01:54 PM</t>
  </si>
  <si>
    <t>April 28, 2025 01:31 PM</t>
  </si>
  <si>
    <t>April 28, 2025 01:36 PM</t>
  </si>
  <si>
    <t>April 28, 2025 03:15 PM</t>
  </si>
  <si>
    <t>April 28, 2025 03:22 PM</t>
  </si>
  <si>
    <t>April 28, 2025 03:27 PM</t>
  </si>
  <si>
    <t>April 28, 2025 03:28 PM</t>
  </si>
  <si>
    <t>April 29, 2025 07:25 AM</t>
  </si>
  <si>
    <t>April 29, 2025 07:49 AM</t>
  </si>
  <si>
    <t>April 29, 2025 09:17 AM</t>
  </si>
  <si>
    <t>April 29, 2025 09:53 AM</t>
  </si>
  <si>
    <t>April 29, 2025 09:36 AM</t>
  </si>
  <si>
    <t>April 29, 2025 09:57 AM</t>
  </si>
  <si>
    <t>April 29, 2025 09:37 AM</t>
  </si>
  <si>
    <t>April 29, 2025 10:31 AM</t>
  </si>
  <si>
    <t>April 29, 2025 10:47 AM</t>
  </si>
  <si>
    <t>April 29, 2025 11:18 AM</t>
  </si>
  <si>
    <t>April 29, 2025 11:10 AM</t>
  </si>
  <si>
    <t>April 29, 2025 11:14 AM</t>
  </si>
  <si>
    <t>April 29, 2025 11:15 AM</t>
  </si>
  <si>
    <t>April 29, 2025 01:56 PM</t>
  </si>
  <si>
    <t>April 29, 2025 02:07 PM</t>
  </si>
  <si>
    <t>April 29, 2025 02:04 PM</t>
  </si>
  <si>
    <t>April 29, 2025 02:46 PM</t>
  </si>
  <si>
    <t>April 29, 2025 03:11 PM</t>
  </si>
  <si>
    <t>April 29, 2025 04:00 PM</t>
  </si>
  <si>
    <t>April 30, 2025 09:30 AM</t>
  </si>
  <si>
    <t>April 30, 2025 09:50 AM</t>
  </si>
  <si>
    <t>April 30, 2025 09:51 AM</t>
  </si>
  <si>
    <t>April 30, 2025 10:54 AM</t>
  </si>
  <si>
    <t>April 30, 2025 11:09 AM</t>
  </si>
  <si>
    <t>April 30, 2025 11:33 AM</t>
  </si>
  <si>
    <t>April 30, 2025 12:09 PM</t>
  </si>
  <si>
    <t>April 30, 2025 12:20 PM</t>
  </si>
  <si>
    <t>April 30, 2025 12:16 PM</t>
  </si>
  <si>
    <t>April 30, 2025 01:24 PM</t>
  </si>
  <si>
    <t>April 30, 2025 01:48 PM</t>
  </si>
  <si>
    <t>April 30, 2025 02:09 PM</t>
  </si>
  <si>
    <t>April 30, 2025 01:50 PM</t>
  </si>
  <si>
    <t>April 30, 2025 03:27 PM</t>
  </si>
  <si>
    <t>WHOLE FRUIT/ FWS / PINEAPPLE PEEL</t>
  </si>
  <si>
    <t>FW - FW</t>
  </si>
  <si>
    <t>Fogging</t>
  </si>
  <si>
    <t>110C21</t>
  </si>
  <si>
    <t>116a3</t>
  </si>
  <si>
    <t>202a38</t>
  </si>
  <si>
    <t>110c22</t>
  </si>
  <si>
    <t>202A5</t>
  </si>
  <si>
    <t>102B,G62</t>
  </si>
  <si>
    <t>113C1</t>
  </si>
  <si>
    <t>308C3</t>
  </si>
  <si>
    <t>107A1/2</t>
  </si>
  <si>
    <t>201B42</t>
  </si>
  <si>
    <t>107A1</t>
  </si>
  <si>
    <t>201B32</t>
  </si>
  <si>
    <t>307A3</t>
  </si>
  <si>
    <t>107a1</t>
  </si>
  <si>
    <t>204b41</t>
  </si>
  <si>
    <t>201b32</t>
  </si>
  <si>
    <t>108b6</t>
  </si>
  <si>
    <t>307a3</t>
  </si>
  <si>
    <t>CLEAN UP</t>
  </si>
  <si>
    <t>101c3</t>
  </si>
  <si>
    <t>308b1</t>
  </si>
  <si>
    <t>205b4</t>
  </si>
  <si>
    <t>302d2</t>
  </si>
  <si>
    <t>302d21</t>
  </si>
  <si>
    <t>301d11</t>
  </si>
  <si>
    <t>201b11</t>
  </si>
  <si>
    <t>304b5</t>
  </si>
  <si>
    <t>201b21</t>
  </si>
  <si>
    <t>201d11</t>
  </si>
  <si>
    <t>502c11</t>
  </si>
  <si>
    <t>193b2</t>
  </si>
  <si>
    <t>103A2</t>
  </si>
  <si>
    <t>101C3</t>
  </si>
  <si>
    <t>502A11</t>
  </si>
  <si>
    <t>204B5</t>
  </si>
  <si>
    <t>116A3</t>
  </si>
  <si>
    <t>503C1</t>
  </si>
  <si>
    <t>103a2</t>
  </si>
  <si>
    <t>110a3</t>
  </si>
  <si>
    <t>301b5</t>
  </si>
  <si>
    <t>112a21</t>
  </si>
  <si>
    <t>101c1</t>
  </si>
  <si>
    <t>101cc3</t>
  </si>
  <si>
    <t>204b2</t>
  </si>
  <si>
    <t>108d2</t>
  </si>
  <si>
    <t>305c3</t>
  </si>
  <si>
    <t>107a4</t>
  </si>
  <si>
    <t>204B2</t>
  </si>
  <si>
    <t>201b2</t>
  </si>
  <si>
    <t>111a2</t>
  </si>
  <si>
    <t>112a22</t>
  </si>
  <si>
    <t>302d22</t>
  </si>
  <si>
    <t>11A12</t>
  </si>
  <si>
    <t>101C51</t>
  </si>
  <si>
    <t>203C1</t>
  </si>
  <si>
    <t>502B4</t>
  </si>
  <si>
    <t>110c51</t>
  </si>
  <si>
    <t>502b4</t>
  </si>
  <si>
    <t>112b11</t>
  </si>
  <si>
    <t>110c31</t>
  </si>
  <si>
    <t>201b35</t>
  </si>
  <si>
    <t>201b5</t>
  </si>
  <si>
    <t>201b22</t>
  </si>
  <si>
    <t>201d22</t>
  </si>
  <si>
    <t>110c</t>
  </si>
  <si>
    <t>108a2</t>
  </si>
  <si>
    <t>113B4</t>
  </si>
  <si>
    <t>201D22</t>
  </si>
  <si>
    <t>201B22</t>
  </si>
  <si>
    <t>503A2,1</t>
  </si>
  <si>
    <t>502B2/21</t>
  </si>
  <si>
    <t>118A42</t>
  </si>
  <si>
    <t>JUNE 1 - 30, 2025</t>
  </si>
  <si>
    <t>Clean Up</t>
  </si>
  <si>
    <t>201d12</t>
  </si>
  <si>
    <t>201B21</t>
  </si>
  <si>
    <t>201B5</t>
  </si>
  <si>
    <t>104C22</t>
  </si>
  <si>
    <t>106B25</t>
  </si>
  <si>
    <t>201C31</t>
  </si>
  <si>
    <t>210C31</t>
  </si>
  <si>
    <t>2MU04</t>
  </si>
  <si>
    <t>2MU04C</t>
  </si>
  <si>
    <t>411E</t>
  </si>
  <si>
    <t>104B32</t>
  </si>
  <si>
    <t>113B54</t>
  </si>
  <si>
    <t>112A2</t>
  </si>
  <si>
    <t>112A3</t>
  </si>
  <si>
    <t>12A11</t>
  </si>
  <si>
    <t>206A22</t>
  </si>
  <si>
    <t>112A11</t>
  </si>
  <si>
    <t>02-050125-9507</t>
  </si>
  <si>
    <t>02-050125-9508</t>
  </si>
  <si>
    <t>02-050125-9510</t>
  </si>
  <si>
    <t>02-050125-9511</t>
  </si>
  <si>
    <t>02-050125-9512</t>
  </si>
  <si>
    <t>02-050125-9513</t>
  </si>
  <si>
    <t>02-050125-9514</t>
  </si>
  <si>
    <t>02-050125-9515</t>
  </si>
  <si>
    <t>02-050125-9516</t>
  </si>
  <si>
    <t>02-050125-9517</t>
  </si>
  <si>
    <t>02-050125-9518</t>
  </si>
  <si>
    <t>02-050125-9520</t>
  </si>
  <si>
    <t>02-050125-9521</t>
  </si>
  <si>
    <t>02-050125-9522</t>
  </si>
  <si>
    <t>02-050125-9523</t>
  </si>
  <si>
    <t>02-050125-9524</t>
  </si>
  <si>
    <t>02-050125-9525</t>
  </si>
  <si>
    <t>02-050225-9526</t>
  </si>
  <si>
    <t>02-050225-9527</t>
  </si>
  <si>
    <t>02-050225-9528</t>
  </si>
  <si>
    <t>02-050225-9530</t>
  </si>
  <si>
    <t>02-050225-9531</t>
  </si>
  <si>
    <t>02-050225-9532</t>
  </si>
  <si>
    <t>02-050225-9533</t>
  </si>
  <si>
    <t>02-050225-9534</t>
  </si>
  <si>
    <t>02-050225-9535</t>
  </si>
  <si>
    <t>02-050225-9538</t>
  </si>
  <si>
    <t>02-050225-9539</t>
  </si>
  <si>
    <t>02-050225-9540</t>
  </si>
  <si>
    <t>02-050325-9554</t>
  </si>
  <si>
    <t>02-050325-9555</t>
  </si>
  <si>
    <t>02-050325-9556</t>
  </si>
  <si>
    <t>02-050325-9557</t>
  </si>
  <si>
    <t>02-050325-9559</t>
  </si>
  <si>
    <t>02-050325-9562</t>
  </si>
  <si>
    <t>02-050325-9563</t>
  </si>
  <si>
    <t>02-050325-9564</t>
  </si>
  <si>
    <t>02-050525-9582</t>
  </si>
  <si>
    <t>02-050525-9583</t>
  </si>
  <si>
    <t>02-050525-9585</t>
  </si>
  <si>
    <t>02-050525-9586</t>
  </si>
  <si>
    <t>02-050525-9587</t>
  </si>
  <si>
    <t>02-050525-9588</t>
  </si>
  <si>
    <t>02-050525-9590</t>
  </si>
  <si>
    <t>02-050525-9591</t>
  </si>
  <si>
    <t>02-050525-9592</t>
  </si>
  <si>
    <t>02-050525-9594</t>
  </si>
  <si>
    <t>02-050525-9595</t>
  </si>
  <si>
    <t>02-050625-9604</t>
  </si>
  <si>
    <t>02-050625-9605</t>
  </si>
  <si>
    <t>02-050625-9607</t>
  </si>
  <si>
    <t>02-050625-9609</t>
  </si>
  <si>
    <t>02-050625-9610</t>
  </si>
  <si>
    <t>02-050625-9611</t>
  </si>
  <si>
    <t>02-050625-9612</t>
  </si>
  <si>
    <t>02-050625-9613</t>
  </si>
  <si>
    <t>02-050625-9615</t>
  </si>
  <si>
    <t>02-050625-9616</t>
  </si>
  <si>
    <t>02-050625-9617</t>
  </si>
  <si>
    <t>02-050625-9618</t>
  </si>
  <si>
    <t>02-050625-9619</t>
  </si>
  <si>
    <t>02-050625-9621</t>
  </si>
  <si>
    <t>02-050625-9623</t>
  </si>
  <si>
    <t>02-050625-9624</t>
  </si>
  <si>
    <t>02-050725-9636</t>
  </si>
  <si>
    <t>02-050725-9637</t>
  </si>
  <si>
    <t>02-050725-9639</t>
  </si>
  <si>
    <t>02-050725-9640</t>
  </si>
  <si>
    <t>02-050725-9641</t>
  </si>
  <si>
    <t>02-050725-9642</t>
  </si>
  <si>
    <t>02-050725-9644</t>
  </si>
  <si>
    <t>02-050725-9646</t>
  </si>
  <si>
    <t>02-050725-9647</t>
  </si>
  <si>
    <t>02-050725-9648</t>
  </si>
  <si>
    <t>02-050725-9649</t>
  </si>
  <si>
    <t>02-050725-9650</t>
  </si>
  <si>
    <t>02-050825-9659</t>
  </si>
  <si>
    <t>02-050825-9660</t>
  </si>
  <si>
    <t>02-050825-9661</t>
  </si>
  <si>
    <t>02-050825-9662</t>
  </si>
  <si>
    <t>02-050825-9664</t>
  </si>
  <si>
    <t>02-050825-9666</t>
  </si>
  <si>
    <t>02-050825-9667</t>
  </si>
  <si>
    <t>02-050825-9668</t>
  </si>
  <si>
    <t>02-050825-9669</t>
  </si>
  <si>
    <t>02-050825-9670</t>
  </si>
  <si>
    <t>02-050825-9672</t>
  </si>
  <si>
    <t>02-050925-9683</t>
  </si>
  <si>
    <t>02-050925-9685</t>
  </si>
  <si>
    <t>02-050925-9686</t>
  </si>
  <si>
    <t>02-050925-9687</t>
  </si>
  <si>
    <t>02-050925-9689</t>
  </si>
  <si>
    <t>02-050925-9690</t>
  </si>
  <si>
    <t>02-050925-9691</t>
  </si>
  <si>
    <t>02-050925-9693</t>
  </si>
  <si>
    <t>02-050925-9695</t>
  </si>
  <si>
    <t>02-050925-9696</t>
  </si>
  <si>
    <t>02-050925-9697</t>
  </si>
  <si>
    <t>02-050925-9699</t>
  </si>
  <si>
    <t>02-051025-9709</t>
  </si>
  <si>
    <t>02-051025-9710</t>
  </si>
  <si>
    <t>02-051025-9711</t>
  </si>
  <si>
    <t>02-051025-9712</t>
  </si>
  <si>
    <t>02-051025-9714</t>
  </si>
  <si>
    <t>02-051025-9715</t>
  </si>
  <si>
    <t>02-051025-9716</t>
  </si>
  <si>
    <t>02-051025-9718</t>
  </si>
  <si>
    <t>02-051025-9719</t>
  </si>
  <si>
    <t>02-051025-9721</t>
  </si>
  <si>
    <t>02-051025-9723</t>
  </si>
  <si>
    <t>02-051125-9735</t>
  </si>
  <si>
    <t>02-051125-9736</t>
  </si>
  <si>
    <t>02-051125-9737</t>
  </si>
  <si>
    <t>02-051125-9739</t>
  </si>
  <si>
    <t>02-051125-9740</t>
  </si>
  <si>
    <t>02-051125-9741</t>
  </si>
  <si>
    <t>02-051125-9743</t>
  </si>
  <si>
    <t>02-051125-9745</t>
  </si>
  <si>
    <t>02-051325-9760</t>
  </si>
  <si>
    <t>02-051325-9762</t>
  </si>
  <si>
    <t>02-051325-9764</t>
  </si>
  <si>
    <t>02-051325-9765</t>
  </si>
  <si>
    <t>02-051325-9766</t>
  </si>
  <si>
    <t>02-051325-9768</t>
  </si>
  <si>
    <t>02-051325-9770</t>
  </si>
  <si>
    <t>02-051325-9771</t>
  </si>
  <si>
    <t>02-051325-9772</t>
  </si>
  <si>
    <t>02-051425-9781</t>
  </si>
  <si>
    <t>02-051425-9782</t>
  </si>
  <si>
    <t>02-051425-9786</t>
  </si>
  <si>
    <t>02-051425-9787</t>
  </si>
  <si>
    <t>02-051425-9788</t>
  </si>
  <si>
    <t>02-051425-9790</t>
  </si>
  <si>
    <t>02-051425-9791</t>
  </si>
  <si>
    <t>02-051425-9793</t>
  </si>
  <si>
    <t>02-051525-9804</t>
  </si>
  <si>
    <t>02-051525-9805</t>
  </si>
  <si>
    <t>02-051525-9807</t>
  </si>
  <si>
    <t>02-051525-9808</t>
  </si>
  <si>
    <t>02-051525-9809</t>
  </si>
  <si>
    <t>02-051525-9811</t>
  </si>
  <si>
    <t>02-051525-9813</t>
  </si>
  <si>
    <t>02-051525-9814</t>
  </si>
  <si>
    <t>02-051525-9815</t>
  </si>
  <si>
    <t>02-051625-9828</t>
  </si>
  <si>
    <t>02-051625-9829</t>
  </si>
  <si>
    <t>02-051625-9831</t>
  </si>
  <si>
    <t>02-051625-9832</t>
  </si>
  <si>
    <t>02-051625-9835</t>
  </si>
  <si>
    <t>02-051625-9836</t>
  </si>
  <si>
    <t>02-051625-9837</t>
  </si>
  <si>
    <t>02-051725-9850</t>
  </si>
  <si>
    <t>02-051725-9852</t>
  </si>
  <si>
    <t>02-051725-9854</t>
  </si>
  <si>
    <t>02-051725-9856</t>
  </si>
  <si>
    <t>02-051725-9858</t>
  </si>
  <si>
    <t>02-051825-9870</t>
  </si>
  <si>
    <t>02-051825-9873</t>
  </si>
  <si>
    <t>02-051825-9876</t>
  </si>
  <si>
    <t>02-051825-9877</t>
  </si>
  <si>
    <t>02-051825-9878</t>
  </si>
  <si>
    <t>02-051925-9879</t>
  </si>
  <si>
    <t>02-051925-9880</t>
  </si>
  <si>
    <t>02-051925-9881</t>
  </si>
  <si>
    <t>02-051925-9882</t>
  </si>
  <si>
    <t>02-051925-9883</t>
  </si>
  <si>
    <t>02-051925-9884</t>
  </si>
  <si>
    <t>02-051925-9885</t>
  </si>
  <si>
    <t>02-051925-9886</t>
  </si>
  <si>
    <t>02-051925-9887</t>
  </si>
  <si>
    <t>02-052025-9894</t>
  </si>
  <si>
    <t>02-052025-9896</t>
  </si>
  <si>
    <t>02-052025-9898</t>
  </si>
  <si>
    <t>02-052025-9899</t>
  </si>
  <si>
    <t>02-052025-9900</t>
  </si>
  <si>
    <t>02-052025-9901</t>
  </si>
  <si>
    <t>02-052025-9902</t>
  </si>
  <si>
    <t>02-052025-9904</t>
  </si>
  <si>
    <t>02-052025-9905</t>
  </si>
  <si>
    <t>02-052025-9906</t>
  </si>
  <si>
    <t>02-052025-9908</t>
  </si>
  <si>
    <t>02-052025-9909</t>
  </si>
  <si>
    <t>02-052025-9910</t>
  </si>
  <si>
    <t>02-052025-9911</t>
  </si>
  <si>
    <t>02-052025-9913</t>
  </si>
  <si>
    <t>02-052125-9921</t>
  </si>
  <si>
    <t>02-052125-9922</t>
  </si>
  <si>
    <t>02-052125-9924</t>
  </si>
  <si>
    <t>02-052125-9925</t>
  </si>
  <si>
    <t>02-052125-9927</t>
  </si>
  <si>
    <t>02-052125-9928</t>
  </si>
  <si>
    <t>02-052125-9930</t>
  </si>
  <si>
    <t>02-052125-9931</t>
  </si>
  <si>
    <t>02-052125-9933</t>
  </si>
  <si>
    <t>02-052225-9943</t>
  </si>
  <si>
    <t>02-052225-9945</t>
  </si>
  <si>
    <t>02-052225-9946</t>
  </si>
  <si>
    <t>02-052225-9947</t>
  </si>
  <si>
    <t>02-052225-9948</t>
  </si>
  <si>
    <t>02-052225-9949</t>
  </si>
  <si>
    <t>02-052225-9951</t>
  </si>
  <si>
    <t>02-052225-9952</t>
  </si>
  <si>
    <t>02-052225-9953</t>
  </si>
  <si>
    <t>02-052225-9955</t>
  </si>
  <si>
    <t>02-052225-9956</t>
  </si>
  <si>
    <t>02-052225-9957</t>
  </si>
  <si>
    <t>02-052225-9959</t>
  </si>
  <si>
    <t>02-052225-9960</t>
  </si>
  <si>
    <t>02-052225-9961</t>
  </si>
  <si>
    <t>02-052225-9963</t>
  </si>
  <si>
    <t>02-052325-9973</t>
  </si>
  <si>
    <t>02-052325-9974</t>
  </si>
  <si>
    <t>02-052325-9975</t>
  </si>
  <si>
    <t>02-052325-9977</t>
  </si>
  <si>
    <t>02-052325-9979</t>
  </si>
  <si>
    <t>02-052325-9980</t>
  </si>
  <si>
    <t>02-052325-9981</t>
  </si>
  <si>
    <t>02-052325-9982</t>
  </si>
  <si>
    <t>02-052325-9983</t>
  </si>
  <si>
    <t>02-052325-9984</t>
  </si>
  <si>
    <t>02-052325-9986</t>
  </si>
  <si>
    <t>02-052325-9987</t>
  </si>
  <si>
    <t>02-052325-9988</t>
  </si>
  <si>
    <t>02-052325-9990</t>
  </si>
  <si>
    <t>02-052325-9991</t>
  </si>
  <si>
    <t>02-052325-9992</t>
  </si>
  <si>
    <t>02-052325-9993</t>
  </si>
  <si>
    <t>02-052325-9995</t>
  </si>
  <si>
    <t>02-052425-10003</t>
  </si>
  <si>
    <t>02-052425-10005</t>
  </si>
  <si>
    <t>02-052425-10006</t>
  </si>
  <si>
    <t>02-052425-10007</t>
  </si>
  <si>
    <t>02-052425-10009</t>
  </si>
  <si>
    <t>02-052425-10010</t>
  </si>
  <si>
    <t>02-052425-10011</t>
  </si>
  <si>
    <t>02-052425-10013</t>
  </si>
  <si>
    <t>02-052425-10014</t>
  </si>
  <si>
    <t>02-052425-10016</t>
  </si>
  <si>
    <t>02-052425-10019</t>
  </si>
  <si>
    <t>02-052525-10030</t>
  </si>
  <si>
    <t>02-052525-10033</t>
  </si>
  <si>
    <t>02-052525-10034</t>
  </si>
  <si>
    <t>02-052525-10037</t>
  </si>
  <si>
    <t>02-052525-10040</t>
  </si>
  <si>
    <t>02-052625-10041</t>
  </si>
  <si>
    <t>02-052625-10042</t>
  </si>
  <si>
    <t>02-052625-10043</t>
  </si>
  <si>
    <t>02-052625-10044</t>
  </si>
  <si>
    <t>02-052625-10045</t>
  </si>
  <si>
    <t>02-052625-10046</t>
  </si>
  <si>
    <t>02-052625-10047</t>
  </si>
  <si>
    <t>02-052625-10048</t>
  </si>
  <si>
    <t>02-052625-10049</t>
  </si>
  <si>
    <t>02-052625-10050</t>
  </si>
  <si>
    <t>02-052625-10051</t>
  </si>
  <si>
    <t>02-052625-10052</t>
  </si>
  <si>
    <t>02-052725-10059</t>
  </si>
  <si>
    <t>02-052725-10061</t>
  </si>
  <si>
    <t>02-052725-10062</t>
  </si>
  <si>
    <t>02-052725-10064</t>
  </si>
  <si>
    <t>02-052725-10065</t>
  </si>
  <si>
    <t>02-052725-10066</t>
  </si>
  <si>
    <t>02-052725-10068</t>
  </si>
  <si>
    <t>02-052725-10069</t>
  </si>
  <si>
    <t>02-052725-10070</t>
  </si>
  <si>
    <t>02-052725-10072</t>
  </si>
  <si>
    <t>02-052725-10074</t>
  </si>
  <si>
    <t>02-052725-10075</t>
  </si>
  <si>
    <t>02-052825-10084</t>
  </si>
  <si>
    <t>02-052825-10085</t>
  </si>
  <si>
    <t>02-052825-10088</t>
  </si>
  <si>
    <t>02-052825-10089</t>
  </si>
  <si>
    <t>02-052825-10090</t>
  </si>
  <si>
    <t>02-052825-10091</t>
  </si>
  <si>
    <t>02-052825-10092</t>
  </si>
  <si>
    <t>02-052825-10094</t>
  </si>
  <si>
    <t>02-052825-10096</t>
  </si>
  <si>
    <t>02-052825-10097</t>
  </si>
  <si>
    <t>02-052825-10098</t>
  </si>
  <si>
    <t>02-052925-10110</t>
  </si>
  <si>
    <t>02-052925-10111</t>
  </si>
  <si>
    <t>02-052925-10112</t>
  </si>
  <si>
    <t>02-052925-10113</t>
  </si>
  <si>
    <t>02-052925-10114</t>
  </si>
  <si>
    <t>02-052925-10115</t>
  </si>
  <si>
    <t>02-052925-10116</t>
  </si>
  <si>
    <t>02-052925-10117</t>
  </si>
  <si>
    <t>02-052925-10119</t>
  </si>
  <si>
    <t>02-052925-10121</t>
  </si>
  <si>
    <t>02-053025-10129</t>
  </si>
  <si>
    <t>02-053025-10130</t>
  </si>
  <si>
    <t>02-053025-10131</t>
  </si>
  <si>
    <t>02-053025-10133</t>
  </si>
  <si>
    <t>02-053025-10134</t>
  </si>
  <si>
    <t>02-053025-10135</t>
  </si>
  <si>
    <t>02-053025-10137</t>
  </si>
  <si>
    <t>02-053025-10139</t>
  </si>
  <si>
    <t>02-053025-10141</t>
  </si>
  <si>
    <t>02-053025-10142</t>
  </si>
  <si>
    <t>02-053125-10152</t>
  </si>
  <si>
    <t>02-053125-10153</t>
  </si>
  <si>
    <t>02-053125-10155</t>
  </si>
  <si>
    <t>02-053125-10156</t>
  </si>
  <si>
    <t>02-053125-10157</t>
  </si>
  <si>
    <t>02-053125-10159</t>
  </si>
  <si>
    <t>02-053125-10161</t>
  </si>
  <si>
    <t>May 01, 2025 07:11 AM</t>
  </si>
  <si>
    <t>May 01, 2025 07:52 AM</t>
  </si>
  <si>
    <t>May 01, 2025 08:31 AM</t>
  </si>
  <si>
    <t>May 01, 2025 08:37 AM</t>
  </si>
  <si>
    <t>May 01, 2025 08:57 AM</t>
  </si>
  <si>
    <t>May 01, 2025 09:03 AM</t>
  </si>
  <si>
    <t>May 01, 2025 09:22 AM</t>
  </si>
  <si>
    <t>May 01, 2025 09:28 AM</t>
  </si>
  <si>
    <t>May 01, 2025 09:38 AM</t>
  </si>
  <si>
    <t>May 01, 2025 09:39 AM</t>
  </si>
  <si>
    <t>May 01, 2025 10:32 AM</t>
  </si>
  <si>
    <t>May 01, 2025 10:53 AM</t>
  </si>
  <si>
    <t>May 01, 2025 10:57 AM</t>
  </si>
  <si>
    <t>May 01, 2025 11:02 AM</t>
  </si>
  <si>
    <t>May 01, 2025 11:30 AM</t>
  </si>
  <si>
    <t>May 01, 2025 11:26 AM</t>
  </si>
  <si>
    <t>May 01, 2025 11:56 AM</t>
  </si>
  <si>
    <t>May 01, 2025 01:21 PM</t>
  </si>
  <si>
    <t>May 01, 2025 01:22 PM</t>
  </si>
  <si>
    <t>May 01, 2025 01:26 PM</t>
  </si>
  <si>
    <t>May 01, 2025 01:27 PM</t>
  </si>
  <si>
    <t>May 01, 2025 01:34 PM</t>
  </si>
  <si>
    <t>May 01, 2025 01:55 PM</t>
  </si>
  <si>
    <t>May 01, 2025 02:01 PM</t>
  </si>
  <si>
    <t>May 01, 2025 03:23 PM</t>
  </si>
  <si>
    <t>May 02, 2025 07:49 AM</t>
  </si>
  <si>
    <t>May 02, 2025 07:50 AM</t>
  </si>
  <si>
    <t>May 02, 2025 08:16 AM</t>
  </si>
  <si>
    <t>May 02, 2025 08:42 AM</t>
  </si>
  <si>
    <t>May 02, 2025 09:06 AM</t>
  </si>
  <si>
    <t>May 02, 2025 09:43 AM</t>
  </si>
  <si>
    <t>May 02, 2025 10:17 AM</t>
  </si>
  <si>
    <t>May 02, 2025 10:14 AM</t>
  </si>
  <si>
    <t>May 02, 2025 10:36 AM</t>
  </si>
  <si>
    <t>May 02, 2025 10:41 AM</t>
  </si>
  <si>
    <t>May 02, 2025 11:03 AM</t>
  </si>
  <si>
    <t>May 02, 2025 10:43 AM</t>
  </si>
  <si>
    <t>May 02, 2025 11:01 AM</t>
  </si>
  <si>
    <t>May 02, 2025 11:13 AM</t>
  </si>
  <si>
    <t>May 02, 2025 01:33 PM</t>
  </si>
  <si>
    <t>May 02, 2025 01:37 PM</t>
  </si>
  <si>
    <t>May 02, 2025 02:36 PM</t>
  </si>
  <si>
    <t>May 02, 2025 02:54 PM</t>
  </si>
  <si>
    <t>May 03, 2025 08:37 AM</t>
  </si>
  <si>
    <t>May 03, 2025 08:45 AM</t>
  </si>
  <si>
    <t>May 03, 2025 10:02 AM</t>
  </si>
  <si>
    <t>May 03, 2025 10:03 AM</t>
  </si>
  <si>
    <t>May 03, 2025 10:24 AM</t>
  </si>
  <si>
    <t>May 03, 2025 10:47 AM</t>
  </si>
  <si>
    <t>May 03, 2025 01:39 PM</t>
  </si>
  <si>
    <t>May 03, 2025 02:06 PM</t>
  </si>
  <si>
    <t>May 03, 2025 02:47 PM</t>
  </si>
  <si>
    <t>May 03, 2025 02:48 PM</t>
  </si>
  <si>
    <t>May 05, 2025 07:55 AM</t>
  </si>
  <si>
    <t>May 05, 2025 07:56 AM</t>
  </si>
  <si>
    <t>May 05, 2025 09:21 AM</t>
  </si>
  <si>
    <t>May 05, 2025 10:01 AM</t>
  </si>
  <si>
    <t>May 05, 2025 10:02 AM</t>
  </si>
  <si>
    <t>May 05, 2025 10:25 AM</t>
  </si>
  <si>
    <t>May 05, 2025 10:26 AM</t>
  </si>
  <si>
    <t>May 05, 2025 10:52 AM</t>
  </si>
  <si>
    <t>May 05, 2025 11:44 AM</t>
  </si>
  <si>
    <t>May 05, 2025 12:17 PM</t>
  </si>
  <si>
    <t>May 05, 2025 12:38 PM</t>
  </si>
  <si>
    <t>May 05, 2025 01:45 PM</t>
  </si>
  <si>
    <t>May 05, 2025 01:02 PM</t>
  </si>
  <si>
    <t>May 05, 2025 01:40 PM</t>
  </si>
  <si>
    <t>May 05, 2025 03:09 PM</t>
  </si>
  <si>
    <t>May 05, 2025 03:23 PM</t>
  </si>
  <si>
    <t>May 05, 2025 03:24 PM</t>
  </si>
  <si>
    <t>May 06, 2025 07:47 AM</t>
  </si>
  <si>
    <t>May 06, 2025 08:09 AM</t>
  </si>
  <si>
    <t>May 06, 2025 08:49 AM</t>
  </si>
  <si>
    <t>May 06, 2025 09:52 AM</t>
  </si>
  <si>
    <t>May 06, 2025 09:59 AM</t>
  </si>
  <si>
    <t>May 06, 2025 10:50 AM</t>
  </si>
  <si>
    <t>May 06, 2025 11:30 AM</t>
  </si>
  <si>
    <t>May 06, 2025 11:03 AM</t>
  </si>
  <si>
    <t>May 06, 2025 11:34 AM</t>
  </si>
  <si>
    <t>May 06, 2025 11:46 AM</t>
  </si>
  <si>
    <t>May 06, 2025 12:17 PM</t>
  </si>
  <si>
    <t>May 06, 2025 12:25 PM</t>
  </si>
  <si>
    <t>May 06, 2025 01:03 PM</t>
  </si>
  <si>
    <t>May 06, 2025 01:09 PM</t>
  </si>
  <si>
    <t>May 06, 2025 01:39 PM</t>
  </si>
  <si>
    <t>May 06, 2025 01:43 PM</t>
  </si>
  <si>
    <t>May 06, 2025 02:03 PM</t>
  </si>
  <si>
    <t>May 06, 2025 02:15 PM</t>
  </si>
  <si>
    <t>May 06, 2025 02:16 PM</t>
  </si>
  <si>
    <t>May 06, 2025 03:50 PM</t>
  </si>
  <si>
    <t>May 06, 2025 04:00 PM</t>
  </si>
  <si>
    <t>May 07, 2025 08:38 AM</t>
  </si>
  <si>
    <t>May 07, 2025 08:39 AM</t>
  </si>
  <si>
    <t>May 07, 2025 09:34 AM</t>
  </si>
  <si>
    <t>May 07, 2025 10:49 AM</t>
  </si>
  <si>
    <t>May 07, 2025 10:50 AM</t>
  </si>
  <si>
    <t>May 07, 2025 11:25 AM</t>
  </si>
  <si>
    <t>May 07, 2025 12:17 PM</t>
  </si>
  <si>
    <t>May 07, 2025 12:35 PM</t>
  </si>
  <si>
    <t>May 07, 2025 12:24 PM</t>
  </si>
  <si>
    <t>May 07, 2025 01:30 PM</t>
  </si>
  <si>
    <t>May 07, 2025 01:04 PM</t>
  </si>
  <si>
    <t>May 07, 2025 02:06 PM</t>
  </si>
  <si>
    <t>May 07, 2025 02:19 PM</t>
  </si>
  <si>
    <t>May 07, 2025 02:42 PM</t>
  </si>
  <si>
    <t>May 07, 2025 03:50 PM</t>
  </si>
  <si>
    <t>May 07, 2025 03:51 PM</t>
  </si>
  <si>
    <t>May 07, 2025 03:56 PM</t>
  </si>
  <si>
    <t>May 07, 2025 03:59 PM</t>
  </si>
  <si>
    <t>May 08, 2025 08:25 AM</t>
  </si>
  <si>
    <t>May 08, 2025 08:26 AM</t>
  </si>
  <si>
    <t>May 08, 2025 08:51 AM</t>
  </si>
  <si>
    <t>May 08, 2025 09:58 AM</t>
  </si>
  <si>
    <t>May 08, 2025 10:09 AM</t>
  </si>
  <si>
    <t>May 08, 2025 10:02 AM</t>
  </si>
  <si>
    <t>May 08, 2025 10:14 AM</t>
  </si>
  <si>
    <t>May 08, 2025 10:46 AM</t>
  </si>
  <si>
    <t>May 08, 2025 12:21 PM</t>
  </si>
  <si>
    <t>May 08, 2025 12:31 PM</t>
  </si>
  <si>
    <t>May 08, 2025 12:49 PM</t>
  </si>
  <si>
    <t>May 08, 2025 02:35 PM</t>
  </si>
  <si>
    <t>May 08, 2025 12:55 PM</t>
  </si>
  <si>
    <t>May 08, 2025 01:50 PM</t>
  </si>
  <si>
    <t>May 08, 2025 01:04 PM</t>
  </si>
  <si>
    <t>May 08, 2025 02:46 PM</t>
  </si>
  <si>
    <t>May 09, 2025 07:28 AM</t>
  </si>
  <si>
    <t>May 09, 2025 07:57 AM</t>
  </si>
  <si>
    <t>May 09, 2025 08:26 AM</t>
  </si>
  <si>
    <t>May 09, 2025 08:27 AM</t>
  </si>
  <si>
    <t>May 09, 2025 08:34 AM</t>
  </si>
  <si>
    <t>May 09, 2025 09:08 AM</t>
  </si>
  <si>
    <t>May 09, 2025 09:23 AM</t>
  </si>
  <si>
    <t>May 09, 2025 10:11 AM</t>
  </si>
  <si>
    <t>May 09, 2025 10:38 AM</t>
  </si>
  <si>
    <t>May 09, 2025 11:16 AM</t>
  </si>
  <si>
    <t>May 09, 2025 01:02 PM</t>
  </si>
  <si>
    <t>May 09, 2025 01:38 PM</t>
  </si>
  <si>
    <t>May 09, 2025 01:34 PM</t>
  </si>
  <si>
    <t>May 09, 2025 02:13 PM</t>
  </si>
  <si>
    <t>May 09, 2025 02:18 PM</t>
  </si>
  <si>
    <t>May 09, 2025 03:25 PM</t>
  </si>
  <si>
    <t>May 10, 2025 07:58 AM</t>
  </si>
  <si>
    <t>May 10, 2025 08:28 AM</t>
  </si>
  <si>
    <t>May 10, 2025 08:58 AM</t>
  </si>
  <si>
    <t>May 10, 2025 09:32 AM</t>
  </si>
  <si>
    <t>May 10, 2025 09:33 AM</t>
  </si>
  <si>
    <t>May 10, 2025 09:36 AM</t>
  </si>
  <si>
    <t>May 10, 2025 09:54 AM</t>
  </si>
  <si>
    <t>May 10, 2025 10:48 AM</t>
  </si>
  <si>
    <t>May 10, 2025 11:12 AM</t>
  </si>
  <si>
    <t>May 10, 2025 11:32 AM</t>
  </si>
  <si>
    <t>May 10, 2025 11:33 AM</t>
  </si>
  <si>
    <t>May 10, 2025 12:20 PM</t>
  </si>
  <si>
    <t>May 10, 2025 01:00 PM</t>
  </si>
  <si>
    <t>May 10, 2025 01:32 PM</t>
  </si>
  <si>
    <t>May 10, 2025 02:04 PM</t>
  </si>
  <si>
    <t>May 10, 2025 02:26 PM</t>
  </si>
  <si>
    <t>May 10, 2025 03:55 PM</t>
  </si>
  <si>
    <t>May 11, 2025 08:41 AM</t>
  </si>
  <si>
    <t>May 11, 2025 08:46 AM</t>
  </si>
  <si>
    <t>May 11, 2025 09:31 AM</t>
  </si>
  <si>
    <t>May 11, 2025 10:35 AM</t>
  </si>
  <si>
    <t>May 11, 2025 10:40 AM</t>
  </si>
  <si>
    <t>May 11, 2025 11:30 AM</t>
  </si>
  <si>
    <t>May 11, 2025 11:40 AM</t>
  </si>
  <si>
    <t>May 11, 2025 01:27 PM</t>
  </si>
  <si>
    <t>May 11, 2025 01:41 PM</t>
  </si>
  <si>
    <t>May 13, 2025 09:26 AM</t>
  </si>
  <si>
    <t>May 13, 2025 09:50 AM</t>
  </si>
  <si>
    <t>May 13, 2025 09:51 AM</t>
  </si>
  <si>
    <t>May 13, 2025 10:30 AM</t>
  </si>
  <si>
    <t>May 13, 2025 10:40 AM</t>
  </si>
  <si>
    <t>May 13, 2025 10:41 AM</t>
  </si>
  <si>
    <t>May 13, 2025 10:59 AM</t>
  </si>
  <si>
    <t>May 13, 2025 12:59 PM</t>
  </si>
  <si>
    <t>May 13, 2025 02:04 PM</t>
  </si>
  <si>
    <t>May 13, 2025 02:16 PM</t>
  </si>
  <si>
    <t>May 13, 2025 02:39 PM</t>
  </si>
  <si>
    <t>May 14, 2025 08:32 AM</t>
  </si>
  <si>
    <t>May 14, 2025 08:43 AM</t>
  </si>
  <si>
    <t>May 14, 2025 10:33 AM</t>
  </si>
  <si>
    <t>May 14, 2025 10:34 AM</t>
  </si>
  <si>
    <t>May 14, 2025 10:35 AM</t>
  </si>
  <si>
    <t>May 14, 2025 10:47 AM</t>
  </si>
  <si>
    <t>May 14, 2025 11:47 AM</t>
  </si>
  <si>
    <t>May 14, 2025 12:34 PM</t>
  </si>
  <si>
    <t>May 14, 2025 01:27 PM</t>
  </si>
  <si>
    <t>May 14, 2025 03:00 PM</t>
  </si>
  <si>
    <t>May 15, 2025 08:43 AM</t>
  </si>
  <si>
    <t>May 15, 2025 09:05 AM</t>
  </si>
  <si>
    <t>May 15, 2025 10:06 AM</t>
  </si>
  <si>
    <t>May 15, 2025 10:12 AM</t>
  </si>
  <si>
    <t>May 15, 2025 10:24 AM</t>
  </si>
  <si>
    <t>May 15, 2025 10:25 AM</t>
  </si>
  <si>
    <t>May 15, 2025 11:11 AM</t>
  </si>
  <si>
    <t>May 15, 2025 11:17 AM</t>
  </si>
  <si>
    <t>May 15, 2025 02:12 PM</t>
  </si>
  <si>
    <t>May 15, 2025 02:50 PM</t>
  </si>
  <si>
    <t>May 15, 2025 03:01 PM</t>
  </si>
  <si>
    <t>May 16, 2025 09:15 AM</t>
  </si>
  <si>
    <t>May 16, 2025 09:46 AM</t>
  </si>
  <si>
    <t>May 16, 2025 10:53 AM</t>
  </si>
  <si>
    <t>May 16, 2025 11:04 AM</t>
  </si>
  <si>
    <t>May 16, 2025 11:05 AM</t>
  </si>
  <si>
    <t>May 16, 2025 01:32 PM</t>
  </si>
  <si>
    <t>May 16, 2025 01:44 PM</t>
  </si>
  <si>
    <t>May 16, 2025 02:36 PM</t>
  </si>
  <si>
    <t>May 16, 2025 02:43 PM</t>
  </si>
  <si>
    <t>May 17, 2025 08:55 AM</t>
  </si>
  <si>
    <t>May 17, 2025 10:02 AM</t>
  </si>
  <si>
    <t>May 17, 2025 11:21 AM</t>
  </si>
  <si>
    <t>May 17, 2025 11:22 AM</t>
  </si>
  <si>
    <t>May 17, 2025 01:45 PM</t>
  </si>
  <si>
    <t>May 17, 2025 02:54 PM</t>
  </si>
  <si>
    <t>May 18, 2025 09:48 AM</t>
  </si>
  <si>
    <t>May 18, 2025 11:28 AM</t>
  </si>
  <si>
    <t>May 18, 2025 02:17 PM</t>
  </si>
  <si>
    <t>May 18, 2025 02:21 PM</t>
  </si>
  <si>
    <t>May 18, 2025 03:26 PM</t>
  </si>
  <si>
    <t>May 19, 2025 08:29 AM</t>
  </si>
  <si>
    <t>May 19, 2025 08:30 AM</t>
  </si>
  <si>
    <t>May 19, 2025 09:45 AM</t>
  </si>
  <si>
    <t>May 19, 2025 09:54 AM</t>
  </si>
  <si>
    <t>May 19, 2025 10:09 AM</t>
  </si>
  <si>
    <t>May 19, 2025 10:12 AM</t>
  </si>
  <si>
    <t>May 19, 2025 10:34 AM</t>
  </si>
  <si>
    <t>May 19, 2025 11:00 AM</t>
  </si>
  <si>
    <t>May 19, 2025 11:22 AM</t>
  </si>
  <si>
    <t>May 19, 2025 02:16 PM</t>
  </si>
  <si>
    <t>May 19, 2025 02:15 PM</t>
  </si>
  <si>
    <t>May 19, 2025 02:42 PM</t>
  </si>
  <si>
    <t>May 19, 2025 02:46 PM</t>
  </si>
  <si>
    <t>May 20, 2025 07:33 AM</t>
  </si>
  <si>
    <t>May 20, 2025 11:16 AM</t>
  </si>
  <si>
    <t>May 20, 2025 08:44 AM</t>
  </si>
  <si>
    <t>May 20, 2025 11:43 AM</t>
  </si>
  <si>
    <t>May 20, 2025 09:26 AM</t>
  </si>
  <si>
    <t>May 20, 2025 09:32 AM</t>
  </si>
  <si>
    <t>May 20, 2025 09:30 AM</t>
  </si>
  <si>
    <t>May 20, 2025 11:15 AM</t>
  </si>
  <si>
    <t>May 20, 2025 09:46 AM</t>
  </si>
  <si>
    <t>May 20, 2025 09:54 AM</t>
  </si>
  <si>
    <t>May 20, 2025 09:47 AM</t>
  </si>
  <si>
    <t>May 20, 2025 09:50 AM</t>
  </si>
  <si>
    <t>May 20, 2025 10:58 AM</t>
  </si>
  <si>
    <t>May 20, 2025 11:18 AM</t>
  </si>
  <si>
    <t>May 20, 2025 11:19 AM</t>
  </si>
  <si>
    <t>May 20, 2025 11:42 AM</t>
  </si>
  <si>
    <t>May 20, 2025 12:49 PM</t>
  </si>
  <si>
    <t>May 20, 2025 01:01 PM</t>
  </si>
  <si>
    <t>May 20, 2025 01:30 PM</t>
  </si>
  <si>
    <t>May 20, 2025 01:48 PM</t>
  </si>
  <si>
    <t>May 20, 2025 02:02 PM</t>
  </si>
  <si>
    <t>May 20, 2025 02:25 PM</t>
  </si>
  <si>
    <t>May 20, 2025 02:55 PM</t>
  </si>
  <si>
    <t>May 20, 2025 02:56 PM</t>
  </si>
  <si>
    <t>May 21, 2025 07:28 AM</t>
  </si>
  <si>
    <t>May 21, 2025 08:37 AM</t>
  </si>
  <si>
    <t>May 21, 2025 12:27 PM</t>
  </si>
  <si>
    <t>May 21, 2025 09:09 AM</t>
  </si>
  <si>
    <t>May 21, 2025 09:29 AM</t>
  </si>
  <si>
    <t>May 21, 2025 10:38 AM</t>
  </si>
  <si>
    <t>May 21, 2025 10:39 AM</t>
  </si>
  <si>
    <t>May 21, 2025 11:34 AM</t>
  </si>
  <si>
    <t>May 21, 2025 12:26 PM</t>
  </si>
  <si>
    <t>May 21, 2025 12:46 PM</t>
  </si>
  <si>
    <t>May 21, 2025 03:43 PM</t>
  </si>
  <si>
    <t>May 22, 2025 07:24 AM</t>
  </si>
  <si>
    <t>May 22, 2025 07:25 AM</t>
  </si>
  <si>
    <t>May 22, 2025 08:12 AM</t>
  </si>
  <si>
    <t>May 22, 2025 08:19 AM</t>
  </si>
  <si>
    <t>May 22, 2025 09:00 AM</t>
  </si>
  <si>
    <t>May 22, 2025 01:44 PM</t>
  </si>
  <si>
    <t>May 22, 2025 09:04 AM</t>
  </si>
  <si>
    <t>May 22, 2025 09:51 AM</t>
  </si>
  <si>
    <t>May 22, 2025 10:16 AM</t>
  </si>
  <si>
    <t>May 22, 2025 10:47 AM</t>
  </si>
  <si>
    <t>May 22, 2025 11:06 AM</t>
  </si>
  <si>
    <t>May 22, 2025 12:23 PM</t>
  </si>
  <si>
    <t>May 22, 2025 12:48 PM</t>
  </si>
  <si>
    <t>May 22, 2025 01:20 PM</t>
  </si>
  <si>
    <t>May 22, 2025 01:40 PM</t>
  </si>
  <si>
    <t>May 22, 2025 02:21 PM</t>
  </si>
  <si>
    <t>May 22, 2025 03:38 PM</t>
  </si>
  <si>
    <t>May 23, 2025 08:14 AM</t>
  </si>
  <si>
    <t>May 23, 2025 08:46 AM</t>
  </si>
  <si>
    <t>May 23, 2025 08:53 AM</t>
  </si>
  <si>
    <t>May 23, 2025 09:07 AM</t>
  </si>
  <si>
    <t>May 23, 2025 09:26 AM</t>
  </si>
  <si>
    <t>May 23, 2025 09:27 AM</t>
  </si>
  <si>
    <t>May 23, 2025 09:32 AM</t>
  </si>
  <si>
    <t>May 23, 2025 10:05 AM</t>
  </si>
  <si>
    <t>May 23, 2025 10:12 AM</t>
  </si>
  <si>
    <t>May 23, 2025 10:44 AM</t>
  </si>
  <si>
    <t>May 23, 2025 10:56 AM</t>
  </si>
  <si>
    <t>May 23, 2025 11:36 AM</t>
  </si>
  <si>
    <t>May 23, 2025 11:40 AM</t>
  </si>
  <si>
    <t>May 23, 2025 12:22 PM</t>
  </si>
  <si>
    <t>May 23, 2025 01:26 PM</t>
  </si>
  <si>
    <t>May 23, 2025 01:59 PM</t>
  </si>
  <si>
    <t>May 23, 2025 02:11 PM</t>
  </si>
  <si>
    <t>May 23, 2025 02:21 PM</t>
  </si>
  <si>
    <t>May 23, 2025 02:32 PM</t>
  </si>
  <si>
    <t>May 24, 2025 07:41 AM</t>
  </si>
  <si>
    <t>May 24, 2025 09:06 AM</t>
  </si>
  <si>
    <t>May 24, 2025 09:12 AM</t>
  </si>
  <si>
    <t>May 24, 2025 09:23 AM</t>
  </si>
  <si>
    <t>May 24, 2025 09:42 AM</t>
  </si>
  <si>
    <t>May 24, 2025 10:18 AM</t>
  </si>
  <si>
    <t>May 24, 2025 10:50 AM</t>
  </si>
  <si>
    <t>May 24, 2025 10:51 AM</t>
  </si>
  <si>
    <t>May 24, 2025 10:58 AM</t>
  </si>
  <si>
    <t>May 24, 2025 01:22 PM</t>
  </si>
  <si>
    <t>May 24, 2025 01:38 PM</t>
  </si>
  <si>
    <t>May 24, 2025 02:39 PM</t>
  </si>
  <si>
    <t>May 24, 2025 04:38 PM</t>
  </si>
  <si>
    <t>May 24, 2025 05:08 PM</t>
  </si>
  <si>
    <t>May 25, 2025 08:59 AM</t>
  </si>
  <si>
    <t>May 25, 2025 11:05 AM</t>
  </si>
  <si>
    <t>May 25, 2025 11:29 AM</t>
  </si>
  <si>
    <t>May 25, 2025 01:45 PM</t>
  </si>
  <si>
    <t>May 25, 2025 02:41 PM</t>
  </si>
  <si>
    <t>May 26, 2025 07:26 AM</t>
  </si>
  <si>
    <t>May 26, 2025 08:23 AM</t>
  </si>
  <si>
    <t>May 26, 2025 08:24 AM</t>
  </si>
  <si>
    <t>May 26, 2025 09:05 AM</t>
  </si>
  <si>
    <t>May 26, 2025 09:15 AM</t>
  </si>
  <si>
    <t>May 26, 2025 09:35 AM</t>
  </si>
  <si>
    <t>May 26, 2025 09:36 AM</t>
  </si>
  <si>
    <t>May 26, 2025 09:59 AM</t>
  </si>
  <si>
    <t>May 26, 2025 10:13 AM</t>
  </si>
  <si>
    <t>May 26, 2025 11:14 AM</t>
  </si>
  <si>
    <t>May 26, 2025 12:35 PM</t>
  </si>
  <si>
    <t>May 26, 2025 01:54 PM</t>
  </si>
  <si>
    <t>May 26, 2025 01:59 PM</t>
  </si>
  <si>
    <t>May 26, 2025 02:44 PM</t>
  </si>
  <si>
    <t>May 26, 2025 02:45 PM</t>
  </si>
  <si>
    <t>May 27, 2025 07:30 AM</t>
  </si>
  <si>
    <t>May 27, 2025 08:26 AM</t>
  </si>
  <si>
    <t>May 27, 2025 08:53 AM</t>
  </si>
  <si>
    <t>May 27, 2025 09:16 AM</t>
  </si>
  <si>
    <t>May 27, 2025 09:46 AM</t>
  </si>
  <si>
    <t>May 27, 2025 10:04 AM</t>
  </si>
  <si>
    <t>May 27, 2025 10:52 AM</t>
  </si>
  <si>
    <t>May 27, 2025 10:53 AM</t>
  </si>
  <si>
    <t>May 27, 2025 10:59 AM</t>
  </si>
  <si>
    <t>May 27, 2025 11:14 AM</t>
  </si>
  <si>
    <t>May 27, 2025 02:32 PM</t>
  </si>
  <si>
    <t>May 27, 2025 02:43 PM</t>
  </si>
  <si>
    <t>May 27, 2025 03:20 PM</t>
  </si>
  <si>
    <t>May 28, 2025 08:14 AM</t>
  </si>
  <si>
    <t>May 28, 2025 08:15 AM</t>
  </si>
  <si>
    <t>May 28, 2025 09:01 AM</t>
  </si>
  <si>
    <t>May 28, 2025 10:20 AM</t>
  </si>
  <si>
    <t>May 28, 2025 10:21 AM</t>
  </si>
  <si>
    <t>May 28, 2025 10:40 AM</t>
  </si>
  <si>
    <t>May 28, 2025 10:44 AM</t>
  </si>
  <si>
    <t>May 28, 2025 11:05 AM</t>
  </si>
  <si>
    <t>May 28, 2025 11:32 AM</t>
  </si>
  <si>
    <t>May 28, 2025 11:33 AM</t>
  </si>
  <si>
    <t>May 28, 2025 01:38 PM</t>
  </si>
  <si>
    <t>May 28, 2025 02:23 PM</t>
  </si>
  <si>
    <t>May 28, 2025 03:48 PM</t>
  </si>
  <si>
    <t>May 28, 2025 03:49 PM</t>
  </si>
  <si>
    <t>May 28, 2025 03:50 PM</t>
  </si>
  <si>
    <t>May 29, 2025 08:40 AM</t>
  </si>
  <si>
    <t>May 29, 2025 08:56 AM</t>
  </si>
  <si>
    <t>May 29, 2025 09:31 AM</t>
  </si>
  <si>
    <t>May 29, 2025 10:17 AM</t>
  </si>
  <si>
    <t>May 29, 2025 10:35 AM</t>
  </si>
  <si>
    <t>May 29, 2025 11:16 AM</t>
  </si>
  <si>
    <t>May 29, 2025 11:17 AM</t>
  </si>
  <si>
    <t>May 29, 2025 01:28 PM</t>
  </si>
  <si>
    <t>May 29, 2025 01:29 PM</t>
  </si>
  <si>
    <t>May 29, 2025 02:19 PM</t>
  </si>
  <si>
    <t>May 29, 2025 04:07 PM</t>
  </si>
  <si>
    <t>May 29, 2025 04:40 PM</t>
  </si>
  <si>
    <t>May 30, 2025 08:14 AM</t>
  </si>
  <si>
    <t>May 30, 2025 08:18 AM</t>
  </si>
  <si>
    <t>May 30, 2025 08:42 AM</t>
  </si>
  <si>
    <t>May 30, 2025 08:43 AM</t>
  </si>
  <si>
    <t>May 30, 2025 09:10 AM</t>
  </si>
  <si>
    <t>May 30, 2025 10:19 AM</t>
  </si>
  <si>
    <t>May 30, 2025 10:20 AM</t>
  </si>
  <si>
    <t>May 30, 2025 10:27 AM</t>
  </si>
  <si>
    <t>May 30, 2025 10:52 AM</t>
  </si>
  <si>
    <t>May 30, 2025 01:38 PM</t>
  </si>
  <si>
    <t>May 30, 2025 02:30 PM</t>
  </si>
  <si>
    <t>May 30, 2025 03:00 PM</t>
  </si>
  <si>
    <t>May 31, 2025 08:12 AM</t>
  </si>
  <si>
    <t>May 31, 2025 08:28 AM</t>
  </si>
  <si>
    <t>May 31, 2025 09:10 AM</t>
  </si>
  <si>
    <t>May 31, 2025 10:53 AM</t>
  </si>
  <si>
    <t>May 31, 2025 11:21 AM</t>
  </si>
  <si>
    <t>May 31, 2025 01:43 PM</t>
  </si>
  <si>
    <t>May 31, 2025 02:21 PM</t>
  </si>
  <si>
    <t>May 31, 2025 02:22 PM</t>
  </si>
  <si>
    <t>101C11</t>
  </si>
  <si>
    <t>101A11</t>
  </si>
  <si>
    <t>101C12</t>
  </si>
  <si>
    <t>113B53</t>
  </si>
  <si>
    <t>113B53,54</t>
  </si>
  <si>
    <t>307A2</t>
  </si>
  <si>
    <t>104A62</t>
  </si>
  <si>
    <t>108D2</t>
  </si>
  <si>
    <t>113B51</t>
  </si>
  <si>
    <t>101C2</t>
  </si>
  <si>
    <t>104A51</t>
  </si>
  <si>
    <t>502A22</t>
  </si>
  <si>
    <t>204D1</t>
  </si>
  <si>
    <t>204D</t>
  </si>
  <si>
    <t>406A3</t>
  </si>
  <si>
    <t>504B53</t>
  </si>
  <si>
    <t>406AB</t>
  </si>
  <si>
    <t>104A22</t>
  </si>
  <si>
    <t>106B25/32</t>
  </si>
  <si>
    <t>307A1-2</t>
  </si>
  <si>
    <t>307A1</t>
  </si>
  <si>
    <t>503a1</t>
  </si>
  <si>
    <t>204d1</t>
  </si>
  <si>
    <t>107c12</t>
  </si>
  <si>
    <t>502b3q</t>
  </si>
  <si>
    <t>204d</t>
  </si>
  <si>
    <t>112a3</t>
  </si>
  <si>
    <t>406b32</t>
  </si>
  <si>
    <t>204b</t>
  </si>
  <si>
    <t>107A3</t>
  </si>
  <si>
    <t>204B6</t>
  </si>
  <si>
    <t>112A12</t>
  </si>
  <si>
    <t>406a1</t>
  </si>
  <si>
    <t>104A6</t>
  </si>
  <si>
    <t>206A31</t>
  </si>
  <si>
    <t>203A84</t>
  </si>
  <si>
    <t>107C12</t>
  </si>
  <si>
    <t>406A</t>
  </si>
  <si>
    <t>108D12</t>
  </si>
  <si>
    <t>108D</t>
  </si>
  <si>
    <t>406A1</t>
  </si>
  <si>
    <t>206A32</t>
  </si>
  <si>
    <t>502A72</t>
  </si>
  <si>
    <t>205C1</t>
  </si>
  <si>
    <t>310C2</t>
  </si>
  <si>
    <t>502A/B12</t>
  </si>
  <si>
    <t>112A21</t>
  </si>
  <si>
    <t>104a62</t>
  </si>
  <si>
    <t>502b3</t>
  </si>
  <si>
    <t>205C31</t>
  </si>
  <si>
    <t>307A4</t>
  </si>
  <si>
    <t>502B22</t>
  </si>
  <si>
    <t>101A51</t>
  </si>
  <si>
    <t>113B4/51</t>
  </si>
  <si>
    <t>cannery</t>
  </si>
  <si>
    <t>205c2</t>
  </si>
  <si>
    <t>112a12</t>
  </si>
  <si>
    <t>104c22</t>
  </si>
  <si>
    <t>115A2</t>
  </si>
  <si>
    <t>112B42</t>
  </si>
  <si>
    <t>104A7</t>
  </si>
  <si>
    <t>205C2</t>
  </si>
  <si>
    <t>117B3</t>
  </si>
  <si>
    <t>113B1</t>
  </si>
  <si>
    <t>502B3</t>
  </si>
  <si>
    <t>310A42</t>
  </si>
  <si>
    <t>117B</t>
  </si>
  <si>
    <t>310A</t>
  </si>
  <si>
    <t>204A2</t>
  </si>
  <si>
    <t>JUL 1 - 31, 2025</t>
  </si>
  <si>
    <t>503ab3</t>
  </si>
  <si>
    <t>113b3</t>
  </si>
  <si>
    <t>204a2</t>
  </si>
  <si>
    <t>117b31</t>
  </si>
  <si>
    <t>113B6</t>
  </si>
  <si>
    <t>115a2</t>
  </si>
  <si>
    <t>110c1</t>
  </si>
  <si>
    <t>119b41</t>
  </si>
  <si>
    <t>304b1</t>
  </si>
  <si>
    <t>410a5</t>
  </si>
  <si>
    <t>310a</t>
  </si>
  <si>
    <t>201d21</t>
  </si>
  <si>
    <t>501b1</t>
  </si>
  <si>
    <t>201D</t>
  </si>
  <si>
    <t>310A63</t>
  </si>
  <si>
    <t>310A51</t>
  </si>
  <si>
    <t>412A31</t>
  </si>
  <si>
    <t>310A7</t>
  </si>
  <si>
    <t>304C7</t>
  </si>
  <si>
    <t>113C41</t>
  </si>
  <si>
    <t>503a</t>
  </si>
  <si>
    <t>107C32</t>
  </si>
  <si>
    <t>304ce</t>
  </si>
  <si>
    <t>309c2</t>
  </si>
  <si>
    <t>304C5</t>
  </si>
  <si>
    <t>107C21</t>
  </si>
  <si>
    <t>113C42</t>
  </si>
  <si>
    <t>107C2</t>
  </si>
  <si>
    <t>503A3</t>
  </si>
  <si>
    <t>110B31</t>
  </si>
  <si>
    <t>304C6</t>
  </si>
  <si>
    <t>503C31</t>
  </si>
  <si>
    <t>107E</t>
  </si>
  <si>
    <t>107B4</t>
  </si>
  <si>
    <t>502A3</t>
  </si>
  <si>
    <t>503C</t>
  </si>
  <si>
    <t>110C52</t>
  </si>
  <si>
    <t>107d1</t>
  </si>
  <si>
    <t>107B1</t>
  </si>
  <si>
    <t>102B1</t>
  </si>
  <si>
    <t>304c6</t>
  </si>
  <si>
    <t>102a4</t>
  </si>
  <si>
    <t>114c41</t>
  </si>
  <si>
    <t>107d3</t>
  </si>
  <si>
    <t>AUG 1 - 31, 2025</t>
  </si>
  <si>
    <t>110c25</t>
  </si>
  <si>
    <t>114c11</t>
  </si>
  <si>
    <t>411c32</t>
  </si>
  <si>
    <t>503c31</t>
  </si>
  <si>
    <t>114c42</t>
  </si>
  <si>
    <t>107b4</t>
  </si>
  <si>
    <t>306a12</t>
  </si>
  <si>
    <t>306a112</t>
  </si>
  <si>
    <t>507a3</t>
  </si>
  <si>
    <t>114c7</t>
  </si>
  <si>
    <t>503a3</t>
  </si>
  <si>
    <t>114c6</t>
  </si>
  <si>
    <t>107b22</t>
  </si>
  <si>
    <t>107b1</t>
  </si>
  <si>
    <t>105a42</t>
  </si>
  <si>
    <t>108a42</t>
  </si>
  <si>
    <t>107b2</t>
  </si>
  <si>
    <t>101a522</t>
  </si>
  <si>
    <t>102a21</t>
  </si>
  <si>
    <t>101a22</t>
  </si>
  <si>
    <t>406a</t>
  </si>
  <si>
    <t>406a41</t>
  </si>
  <si>
    <t>108A41</t>
  </si>
  <si>
    <t>COMPOSTING</t>
  </si>
  <si>
    <t>503A4</t>
  </si>
  <si>
    <t>503B2</t>
  </si>
  <si>
    <t>306a11</t>
  </si>
  <si>
    <t>40C11</t>
  </si>
  <si>
    <t>105A1</t>
  </si>
  <si>
    <t>411E33,21</t>
  </si>
  <si>
    <t>410D</t>
  </si>
  <si>
    <t>503B4</t>
  </si>
  <si>
    <t>302C42</t>
  </si>
  <si>
    <t>410D12</t>
  </si>
  <si>
    <t>412A11</t>
  </si>
  <si>
    <t>115A5</t>
  </si>
  <si>
    <t>116C42</t>
  </si>
  <si>
    <t>503B31</t>
  </si>
  <si>
    <t>302C72</t>
  </si>
  <si>
    <t>302A5</t>
  </si>
  <si>
    <t>105A7/1</t>
  </si>
  <si>
    <t xml:space="preserve">fogging </t>
  </si>
  <si>
    <t>SBVC RECORD</t>
  </si>
  <si>
    <t>02-080125-11272</t>
  </si>
  <si>
    <t>02-080125-11274</t>
  </si>
  <si>
    <t>02-080125-11275</t>
  </si>
  <si>
    <t>02-080125-11276</t>
  </si>
  <si>
    <t>02-080125-11278</t>
  </si>
  <si>
    <t>02-080125-11279</t>
  </si>
  <si>
    <t>02-080125-11281</t>
  </si>
  <si>
    <t>02-080125-11283</t>
  </si>
  <si>
    <t>02-080225-11295</t>
  </si>
  <si>
    <t>02-080225-11296</t>
  </si>
  <si>
    <t>02-080225-11298</t>
  </si>
  <si>
    <t>02-080425-11315</t>
  </si>
  <si>
    <t>02-080425-11316</t>
  </si>
  <si>
    <t>02-080425-11317</t>
  </si>
  <si>
    <t>02-080425-11318</t>
  </si>
  <si>
    <t>02-080425-11319</t>
  </si>
  <si>
    <t>02-080525-11328</t>
  </si>
  <si>
    <t>02-080525-11329</t>
  </si>
  <si>
    <t>02-080525-11330</t>
  </si>
  <si>
    <t>02-080525-11332</t>
  </si>
  <si>
    <t>02-080525-11334</t>
  </si>
  <si>
    <t>02-080625-11346</t>
  </si>
  <si>
    <t>02-080625-11347</t>
  </si>
  <si>
    <t>02-080625-11348</t>
  </si>
  <si>
    <t>02-080625-11350</t>
  </si>
  <si>
    <t>02-080625-11351</t>
  </si>
  <si>
    <t>02-080625-11353</t>
  </si>
  <si>
    <t>02-080625-11354</t>
  </si>
  <si>
    <t>02-080625-11355</t>
  </si>
  <si>
    <t>02-080725-11367</t>
  </si>
  <si>
    <t>02-080725-11368</t>
  </si>
  <si>
    <t>02-080725-11369</t>
  </si>
  <si>
    <t>02-080725-11371</t>
  </si>
  <si>
    <t>02-080725-11373</t>
  </si>
  <si>
    <t>02-080725-11374</t>
  </si>
  <si>
    <t>02-080725-11375</t>
  </si>
  <si>
    <t>02-080825-11387</t>
  </si>
  <si>
    <t>02-080825-11390</t>
  </si>
  <si>
    <t>02-080825-11391</t>
  </si>
  <si>
    <t>02-080825-11392</t>
  </si>
  <si>
    <t>02-080825-11393</t>
  </si>
  <si>
    <t>02-080925-11408</t>
  </si>
  <si>
    <t>02-080925-11410</t>
  </si>
  <si>
    <t>02-080925-11411</t>
  </si>
  <si>
    <t>02-080925-11412</t>
  </si>
  <si>
    <t>02-080925-11415</t>
  </si>
  <si>
    <t>02-080925-11416</t>
  </si>
  <si>
    <t>02-080925-11418</t>
  </si>
  <si>
    <t>02-080925-11419</t>
  </si>
  <si>
    <t>02-080925-11420</t>
  </si>
  <si>
    <t>02-080925-11421</t>
  </si>
  <si>
    <t>02-080925-11423</t>
  </si>
  <si>
    <t>02-080925-11425</t>
  </si>
  <si>
    <t>02-080925-11426</t>
  </si>
  <si>
    <t>02-080925-11428</t>
  </si>
  <si>
    <t>02-081125-11443</t>
  </si>
  <si>
    <t>02-081125-11444</t>
  </si>
  <si>
    <t>02-081125-11445</t>
  </si>
  <si>
    <t>02-081125-11447</t>
  </si>
  <si>
    <t>02-081125-11448</t>
  </si>
  <si>
    <t>02-081125-11449</t>
  </si>
  <si>
    <t>02-081125-11451</t>
  </si>
  <si>
    <t>02-081125-11453</t>
  </si>
  <si>
    <t>02-081125-11454</t>
  </si>
  <si>
    <t>02-081225-11464</t>
  </si>
  <si>
    <t>02-081225-11465</t>
  </si>
  <si>
    <t>02-081225-11470</t>
  </si>
  <si>
    <t>02-081225-11471</t>
  </si>
  <si>
    <t>02-081325-11483</t>
  </si>
  <si>
    <t>02-081325-11485</t>
  </si>
  <si>
    <t>02-081325-11486</t>
  </si>
  <si>
    <t>02-081325-11487</t>
  </si>
  <si>
    <t>02-081325-11488</t>
  </si>
  <si>
    <t>02-081325-11490</t>
  </si>
  <si>
    <t>02-081325-11493</t>
  </si>
  <si>
    <t>02-081425-11503</t>
  </si>
  <si>
    <t>02-081425-11505</t>
  </si>
  <si>
    <t>02-081425-11507</t>
  </si>
  <si>
    <t>02-081425-11511</t>
  </si>
  <si>
    <t>02-081425-11513</t>
  </si>
  <si>
    <t>02-081525-11526</t>
  </si>
  <si>
    <t>02-081525-11527</t>
  </si>
  <si>
    <t>02-081525-11530</t>
  </si>
  <si>
    <t>02-081525-11533</t>
  </si>
  <si>
    <t>02-081625-11548</t>
  </si>
  <si>
    <t>02-081625-11550</t>
  </si>
  <si>
    <t>02-081625-11551</t>
  </si>
  <si>
    <t>02-081625-11553</t>
  </si>
  <si>
    <t>02-081825-11566</t>
  </si>
  <si>
    <t>02-081825-11568</t>
  </si>
  <si>
    <t>02-081825-11570</t>
  </si>
  <si>
    <t>02-081925-11583</t>
  </si>
  <si>
    <t>02-081925-11585</t>
  </si>
  <si>
    <t>02-081925-11586</t>
  </si>
  <si>
    <t>02-082025-11601</t>
  </si>
  <si>
    <t>02-082025-11604</t>
  </si>
  <si>
    <t>02-082025-11605</t>
  </si>
  <si>
    <t>02-082125-11619</t>
  </si>
  <si>
    <t>02-082125-11620</t>
  </si>
  <si>
    <t>02-082125-11622</t>
  </si>
  <si>
    <t>02-082125-11627</t>
  </si>
  <si>
    <t>02-082225-11638</t>
  </si>
  <si>
    <t>02-082225-11639</t>
  </si>
  <si>
    <t>02-082225-11642</t>
  </si>
  <si>
    <t>02-082225-11644</t>
  </si>
  <si>
    <t>02-082225-11647</t>
  </si>
  <si>
    <t>02-082225-11649</t>
  </si>
  <si>
    <t>02-082225-11652</t>
  </si>
  <si>
    <t>02-082225-11654</t>
  </si>
  <si>
    <t>02-082325-11663</t>
  </si>
  <si>
    <t>02-082325-11665</t>
  </si>
  <si>
    <t>02-082325-11666</t>
  </si>
  <si>
    <t>02-082325-11668</t>
  </si>
  <si>
    <t>02-082325-11669</t>
  </si>
  <si>
    <t>02-082325-11671</t>
  </si>
  <si>
    <t>02-082325-11672</t>
  </si>
  <si>
    <t>02-082325-11673</t>
  </si>
  <si>
    <t>02-082325-11674</t>
  </si>
  <si>
    <t>02-082525-11694</t>
  </si>
  <si>
    <t>02-082525-11695</t>
  </si>
  <si>
    <t>02-082525-11696</t>
  </si>
  <si>
    <t>02-082525-11697</t>
  </si>
  <si>
    <t>02-082525-11698</t>
  </si>
  <si>
    <t>August 01, 2025 09:21 AM</t>
  </si>
  <si>
    <t>August 01, 2025 10:19 AM</t>
  </si>
  <si>
    <t>August 01, 2025 10:53 AM</t>
  </si>
  <si>
    <t>August 01, 2025 10:25 AM</t>
  </si>
  <si>
    <t>August 01, 2025 11:17 AM</t>
  </si>
  <si>
    <t>August 01, 2025 11:46 AM</t>
  </si>
  <si>
    <t>August 01, 2025 11:32 AM</t>
  </si>
  <si>
    <t>August 01, 2025 01:06 PM</t>
  </si>
  <si>
    <t>August 01, 2025 01:49 PM</t>
  </si>
  <si>
    <t>August 01, 2025 01:52 PM</t>
  </si>
  <si>
    <t>August 01, 2025 03:18 PM</t>
  </si>
  <si>
    <t>August 02, 2025 09:43 AM</t>
  </si>
  <si>
    <t>August 02, 2025 10:03 AM</t>
  </si>
  <si>
    <t>August 02, 2025 11:19 AM</t>
  </si>
  <si>
    <t>August 02, 2025 11:40 AM</t>
  </si>
  <si>
    <t>August 04, 2025 10:02 AM</t>
  </si>
  <si>
    <t>August 04, 2025 10:32 AM</t>
  </si>
  <si>
    <t>August 04, 2025 10:27 AM</t>
  </si>
  <si>
    <t>August 04, 2025 10:28 AM</t>
  </si>
  <si>
    <t>August 04, 2025 10:57 AM</t>
  </si>
  <si>
    <t>August 04, 2025 11:24 AM</t>
  </si>
  <si>
    <t>August 04, 2025 12:50 PM</t>
  </si>
  <si>
    <t>August 04, 2025 01:08 PM</t>
  </si>
  <si>
    <t>August 04, 2025 01:37 PM</t>
  </si>
  <si>
    <t>August 05, 2025 10:37 AM</t>
  </si>
  <si>
    <t>August 05, 2025 10:52 AM</t>
  </si>
  <si>
    <t>August 05, 2025 10:53 AM</t>
  </si>
  <si>
    <t>August 05, 2025 11:47 AM</t>
  </si>
  <si>
    <t>August 05, 2025 12:03 PM</t>
  </si>
  <si>
    <t>August 05, 2025 01:46 PM</t>
  </si>
  <si>
    <t>August 05, 2025 01:47 PM</t>
  </si>
  <si>
    <t>August 05, 2025 02:40 PM</t>
  </si>
  <si>
    <t>August 06, 2025 10:05 AM</t>
  </si>
  <si>
    <t>August 06, 2025 10:16 AM</t>
  </si>
  <si>
    <t>August 06, 2025 02:54 PM</t>
  </si>
  <si>
    <t>August 06, 2025 10:42 AM</t>
  </si>
  <si>
    <t>August 06, 2025 11:04 AM</t>
  </si>
  <si>
    <t>August 06, 2025 12:07 PM</t>
  </si>
  <si>
    <t>August 06, 2025 12:39 PM</t>
  </si>
  <si>
    <t>August 06, 2025 02:00 PM</t>
  </si>
  <si>
    <t>August 06, 2025 02:34 PM</t>
  </si>
  <si>
    <t>August 06, 2025 02:53 PM</t>
  </si>
  <si>
    <t>August 06, 2025 03:13 PM</t>
  </si>
  <si>
    <t>August 06, 2025 03:14 PM</t>
  </si>
  <si>
    <t>August 07, 2025 09:14 AM</t>
  </si>
  <si>
    <t>August 07, 2025 09:46 AM</t>
  </si>
  <si>
    <t>August 07, 2025 09:39 AM</t>
  </si>
  <si>
    <t>August 07, 2025 10:06 AM</t>
  </si>
  <si>
    <t>August 07, 2025 10:07 AM</t>
  </si>
  <si>
    <t>August 07, 2025 10:55 AM</t>
  </si>
  <si>
    <t>August 07, 2025 11:20 AM</t>
  </si>
  <si>
    <t>August 07, 2025 01:07 PM</t>
  </si>
  <si>
    <t>August 07, 2025 01:34 PM</t>
  </si>
  <si>
    <t>August 07, 2025 01:20 PM</t>
  </si>
  <si>
    <t>August 07, 2025 02:02 PM</t>
  </si>
  <si>
    <t>August 08, 2025 07:21 AM</t>
  </si>
  <si>
    <t>August 08, 2025 07:52 AM</t>
  </si>
  <si>
    <t>August 08, 2025 09:12 AM</t>
  </si>
  <si>
    <t>August 08, 2025 09:28 AM</t>
  </si>
  <si>
    <t>August 08, 2025 09:50 AM</t>
  </si>
  <si>
    <t>August 08, 2025 10:27 AM</t>
  </si>
  <si>
    <t>August 08, 2025 10:16 AM</t>
  </si>
  <si>
    <t>August 08, 2025 10:21 AM</t>
  </si>
  <si>
    <t>August 08, 2025 10:22 AM</t>
  </si>
  <si>
    <t>August 09, 2025 07:27 AM</t>
  </si>
  <si>
    <t>August 09, 2025 07:52 AM</t>
  </si>
  <si>
    <t>August 09, 2025 08:26 AM</t>
  </si>
  <si>
    <t>August 09, 2025 08:39 AM</t>
  </si>
  <si>
    <t>August 09, 2025 09:20 AM</t>
  </si>
  <si>
    <t>August 09, 2025 09:58 AM</t>
  </si>
  <si>
    <t>August 09, 2025 10:58 AM</t>
  </si>
  <si>
    <t>August 09, 2025 11:08 AM</t>
  </si>
  <si>
    <t>August 09, 2025 11:50 AM</t>
  </si>
  <si>
    <t>August 09, 2025 04:51 PM</t>
  </si>
  <si>
    <t>August 09, 2025 11:58 AM</t>
  </si>
  <si>
    <t>August 09, 2025 12:14 PM</t>
  </si>
  <si>
    <t>August 09, 2025 12:06 PM</t>
  </si>
  <si>
    <t>August 09, 2025 03:10 PM</t>
  </si>
  <si>
    <t>August 09, 2025 12:50 PM</t>
  </si>
  <si>
    <t>August 09, 2025 02:55 PM</t>
  </si>
  <si>
    <t>August 09, 2025 04:50 PM</t>
  </si>
  <si>
    <t>August 11, 2025 10:11 AM</t>
  </si>
  <si>
    <t>August 11, 2025 10:44 AM</t>
  </si>
  <si>
    <t>August 11, 2025 10:52 AM</t>
  </si>
  <si>
    <t>August 11, 2025 10:53 AM</t>
  </si>
  <si>
    <t>August 11, 2025 11:10 AM</t>
  </si>
  <si>
    <t>August 11, 2025 11:35 AM</t>
  </si>
  <si>
    <t>August 11, 2025 11:12 AM</t>
  </si>
  <si>
    <t>August 11, 2025 01:11 PM</t>
  </si>
  <si>
    <t>August 11, 2025 01:33 PM</t>
  </si>
  <si>
    <t>August 11, 2025 01:56 PM</t>
  </si>
  <si>
    <t>August 11, 2025 03:13 PM</t>
  </si>
  <si>
    <t>August 11, 2025 03:31 PM</t>
  </si>
  <si>
    <t>August 12, 2025 10:22 AM</t>
  </si>
  <si>
    <t>August 12, 2025 12:23 PM</t>
  </si>
  <si>
    <t>August 12, 2025 03:32 PM</t>
  </si>
  <si>
    <t>August 12, 2025 04:32 PM</t>
  </si>
  <si>
    <t>August 13, 2025 10:10 AM</t>
  </si>
  <si>
    <t>August 13, 2025 12:06 PM</t>
  </si>
  <si>
    <t>August 13, 2025 12:21 PM</t>
  </si>
  <si>
    <t>August 13, 2025 12:27 PM</t>
  </si>
  <si>
    <t>August 13, 2025 12:59 PM</t>
  </si>
  <si>
    <t>August 13, 2025 02:29 PM</t>
  </si>
  <si>
    <t>August 13, 2025 05:06 PM</t>
  </si>
  <si>
    <t>August 14, 2025 10:10 AM</t>
  </si>
  <si>
    <t>August 14, 2025 11:02 AM</t>
  </si>
  <si>
    <t>August 14, 2025 11:37 AM</t>
  </si>
  <si>
    <t>August 14, 2025 02:41 PM</t>
  </si>
  <si>
    <t>August 14, 2025 03:46 PM</t>
  </si>
  <si>
    <t>August 14, 2025 03:47 PM</t>
  </si>
  <si>
    <t>August 15, 2025 10:00 AM</t>
  </si>
  <si>
    <t>August 15, 2025 10:38 AM</t>
  </si>
  <si>
    <t>August 15, 2025 10:45 AM</t>
  </si>
  <si>
    <t>August 15, 2025 01:52 PM</t>
  </si>
  <si>
    <t>August 15, 2025 03:06 PM</t>
  </si>
  <si>
    <t>August 16, 2025 10:36 AM</t>
  </si>
  <si>
    <t>August 16, 2025 12:56 PM</t>
  </si>
  <si>
    <t>August 16, 2025 02:00 PM</t>
  </si>
  <si>
    <t>August 16, 2025 02:01 PM</t>
  </si>
  <si>
    <t>August 16, 2025 03:20 PM</t>
  </si>
  <si>
    <t>August 18, 2025 09:51 AM</t>
  </si>
  <si>
    <t>August 18, 2025 10:44 AM</t>
  </si>
  <si>
    <t>August 18, 2025 12:41 PM</t>
  </si>
  <si>
    <t>August 19, 2025 11:13 AM</t>
  </si>
  <si>
    <t>August 19, 2025 01:36 PM</t>
  </si>
  <si>
    <t>August 19, 2025 01:40 PM</t>
  </si>
  <si>
    <t>August 20, 2025 11:40 AM</t>
  </si>
  <si>
    <t>August 20, 2025 02:34 PM</t>
  </si>
  <si>
    <t>August 20, 2025 03:06 PM</t>
  </si>
  <si>
    <t>August 21, 2025 12:09 PM</t>
  </si>
  <si>
    <t>August 21, 2025 12:21 PM</t>
  </si>
  <si>
    <t>August 21, 2025 01:53 PM</t>
  </si>
  <si>
    <t>August 21, 2025 06:55 PM</t>
  </si>
  <si>
    <t>August 21, 2025 06:56 PM</t>
  </si>
  <si>
    <t>August 22, 2025 09:25 AM</t>
  </si>
  <si>
    <t>August 22, 2025 09:49 AM</t>
  </si>
  <si>
    <t>August 22, 2025 10:45 AM</t>
  </si>
  <si>
    <t>August 22, 2025 12:31 PM</t>
  </si>
  <si>
    <t>August 22, 2025 01:45 PM</t>
  </si>
  <si>
    <t>August 22, 2025 03:14 PM</t>
  </si>
  <si>
    <t>August 22, 2025 03:15 PM</t>
  </si>
  <si>
    <t>August 22, 2025 06:16 PM</t>
  </si>
  <si>
    <t>August 22, 2025 08:26 PM</t>
  </si>
  <si>
    <t>August 23, 2025 10:01 AM</t>
  </si>
  <si>
    <t>August 23, 2025 10:21 AM</t>
  </si>
  <si>
    <t>August 23, 2025 10:25 AM</t>
  </si>
  <si>
    <t>August 23, 2025 12:46 PM</t>
  </si>
  <si>
    <t>August 23, 2025 01:31 PM</t>
  </si>
  <si>
    <t>August 23, 2025 02:20 PM</t>
  </si>
  <si>
    <t>August 23, 2025 02:52 PM</t>
  </si>
  <si>
    <t>August 23, 2025 03:11 PM</t>
  </si>
  <si>
    <t>August 23, 2025 03:15 PM</t>
  </si>
  <si>
    <t>August 25, 2025 10:49 AM</t>
  </si>
  <si>
    <t>August 25, 2025 11:16 AM</t>
  </si>
  <si>
    <t>August 25, 2025 01:56 PM</t>
  </si>
  <si>
    <t>August 25, 2025 02:06 PM</t>
  </si>
  <si>
    <t>August 25, 2025 02:07 PM</t>
  </si>
  <si>
    <t>August 25, 2025 02:12 PM</t>
  </si>
  <si>
    <t>112A4</t>
  </si>
  <si>
    <t>107A5</t>
  </si>
  <si>
    <t>110C4</t>
  </si>
  <si>
    <t>411C4</t>
  </si>
  <si>
    <t>110C</t>
  </si>
  <si>
    <t>3085B5</t>
  </si>
  <si>
    <t>308B2</t>
  </si>
  <si>
    <t>410A</t>
  </si>
  <si>
    <t>410A43</t>
  </si>
  <si>
    <t>Station 1</t>
  </si>
  <si>
    <t>308B2/3</t>
  </si>
  <si>
    <t>410A2</t>
  </si>
  <si>
    <t>118B3</t>
  </si>
  <si>
    <t>308B3</t>
  </si>
  <si>
    <t>116A2</t>
  </si>
  <si>
    <t>02-082625-11699</t>
  </si>
  <si>
    <t>02-082625-11701</t>
  </si>
  <si>
    <t>02-082625-11703</t>
  </si>
  <si>
    <t>02-082725-11719</t>
  </si>
  <si>
    <t>02-082725-11720</t>
  </si>
  <si>
    <t>02-082725-11722</t>
  </si>
  <si>
    <t>02-082725-11723</t>
  </si>
  <si>
    <t>02-082725-11725</t>
  </si>
  <si>
    <t>02-082725-11727</t>
  </si>
  <si>
    <t>02-082725-11729</t>
  </si>
  <si>
    <t>02-082825-11743</t>
  </si>
  <si>
    <t>02-082825-11745</t>
  </si>
  <si>
    <t>02-082825-11746</t>
  </si>
  <si>
    <t>02-082825-11747</t>
  </si>
  <si>
    <t>02-082825-11751</t>
  </si>
  <si>
    <t>02-082925-11763</t>
  </si>
  <si>
    <t>02-082925-11765</t>
  </si>
  <si>
    <t>02-082925-11766</t>
  </si>
  <si>
    <t>02-082925-11767</t>
  </si>
  <si>
    <t>02-082925-11769</t>
  </si>
  <si>
    <t>02-082925-11770</t>
  </si>
  <si>
    <t>02-082925-11772</t>
  </si>
  <si>
    <t>02-083025-11787</t>
  </si>
  <si>
    <t>02-083025-11789</t>
  </si>
  <si>
    <t>02-083025-11791</t>
  </si>
  <si>
    <t>02-083025-11792</t>
  </si>
  <si>
    <t>02-083025-11793</t>
  </si>
  <si>
    <t>02-083025-11795</t>
  </si>
  <si>
    <t>02-083025-11796</t>
  </si>
  <si>
    <t>02-083025-11797</t>
  </si>
  <si>
    <t>02-083025-11799</t>
  </si>
  <si>
    <t>August 26, 2025 10:00 AM</t>
  </si>
  <si>
    <t>August 26, 2025 11:23 AM</t>
  </si>
  <si>
    <t>August 26, 2025 01:16 PM</t>
  </si>
  <si>
    <t>August 27, 2025 09:17 AM</t>
  </si>
  <si>
    <t>August 27, 2025 09:37 AM</t>
  </si>
  <si>
    <t>August 27, 2025 11:27 AM</t>
  </si>
  <si>
    <t>August 27, 2025 11:31 AM</t>
  </si>
  <si>
    <t>August 27, 2025 12:57 PM</t>
  </si>
  <si>
    <t>August 27, 2025 02:46 PM</t>
  </si>
  <si>
    <t>August 27, 2025 04:04 PM</t>
  </si>
  <si>
    <t>August 28, 2025 09:03 AM</t>
  </si>
  <si>
    <t>August 28, 2025 10:33 AM</t>
  </si>
  <si>
    <t>August 28, 2025 10:38 AM</t>
  </si>
  <si>
    <t>August 28, 2025 11:13 AM</t>
  </si>
  <si>
    <t>August 28, 2025 03:04 PM</t>
  </si>
  <si>
    <t>August 28, 2025 03:58 PM</t>
  </si>
  <si>
    <t>August 29, 2025 09:13 AM</t>
  </si>
  <si>
    <t>August 29, 2025 09:14 AM</t>
  </si>
  <si>
    <t>August 29, 2025 10:47 AM</t>
  </si>
  <si>
    <t>August 29, 2025 10:57 AM</t>
  </si>
  <si>
    <t>August 29, 2025 11:30 AM</t>
  </si>
  <si>
    <t>August 29, 2025 01:31 PM</t>
  </si>
  <si>
    <t>August 29, 2025 01:43 PM</t>
  </si>
  <si>
    <t>August 29, 2025 02:51 PM</t>
  </si>
  <si>
    <t>August 30, 2025 08:25 AM</t>
  </si>
  <si>
    <t>August 30, 2025 10:14 AM</t>
  </si>
  <si>
    <t>August 30, 2025 10:15 AM</t>
  </si>
  <si>
    <t>August 30, 2025 10:16 AM</t>
  </si>
  <si>
    <t>August 30, 2025 10:17 AM</t>
  </si>
  <si>
    <t>August 30, 2025 10:47 AM</t>
  </si>
  <si>
    <t>August 30, 2025 10:48 AM</t>
  </si>
  <si>
    <t>August 30, 2025 12:26 PM</t>
  </si>
  <si>
    <t>August 30, 2025 12:27 PM</t>
  </si>
  <si>
    <t>August 30, 2025 01:19 PM</t>
  </si>
  <si>
    <t>August 30, 2025 01:20 PM</t>
  </si>
  <si>
    <t>August 30, 2025 01:28 PM</t>
  </si>
  <si>
    <t>August 30, 2025 01:29 PM</t>
  </si>
  <si>
    <t>August 30, 2025 01:54 PM</t>
  </si>
  <si>
    <t>August 30, 2025 02:25 PM</t>
  </si>
  <si>
    <t>August 30, 2025 02:26 PM</t>
  </si>
  <si>
    <t>Fw</t>
  </si>
  <si>
    <t>410a</t>
  </si>
  <si>
    <t>110a</t>
  </si>
  <si>
    <t>308b3</t>
  </si>
  <si>
    <t>103B21</t>
  </si>
  <si>
    <t>103b21</t>
  </si>
  <si>
    <t>105a1</t>
  </si>
  <si>
    <t>105a13</t>
  </si>
  <si>
    <t>305c6</t>
  </si>
  <si>
    <t>118b3</t>
  </si>
  <si>
    <t>503b32</t>
  </si>
  <si>
    <t>410a3</t>
  </si>
  <si>
    <t>307c41</t>
  </si>
  <si>
    <t>411f31</t>
  </si>
  <si>
    <t>115a6</t>
  </si>
  <si>
    <t>202b21</t>
  </si>
  <si>
    <t>202a21</t>
  </si>
  <si>
    <t>302c41</t>
  </si>
  <si>
    <t>SEP 1 - 30, 2025</t>
  </si>
  <si>
    <t>02-090125-11817</t>
  </si>
  <si>
    <t>02-090125-11819</t>
  </si>
  <si>
    <t>02-090125-11820</t>
  </si>
  <si>
    <t>02-090125-11821</t>
  </si>
  <si>
    <t>02-090125-11823</t>
  </si>
  <si>
    <t>02-090125-11824</t>
  </si>
  <si>
    <t>02-090125-11825</t>
  </si>
  <si>
    <t>02-090125-11826</t>
  </si>
  <si>
    <t>02-090125-11827</t>
  </si>
  <si>
    <t>02-090125-11828</t>
  </si>
  <si>
    <t>02-090125-11829</t>
  </si>
  <si>
    <t>02-090225-11830</t>
  </si>
  <si>
    <t>02-090225-11832</t>
  </si>
  <si>
    <t>02-090225-11834</t>
  </si>
  <si>
    <t>02-090225-11835</t>
  </si>
  <si>
    <t>02-090225-11837</t>
  </si>
  <si>
    <t>02-090225-11838</t>
  </si>
  <si>
    <t>02-090225-11839</t>
  </si>
  <si>
    <t>02-090225-11841</t>
  </si>
  <si>
    <t>02-090325-11854</t>
  </si>
  <si>
    <t>02-090325-11855</t>
  </si>
  <si>
    <t>02-090325-11857</t>
  </si>
  <si>
    <t>02-090325-11858</t>
  </si>
  <si>
    <t>02-090325-11859</t>
  </si>
  <si>
    <t>02-090325-11861</t>
  </si>
  <si>
    <t>02-090325-11862</t>
  </si>
  <si>
    <t>02-090325-11865</t>
  </si>
  <si>
    <t>02-090325-11867</t>
  </si>
  <si>
    <t>02-090325-11868</t>
  </si>
  <si>
    <t>02-090425-11881</t>
  </si>
  <si>
    <t>02-090425-11883</t>
  </si>
  <si>
    <t>02-090425-11885</t>
  </si>
  <si>
    <t>02-090425-11886</t>
  </si>
  <si>
    <t>02-090425-11888</t>
  </si>
  <si>
    <t>02-090425-11889</t>
  </si>
  <si>
    <t>02-090525-11903</t>
  </si>
  <si>
    <t>02-090525-11904</t>
  </si>
  <si>
    <t>02-090525-11906</t>
  </si>
  <si>
    <t>02-090525-11907</t>
  </si>
  <si>
    <t>02-090525-11908</t>
  </si>
  <si>
    <t>02-090525-11911</t>
  </si>
  <si>
    <t>02-090525-11912</t>
  </si>
  <si>
    <t>02-090525-11914</t>
  </si>
  <si>
    <t>02-090525-11915</t>
  </si>
  <si>
    <t>02-090525-11916</t>
  </si>
  <si>
    <t>02-090625-11931</t>
  </si>
  <si>
    <t>02-090625-11933</t>
  </si>
  <si>
    <t>02-090625-11935</t>
  </si>
  <si>
    <t>02-090625-11936</t>
  </si>
  <si>
    <t>02-090625-11937</t>
  </si>
  <si>
    <t>02-090625-11938</t>
  </si>
  <si>
    <t>02-090625-11939</t>
  </si>
  <si>
    <t>02-090625-11940</t>
  </si>
  <si>
    <t>02-090625-11943</t>
  </si>
  <si>
    <t>02-090625-11944</t>
  </si>
  <si>
    <t>02-090625-11947</t>
  </si>
  <si>
    <t>02-090625-11950</t>
  </si>
  <si>
    <t>02-090825-11960</t>
  </si>
  <si>
    <t>02-090825-11962</t>
  </si>
  <si>
    <t>02-090825-11964</t>
  </si>
  <si>
    <t>02-090825-11965</t>
  </si>
  <si>
    <t>02-090825-11966</t>
  </si>
  <si>
    <t>02-090825-11967</t>
  </si>
  <si>
    <t>02-090825-11968</t>
  </si>
  <si>
    <t>02-090825-11970</t>
  </si>
  <si>
    <t>September 01, 2025 08:04 AM</t>
  </si>
  <si>
    <t>September 01, 2025 09:47 AM</t>
  </si>
  <si>
    <t>September 01, 2025 09:53 AM</t>
  </si>
  <si>
    <t>September 01, 2025 10:26 AM</t>
  </si>
  <si>
    <t>September 01, 2025 11:16 AM</t>
  </si>
  <si>
    <t>September 01, 2025 11:45 AM</t>
  </si>
  <si>
    <t>September 01, 2025 11:58 AM</t>
  </si>
  <si>
    <t>September 01, 2025 01:12 PM</t>
  </si>
  <si>
    <t>September 01, 2025 01:49 PM</t>
  </si>
  <si>
    <t>September 01, 2025 01:24 PM</t>
  </si>
  <si>
    <t>September 01, 2025 01:53 PM</t>
  </si>
  <si>
    <t>September 01, 2025 02:40 PM</t>
  </si>
  <si>
    <t>September 01, 2025 02:41 PM</t>
  </si>
  <si>
    <t>September 02, 2025 07:53 AM</t>
  </si>
  <si>
    <t>September 02, 2025 10:14 AM</t>
  </si>
  <si>
    <t>September 02, 2025 10:52 AM</t>
  </si>
  <si>
    <t>September 02, 2025 10:53 AM</t>
  </si>
  <si>
    <t>September 02, 2025 11:13 AM</t>
  </si>
  <si>
    <t>September 02, 2025 01:17 PM</t>
  </si>
  <si>
    <t>September 02, 2025 01:37 PM</t>
  </si>
  <si>
    <t>September 02, 2025 02:33 PM</t>
  </si>
  <si>
    <t>September 02, 2025 03:22 PM</t>
  </si>
  <si>
    <t>September 03, 2025 09:08 AM</t>
  </si>
  <si>
    <t>September 03, 2025 09:26 AM</t>
  </si>
  <si>
    <t>September 03, 2025 10:21 AM</t>
  </si>
  <si>
    <t>September 03, 2025 10:40 AM</t>
  </si>
  <si>
    <t>September 03, 2025 11:08 AM</t>
  </si>
  <si>
    <t>September 03, 2025 11:47 AM</t>
  </si>
  <si>
    <t>September 03, 2025 11:55 AM</t>
  </si>
  <si>
    <t>September 03, 2025 02:34 PM</t>
  </si>
  <si>
    <t>September 03, 2025 02:59 PM</t>
  </si>
  <si>
    <t>September 03, 2025 03:00 PM</t>
  </si>
  <si>
    <t>September 03, 2025 03:46 PM</t>
  </si>
  <si>
    <t>September 03, 2025 03:59 PM</t>
  </si>
  <si>
    <t>September 04, 2025 08:25 AM</t>
  </si>
  <si>
    <t>September 04, 2025 09:21 AM</t>
  </si>
  <si>
    <t>September 04, 2025 09:58 AM</t>
  </si>
  <si>
    <t>September 04, 2025 11:22 AM</t>
  </si>
  <si>
    <t>September 04, 2025 11:23 AM</t>
  </si>
  <si>
    <t>September 04, 2025 11:24 AM</t>
  </si>
  <si>
    <t>September 04, 2025 01:14 PM</t>
  </si>
  <si>
    <t>September 04, 2025 01:53 PM</t>
  </si>
  <si>
    <t>September 05, 2025 09:02 AM</t>
  </si>
  <si>
    <t>September 05, 2025 09:37 AM</t>
  </si>
  <si>
    <t>September 05, 2025 10:22 AM</t>
  </si>
  <si>
    <t>September 05, 2025 09:51 AM</t>
  </si>
  <si>
    <t>September 05, 2025 09:52 AM</t>
  </si>
  <si>
    <t>September 05, 2025 09:57 AM</t>
  </si>
  <si>
    <t>September 05, 2025 09:58 AM</t>
  </si>
  <si>
    <t>September 05, 2025 10:02 AM</t>
  </si>
  <si>
    <t>September 05, 2025 01:45 PM</t>
  </si>
  <si>
    <t>September 05, 2025 01:46 PM</t>
  </si>
  <si>
    <t>September 05, 2025 02:01 PM</t>
  </si>
  <si>
    <t>September 05, 2025 02:09 PM</t>
  </si>
  <si>
    <t>September 05, 2025 03:02 PM</t>
  </si>
  <si>
    <t>September 05, 2025 03:40 PM</t>
  </si>
  <si>
    <t>September 06, 2025 08:08 AM</t>
  </si>
  <si>
    <t>September 06, 2025 09:30 AM</t>
  </si>
  <si>
    <t>September 06, 2025 11:01 AM</t>
  </si>
  <si>
    <t>September 06, 2025 10:08 AM</t>
  </si>
  <si>
    <t>September 06, 2025 10:14 AM</t>
  </si>
  <si>
    <t>September 06, 2025 10:31 AM</t>
  </si>
  <si>
    <t>September 06, 2025 11:00 AM</t>
  </si>
  <si>
    <t>September 06, 2025 10:32 AM</t>
  </si>
  <si>
    <t>September 06, 2025 10:57 AM</t>
  </si>
  <si>
    <t>September 06, 2025 08:08 PM</t>
  </si>
  <si>
    <t>September 06, 2025 11:32 AM</t>
  </si>
  <si>
    <t>September 06, 2025 01:35 PM</t>
  </si>
  <si>
    <t>September 06, 2025 02:49 PM</t>
  </si>
  <si>
    <t>September 06, 2025 02:50 PM</t>
  </si>
  <si>
    <t>September 06, 2025 04:58 PM</t>
  </si>
  <si>
    <t>September 06, 2025 05:06 PM</t>
  </si>
  <si>
    <t>September 06, 2025 08:06 PM</t>
  </si>
  <si>
    <t>September 08, 2025 08:19 AM</t>
  </si>
  <si>
    <t>September 08, 2025 09:16 AM</t>
  </si>
  <si>
    <t>September 08, 2025 10:19 AM</t>
  </si>
  <si>
    <t>September 08, 2025 10:42 AM</t>
  </si>
  <si>
    <t>September 08, 2025 12:06 PM</t>
  </si>
  <si>
    <t>September 08, 2025 12:28 PM</t>
  </si>
  <si>
    <t>September 08, 2025 12:49 PM</t>
  </si>
  <si>
    <t>September 08, 2025 01:53 PM</t>
  </si>
  <si>
    <t>111a</t>
  </si>
  <si>
    <t>116a</t>
  </si>
  <si>
    <t>301f</t>
  </si>
  <si>
    <t>307c43</t>
  </si>
  <si>
    <t>116a5</t>
  </si>
  <si>
    <t>101d6</t>
  </si>
  <si>
    <t>6md18</t>
  </si>
  <si>
    <t>503 31</t>
  </si>
  <si>
    <t>307b</t>
  </si>
  <si>
    <t>310a8</t>
  </si>
  <si>
    <t>114a42</t>
  </si>
  <si>
    <t>203c2</t>
  </si>
  <si>
    <t>306c7</t>
  </si>
  <si>
    <t>411c22</t>
  </si>
  <si>
    <t>41122`</t>
  </si>
  <si>
    <t>411 31</t>
  </si>
  <si>
    <t>307b12</t>
  </si>
  <si>
    <t>115a5</t>
  </si>
  <si>
    <t>411A3</t>
  </si>
  <si>
    <t>113A3</t>
  </si>
  <si>
    <t>115A1</t>
  </si>
  <si>
    <t>307B22</t>
  </si>
  <si>
    <t>307B12</t>
  </si>
  <si>
    <t>108b15</t>
  </si>
  <si>
    <t>107a5</t>
  </si>
  <si>
    <t>503B1</t>
  </si>
  <si>
    <t>310B5</t>
  </si>
  <si>
    <t>1076A5</t>
  </si>
  <si>
    <t>503Bs2</t>
  </si>
  <si>
    <t>104B15</t>
  </si>
  <si>
    <t>108B15</t>
  </si>
  <si>
    <t>503C14</t>
  </si>
  <si>
    <t>103A1</t>
  </si>
  <si>
    <t>02-090925-11977</t>
  </si>
  <si>
    <t>02-090925-11979</t>
  </si>
  <si>
    <t>02-090925-11980</t>
  </si>
  <si>
    <t>02-090925-11982</t>
  </si>
  <si>
    <t>02-090925-11984</t>
  </si>
  <si>
    <t>02-091025-11999</t>
  </si>
  <si>
    <t>02-091025-12000</t>
  </si>
  <si>
    <t>02-091125-12010</t>
  </si>
  <si>
    <t>02-091125-12012</t>
  </si>
  <si>
    <t>02-091125-12013</t>
  </si>
  <si>
    <t>02-091225-12027</t>
  </si>
  <si>
    <t>02-091225-12031</t>
  </si>
  <si>
    <t>02-091225-12032</t>
  </si>
  <si>
    <t>02-091225-12033</t>
  </si>
  <si>
    <t>02-091225-12034</t>
  </si>
  <si>
    <t>02-091225-12035</t>
  </si>
  <si>
    <t>02-091225-12036</t>
  </si>
  <si>
    <t>02-091225-12037</t>
  </si>
  <si>
    <t>02-091225-12038</t>
  </si>
  <si>
    <t>02-091325-12048</t>
  </si>
  <si>
    <t>02-091325-12049</t>
  </si>
  <si>
    <t>02-091325-12050</t>
  </si>
  <si>
    <t>02-091325-12051</t>
  </si>
  <si>
    <t>02-091325-12052</t>
  </si>
  <si>
    <t>02-091325-12056</t>
  </si>
  <si>
    <t>02-091325-12057</t>
  </si>
  <si>
    <t>02-091325-12059</t>
  </si>
  <si>
    <t>02-091325-12060</t>
  </si>
  <si>
    <t>02-091525-12077</t>
  </si>
  <si>
    <t>02-091525-12078</t>
  </si>
  <si>
    <t>02-091525-12079</t>
  </si>
  <si>
    <t>02-091525-12080</t>
  </si>
  <si>
    <t>02-091525-12081</t>
  </si>
  <si>
    <t>September 09, 2025 08:21 AM</t>
  </si>
  <si>
    <t>September 09, 2025 10:01 AM</t>
  </si>
  <si>
    <t>September 09, 2025 10:02 AM</t>
  </si>
  <si>
    <t>September 09, 2025 10:09 AM</t>
  </si>
  <si>
    <t>September 09, 2025 12:03 PM</t>
  </si>
  <si>
    <t>September 09, 2025 12:04 PM</t>
  </si>
  <si>
    <t>September 09, 2025 02:33 PM</t>
  </si>
  <si>
    <t>September 10, 2025 01:49 PM</t>
  </si>
  <si>
    <t>September 10, 2025 01:50 PM</t>
  </si>
  <si>
    <t>September 10, 2025 02:05 PM</t>
  </si>
  <si>
    <t>September 11, 2025 10:03 AM</t>
  </si>
  <si>
    <t>September 11, 2025 10:47 AM</t>
  </si>
  <si>
    <t>September 11, 2025 11:13 AM</t>
  </si>
  <si>
    <t>September 12, 2025 06:27 AM</t>
  </si>
  <si>
    <t>September 12, 2025 06:34 AM</t>
  </si>
  <si>
    <t>September 12, 2025 09:50 AM</t>
  </si>
  <si>
    <t>September 12, 2025 10:05 AM</t>
  </si>
  <si>
    <t>September 12, 2025 11:12 AM</t>
  </si>
  <si>
    <t>September 12, 2025 11:50 AM</t>
  </si>
  <si>
    <t>September 12, 2025 12:53 PM</t>
  </si>
  <si>
    <t>September 12, 2025 02:11 PM</t>
  </si>
  <si>
    <t>September 12, 2025 01:54 PM</t>
  </si>
  <si>
    <t>September 12, 2025 01:59 PM</t>
  </si>
  <si>
    <t>September 12, 2025 02:04 PM</t>
  </si>
  <si>
    <t>September 12, 2025 02:17 PM</t>
  </si>
  <si>
    <t>September 13, 2025 08:50 AM</t>
  </si>
  <si>
    <t>September 13, 2025 08:58 AM</t>
  </si>
  <si>
    <t>September 13, 2025 09:03 AM</t>
  </si>
  <si>
    <t>September 13, 2025 10:21 AM</t>
  </si>
  <si>
    <t>September 13, 2025 09:23 AM</t>
  </si>
  <si>
    <t>September 13, 2025 09:35 AM</t>
  </si>
  <si>
    <t>September 13, 2025 09:49 AM</t>
  </si>
  <si>
    <t>September 13, 2025 11:30 AM</t>
  </si>
  <si>
    <t>September 13, 2025 11:47 AM</t>
  </si>
  <si>
    <t>September 13, 2025 01:44 PM</t>
  </si>
  <si>
    <t>September 13, 2025 02:02 PM</t>
  </si>
  <si>
    <t>September 15, 2025 08:35 AM</t>
  </si>
  <si>
    <t>September 15, 2025 09:53 AM</t>
  </si>
  <si>
    <t>September 15, 2025 10:37 AM</t>
  </si>
  <si>
    <t>September 15, 2025 10:38 AM</t>
  </si>
  <si>
    <t>September 15, 2025 12:52 PM</t>
  </si>
  <si>
    <t>September 15, 2025 02:57 PM</t>
  </si>
  <si>
    <t>September 15, 2025 02:58 PM</t>
  </si>
  <si>
    <t>September 15, 2025 03:03 PM</t>
  </si>
  <si>
    <t>105A2</t>
  </si>
  <si>
    <t>503C13,14</t>
  </si>
  <si>
    <t>107C1</t>
  </si>
  <si>
    <t>115B3</t>
  </si>
  <si>
    <t>307C4</t>
  </si>
  <si>
    <t>116A4</t>
  </si>
  <si>
    <t>307C11</t>
  </si>
  <si>
    <t>104C32</t>
  </si>
  <si>
    <t>02-091625-12082</t>
  </si>
  <si>
    <t>02-091625-12085</t>
  </si>
  <si>
    <t>02-091625-12087</t>
  </si>
  <si>
    <t>02-091625-12089</t>
  </si>
  <si>
    <t>02-091625-12091</t>
  </si>
  <si>
    <t>02-091725-12105</t>
  </si>
  <si>
    <t>02-091725-12106</t>
  </si>
  <si>
    <t>02-091725-12108</t>
  </si>
  <si>
    <t>02-091825-12115</t>
  </si>
  <si>
    <t>02-091825-12116</t>
  </si>
  <si>
    <t>02-091925-12123</t>
  </si>
  <si>
    <t>02-091925-12125</t>
  </si>
  <si>
    <t>02-092025-12139</t>
  </si>
  <si>
    <t>02-092025-12140</t>
  </si>
  <si>
    <t>02-092025-12143</t>
  </si>
  <si>
    <t>02-092225-12166</t>
  </si>
  <si>
    <t>02-092225-12167</t>
  </si>
  <si>
    <t>02-092225-12169</t>
  </si>
  <si>
    <t>02-092225-12172</t>
  </si>
  <si>
    <t>September 16, 2025 07:14 AM</t>
  </si>
  <si>
    <t>September 16, 2025 07:20 AM</t>
  </si>
  <si>
    <t>September 16, 2025 12:19 PM</t>
  </si>
  <si>
    <t>September 16, 2025 01:34 PM</t>
  </si>
  <si>
    <t>September 16, 2025 01:35 PM</t>
  </si>
  <si>
    <t>September 16, 2025 03:17 PM</t>
  </si>
  <si>
    <t>September 16, 2025 04:20 PM</t>
  </si>
  <si>
    <t>September 17, 2025 12:31 PM</t>
  </si>
  <si>
    <t>September 17, 2025 12:36 PM</t>
  </si>
  <si>
    <t>September 17, 2025 03:01 PM</t>
  </si>
  <si>
    <t>September 18, 2025 09:17 AM</t>
  </si>
  <si>
    <t>September 19, 2025 10:01 AM</t>
  </si>
  <si>
    <t>September 18, 2025 02:57 PM</t>
  </si>
  <si>
    <t>September 18, 2025 03:06 PM</t>
  </si>
  <si>
    <t>September 19, 2025 08:57 AM</t>
  </si>
  <si>
    <t>September 19, 2025 11:49 AM</t>
  </si>
  <si>
    <t>September 20, 2025 10:58 AM</t>
  </si>
  <si>
    <t>September 20, 2025 11:09 AM</t>
  </si>
  <si>
    <t>September 20, 2025 02:30 PM</t>
  </si>
  <si>
    <t>September 22, 2025 10:38 AM</t>
  </si>
  <si>
    <t>September 22, 2025 11:20 AM</t>
  </si>
  <si>
    <t>September 22, 2025 01:13 PM</t>
  </si>
  <si>
    <t>September 22, 2025 03:42 PM</t>
  </si>
  <si>
    <t>502D2</t>
  </si>
  <si>
    <t>302A4</t>
  </si>
  <si>
    <t>310B3</t>
  </si>
  <si>
    <t>104C11</t>
  </si>
  <si>
    <t>117B1</t>
  </si>
  <si>
    <t>310B56</t>
  </si>
  <si>
    <t>503C17</t>
  </si>
  <si>
    <t>02-092325-12184</t>
  </si>
  <si>
    <t>02-092425-12201</t>
  </si>
  <si>
    <t>02-092425-12203</t>
  </si>
  <si>
    <t>02-092525-12215</t>
  </si>
  <si>
    <t>02-092525-12217</t>
  </si>
  <si>
    <t>02-092525-12221</t>
  </si>
  <si>
    <t>02-092625-12237</t>
  </si>
  <si>
    <t>02-092625-12239</t>
  </si>
  <si>
    <t>02-092625-12241</t>
  </si>
  <si>
    <t>02-092725-12253</t>
  </si>
  <si>
    <t>02-092725-12255</t>
  </si>
  <si>
    <t>02-092725-12258</t>
  </si>
  <si>
    <t>02-092725-12261</t>
  </si>
  <si>
    <t>02-092825-12273</t>
  </si>
  <si>
    <t>September 23, 2025 12:09 PM</t>
  </si>
  <si>
    <t>September 24, 2025 10:52 AM</t>
  </si>
  <si>
    <t>September 24, 2025 01:48 PM</t>
  </si>
  <si>
    <t>September 25, 2025 10:12 AM</t>
  </si>
  <si>
    <t>September 25, 2025 10:13 AM</t>
  </si>
  <si>
    <t>September 25, 2025 12:17 PM</t>
  </si>
  <si>
    <t>September 25, 2025 12:18 PM</t>
  </si>
  <si>
    <t>September 25, 2025 04:54 PM</t>
  </si>
  <si>
    <t>September 26, 2025 01:34 PM</t>
  </si>
  <si>
    <t>September 26, 2025 02:17 PM</t>
  </si>
  <si>
    <t>September 26, 2025 04:01 PM</t>
  </si>
  <si>
    <t>September 27, 2025 09:42 AM</t>
  </si>
  <si>
    <t>September 27, 2025 10:55 AM</t>
  </si>
  <si>
    <t>September 27, 2025 02:31 PM</t>
  </si>
  <si>
    <t>September 27, 2025 04:10 PM</t>
  </si>
  <si>
    <t>September 28, 2025 01:20 PM</t>
  </si>
  <si>
    <t>302a3</t>
  </si>
  <si>
    <t>201D4</t>
  </si>
  <si>
    <t>201c11</t>
  </si>
  <si>
    <t>502d2</t>
  </si>
  <si>
    <t>307b22</t>
  </si>
  <si>
    <t>118b51</t>
  </si>
  <si>
    <t>310b5</t>
  </si>
  <si>
    <t>411a1</t>
  </si>
  <si>
    <t>503c17</t>
  </si>
  <si>
    <t>02-092925-12277</t>
  </si>
  <si>
    <t>02-092925-12278</t>
  </si>
  <si>
    <t>02-092925-12279</t>
  </si>
  <si>
    <t>02-092925-12280</t>
  </si>
  <si>
    <t>02-092925-12281</t>
  </si>
  <si>
    <t>02-092925-12282</t>
  </si>
  <si>
    <t>02-092925-12283</t>
  </si>
  <si>
    <t>02-093025-12285</t>
  </si>
  <si>
    <t>02-093025-12287</t>
  </si>
  <si>
    <t>02-093025-12288</t>
  </si>
  <si>
    <t>02-093025-12289</t>
  </si>
  <si>
    <t>02-093025-12291</t>
  </si>
  <si>
    <t>02-093025-12292</t>
  </si>
  <si>
    <t>02-093025-12294</t>
  </si>
  <si>
    <t>02-093025-12296</t>
  </si>
  <si>
    <t>September 29, 2025 09:30 AM</t>
  </si>
  <si>
    <t>September 29, 2025 10:13 AM</t>
  </si>
  <si>
    <t>September 29, 2025 12:00 PM</t>
  </si>
  <si>
    <t>September 29, 2025 12:04 PM</t>
  </si>
  <si>
    <t>September 29, 2025 12:05 PM</t>
  </si>
  <si>
    <t>September 29, 2025 01:55 PM</t>
  </si>
  <si>
    <t>September 29, 2025 02:45 PM</t>
  </si>
  <si>
    <t>September 29, 2025 03:16 PM</t>
  </si>
  <si>
    <t>September 29, 2025 03:17 PM</t>
  </si>
  <si>
    <t>September 30, 2025 09:43 AM</t>
  </si>
  <si>
    <t>September 30, 2025 09:51 AM</t>
  </si>
  <si>
    <t>September 30, 2025 10:30 AM</t>
  </si>
  <si>
    <t>September 30, 2025 11:06 AM</t>
  </si>
  <si>
    <t>September 30, 2025 11:29 AM</t>
  </si>
  <si>
    <t>September 30, 2025 01:02 PM</t>
  </si>
  <si>
    <t>September 30, 2025 01:22 PM</t>
  </si>
  <si>
    <t>September 30, 2025 01:23 PM</t>
  </si>
  <si>
    <t>September 30, 2025 01:47 PM</t>
  </si>
  <si>
    <t>September 30, 2025 03:17 PM</t>
  </si>
  <si>
    <t>OCT 1 - 31, 2025</t>
  </si>
  <si>
    <t>02-100125-12307</t>
  </si>
  <si>
    <t>02-100125-12310</t>
  </si>
  <si>
    <t>02-100125-12311</t>
  </si>
  <si>
    <t>02-100125-12313</t>
  </si>
  <si>
    <t>02-100125-12314</t>
  </si>
  <si>
    <t>02-100125-12315</t>
  </si>
  <si>
    <t>02-100125-12317</t>
  </si>
  <si>
    <t>02-100125-12319</t>
  </si>
  <si>
    <t>02-100125-12320</t>
  </si>
  <si>
    <t>02-100125-12322</t>
  </si>
  <si>
    <t>02-100125-12323</t>
  </si>
  <si>
    <t>02-100125-12325</t>
  </si>
  <si>
    <t>02-100225-12336</t>
  </si>
  <si>
    <t>02-100225-12338</t>
  </si>
  <si>
    <t>02-100225-12339</t>
  </si>
  <si>
    <t>02-100225-12341</t>
  </si>
  <si>
    <t>02-100225-12343</t>
  </si>
  <si>
    <t>02-100325-12351</t>
  </si>
  <si>
    <t>02-100325-12352</t>
  </si>
  <si>
    <t>02-100325-12353</t>
  </si>
  <si>
    <t>02-100325-12354</t>
  </si>
  <si>
    <t>02-100325-12355</t>
  </si>
  <si>
    <t>02-100325-12356</t>
  </si>
  <si>
    <t>02-100325-12357</t>
  </si>
  <si>
    <t>02-100325-12358</t>
  </si>
  <si>
    <t>02-100325-12359</t>
  </si>
  <si>
    <t>02-100325-12360</t>
  </si>
  <si>
    <t>02-100425-12371</t>
  </si>
  <si>
    <t>02-100425-12372</t>
  </si>
  <si>
    <t>02-100425-12373</t>
  </si>
  <si>
    <t>02-100425-12374</t>
  </si>
  <si>
    <t>02-100425-12376</t>
  </si>
  <si>
    <t>02-100425-12378</t>
  </si>
  <si>
    <t>02-100425-12380</t>
  </si>
  <si>
    <t>02-100425-12381</t>
  </si>
  <si>
    <t>02-100425-12382</t>
  </si>
  <si>
    <t>02-100625-12398</t>
  </si>
  <si>
    <t>October 01, 2025 08:41 AM</t>
  </si>
  <si>
    <t>October 01, 2025 09:52 AM</t>
  </si>
  <si>
    <t>October 01, 2025 09:55 AM</t>
  </si>
  <si>
    <t>October 01, 2025 11:25 AM</t>
  </si>
  <si>
    <t>October 01, 2025 11:53 AM</t>
  </si>
  <si>
    <t>October 01, 2025 12:17 PM</t>
  </si>
  <si>
    <t>October 01, 2025 01:49 PM</t>
  </si>
  <si>
    <t>October 01, 2025 02:32 PM</t>
  </si>
  <si>
    <t>October 01, 2025 02:45 PM</t>
  </si>
  <si>
    <t>October 01, 2025 03:59 PM</t>
  </si>
  <si>
    <t>October 01, 2025 04:53 PM</t>
  </si>
  <si>
    <t>October 01, 2025 04:54 PM</t>
  </si>
  <si>
    <t>October 01, 2025 05:15 PM</t>
  </si>
  <si>
    <t>October 02, 2025 09:14 AM</t>
  </si>
  <si>
    <t>October 02, 2025 10:32 AM</t>
  </si>
  <si>
    <t>October 02, 2025 11:05 AM</t>
  </si>
  <si>
    <t>October 02, 2025 01:48 PM</t>
  </si>
  <si>
    <t>October 02, 2025 02:45 PM</t>
  </si>
  <si>
    <t>October 03, 2025 08:21 AM</t>
  </si>
  <si>
    <t>October 03, 2025 08:58 AM</t>
  </si>
  <si>
    <t>October 03, 2025 09:35 AM</t>
  </si>
  <si>
    <t>October 03, 2025 11:17 AM</t>
  </si>
  <si>
    <t>October 03, 2025 11:31 AM</t>
  </si>
  <si>
    <t>October 03, 2025 12:09 PM</t>
  </si>
  <si>
    <t>October 03, 2025 01:48 PM</t>
  </si>
  <si>
    <t>October 03, 2025 02:28 PM</t>
  </si>
  <si>
    <t>October 03, 2025 02:54 PM</t>
  </si>
  <si>
    <t>October 03, 2025 03:03 PM</t>
  </si>
  <si>
    <t>October 03, 2025 04:01 PM</t>
  </si>
  <si>
    <t>October 04, 2025 09:35 AM</t>
  </si>
  <si>
    <t>October 04, 2025 10:22 AM</t>
  </si>
  <si>
    <t>October 04, 2025 10:29 AM</t>
  </si>
  <si>
    <t>October 04, 2025 10:30 AM</t>
  </si>
  <si>
    <t>October 04, 2025 11:05 AM</t>
  </si>
  <si>
    <t>October 04, 2025 11:17 AM</t>
  </si>
  <si>
    <t>October 04, 2025 01:13 PM</t>
  </si>
  <si>
    <t>October 04, 2025 02:42 PM</t>
  </si>
  <si>
    <t>October 04, 2025 02:48 PM</t>
  </si>
  <si>
    <t>October 04, 2025 03:14 PM</t>
  </si>
  <si>
    <t>October 06, 2025 09:18 AM</t>
  </si>
  <si>
    <t>02-100625-12399</t>
  </si>
  <si>
    <t>02-100625-12400</t>
  </si>
  <si>
    <t>02-100625-12401</t>
  </si>
  <si>
    <t>02-100625-12402</t>
  </si>
  <si>
    <t>02-100625-12403</t>
  </si>
  <si>
    <t>02-100625-12404</t>
  </si>
  <si>
    <t>02-100625-12405</t>
  </si>
  <si>
    <t>02-100625-12406</t>
  </si>
  <si>
    <t>02-100725-12414</t>
  </si>
  <si>
    <t>02-100725-12416</t>
  </si>
  <si>
    <t>02-100725-12417</t>
  </si>
  <si>
    <t>02-100725-12418</t>
  </si>
  <si>
    <t>02-100725-12420</t>
  </si>
  <si>
    <t>02-100725-12422</t>
  </si>
  <si>
    <t>02-100725-12424</t>
  </si>
  <si>
    <t>02-100825-12437</t>
  </si>
  <si>
    <t>02-100825-12439</t>
  </si>
  <si>
    <t>02-100825-12441</t>
  </si>
  <si>
    <t>02-100825-12443</t>
  </si>
  <si>
    <t>02-100925-12457</t>
  </si>
  <si>
    <t>02-100925-12459</t>
  </si>
  <si>
    <t>02-100925-12460</t>
  </si>
  <si>
    <t>02-100925-12461</t>
  </si>
  <si>
    <t>02-100925-12463</t>
  </si>
  <si>
    <t>02-100925-12465</t>
  </si>
  <si>
    <t>02-100925-12466</t>
  </si>
  <si>
    <t>02-100925-12468</t>
  </si>
  <si>
    <t>02-101025-12482</t>
  </si>
  <si>
    <t>02-101025-12484</t>
  </si>
  <si>
    <t>02-101025-12485</t>
  </si>
  <si>
    <t>02-101025-12486</t>
  </si>
  <si>
    <t>02-101025-12488</t>
  </si>
  <si>
    <t>02-101025-12489</t>
  </si>
  <si>
    <t>02-101025-12490</t>
  </si>
  <si>
    <t>02-101025-12492</t>
  </si>
  <si>
    <t>02-101025-12493</t>
  </si>
  <si>
    <t>02-101025-12496</t>
  </si>
  <si>
    <t>02-101025-12497</t>
  </si>
  <si>
    <t>02-101125-12509</t>
  </si>
  <si>
    <t>02-101125-12510</t>
  </si>
  <si>
    <t>02-101125-12512</t>
  </si>
  <si>
    <t>02-101125-12513</t>
  </si>
  <si>
    <t>02-101125-12514</t>
  </si>
  <si>
    <t>02-101125-12515</t>
  </si>
  <si>
    <t>02-101125-12517</t>
  </si>
  <si>
    <t>02-101125-12519</t>
  </si>
  <si>
    <t>02-101125-12520</t>
  </si>
  <si>
    <t>02-101125-12523</t>
  </si>
  <si>
    <t>02-101325-12535</t>
  </si>
  <si>
    <t>02-101325-12536</t>
  </si>
  <si>
    <t>02-101325-12537</t>
  </si>
  <si>
    <t>02-101325-12538</t>
  </si>
  <si>
    <t>02-101325-12539</t>
  </si>
  <si>
    <t>02-101325-12540</t>
  </si>
  <si>
    <t>02-101325-12541</t>
  </si>
  <si>
    <t>October 06, 2025 09:50 AM</t>
  </si>
  <si>
    <t>October 06, 2025 10:03 AM</t>
  </si>
  <si>
    <t>October 06, 2025 10:58 AM</t>
  </si>
  <si>
    <t>October 06, 2025 11:07 AM</t>
  </si>
  <si>
    <t>October 06, 2025 11:52 AM</t>
  </si>
  <si>
    <t>October 06, 2025 11:55 AM</t>
  </si>
  <si>
    <t>October 06, 2025 11:56 AM</t>
  </si>
  <si>
    <t>October 06, 2025 02:20 PM</t>
  </si>
  <si>
    <t>October 06, 2025 02:21 PM</t>
  </si>
  <si>
    <t>October 06, 2025 02:42 PM</t>
  </si>
  <si>
    <t>October 06, 2025 03:07 PM</t>
  </si>
  <si>
    <t>October 06, 2025 03:08 PM</t>
  </si>
  <si>
    <t>October 07, 2025 08:29 AM</t>
  </si>
  <si>
    <t>October 07, 2025 10:28 AM</t>
  </si>
  <si>
    <t>October 07, 2025 10:32 AM</t>
  </si>
  <si>
    <t>October 07, 2025 10:33 AM</t>
  </si>
  <si>
    <t>October 07, 2025 11:25 AM</t>
  </si>
  <si>
    <t>October 07, 2025 12:50 PM</t>
  </si>
  <si>
    <t>October 07, 2025 02:20 PM</t>
  </si>
  <si>
    <t>October 07, 2025 04:03 PM</t>
  </si>
  <si>
    <t>October 07, 2025 04:04 PM</t>
  </si>
  <si>
    <t>October 08, 2025 10:10 AM</t>
  </si>
  <si>
    <t>October 08, 2025 11:15 AM</t>
  </si>
  <si>
    <t>October 08, 2025 12:16 PM</t>
  </si>
  <si>
    <t>October 08, 2025 02:42 PM</t>
  </si>
  <si>
    <t>October 09, 2025 09:55 AM</t>
  </si>
  <si>
    <t>October 09, 2025 10:48 AM</t>
  </si>
  <si>
    <t>October 09, 2025 11:35 AM</t>
  </si>
  <si>
    <t>October 09, 2025 12:15 PM</t>
  </si>
  <si>
    <t>October 09, 2025 02:08 PM</t>
  </si>
  <si>
    <t>October 09, 2025 02:24 PM</t>
  </si>
  <si>
    <t>October 09, 2025 03:00 PM</t>
  </si>
  <si>
    <t>October 09, 2025 03:25 PM</t>
  </si>
  <si>
    <t>October 10, 2025 09:09 AM</t>
  </si>
  <si>
    <t>October 10, 2025 10:36 AM</t>
  </si>
  <si>
    <t>October 10, 2025 10:41 AM</t>
  </si>
  <si>
    <t>October 10, 2025 11:08 AM</t>
  </si>
  <si>
    <t>October 10, 2025 11:19 AM</t>
  </si>
  <si>
    <t>October 10, 2025 11:44 AM</t>
  </si>
  <si>
    <t>October 10, 2025 11:48 AM</t>
  </si>
  <si>
    <t>October 10, 2025 12:45 PM</t>
  </si>
  <si>
    <t>October 10, 2025 01:24 PM</t>
  </si>
  <si>
    <t>October 10, 2025 02:03 PM</t>
  </si>
  <si>
    <t>October 10, 2025 04:28 PM</t>
  </si>
  <si>
    <t>October 10, 2025 04:32 PM</t>
  </si>
  <si>
    <t>October 11, 2025 08:04 AM</t>
  </si>
  <si>
    <t>October 11, 2025 08:50 AM</t>
  </si>
  <si>
    <t>October 11, 2025 09:50 AM</t>
  </si>
  <si>
    <t>October 11, 2025 10:02 AM</t>
  </si>
  <si>
    <t>October 11, 2025 11:01 AM</t>
  </si>
  <si>
    <t>October 11, 2025 11:05 AM</t>
  </si>
  <si>
    <t>October 11, 2025 12:30 PM</t>
  </si>
  <si>
    <t>October 11, 2025 01:47 PM</t>
  </si>
  <si>
    <t>October 11, 2025 02:48 PM</t>
  </si>
  <si>
    <t>October 11, 2025 05:24 PM</t>
  </si>
  <si>
    <t>October 13, 2025 10:15 AM</t>
  </si>
  <si>
    <t>October 13, 2025 10:20 AM</t>
  </si>
  <si>
    <t>October 13, 2025 11:02 AM</t>
  </si>
  <si>
    <t>October 13, 2025 11:39 AM</t>
  </si>
  <si>
    <t>October 13, 2025 01:19 PM</t>
  </si>
  <si>
    <t>October 13, 2025 01:38 PM</t>
  </si>
  <si>
    <t>October 13, 2025 02:09 PM</t>
  </si>
  <si>
    <t>02-101325-12542</t>
  </si>
  <si>
    <t>02-101325-12543</t>
  </si>
  <si>
    <t>02-101425-12544</t>
  </si>
  <si>
    <t>02-101425-12545</t>
  </si>
  <si>
    <t>02-101425-12546</t>
  </si>
  <si>
    <t>02-101425-12547</t>
  </si>
  <si>
    <t>02-101425-12548</t>
  </si>
  <si>
    <t>02-101425-12549</t>
  </si>
  <si>
    <t>02-101425-12550</t>
  </si>
  <si>
    <t>02-101425-12551</t>
  </si>
  <si>
    <t>02-101425-12552</t>
  </si>
  <si>
    <t>02-101425-12553</t>
  </si>
  <si>
    <t>02-101425-12556</t>
  </si>
  <si>
    <t>02-101425-12557</t>
  </si>
  <si>
    <t>02-101425-12558</t>
  </si>
  <si>
    <t>02-101525-12559</t>
  </si>
  <si>
    <t>02-101525-12560</t>
  </si>
  <si>
    <t>02-101525-12562</t>
  </si>
  <si>
    <t>02-101525-12564</t>
  </si>
  <si>
    <t>02-101525-12565</t>
  </si>
  <si>
    <t>02-101525-12566</t>
  </si>
  <si>
    <t>02-101525-12567</t>
  </si>
  <si>
    <t>02-101525-12568</t>
  </si>
  <si>
    <t>02-101525-12571</t>
  </si>
  <si>
    <t>02-101525-12572</t>
  </si>
  <si>
    <t>02-101625-12585</t>
  </si>
  <si>
    <t>02-101625-12586</t>
  </si>
  <si>
    <t>02-101625-12587</t>
  </si>
  <si>
    <t>02-101625-12588</t>
  </si>
  <si>
    <t>02-101625-12592</t>
  </si>
  <si>
    <t>02-101625-12594</t>
  </si>
  <si>
    <t>02-101625-12596</t>
  </si>
  <si>
    <t>02-101625-12600</t>
  </si>
  <si>
    <t>02-101725-12604</t>
  </si>
  <si>
    <t>October 13, 2025 04:19 PM</t>
  </si>
  <si>
    <t>October 13, 2025 04:25 PM</t>
  </si>
  <si>
    <t>October 14, 2025 08:57 AM</t>
  </si>
  <si>
    <t>October 14, 2025 08:58 AM</t>
  </si>
  <si>
    <t>October 14, 2025 09:02 AM</t>
  </si>
  <si>
    <t>October 14, 2025 09:51 AM</t>
  </si>
  <si>
    <t>October 14, 2025 10:58 AM</t>
  </si>
  <si>
    <t>October 14, 2025 11:23 AM</t>
  </si>
  <si>
    <t>October 14, 2025 11:32 AM</t>
  </si>
  <si>
    <t>October 14, 2025 12:48 PM</t>
  </si>
  <si>
    <t>October 14, 2025 01:03 PM</t>
  </si>
  <si>
    <t>October 14, 2025 02:14 PM</t>
  </si>
  <si>
    <t>October 14, 2025 02:43 PM</t>
  </si>
  <si>
    <t>October 14, 2025 03:28 PM</t>
  </si>
  <si>
    <t>October 14, 2025 03:29 PM</t>
  </si>
  <si>
    <t>October 14, 2025 04:25 PM</t>
  </si>
  <si>
    <t>October 14, 2025 05:15 PM</t>
  </si>
  <si>
    <t>October 15, 2025 09:12 AM</t>
  </si>
  <si>
    <t>October 15, 2025 09:16 AM</t>
  </si>
  <si>
    <t>October 15, 2025 09:30 AM</t>
  </si>
  <si>
    <t>October 15, 2025 10:59 AM</t>
  </si>
  <si>
    <t>October 15, 2025 11:00 AM</t>
  </si>
  <si>
    <t>October 15, 2025 11:07 AM</t>
  </si>
  <si>
    <t>October 15, 2025 12:03 PM</t>
  </si>
  <si>
    <t>October 15, 2025 12:04 PM</t>
  </si>
  <si>
    <t>October 15, 2025 12:22 PM</t>
  </si>
  <si>
    <t>October 15, 2025 12:52 PM</t>
  </si>
  <si>
    <t>October 15, 2025 02:28 PM</t>
  </si>
  <si>
    <t>October 15, 2025 02:57 PM</t>
  </si>
  <si>
    <t>October 16, 2025 09:59 AM</t>
  </si>
  <si>
    <t>October 16, 2025 10:15 AM</t>
  </si>
  <si>
    <t>October 16, 2025 10:16 AM</t>
  </si>
  <si>
    <t>October 16, 2025 10:46 AM</t>
  </si>
  <si>
    <t>October 16, 2025 10:47 AM</t>
  </si>
  <si>
    <t>October 16, 2025 10:54 AM</t>
  </si>
  <si>
    <t>October 16, 2025 01:48 PM</t>
  </si>
  <si>
    <t>October 16, 2025 03:15 PM</t>
  </si>
  <si>
    <t>October 16, 2025 05:07 PM</t>
  </si>
  <si>
    <t>October 16, 2025 05:08 PM</t>
  </si>
  <si>
    <t>October 16, 2025 09:16 PM</t>
  </si>
  <si>
    <t>October 17, 2025 02:01 AM</t>
  </si>
  <si>
    <t>Divert to 104</t>
  </si>
  <si>
    <t>02-102325-12615</t>
  </si>
  <si>
    <t>02-102325-12616</t>
  </si>
  <si>
    <t>02-102325-12618</t>
  </si>
  <si>
    <t>02-102325-12620</t>
  </si>
  <si>
    <t>02-102325-12621</t>
  </si>
  <si>
    <t>02-102325-12625</t>
  </si>
  <si>
    <t>02-102425-12634</t>
  </si>
  <si>
    <t>02-102425-12636</t>
  </si>
  <si>
    <t>02-102425-12639</t>
  </si>
  <si>
    <t>02-102525-12651</t>
  </si>
  <si>
    <t>02-102525-12653</t>
  </si>
  <si>
    <t>02-102525-12654</t>
  </si>
  <si>
    <t>02-102525-12655</t>
  </si>
  <si>
    <t>02-102525-12658</t>
  </si>
  <si>
    <t>02-102525-12659</t>
  </si>
  <si>
    <t>02-102525-12661</t>
  </si>
  <si>
    <t>October 23, 2025 08:27 AM</t>
  </si>
  <si>
    <t>October 23, 2025 09:10 AM</t>
  </si>
  <si>
    <t>October 23, 2025 11:00 AM</t>
  </si>
  <si>
    <t>October 23, 2025 11:57 AM</t>
  </si>
  <si>
    <t>October 23, 2025 12:11 PM</t>
  </si>
  <si>
    <t>October 23, 2025 04:52 PM</t>
  </si>
  <si>
    <t>October 24, 2025 09:14 AM</t>
  </si>
  <si>
    <t>October 24, 2025 10:18 AM</t>
  </si>
  <si>
    <t>October 24, 2025 01:24 PM</t>
  </si>
  <si>
    <t>October 24, 2025 01:25 PM</t>
  </si>
  <si>
    <t>October 25, 2025 08:26 AM</t>
  </si>
  <si>
    <t>October 25, 2025 11:19 AM</t>
  </si>
  <si>
    <t>October 25, 2025 11:39 AM</t>
  </si>
  <si>
    <t>October 25, 2025 12:01 PM</t>
  </si>
  <si>
    <t>October 25, 2025 02:12 PM</t>
  </si>
  <si>
    <t>October 25, 2025 02:13 PM</t>
  </si>
  <si>
    <t>October 25, 2025 04:27 PM</t>
  </si>
  <si>
    <t>02-102725-12675</t>
  </si>
  <si>
    <t>02-102725-12676</t>
  </si>
  <si>
    <t>02-102725-12677</t>
  </si>
  <si>
    <t>02-102725-12678</t>
  </si>
  <si>
    <t>02-102725-12679</t>
  </si>
  <si>
    <t>02-102725-12680</t>
  </si>
  <si>
    <t>02-102725-12681</t>
  </si>
  <si>
    <t>02-102725-12682</t>
  </si>
  <si>
    <t>02-102825-12683</t>
  </si>
  <si>
    <t>02-102825-12684</t>
  </si>
  <si>
    <t>02-102825-12686</t>
  </si>
  <si>
    <t>02-102825-12688</t>
  </si>
  <si>
    <t>02-102825-12689</t>
  </si>
  <si>
    <t>02-102825-12692</t>
  </si>
  <si>
    <t>02-102825-12693</t>
  </si>
  <si>
    <t>02-102925-12706</t>
  </si>
  <si>
    <t>02-102925-12708</t>
  </si>
  <si>
    <t>02-102925-12709</t>
  </si>
  <si>
    <t>02-102925-12710</t>
  </si>
  <si>
    <t>02-102925-12712</t>
  </si>
  <si>
    <t>02-102925-12715</t>
  </si>
  <si>
    <t>02-103025-12727</t>
  </si>
  <si>
    <t>02-103025-12729</t>
  </si>
  <si>
    <t>02-103025-12730</t>
  </si>
  <si>
    <t>02-103025-12731</t>
  </si>
  <si>
    <t>02-103025-12732</t>
  </si>
  <si>
    <t>02-103025-12735</t>
  </si>
  <si>
    <t>02-103025-12736</t>
  </si>
  <si>
    <t>02-103025-12738</t>
  </si>
  <si>
    <t>02-103125-12752</t>
  </si>
  <si>
    <t>02-103125-12753</t>
  </si>
  <si>
    <t>02-103125-12755</t>
  </si>
  <si>
    <t>02-103125-12757</t>
  </si>
  <si>
    <t>02-103125-12759</t>
  </si>
  <si>
    <t>October 27, 2025 08:42 AM</t>
  </si>
  <si>
    <t>October 27, 2025 11:08 AM</t>
  </si>
  <si>
    <t>October 27, 2025 11:12 AM</t>
  </si>
  <si>
    <t>October 27, 2025 11:36 AM</t>
  </si>
  <si>
    <t>October 27, 2025 01:12 PM</t>
  </si>
  <si>
    <t>October 27, 2025 02:11 PM</t>
  </si>
  <si>
    <t>October 27, 2025 02:12 PM</t>
  </si>
  <si>
    <t>October 27, 2025 02:23 PM</t>
  </si>
  <si>
    <t>October 27, 2025 04:24 PM</t>
  </si>
  <si>
    <t>October 28, 2025 06:01 AM</t>
  </si>
  <si>
    <t>October 28, 2025 08:38 AM</t>
  </si>
  <si>
    <t>October 28, 2025 09:49 AM</t>
  </si>
  <si>
    <t>October 28, 2025 10:49 AM</t>
  </si>
  <si>
    <t>October 28, 2025 10:57 AM</t>
  </si>
  <si>
    <t>October 28, 2025 10:58 AM</t>
  </si>
  <si>
    <t>October 28, 2025 02:19 PM</t>
  </si>
  <si>
    <t>October 28, 2025 02:56 PM</t>
  </si>
  <si>
    <t>October 28, 2025 02:57 PM</t>
  </si>
  <si>
    <t>October 29, 2025 09:24 AM</t>
  </si>
  <si>
    <t>October 29, 2025 10:52 AM</t>
  </si>
  <si>
    <t>October 29, 2025 10:58 AM</t>
  </si>
  <si>
    <t>October 29, 2025 10:54 AM</t>
  </si>
  <si>
    <t>October 29, 2025 11:32 AM</t>
  </si>
  <si>
    <t>October 29, 2025 12:40 PM</t>
  </si>
  <si>
    <t>October 29, 2025 03:08 PM</t>
  </si>
  <si>
    <t>October 30, 2025 09:48 AM</t>
  </si>
  <si>
    <t>October 30, 2025 10:58 AM</t>
  </si>
  <si>
    <t>October 30, 2025 10:59 AM</t>
  </si>
  <si>
    <t>October 30, 2025 11:23 AM</t>
  </si>
  <si>
    <t>October 30, 2025 11:33 AM</t>
  </si>
  <si>
    <t>October 30, 2025 11:38 AM</t>
  </si>
  <si>
    <t>October 30, 2025 11:39 AM</t>
  </si>
  <si>
    <t>October 30, 2025 02:14 PM</t>
  </si>
  <si>
    <t>October 30, 2025 02:44 PM</t>
  </si>
  <si>
    <t>October 30, 2025 04:42 PM</t>
  </si>
  <si>
    <t>October 30, 2025 04:43 PM</t>
  </si>
  <si>
    <t>October 31, 2025 09:23 AM</t>
  </si>
  <si>
    <t>October 31, 2025 09:24 AM</t>
  </si>
  <si>
    <t>October 31, 2025 09:28 AM</t>
  </si>
  <si>
    <t>October 31, 2025 10:16 AM</t>
  </si>
  <si>
    <t>October 31, 2025 11:52 AM</t>
  </si>
  <si>
    <t>October 31, 2025 01:56 PM</t>
  </si>
  <si>
    <t>October 31, 2025 01:57 PM</t>
  </si>
  <si>
    <t>NOV 1 - 30, 2025</t>
  </si>
  <si>
    <t>02-110325-12773</t>
  </si>
  <si>
    <t>02-110325-12774</t>
  </si>
  <si>
    <t>02-110325-12776</t>
  </si>
  <si>
    <t>November 03, 2025 08:37 AM</t>
  </si>
  <si>
    <t>November 03, 2025 08:38 AM</t>
  </si>
  <si>
    <t>November 03, 2025 09:53 AM</t>
  </si>
  <si>
    <t>November 03, 2025 11:37 AM</t>
  </si>
  <si>
    <t>02-110325-12777</t>
  </si>
  <si>
    <t>02-110325-12778</t>
  </si>
  <si>
    <t>02-110325-12779</t>
  </si>
  <si>
    <t>02-110325-12780</t>
  </si>
  <si>
    <t>02-110425-12781</t>
  </si>
  <si>
    <t>02-110425-12783</t>
  </si>
  <si>
    <t>02-110425-12784</t>
  </si>
  <si>
    <t>02-110425-12785</t>
  </si>
  <si>
    <t>02-110425-12786</t>
  </si>
  <si>
    <t>02-110425-12788</t>
  </si>
  <si>
    <t>02-110425-12790</t>
  </si>
  <si>
    <t>02-110425-12793</t>
  </si>
  <si>
    <t>02-110525-12803</t>
  </si>
  <si>
    <t>02-110525-12805</t>
  </si>
  <si>
    <t>02-110525-12807</t>
  </si>
  <si>
    <t>02-110525-12809</t>
  </si>
  <si>
    <t>02-110525-12810</t>
  </si>
  <si>
    <t>02-110525-12811</t>
  </si>
  <si>
    <t>02-110525-12813</t>
  </si>
  <si>
    <t>02-110525-12815</t>
  </si>
  <si>
    <t>02-110625-12828</t>
  </si>
  <si>
    <t>02-110625-12830</t>
  </si>
  <si>
    <t>02-110625-12833</t>
  </si>
  <si>
    <t>02-110625-12834</t>
  </si>
  <si>
    <t>02-110625-12835</t>
  </si>
  <si>
    <t>02-110625-12836</t>
  </si>
  <si>
    <t>02-110625-12839</t>
  </si>
  <si>
    <t>02-110725-12849</t>
  </si>
  <si>
    <t>02-110725-12850</t>
  </si>
  <si>
    <t>02-110725-12852</t>
  </si>
  <si>
    <t>02-110725-12856</t>
  </si>
  <si>
    <t>02-110725-12857</t>
  </si>
  <si>
    <t>02-110725-12858</t>
  </si>
  <si>
    <t>02-110725-12860</t>
  </si>
  <si>
    <t>02-110725-12862</t>
  </si>
  <si>
    <t>02-110725-12864</t>
  </si>
  <si>
    <t>02-110825-12874</t>
  </si>
  <si>
    <t>02-110825-12876</t>
  </si>
  <si>
    <t>02-110825-12877</t>
  </si>
  <si>
    <t>02-110825-12879</t>
  </si>
  <si>
    <t>02-110825-12880</t>
  </si>
  <si>
    <t>02-110825-12882</t>
  </si>
  <si>
    <t>02-110825-12883</t>
  </si>
  <si>
    <t>02-110825-12886</t>
  </si>
  <si>
    <t>02-111025-12898</t>
  </si>
  <si>
    <t>02-111025-12899</t>
  </si>
  <si>
    <t>02-111025-12900</t>
  </si>
  <si>
    <t>02-111025-12901</t>
  </si>
  <si>
    <t>02-111025-12902</t>
  </si>
  <si>
    <t>02-111025-12903</t>
  </si>
  <si>
    <t>02-111025-12904</t>
  </si>
  <si>
    <t>02-111025-12905</t>
  </si>
  <si>
    <t>November 03, 2025 01:56 PM</t>
  </si>
  <si>
    <t>November 03, 2025 02:40 PM</t>
  </si>
  <si>
    <t>November 03, 2025 03:28 PM</t>
  </si>
  <si>
    <t>November 03, 2025 04:09 PM</t>
  </si>
  <si>
    <t>November 03, 2025 04:20 PM</t>
  </si>
  <si>
    <t>November 04, 2025 08:18 AM</t>
  </si>
  <si>
    <t>November 04, 2025 09:42 AM</t>
  </si>
  <si>
    <t>November 04, 2025 10:25 AM</t>
  </si>
  <si>
    <t>November 04, 2025 10:29 AM</t>
  </si>
  <si>
    <t>November 04, 2025 11:17 AM</t>
  </si>
  <si>
    <t>November 04, 2025 11:18 AM</t>
  </si>
  <si>
    <t>November 04, 2025 12:35 PM</t>
  </si>
  <si>
    <t>November 04, 2025 01:53 PM</t>
  </si>
  <si>
    <t>November 04, 2025 05:23 PM</t>
  </si>
  <si>
    <t>November 05, 2025 08:44 AM</t>
  </si>
  <si>
    <t>November 05, 2025 10:14 AM</t>
  </si>
  <si>
    <t>November 05, 2025 10:41 AM</t>
  </si>
  <si>
    <t>November 05, 2025 12:00 PM</t>
  </si>
  <si>
    <t>November 05, 2025 12:26 PM</t>
  </si>
  <si>
    <t>November 05, 2025 01:11 PM</t>
  </si>
  <si>
    <t>November 05, 2025 01:12 PM</t>
  </si>
  <si>
    <t>November 05, 2025 02:13 PM</t>
  </si>
  <si>
    <t>November 05, 2025 04:21 PM</t>
  </si>
  <si>
    <t>November 06, 2025 08:27 AM</t>
  </si>
  <si>
    <t>November 06, 2025 08:28 AM</t>
  </si>
  <si>
    <t>November 06, 2025 08:55 AM</t>
  </si>
  <si>
    <t>November 06, 2025 10:47 AM</t>
  </si>
  <si>
    <t>November 06, 2025 10:51 AM</t>
  </si>
  <si>
    <t>November 06, 2025 12:55 PM</t>
  </si>
  <si>
    <t>November 06, 2025 01:15 PM</t>
  </si>
  <si>
    <t>November 06, 2025 02:31 PM</t>
  </si>
  <si>
    <t>November 07, 2025 08:34 AM</t>
  </si>
  <si>
    <t>November 07, 2025 09:38 AM</t>
  </si>
  <si>
    <t>November 07, 2025 10:02 AM</t>
  </si>
  <si>
    <t>November 07, 2025 12:43 PM</t>
  </si>
  <si>
    <t>November 07, 2025 12:48 PM</t>
  </si>
  <si>
    <t>November 07, 2025 01:52 PM</t>
  </si>
  <si>
    <t>November 07, 2025 03:25 PM</t>
  </si>
  <si>
    <t>November 07, 2025 04:04 PM</t>
  </si>
  <si>
    <t>November 07, 2025 07:21 PM</t>
  </si>
  <si>
    <t>November 07, 2025 07:22 PM</t>
  </si>
  <si>
    <t>November 08, 2025 08:26 AM</t>
  </si>
  <si>
    <t>November 08, 2025 10:07 AM</t>
  </si>
  <si>
    <t>November 08, 2025 10:11 AM</t>
  </si>
  <si>
    <t>November 08, 2025 11:15 AM</t>
  </si>
  <si>
    <t>November 08, 2025 12:27 PM</t>
  </si>
  <si>
    <t>November 08, 2025 01:47 PM</t>
  </si>
  <si>
    <t>November 08, 2025 01:55 PM</t>
  </si>
  <si>
    <t>November 08, 2025 01:48 PM</t>
  </si>
  <si>
    <t>November 08, 2025 04:56 PM</t>
  </si>
  <si>
    <t>November 08, 2025 04:57 PM</t>
  </si>
  <si>
    <t>November 10, 2025 08:13 AM</t>
  </si>
  <si>
    <t>November 10, 2025 09:14 AM</t>
  </si>
  <si>
    <t>November 10, 2025 09:30 AM</t>
  </si>
  <si>
    <t>November 10, 2025 10:59 AM</t>
  </si>
  <si>
    <t>November 10, 2025 01:17 PM</t>
  </si>
  <si>
    <t>November 10, 2025 01:53 PM</t>
  </si>
  <si>
    <t>November 10, 2025 02:20 PM</t>
  </si>
  <si>
    <t>November 10, 2025 02:21 PM</t>
  </si>
  <si>
    <t>November 10, 2025 04:36 PM</t>
  </si>
  <si>
    <t>02-111125-12906</t>
  </si>
  <si>
    <t>02-111125-12907</t>
  </si>
  <si>
    <t>02-111125-12910</t>
  </si>
  <si>
    <t>02-111125-12912</t>
  </si>
  <si>
    <t>02-111125-12913</t>
  </si>
  <si>
    <t>02-111125-12914</t>
  </si>
  <si>
    <t>02-111225-12928</t>
  </si>
  <si>
    <t>02-111325-12941</t>
  </si>
  <si>
    <t>02-111325-12942</t>
  </si>
  <si>
    <t>02-111325-12943</t>
  </si>
  <si>
    <t>02-111325-12945</t>
  </si>
  <si>
    <t>02-111325-12946</t>
  </si>
  <si>
    <t>02-111325-12948</t>
  </si>
  <si>
    <t>02-111325-12949</t>
  </si>
  <si>
    <t>02-111425-12962</t>
  </si>
  <si>
    <t>02-111425-12964</t>
  </si>
  <si>
    <t>02-111425-12966</t>
  </si>
  <si>
    <t>02-111425-12968</t>
  </si>
  <si>
    <t>02-111425-12970</t>
  </si>
  <si>
    <t>02-111425-12971</t>
  </si>
  <si>
    <t>02-111525-12984</t>
  </si>
  <si>
    <t>02-111525-12987</t>
  </si>
  <si>
    <t>02-111525-12988</t>
  </si>
  <si>
    <t>02-111525-12990</t>
  </si>
  <si>
    <t>02-111525-12993</t>
  </si>
  <si>
    <t>02-111725-13009</t>
  </si>
  <si>
    <t>02-111725-13010</t>
  </si>
  <si>
    <t>02-111725-13011</t>
  </si>
  <si>
    <t>02-111725-13012</t>
  </si>
  <si>
    <t>02-111725-13013</t>
  </si>
  <si>
    <t>02-111725-13014</t>
  </si>
  <si>
    <t>02-111725-13015</t>
  </si>
  <si>
    <t>02-111725-13016</t>
  </si>
  <si>
    <t>02-111725-13017</t>
  </si>
  <si>
    <t>November 11, 2025 08:43 AM</t>
  </si>
  <si>
    <t>November 11, 2025 08:58 AM</t>
  </si>
  <si>
    <t>November 11, 2025 10:45 AM</t>
  </si>
  <si>
    <t>November 11, 2025 02:20 PM</t>
  </si>
  <si>
    <t>November 11, 2025 02:21 PM</t>
  </si>
  <si>
    <t>November 11, 2025 03:08 PM</t>
  </si>
  <si>
    <t>November 11, 2025 03:16 PM</t>
  </si>
  <si>
    <t>November 12, 2025 01:32 PM</t>
  </si>
  <si>
    <t>November 12, 2025 01:33 PM</t>
  </si>
  <si>
    <t>November 13, 2025 08:03 AM</t>
  </si>
  <si>
    <t>November 13, 2025 09:22 AM</t>
  </si>
  <si>
    <t>November 13, 2025 10:15 AM</t>
  </si>
  <si>
    <t>November 13, 2025 11:02 AM</t>
  </si>
  <si>
    <t>November 13, 2025 11:54 AM</t>
  </si>
  <si>
    <t>November 13, 2025 11:55 AM</t>
  </si>
  <si>
    <t>November 13, 2025 01:22 PM</t>
  </si>
  <si>
    <t>November 13, 2025 02:17 PM</t>
  </si>
  <si>
    <t>November 14, 2025 09:24 AM</t>
  </si>
  <si>
    <t>November 14, 2025 09:59 AM</t>
  </si>
  <si>
    <t>November 14, 2025 10:00 AM</t>
  </si>
  <si>
    <t>November 14, 2025 11:58 AM</t>
  </si>
  <si>
    <t>November 14, 2025 12:52 PM</t>
  </si>
  <si>
    <t>November 14, 2025 01:02 PM</t>
  </si>
  <si>
    <t>November 14, 2025 02:21 PM</t>
  </si>
  <si>
    <t>November 14, 2025 02:58 PM</t>
  </si>
  <si>
    <t>November 15, 2025 08:42 AM</t>
  </si>
  <si>
    <t>November 15, 2025 08:43 AM</t>
  </si>
  <si>
    <t>November 15, 2025 10:59 AM</t>
  </si>
  <si>
    <t>November 15, 2025 11:00 AM</t>
  </si>
  <si>
    <t>November 15, 2025 11:37 AM</t>
  </si>
  <si>
    <t>November 15, 2025 11:38 AM</t>
  </si>
  <si>
    <t>November 15, 2025 01:42 PM</t>
  </si>
  <si>
    <t>November 15, 2025 03:00 PM</t>
  </si>
  <si>
    <t>November 15, 2025 03:01 PM</t>
  </si>
  <si>
    <t>November 17, 2025 08:42 AM</t>
  </si>
  <si>
    <t>November 17, 2025 08:45 AM</t>
  </si>
  <si>
    <t>November 17, 2025 08:46 AM</t>
  </si>
  <si>
    <t>November 17, 2025 09:59 AM</t>
  </si>
  <si>
    <t>November 17, 2025 10:48 AM</t>
  </si>
  <si>
    <t>November 17, 2025 11:52 AM</t>
  </si>
  <si>
    <t>November 17, 2025 12:43 PM</t>
  </si>
  <si>
    <t>November 17, 2025 01:15 PM</t>
  </si>
  <si>
    <t>November 17, 2025 02:02 PM</t>
  </si>
  <si>
    <t>November 17, 2025 03:00 PM</t>
  </si>
  <si>
    <t>November 17, 2025 03:01 PM</t>
  </si>
  <si>
    <t>02-111825-13025</t>
  </si>
  <si>
    <t>02-111825-13026</t>
  </si>
  <si>
    <t>02-111825-13028</t>
  </si>
  <si>
    <t>02-111825-13030</t>
  </si>
  <si>
    <t>02-111825-13031</t>
  </si>
  <si>
    <t>02-111825-13033</t>
  </si>
  <si>
    <t>02-111825-13034</t>
  </si>
  <si>
    <t>02-111825-13036</t>
  </si>
  <si>
    <t>02-111825-13038</t>
  </si>
  <si>
    <t>02-111925-13049</t>
  </si>
  <si>
    <t>02-111925-13050</t>
  </si>
  <si>
    <t>02-111925-13051</t>
  </si>
  <si>
    <t>02-111925-13053</t>
  </si>
  <si>
    <t>02-111925-13055</t>
  </si>
  <si>
    <t>02-111925-13056</t>
  </si>
  <si>
    <t>02-111925-13058</t>
  </si>
  <si>
    <t>02-111925-13059</t>
  </si>
  <si>
    <t>02-111925-13061</t>
  </si>
  <si>
    <t>02-111925-13063</t>
  </si>
  <si>
    <t>02-111925-13064</t>
  </si>
  <si>
    <t>02-112025-13078</t>
  </si>
  <si>
    <t>02-112025-13079</t>
  </si>
  <si>
    <t>02-112025-13081</t>
  </si>
  <si>
    <t>02-112025-13083</t>
  </si>
  <si>
    <t>02-112025-13084</t>
  </si>
  <si>
    <t>02-112025-13085</t>
  </si>
  <si>
    <t>02-112025-13087</t>
  </si>
  <si>
    <t>02-112025-13088</t>
  </si>
  <si>
    <t>02-112025-13090</t>
  </si>
  <si>
    <t>02-112125-13103</t>
  </si>
  <si>
    <t>02-112125-13105</t>
  </si>
  <si>
    <t>02-112125-13107</t>
  </si>
  <si>
    <t>02-112125-13108</t>
  </si>
  <si>
    <t>02-112125-13109</t>
  </si>
  <si>
    <t>02-112125-13112</t>
  </si>
  <si>
    <t>02-112125-13114</t>
  </si>
  <si>
    <t>02-112125-13115</t>
  </si>
  <si>
    <t>02-112125-13117</t>
  </si>
  <si>
    <t>02-112125-13118</t>
  </si>
  <si>
    <t>02-112125-13119</t>
  </si>
  <si>
    <t>02-112225-13131</t>
  </si>
  <si>
    <t>02-112225-13132</t>
  </si>
  <si>
    <t>02-112225-13133</t>
  </si>
  <si>
    <t>02-112225-13136</t>
  </si>
  <si>
    <t>02-112225-13137</t>
  </si>
  <si>
    <t>02-112225-13138</t>
  </si>
  <si>
    <t>02-112225-13139</t>
  </si>
  <si>
    <t>02-112225-13140</t>
  </si>
  <si>
    <t>02-112225-13141</t>
  </si>
  <si>
    <t>02-112225-13143</t>
  </si>
  <si>
    <t>02-112225-13144</t>
  </si>
  <si>
    <t>02-112225-13146</t>
  </si>
  <si>
    <t>02-112325-13161</t>
  </si>
  <si>
    <t>02-112425-13164</t>
  </si>
  <si>
    <t>02-112425-13165</t>
  </si>
  <si>
    <t>02-112425-13166</t>
  </si>
  <si>
    <t>02-112425-13167</t>
  </si>
  <si>
    <t>02-112425-13168</t>
  </si>
  <si>
    <t>02-112425-13169</t>
  </si>
  <si>
    <t>02-112425-13170</t>
  </si>
  <si>
    <t>02-112425-13171</t>
  </si>
  <si>
    <t>02-112425-13172</t>
  </si>
  <si>
    <t>02-112425-13173</t>
  </si>
  <si>
    <t>November 18, 2025 08:04 AM</t>
  </si>
  <si>
    <t>November 18, 2025 08:05 AM</t>
  </si>
  <si>
    <t>November 18, 2025 08:08 AM</t>
  </si>
  <si>
    <t>November 18, 2025 09:34 AM</t>
  </si>
  <si>
    <t>November 18, 2025 10:15 AM</t>
  </si>
  <si>
    <t>November 18, 2025 10:16 AM</t>
  </si>
  <si>
    <t>November 18, 2025 10:25 AM</t>
  </si>
  <si>
    <t>November 18, 2025 12:12 PM</t>
  </si>
  <si>
    <t>November 18, 2025 12:21 PM</t>
  </si>
  <si>
    <t>November 18, 2025 01:33 PM</t>
  </si>
  <si>
    <t>November 18, 2025 04:02 PM</t>
  </si>
  <si>
    <t>November 19, 2025 07:53 AM</t>
  </si>
  <si>
    <t>November 19, 2025 08:42 AM</t>
  </si>
  <si>
    <t>November 19, 2025 09:32 AM</t>
  </si>
  <si>
    <t>November 19, 2025 09:52 AM</t>
  </si>
  <si>
    <t>November 19, 2025 11:18 AM</t>
  </si>
  <si>
    <t>November 19, 2025 12:09 PM</t>
  </si>
  <si>
    <t>November 19, 2025 12:10 PM</t>
  </si>
  <si>
    <t>November 19, 2025 12:57 PM</t>
  </si>
  <si>
    <t>November 19, 2025 01:46 PM</t>
  </si>
  <si>
    <t>November 19, 2025 03:01 PM</t>
  </si>
  <si>
    <t>November 19, 2025 03:49 PM</t>
  </si>
  <si>
    <t>November 19, 2025 04:00 PM</t>
  </si>
  <si>
    <t>November 19, 2025 04:39 PM</t>
  </si>
  <si>
    <t>November 20, 2025 08:28 AM</t>
  </si>
  <si>
    <t>November 20, 2025 09:04 AM</t>
  </si>
  <si>
    <t>November 20, 2025 10:38 AM</t>
  </si>
  <si>
    <t>November 20, 2025 11:47 AM</t>
  </si>
  <si>
    <t>November 20, 2025 12:07 PM</t>
  </si>
  <si>
    <t>November 20, 2025 12:50 PM</t>
  </si>
  <si>
    <t>November 20, 2025 02:30 PM</t>
  </si>
  <si>
    <t>November 20, 2025 02:31 PM</t>
  </si>
  <si>
    <t>November 20, 2025 02:37 PM</t>
  </si>
  <si>
    <t>November 20, 2025 03:30 PM</t>
  </si>
  <si>
    <t>November 21, 2025 07:43 AM</t>
  </si>
  <si>
    <t>November 21, 2025 08:23 AM</t>
  </si>
  <si>
    <t>November 21, 2025 09:26 AM</t>
  </si>
  <si>
    <t>November 21, 2025 09:42 AM</t>
  </si>
  <si>
    <t>November 21, 2025 11:02 AM</t>
  </si>
  <si>
    <t>November 21, 2025 12:37 PM</t>
  </si>
  <si>
    <t>November 21, 2025 01:37 PM</t>
  </si>
  <si>
    <t>November 21, 2025 02:23 PM</t>
  </si>
  <si>
    <t>November 21, 2025 02:38 PM</t>
  </si>
  <si>
    <t>November 21, 2025 02:49 PM</t>
  </si>
  <si>
    <t>November 21, 2025 03:25 PM</t>
  </si>
  <si>
    <t>November 22, 2025 07:41 AM</t>
  </si>
  <si>
    <t>November 22, 2025 07:42 AM</t>
  </si>
  <si>
    <t>November 22, 2025 07:55 AM</t>
  </si>
  <si>
    <t>November 22, 2025 08:50 AM</t>
  </si>
  <si>
    <t>November 22, 2025 09:48 AM</t>
  </si>
  <si>
    <t>November 22, 2025 10:09 AM</t>
  </si>
  <si>
    <t>November 22, 2025 10:35 AM</t>
  </si>
  <si>
    <t>November 22, 2025 10:55 AM</t>
  </si>
  <si>
    <t>November 22, 2025 11:20 AM</t>
  </si>
  <si>
    <t>November 22, 2025 11:47 AM</t>
  </si>
  <si>
    <t>November 22, 2025 11:57 AM</t>
  </si>
  <si>
    <t>November 22, 2025 12:19 PM</t>
  </si>
  <si>
    <t>November 22, 2025 12:53 PM</t>
  </si>
  <si>
    <t>November 22, 2025 02:02 PM</t>
  </si>
  <si>
    <t>November 23, 2025 10:29 AM</t>
  </si>
  <si>
    <t>November 24, 2025 08:16 AM</t>
  </si>
  <si>
    <t>November 24, 2025 09:34 AM</t>
  </si>
  <si>
    <t>November 24, 2025 09:43 AM</t>
  </si>
  <si>
    <t>November 24, 2025 10:33 AM</t>
  </si>
  <si>
    <t>November 24, 2025 10:34 AM</t>
  </si>
  <si>
    <t>November 24, 2025 11:39 AM</t>
  </si>
  <si>
    <t>November 24, 2025 11:55 AM</t>
  </si>
  <si>
    <t>November 24, 2025 12:10 PM</t>
  </si>
  <si>
    <t>November 24, 2025 01:58 PM</t>
  </si>
  <si>
    <t>November 24, 2025 02:02 PM</t>
  </si>
  <si>
    <t>November 24, 2025 03:22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</si>
</sst>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0_-;\-* #,##0.000_-;_-* &quot;-&quot;??_-;_-@_-"/>
    <numFmt numFmtId="165" formatCode="[$-3409]dd\-mmm\-yy;@"/>
    <numFmt numFmtId="166" formatCode="_-* #,##0_-;\-* #,##0_-;_-* &quot;-&quot;??_-;_-@_-"/>
    <numFmt numFmtId="167" formatCode="[$-409]d\-mmm\-yy;@"/>
    <numFmt numFmtId="168" formatCode="0&quot;H&quot;"/>
    <numFmt numFmtId="169" formatCode="[$-409]d\-mmm\-yyyy;@"/>
    <numFmt numFmtId="170" formatCode="_(* #,##0_);_(* \(#,##0\);_(* &quot;-&quot;??_);_(@_)"/>
    <numFmt numFmtId="171" formatCode="h:mm:ss;@"/>
    <numFmt numFmtId="172" formatCode="yyyy\-mm\-dd;@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theme="1"/>
      <name val="Arial Narrow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499984740745262"/>
      <name val="Aptos Display"/>
      <family val="2"/>
      <scheme val="major"/>
    </font>
    <font>
      <b/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0" tint="-0.249977111117893"/>
      <name val="Aptos Display"/>
      <family val="2"/>
      <scheme val="major"/>
    </font>
    <font>
      <sz val="11"/>
      <color theme="1"/>
      <name val="Arial"/>
      <family val="2"/>
    </font>
    <font>
      <sz val="11"/>
      <name val="Arial"/>
      <family val="2"/>
    </font>
    <font>
      <sz val="12"/>
      <color theme="1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sz val="12"/>
      <name val="Aptos Display"/>
      <family val="2"/>
      <scheme val="major"/>
    </font>
    <font>
      <sz val="11"/>
      <color rgb="FFFF0000"/>
      <name val="Arial"/>
      <family val="2"/>
    </font>
    <font>
      <b/>
      <sz val="11"/>
      <color rgb="FFFF0000"/>
      <name val="Aptos Display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8">
    <xf numFmtId="0" fontId="0" fillId="0" borderId="0" xfId="0"/>
    <xf numFmtId="15" fontId="9" fillId="7" borderId="15" xfId="0" applyNumberFormat="1" applyFont="1" applyFill="1" applyBorder="1" applyAlignment="1">
      <alignment horizontal="center"/>
    </xf>
    <xf numFmtId="43" fontId="9" fillId="0" borderId="16" xfId="1" applyFont="1" applyFill="1" applyBorder="1" applyAlignment="1">
      <alignment vertical="center"/>
    </xf>
    <xf numFmtId="43" fontId="10" fillId="8" borderId="18" xfId="1" applyFont="1" applyFill="1" applyBorder="1" applyAlignment="1">
      <alignment vertical="center"/>
    </xf>
    <xf numFmtId="43" fontId="3" fillId="0" borderId="19" xfId="0" applyNumberFormat="1" applyFont="1" applyBorder="1" applyAlignment="1">
      <alignment vertical="center"/>
    </xf>
    <xf numFmtId="0" fontId="11" fillId="0" borderId="3" xfId="0" applyFont="1" applyBorder="1" applyAlignment="1">
      <alignment horizontal="center"/>
    </xf>
    <xf numFmtId="43" fontId="9" fillId="0" borderId="3" xfId="1" applyFont="1" applyBorder="1"/>
    <xf numFmtId="43" fontId="12" fillId="0" borderId="3" xfId="0" applyNumberFormat="1" applyFont="1" applyBorder="1"/>
    <xf numFmtId="43" fontId="13" fillId="0" borderId="3" xfId="0" applyNumberFormat="1" applyFont="1" applyBorder="1"/>
    <xf numFmtId="0" fontId="9" fillId="0" borderId="23" xfId="0" applyFont="1" applyBorder="1"/>
    <xf numFmtId="9" fontId="14" fillId="0" borderId="23" xfId="2" applyFont="1" applyBorder="1" applyAlignment="1">
      <alignment horizontal="right" vertical="center"/>
    </xf>
    <xf numFmtId="43" fontId="12" fillId="0" borderId="23" xfId="0" applyNumberFormat="1" applyFont="1" applyBorder="1"/>
    <xf numFmtId="0" fontId="13" fillId="0" borderId="24" xfId="0" applyFont="1" applyBorder="1" applyAlignment="1">
      <alignment wrapText="1"/>
    </xf>
    <xf numFmtId="43" fontId="15" fillId="0" borderId="0" xfId="0" applyNumberFormat="1" applyFont="1"/>
    <xf numFmtId="164" fontId="15" fillId="0" borderId="0" xfId="0" applyNumberFormat="1" applyFont="1"/>
    <xf numFmtId="0" fontId="4" fillId="0" borderId="0" xfId="0" applyFont="1"/>
    <xf numFmtId="0" fontId="13" fillId="0" borderId="0" xfId="0" applyFont="1"/>
    <xf numFmtId="0" fontId="3" fillId="0" borderId="0" xfId="0" applyFont="1"/>
    <xf numFmtId="164" fontId="12" fillId="0" borderId="0" xfId="0" applyNumberFormat="1" applyFont="1"/>
    <xf numFmtId="0" fontId="0" fillId="0" borderId="25" xfId="0" applyBorder="1"/>
    <xf numFmtId="43" fontId="10" fillId="9" borderId="18" xfId="1" applyFont="1" applyFill="1" applyBorder="1" applyAlignment="1">
      <alignment vertical="center"/>
    </xf>
    <xf numFmtId="165" fontId="0" fillId="0" borderId="0" xfId="0" applyNumberFormat="1"/>
    <xf numFmtId="0" fontId="4" fillId="0" borderId="0" xfId="0" applyFont="1" applyAlignment="1">
      <alignment horizontal="left"/>
    </xf>
    <xf numFmtId="43" fontId="0" fillId="0" borderId="0" xfId="0" applyNumberFormat="1"/>
    <xf numFmtId="0" fontId="0" fillId="10" borderId="0" xfId="0" applyFill="1"/>
    <xf numFmtId="0" fontId="2" fillId="10" borderId="29" xfId="0" applyFont="1" applyFill="1" applyBorder="1" applyAlignment="1">
      <alignment horizontal="center"/>
    </xf>
    <xf numFmtId="0" fontId="2" fillId="10" borderId="30" xfId="0" applyFont="1" applyFill="1" applyBorder="1" applyAlignment="1">
      <alignment horizontal="center"/>
    </xf>
    <xf numFmtId="0" fontId="2" fillId="10" borderId="31" xfId="0" applyFont="1" applyFill="1" applyBorder="1" applyAlignment="1">
      <alignment horizontal="center"/>
    </xf>
    <xf numFmtId="0" fontId="12" fillId="11" borderId="32" xfId="0" applyFont="1" applyFill="1" applyBorder="1"/>
    <xf numFmtId="0" fontId="2" fillId="10" borderId="0" xfId="0" applyFont="1" applyFill="1" applyAlignment="1">
      <alignment horizontal="center"/>
    </xf>
    <xf numFmtId="43" fontId="3" fillId="0" borderId="0" xfId="0" applyNumberFormat="1" applyFont="1"/>
    <xf numFmtId="43" fontId="18" fillId="0" borderId="3" xfId="1" applyFont="1" applyBorder="1"/>
    <xf numFmtId="43" fontId="18" fillId="0" borderId="16" xfId="1" applyFont="1" applyFill="1" applyBorder="1" applyAlignment="1">
      <alignment vertical="center"/>
    </xf>
    <xf numFmtId="166" fontId="0" fillId="0" borderId="0" xfId="0" applyNumberFormat="1"/>
    <xf numFmtId="165" fontId="19" fillId="0" borderId="0" xfId="0" applyNumberFormat="1" applyFont="1" applyAlignment="1">
      <alignment horizontal="center"/>
    </xf>
    <xf numFmtId="0" fontId="2" fillId="10" borderId="36" xfId="0" applyFont="1" applyFill="1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169" fontId="13" fillId="0" borderId="0" xfId="0" applyNumberFormat="1" applyFont="1"/>
    <xf numFmtId="20" fontId="0" fillId="0" borderId="0" xfId="0" applyNumberFormat="1"/>
    <xf numFmtId="166" fontId="0" fillId="0" borderId="26" xfId="1" applyNumberFormat="1" applyFont="1" applyBorder="1"/>
    <xf numFmtId="166" fontId="0" fillId="0" borderId="27" xfId="1" applyNumberFormat="1" applyFont="1" applyBorder="1"/>
    <xf numFmtId="166" fontId="0" fillId="0" borderId="28" xfId="0" applyNumberFormat="1" applyBorder="1"/>
    <xf numFmtId="166" fontId="0" fillId="0" borderId="15" xfId="1" applyNumberFormat="1" applyFont="1" applyBorder="1"/>
    <xf numFmtId="166" fontId="0" fillId="0" borderId="16" xfId="1" applyNumberFormat="1" applyFont="1" applyBorder="1"/>
    <xf numFmtId="166" fontId="0" fillId="0" borderId="18" xfId="0" applyNumberFormat="1" applyBorder="1"/>
    <xf numFmtId="166" fontId="0" fillId="11" borderId="33" xfId="0" applyNumberFormat="1" applyFill="1" applyBorder="1"/>
    <xf numFmtId="170" fontId="0" fillId="0" borderId="0" xfId="1" applyNumberFormat="1" applyFont="1" applyFill="1"/>
    <xf numFmtId="43" fontId="0" fillId="0" borderId="0" xfId="1" applyFont="1" applyFill="1"/>
    <xf numFmtId="169" fontId="13" fillId="0" borderId="0" xfId="1" applyNumberFormat="1" applyFont="1" applyFill="1"/>
    <xf numFmtId="171" fontId="0" fillId="0" borderId="0" xfId="0" applyNumberFormat="1"/>
    <xf numFmtId="43" fontId="10" fillId="0" borderId="41" xfId="1" applyFont="1" applyFill="1" applyBorder="1" applyAlignment="1">
      <alignment vertical="center"/>
    </xf>
    <xf numFmtId="43" fontId="10" fillId="13" borderId="18" xfId="1" applyFont="1" applyFill="1" applyBorder="1" applyAlignment="1">
      <alignment vertical="center"/>
    </xf>
    <xf numFmtId="43" fontId="2" fillId="10" borderId="0" xfId="1" applyFont="1" applyFill="1" applyAlignment="1">
      <alignment horizontal="center"/>
    </xf>
    <xf numFmtId="43" fontId="15" fillId="0" borderId="3" xfId="0" applyNumberFormat="1" applyFont="1" applyBorder="1"/>
    <xf numFmtId="165" fontId="13" fillId="0" borderId="0" xfId="0" applyNumberFormat="1" applyFont="1"/>
    <xf numFmtId="166" fontId="0" fillId="0" borderId="0" xfId="1" applyNumberFormat="1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43" fontId="13" fillId="0" borderId="16" xfId="0" applyNumberFormat="1" applyFont="1" applyBorder="1" applyAlignment="1">
      <alignment vertical="center"/>
    </xf>
    <xf numFmtId="15" fontId="9" fillId="7" borderId="26" xfId="0" applyNumberFormat="1" applyFont="1" applyFill="1" applyBorder="1" applyAlignment="1">
      <alignment horizontal="center"/>
    </xf>
    <xf numFmtId="43" fontId="9" fillId="0" borderId="7" xfId="1" applyFont="1" applyFill="1" applyBorder="1" applyAlignment="1">
      <alignment vertical="center"/>
    </xf>
    <xf numFmtId="43" fontId="9" fillId="0" borderId="8" xfId="1" applyFont="1" applyFill="1" applyBorder="1" applyAlignment="1">
      <alignment vertical="center"/>
    </xf>
    <xf numFmtId="43" fontId="18" fillId="0" borderId="8" xfId="1" applyFont="1" applyFill="1" applyBorder="1" applyAlignment="1">
      <alignment vertical="center"/>
    </xf>
    <xf numFmtId="43" fontId="10" fillId="8" borderId="28" xfId="1" applyFont="1" applyFill="1" applyBorder="1" applyAlignment="1">
      <alignment vertical="center"/>
    </xf>
    <xf numFmtId="43" fontId="10" fillId="0" borderId="6" xfId="1" applyFont="1" applyFill="1" applyBorder="1" applyAlignment="1">
      <alignment vertical="center"/>
    </xf>
    <xf numFmtId="43" fontId="10" fillId="13" borderId="9" xfId="1" applyFont="1" applyFill="1" applyBorder="1" applyAlignment="1">
      <alignment vertical="center"/>
    </xf>
    <xf numFmtId="43" fontId="3" fillId="0" borderId="8" xfId="0" applyNumberFormat="1" applyFont="1" applyBorder="1" applyAlignment="1">
      <alignment vertical="center"/>
    </xf>
    <xf numFmtId="43" fontId="10" fillId="9" borderId="9" xfId="1" applyFont="1" applyFill="1" applyBorder="1" applyAlignment="1">
      <alignment vertical="center"/>
    </xf>
    <xf numFmtId="166" fontId="2" fillId="10" borderId="0" xfId="1" applyNumberFormat="1" applyFont="1" applyFill="1" applyAlignment="1">
      <alignment horizontal="center"/>
    </xf>
    <xf numFmtId="43" fontId="13" fillId="0" borderId="8" xfId="0" applyNumberFormat="1" applyFont="1" applyBorder="1" applyAlignment="1">
      <alignment vertical="center"/>
    </xf>
    <xf numFmtId="169" fontId="13" fillId="0" borderId="0" xfId="1" applyNumberFormat="1" applyFont="1" applyFill="1" applyAlignment="1">
      <alignment horizontal="right"/>
    </xf>
    <xf numFmtId="164" fontId="21" fillId="0" borderId="0" xfId="1" applyNumberFormat="1" applyFont="1" applyBorder="1" applyAlignment="1">
      <alignment horizontal="right"/>
    </xf>
    <xf numFmtId="166" fontId="0" fillId="0" borderId="0" xfId="1" applyNumberFormat="1" applyFont="1" applyBorder="1"/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Border="1" applyAlignment="1">
      <alignment horizontal="center"/>
    </xf>
    <xf numFmtId="166" fontId="13" fillId="0" borderId="0" xfId="1" applyNumberFormat="1" applyFont="1" applyBorder="1"/>
    <xf numFmtId="165" fontId="0" fillId="0" borderId="0" xfId="0" applyNumberFormat="1" applyAlignment="1">
      <alignment horizontal="right"/>
    </xf>
    <xf numFmtId="166" fontId="0" fillId="0" borderId="0" xfId="1" applyNumberFormat="1" applyFont="1" applyBorder="1" applyAlignment="1">
      <alignment horizontal="center"/>
    </xf>
    <xf numFmtId="166" fontId="0" fillId="0" borderId="0" xfId="1" applyNumberFormat="1" applyFont="1" applyBorder="1" applyAlignment="1">
      <alignment horizontal="center" vertical="center"/>
    </xf>
    <xf numFmtId="21" fontId="0" fillId="0" borderId="0" xfId="0" applyNumberFormat="1"/>
    <xf numFmtId="0" fontId="19" fillId="0" borderId="0" xfId="0" applyFont="1" applyAlignment="1">
      <alignment horizontal="center"/>
    </xf>
    <xf numFmtId="168" fontId="19" fillId="0" borderId="0" xfId="0" applyNumberFormat="1" applyFont="1" applyAlignment="1">
      <alignment horizontal="center"/>
    </xf>
    <xf numFmtId="49" fontId="19" fillId="0" borderId="0" xfId="0" applyNumberFormat="1" applyFont="1" applyAlignment="1">
      <alignment horizontal="center"/>
    </xf>
    <xf numFmtId="15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5" fontId="19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7" fontId="3" fillId="0" borderId="0" xfId="0" applyNumberFormat="1" applyFont="1"/>
    <xf numFmtId="171" fontId="3" fillId="0" borderId="0" xfId="0" applyNumberFormat="1" applyFont="1"/>
    <xf numFmtId="43" fontId="3" fillId="0" borderId="0" xfId="1" applyFont="1" applyFill="1"/>
    <xf numFmtId="43" fontId="13" fillId="0" borderId="0" xfId="1" applyFont="1" applyFill="1"/>
    <xf numFmtId="170" fontId="0" fillId="0" borderId="0" xfId="1" applyNumberFormat="1" applyFont="1"/>
    <xf numFmtId="164" fontId="23" fillId="0" borderId="0" xfId="1" applyNumberFormat="1" applyFont="1" applyBorder="1" applyAlignment="1">
      <alignment horizontal="right"/>
    </xf>
    <xf numFmtId="169" fontId="0" fillId="0" borderId="0" xfId="1" applyNumberFormat="1" applyFont="1"/>
    <xf numFmtId="167" fontId="13" fillId="0" borderId="0" xfId="0" applyNumberFormat="1" applyFont="1"/>
    <xf numFmtId="20" fontId="13" fillId="0" borderId="0" xfId="0" applyNumberFormat="1" applyFont="1"/>
    <xf numFmtId="0" fontId="3" fillId="0" borderId="0" xfId="0" applyFont="1" applyAlignment="1">
      <alignment horizontal="left"/>
    </xf>
    <xf numFmtId="43" fontId="1" fillId="0" borderId="0" xfId="1" applyFont="1" applyFill="1"/>
    <xf numFmtId="0" fontId="13" fillId="0" borderId="0" xfId="0" applyFont="1" applyAlignment="1">
      <alignment horizontal="left"/>
    </xf>
    <xf numFmtId="171" fontId="13" fillId="0" borderId="0" xfId="0" applyNumberFormat="1" applyFont="1"/>
    <xf numFmtId="164" fontId="24" fillId="0" borderId="0" xfId="1" applyNumberFormat="1" applyFont="1" applyBorder="1" applyAlignment="1">
      <alignment horizontal="right"/>
    </xf>
    <xf numFmtId="172" fontId="0" fillId="0" borderId="0" xfId="0" applyNumberFormat="1"/>
    <xf numFmtId="43" fontId="13" fillId="0" borderId="0" xfId="1" applyFont="1"/>
    <xf numFmtId="43" fontId="0" fillId="0" borderId="0" xfId="1" applyFont="1" applyAlignment="1">
      <alignment horizontal="left"/>
    </xf>
    <xf numFmtId="43" fontId="13" fillId="0" borderId="0" xfId="1" applyFont="1" applyAlignment="1">
      <alignment horizontal="left"/>
    </xf>
    <xf numFmtId="169" fontId="3" fillId="0" borderId="0" xfId="0" applyNumberFormat="1" applyFont="1"/>
    <xf numFmtId="21" fontId="3" fillId="0" borderId="0" xfId="0" applyNumberFormat="1" applyFont="1"/>
    <xf numFmtId="43" fontId="3" fillId="0" borderId="0" xfId="1" applyFont="1"/>
    <xf numFmtId="165" fontId="25" fillId="0" borderId="0" xfId="0" applyNumberFormat="1" applyFont="1" applyAlignment="1">
      <alignment horizontal="center"/>
    </xf>
    <xf numFmtId="20" fontId="3" fillId="0" borderId="0" xfId="0" applyNumberFormat="1" applyFont="1"/>
    <xf numFmtId="170" fontId="3" fillId="0" borderId="0" xfId="1" applyNumberFormat="1" applyFont="1" applyFill="1"/>
    <xf numFmtId="43" fontId="23" fillId="0" borderId="0" xfId="1" applyFont="1" applyBorder="1" applyAlignment="1">
      <alignment horizontal="right"/>
    </xf>
    <xf numFmtId="43" fontId="3" fillId="0" borderId="0" xfId="1" applyFont="1" applyAlignment="1">
      <alignment horizontal="left"/>
    </xf>
    <xf numFmtId="43" fontId="26" fillId="8" borderId="18" xfId="1" applyFont="1" applyFill="1" applyBorder="1" applyAlignment="1">
      <alignment vertical="center"/>
    </xf>
    <xf numFmtId="43" fontId="24" fillId="0" borderId="0" xfId="1" applyFont="1" applyBorder="1" applyAlignment="1">
      <alignment horizontal="right"/>
    </xf>
    <xf numFmtId="0" fontId="7" fillId="6" borderId="8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12" borderId="37" xfId="0" applyFont="1" applyFill="1" applyBorder="1" applyAlignment="1">
      <alignment horizontal="center" vertical="center" wrapText="1"/>
    </xf>
    <xf numFmtId="0" fontId="5" fillId="12" borderId="3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13" borderId="43" xfId="0" applyFont="1" applyFill="1" applyBorder="1" applyAlignment="1">
      <alignment horizontal="center" vertical="center" wrapText="1"/>
    </xf>
    <xf numFmtId="0" fontId="5" fillId="13" borderId="39" xfId="0" applyFont="1" applyFill="1" applyBorder="1" applyAlignment="1">
      <alignment horizontal="center" vertical="center" wrapText="1"/>
    </xf>
    <xf numFmtId="0" fontId="5" fillId="13" borderId="40" xfId="0" applyFont="1" applyFill="1" applyBorder="1" applyAlignment="1">
      <alignment horizontal="center" vertical="center" wrapText="1"/>
    </xf>
    <xf numFmtId="0" fontId="5" fillId="12" borderId="42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center" wrapText="1"/>
    </xf>
    <xf numFmtId="0" fontId="22" fillId="6" borderId="11" xfId="0" applyFont="1" applyFill="1" applyBorder="1" applyAlignment="1">
      <alignment horizontal="center" vertical="center" wrapText="1"/>
    </xf>
    <xf numFmtId="43" fontId="6" fillId="8" borderId="18" xfId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302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2</xdr:row>
      <xdr:rowOff>99784</xdr:rowOff>
    </xdr:from>
    <xdr:to>
      <xdr:col>2</xdr:col>
      <xdr:colOff>189571</xdr:colOff>
      <xdr:row>4</xdr:row>
      <xdr:rowOff>126998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9A6CE7-29BE-4121-AD03-98ACA6161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5224"/>
        <a:stretch/>
      </xdr:blipFill>
      <xdr:spPr>
        <a:xfrm>
          <a:off x="636814" y="468084"/>
          <a:ext cx="1260907" cy="395514"/>
        </a:xfrm>
        <a:prstGeom prst="rect">
          <a:avLst/>
        </a:prstGeom>
      </xdr:spPr>
    </xdr:pic>
    <xdr:clientData/>
  </xdr:twoCellAnchor>
  <xdr:twoCellAnchor>
    <xdr:from>
      <xdr:col>9</xdr:col>
      <xdr:colOff>834578</xdr:colOff>
      <xdr:row>1</xdr:row>
      <xdr:rowOff>136071</xdr:rowOff>
    </xdr:from>
    <xdr:to>
      <xdr:col>11</xdr:col>
      <xdr:colOff>780123</xdr:colOff>
      <xdr:row>5</xdr:row>
      <xdr:rowOff>1507</xdr:rowOff>
    </xdr:to>
    <xdr:pic>
      <xdr:nvPicPr>
        <xdr:cNvPr id="3" name="Dole_leafLogo.png" descr="Dole_leafLogo.png">
          <a:extLst>
            <a:ext uri="{FF2B5EF4-FFF2-40B4-BE49-F238E27FC236}">
              <a16:creationId xmlns:a16="http://schemas.microsoft.com/office/drawing/2014/main" id="{7BB107ED-82CF-41FB-81A2-2729845A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7828" y="320221"/>
          <a:ext cx="1164745" cy="722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2</xdr:row>
      <xdr:rowOff>99784</xdr:rowOff>
    </xdr:from>
    <xdr:to>
      <xdr:col>2</xdr:col>
      <xdr:colOff>189571</xdr:colOff>
      <xdr:row>4</xdr:row>
      <xdr:rowOff>126998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8F2B5-0630-404F-8628-453156F0B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5224"/>
        <a:stretch/>
      </xdr:blipFill>
      <xdr:spPr>
        <a:xfrm>
          <a:off x="636814" y="468084"/>
          <a:ext cx="1260907" cy="395514"/>
        </a:xfrm>
        <a:prstGeom prst="rect">
          <a:avLst/>
        </a:prstGeom>
      </xdr:spPr>
    </xdr:pic>
    <xdr:clientData/>
  </xdr:twoCellAnchor>
  <xdr:twoCellAnchor>
    <xdr:from>
      <xdr:col>9</xdr:col>
      <xdr:colOff>834578</xdr:colOff>
      <xdr:row>1</xdr:row>
      <xdr:rowOff>136071</xdr:rowOff>
    </xdr:from>
    <xdr:to>
      <xdr:col>11</xdr:col>
      <xdr:colOff>780123</xdr:colOff>
      <xdr:row>5</xdr:row>
      <xdr:rowOff>1507</xdr:rowOff>
    </xdr:to>
    <xdr:pic>
      <xdr:nvPicPr>
        <xdr:cNvPr id="3" name="Dole_leafLogo.png" descr="Dole_leafLogo.png">
          <a:extLst>
            <a:ext uri="{FF2B5EF4-FFF2-40B4-BE49-F238E27FC236}">
              <a16:creationId xmlns:a16="http://schemas.microsoft.com/office/drawing/2014/main" id="{FCAD7822-71DE-4FEC-B80E-E495162CA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7828" y="320221"/>
          <a:ext cx="1164745" cy="722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2</xdr:row>
      <xdr:rowOff>99784</xdr:rowOff>
    </xdr:from>
    <xdr:to>
      <xdr:col>2</xdr:col>
      <xdr:colOff>189571</xdr:colOff>
      <xdr:row>4</xdr:row>
      <xdr:rowOff>126998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96AA3C-B77A-4882-BA10-B65F6E94B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5224"/>
        <a:stretch/>
      </xdr:blipFill>
      <xdr:spPr>
        <a:xfrm>
          <a:off x="636814" y="468084"/>
          <a:ext cx="1260907" cy="395514"/>
        </a:xfrm>
        <a:prstGeom prst="rect">
          <a:avLst/>
        </a:prstGeom>
      </xdr:spPr>
    </xdr:pic>
    <xdr:clientData/>
  </xdr:twoCellAnchor>
  <xdr:twoCellAnchor>
    <xdr:from>
      <xdr:col>9</xdr:col>
      <xdr:colOff>834578</xdr:colOff>
      <xdr:row>1</xdr:row>
      <xdr:rowOff>136071</xdr:rowOff>
    </xdr:from>
    <xdr:to>
      <xdr:col>11</xdr:col>
      <xdr:colOff>780123</xdr:colOff>
      <xdr:row>5</xdr:row>
      <xdr:rowOff>1507</xdr:rowOff>
    </xdr:to>
    <xdr:pic>
      <xdr:nvPicPr>
        <xdr:cNvPr id="3" name="Dole_leafLogo.png" descr="Dole_leafLogo.png">
          <a:extLst>
            <a:ext uri="{FF2B5EF4-FFF2-40B4-BE49-F238E27FC236}">
              <a16:creationId xmlns:a16="http://schemas.microsoft.com/office/drawing/2014/main" id="{6F3AF175-45BF-4AC3-A46C-A868C539C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8578" y="320221"/>
          <a:ext cx="1164745" cy="722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2</xdr:row>
      <xdr:rowOff>99784</xdr:rowOff>
    </xdr:from>
    <xdr:to>
      <xdr:col>2</xdr:col>
      <xdr:colOff>189571</xdr:colOff>
      <xdr:row>4</xdr:row>
      <xdr:rowOff>126998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34F02-F97C-44CC-BC3E-9B783AB139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5224"/>
        <a:stretch/>
      </xdr:blipFill>
      <xdr:spPr>
        <a:xfrm>
          <a:off x="636814" y="468084"/>
          <a:ext cx="1260907" cy="395514"/>
        </a:xfrm>
        <a:prstGeom prst="rect">
          <a:avLst/>
        </a:prstGeom>
      </xdr:spPr>
    </xdr:pic>
    <xdr:clientData/>
  </xdr:twoCellAnchor>
  <xdr:twoCellAnchor>
    <xdr:from>
      <xdr:col>9</xdr:col>
      <xdr:colOff>834578</xdr:colOff>
      <xdr:row>1</xdr:row>
      <xdr:rowOff>136071</xdr:rowOff>
    </xdr:from>
    <xdr:to>
      <xdr:col>11</xdr:col>
      <xdr:colOff>780123</xdr:colOff>
      <xdr:row>5</xdr:row>
      <xdr:rowOff>1507</xdr:rowOff>
    </xdr:to>
    <xdr:pic>
      <xdr:nvPicPr>
        <xdr:cNvPr id="3" name="Dole_leafLogo.png" descr="Dole_leafLogo.png">
          <a:extLst>
            <a:ext uri="{FF2B5EF4-FFF2-40B4-BE49-F238E27FC236}">
              <a16:creationId xmlns:a16="http://schemas.microsoft.com/office/drawing/2014/main" id="{0BE17D4C-53EA-43C5-B89A-025F57682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2078" y="320221"/>
          <a:ext cx="1164745" cy="722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2</xdr:row>
      <xdr:rowOff>99784</xdr:rowOff>
    </xdr:from>
    <xdr:to>
      <xdr:col>2</xdr:col>
      <xdr:colOff>189571</xdr:colOff>
      <xdr:row>4</xdr:row>
      <xdr:rowOff>126998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125DAD-C807-4A75-A498-A7F00A7D08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5224"/>
        <a:stretch/>
      </xdr:blipFill>
      <xdr:spPr>
        <a:xfrm>
          <a:off x="636814" y="468084"/>
          <a:ext cx="1260907" cy="395514"/>
        </a:xfrm>
        <a:prstGeom prst="rect">
          <a:avLst/>
        </a:prstGeom>
      </xdr:spPr>
    </xdr:pic>
    <xdr:clientData/>
  </xdr:twoCellAnchor>
  <xdr:twoCellAnchor>
    <xdr:from>
      <xdr:col>9</xdr:col>
      <xdr:colOff>834578</xdr:colOff>
      <xdr:row>1</xdr:row>
      <xdr:rowOff>136071</xdr:rowOff>
    </xdr:from>
    <xdr:to>
      <xdr:col>11</xdr:col>
      <xdr:colOff>780123</xdr:colOff>
      <xdr:row>5</xdr:row>
      <xdr:rowOff>1507</xdr:rowOff>
    </xdr:to>
    <xdr:pic>
      <xdr:nvPicPr>
        <xdr:cNvPr id="3" name="Dole_leafLogo.png" descr="Dole_leafLogo.png">
          <a:extLst>
            <a:ext uri="{FF2B5EF4-FFF2-40B4-BE49-F238E27FC236}">
              <a16:creationId xmlns:a16="http://schemas.microsoft.com/office/drawing/2014/main" id="{44AD8B95-3194-4AC1-8508-B820DC94E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2078" y="320221"/>
          <a:ext cx="1164745" cy="722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2</xdr:row>
      <xdr:rowOff>99784</xdr:rowOff>
    </xdr:from>
    <xdr:to>
      <xdr:col>2</xdr:col>
      <xdr:colOff>189571</xdr:colOff>
      <xdr:row>4</xdr:row>
      <xdr:rowOff>126998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554D2-7566-4389-B9C1-F6ACF0FD41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5224"/>
        <a:stretch/>
      </xdr:blipFill>
      <xdr:spPr>
        <a:xfrm>
          <a:off x="636814" y="468084"/>
          <a:ext cx="1260907" cy="395514"/>
        </a:xfrm>
        <a:prstGeom prst="rect">
          <a:avLst/>
        </a:prstGeom>
      </xdr:spPr>
    </xdr:pic>
    <xdr:clientData/>
  </xdr:twoCellAnchor>
  <xdr:twoCellAnchor>
    <xdr:from>
      <xdr:col>9</xdr:col>
      <xdr:colOff>834578</xdr:colOff>
      <xdr:row>1</xdr:row>
      <xdr:rowOff>136071</xdr:rowOff>
    </xdr:from>
    <xdr:to>
      <xdr:col>11</xdr:col>
      <xdr:colOff>780123</xdr:colOff>
      <xdr:row>5</xdr:row>
      <xdr:rowOff>1507</xdr:rowOff>
    </xdr:to>
    <xdr:pic>
      <xdr:nvPicPr>
        <xdr:cNvPr id="3" name="Dole_leafLogo.png" descr="Dole_leafLogo.png">
          <a:extLst>
            <a:ext uri="{FF2B5EF4-FFF2-40B4-BE49-F238E27FC236}">
              <a16:creationId xmlns:a16="http://schemas.microsoft.com/office/drawing/2014/main" id="{B0B16994-BD2C-434C-AC41-B22307901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2078" y="320221"/>
          <a:ext cx="1164745" cy="722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2</xdr:row>
      <xdr:rowOff>99784</xdr:rowOff>
    </xdr:from>
    <xdr:to>
      <xdr:col>2</xdr:col>
      <xdr:colOff>189571</xdr:colOff>
      <xdr:row>4</xdr:row>
      <xdr:rowOff>126998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982C7-2A6A-4FD5-8589-4AB57C44E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5224"/>
        <a:stretch/>
      </xdr:blipFill>
      <xdr:spPr>
        <a:xfrm>
          <a:off x="636814" y="468084"/>
          <a:ext cx="1260907" cy="395514"/>
        </a:xfrm>
        <a:prstGeom prst="rect">
          <a:avLst/>
        </a:prstGeom>
      </xdr:spPr>
    </xdr:pic>
    <xdr:clientData/>
  </xdr:twoCellAnchor>
  <xdr:twoCellAnchor>
    <xdr:from>
      <xdr:col>9</xdr:col>
      <xdr:colOff>834578</xdr:colOff>
      <xdr:row>1</xdr:row>
      <xdr:rowOff>136071</xdr:rowOff>
    </xdr:from>
    <xdr:to>
      <xdr:col>11</xdr:col>
      <xdr:colOff>780123</xdr:colOff>
      <xdr:row>5</xdr:row>
      <xdr:rowOff>1507</xdr:rowOff>
    </xdr:to>
    <xdr:pic>
      <xdr:nvPicPr>
        <xdr:cNvPr id="3" name="Dole_leafLogo.png" descr="Dole_leafLogo.png">
          <a:extLst>
            <a:ext uri="{FF2B5EF4-FFF2-40B4-BE49-F238E27FC236}">
              <a16:creationId xmlns:a16="http://schemas.microsoft.com/office/drawing/2014/main" id="{FEF28D9E-36F0-467E-87C0-313089BAF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2078" y="320221"/>
          <a:ext cx="1164745" cy="722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2</xdr:row>
      <xdr:rowOff>99784</xdr:rowOff>
    </xdr:from>
    <xdr:to>
      <xdr:col>2</xdr:col>
      <xdr:colOff>189571</xdr:colOff>
      <xdr:row>4</xdr:row>
      <xdr:rowOff>126998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4663AF-3BAE-4164-86A6-43DEA5EA27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5224"/>
        <a:stretch/>
      </xdr:blipFill>
      <xdr:spPr>
        <a:xfrm>
          <a:off x="636814" y="468084"/>
          <a:ext cx="1260907" cy="395514"/>
        </a:xfrm>
        <a:prstGeom prst="rect">
          <a:avLst/>
        </a:prstGeom>
      </xdr:spPr>
    </xdr:pic>
    <xdr:clientData/>
  </xdr:twoCellAnchor>
  <xdr:twoCellAnchor>
    <xdr:from>
      <xdr:col>9</xdr:col>
      <xdr:colOff>834578</xdr:colOff>
      <xdr:row>1</xdr:row>
      <xdr:rowOff>136071</xdr:rowOff>
    </xdr:from>
    <xdr:to>
      <xdr:col>11</xdr:col>
      <xdr:colOff>780123</xdr:colOff>
      <xdr:row>5</xdr:row>
      <xdr:rowOff>1507</xdr:rowOff>
    </xdr:to>
    <xdr:pic>
      <xdr:nvPicPr>
        <xdr:cNvPr id="3" name="Dole_leafLogo.png" descr="Dole_leafLogo.png">
          <a:extLst>
            <a:ext uri="{FF2B5EF4-FFF2-40B4-BE49-F238E27FC236}">
              <a16:creationId xmlns:a16="http://schemas.microsoft.com/office/drawing/2014/main" id="{A2C7B8F3-3768-413A-A6DE-41DC7DB13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2078" y="320221"/>
          <a:ext cx="1164745" cy="722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rancis David A. Requillo" id="{CED92770-A5A4-48E7-9AF8-FA0E5FC41C89}" userId="S::francis.requillo@metpower-operation.net::938101be-5292-40fe-8fb0-a2f5950234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1" dT="2024-05-17T07:27:02.14" personId="{CED92770-A5A4-48E7-9AF8-FA0E5FC41C89}" id="{8DAE9123-6877-49DA-ADC8-5B35D7F47CE1}">
    <text>DEDUCTED MISSING WEIGHTAG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1" dT="2024-05-17T07:27:02.14" personId="{CED92770-A5A4-48E7-9AF8-FA0E5FC41C89}" id="{D26F59F4-9A7D-4A8C-B200-53979D9B1177}">
    <text>DEDUCTED MISSING WEIGHTAG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41" dT="2024-05-17T07:27:02.14" personId="{CED92770-A5A4-48E7-9AF8-FA0E5FC41C89}" id="{274FC397-6F39-4A50-8187-4A2126563FD1}">
    <text>DEDUCTED MISSING WEIGHTAG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Q41" dT="2024-05-17T07:27:02.14" personId="{CED92770-A5A4-48E7-9AF8-FA0E5FC41C89}" id="{314C0C44-FCE2-465B-8EB8-BB94EC99D4BF}">
    <text>DEDUCTED MISSING WEIGHTAG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Q41" dT="2024-05-17T07:27:02.14" personId="{CED92770-A5A4-48E7-9AF8-FA0E5FC41C89}" id="{D7B635D7-094A-4339-8889-E6C1150AC150}">
    <text>DEDUCTED MISSING WEIGHTAG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Q41" dT="2024-05-17T07:27:02.14" personId="{CED92770-A5A4-48E7-9AF8-FA0E5FC41C89}" id="{0FA6EFD4-28BE-489D-BCA1-F284C641C734}">
    <text>DEDUCTED MISSING WEIGHTAG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Q41" dT="2024-05-17T07:27:02.14" personId="{CED92770-A5A4-48E7-9AF8-FA0E5FC41C89}" id="{DD1B25B4-B4D8-4B02-938E-4AA331606EF0}">
    <text>DEDUCTED MISSING WEIGHTAG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Q41" dT="2024-05-17T07:27:02.14" personId="{CED92770-A5A4-48E7-9AF8-FA0E5FC41C89}" id="{4C663E76-F047-4073-B611-2D439F575A77}">
    <text>DEDUCTED MISSING WEIGHTAG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7FDB-1E92-4C9E-A6BF-AB5D25A79EB8}">
  <sheetPr>
    <pageSetUpPr fitToPage="1"/>
  </sheetPr>
  <dimension ref="B1:BE774"/>
  <sheetViews>
    <sheetView showGridLines="0" tabSelected="1" zoomScale="70" zoomScaleNormal="55" workbookViewId="0">
      <selection activeCell="M17" sqref="M17"/>
    </sheetView>
  </sheetViews>
  <sheetFormatPr defaultRowHeight="14.5" x14ac:dyDescent="0.35"/>
  <cols>
    <col min="2" max="2" width="15.7265625" customWidth="1"/>
    <col min="3" max="3" width="10.26953125" bestFit="1" customWidth="1"/>
    <col min="4" max="4" width="8.6328125" bestFit="1" customWidth="1"/>
    <col min="5" max="5" width="9.7265625" bestFit="1" customWidth="1"/>
    <col min="6" max="6" width="8.1796875" bestFit="1" customWidth="1"/>
    <col min="7" max="7" width="12.453125" bestFit="1" customWidth="1"/>
    <col min="8" max="8" width="12.81640625" customWidth="1"/>
    <col min="9" max="9" width="13" customWidth="1"/>
    <col min="10" max="10" width="17.453125" customWidth="1"/>
    <col min="11" max="11" width="11.7265625" hidden="1" customWidth="1"/>
    <col min="12" max="12" width="12" customWidth="1"/>
    <col min="14" max="14" width="12.81640625" bestFit="1" customWidth="1"/>
    <col min="15" max="16" width="10.36328125" customWidth="1"/>
    <col min="18" max="18" width="10.1796875" bestFit="1" customWidth="1"/>
    <col min="21" max="21" width="2.453125" style="24" customWidth="1"/>
    <col min="22" max="22" width="13.36328125" customWidth="1"/>
    <col min="24" max="24" width="13.453125" customWidth="1"/>
    <col min="25" max="25" width="13.453125" style="37" customWidth="1"/>
    <col min="26" max="27" width="19.7265625" bestFit="1" customWidth="1"/>
    <col min="28" max="29" width="19.7265625" customWidth="1"/>
    <col min="30" max="30" width="15.54296875" bestFit="1" customWidth="1"/>
    <col min="31" max="31" width="10.81640625" customWidth="1"/>
    <col min="32" max="32" width="19.453125" bestFit="1" customWidth="1"/>
    <col min="33" max="33" width="19.453125" customWidth="1"/>
    <col min="34" max="34" width="24.08984375" bestFit="1" customWidth="1"/>
    <col min="35" max="35" width="2.453125" style="24" customWidth="1"/>
    <col min="36" max="36" width="13.6328125" customWidth="1"/>
    <col min="37" max="37" width="20.90625" bestFit="1" customWidth="1"/>
    <col min="38" max="38" width="11.6328125" customWidth="1"/>
    <col min="39" max="39" width="12.81640625" bestFit="1" customWidth="1"/>
    <col min="40" max="40" width="19.7265625" bestFit="1" customWidth="1"/>
    <col min="41" max="41" width="29.7265625" bestFit="1" customWidth="1"/>
    <col min="42" max="42" width="12.453125" bestFit="1" customWidth="1"/>
    <col min="43" max="45" width="13.26953125" customWidth="1"/>
    <col min="46" max="46" width="2.453125" style="24" customWidth="1"/>
    <col min="47" max="47" width="14.1796875" customWidth="1"/>
    <col min="48" max="48" width="11.453125" customWidth="1"/>
    <col min="49" max="49" width="11.6328125" customWidth="1"/>
    <col min="50" max="50" width="12.81640625" bestFit="1" customWidth="1"/>
    <col min="51" max="51" width="19.7265625" bestFit="1" customWidth="1"/>
    <col min="52" max="52" width="23.08984375" bestFit="1" customWidth="1"/>
    <col min="53" max="53" width="12.453125" bestFit="1" customWidth="1"/>
    <col min="54" max="54" width="13.26953125" customWidth="1"/>
    <col min="55" max="55" width="15.7265625" customWidth="1"/>
    <col min="56" max="56" width="13.26953125" customWidth="1"/>
    <col min="57" max="57" width="2.453125" style="24" customWidth="1"/>
  </cols>
  <sheetData>
    <row r="1" spans="2:56" x14ac:dyDescent="0.35">
      <c r="AA1" s="15" t="s">
        <v>26</v>
      </c>
      <c r="AN1" s="15" t="s">
        <v>26</v>
      </c>
      <c r="AY1" s="15" t="s">
        <v>26</v>
      </c>
    </row>
    <row r="2" spans="2:56" x14ac:dyDescent="0.35">
      <c r="V2" s="15" t="s">
        <v>27</v>
      </c>
      <c r="AJ2" s="15" t="s">
        <v>28</v>
      </c>
      <c r="AK2" s="15"/>
      <c r="AU2" s="15" t="s">
        <v>28</v>
      </c>
      <c r="AV2" s="15"/>
    </row>
    <row r="3" spans="2:56" x14ac:dyDescent="0.35">
      <c r="B3" s="120" t="s">
        <v>25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V3" s="15" t="s">
        <v>33</v>
      </c>
      <c r="AJ3" s="15" t="s">
        <v>1545</v>
      </c>
      <c r="AK3" s="15"/>
      <c r="AU3" s="15" t="s">
        <v>33</v>
      </c>
      <c r="AV3" s="15"/>
    </row>
    <row r="4" spans="2:56" x14ac:dyDescent="0.35"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V4" s="29" t="s">
        <v>0</v>
      </c>
      <c r="W4" s="29" t="s">
        <v>15</v>
      </c>
      <c r="X4" s="29" t="s">
        <v>16</v>
      </c>
      <c r="Y4" s="53" t="s">
        <v>16</v>
      </c>
      <c r="Z4" s="29" t="s">
        <v>17</v>
      </c>
      <c r="AA4" s="29" t="s">
        <v>18</v>
      </c>
      <c r="AB4" s="29" t="s">
        <v>20</v>
      </c>
      <c r="AC4" s="29" t="s">
        <v>21</v>
      </c>
      <c r="AD4" s="29" t="s">
        <v>19</v>
      </c>
      <c r="AE4" s="29" t="s">
        <v>44</v>
      </c>
      <c r="AF4" s="53" t="s">
        <v>43</v>
      </c>
      <c r="AG4" s="53" t="s">
        <v>46</v>
      </c>
      <c r="AH4" s="53" t="s">
        <v>41</v>
      </c>
      <c r="AJ4" s="29" t="s">
        <v>0</v>
      </c>
      <c r="AK4" s="29" t="s">
        <v>37</v>
      </c>
      <c r="AL4" s="29" t="s">
        <v>16</v>
      </c>
      <c r="AM4" s="29" t="s">
        <v>16</v>
      </c>
      <c r="AN4" s="29" t="s">
        <v>17</v>
      </c>
      <c r="AO4" s="29" t="s">
        <v>18</v>
      </c>
      <c r="AP4" s="29" t="s">
        <v>19</v>
      </c>
      <c r="AQ4" s="29" t="s">
        <v>34</v>
      </c>
      <c r="AR4" s="29" t="s">
        <v>39</v>
      </c>
      <c r="AS4" s="29" t="s">
        <v>47</v>
      </c>
      <c r="AU4" s="29" t="s">
        <v>0</v>
      </c>
      <c r="AV4" s="29" t="s">
        <v>37</v>
      </c>
      <c r="AW4" s="29" t="s">
        <v>16</v>
      </c>
      <c r="AX4" s="29" t="s">
        <v>16</v>
      </c>
      <c r="AY4" s="29" t="s">
        <v>17</v>
      </c>
      <c r="AZ4" s="29" t="s">
        <v>18</v>
      </c>
      <c r="BA4" s="29" t="s">
        <v>19</v>
      </c>
      <c r="BB4" s="29" t="s">
        <v>34</v>
      </c>
      <c r="BC4" s="29" t="s">
        <v>39</v>
      </c>
      <c r="BD4" s="29" t="s">
        <v>47</v>
      </c>
    </row>
    <row r="5" spans="2:56" ht="24" thickBot="1" x14ac:dyDescent="0.6">
      <c r="B5" s="121" t="s">
        <v>2699</v>
      </c>
      <c r="C5" s="121"/>
      <c r="D5" s="121"/>
      <c r="E5" s="121"/>
      <c r="F5" s="121"/>
      <c r="G5" s="121"/>
      <c r="H5" s="122"/>
      <c r="I5" s="122"/>
      <c r="J5" s="122"/>
      <c r="K5" s="122"/>
      <c r="L5" s="122"/>
      <c r="V5" s="97">
        <v>45962</v>
      </c>
      <c r="W5">
        <v>214675</v>
      </c>
      <c r="X5" s="101" t="s">
        <v>36</v>
      </c>
      <c r="Y5" s="105"/>
      <c r="Z5" s="50">
        <v>0.76111111111111107</v>
      </c>
      <c r="AA5" s="50">
        <v>0.98819444444444438</v>
      </c>
      <c r="AD5" s="37">
        <v>21174</v>
      </c>
      <c r="AE5" s="93">
        <f t="shared" ref="AE5:AE65" si="0">AD5/1000</f>
        <v>21.173999999999999</v>
      </c>
      <c r="AF5">
        <v>14.63</v>
      </c>
      <c r="AG5" s="103">
        <f t="shared" ref="AG5:AG65" si="1">IF($AF5&gt;14,14,$AF5)</f>
        <v>14</v>
      </c>
      <c r="AH5" s="37">
        <f t="shared" ref="AH5:AH65" si="2">AE5*AG5/14</f>
        <v>21.173999999999999</v>
      </c>
      <c r="AJ5" s="21">
        <v>45964</v>
      </c>
      <c r="AK5" t="s">
        <v>2700</v>
      </c>
      <c r="AL5" t="s">
        <v>5</v>
      </c>
      <c r="AN5" t="s">
        <v>2703</v>
      </c>
      <c r="AO5" t="s">
        <v>2704</v>
      </c>
      <c r="AP5" s="56">
        <v>2990</v>
      </c>
      <c r="AR5" s="97"/>
      <c r="AU5" s="97"/>
      <c r="AY5" s="81"/>
      <c r="AZ5" s="81"/>
      <c r="BA5" s="37"/>
      <c r="BC5" s="97"/>
    </row>
    <row r="6" spans="2:56" ht="28.5" customHeight="1" x14ac:dyDescent="0.4">
      <c r="B6" s="123" t="s">
        <v>0</v>
      </c>
      <c r="C6" s="126" t="s">
        <v>1</v>
      </c>
      <c r="D6" s="127"/>
      <c r="E6" s="127"/>
      <c r="F6" s="128"/>
      <c r="G6" s="129" t="s">
        <v>2</v>
      </c>
      <c r="H6" s="132" t="s">
        <v>40</v>
      </c>
      <c r="I6" s="133"/>
      <c r="J6" s="134" t="s">
        <v>35</v>
      </c>
      <c r="K6" s="135"/>
      <c r="L6" s="138" t="s">
        <v>2</v>
      </c>
      <c r="V6" s="97">
        <v>45962</v>
      </c>
      <c r="W6">
        <v>214679</v>
      </c>
      <c r="X6" s="101" t="s">
        <v>36</v>
      </c>
      <c r="Y6" s="105"/>
      <c r="Z6" s="50">
        <v>0.84305555555555556</v>
      </c>
      <c r="AA6" s="50">
        <v>2.8472222222222222E-2</v>
      </c>
      <c r="AD6" s="37">
        <v>21196</v>
      </c>
      <c r="AE6" s="93">
        <f t="shared" si="0"/>
        <v>21.196000000000002</v>
      </c>
      <c r="AF6">
        <v>15.84</v>
      </c>
      <c r="AG6" s="103">
        <f t="shared" si="1"/>
        <v>14</v>
      </c>
      <c r="AH6" s="37">
        <f t="shared" si="2"/>
        <v>21.196000000000002</v>
      </c>
      <c r="AJ6" s="21">
        <v>45964</v>
      </c>
      <c r="AK6" t="s">
        <v>2701</v>
      </c>
      <c r="AL6" t="s">
        <v>5</v>
      </c>
      <c r="AN6" t="s">
        <v>2705</v>
      </c>
      <c r="AO6" t="s">
        <v>2705</v>
      </c>
      <c r="AP6" s="56">
        <v>2830</v>
      </c>
      <c r="AR6" s="97"/>
      <c r="AU6" s="97"/>
      <c r="AY6" s="81"/>
      <c r="BA6" s="37"/>
      <c r="BC6" s="97"/>
    </row>
    <row r="7" spans="2:56" ht="15.5" customHeight="1" x14ac:dyDescent="0.4">
      <c r="B7" s="124"/>
      <c r="C7" s="141" t="s">
        <v>36</v>
      </c>
      <c r="D7" s="143" t="s">
        <v>5</v>
      </c>
      <c r="E7" s="146" t="s">
        <v>4</v>
      </c>
      <c r="F7" s="141">
        <v>104</v>
      </c>
      <c r="G7" s="130"/>
      <c r="H7" s="149" t="s">
        <v>41</v>
      </c>
      <c r="I7" s="152" t="s">
        <v>42</v>
      </c>
      <c r="J7" s="136"/>
      <c r="K7" s="137"/>
      <c r="L7" s="139"/>
      <c r="N7" s="15" t="s">
        <v>32</v>
      </c>
      <c r="V7" s="97">
        <v>45962</v>
      </c>
      <c r="W7">
        <v>214688</v>
      </c>
      <c r="X7" s="101" t="s">
        <v>36</v>
      </c>
      <c r="Y7" s="105"/>
      <c r="Z7" s="50">
        <v>4.1666666666666664E-2</v>
      </c>
      <c r="AA7" s="50">
        <v>0.1013888888888889</v>
      </c>
      <c r="AD7" s="37">
        <v>21852</v>
      </c>
      <c r="AE7" s="93">
        <f t="shared" si="0"/>
        <v>21.852</v>
      </c>
      <c r="AF7">
        <v>15.98</v>
      </c>
      <c r="AG7" s="103">
        <f t="shared" si="1"/>
        <v>14</v>
      </c>
      <c r="AH7" s="37">
        <f t="shared" si="2"/>
        <v>21.852</v>
      </c>
      <c r="AJ7" s="21">
        <v>45964</v>
      </c>
      <c r="AK7" t="s">
        <v>2702</v>
      </c>
      <c r="AL7" t="s">
        <v>5</v>
      </c>
      <c r="AN7" t="s">
        <v>2706</v>
      </c>
      <c r="AO7" t="s">
        <v>2706</v>
      </c>
      <c r="AP7" s="56">
        <v>3000</v>
      </c>
      <c r="AR7" s="97"/>
      <c r="AU7" s="97"/>
      <c r="AY7" s="81"/>
      <c r="AZ7" s="81"/>
      <c r="BA7" s="37"/>
      <c r="BC7" s="97"/>
    </row>
    <row r="8" spans="2:56" ht="15" customHeight="1" thickBot="1" x14ac:dyDescent="0.45">
      <c r="B8" s="124"/>
      <c r="C8" s="141"/>
      <c r="D8" s="144"/>
      <c r="E8" s="147"/>
      <c r="F8" s="141"/>
      <c r="G8" s="130"/>
      <c r="H8" s="150"/>
      <c r="I8" s="153"/>
      <c r="J8" s="155" t="s">
        <v>22</v>
      </c>
      <c r="K8" s="118" t="s">
        <v>5</v>
      </c>
      <c r="L8" s="139"/>
      <c r="N8" s="15" t="s">
        <v>38</v>
      </c>
      <c r="V8" s="97">
        <v>45962</v>
      </c>
      <c r="W8">
        <v>214693</v>
      </c>
      <c r="X8" s="101" t="s">
        <v>36</v>
      </c>
      <c r="Y8" s="105"/>
      <c r="Z8" s="50">
        <v>0.72777777777777775</v>
      </c>
      <c r="AA8" s="50">
        <v>0.18680555555555556</v>
      </c>
      <c r="AD8" s="37">
        <v>22068</v>
      </c>
      <c r="AE8" s="93">
        <f t="shared" si="0"/>
        <v>22.068000000000001</v>
      </c>
      <c r="AF8">
        <v>14.88</v>
      </c>
      <c r="AG8" s="103">
        <f t="shared" si="1"/>
        <v>14</v>
      </c>
      <c r="AH8" s="37">
        <f t="shared" si="2"/>
        <v>22.068000000000001</v>
      </c>
      <c r="AJ8" s="97">
        <v>45964</v>
      </c>
      <c r="AK8" t="s">
        <v>2707</v>
      </c>
      <c r="AL8" t="s">
        <v>5</v>
      </c>
      <c r="AM8" s="16"/>
      <c r="AN8" s="81" t="s">
        <v>2759</v>
      </c>
      <c r="AO8" s="81" t="s">
        <v>2759</v>
      </c>
      <c r="AP8" s="37">
        <v>3090</v>
      </c>
      <c r="AR8" s="97"/>
      <c r="AU8" s="97"/>
      <c r="AX8" s="16"/>
      <c r="AY8" s="81"/>
      <c r="AZ8" s="81"/>
      <c r="BA8" s="37"/>
      <c r="BC8" s="97"/>
    </row>
    <row r="9" spans="2:56" ht="16.5" thickBot="1" x14ac:dyDescent="0.45">
      <c r="B9" s="125"/>
      <c r="C9" s="142"/>
      <c r="D9" s="145"/>
      <c r="E9" s="148"/>
      <c r="F9" s="142"/>
      <c r="G9" s="131"/>
      <c r="H9" s="151"/>
      <c r="I9" s="154"/>
      <c r="J9" s="156"/>
      <c r="K9" s="119"/>
      <c r="L9" s="140"/>
      <c r="N9" s="25" t="s">
        <v>36</v>
      </c>
      <c r="O9" s="26" t="s">
        <v>5</v>
      </c>
      <c r="P9" s="35" t="s">
        <v>4</v>
      </c>
      <c r="Q9" s="27" t="s">
        <v>23</v>
      </c>
      <c r="V9" s="97">
        <v>45962</v>
      </c>
      <c r="W9">
        <v>214694</v>
      </c>
      <c r="X9" s="101" t="s">
        <v>36</v>
      </c>
      <c r="Y9" s="105"/>
      <c r="Z9" s="50">
        <v>0.57430555555555551</v>
      </c>
      <c r="AA9" s="50">
        <v>0.26185185185185184</v>
      </c>
      <c r="AD9" s="37">
        <v>20660</v>
      </c>
      <c r="AE9" s="93">
        <f t="shared" si="0"/>
        <v>20.66</v>
      </c>
      <c r="AF9">
        <v>13.73</v>
      </c>
      <c r="AG9" s="103">
        <f t="shared" si="1"/>
        <v>13.73</v>
      </c>
      <c r="AH9" s="37">
        <f t="shared" si="2"/>
        <v>20.261557142857146</v>
      </c>
      <c r="AJ9" s="97">
        <v>45964</v>
      </c>
      <c r="AK9" t="s">
        <v>2708</v>
      </c>
      <c r="AL9" t="s">
        <v>5</v>
      </c>
      <c r="AM9" s="16"/>
      <c r="AN9" s="39" t="s">
        <v>2760</v>
      </c>
      <c r="AO9" s="39" t="s">
        <v>2760</v>
      </c>
      <c r="AP9" s="37">
        <v>3320</v>
      </c>
      <c r="AR9" s="97"/>
      <c r="AU9" s="97"/>
      <c r="AX9" s="16"/>
      <c r="AY9" s="39"/>
      <c r="AZ9" s="39"/>
      <c r="BA9" s="37"/>
      <c r="BC9" s="97"/>
    </row>
    <row r="10" spans="2:56" ht="16" x14ac:dyDescent="0.4">
      <c r="B10" s="60">
        <v>45962</v>
      </c>
      <c r="C10" s="61">
        <f>SUMIFS($AE:$AE,$V:$V,$B10,$X:$X,C$7)-$J10</f>
        <v>106.95</v>
      </c>
      <c r="D10" s="61">
        <f t="shared" ref="D10:E39" si="3">SUMIFS($AP:$AP,$AJ:$AJ,$B10,$AL:$AL,D$7)/1000</f>
        <v>0</v>
      </c>
      <c r="E10" s="62">
        <f t="shared" si="3"/>
        <v>0</v>
      </c>
      <c r="F10" s="63">
        <f>SUMIFS($AD:$AD,$V:$V,$B10,$AB:$AB,$F$7)/1000</f>
        <v>0</v>
      </c>
      <c r="G10" s="64">
        <f>SUM(C10:E10)</f>
        <v>106.95</v>
      </c>
      <c r="H10" s="65">
        <f>SUMIF($V:$V,$B10,$AH:$AH)</f>
        <v>106.55155714285715</v>
      </c>
      <c r="I10" s="66">
        <f>H10+D10+E10</f>
        <v>106.55155714285715</v>
      </c>
      <c r="J10" s="70">
        <f>SUMIFS($AE:$AE,$V:$V,$B10,$AC:$AC,$J$8)</f>
        <v>0</v>
      </c>
      <c r="K10" s="67"/>
      <c r="L10" s="68">
        <f t="shared" ref="L10:L39" si="4">SUM(J10:K10)</f>
        <v>0</v>
      </c>
      <c r="N10" s="40">
        <f>COUNTIFS($V:$V,$B10,$X:$X,N$9)</f>
        <v>5</v>
      </c>
      <c r="O10" s="41">
        <f t="shared" ref="O10:O39" si="5">COUNTIFS($AJ:$AJ,$B10,$AL:$AL,$O$9)</f>
        <v>0</v>
      </c>
      <c r="P10" s="41">
        <f t="shared" ref="P10:P39" si="6">COUNTIFS($AJ:$AJ,$B10,$AL:$AL,P$9)</f>
        <v>0</v>
      </c>
      <c r="Q10" s="42">
        <f>SUM(N10:P10)</f>
        <v>5</v>
      </c>
      <c r="V10" s="97">
        <v>45965</v>
      </c>
      <c r="W10">
        <v>215188</v>
      </c>
      <c r="X10" s="101" t="s">
        <v>36</v>
      </c>
      <c r="Y10" s="105"/>
      <c r="Z10" s="50">
        <v>0.24861111111111112</v>
      </c>
      <c r="AA10" s="50">
        <v>0.35833333333333334</v>
      </c>
      <c r="AD10" s="37">
        <v>19834</v>
      </c>
      <c r="AE10" s="93">
        <f t="shared" si="0"/>
        <v>19.834</v>
      </c>
      <c r="AF10">
        <v>15.95</v>
      </c>
      <c r="AG10" s="103">
        <f t="shared" si="1"/>
        <v>14</v>
      </c>
      <c r="AH10" s="37">
        <f t="shared" si="2"/>
        <v>19.834</v>
      </c>
      <c r="AJ10" s="97">
        <v>45964</v>
      </c>
      <c r="AK10" t="s">
        <v>2709</v>
      </c>
      <c r="AL10" t="s">
        <v>5</v>
      </c>
      <c r="AM10" s="16"/>
      <c r="AN10" s="39" t="s">
        <v>2761</v>
      </c>
      <c r="AO10" s="39" t="s">
        <v>2761</v>
      </c>
      <c r="AP10" s="37">
        <v>3130</v>
      </c>
      <c r="AR10" s="97"/>
      <c r="AU10" s="97"/>
      <c r="AX10" s="16"/>
      <c r="AY10" s="39"/>
      <c r="AZ10" s="39"/>
      <c r="BA10" s="37"/>
      <c r="BC10" s="97"/>
    </row>
    <row r="11" spans="2:56" ht="16" x14ac:dyDescent="0.4">
      <c r="B11" s="1">
        <v>45963</v>
      </c>
      <c r="C11" s="2">
        <f>SUMIFS($AE:$AE,$V:$V,$B11,$X:$X,C$7)-$J11</f>
        <v>0</v>
      </c>
      <c r="D11" s="2">
        <f t="shared" si="3"/>
        <v>0</v>
      </c>
      <c r="E11" s="2">
        <f t="shared" si="3"/>
        <v>0</v>
      </c>
      <c r="F11" s="32">
        <f>SUMIFS($AD:$AD,$V:$V,$B11,$AB:$AB,$F$7)/1000</f>
        <v>0</v>
      </c>
      <c r="G11" s="3">
        <f>SUM(C11:E11)</f>
        <v>0</v>
      </c>
      <c r="H11" s="51">
        <f>SUMIF($V:$V,$B11,$AH:$AH)</f>
        <v>0</v>
      </c>
      <c r="I11" s="52">
        <f>H11+D11+E11</f>
        <v>0</v>
      </c>
      <c r="J11" s="59">
        <f>SUMIFS($AE:$AE,$V:$V,$B11,$AC:$AC,$J$8)</f>
        <v>0</v>
      </c>
      <c r="K11" s="4"/>
      <c r="L11" s="20">
        <f t="shared" si="4"/>
        <v>0</v>
      </c>
      <c r="N11" s="43">
        <f>COUNTIFS($V:$V,$B11,$X:$X,N$9)</f>
        <v>0</v>
      </c>
      <c r="O11" s="44">
        <f t="shared" si="5"/>
        <v>0</v>
      </c>
      <c r="P11" s="41">
        <f t="shared" si="6"/>
        <v>0</v>
      </c>
      <c r="Q11" s="45">
        <f>SUM(N11:P11)</f>
        <v>0</v>
      </c>
      <c r="V11" s="97">
        <v>45965</v>
      </c>
      <c r="W11" s="16">
        <v>215259</v>
      </c>
      <c r="X11" s="101" t="s">
        <v>36</v>
      </c>
      <c r="Y11" s="105"/>
      <c r="Z11" s="50">
        <v>0.25486111111111109</v>
      </c>
      <c r="AA11" s="50">
        <v>0.45277777777777778</v>
      </c>
      <c r="AD11" s="37">
        <v>20228</v>
      </c>
      <c r="AE11" s="93">
        <f t="shared" si="0"/>
        <v>20.228000000000002</v>
      </c>
      <c r="AF11">
        <v>15.16</v>
      </c>
      <c r="AG11" s="103">
        <f t="shared" si="1"/>
        <v>14</v>
      </c>
      <c r="AH11" s="37">
        <f t="shared" si="2"/>
        <v>20.228000000000002</v>
      </c>
      <c r="AJ11" s="97">
        <v>45964</v>
      </c>
      <c r="AK11" t="s">
        <v>2710</v>
      </c>
      <c r="AL11" t="s">
        <v>4</v>
      </c>
      <c r="AM11" s="16"/>
      <c r="AN11" s="39" t="s">
        <v>2762</v>
      </c>
      <c r="AO11" s="39" t="s">
        <v>2763</v>
      </c>
      <c r="AP11" s="37">
        <v>5620</v>
      </c>
      <c r="AR11" s="97"/>
      <c r="AU11" s="97"/>
      <c r="AX11" s="16"/>
      <c r="AY11" s="39"/>
      <c r="AZ11" s="39"/>
      <c r="BA11" s="37"/>
      <c r="BC11" s="97"/>
    </row>
    <row r="12" spans="2:56" ht="16" x14ac:dyDescent="0.4">
      <c r="B12" s="1">
        <v>45964</v>
      </c>
      <c r="C12" s="2">
        <f>SUMIFS($AE:$AE,$V:$V,$B12,$X:$X,C$7)-$J12</f>
        <v>0</v>
      </c>
      <c r="D12" s="2">
        <f t="shared" si="3"/>
        <v>18.36</v>
      </c>
      <c r="E12" s="2">
        <f t="shared" si="3"/>
        <v>5.62</v>
      </c>
      <c r="F12" s="32">
        <f>SUMIFS($AD:$AD,$V:$V,$B12,$AB:$AB,$F$7)/1000</f>
        <v>0</v>
      </c>
      <c r="G12" s="3">
        <f t="shared" ref="G12:G39" si="7">SUM(C12:E12)</f>
        <v>23.98</v>
      </c>
      <c r="H12" s="51">
        <f>SUMIF($V:$V,$B12,$AH:$AH)</f>
        <v>0</v>
      </c>
      <c r="I12" s="52">
        <f t="shared" ref="I12:I39" si="8">H12+D12+E12</f>
        <v>23.98</v>
      </c>
      <c r="J12" s="59">
        <f>SUMIFS($AE:$AE,$V:$V,$B12,$AC:$AC,$J$8)</f>
        <v>0</v>
      </c>
      <c r="K12" s="4"/>
      <c r="L12" s="20">
        <f t="shared" si="4"/>
        <v>0</v>
      </c>
      <c r="N12" s="43">
        <f>COUNTIFS($V:$V,$B12,$X:$X,N$9)</f>
        <v>0</v>
      </c>
      <c r="O12" s="44">
        <f t="shared" si="5"/>
        <v>6</v>
      </c>
      <c r="P12" s="41">
        <f t="shared" si="6"/>
        <v>1</v>
      </c>
      <c r="Q12" s="45">
        <f t="shared" ref="Q12:Q39" si="9">SUM(N12:P12)</f>
        <v>7</v>
      </c>
      <c r="V12" s="97">
        <v>45965</v>
      </c>
      <c r="W12" s="16">
        <v>215282</v>
      </c>
      <c r="X12" s="101" t="s">
        <v>36</v>
      </c>
      <c r="Y12" s="105"/>
      <c r="Z12" s="50">
        <v>0.22638888888888889</v>
      </c>
      <c r="AA12" s="50">
        <v>0.52013888888888882</v>
      </c>
      <c r="AD12" s="37">
        <v>20050</v>
      </c>
      <c r="AE12" s="93">
        <f t="shared" si="0"/>
        <v>20.05</v>
      </c>
      <c r="AF12">
        <v>14.49</v>
      </c>
      <c r="AG12" s="103">
        <f t="shared" si="1"/>
        <v>14</v>
      </c>
      <c r="AH12" s="37">
        <f t="shared" si="2"/>
        <v>20.05</v>
      </c>
      <c r="AJ12" s="97">
        <v>45965</v>
      </c>
      <c r="AK12" t="s">
        <v>2711</v>
      </c>
      <c r="AL12" t="s">
        <v>5</v>
      </c>
      <c r="AM12" s="16"/>
      <c r="AN12" s="39" t="s">
        <v>2764</v>
      </c>
      <c r="AO12" s="39" t="s">
        <v>2764</v>
      </c>
      <c r="AP12" s="37">
        <v>3030</v>
      </c>
      <c r="AR12" s="97"/>
      <c r="AU12" s="97"/>
      <c r="AX12" s="16"/>
      <c r="AY12" s="39"/>
      <c r="AZ12" s="39"/>
      <c r="BA12" s="37"/>
      <c r="BC12" s="97"/>
    </row>
    <row r="13" spans="2:56" ht="16" x14ac:dyDescent="0.4">
      <c r="B13" s="1">
        <v>45965</v>
      </c>
      <c r="C13" s="2">
        <f>SUMIFS($AE:$AE,$V:$V,$B13,$X:$X,C$7)-$J13</f>
        <v>181.03399999999999</v>
      </c>
      <c r="D13" s="2">
        <f t="shared" si="3"/>
        <v>22.42</v>
      </c>
      <c r="E13" s="2">
        <f t="shared" si="3"/>
        <v>0</v>
      </c>
      <c r="F13" s="32">
        <f>SUMIFS($AD:$AD,$V:$V,$B13,$AB:$AB,$F$7)/1000</f>
        <v>0</v>
      </c>
      <c r="G13" s="3">
        <f t="shared" si="7"/>
        <v>203.45400000000001</v>
      </c>
      <c r="H13" s="51">
        <f>SUMIF($V:$V,$B13,$AH:$AH)</f>
        <v>179.72313571428572</v>
      </c>
      <c r="I13" s="52">
        <f t="shared" si="8"/>
        <v>202.14313571428573</v>
      </c>
      <c r="J13" s="59">
        <f>SUMIFS($AE:$AE,$V:$V,$B13,$AC:$AC,$J$8)</f>
        <v>0</v>
      </c>
      <c r="K13" s="4"/>
      <c r="L13" s="20">
        <f t="shared" si="4"/>
        <v>0</v>
      </c>
      <c r="N13" s="43">
        <f>COUNTIFS($V:$V,$B13,$X:$X,N$9)</f>
        <v>9</v>
      </c>
      <c r="O13" s="44">
        <f t="shared" si="5"/>
        <v>8</v>
      </c>
      <c r="P13" s="41">
        <f t="shared" si="6"/>
        <v>0</v>
      </c>
      <c r="Q13" s="45">
        <f t="shared" si="9"/>
        <v>17</v>
      </c>
      <c r="V13" s="97">
        <v>45965</v>
      </c>
      <c r="W13" s="16">
        <v>215332</v>
      </c>
      <c r="X13" s="101" t="s">
        <v>36</v>
      </c>
      <c r="Y13" s="105"/>
      <c r="Z13" s="50">
        <v>4.1666666666666664E-2</v>
      </c>
      <c r="AA13" s="50">
        <v>0.58888888888888891</v>
      </c>
      <c r="AD13" s="37">
        <v>19558</v>
      </c>
      <c r="AE13" s="93">
        <f t="shared" si="0"/>
        <v>19.558</v>
      </c>
      <c r="AF13">
        <v>15.31</v>
      </c>
      <c r="AG13" s="103">
        <f t="shared" si="1"/>
        <v>14</v>
      </c>
      <c r="AH13" s="37">
        <f t="shared" si="2"/>
        <v>19.558</v>
      </c>
      <c r="AJ13" s="97">
        <v>45965</v>
      </c>
      <c r="AK13" t="s">
        <v>2712</v>
      </c>
      <c r="AL13" t="s">
        <v>5</v>
      </c>
      <c r="AM13" s="16"/>
      <c r="AN13" s="39" t="s">
        <v>2765</v>
      </c>
      <c r="AO13" s="39" t="s">
        <v>2765</v>
      </c>
      <c r="AP13" s="37">
        <v>2940</v>
      </c>
      <c r="AR13" s="97"/>
      <c r="AU13" s="97"/>
      <c r="AX13" s="16"/>
      <c r="AY13" s="39"/>
      <c r="AZ13" s="39"/>
      <c r="BA13" s="37"/>
      <c r="BC13" s="97"/>
    </row>
    <row r="14" spans="2:56" ht="16" x14ac:dyDescent="0.4">
      <c r="B14" s="1">
        <v>45966</v>
      </c>
      <c r="C14" s="2">
        <f>SUMIFS($AE:$AE,$V:$V,$B14,$X:$X,C$7)-$J14</f>
        <v>328.76399999999995</v>
      </c>
      <c r="D14" s="2">
        <f t="shared" si="3"/>
        <v>28.15</v>
      </c>
      <c r="E14" s="2">
        <f t="shared" si="3"/>
        <v>0</v>
      </c>
      <c r="F14" s="32">
        <f>SUMIFS($AD:$AD,$V:$V,$B14,$AB:$AB,$F$7)/1000</f>
        <v>0</v>
      </c>
      <c r="G14" s="3">
        <f t="shared" si="7"/>
        <v>356.91399999999993</v>
      </c>
      <c r="H14" s="51">
        <f>SUMIF($V:$V,$B14,$AH:$AH)</f>
        <v>328.51675428571428</v>
      </c>
      <c r="I14" s="52">
        <f t="shared" si="8"/>
        <v>356.66675428571426</v>
      </c>
      <c r="J14" s="59">
        <f>SUMIFS($AE:$AE,$V:$V,$B14,$AC:$AC,$J$8)</f>
        <v>0</v>
      </c>
      <c r="K14" s="4"/>
      <c r="L14" s="20">
        <f t="shared" si="4"/>
        <v>0</v>
      </c>
      <c r="N14" s="43">
        <f>COUNTIFS($V:$V,$B14,$X:$X,N$9)</f>
        <v>16</v>
      </c>
      <c r="O14" s="44">
        <f t="shared" si="5"/>
        <v>8</v>
      </c>
      <c r="P14" s="41">
        <f t="shared" si="6"/>
        <v>0</v>
      </c>
      <c r="Q14" s="45">
        <f t="shared" si="9"/>
        <v>24</v>
      </c>
      <c r="V14" s="97">
        <v>45965</v>
      </c>
      <c r="W14" s="16">
        <v>215386</v>
      </c>
      <c r="X14" s="101" t="s">
        <v>36</v>
      </c>
      <c r="Y14" s="105"/>
      <c r="Z14" s="50">
        <v>0.72777777777777775</v>
      </c>
      <c r="AA14" s="50">
        <v>0.65694444444444444</v>
      </c>
      <c r="AD14" s="37">
        <v>20150</v>
      </c>
      <c r="AE14" s="93">
        <f t="shared" si="0"/>
        <v>20.149999999999999</v>
      </c>
      <c r="AF14">
        <v>14.45</v>
      </c>
      <c r="AG14" s="103">
        <f t="shared" si="1"/>
        <v>14</v>
      </c>
      <c r="AH14" s="37">
        <f t="shared" si="2"/>
        <v>20.149999999999999</v>
      </c>
      <c r="AJ14" s="97">
        <v>45965</v>
      </c>
      <c r="AK14" t="s">
        <v>2713</v>
      </c>
      <c r="AL14" t="s">
        <v>5</v>
      </c>
      <c r="AM14" s="16"/>
      <c r="AN14" s="39" t="s">
        <v>2766</v>
      </c>
      <c r="AO14" s="39" t="s">
        <v>2766</v>
      </c>
      <c r="AP14" s="37">
        <v>3000</v>
      </c>
      <c r="AR14" s="97"/>
      <c r="AU14" s="97"/>
      <c r="AX14" s="16"/>
      <c r="AY14" s="39"/>
      <c r="AZ14" s="39"/>
      <c r="BA14" s="37"/>
      <c r="BC14" s="97"/>
    </row>
    <row r="15" spans="2:56" ht="16" x14ac:dyDescent="0.4">
      <c r="B15" s="1">
        <v>45967</v>
      </c>
      <c r="C15" s="2">
        <f>SUMIFS($AE:$AE,$V:$V,$B15,$X:$X,C$7)-$J15</f>
        <v>162.72200000000001</v>
      </c>
      <c r="D15" s="2">
        <f t="shared" si="3"/>
        <v>22.7</v>
      </c>
      <c r="E15" s="2">
        <f t="shared" si="3"/>
        <v>0</v>
      </c>
      <c r="F15" s="32">
        <f>SUMIFS($AD:$AD,$V:$V,$B15,$AB:$AB,$F$7)/1000</f>
        <v>0</v>
      </c>
      <c r="G15" s="3">
        <f t="shared" si="7"/>
        <v>185.422</v>
      </c>
      <c r="H15" s="51">
        <f>SUMIF($V:$V,$B15,$AH:$AH)</f>
        <v>162.72200000000001</v>
      </c>
      <c r="I15" s="52">
        <f t="shared" si="8"/>
        <v>185.422</v>
      </c>
      <c r="J15" s="59">
        <f>SUMIFS($AE:$AE,$V:$V,$B15,$AC:$AC,$J$8)</f>
        <v>0</v>
      </c>
      <c r="K15" s="4"/>
      <c r="L15" s="20">
        <f t="shared" si="4"/>
        <v>0</v>
      </c>
      <c r="N15" s="43">
        <f>COUNTIFS($V:$V,$B15,$X:$X,N$9)</f>
        <v>8</v>
      </c>
      <c r="O15" s="44">
        <f t="shared" si="5"/>
        <v>7</v>
      </c>
      <c r="P15" s="41">
        <f t="shared" si="6"/>
        <v>0</v>
      </c>
      <c r="Q15" s="45">
        <f t="shared" si="9"/>
        <v>15</v>
      </c>
      <c r="V15" s="97">
        <v>45965</v>
      </c>
      <c r="W15" s="16">
        <v>215432</v>
      </c>
      <c r="X15" s="101" t="s">
        <v>36</v>
      </c>
      <c r="Y15" s="105"/>
      <c r="Z15" s="50">
        <v>0.65385416666666674</v>
      </c>
      <c r="AA15" s="50">
        <v>0.78071759259259255</v>
      </c>
      <c r="AD15" s="37">
        <v>19318</v>
      </c>
      <c r="AE15" s="93">
        <f t="shared" si="0"/>
        <v>19.318000000000001</v>
      </c>
      <c r="AF15">
        <v>13.05</v>
      </c>
      <c r="AG15" s="103">
        <f t="shared" si="1"/>
        <v>13.05</v>
      </c>
      <c r="AH15" s="37">
        <f t="shared" si="2"/>
        <v>18.007135714285717</v>
      </c>
      <c r="AJ15" s="97">
        <v>45965</v>
      </c>
      <c r="AK15" t="s">
        <v>2714</v>
      </c>
      <c r="AL15" t="s">
        <v>5</v>
      </c>
      <c r="AM15" s="16"/>
      <c r="AN15" s="39" t="s">
        <v>2767</v>
      </c>
      <c r="AO15" s="39" t="s">
        <v>2767</v>
      </c>
      <c r="AP15" s="37">
        <v>3290</v>
      </c>
      <c r="AR15" s="97"/>
      <c r="AU15" s="97"/>
      <c r="AX15" s="16"/>
      <c r="AY15" s="39"/>
      <c r="AZ15" s="39"/>
      <c r="BA15" s="37"/>
      <c r="BC15" s="97"/>
    </row>
    <row r="16" spans="2:56" ht="16" x14ac:dyDescent="0.4">
      <c r="B16" s="1">
        <v>45968</v>
      </c>
      <c r="C16" s="2">
        <f>SUMIFS($AE:$AE,$V:$V,$B16,$X:$X,C$7)-$J16</f>
        <v>325.98399999999998</v>
      </c>
      <c r="D16" s="2">
        <f t="shared" si="3"/>
        <v>28.71</v>
      </c>
      <c r="E16" s="2">
        <f t="shared" si="3"/>
        <v>0</v>
      </c>
      <c r="F16" s="32">
        <f>SUMIFS($AD:$AD,$V:$V,$B16,$AB:$AB,$F$7)/1000</f>
        <v>0</v>
      </c>
      <c r="G16" s="3">
        <f t="shared" si="7"/>
        <v>354.69399999999996</v>
      </c>
      <c r="H16" s="51">
        <f>SUMIF($V:$V,$B16,$AH:$AH)</f>
        <v>323.5571085714285</v>
      </c>
      <c r="I16" s="52">
        <f t="shared" si="8"/>
        <v>352.26710857142848</v>
      </c>
      <c r="J16" s="59">
        <f>SUMIFS($AE:$AE,$V:$V,$B16,$AC:$AC,$J$8)</f>
        <v>0</v>
      </c>
      <c r="K16" s="4"/>
      <c r="L16" s="20">
        <f t="shared" si="4"/>
        <v>0</v>
      </c>
      <c r="N16" s="43">
        <f>COUNTIFS($V:$V,$B16,$X:$X,N$9)</f>
        <v>16</v>
      </c>
      <c r="O16" s="44">
        <f t="shared" si="5"/>
        <v>9</v>
      </c>
      <c r="P16" s="41">
        <f t="shared" si="6"/>
        <v>0</v>
      </c>
      <c r="Q16" s="45">
        <f t="shared" si="9"/>
        <v>25</v>
      </c>
      <c r="V16" s="97">
        <v>45965</v>
      </c>
      <c r="W16" s="16">
        <v>215469</v>
      </c>
      <c r="X16" s="101" t="s">
        <v>36</v>
      </c>
      <c r="Y16" s="105"/>
      <c r="Z16" s="50">
        <v>0.71736111111111101</v>
      </c>
      <c r="AA16" s="50">
        <v>0.85310185185185183</v>
      </c>
      <c r="AD16" s="37">
        <v>21276</v>
      </c>
      <c r="AE16" s="93">
        <f t="shared" si="0"/>
        <v>21.276</v>
      </c>
      <c r="AF16">
        <v>14.05</v>
      </c>
      <c r="AG16" s="103">
        <f t="shared" si="1"/>
        <v>14</v>
      </c>
      <c r="AH16" s="37">
        <f t="shared" si="2"/>
        <v>21.276</v>
      </c>
      <c r="AJ16" s="97">
        <v>45965</v>
      </c>
      <c r="AK16" t="s">
        <v>2715</v>
      </c>
      <c r="AL16" t="s">
        <v>5</v>
      </c>
      <c r="AM16" s="16"/>
      <c r="AN16" s="81" t="s">
        <v>2768</v>
      </c>
      <c r="AO16" s="81" t="s">
        <v>2769</v>
      </c>
      <c r="AP16" s="37">
        <v>1560</v>
      </c>
      <c r="AR16" s="97"/>
      <c r="AU16" s="97"/>
      <c r="AX16" s="16"/>
      <c r="AY16" s="81"/>
      <c r="AZ16" s="81"/>
      <c r="BA16" s="37"/>
      <c r="BC16" s="97"/>
    </row>
    <row r="17" spans="2:55" ht="16" x14ac:dyDescent="0.4">
      <c r="B17" s="1">
        <v>45969</v>
      </c>
      <c r="C17" s="2">
        <f>SUMIFS($AE:$AE,$V:$V,$B17,$X:$X,C$7)-$J17</f>
        <v>327.82599999999996</v>
      </c>
      <c r="D17" s="2">
        <f t="shared" si="3"/>
        <v>23.36</v>
      </c>
      <c r="E17" s="2">
        <f t="shared" si="3"/>
        <v>6.64</v>
      </c>
      <c r="F17" s="32">
        <f>SUMIFS($AD:$AD,$V:$V,$B17,$AB:$AB,$F$7)/1000</f>
        <v>0</v>
      </c>
      <c r="G17" s="3">
        <f t="shared" si="7"/>
        <v>357.82599999999996</v>
      </c>
      <c r="H17" s="51">
        <f>SUMIF($V:$V,$B17,$AH:$AH)</f>
        <v>324.37744571428567</v>
      </c>
      <c r="I17" s="52">
        <f t="shared" si="8"/>
        <v>354.37744571428567</v>
      </c>
      <c r="J17" s="59">
        <f>SUMIFS($AE:$AE,$V:$V,$B17,$AC:$AC,$J$8)</f>
        <v>0</v>
      </c>
      <c r="K17" s="4"/>
      <c r="L17" s="20">
        <f t="shared" si="4"/>
        <v>0</v>
      </c>
      <c r="N17" s="43">
        <f>COUNTIFS($V:$V,$B17,$X:$X,N$9)</f>
        <v>16</v>
      </c>
      <c r="O17" s="44">
        <f t="shared" si="5"/>
        <v>7</v>
      </c>
      <c r="P17" s="41">
        <f t="shared" si="6"/>
        <v>1</v>
      </c>
      <c r="Q17" s="45">
        <f t="shared" si="9"/>
        <v>24</v>
      </c>
      <c r="S17" t="s">
        <v>48</v>
      </c>
      <c r="V17" s="97">
        <v>45965</v>
      </c>
      <c r="W17" s="16">
        <v>215495</v>
      </c>
      <c r="X17" s="101" t="s">
        <v>36</v>
      </c>
      <c r="Y17" s="105"/>
      <c r="Z17" s="50">
        <v>0.6539814814814815</v>
      </c>
      <c r="AA17" s="50">
        <v>0.91262731481481474</v>
      </c>
      <c r="AD17" s="37">
        <v>20074</v>
      </c>
      <c r="AE17" s="93">
        <f t="shared" si="0"/>
        <v>20.074000000000002</v>
      </c>
      <c r="AF17">
        <v>14.49</v>
      </c>
      <c r="AG17" s="103">
        <f t="shared" si="1"/>
        <v>14</v>
      </c>
      <c r="AH17" s="37">
        <f t="shared" si="2"/>
        <v>20.074000000000002</v>
      </c>
      <c r="AJ17" s="97">
        <v>45965</v>
      </c>
      <c r="AK17" t="s">
        <v>2716</v>
      </c>
      <c r="AL17" t="s">
        <v>5</v>
      </c>
      <c r="AM17" s="16"/>
      <c r="AN17" s="81" t="s">
        <v>2770</v>
      </c>
      <c r="AO17" s="81" t="s">
        <v>2770</v>
      </c>
      <c r="AP17" s="37">
        <v>2980</v>
      </c>
      <c r="AR17" s="97"/>
      <c r="AU17" s="97"/>
      <c r="AX17" s="16"/>
      <c r="AY17" s="81"/>
      <c r="AZ17" s="81"/>
      <c r="BA17" s="37"/>
      <c r="BC17" s="97"/>
    </row>
    <row r="18" spans="2:55" ht="16" x14ac:dyDescent="0.4">
      <c r="B18" s="1">
        <v>45970</v>
      </c>
      <c r="C18" s="2">
        <f>SUMIFS($AE:$AE,$V:$V,$B18,$X:$X,C$7)-$J18</f>
        <v>97.016000000000005</v>
      </c>
      <c r="D18" s="2">
        <f t="shared" si="3"/>
        <v>0</v>
      </c>
      <c r="E18" s="2">
        <f t="shared" si="3"/>
        <v>0</v>
      </c>
      <c r="F18" s="32">
        <f>SUMIFS($AD:$AD,$V:$V,$B18,$AB:$AB,$F$7)/1000</f>
        <v>0</v>
      </c>
      <c r="G18" s="3">
        <f t="shared" si="7"/>
        <v>97.016000000000005</v>
      </c>
      <c r="H18" s="51">
        <f>SUMIF($V:$V,$B18,$AH:$AH)</f>
        <v>97.016000000000005</v>
      </c>
      <c r="I18" s="52">
        <f t="shared" si="8"/>
        <v>97.016000000000005</v>
      </c>
      <c r="J18" s="59">
        <f>SUMIFS($AE:$AE,$V:$V,$B18,$AC:$AC,$J$8)</f>
        <v>0</v>
      </c>
      <c r="K18" s="4"/>
      <c r="L18" s="20">
        <f t="shared" si="4"/>
        <v>0</v>
      </c>
      <c r="N18" s="43">
        <f>COUNTIFS($V:$V,$B18,$X:$X,N$9)</f>
        <v>5</v>
      </c>
      <c r="O18" s="44">
        <f t="shared" si="5"/>
        <v>0</v>
      </c>
      <c r="P18" s="41">
        <f t="shared" si="6"/>
        <v>0</v>
      </c>
      <c r="Q18" s="45">
        <f t="shared" si="9"/>
        <v>5</v>
      </c>
      <c r="V18" s="97">
        <v>45965</v>
      </c>
      <c r="W18" s="16">
        <v>215518</v>
      </c>
      <c r="X18" s="101" t="s">
        <v>36</v>
      </c>
      <c r="Y18" s="105"/>
      <c r="Z18" s="50">
        <v>0.41910879629629627</v>
      </c>
      <c r="AA18" s="50">
        <v>0.98968750000000005</v>
      </c>
      <c r="AD18" s="37">
        <v>20546</v>
      </c>
      <c r="AE18" s="93">
        <f t="shared" si="0"/>
        <v>20.545999999999999</v>
      </c>
      <c r="AF18">
        <v>16.77</v>
      </c>
      <c r="AG18" s="103">
        <f t="shared" si="1"/>
        <v>14</v>
      </c>
      <c r="AH18" s="37">
        <f t="shared" si="2"/>
        <v>20.545999999999999</v>
      </c>
      <c r="AJ18" s="97">
        <v>45965</v>
      </c>
      <c r="AK18" t="s">
        <v>2717</v>
      </c>
      <c r="AL18" t="s">
        <v>5</v>
      </c>
      <c r="AM18" s="16"/>
      <c r="AN18" s="81" t="s">
        <v>2771</v>
      </c>
      <c r="AO18" s="81" t="s">
        <v>2771</v>
      </c>
      <c r="AP18" s="37">
        <v>1280</v>
      </c>
      <c r="AR18" s="97"/>
      <c r="AU18" s="97"/>
      <c r="AX18" s="16"/>
      <c r="AY18" s="81"/>
      <c r="AZ18" s="81"/>
      <c r="BA18" s="37"/>
      <c r="BC18" s="97"/>
    </row>
    <row r="19" spans="2:55" ht="16" x14ac:dyDescent="0.4">
      <c r="B19" s="1">
        <v>45971</v>
      </c>
      <c r="C19" s="2">
        <f>SUMIFS($AE:$AE,$V:$V,$B19,$X:$X,C$7)-$J19</f>
        <v>0</v>
      </c>
      <c r="D19" s="2">
        <f t="shared" si="3"/>
        <v>23.13</v>
      </c>
      <c r="E19" s="2">
        <f t="shared" si="3"/>
        <v>0</v>
      </c>
      <c r="F19" s="32">
        <f>SUMIFS($AD:$AD,$V:$V,$B19,$AB:$AB,$F$7)/1000</f>
        <v>0</v>
      </c>
      <c r="G19" s="3">
        <f t="shared" si="7"/>
        <v>23.13</v>
      </c>
      <c r="H19" s="51">
        <f>SUMIF($V:$V,$B19,$AH:$AH)</f>
        <v>0</v>
      </c>
      <c r="I19" s="52">
        <f t="shared" si="8"/>
        <v>23.13</v>
      </c>
      <c r="J19" s="59">
        <f>SUMIFS($AE:$AE,$V:$V,$B19,$AC:$AC,$J$8)</f>
        <v>0</v>
      </c>
      <c r="K19" s="4"/>
      <c r="L19" s="20">
        <f t="shared" si="4"/>
        <v>0</v>
      </c>
      <c r="N19" s="43">
        <f>COUNTIFS($V:$V,$B19,$X:$X,N$9)</f>
        <v>0</v>
      </c>
      <c r="O19" s="44">
        <f t="shared" si="5"/>
        <v>8</v>
      </c>
      <c r="P19" s="41">
        <f t="shared" si="6"/>
        <v>0</v>
      </c>
      <c r="Q19" s="45">
        <f t="shared" si="9"/>
        <v>8</v>
      </c>
      <c r="V19" s="97">
        <v>45966</v>
      </c>
      <c r="W19" s="16">
        <v>215527</v>
      </c>
      <c r="X19" s="101" t="s">
        <v>36</v>
      </c>
      <c r="Y19" s="105"/>
      <c r="Z19" s="50">
        <v>0.9556365740740741</v>
      </c>
      <c r="AA19" s="50">
        <v>5.2256944444444446E-2</v>
      </c>
      <c r="AD19" s="37">
        <v>20848</v>
      </c>
      <c r="AE19" s="93">
        <f t="shared" si="0"/>
        <v>20.847999999999999</v>
      </c>
      <c r="AF19">
        <v>15.63</v>
      </c>
      <c r="AG19" s="103">
        <f t="shared" si="1"/>
        <v>14</v>
      </c>
      <c r="AH19" s="37">
        <f t="shared" si="2"/>
        <v>20.847999999999995</v>
      </c>
      <c r="AJ19" s="97">
        <v>45965</v>
      </c>
      <c r="AK19" t="s">
        <v>2718</v>
      </c>
      <c r="AL19" t="s">
        <v>5</v>
      </c>
      <c r="AM19" s="16"/>
      <c r="AN19" s="39" t="s">
        <v>2772</v>
      </c>
      <c r="AO19" s="39" t="s">
        <v>2772</v>
      </c>
      <c r="AP19" s="37">
        <v>4340</v>
      </c>
      <c r="AR19" s="97"/>
      <c r="AU19" s="97"/>
      <c r="AX19" s="16"/>
      <c r="AY19" s="39"/>
      <c r="AZ19" s="39"/>
      <c r="BA19" s="37"/>
      <c r="BC19" s="97"/>
    </row>
    <row r="20" spans="2:55" ht="16" x14ac:dyDescent="0.4">
      <c r="B20" s="1">
        <v>45972</v>
      </c>
      <c r="C20" s="2">
        <f>SUMIFS($AE:$AE,$V:$V,$B20,$X:$X,C$7)-$J20</f>
        <v>164.14400000000001</v>
      </c>
      <c r="D20" s="2">
        <f t="shared" si="3"/>
        <v>21.8</v>
      </c>
      <c r="E20" s="2">
        <f t="shared" si="3"/>
        <v>0</v>
      </c>
      <c r="F20" s="32">
        <f>SUMIFS($AD:$AD,$V:$V,$B20,$AB:$AB,$F$7)/1000</f>
        <v>0</v>
      </c>
      <c r="G20" s="3">
        <f t="shared" si="7"/>
        <v>185.94400000000002</v>
      </c>
      <c r="H20" s="51">
        <f>SUMIF($V:$V,$B20,$AH:$AH)</f>
        <v>163.75589428571431</v>
      </c>
      <c r="I20" s="52">
        <f t="shared" si="8"/>
        <v>185.55589428571432</v>
      </c>
      <c r="J20" s="59">
        <f>SUMIFS($AE:$AE,$V:$V,$B20,$AC:$AC,$J$8)</f>
        <v>0</v>
      </c>
      <c r="K20" s="4"/>
      <c r="L20" s="20">
        <f t="shared" si="4"/>
        <v>0</v>
      </c>
      <c r="N20" s="43">
        <f>COUNTIFS($V:$V,$B20,$X:$X,N$9)</f>
        <v>8</v>
      </c>
      <c r="O20" s="44">
        <f t="shared" si="5"/>
        <v>6</v>
      </c>
      <c r="P20" s="41">
        <f t="shared" si="6"/>
        <v>0</v>
      </c>
      <c r="Q20" s="45">
        <f t="shared" si="9"/>
        <v>14</v>
      </c>
      <c r="V20" s="97">
        <v>45966</v>
      </c>
      <c r="W20" s="16">
        <v>215537</v>
      </c>
      <c r="X20" s="101" t="s">
        <v>36</v>
      </c>
      <c r="Y20" s="105"/>
      <c r="Z20" s="50">
        <v>0.71721064814814817</v>
      </c>
      <c r="AA20" s="50">
        <v>0.11343750000000001</v>
      </c>
      <c r="AD20" s="37">
        <v>20102</v>
      </c>
      <c r="AE20" s="93">
        <f t="shared" si="0"/>
        <v>20.102</v>
      </c>
      <c r="AF20">
        <v>15.13</v>
      </c>
      <c r="AG20" s="103">
        <f t="shared" si="1"/>
        <v>14</v>
      </c>
      <c r="AH20" s="37">
        <f t="shared" si="2"/>
        <v>20.102</v>
      </c>
      <c r="AJ20" s="97">
        <v>45966</v>
      </c>
      <c r="AK20" t="s">
        <v>2719</v>
      </c>
      <c r="AL20" t="s">
        <v>5</v>
      </c>
      <c r="AM20" s="16"/>
      <c r="AN20" s="81" t="s">
        <v>2773</v>
      </c>
      <c r="AO20" t="s">
        <v>2773</v>
      </c>
      <c r="AP20" s="37">
        <v>3360</v>
      </c>
      <c r="AR20" s="97"/>
      <c r="AU20" s="97"/>
      <c r="AX20" s="16"/>
      <c r="AY20" s="81"/>
      <c r="BA20" s="37"/>
      <c r="BC20" s="97"/>
    </row>
    <row r="21" spans="2:55" ht="16" x14ac:dyDescent="0.4">
      <c r="B21" s="1">
        <v>45973</v>
      </c>
      <c r="C21" s="2">
        <f>SUMIFS($AE:$AE,$V:$V,$B21,$X:$X,C$7)-$J21</f>
        <v>299.27400000000006</v>
      </c>
      <c r="D21" s="2">
        <f t="shared" si="3"/>
        <v>5.53</v>
      </c>
      <c r="E21" s="2">
        <f t="shared" si="3"/>
        <v>0</v>
      </c>
      <c r="F21" s="32">
        <f>SUMIFS($AD:$AD,$V:$V,$B21,$AB:$AB,$F$7)/1000</f>
        <v>0</v>
      </c>
      <c r="G21" s="3">
        <f t="shared" si="7"/>
        <v>304.80400000000003</v>
      </c>
      <c r="H21" s="51">
        <f>SUMIF($V:$V,$B21,$AH:$AH)</f>
        <v>299.27400000000006</v>
      </c>
      <c r="I21" s="52">
        <f t="shared" si="8"/>
        <v>304.80400000000003</v>
      </c>
      <c r="J21" s="59">
        <f>SUMIFS($AE:$AE,$V:$V,$B21,$AC:$AC,$J$8)</f>
        <v>0</v>
      </c>
      <c r="K21" s="4"/>
      <c r="L21" s="20">
        <f t="shared" si="4"/>
        <v>0</v>
      </c>
      <c r="N21" s="43">
        <f>COUNTIFS($V:$V,$B21,$X:$X,N$9)</f>
        <v>15</v>
      </c>
      <c r="O21" s="44">
        <f t="shared" si="5"/>
        <v>1</v>
      </c>
      <c r="P21" s="41">
        <f t="shared" si="6"/>
        <v>0</v>
      </c>
      <c r="Q21" s="45">
        <f t="shared" si="9"/>
        <v>16</v>
      </c>
      <c r="V21" s="97">
        <v>45966</v>
      </c>
      <c r="W21" s="16">
        <v>215550</v>
      </c>
      <c r="X21" s="101" t="s">
        <v>36</v>
      </c>
      <c r="Y21" s="105"/>
      <c r="Z21" s="50">
        <v>0.95575231481481471</v>
      </c>
      <c r="AA21" s="50">
        <v>0.16996527777777778</v>
      </c>
      <c r="AD21" s="37">
        <v>21634</v>
      </c>
      <c r="AE21" s="93">
        <f t="shared" si="0"/>
        <v>21.634</v>
      </c>
      <c r="AF21">
        <v>13.84</v>
      </c>
      <c r="AG21" s="103">
        <f t="shared" si="1"/>
        <v>13.84</v>
      </c>
      <c r="AH21" s="37">
        <f t="shared" si="2"/>
        <v>21.386754285714286</v>
      </c>
      <c r="AJ21" s="97">
        <v>45966</v>
      </c>
      <c r="AK21" t="s">
        <v>2720</v>
      </c>
      <c r="AL21" t="s">
        <v>5</v>
      </c>
      <c r="AM21" s="16"/>
      <c r="AN21" s="81" t="s">
        <v>2774</v>
      </c>
      <c r="AO21" t="s">
        <v>2774</v>
      </c>
      <c r="AP21" s="37">
        <v>3520</v>
      </c>
      <c r="AR21" s="97"/>
      <c r="AU21" s="97"/>
      <c r="AX21" s="16"/>
      <c r="AY21" s="81"/>
      <c r="BA21" s="37"/>
      <c r="BC21" s="97"/>
    </row>
    <row r="22" spans="2:55" ht="16" x14ac:dyDescent="0.4">
      <c r="B22" s="1">
        <v>45974</v>
      </c>
      <c r="C22" s="2">
        <f>SUMIFS($AE:$AE,$V:$V,$B22,$X:$X,C$7)-$J22</f>
        <v>235.69000000000003</v>
      </c>
      <c r="D22" s="2">
        <f t="shared" si="3"/>
        <v>20.58</v>
      </c>
      <c r="E22" s="2">
        <f t="shared" si="3"/>
        <v>0</v>
      </c>
      <c r="F22" s="32">
        <f>SUMIFS($AD:$AD,$V:$V,$B22,$AB:$AB,$F$7)/1000</f>
        <v>0</v>
      </c>
      <c r="G22" s="3">
        <f t="shared" si="7"/>
        <v>256.27000000000004</v>
      </c>
      <c r="H22" s="51">
        <f>SUMIF($V:$V,$B22,$AH:$AH)</f>
        <v>235.27978285714286</v>
      </c>
      <c r="I22" s="52">
        <f t="shared" si="8"/>
        <v>255.85978285714287</v>
      </c>
      <c r="J22" s="59">
        <f>SUMIFS($AE:$AE,$V:$V,$B22,$AC:$AC,$J$8)</f>
        <v>0</v>
      </c>
      <c r="K22" s="4"/>
      <c r="L22" s="20">
        <f t="shared" si="4"/>
        <v>0</v>
      </c>
      <c r="N22" s="43">
        <f>COUNTIFS($V:$V,$B22,$X:$X,N$9)</f>
        <v>12</v>
      </c>
      <c r="O22" s="44">
        <f t="shared" si="5"/>
        <v>7</v>
      </c>
      <c r="P22" s="41">
        <f t="shared" si="6"/>
        <v>0</v>
      </c>
      <c r="Q22" s="45">
        <f t="shared" si="9"/>
        <v>19</v>
      </c>
      <c r="V22" s="97">
        <v>45966</v>
      </c>
      <c r="W22" s="16">
        <v>215551</v>
      </c>
      <c r="X22" s="101" t="s">
        <v>36</v>
      </c>
      <c r="Y22" s="105"/>
      <c r="Z22" s="50">
        <v>0.15438657407407408</v>
      </c>
      <c r="AA22" s="50">
        <v>0.22386574074074073</v>
      </c>
      <c r="AD22" s="37">
        <v>20452</v>
      </c>
      <c r="AE22" s="93">
        <f t="shared" si="0"/>
        <v>20.452000000000002</v>
      </c>
      <c r="AF22">
        <v>14.31</v>
      </c>
      <c r="AG22" s="103">
        <f t="shared" si="1"/>
        <v>14</v>
      </c>
      <c r="AH22" s="37">
        <f t="shared" si="2"/>
        <v>20.452000000000002</v>
      </c>
      <c r="AJ22" s="97">
        <v>45966</v>
      </c>
      <c r="AK22" t="s">
        <v>2721</v>
      </c>
      <c r="AL22" t="s">
        <v>5</v>
      </c>
      <c r="AN22" t="s">
        <v>2775</v>
      </c>
      <c r="AO22" t="s">
        <v>2775</v>
      </c>
      <c r="AP22" s="37">
        <v>3070</v>
      </c>
      <c r="AR22" s="97"/>
      <c r="AU22" s="97"/>
      <c r="BA22" s="37"/>
      <c r="BC22" s="97"/>
    </row>
    <row r="23" spans="2:55" ht="16" x14ac:dyDescent="0.4">
      <c r="B23" s="1">
        <v>45975</v>
      </c>
      <c r="C23" s="2">
        <f>SUMIFS($AE:$AE,$V:$V,$B23,$X:$X,C$7)-$J23</f>
        <v>332.428</v>
      </c>
      <c r="D23" s="2">
        <f t="shared" si="3"/>
        <v>14.93</v>
      </c>
      <c r="E23" s="2">
        <f t="shared" si="3"/>
        <v>6.01</v>
      </c>
      <c r="F23" s="32">
        <f>SUMIFS($AD:$AD,$V:$V,$B23,$AB:$AB,$F$7)/1000</f>
        <v>0</v>
      </c>
      <c r="G23" s="3">
        <f t="shared" si="7"/>
        <v>353.36799999999999</v>
      </c>
      <c r="H23" s="51">
        <f>SUMIF($V:$V,$B23,$AH:$AH)</f>
        <v>332.12812571428572</v>
      </c>
      <c r="I23" s="52">
        <f t="shared" si="8"/>
        <v>353.06812571428571</v>
      </c>
      <c r="J23" s="59">
        <f>SUMIFS($AE:$AE,$V:$V,$B23,$AC:$AC,$J$8)</f>
        <v>0</v>
      </c>
      <c r="K23" s="4"/>
      <c r="L23" s="20">
        <f t="shared" si="4"/>
        <v>0</v>
      </c>
      <c r="N23" s="43">
        <f>COUNTIFS($V:$V,$B23,$X:$X,N$9)</f>
        <v>16</v>
      </c>
      <c r="O23" s="44">
        <f t="shared" si="5"/>
        <v>5</v>
      </c>
      <c r="P23" s="41">
        <f t="shared" si="6"/>
        <v>1</v>
      </c>
      <c r="Q23" s="45">
        <f t="shared" si="9"/>
        <v>22</v>
      </c>
      <c r="V23" s="97">
        <v>45966</v>
      </c>
      <c r="W23" s="16">
        <v>215557</v>
      </c>
      <c r="X23" s="101" t="s">
        <v>36</v>
      </c>
      <c r="Y23" s="105"/>
      <c r="Z23" s="50">
        <v>0.22569444444444445</v>
      </c>
      <c r="AA23" s="50">
        <v>0.29375000000000001</v>
      </c>
      <c r="AD23" s="37">
        <v>19390</v>
      </c>
      <c r="AE23" s="93">
        <f t="shared" si="0"/>
        <v>19.39</v>
      </c>
      <c r="AF23">
        <v>16.239999999999998</v>
      </c>
      <c r="AG23" s="103">
        <f t="shared" si="1"/>
        <v>14</v>
      </c>
      <c r="AH23" s="37">
        <f t="shared" si="2"/>
        <v>19.390000000000004</v>
      </c>
      <c r="AJ23" s="97">
        <v>45966</v>
      </c>
      <c r="AK23" t="s">
        <v>2722</v>
      </c>
      <c r="AL23" t="s">
        <v>5</v>
      </c>
      <c r="AN23" s="81" t="s">
        <v>2776</v>
      </c>
      <c r="AO23" t="s">
        <v>2776</v>
      </c>
      <c r="AP23" s="37">
        <v>5220</v>
      </c>
      <c r="AR23" s="97"/>
      <c r="AU23" s="97"/>
      <c r="AY23" s="81"/>
      <c r="BA23" s="37"/>
      <c r="BC23" s="97"/>
    </row>
    <row r="24" spans="2:55" ht="16" x14ac:dyDescent="0.4">
      <c r="B24" s="1">
        <v>45976</v>
      </c>
      <c r="C24" s="2">
        <f>SUMIFS($AE:$AE,$V:$V,$B24,$X:$X,C$7)-$J24</f>
        <v>349.32999999999993</v>
      </c>
      <c r="D24" s="2">
        <f t="shared" si="3"/>
        <v>15.69</v>
      </c>
      <c r="E24" s="2">
        <f t="shared" si="3"/>
        <v>0</v>
      </c>
      <c r="F24" s="32">
        <f>SUMIFS($AD:$AD,$V:$V,$B24,$AB:$AB,$F$7)/1000</f>
        <v>0</v>
      </c>
      <c r="G24" s="3">
        <f t="shared" si="7"/>
        <v>365.01999999999992</v>
      </c>
      <c r="H24" s="51">
        <f>SUMIF($V:$V,$B24,$AH:$AH)</f>
        <v>349.07667571428567</v>
      </c>
      <c r="I24" s="52">
        <f t="shared" si="8"/>
        <v>364.76667571428567</v>
      </c>
      <c r="J24" s="59">
        <f>SUMIFS($AE:$AE,$V:$V,$B24,$AC:$AC,$J$8)</f>
        <v>0</v>
      </c>
      <c r="K24" s="4"/>
      <c r="L24" s="20">
        <f t="shared" si="4"/>
        <v>0</v>
      </c>
      <c r="N24" s="43">
        <f>COUNTIFS($V:$V,$B24,$X:$X,N$9)</f>
        <v>17</v>
      </c>
      <c r="O24" s="44">
        <f t="shared" si="5"/>
        <v>5</v>
      </c>
      <c r="P24" s="41">
        <f t="shared" si="6"/>
        <v>0</v>
      </c>
      <c r="Q24" s="45">
        <f t="shared" si="9"/>
        <v>22</v>
      </c>
      <c r="V24" s="97">
        <v>45966</v>
      </c>
      <c r="W24" s="16">
        <v>215618</v>
      </c>
      <c r="X24" s="101" t="s">
        <v>36</v>
      </c>
      <c r="Y24" s="105"/>
      <c r="Z24" s="50">
        <v>0.15416666666666667</v>
      </c>
      <c r="AA24" s="50">
        <v>0.35416666666666669</v>
      </c>
      <c r="AD24" s="37">
        <v>19212</v>
      </c>
      <c r="AE24" s="93">
        <f t="shared" si="0"/>
        <v>19.212</v>
      </c>
      <c r="AF24">
        <v>15.81</v>
      </c>
      <c r="AG24" s="103">
        <f t="shared" si="1"/>
        <v>14</v>
      </c>
      <c r="AH24" s="37">
        <f t="shared" si="2"/>
        <v>19.212</v>
      </c>
      <c r="AJ24" s="97">
        <v>45966</v>
      </c>
      <c r="AK24" t="s">
        <v>2723</v>
      </c>
      <c r="AL24" t="s">
        <v>5</v>
      </c>
      <c r="AN24" s="81" t="s">
        <v>2777</v>
      </c>
      <c r="AO24" t="s">
        <v>2777</v>
      </c>
      <c r="AP24" s="37">
        <v>3090</v>
      </c>
      <c r="AR24" s="97"/>
      <c r="AU24" s="97"/>
      <c r="AY24" s="81"/>
      <c r="BA24" s="37"/>
      <c r="BC24" s="97"/>
    </row>
    <row r="25" spans="2:55" ht="16" x14ac:dyDescent="0.4">
      <c r="B25" s="1">
        <v>45977</v>
      </c>
      <c r="C25" s="2">
        <f>SUMIFS($AE:$AE,$V:$V,$B25,$X:$X,C$7)-$J25</f>
        <v>100.414</v>
      </c>
      <c r="D25" s="2">
        <f t="shared" si="3"/>
        <v>0</v>
      </c>
      <c r="E25" s="2">
        <f t="shared" si="3"/>
        <v>0</v>
      </c>
      <c r="F25" s="32">
        <f>SUMIFS($AD:$AD,$V:$V,$B25,$AB:$AB,$F$7)/1000</f>
        <v>0</v>
      </c>
      <c r="G25" s="3">
        <f t="shared" si="7"/>
        <v>100.414</v>
      </c>
      <c r="H25" s="51">
        <f>SUMIF($V:$V,$B25,$AH:$AH)</f>
        <v>100.414</v>
      </c>
      <c r="I25" s="52">
        <f t="shared" si="8"/>
        <v>100.414</v>
      </c>
      <c r="J25" s="59">
        <f>SUMIFS($AE:$AE,$V:$V,$B25,$AC:$AC,$J$8)</f>
        <v>0</v>
      </c>
      <c r="K25" s="4"/>
      <c r="L25" s="20">
        <f t="shared" si="4"/>
        <v>0</v>
      </c>
      <c r="N25" s="43">
        <f>COUNTIFS($V:$V,$B25,$X:$X,N$9)</f>
        <v>5</v>
      </c>
      <c r="O25" s="44">
        <f t="shared" si="5"/>
        <v>0</v>
      </c>
      <c r="P25" s="41">
        <f t="shared" si="6"/>
        <v>0</v>
      </c>
      <c r="Q25" s="45">
        <f t="shared" si="9"/>
        <v>5</v>
      </c>
      <c r="V25" s="97">
        <v>45966</v>
      </c>
      <c r="W25" s="16">
        <v>215667</v>
      </c>
      <c r="X25" s="101" t="s">
        <v>36</v>
      </c>
      <c r="Y25" s="105"/>
      <c r="Z25" s="50">
        <v>0.9555555555555556</v>
      </c>
      <c r="AA25" s="50">
        <v>0.40416666666666662</v>
      </c>
      <c r="AD25" s="37">
        <v>20180</v>
      </c>
      <c r="AE25" s="93">
        <f t="shared" si="0"/>
        <v>20.18</v>
      </c>
      <c r="AF25">
        <v>15.95</v>
      </c>
      <c r="AG25" s="103">
        <f t="shared" si="1"/>
        <v>14</v>
      </c>
      <c r="AH25" s="37">
        <f t="shared" si="2"/>
        <v>20.18</v>
      </c>
      <c r="AJ25" s="97">
        <v>45966</v>
      </c>
      <c r="AK25" t="s">
        <v>2724</v>
      </c>
      <c r="AL25" t="s">
        <v>5</v>
      </c>
      <c r="AN25" s="81" t="s">
        <v>2778</v>
      </c>
      <c r="AO25" t="s">
        <v>2779</v>
      </c>
      <c r="AP25" s="37">
        <v>3710</v>
      </c>
      <c r="AR25" s="97"/>
      <c r="AU25" s="97"/>
      <c r="AY25" s="81"/>
      <c r="BA25" s="37"/>
      <c r="BC25" s="97"/>
    </row>
    <row r="26" spans="2:55" ht="16" x14ac:dyDescent="0.4">
      <c r="B26" s="1">
        <v>45978</v>
      </c>
      <c r="C26" s="2">
        <f>SUMIFS($AE:$AE,$V:$V,$B26,$X:$X,C$7)-$J26</f>
        <v>42.622</v>
      </c>
      <c r="D26" s="2">
        <f t="shared" si="3"/>
        <v>29.7</v>
      </c>
      <c r="E26" s="2">
        <f t="shared" si="3"/>
        <v>0</v>
      </c>
      <c r="F26" s="32">
        <f>SUMIFS($AD:$AD,$V:$V,$B26,$AB:$AB,$F$7)/1000</f>
        <v>0</v>
      </c>
      <c r="G26" s="3">
        <f t="shared" si="7"/>
        <v>72.322000000000003</v>
      </c>
      <c r="H26" s="51">
        <f>SUMIF($V:$V,$B26,$AH:$AH)</f>
        <v>42.622</v>
      </c>
      <c r="I26" s="52">
        <f t="shared" si="8"/>
        <v>72.322000000000003</v>
      </c>
      <c r="J26" s="59">
        <f>SUMIFS($AE:$AE,$V:$V,$B26,$AC:$AC,$J$8)</f>
        <v>0</v>
      </c>
      <c r="K26" s="4"/>
      <c r="L26" s="20">
        <f t="shared" si="4"/>
        <v>0</v>
      </c>
      <c r="N26" s="43">
        <f>COUNTIFS($V:$V,$B26,$X:$X,N$9)</f>
        <v>2</v>
      </c>
      <c r="O26" s="44">
        <f t="shared" si="5"/>
        <v>9</v>
      </c>
      <c r="P26" s="41">
        <f t="shared" si="6"/>
        <v>0</v>
      </c>
      <c r="Q26" s="45">
        <f t="shared" si="9"/>
        <v>11</v>
      </c>
      <c r="V26" s="97">
        <v>45966</v>
      </c>
      <c r="W26" s="16">
        <v>215776</v>
      </c>
      <c r="X26" s="101" t="s">
        <v>36</v>
      </c>
      <c r="Y26" s="105"/>
      <c r="Z26" s="50">
        <v>0.15347222222222223</v>
      </c>
      <c r="AA26" s="50">
        <v>0.48749999999999999</v>
      </c>
      <c r="AD26" s="37">
        <v>21382</v>
      </c>
      <c r="AE26" s="93">
        <f t="shared" si="0"/>
        <v>21.382000000000001</v>
      </c>
      <c r="AF26">
        <v>14.13</v>
      </c>
      <c r="AG26" s="103">
        <f t="shared" si="1"/>
        <v>14</v>
      </c>
      <c r="AH26" s="37">
        <f t="shared" si="2"/>
        <v>21.382000000000001</v>
      </c>
      <c r="AJ26" s="97">
        <v>45966</v>
      </c>
      <c r="AK26" t="s">
        <v>2725</v>
      </c>
      <c r="AL26" t="s">
        <v>5</v>
      </c>
      <c r="AN26" s="81" t="s">
        <v>2780</v>
      </c>
      <c r="AO26" s="81" t="s">
        <v>2780</v>
      </c>
      <c r="AP26" s="37">
        <v>2020</v>
      </c>
      <c r="AR26" s="97"/>
      <c r="AU26" s="97"/>
      <c r="AY26" s="81"/>
      <c r="AZ26" s="81"/>
      <c r="BA26" s="37"/>
      <c r="BC26" s="97"/>
    </row>
    <row r="27" spans="2:55" ht="16" x14ac:dyDescent="0.4">
      <c r="B27" s="1">
        <v>45979</v>
      </c>
      <c r="C27" s="2">
        <f>SUMIFS($AE:$AE,$V:$V,$B27,$X:$X,C$7)-$J27</f>
        <v>312.04400000000004</v>
      </c>
      <c r="D27" s="2">
        <f t="shared" si="3"/>
        <v>28.13</v>
      </c>
      <c r="E27" s="2">
        <f t="shared" si="3"/>
        <v>0</v>
      </c>
      <c r="F27" s="32">
        <f>SUMIFS($AD:$AD,$V:$V,$B27,$AB:$AB,$F$7)/1000</f>
        <v>0</v>
      </c>
      <c r="G27" s="3">
        <f t="shared" si="7"/>
        <v>340.17400000000004</v>
      </c>
      <c r="H27" s="51">
        <f>SUMIF($V:$V,$B27,$AH:$AH)</f>
        <v>311.79524571428573</v>
      </c>
      <c r="I27" s="52">
        <f t="shared" si="8"/>
        <v>339.92524571428572</v>
      </c>
      <c r="J27" s="59">
        <f>SUMIFS($AE:$AE,$V:$V,$B27,$AC:$AC,$J$8)</f>
        <v>0</v>
      </c>
      <c r="K27" s="4"/>
      <c r="L27" s="20">
        <f t="shared" si="4"/>
        <v>0</v>
      </c>
      <c r="N27" s="43">
        <f>COUNTIFS($V:$V,$B27,$X:$X,N$9)</f>
        <v>15</v>
      </c>
      <c r="O27" s="44">
        <f t="shared" si="5"/>
        <v>9</v>
      </c>
      <c r="P27" s="41">
        <f t="shared" si="6"/>
        <v>0</v>
      </c>
      <c r="Q27" s="45">
        <f t="shared" si="9"/>
        <v>24</v>
      </c>
      <c r="V27" s="97">
        <v>45966</v>
      </c>
      <c r="W27" s="16">
        <v>215735</v>
      </c>
      <c r="X27" s="101" t="s">
        <v>36</v>
      </c>
      <c r="Y27" s="105"/>
      <c r="Z27" s="50">
        <v>0.46527777777777773</v>
      </c>
      <c r="AA27" s="50">
        <v>0.54999999999999993</v>
      </c>
      <c r="AD27" s="37">
        <v>20874</v>
      </c>
      <c r="AE27" s="93">
        <f t="shared" si="0"/>
        <v>20.873999999999999</v>
      </c>
      <c r="AF27">
        <v>15.13</v>
      </c>
      <c r="AG27" s="103">
        <f t="shared" si="1"/>
        <v>14</v>
      </c>
      <c r="AH27" s="37">
        <f t="shared" si="2"/>
        <v>20.873999999999999</v>
      </c>
      <c r="AJ27" s="97">
        <v>45966</v>
      </c>
      <c r="AK27" t="s">
        <v>2726</v>
      </c>
      <c r="AL27" t="s">
        <v>5</v>
      </c>
      <c r="AN27" s="81" t="s">
        <v>2781</v>
      </c>
      <c r="AO27" s="81" t="s">
        <v>2781</v>
      </c>
      <c r="AP27" s="37">
        <v>4160</v>
      </c>
      <c r="AR27" s="97"/>
      <c r="AU27" s="97"/>
      <c r="AY27" s="81"/>
      <c r="AZ27" s="81"/>
      <c r="BA27" s="37"/>
      <c r="BC27" s="97"/>
    </row>
    <row r="28" spans="2:55" ht="16" x14ac:dyDescent="0.4">
      <c r="B28" s="1">
        <v>45980</v>
      </c>
      <c r="C28" s="2">
        <f>SUMIFS($AE:$AE,$V:$V,$B28,$X:$X,C$7)-$J28</f>
        <v>334.53400000000005</v>
      </c>
      <c r="D28" s="2">
        <f t="shared" si="3"/>
        <v>30.01</v>
      </c>
      <c r="E28" s="2">
        <f t="shared" si="3"/>
        <v>5.95</v>
      </c>
      <c r="F28" s="32">
        <f>SUMIFS($AD:$AD,$V:$V,$B28,$AB:$AB,$F$7)/1000</f>
        <v>0</v>
      </c>
      <c r="G28" s="3">
        <f t="shared" si="7"/>
        <v>370.49400000000003</v>
      </c>
      <c r="H28" s="51">
        <f>SUMIF($V:$V,$B28,$AH:$AH)</f>
        <v>334.24309142857146</v>
      </c>
      <c r="I28" s="52">
        <f t="shared" si="8"/>
        <v>370.20309142857144</v>
      </c>
      <c r="J28" s="59">
        <f>SUMIFS($AE:$AE,$V:$V,$B28,$AC:$AC,$J$8)</f>
        <v>0</v>
      </c>
      <c r="K28" s="4"/>
      <c r="L28" s="20">
        <f t="shared" si="4"/>
        <v>0</v>
      </c>
      <c r="N28" s="43">
        <f>COUNTIFS($V:$V,$B28,$X:$X,N$9)</f>
        <v>16</v>
      </c>
      <c r="O28" s="44">
        <f t="shared" si="5"/>
        <v>10</v>
      </c>
      <c r="P28" s="41">
        <f t="shared" si="6"/>
        <v>1</v>
      </c>
      <c r="Q28" s="45">
        <f t="shared" si="9"/>
        <v>27</v>
      </c>
      <c r="V28" s="97">
        <v>45966</v>
      </c>
      <c r="W28" s="16">
        <v>215780</v>
      </c>
      <c r="X28" s="101" t="s">
        <v>36</v>
      </c>
      <c r="Y28" s="105"/>
      <c r="Z28" s="50">
        <v>2.5694444444444447E-2</v>
      </c>
      <c r="AA28" s="50">
        <v>0.6</v>
      </c>
      <c r="AD28" s="37">
        <v>21192</v>
      </c>
      <c r="AE28" s="93">
        <f t="shared" si="0"/>
        <v>21.192</v>
      </c>
      <c r="AF28">
        <v>14.34</v>
      </c>
      <c r="AG28" s="103">
        <f t="shared" si="1"/>
        <v>14</v>
      </c>
      <c r="AH28" s="37">
        <f t="shared" si="2"/>
        <v>21.192</v>
      </c>
      <c r="AJ28" s="97">
        <v>45967</v>
      </c>
      <c r="AK28" t="s">
        <v>2727</v>
      </c>
      <c r="AL28" t="s">
        <v>5</v>
      </c>
      <c r="AN28" s="81" t="s">
        <v>2782</v>
      </c>
      <c r="AO28" s="81" t="s">
        <v>2783</v>
      </c>
      <c r="AP28" s="37">
        <v>3230</v>
      </c>
      <c r="AR28" s="97"/>
      <c r="AU28" s="97"/>
      <c r="AY28" s="81"/>
      <c r="AZ28" s="81"/>
      <c r="BA28" s="37"/>
      <c r="BC28" s="97"/>
    </row>
    <row r="29" spans="2:55" ht="16" x14ac:dyDescent="0.4">
      <c r="B29" s="1">
        <v>45981</v>
      </c>
      <c r="C29" s="2">
        <f>SUMIFS($AE:$AE,$V:$V,$B29,$X:$X,C$7)-$J29</f>
        <v>264.98399999999998</v>
      </c>
      <c r="D29" s="2">
        <f t="shared" si="3"/>
        <v>28.29</v>
      </c>
      <c r="E29" s="2">
        <f t="shared" si="3"/>
        <v>0</v>
      </c>
      <c r="F29" s="32">
        <f>SUMIFS($AD:$AD,$V:$V,$B29,$AB:$AB,$F$7)/1000</f>
        <v>0</v>
      </c>
      <c r="G29" s="3">
        <f t="shared" si="7"/>
        <v>293.274</v>
      </c>
      <c r="H29" s="51">
        <f>SUMIF($V:$V,$B29,$AH:$AH)</f>
        <v>259.31605714285712</v>
      </c>
      <c r="I29" s="52">
        <f t="shared" si="8"/>
        <v>287.60605714285714</v>
      </c>
      <c r="J29" s="59">
        <f>SUMIFS($AE:$AE,$V:$V,$B29,$AC:$AC,$J$8)</f>
        <v>0</v>
      </c>
      <c r="K29" s="4"/>
      <c r="L29" s="20">
        <f t="shared" si="4"/>
        <v>0</v>
      </c>
      <c r="N29" s="43">
        <f>COUNTIFS($V:$V,$B29,$X:$X,N$9)</f>
        <v>13</v>
      </c>
      <c r="O29" s="44">
        <f t="shared" si="5"/>
        <v>9</v>
      </c>
      <c r="P29" s="41">
        <f t="shared" si="6"/>
        <v>0</v>
      </c>
      <c r="Q29" s="45">
        <f t="shared" si="9"/>
        <v>22</v>
      </c>
      <c r="V29" s="97">
        <v>45966</v>
      </c>
      <c r="W29" s="16">
        <v>215821</v>
      </c>
      <c r="X29" s="101" t="s">
        <v>36</v>
      </c>
      <c r="Y29" s="105"/>
      <c r="Z29" s="50">
        <v>0.22569444444444445</v>
      </c>
      <c r="AA29" s="50">
        <v>0.66805555555555562</v>
      </c>
      <c r="AD29" s="37">
        <v>19838</v>
      </c>
      <c r="AE29" s="93">
        <f t="shared" si="0"/>
        <v>19.838000000000001</v>
      </c>
      <c r="AF29">
        <v>14.12</v>
      </c>
      <c r="AG29" s="103">
        <f t="shared" si="1"/>
        <v>14</v>
      </c>
      <c r="AH29" s="37">
        <f t="shared" si="2"/>
        <v>19.838000000000001</v>
      </c>
      <c r="AJ29" s="97">
        <v>45967</v>
      </c>
      <c r="AK29" t="s">
        <v>2728</v>
      </c>
      <c r="AL29" t="s">
        <v>5</v>
      </c>
      <c r="AN29" t="s">
        <v>2784</v>
      </c>
      <c r="AO29" t="s">
        <v>2784</v>
      </c>
      <c r="AP29" s="37">
        <v>3080</v>
      </c>
      <c r="AR29" s="97"/>
      <c r="AU29" s="97"/>
      <c r="BA29" s="37"/>
      <c r="BC29" s="97"/>
    </row>
    <row r="30" spans="2:55" ht="16" x14ac:dyDescent="0.4">
      <c r="B30" s="1">
        <v>45982</v>
      </c>
      <c r="C30" s="2">
        <f>SUMIFS($AE:$AE,$V:$V,$B30,$X:$X,C$7)-$J30</f>
        <v>402.54399999999998</v>
      </c>
      <c r="D30" s="2">
        <f t="shared" si="3"/>
        <v>34.630000000000003</v>
      </c>
      <c r="E30" s="2">
        <f t="shared" si="3"/>
        <v>0</v>
      </c>
      <c r="F30" s="32">
        <f>SUMIFS($AD:$AD,$V:$V,$B30,$AB:$AB,$F$7)/1000</f>
        <v>0</v>
      </c>
      <c r="G30" s="157">
        <f t="shared" si="7"/>
        <v>437.17399999999998</v>
      </c>
      <c r="H30" s="51">
        <f>SUMIF($V:$V,$B30,$AH:$AH)</f>
        <v>400.65223285714285</v>
      </c>
      <c r="I30" s="52">
        <f t="shared" si="8"/>
        <v>435.28223285714284</v>
      </c>
      <c r="J30" s="59">
        <f>SUMIFS($AE:$AE,$V:$V,$B30,$AC:$AC,$J$8)</f>
        <v>0</v>
      </c>
      <c r="K30" s="4"/>
      <c r="L30" s="20">
        <f t="shared" si="4"/>
        <v>0</v>
      </c>
      <c r="N30" s="43">
        <f>COUNTIFS($V:$V,$B30,$X:$X,N$9)</f>
        <v>19</v>
      </c>
      <c r="O30" s="44">
        <f t="shared" si="5"/>
        <v>11</v>
      </c>
      <c r="P30" s="41">
        <f t="shared" si="6"/>
        <v>0</v>
      </c>
      <c r="Q30" s="45">
        <f t="shared" si="9"/>
        <v>30</v>
      </c>
      <c r="V30" s="97">
        <v>45966</v>
      </c>
      <c r="W30" s="16">
        <v>215851</v>
      </c>
      <c r="X30" s="101" t="s">
        <v>36</v>
      </c>
      <c r="Y30" s="105"/>
      <c r="Z30" s="50">
        <v>0.52708333333333335</v>
      </c>
      <c r="AA30" s="50">
        <v>0.71666666666666667</v>
      </c>
      <c r="AD30" s="105">
        <v>20634</v>
      </c>
      <c r="AE30" s="93">
        <f t="shared" si="0"/>
        <v>20.634</v>
      </c>
      <c r="AF30">
        <v>14.98</v>
      </c>
      <c r="AG30" s="103">
        <f t="shared" si="1"/>
        <v>14</v>
      </c>
      <c r="AH30" s="37">
        <f t="shared" si="2"/>
        <v>20.633999999999997</v>
      </c>
      <c r="AJ30" s="97">
        <v>45967</v>
      </c>
      <c r="AK30" t="s">
        <v>2729</v>
      </c>
      <c r="AL30" t="s">
        <v>5</v>
      </c>
      <c r="AN30" s="39" t="s">
        <v>2785</v>
      </c>
      <c r="AO30" t="s">
        <v>2785</v>
      </c>
      <c r="AP30" s="37">
        <v>4530</v>
      </c>
      <c r="AR30" s="97"/>
      <c r="AU30" s="97"/>
      <c r="AY30" s="39"/>
      <c r="BA30" s="37"/>
      <c r="BC30" s="97"/>
    </row>
    <row r="31" spans="2:55" ht="16" x14ac:dyDescent="0.4">
      <c r="B31" s="1">
        <v>45983</v>
      </c>
      <c r="C31" s="2">
        <f>SUMIFS($AE:$AE,$V:$V,$B31,$X:$X,C$7)-$J31</f>
        <v>307.00599999999997</v>
      </c>
      <c r="D31" s="2">
        <f t="shared" si="3"/>
        <v>38.47</v>
      </c>
      <c r="E31" s="2">
        <f t="shared" si="3"/>
        <v>6.7</v>
      </c>
      <c r="F31" s="32">
        <f>SUMIFS($AD:$AD,$V:$V,$B31,$AB:$AB,$F$7)/1000</f>
        <v>0</v>
      </c>
      <c r="G31" s="157">
        <f t="shared" si="7"/>
        <v>352.17599999999999</v>
      </c>
      <c r="H31" s="51">
        <f>SUMIF($V:$V,$B31,$AH:$AH)</f>
        <v>305.07094857142857</v>
      </c>
      <c r="I31" s="52">
        <f t="shared" si="8"/>
        <v>350.24094857142853</v>
      </c>
      <c r="J31" s="59">
        <f>SUMIFS($AE:$AE,$V:$V,$B31,$AC:$AC,$J$8)</f>
        <v>0</v>
      </c>
      <c r="K31" s="4"/>
      <c r="L31" s="20">
        <f t="shared" si="4"/>
        <v>0</v>
      </c>
      <c r="N31" s="43">
        <f>COUNTIFS($V:$V,$B31,$X:$X,N$9)</f>
        <v>15</v>
      </c>
      <c r="O31" s="44">
        <f t="shared" si="5"/>
        <v>11</v>
      </c>
      <c r="P31" s="41">
        <f t="shared" si="6"/>
        <v>1</v>
      </c>
      <c r="Q31" s="45">
        <f t="shared" si="9"/>
        <v>27</v>
      </c>
      <c r="V31" s="97">
        <v>45966</v>
      </c>
      <c r="W31" s="16">
        <v>215867</v>
      </c>
      <c r="X31" s="101" t="s">
        <v>36</v>
      </c>
      <c r="Y31" s="105"/>
      <c r="Z31" s="50">
        <v>0.46523148148148147</v>
      </c>
      <c r="AA31" s="50">
        <v>0.77625</v>
      </c>
      <c r="AD31" s="37">
        <v>20626</v>
      </c>
      <c r="AE31" s="93">
        <f t="shared" si="0"/>
        <v>20.626000000000001</v>
      </c>
      <c r="AF31">
        <v>14.06</v>
      </c>
      <c r="AG31" s="103">
        <f t="shared" si="1"/>
        <v>14</v>
      </c>
      <c r="AH31" s="37">
        <f t="shared" si="2"/>
        <v>20.626000000000001</v>
      </c>
      <c r="AJ31" s="97">
        <v>45967</v>
      </c>
      <c r="AK31" t="s">
        <v>2730</v>
      </c>
      <c r="AL31" t="s">
        <v>5</v>
      </c>
      <c r="AN31" s="39" t="s">
        <v>2786</v>
      </c>
      <c r="AO31" t="s">
        <v>2786</v>
      </c>
      <c r="AP31" s="37">
        <v>3250</v>
      </c>
      <c r="AR31" s="97"/>
      <c r="AU31" s="97"/>
      <c r="AY31" s="39"/>
      <c r="BA31" s="37"/>
      <c r="BC31" s="97"/>
    </row>
    <row r="32" spans="2:55" ht="16" x14ac:dyDescent="0.4">
      <c r="B32" s="1">
        <v>45984</v>
      </c>
      <c r="C32" s="2">
        <f>SUMIFS($AE:$AE,$V:$V,$B32,$X:$X,C$7)-$J32</f>
        <v>117.628</v>
      </c>
      <c r="D32" s="2">
        <f t="shared" si="3"/>
        <v>2.71</v>
      </c>
      <c r="E32" s="2">
        <f t="shared" si="3"/>
        <v>0</v>
      </c>
      <c r="F32" s="32">
        <f>SUMIFS($AD:$AD,$V:$V,$B32,$AB:$AB,$F$7)/1000</f>
        <v>0</v>
      </c>
      <c r="G32" s="157">
        <f t="shared" si="7"/>
        <v>120.33799999999999</v>
      </c>
      <c r="H32" s="51">
        <f>SUMIF($V:$V,$B32,$AH:$AH)</f>
        <v>116.49907142857143</v>
      </c>
      <c r="I32" s="52">
        <f t="shared" si="8"/>
        <v>119.20907142857142</v>
      </c>
      <c r="J32" s="59">
        <f>SUMIFS($AE:$AE,$V:$V,$B32,$AC:$AC,$J$8)</f>
        <v>0</v>
      </c>
      <c r="K32" s="4"/>
      <c r="L32" s="20">
        <f t="shared" si="4"/>
        <v>0</v>
      </c>
      <c r="N32" s="43">
        <f>COUNTIFS($V:$V,$B32,$X:$X,N$9)</f>
        <v>6</v>
      </c>
      <c r="O32" s="44">
        <f t="shared" si="5"/>
        <v>1</v>
      </c>
      <c r="P32" s="41">
        <f t="shared" si="6"/>
        <v>0</v>
      </c>
      <c r="Q32" s="45">
        <f t="shared" si="9"/>
        <v>7</v>
      </c>
      <c r="V32" s="97">
        <v>45966</v>
      </c>
      <c r="W32" s="16">
        <v>215893</v>
      </c>
      <c r="X32" s="101" t="s">
        <v>36</v>
      </c>
      <c r="Y32" s="105"/>
      <c r="Z32" s="50">
        <v>0.52787037037037032</v>
      </c>
      <c r="AA32" s="50">
        <v>0.84530092592592598</v>
      </c>
      <c r="AD32" s="37">
        <v>20768</v>
      </c>
      <c r="AE32" s="93">
        <f t="shared" si="0"/>
        <v>20.768000000000001</v>
      </c>
      <c r="AF32">
        <v>14.66</v>
      </c>
      <c r="AG32" s="103">
        <f t="shared" si="1"/>
        <v>14</v>
      </c>
      <c r="AH32" s="37">
        <f t="shared" si="2"/>
        <v>20.768000000000001</v>
      </c>
      <c r="AJ32" s="97">
        <v>45967</v>
      </c>
      <c r="AK32" t="s">
        <v>2731</v>
      </c>
      <c r="AL32" t="s">
        <v>5</v>
      </c>
      <c r="AN32" s="39" t="s">
        <v>2787</v>
      </c>
      <c r="AO32" t="s">
        <v>2787</v>
      </c>
      <c r="AP32" s="37">
        <v>2070</v>
      </c>
      <c r="AR32" s="97"/>
      <c r="AU32" s="97"/>
      <c r="AY32" s="39"/>
      <c r="BA32" s="37"/>
      <c r="BC32" s="97"/>
    </row>
    <row r="33" spans="2:55" ht="16" x14ac:dyDescent="0.4">
      <c r="B33" s="1">
        <v>45985</v>
      </c>
      <c r="C33" s="2">
        <f>SUMIFS($AE:$AE,$V:$V,$B33,$X:$X,C$7)-$J33</f>
        <v>0</v>
      </c>
      <c r="D33" s="2">
        <f t="shared" si="3"/>
        <v>33.700000000000003</v>
      </c>
      <c r="E33" s="2">
        <f t="shared" si="3"/>
        <v>0</v>
      </c>
      <c r="F33" s="32">
        <f>SUMIFS($AD:$AD,$V:$V,$B33,$AB:$AB,$F$7)/1000</f>
        <v>0</v>
      </c>
      <c r="G33" s="157">
        <f t="shared" si="7"/>
        <v>33.700000000000003</v>
      </c>
      <c r="H33" s="51">
        <f>SUMIF($V:$V,$B33,$AH:$AH)</f>
        <v>0</v>
      </c>
      <c r="I33" s="52">
        <f t="shared" si="8"/>
        <v>33.700000000000003</v>
      </c>
      <c r="J33" s="59">
        <f>SUMIFS($AE:$AE,$V:$V,$B33,$AC:$AC,$J$8)</f>
        <v>0</v>
      </c>
      <c r="K33" s="4"/>
      <c r="L33" s="20" t="s">
        <v>48</v>
      </c>
      <c r="N33" s="43">
        <f>COUNTIFS($V:$V,$B33,$X:$X,N$9)</f>
        <v>0</v>
      </c>
      <c r="O33" s="44">
        <f t="shared" si="5"/>
        <v>10</v>
      </c>
      <c r="P33" s="41">
        <f t="shared" si="6"/>
        <v>0</v>
      </c>
      <c r="Q33" s="45">
        <f t="shared" si="9"/>
        <v>10</v>
      </c>
      <c r="V33" s="97">
        <v>45966</v>
      </c>
      <c r="W33" s="16">
        <v>215919</v>
      </c>
      <c r="X33" s="101" t="s">
        <v>36</v>
      </c>
      <c r="Y33" s="105"/>
      <c r="Z33" s="50">
        <v>0.71834490740740742</v>
      </c>
      <c r="AA33" s="50">
        <v>0.90165509259259258</v>
      </c>
      <c r="AD33" s="37">
        <v>20198</v>
      </c>
      <c r="AE33" s="93">
        <f t="shared" si="0"/>
        <v>20.198</v>
      </c>
      <c r="AF33">
        <v>15.06</v>
      </c>
      <c r="AG33" s="103">
        <f t="shared" si="1"/>
        <v>14</v>
      </c>
      <c r="AH33" s="37">
        <f t="shared" si="2"/>
        <v>20.198</v>
      </c>
      <c r="AJ33" s="97">
        <v>45967</v>
      </c>
      <c r="AK33" t="s">
        <v>2732</v>
      </c>
      <c r="AL33" t="s">
        <v>5</v>
      </c>
      <c r="AN33" s="39" t="s">
        <v>2788</v>
      </c>
      <c r="AO33" t="s">
        <v>2788</v>
      </c>
      <c r="AP33" s="37">
        <v>3040</v>
      </c>
      <c r="AR33" s="97"/>
      <c r="AU33" s="97"/>
      <c r="AY33" s="39"/>
      <c r="BA33" s="37"/>
      <c r="BC33" s="97"/>
    </row>
    <row r="34" spans="2:55" ht="16" x14ac:dyDescent="0.4">
      <c r="B34" s="1">
        <v>45986</v>
      </c>
      <c r="C34" s="2">
        <f>SUMIFS($AE:$AE,$V:$V,$B34,$X:$X,C$7)-$J34</f>
        <v>0</v>
      </c>
      <c r="D34" s="2">
        <f t="shared" si="3"/>
        <v>0</v>
      </c>
      <c r="E34" s="2">
        <f t="shared" si="3"/>
        <v>0</v>
      </c>
      <c r="F34" s="32">
        <f>SUMIFS($AD:$AD,$V:$V,$B34,$AB:$AB,$F$7)/1000</f>
        <v>0</v>
      </c>
      <c r="G34" s="157">
        <f t="shared" si="7"/>
        <v>0</v>
      </c>
      <c r="H34" s="51">
        <f>SUMIF($V:$V,$B34,$AH:$AH)</f>
        <v>0</v>
      </c>
      <c r="I34" s="52">
        <f t="shared" si="8"/>
        <v>0</v>
      </c>
      <c r="J34" s="59">
        <f>SUMIFS($AE:$AE,$V:$V,$B34,$AC:$AC,$J$8)</f>
        <v>0</v>
      </c>
      <c r="K34" s="4"/>
      <c r="L34" s="20">
        <f t="shared" si="4"/>
        <v>0</v>
      </c>
      <c r="N34" s="43">
        <f>COUNTIFS($V:$V,$B34,$X:$X,N$9)</f>
        <v>0</v>
      </c>
      <c r="O34" s="44">
        <f t="shared" si="5"/>
        <v>0</v>
      </c>
      <c r="P34" s="41">
        <f t="shared" si="6"/>
        <v>0</v>
      </c>
      <c r="Q34" s="45">
        <f t="shared" si="9"/>
        <v>0</v>
      </c>
      <c r="V34" s="97">
        <v>45966</v>
      </c>
      <c r="W34">
        <v>215935</v>
      </c>
      <c r="X34" s="101" t="s">
        <v>36</v>
      </c>
      <c r="Z34" s="50">
        <v>0.52766203703703707</v>
      </c>
      <c r="AA34" s="50">
        <v>0.97392361111111114</v>
      </c>
      <c r="AD34" s="37">
        <v>21434</v>
      </c>
      <c r="AE34" s="93">
        <f t="shared" si="0"/>
        <v>21.434000000000001</v>
      </c>
      <c r="AF34">
        <v>14.31</v>
      </c>
      <c r="AG34" s="103">
        <f t="shared" si="1"/>
        <v>14</v>
      </c>
      <c r="AH34" s="37">
        <f t="shared" si="2"/>
        <v>21.434000000000001</v>
      </c>
      <c r="AJ34" s="97">
        <v>45967</v>
      </c>
      <c r="AK34" t="s">
        <v>2733</v>
      </c>
      <c r="AL34" t="s">
        <v>5</v>
      </c>
      <c r="AN34" s="39" t="s">
        <v>2789</v>
      </c>
      <c r="AO34" t="s">
        <v>2789</v>
      </c>
      <c r="AP34" s="37">
        <v>3500</v>
      </c>
      <c r="AR34" s="97"/>
      <c r="AU34" s="97"/>
      <c r="AY34" s="39"/>
      <c r="BA34" s="37"/>
      <c r="BC34" s="97"/>
    </row>
    <row r="35" spans="2:55" ht="16" x14ac:dyDescent="0.4">
      <c r="B35" s="1">
        <v>45987</v>
      </c>
      <c r="C35" s="2">
        <f>SUMIFS($AE:$AE,$V:$V,$B35,$X:$X,C$7)-$J35</f>
        <v>0</v>
      </c>
      <c r="D35" s="2">
        <f t="shared" si="3"/>
        <v>0</v>
      </c>
      <c r="E35" s="2">
        <f t="shared" si="3"/>
        <v>0</v>
      </c>
      <c r="F35" s="32">
        <f>SUMIFS($AD:$AD,$V:$V,$B35,$AB:$AB,$F$7)/1000</f>
        <v>0</v>
      </c>
      <c r="G35" s="157">
        <f t="shared" si="7"/>
        <v>0</v>
      </c>
      <c r="H35" s="51">
        <f>SUMIF($V:$V,$B35,$AH:$AH)</f>
        <v>0</v>
      </c>
      <c r="I35" s="52">
        <f t="shared" si="8"/>
        <v>0</v>
      </c>
      <c r="J35" s="59">
        <f>SUMIFS($AE:$AE,$V:$V,$B35,$AC:$AC,$J$8)</f>
        <v>0</v>
      </c>
      <c r="K35" s="4"/>
      <c r="L35" s="20">
        <f t="shared" si="4"/>
        <v>0</v>
      </c>
      <c r="N35" s="43">
        <f>COUNTIFS($V:$V,$B35,$X:$X,N$9)</f>
        <v>0</v>
      </c>
      <c r="O35" s="44">
        <f t="shared" si="5"/>
        <v>0</v>
      </c>
      <c r="P35" s="41">
        <f t="shared" si="6"/>
        <v>0</v>
      </c>
      <c r="Q35" s="45">
        <f t="shared" si="9"/>
        <v>0</v>
      </c>
      <c r="V35" s="97">
        <v>45967</v>
      </c>
      <c r="W35" s="16">
        <v>215947</v>
      </c>
      <c r="X35" s="101" t="s">
        <v>36</v>
      </c>
      <c r="Y35" s="105"/>
      <c r="Z35" s="50">
        <v>0.61858796296296303</v>
      </c>
      <c r="AA35" s="50">
        <v>4.5416666666666668E-2</v>
      </c>
      <c r="AD35" s="37">
        <v>20950</v>
      </c>
      <c r="AE35" s="93">
        <f t="shared" si="0"/>
        <v>20.95</v>
      </c>
      <c r="AF35">
        <v>16.66</v>
      </c>
      <c r="AG35" s="103">
        <f t="shared" si="1"/>
        <v>14</v>
      </c>
      <c r="AH35" s="37">
        <f t="shared" si="2"/>
        <v>20.95</v>
      </c>
      <c r="AJ35" s="97">
        <v>45968</v>
      </c>
      <c r="AK35" t="s">
        <v>2734</v>
      </c>
      <c r="AL35" t="s">
        <v>5</v>
      </c>
      <c r="AN35" s="39" t="s">
        <v>2790</v>
      </c>
      <c r="AO35" t="s">
        <v>2790</v>
      </c>
      <c r="AP35" s="37">
        <v>3030</v>
      </c>
      <c r="AR35" s="97"/>
      <c r="AU35" s="97"/>
      <c r="AY35" s="39"/>
      <c r="BA35" s="37"/>
      <c r="BC35" s="97"/>
    </row>
    <row r="36" spans="2:55" ht="16" x14ac:dyDescent="0.4">
      <c r="B36" s="1">
        <v>45988</v>
      </c>
      <c r="C36" s="2">
        <f>SUMIFS($AE:$AE,$V:$V,$B36,$X:$X,C$7)-$J36</f>
        <v>0</v>
      </c>
      <c r="D36" s="2">
        <f t="shared" si="3"/>
        <v>0</v>
      </c>
      <c r="E36" s="2">
        <f t="shared" si="3"/>
        <v>0</v>
      </c>
      <c r="F36" s="32">
        <f>SUMIFS($AD:$AD,$V:$V,$B36,$AB:$AB,$F$7)/1000</f>
        <v>0</v>
      </c>
      <c r="G36" s="157">
        <f t="shared" si="7"/>
        <v>0</v>
      </c>
      <c r="H36" s="51">
        <f>SUMIF($V:$V,$B36,$AH:$AH)</f>
        <v>0</v>
      </c>
      <c r="I36" s="52">
        <f t="shared" si="8"/>
        <v>0</v>
      </c>
      <c r="J36" s="59">
        <f>SUMIFS($AE:$AE,$V:$V,$B36,$AC:$AC,$J$8)</f>
        <v>0</v>
      </c>
      <c r="K36" s="4"/>
      <c r="L36" s="20">
        <f t="shared" si="4"/>
        <v>0</v>
      </c>
      <c r="N36" s="43">
        <f>COUNTIFS($V:$V,$B36,$X:$X,N$9)</f>
        <v>0</v>
      </c>
      <c r="O36" s="44">
        <f t="shared" si="5"/>
        <v>0</v>
      </c>
      <c r="P36" s="41">
        <f t="shared" si="6"/>
        <v>0</v>
      </c>
      <c r="Q36" s="45">
        <f t="shared" si="9"/>
        <v>0</v>
      </c>
      <c r="V36" s="97">
        <v>45967</v>
      </c>
      <c r="W36" s="16">
        <v>215952</v>
      </c>
      <c r="X36" s="101" t="s">
        <v>36</v>
      </c>
      <c r="Y36" s="105"/>
      <c r="Z36" s="50">
        <v>1.2743055555555556E-2</v>
      </c>
      <c r="AA36" s="50">
        <v>9.3252314814814816E-2</v>
      </c>
      <c r="AD36" s="37">
        <v>20118</v>
      </c>
      <c r="AE36" s="93">
        <f t="shared" si="0"/>
        <v>20.117999999999999</v>
      </c>
      <c r="AF36">
        <v>15.37</v>
      </c>
      <c r="AG36" s="103">
        <f t="shared" si="1"/>
        <v>14</v>
      </c>
      <c r="AH36" s="37">
        <f t="shared" si="2"/>
        <v>20.117999999999999</v>
      </c>
      <c r="AJ36" s="97">
        <v>45968</v>
      </c>
      <c r="AK36" t="s">
        <v>2735</v>
      </c>
      <c r="AL36" t="s">
        <v>5</v>
      </c>
      <c r="AN36" s="81" t="s">
        <v>2791</v>
      </c>
      <c r="AO36" t="s">
        <v>2791</v>
      </c>
      <c r="AP36" s="37">
        <v>2980</v>
      </c>
      <c r="AR36" s="97"/>
      <c r="AU36" s="97"/>
      <c r="AY36" s="81"/>
      <c r="BA36" s="37"/>
      <c r="BC36" s="97"/>
    </row>
    <row r="37" spans="2:55" ht="16" x14ac:dyDescent="0.4">
      <c r="B37" s="1">
        <v>45989</v>
      </c>
      <c r="C37" s="2">
        <f>SUMIFS($AE:$AE,$V:$V,$B37,$X:$X,C$7)-$J37</f>
        <v>0</v>
      </c>
      <c r="D37" s="2">
        <f t="shared" si="3"/>
        <v>0</v>
      </c>
      <c r="E37" s="2">
        <f t="shared" si="3"/>
        <v>0</v>
      </c>
      <c r="F37" s="32">
        <f>SUMIFS($AD:$AD,$V:$V,$B37,$AB:$AB,$F$7)/1000</f>
        <v>0</v>
      </c>
      <c r="G37" s="157">
        <f t="shared" si="7"/>
        <v>0</v>
      </c>
      <c r="H37" s="51">
        <f>SUMIF($V:$V,$B37,$AH:$AH)</f>
        <v>0</v>
      </c>
      <c r="I37" s="52">
        <f t="shared" si="8"/>
        <v>0</v>
      </c>
      <c r="J37" s="59">
        <f>SUMIFS($AE:$AE,$V:$V,$B37,$AC:$AC,$J$8)</f>
        <v>0</v>
      </c>
      <c r="K37" s="4"/>
      <c r="L37" s="20">
        <f t="shared" si="4"/>
        <v>0</v>
      </c>
      <c r="N37" s="43">
        <f>COUNTIFS($V:$V,$B37,$X:$X,N$9)</f>
        <v>0</v>
      </c>
      <c r="O37" s="44">
        <f t="shared" si="5"/>
        <v>0</v>
      </c>
      <c r="P37" s="41">
        <f t="shared" si="6"/>
        <v>0</v>
      </c>
      <c r="Q37" s="45">
        <f t="shared" si="9"/>
        <v>0</v>
      </c>
      <c r="V37" s="97">
        <v>45967</v>
      </c>
      <c r="W37" s="16">
        <v>215955</v>
      </c>
      <c r="X37" s="101" t="s">
        <v>36</v>
      </c>
      <c r="Y37" s="105"/>
      <c r="Z37" s="50">
        <v>9.7314814814814812E-2</v>
      </c>
      <c r="AA37" s="50">
        <v>0.14402777777777778</v>
      </c>
      <c r="AD37" s="37">
        <v>21020</v>
      </c>
      <c r="AE37" s="93">
        <f t="shared" si="0"/>
        <v>21.02</v>
      </c>
      <c r="AF37">
        <v>14.41</v>
      </c>
      <c r="AG37" s="103">
        <f t="shared" si="1"/>
        <v>14</v>
      </c>
      <c r="AH37" s="37">
        <f t="shared" si="2"/>
        <v>21.02</v>
      </c>
      <c r="AJ37" s="97">
        <v>45968</v>
      </c>
      <c r="AK37" t="s">
        <v>2736</v>
      </c>
      <c r="AL37" t="s">
        <v>5</v>
      </c>
      <c r="AN37" s="81" t="s">
        <v>2792</v>
      </c>
      <c r="AO37" t="s">
        <v>2792</v>
      </c>
      <c r="AP37" s="37">
        <v>2980</v>
      </c>
      <c r="AR37" s="97"/>
      <c r="AU37" s="97"/>
      <c r="AY37" s="81"/>
      <c r="BA37" s="37"/>
      <c r="BC37" s="97"/>
    </row>
    <row r="38" spans="2:55" ht="16" x14ac:dyDescent="0.4">
      <c r="B38" s="1">
        <v>45990</v>
      </c>
      <c r="C38" s="2">
        <f>SUMIFS($AE:$AE,$V:$V,$B38,$X:$X,C$7)-$J38</f>
        <v>0</v>
      </c>
      <c r="D38" s="2">
        <f t="shared" si="3"/>
        <v>0</v>
      </c>
      <c r="E38" s="2">
        <f t="shared" si="3"/>
        <v>0</v>
      </c>
      <c r="F38" s="32">
        <f>SUMIFS($AD:$AD,$V:$V,$B38,$AB:$AB,$F$7)/1000</f>
        <v>0</v>
      </c>
      <c r="G38" s="157">
        <f t="shared" si="7"/>
        <v>0</v>
      </c>
      <c r="H38" s="51">
        <f>SUMIF($V:$V,$B38,$AH:$AH)</f>
        <v>0</v>
      </c>
      <c r="I38" s="52">
        <f t="shared" si="8"/>
        <v>0</v>
      </c>
      <c r="J38" s="59">
        <f>SUMIFS($AE:$AE,$V:$V,$B38,$AC:$AC,$J$8)</f>
        <v>0</v>
      </c>
      <c r="K38" s="4"/>
      <c r="L38" s="20">
        <f t="shared" si="4"/>
        <v>0</v>
      </c>
      <c r="N38" s="43">
        <f>COUNTIFS($V:$V,$B38,$X:$X,N$9)</f>
        <v>0</v>
      </c>
      <c r="O38" s="44">
        <f t="shared" si="5"/>
        <v>0</v>
      </c>
      <c r="P38" s="41">
        <f t="shared" si="6"/>
        <v>0</v>
      </c>
      <c r="Q38" s="45">
        <f t="shared" si="9"/>
        <v>0</v>
      </c>
      <c r="V38" s="97">
        <v>45967</v>
      </c>
      <c r="W38" s="16">
        <v>215962</v>
      </c>
      <c r="X38" s="101" t="s">
        <v>36</v>
      </c>
      <c r="Y38" s="105"/>
      <c r="Z38" s="50">
        <v>1.2592592592592593E-2</v>
      </c>
      <c r="AA38" s="50">
        <v>0.19829861111111111</v>
      </c>
      <c r="AD38" s="37">
        <v>20776</v>
      </c>
      <c r="AE38" s="93">
        <f t="shared" si="0"/>
        <v>20.776</v>
      </c>
      <c r="AF38">
        <v>16.63</v>
      </c>
      <c r="AG38" s="103">
        <f t="shared" si="1"/>
        <v>14</v>
      </c>
      <c r="AH38" s="37">
        <f t="shared" si="2"/>
        <v>20.776</v>
      </c>
      <c r="AJ38" s="97">
        <v>45968</v>
      </c>
      <c r="AK38" t="s">
        <v>2737</v>
      </c>
      <c r="AL38" t="s">
        <v>5</v>
      </c>
      <c r="AN38" s="81" t="s">
        <v>2793</v>
      </c>
      <c r="AO38" t="s">
        <v>2793</v>
      </c>
      <c r="AP38" s="37">
        <v>3700</v>
      </c>
      <c r="AR38" s="97"/>
      <c r="AU38" s="97"/>
      <c r="AY38" s="81"/>
      <c r="BA38" s="37"/>
      <c r="BC38" s="97"/>
    </row>
    <row r="39" spans="2:55" ht="16" x14ac:dyDescent="0.4">
      <c r="B39" s="1">
        <v>45991</v>
      </c>
      <c r="C39" s="2">
        <f>SUMIFS($AE:$AE,$V:$V,$B39,$X:$X,C$7)-$J39</f>
        <v>0</v>
      </c>
      <c r="D39" s="2">
        <f t="shared" si="3"/>
        <v>0</v>
      </c>
      <c r="E39" s="2">
        <f t="shared" si="3"/>
        <v>0</v>
      </c>
      <c r="F39" s="32">
        <f>SUMIFS($AD:$AD,$V:$V,$B39,$AB:$AB,$F$7)/1000</f>
        <v>0</v>
      </c>
      <c r="G39" s="157">
        <f t="shared" si="7"/>
        <v>0</v>
      </c>
      <c r="H39" s="51">
        <f>SUMIF($V:$V,$B39,$AH:$AH)</f>
        <v>0</v>
      </c>
      <c r="I39" s="52">
        <f t="shared" si="8"/>
        <v>0</v>
      </c>
      <c r="J39" s="59">
        <f>SUMIFS($AE:$AE,$V:$V,$B39,$AC:$AC,$J$8)</f>
        <v>0</v>
      </c>
      <c r="K39" s="4"/>
      <c r="L39" s="20">
        <f t="shared" si="4"/>
        <v>0</v>
      </c>
      <c r="N39" s="43">
        <f>COUNTIFS($V:$V,$B39,$X:$X,N$9)</f>
        <v>0</v>
      </c>
      <c r="O39" s="44">
        <f t="shared" si="5"/>
        <v>0</v>
      </c>
      <c r="P39" s="41">
        <f t="shared" si="6"/>
        <v>0</v>
      </c>
      <c r="Q39" s="45">
        <f t="shared" si="9"/>
        <v>0</v>
      </c>
      <c r="V39" s="97">
        <v>45967</v>
      </c>
      <c r="W39" s="16">
        <v>215966</v>
      </c>
      <c r="X39" s="101" t="s">
        <v>36</v>
      </c>
      <c r="Y39" s="105"/>
      <c r="Z39" s="50">
        <v>7.064814814814814E-2</v>
      </c>
      <c r="AA39" s="50">
        <v>0.23989583333333334</v>
      </c>
      <c r="AD39" s="37">
        <v>20632</v>
      </c>
      <c r="AE39" s="93">
        <f t="shared" si="0"/>
        <v>20.632000000000001</v>
      </c>
      <c r="AF39">
        <v>14.98</v>
      </c>
      <c r="AG39" s="103">
        <f t="shared" si="1"/>
        <v>14</v>
      </c>
      <c r="AH39" s="37">
        <f t="shared" si="2"/>
        <v>20.632000000000001</v>
      </c>
      <c r="AJ39" s="97">
        <v>45968</v>
      </c>
      <c r="AK39" t="s">
        <v>2738</v>
      </c>
      <c r="AL39" t="s">
        <v>5</v>
      </c>
      <c r="AN39" t="s">
        <v>2794</v>
      </c>
      <c r="AO39" t="s">
        <v>2794</v>
      </c>
      <c r="AP39" s="37">
        <v>1680</v>
      </c>
      <c r="AR39" s="97"/>
      <c r="AU39" s="97"/>
      <c r="BA39" s="37"/>
      <c r="BC39" s="97"/>
    </row>
    <row r="40" spans="2:55" ht="16.5" thickBot="1" x14ac:dyDescent="0.45">
      <c r="B40" s="1"/>
      <c r="C40" s="2"/>
      <c r="D40" s="2"/>
      <c r="E40" s="2"/>
      <c r="F40" s="32"/>
      <c r="G40" s="116"/>
      <c r="H40" s="51"/>
      <c r="I40" s="52"/>
      <c r="J40" s="59"/>
      <c r="K40" s="4"/>
      <c r="L40" s="20"/>
      <c r="N40" s="43"/>
      <c r="O40" s="44"/>
      <c r="P40" s="41"/>
      <c r="Q40" s="45"/>
      <c r="V40" s="97">
        <v>45967</v>
      </c>
      <c r="W40" s="16">
        <v>215972</v>
      </c>
      <c r="X40" s="101" t="s">
        <v>36</v>
      </c>
      <c r="Y40" s="105"/>
      <c r="Z40" s="50">
        <v>1.1805555555555555E-2</v>
      </c>
      <c r="AA40" s="50">
        <v>0.28402777777777777</v>
      </c>
      <c r="AD40" s="37">
        <v>20550</v>
      </c>
      <c r="AE40" s="93">
        <f t="shared" si="0"/>
        <v>20.55</v>
      </c>
      <c r="AF40">
        <v>14.09</v>
      </c>
      <c r="AG40" s="103">
        <f t="shared" si="1"/>
        <v>14</v>
      </c>
      <c r="AH40" s="37">
        <f t="shared" si="2"/>
        <v>20.55</v>
      </c>
      <c r="AJ40" s="97">
        <v>45968</v>
      </c>
      <c r="AK40" t="s">
        <v>2739</v>
      </c>
      <c r="AL40" t="s">
        <v>5</v>
      </c>
      <c r="AN40" s="81" t="s">
        <v>2795</v>
      </c>
      <c r="AO40" t="s">
        <v>2795</v>
      </c>
      <c r="AP40" s="37">
        <v>3060</v>
      </c>
      <c r="AR40" s="97"/>
      <c r="AU40" s="97"/>
      <c r="AY40" s="81"/>
      <c r="BA40" s="37"/>
      <c r="BC40" s="97"/>
    </row>
    <row r="41" spans="2:55" ht="16" x14ac:dyDescent="0.4">
      <c r="B41" s="5" t="s">
        <v>23</v>
      </c>
      <c r="C41" s="6">
        <f t="shared" ref="C41:K41" si="10">SUM(C10:C40)</f>
        <v>4792.9380000000001</v>
      </c>
      <c r="D41" s="31">
        <f>SUM(D10:D40)</f>
        <v>471</v>
      </c>
      <c r="E41" s="31">
        <f t="shared" ref="E41" si="11">SUM(E10:E40)</f>
        <v>30.919999999999998</v>
      </c>
      <c r="F41" s="6">
        <f t="shared" si="10"/>
        <v>0</v>
      </c>
      <c r="G41" s="7">
        <f t="shared" si="10"/>
        <v>5294.8580000000002</v>
      </c>
      <c r="H41" s="54">
        <f>SUM(H10:H40)</f>
        <v>4772.5911271428567</v>
      </c>
      <c r="I41" s="7">
        <f>SUM(I10:I40)</f>
        <v>5274.5111271428577</v>
      </c>
      <c r="J41" s="8">
        <f t="shared" si="10"/>
        <v>0</v>
      </c>
      <c r="K41" s="8">
        <f t="shared" si="10"/>
        <v>0</v>
      </c>
      <c r="L41" s="7">
        <f>SUM(L10:L40)-J41</f>
        <v>0</v>
      </c>
      <c r="N41" s="46">
        <f>SUM(N10:N40)</f>
        <v>234</v>
      </c>
      <c r="O41" s="46">
        <f t="shared" ref="O41" si="12">SUM(O10:O40)</f>
        <v>147</v>
      </c>
      <c r="P41" s="46">
        <f>SUM(P10:P40)</f>
        <v>5</v>
      </c>
      <c r="Q41" s="46">
        <f>SUM(Q10:Q40)-Q42</f>
        <v>240</v>
      </c>
      <c r="V41" s="97">
        <v>45967</v>
      </c>
      <c r="W41" s="16">
        <v>216281</v>
      </c>
      <c r="X41" s="101" t="s">
        <v>36</v>
      </c>
      <c r="Y41" s="105"/>
      <c r="Z41" s="50">
        <v>0.8305555555555556</v>
      </c>
      <c r="AA41" s="50"/>
      <c r="AD41" s="37">
        <v>17282</v>
      </c>
      <c r="AE41" s="93">
        <f t="shared" si="0"/>
        <v>17.282</v>
      </c>
      <c r="AF41">
        <v>14.12</v>
      </c>
      <c r="AG41" s="103">
        <f t="shared" si="1"/>
        <v>14</v>
      </c>
      <c r="AH41" s="37">
        <f t="shared" si="2"/>
        <v>17.282</v>
      </c>
      <c r="AJ41" s="97">
        <v>45968</v>
      </c>
      <c r="AK41" t="s">
        <v>2740</v>
      </c>
      <c r="AL41" t="s">
        <v>5</v>
      </c>
      <c r="AN41" s="39" t="s">
        <v>2796</v>
      </c>
      <c r="AO41" t="s">
        <v>2796</v>
      </c>
      <c r="AP41" s="37">
        <v>5380</v>
      </c>
      <c r="AR41" s="97"/>
      <c r="AU41" s="97"/>
      <c r="AY41" s="39"/>
      <c r="BA41" s="37"/>
      <c r="BC41" s="97"/>
    </row>
    <row r="42" spans="2:55" ht="16.5" thickBot="1" x14ac:dyDescent="0.45">
      <c r="B42" s="9"/>
      <c r="C42" s="10">
        <f>C41/$G$41</f>
        <v>0.90520614528283849</v>
      </c>
      <c r="D42" s="10">
        <f t="shared" ref="D42:E42" si="13">D41/$G$41</f>
        <v>8.8954226912223142E-2</v>
      </c>
      <c r="E42" s="10">
        <f t="shared" si="13"/>
        <v>5.8396278049383001E-3</v>
      </c>
      <c r="F42" s="10">
        <f>F41/$G$41</f>
        <v>0</v>
      </c>
      <c r="G42" s="9"/>
      <c r="H42" s="9"/>
      <c r="I42" s="9"/>
      <c r="J42" s="10" t="e">
        <f t="shared" ref="J42:K42" si="14">J41/$L$41</f>
        <v>#DIV/0!</v>
      </c>
      <c r="K42" s="10" t="e">
        <f t="shared" si="14"/>
        <v>#DIV/0!</v>
      </c>
      <c r="L42" s="11">
        <f>G41+L41</f>
        <v>5294.8580000000002</v>
      </c>
      <c r="N42" s="28" t="s">
        <v>24</v>
      </c>
      <c r="O42" s="28"/>
      <c r="P42" s="28"/>
      <c r="Q42" s="28">
        <f>COUNTBLANK(AP5:AP302)</f>
        <v>146</v>
      </c>
      <c r="V42" s="97">
        <v>45967</v>
      </c>
      <c r="W42" s="16">
        <v>216303</v>
      </c>
      <c r="X42" s="101" t="s">
        <v>36</v>
      </c>
      <c r="Y42" s="105"/>
      <c r="Z42" s="50">
        <v>0.27407407407407408</v>
      </c>
      <c r="AA42" s="50">
        <v>0.89037037037037037</v>
      </c>
      <c r="AD42" s="37">
        <v>21394</v>
      </c>
      <c r="AE42" s="93">
        <f t="shared" si="0"/>
        <v>21.393999999999998</v>
      </c>
      <c r="AF42">
        <v>14.7</v>
      </c>
      <c r="AG42" s="103">
        <f t="shared" si="1"/>
        <v>14</v>
      </c>
      <c r="AH42" s="37">
        <f t="shared" si="2"/>
        <v>21.393999999999998</v>
      </c>
      <c r="AJ42" s="97">
        <v>45968</v>
      </c>
      <c r="AK42" t="s">
        <v>2741</v>
      </c>
      <c r="AL42" t="s">
        <v>5</v>
      </c>
      <c r="AN42" s="81" t="s">
        <v>2797</v>
      </c>
      <c r="AO42" s="81" t="s">
        <v>2797</v>
      </c>
      <c r="AP42" s="37">
        <v>2940</v>
      </c>
      <c r="AR42" s="97"/>
      <c r="AU42" s="97"/>
      <c r="AY42" s="81"/>
      <c r="AZ42" s="81"/>
      <c r="BA42" s="37"/>
      <c r="BC42" s="97"/>
    </row>
    <row r="43" spans="2:55" ht="16.5" thickTop="1" x14ac:dyDescent="0.4">
      <c r="G43" s="12"/>
      <c r="H43" s="12"/>
      <c r="I43" s="12"/>
      <c r="J43" s="13"/>
      <c r="K43" s="14"/>
      <c r="V43" s="97">
        <v>45968</v>
      </c>
      <c r="W43" s="16">
        <v>216342</v>
      </c>
      <c r="X43" s="101" t="s">
        <v>36</v>
      </c>
      <c r="Y43" s="105"/>
      <c r="Z43" s="50">
        <v>0.27423611111111112</v>
      </c>
      <c r="AA43" s="50">
        <v>1.9178240740740742E-2</v>
      </c>
      <c r="AD43" s="37">
        <v>19950</v>
      </c>
      <c r="AE43" s="93">
        <f t="shared" si="0"/>
        <v>19.95</v>
      </c>
      <c r="AF43">
        <v>15.23</v>
      </c>
      <c r="AG43" s="103">
        <f t="shared" si="1"/>
        <v>14</v>
      </c>
      <c r="AH43" s="37">
        <f t="shared" si="2"/>
        <v>19.95</v>
      </c>
      <c r="AJ43" s="97">
        <v>45968</v>
      </c>
      <c r="AK43" t="s">
        <v>2742</v>
      </c>
      <c r="AL43" t="s">
        <v>5</v>
      </c>
      <c r="AN43" s="81" t="s">
        <v>2798</v>
      </c>
      <c r="AO43" s="81" t="s">
        <v>2799</v>
      </c>
      <c r="AP43" s="37">
        <v>2960</v>
      </c>
      <c r="AR43" s="97"/>
      <c r="AU43" s="97"/>
      <c r="AY43" s="81"/>
      <c r="AZ43" s="81"/>
      <c r="BA43" s="37"/>
      <c r="BC43" s="97"/>
    </row>
    <row r="44" spans="2:55" ht="16" x14ac:dyDescent="0.4">
      <c r="B44" s="15" t="s">
        <v>6</v>
      </c>
      <c r="G44" s="16"/>
      <c r="H44" s="16"/>
      <c r="I44" s="16"/>
      <c r="J44" s="16"/>
      <c r="K44" s="14"/>
      <c r="V44" s="97">
        <v>45968</v>
      </c>
      <c r="W44" s="16">
        <v>216321</v>
      </c>
      <c r="X44" s="101" t="s">
        <v>36</v>
      </c>
      <c r="Y44" s="105"/>
      <c r="Z44" s="50">
        <v>0.34766203703703707</v>
      </c>
      <c r="AA44" s="50">
        <v>0.94657407407407401</v>
      </c>
      <c r="AD44" s="37">
        <v>21468</v>
      </c>
      <c r="AE44" s="93">
        <f t="shared" si="0"/>
        <v>21.468</v>
      </c>
      <c r="AF44">
        <v>13.27</v>
      </c>
      <c r="AG44" s="103">
        <f t="shared" si="1"/>
        <v>13.27</v>
      </c>
      <c r="AH44" s="37">
        <f t="shared" si="2"/>
        <v>20.348597142857141</v>
      </c>
      <c r="AJ44" s="97">
        <v>45969</v>
      </c>
      <c r="AK44" t="s">
        <v>2743</v>
      </c>
      <c r="AL44" t="s">
        <v>5</v>
      </c>
      <c r="AN44" s="81" t="s">
        <v>2800</v>
      </c>
      <c r="AO44" t="s">
        <v>2800</v>
      </c>
      <c r="AP44" s="37">
        <v>2800</v>
      </c>
      <c r="AR44" s="97"/>
      <c r="AU44" s="97"/>
      <c r="AY44" s="81"/>
      <c r="BA44" s="37"/>
      <c r="BC44" s="97"/>
    </row>
    <row r="45" spans="2:55" ht="16" x14ac:dyDescent="0.4">
      <c r="B45" t="s">
        <v>7</v>
      </c>
      <c r="G45" s="23"/>
      <c r="H45" s="23"/>
      <c r="I45" s="23"/>
      <c r="J45" s="17"/>
      <c r="K45" s="18"/>
      <c r="V45" s="97">
        <v>45968</v>
      </c>
      <c r="W45" s="16">
        <v>216345</v>
      </c>
      <c r="X45" s="101" t="s">
        <v>36</v>
      </c>
      <c r="Y45" s="105"/>
      <c r="Z45" s="50">
        <v>0.3477662037037037</v>
      </c>
      <c r="AA45" s="50">
        <v>6.4861111111111105E-2</v>
      </c>
      <c r="AD45" s="37">
        <v>16958</v>
      </c>
      <c r="AE45" s="93">
        <f t="shared" si="0"/>
        <v>16.957999999999998</v>
      </c>
      <c r="AF45">
        <v>17.41</v>
      </c>
      <c r="AG45" s="103">
        <f t="shared" si="1"/>
        <v>14</v>
      </c>
      <c r="AH45" s="37">
        <f t="shared" si="2"/>
        <v>16.957999999999998</v>
      </c>
      <c r="AJ45" s="97">
        <v>45969</v>
      </c>
      <c r="AK45" t="s">
        <v>2744</v>
      </c>
      <c r="AL45" t="s">
        <v>5</v>
      </c>
      <c r="AN45" s="81" t="s">
        <v>2801</v>
      </c>
      <c r="AO45" t="s">
        <v>2801</v>
      </c>
      <c r="AP45" s="37">
        <v>4460</v>
      </c>
      <c r="AR45" s="97"/>
      <c r="AU45" s="97"/>
      <c r="AY45" s="81"/>
      <c r="BA45" s="37"/>
      <c r="BC45" s="97"/>
    </row>
    <row r="46" spans="2:55" ht="16" x14ac:dyDescent="0.4">
      <c r="B46" t="s">
        <v>8</v>
      </c>
      <c r="F46" s="23"/>
      <c r="G46" s="23"/>
      <c r="H46" s="23"/>
      <c r="I46" s="23"/>
      <c r="J46" s="23"/>
      <c r="K46" s="23"/>
      <c r="V46" s="97">
        <v>45968</v>
      </c>
      <c r="W46" s="16">
        <v>216352</v>
      </c>
      <c r="X46" s="101" t="s">
        <v>36</v>
      </c>
      <c r="Y46" s="105"/>
      <c r="Z46" s="50">
        <v>0.6697453703703703</v>
      </c>
      <c r="AA46" s="50">
        <v>0.12612268518518518</v>
      </c>
      <c r="AD46" s="37">
        <v>20314</v>
      </c>
      <c r="AE46" s="93">
        <f t="shared" si="0"/>
        <v>20.314</v>
      </c>
      <c r="AF46">
        <v>14.45</v>
      </c>
      <c r="AG46" s="103">
        <f t="shared" si="1"/>
        <v>14</v>
      </c>
      <c r="AH46" s="37">
        <f t="shared" si="2"/>
        <v>20.314</v>
      </c>
      <c r="AJ46" s="97">
        <v>45969</v>
      </c>
      <c r="AK46" t="s">
        <v>2745</v>
      </c>
      <c r="AL46" t="s">
        <v>5</v>
      </c>
      <c r="AN46" s="81" t="s">
        <v>2802</v>
      </c>
      <c r="AO46" s="81" t="s">
        <v>2802</v>
      </c>
      <c r="AP46" s="37">
        <v>3150</v>
      </c>
      <c r="AR46" s="97"/>
      <c r="AU46" s="97"/>
      <c r="AY46" s="81"/>
      <c r="AZ46" s="81"/>
      <c r="BA46" s="37"/>
      <c r="BC46" s="97"/>
    </row>
    <row r="47" spans="2:55" ht="16" x14ac:dyDescent="0.4">
      <c r="B47" t="s">
        <v>9</v>
      </c>
      <c r="F47" s="23"/>
      <c r="G47" s="30"/>
      <c r="H47" s="30"/>
      <c r="I47" s="30"/>
      <c r="V47" s="97">
        <v>45968</v>
      </c>
      <c r="W47" s="16">
        <v>216362</v>
      </c>
      <c r="X47" s="101" t="s">
        <v>36</v>
      </c>
      <c r="Y47" s="105"/>
      <c r="Z47" s="50">
        <v>0.1223611111111111</v>
      </c>
      <c r="AA47" s="50">
        <v>0.17295138888888886</v>
      </c>
      <c r="AD47" s="37">
        <v>18706</v>
      </c>
      <c r="AE47" s="93">
        <f t="shared" si="0"/>
        <v>18.706</v>
      </c>
      <c r="AF47">
        <v>16.87</v>
      </c>
      <c r="AG47" s="103">
        <f t="shared" si="1"/>
        <v>14</v>
      </c>
      <c r="AH47" s="37">
        <f t="shared" si="2"/>
        <v>18.706</v>
      </c>
      <c r="AJ47" s="97">
        <v>45969</v>
      </c>
      <c r="AK47" t="s">
        <v>2746</v>
      </c>
      <c r="AL47" t="s">
        <v>5</v>
      </c>
      <c r="AN47" s="81" t="s">
        <v>2803</v>
      </c>
      <c r="AO47" t="s">
        <v>2803</v>
      </c>
      <c r="AP47" s="37">
        <v>4940</v>
      </c>
      <c r="AR47" s="97"/>
      <c r="AU47" s="97"/>
      <c r="AY47" s="81"/>
      <c r="BA47" s="37"/>
      <c r="BC47" s="97"/>
    </row>
    <row r="48" spans="2:55" ht="16" x14ac:dyDescent="0.4">
      <c r="B48" t="s">
        <v>10</v>
      </c>
      <c r="V48" s="97">
        <v>45968</v>
      </c>
      <c r="W48" s="16">
        <v>216364</v>
      </c>
      <c r="X48" s="101" t="s">
        <v>36</v>
      </c>
      <c r="Y48" s="105"/>
      <c r="Z48" s="50">
        <v>0.16293981481481482</v>
      </c>
      <c r="AA48" s="50">
        <v>0.21979166666666669</v>
      </c>
      <c r="AD48" s="37">
        <v>16978</v>
      </c>
      <c r="AE48" s="93">
        <f t="shared" si="0"/>
        <v>16.978000000000002</v>
      </c>
      <c r="AF48">
        <v>14.38</v>
      </c>
      <c r="AG48" s="103">
        <f t="shared" si="1"/>
        <v>14</v>
      </c>
      <c r="AH48" s="37">
        <f t="shared" si="2"/>
        <v>16.978000000000002</v>
      </c>
      <c r="AJ48" s="97">
        <v>45969</v>
      </c>
      <c r="AK48" t="s">
        <v>2747</v>
      </c>
      <c r="AL48" t="s">
        <v>5</v>
      </c>
      <c r="AN48" t="s">
        <v>2804</v>
      </c>
      <c r="AO48" t="s">
        <v>2804</v>
      </c>
      <c r="AP48" s="37">
        <v>2920</v>
      </c>
      <c r="AR48" s="97"/>
      <c r="AU48" s="97"/>
      <c r="BA48" s="37"/>
      <c r="BC48" s="97"/>
    </row>
    <row r="49" spans="2:56" ht="16" x14ac:dyDescent="0.4">
      <c r="V49" s="97">
        <v>45968</v>
      </c>
      <c r="W49" s="16">
        <v>216384</v>
      </c>
      <c r="X49" s="101" t="s">
        <v>36</v>
      </c>
      <c r="Y49" s="105"/>
      <c r="Z49" s="50">
        <v>0.12222222222222223</v>
      </c>
      <c r="AA49" s="50">
        <v>0.3034722222222222</v>
      </c>
      <c r="AD49" s="37">
        <v>21678</v>
      </c>
      <c r="AE49" s="93">
        <f t="shared" si="0"/>
        <v>21.678000000000001</v>
      </c>
      <c r="AF49">
        <v>15.77</v>
      </c>
      <c r="AG49" s="103">
        <f t="shared" si="1"/>
        <v>14</v>
      </c>
      <c r="AH49" s="37">
        <f t="shared" si="2"/>
        <v>21.678000000000001</v>
      </c>
      <c r="AJ49" s="97">
        <v>45969</v>
      </c>
      <c r="AK49" t="s">
        <v>2748</v>
      </c>
      <c r="AL49" t="s">
        <v>4</v>
      </c>
      <c r="AN49" s="81" t="s">
        <v>2805</v>
      </c>
      <c r="AO49" t="s">
        <v>2806</v>
      </c>
      <c r="AP49" s="37">
        <v>6640</v>
      </c>
      <c r="AR49" s="97"/>
      <c r="AU49" s="97"/>
      <c r="AY49" s="81"/>
      <c r="BA49" s="37"/>
      <c r="BC49" s="97"/>
    </row>
    <row r="50" spans="2:56" ht="16" x14ac:dyDescent="0.4">
      <c r="B50" t="s">
        <v>11</v>
      </c>
      <c r="J50" t="s">
        <v>11</v>
      </c>
      <c r="V50" s="97">
        <v>45968</v>
      </c>
      <c r="W50" s="16">
        <v>216464</v>
      </c>
      <c r="X50" s="101" t="s">
        <v>36</v>
      </c>
      <c r="Y50" s="105"/>
      <c r="Z50" s="50">
        <v>0.16319444444444445</v>
      </c>
      <c r="AA50" s="50">
        <v>0.3840277777777778</v>
      </c>
      <c r="AD50" s="37">
        <v>21848</v>
      </c>
      <c r="AE50" s="93">
        <f t="shared" si="0"/>
        <v>21.847999999999999</v>
      </c>
      <c r="AF50">
        <v>14.68</v>
      </c>
      <c r="AG50" s="103">
        <f t="shared" si="1"/>
        <v>14</v>
      </c>
      <c r="AH50" s="37">
        <f t="shared" si="2"/>
        <v>21.847999999999995</v>
      </c>
      <c r="AJ50" s="97">
        <v>45969</v>
      </c>
      <c r="AK50" t="s">
        <v>2749</v>
      </c>
      <c r="AL50" t="s">
        <v>5</v>
      </c>
      <c r="AN50" s="81" t="s">
        <v>2807</v>
      </c>
      <c r="AO50" t="s">
        <v>2807</v>
      </c>
      <c r="AP50" s="37">
        <v>1320</v>
      </c>
      <c r="AR50" s="97"/>
      <c r="AU50" s="97"/>
      <c r="AY50" s="81"/>
      <c r="BA50" s="37"/>
      <c r="BC50" s="97"/>
    </row>
    <row r="51" spans="2:56" ht="16" x14ac:dyDescent="0.4">
      <c r="V51" s="97">
        <v>45968</v>
      </c>
      <c r="W51" s="16">
        <v>216518</v>
      </c>
      <c r="X51" s="101" t="s">
        <v>36</v>
      </c>
      <c r="Y51" s="105"/>
      <c r="Z51" s="50">
        <v>0.12222222222222223</v>
      </c>
      <c r="AA51" s="50">
        <v>0.46180555555555558</v>
      </c>
      <c r="AD51" s="37">
        <v>22270</v>
      </c>
      <c r="AE51" s="93">
        <f t="shared" si="0"/>
        <v>22.27</v>
      </c>
      <c r="AF51">
        <v>15.09</v>
      </c>
      <c r="AG51" s="103">
        <f t="shared" si="1"/>
        <v>14</v>
      </c>
      <c r="AH51" s="37">
        <f t="shared" si="2"/>
        <v>22.27</v>
      </c>
      <c r="AJ51" s="97">
        <v>45969</v>
      </c>
      <c r="AK51" t="s">
        <v>2750</v>
      </c>
      <c r="AL51" t="s">
        <v>5</v>
      </c>
      <c r="AN51" s="81" t="s">
        <v>2808</v>
      </c>
      <c r="AO51" t="s">
        <v>2809</v>
      </c>
      <c r="AP51" s="37">
        <v>3770</v>
      </c>
      <c r="AR51" s="97"/>
      <c r="AU51" s="97"/>
      <c r="AY51" s="81"/>
      <c r="BA51" s="37"/>
      <c r="BC51" s="97"/>
    </row>
    <row r="52" spans="2:56" ht="16" x14ac:dyDescent="0.4">
      <c r="V52" s="97">
        <v>45968</v>
      </c>
      <c r="W52" s="16">
        <v>216535</v>
      </c>
      <c r="X52" s="101" t="s">
        <v>36</v>
      </c>
      <c r="Y52" s="105"/>
      <c r="Z52" s="50">
        <v>0.16250000000000001</v>
      </c>
      <c r="AA52" s="50">
        <v>0.51458333333333328</v>
      </c>
      <c r="AD52" s="37">
        <v>19666</v>
      </c>
      <c r="AE52" s="93">
        <f t="shared" si="0"/>
        <v>19.666</v>
      </c>
      <c r="AF52">
        <v>15.02</v>
      </c>
      <c r="AG52" s="103">
        <f t="shared" si="1"/>
        <v>14</v>
      </c>
      <c r="AH52" s="37">
        <f t="shared" si="2"/>
        <v>19.666</v>
      </c>
      <c r="AJ52" s="97">
        <v>45971</v>
      </c>
      <c r="AK52" t="s">
        <v>2751</v>
      </c>
      <c r="AL52" t="s">
        <v>5</v>
      </c>
      <c r="AN52" s="81" t="s">
        <v>2810</v>
      </c>
      <c r="AO52" t="s">
        <v>2810</v>
      </c>
      <c r="AP52" s="37">
        <v>2510</v>
      </c>
      <c r="AR52" s="97"/>
      <c r="AU52" s="97"/>
      <c r="AY52" s="81"/>
      <c r="BA52" s="37"/>
      <c r="BC52" s="97"/>
    </row>
    <row r="53" spans="2:56" ht="16.5" thickBot="1" x14ac:dyDescent="0.45">
      <c r="B53" s="19" t="s">
        <v>12</v>
      </c>
      <c r="C53" s="19"/>
      <c r="J53" s="19"/>
      <c r="K53" s="19"/>
      <c r="L53" s="19"/>
      <c r="V53" s="97">
        <v>45968</v>
      </c>
      <c r="W53" s="16">
        <v>216559</v>
      </c>
      <c r="X53" s="101" t="s">
        <v>36</v>
      </c>
      <c r="Y53" s="105"/>
      <c r="Z53" s="50">
        <v>0.86805555555555547</v>
      </c>
      <c r="AA53" s="50">
        <v>0.56458333333333333</v>
      </c>
      <c r="AD53" s="37">
        <v>19792</v>
      </c>
      <c r="AE53" s="93">
        <f t="shared" si="0"/>
        <v>19.792000000000002</v>
      </c>
      <c r="AF53">
        <v>14.7</v>
      </c>
      <c r="AG53" s="103">
        <f t="shared" si="1"/>
        <v>14</v>
      </c>
      <c r="AH53" s="37">
        <f t="shared" si="2"/>
        <v>19.792000000000002</v>
      </c>
      <c r="AJ53" s="97">
        <v>45971</v>
      </c>
      <c r="AK53" t="s">
        <v>2752</v>
      </c>
      <c r="AL53" t="s">
        <v>5</v>
      </c>
      <c r="AN53" s="81" t="s">
        <v>2811</v>
      </c>
      <c r="AO53" t="s">
        <v>2811</v>
      </c>
      <c r="AP53" s="37">
        <v>3000</v>
      </c>
      <c r="AR53" s="97"/>
      <c r="AS53" s="88"/>
      <c r="AU53" s="97"/>
      <c r="AY53" s="81"/>
      <c r="BA53" s="37"/>
      <c r="BC53" s="97"/>
      <c r="BD53" s="88"/>
    </row>
    <row r="54" spans="2:56" ht="16" x14ac:dyDescent="0.4">
      <c r="B54" t="s">
        <v>13</v>
      </c>
      <c r="J54" t="s">
        <v>14</v>
      </c>
      <c r="V54" s="97">
        <v>45968</v>
      </c>
      <c r="W54" s="16">
        <v>216606</v>
      </c>
      <c r="X54" s="101" t="s">
        <v>36</v>
      </c>
      <c r="Y54" s="105"/>
      <c r="Z54" s="50">
        <v>0.56041666666666667</v>
      </c>
      <c r="AA54" s="50">
        <v>0.64236111111111105</v>
      </c>
      <c r="AD54" s="37">
        <v>21184</v>
      </c>
      <c r="AE54" s="93">
        <f t="shared" si="0"/>
        <v>21.184000000000001</v>
      </c>
      <c r="AF54">
        <v>14.06</v>
      </c>
      <c r="AG54" s="103">
        <f t="shared" si="1"/>
        <v>14</v>
      </c>
      <c r="AH54" s="37">
        <f t="shared" si="2"/>
        <v>21.184000000000001</v>
      </c>
      <c r="AJ54" s="97">
        <v>45971</v>
      </c>
      <c r="AK54" t="s">
        <v>2753</v>
      </c>
      <c r="AL54" t="s">
        <v>5</v>
      </c>
      <c r="AN54" t="s">
        <v>2812</v>
      </c>
      <c r="AO54" t="s">
        <v>2812</v>
      </c>
      <c r="AP54" s="37">
        <v>3430</v>
      </c>
      <c r="AR54" s="97"/>
      <c r="AS54" s="88"/>
      <c r="AU54" s="97"/>
      <c r="BA54" s="37"/>
      <c r="BC54" s="97"/>
      <c r="BD54" s="88"/>
    </row>
    <row r="55" spans="2:56" ht="16" x14ac:dyDescent="0.4">
      <c r="V55" s="97">
        <v>45968</v>
      </c>
      <c r="W55" s="16">
        <v>216637</v>
      </c>
      <c r="X55" s="101" t="s">
        <v>36</v>
      </c>
      <c r="Y55" s="105"/>
      <c r="Z55" s="50">
        <v>0.63124999999999998</v>
      </c>
      <c r="AA55" s="50">
        <v>0.69861111111111107</v>
      </c>
      <c r="AD55" s="37">
        <v>20542</v>
      </c>
      <c r="AE55" s="93">
        <f t="shared" si="0"/>
        <v>20.542000000000002</v>
      </c>
      <c r="AF55">
        <v>15.59</v>
      </c>
      <c r="AG55" s="103">
        <f t="shared" si="1"/>
        <v>14</v>
      </c>
      <c r="AH55" s="37">
        <f t="shared" si="2"/>
        <v>20.542000000000002</v>
      </c>
      <c r="AJ55" s="97">
        <v>45971</v>
      </c>
      <c r="AK55" t="s">
        <v>2754</v>
      </c>
      <c r="AL55" t="s">
        <v>5</v>
      </c>
      <c r="AN55" s="81" t="s">
        <v>2813</v>
      </c>
      <c r="AO55" s="81" t="s">
        <v>2813</v>
      </c>
      <c r="AP55" s="37">
        <v>1780</v>
      </c>
      <c r="AR55" s="97"/>
      <c r="AS55" s="38"/>
      <c r="AU55" s="97"/>
      <c r="AY55" s="81"/>
      <c r="AZ55" s="81"/>
      <c r="BA55" s="37"/>
      <c r="BC55" s="97"/>
      <c r="BD55" s="38"/>
    </row>
    <row r="56" spans="2:56" ht="16" x14ac:dyDescent="0.4">
      <c r="V56" s="97">
        <v>45968</v>
      </c>
      <c r="W56" s="16">
        <v>216665</v>
      </c>
      <c r="X56" s="101" t="s">
        <v>36</v>
      </c>
      <c r="Y56" s="105"/>
      <c r="Z56" s="50">
        <v>0.56050925925925921</v>
      </c>
      <c r="AA56" s="50">
        <v>0.81024305555555554</v>
      </c>
      <c r="AD56" s="37">
        <v>21330</v>
      </c>
      <c r="AE56" s="93">
        <f t="shared" si="0"/>
        <v>21.33</v>
      </c>
      <c r="AF56">
        <v>13.38</v>
      </c>
      <c r="AG56" s="103">
        <f t="shared" si="1"/>
        <v>13.38</v>
      </c>
      <c r="AH56" s="37">
        <f t="shared" si="2"/>
        <v>20.385385714285714</v>
      </c>
      <c r="AJ56" s="97">
        <v>45971</v>
      </c>
      <c r="AK56" t="s">
        <v>2755</v>
      </c>
      <c r="AL56" t="s">
        <v>5</v>
      </c>
      <c r="AN56" s="81" t="s">
        <v>2814</v>
      </c>
      <c r="AO56" s="81" t="s">
        <v>2814</v>
      </c>
      <c r="AP56" s="37">
        <v>3370</v>
      </c>
      <c r="AR56" s="97"/>
      <c r="AS56" s="38"/>
      <c r="AU56" s="97"/>
      <c r="AY56" s="81"/>
      <c r="AZ56" s="81"/>
      <c r="BA56" s="37"/>
      <c r="BC56" s="97"/>
      <c r="BD56" s="38"/>
    </row>
    <row r="57" spans="2:56" ht="16" x14ac:dyDescent="0.4">
      <c r="V57" s="97">
        <v>45968</v>
      </c>
      <c r="W57" s="16">
        <v>216694</v>
      </c>
      <c r="X57" s="101" t="s">
        <v>36</v>
      </c>
      <c r="Y57" s="105"/>
      <c r="Z57" s="50">
        <v>0.63157407407407407</v>
      </c>
      <c r="AA57" s="50">
        <v>0.87124999999999997</v>
      </c>
      <c r="AD57" s="37">
        <v>21212</v>
      </c>
      <c r="AE57" s="93">
        <f t="shared" si="0"/>
        <v>21.212</v>
      </c>
      <c r="AF57">
        <v>14.66</v>
      </c>
      <c r="AG57" s="103">
        <f t="shared" si="1"/>
        <v>14</v>
      </c>
      <c r="AH57" s="37">
        <f t="shared" si="2"/>
        <v>21.212</v>
      </c>
      <c r="AJ57" s="97">
        <v>45971</v>
      </c>
      <c r="AK57" t="s">
        <v>2756</v>
      </c>
      <c r="AL57" t="s">
        <v>5</v>
      </c>
      <c r="AN57" s="81" t="s">
        <v>2815</v>
      </c>
      <c r="AO57" s="81" t="s">
        <v>2815</v>
      </c>
      <c r="AP57" s="37">
        <v>3200</v>
      </c>
      <c r="AR57" s="97"/>
      <c r="AS57" s="38"/>
      <c r="AU57" s="97"/>
      <c r="AY57" s="81"/>
      <c r="AZ57" s="81"/>
      <c r="BA57" s="37"/>
      <c r="BC57" s="97"/>
      <c r="BD57" s="38"/>
    </row>
    <row r="58" spans="2:56" ht="16" x14ac:dyDescent="0.4">
      <c r="V58" s="97">
        <v>45968</v>
      </c>
      <c r="W58" s="16">
        <v>216715</v>
      </c>
      <c r="X58" s="101" t="s">
        <v>36</v>
      </c>
      <c r="Y58" s="105"/>
      <c r="Z58" s="50">
        <v>0.8580092592592593</v>
      </c>
      <c r="AA58" s="50">
        <v>0.94469907407407405</v>
      </c>
      <c r="AD58" s="37">
        <v>22088</v>
      </c>
      <c r="AE58" s="93">
        <f t="shared" si="0"/>
        <v>22.088000000000001</v>
      </c>
      <c r="AF58">
        <v>13.77</v>
      </c>
      <c r="AG58" s="103">
        <f t="shared" si="1"/>
        <v>13.77</v>
      </c>
      <c r="AH58" s="37">
        <f t="shared" si="2"/>
        <v>21.725125714285717</v>
      </c>
      <c r="AJ58" s="97">
        <v>45971</v>
      </c>
      <c r="AK58" t="s">
        <v>2757</v>
      </c>
      <c r="AL58" t="s">
        <v>5</v>
      </c>
      <c r="AN58" s="81" t="s">
        <v>2816</v>
      </c>
      <c r="AO58" s="81" t="s">
        <v>2817</v>
      </c>
      <c r="AP58" s="37">
        <v>2680</v>
      </c>
      <c r="AR58" s="97"/>
      <c r="AS58" s="38"/>
      <c r="AU58" s="97"/>
      <c r="AY58" s="81"/>
      <c r="AZ58" s="81"/>
      <c r="BA58" s="37"/>
      <c r="BC58" s="97"/>
      <c r="BD58" s="38"/>
    </row>
    <row r="59" spans="2:56" ht="16" x14ac:dyDescent="0.4">
      <c r="V59" s="97">
        <v>45969</v>
      </c>
      <c r="W59" s="16">
        <v>216727</v>
      </c>
      <c r="X59" s="101" t="s">
        <v>36</v>
      </c>
      <c r="Y59" s="105"/>
      <c r="Z59" s="50">
        <v>0.62711805555555555</v>
      </c>
      <c r="AA59" s="50">
        <v>6.7129629629629625E-4</v>
      </c>
      <c r="AD59" s="37">
        <v>20300</v>
      </c>
      <c r="AE59" s="93">
        <f t="shared" si="0"/>
        <v>20.3</v>
      </c>
      <c r="AF59">
        <v>14.59</v>
      </c>
      <c r="AG59" s="103">
        <f t="shared" si="1"/>
        <v>14</v>
      </c>
      <c r="AH59" s="37">
        <f t="shared" si="2"/>
        <v>20.3</v>
      </c>
      <c r="AJ59" s="97">
        <v>45971</v>
      </c>
      <c r="AK59" t="s">
        <v>2758</v>
      </c>
      <c r="AL59" t="s">
        <v>5</v>
      </c>
      <c r="AN59" s="81" t="s">
        <v>2818</v>
      </c>
      <c r="AO59" s="81" t="s">
        <v>2818</v>
      </c>
      <c r="AP59" s="37">
        <v>3160</v>
      </c>
      <c r="AR59" s="97"/>
      <c r="AS59" s="38"/>
      <c r="AU59" s="97"/>
      <c r="AY59" s="81"/>
      <c r="AZ59" s="81"/>
      <c r="BA59" s="37"/>
      <c r="BC59" s="97"/>
      <c r="BD59" s="38"/>
    </row>
    <row r="60" spans="2:56" ht="16" x14ac:dyDescent="0.4">
      <c r="V60" s="97">
        <v>45969</v>
      </c>
      <c r="W60" s="16">
        <v>216735</v>
      </c>
      <c r="X60" s="101" t="s">
        <v>36</v>
      </c>
      <c r="Y60" s="105"/>
      <c r="Z60" s="50">
        <v>0.56060185185185185</v>
      </c>
      <c r="AA60" s="50">
        <v>5.7627314814814812E-2</v>
      </c>
      <c r="AD60" s="37">
        <v>19130</v>
      </c>
      <c r="AE60" s="93">
        <f t="shared" si="0"/>
        <v>19.13</v>
      </c>
      <c r="AF60">
        <v>16.059999999999999</v>
      </c>
      <c r="AG60" s="103">
        <f t="shared" si="1"/>
        <v>14</v>
      </c>
      <c r="AH60" s="37">
        <f t="shared" si="2"/>
        <v>19.13</v>
      </c>
      <c r="AJ60" s="97">
        <v>45972</v>
      </c>
      <c r="AK60" t="s">
        <v>2819</v>
      </c>
      <c r="AL60" t="s">
        <v>5</v>
      </c>
      <c r="AN60" s="81" t="s">
        <v>2853</v>
      </c>
      <c r="AO60" s="81" t="s">
        <v>2853</v>
      </c>
      <c r="AP60" s="37">
        <v>3150</v>
      </c>
      <c r="AR60" s="97"/>
      <c r="AS60" s="38"/>
      <c r="AU60" s="97"/>
      <c r="AY60" s="81"/>
      <c r="AZ60" s="81"/>
      <c r="BA60" s="37"/>
      <c r="BC60" s="97"/>
      <c r="BD60" s="38"/>
    </row>
    <row r="61" spans="2:56" ht="16" x14ac:dyDescent="0.4">
      <c r="V61" s="97">
        <v>45969</v>
      </c>
      <c r="W61" s="16">
        <v>216739</v>
      </c>
      <c r="X61" s="101" t="s">
        <v>36</v>
      </c>
      <c r="Y61" s="105"/>
      <c r="Z61" s="50">
        <v>0.63145833333333334</v>
      </c>
      <c r="AA61" s="50">
        <v>0.11366898148148148</v>
      </c>
      <c r="AD61" s="37">
        <v>21856</v>
      </c>
      <c r="AE61" s="93">
        <f t="shared" si="0"/>
        <v>21.856000000000002</v>
      </c>
      <c r="AF61">
        <v>14.74</v>
      </c>
      <c r="AG61" s="103">
        <f t="shared" si="1"/>
        <v>14</v>
      </c>
      <c r="AH61" s="37">
        <f t="shared" si="2"/>
        <v>21.856000000000002</v>
      </c>
      <c r="AJ61" s="97">
        <v>45972</v>
      </c>
      <c r="AK61" t="s">
        <v>2820</v>
      </c>
      <c r="AL61" t="s">
        <v>5</v>
      </c>
      <c r="AN61" s="81" t="s">
        <v>2854</v>
      </c>
      <c r="AO61" s="81" t="s">
        <v>2854</v>
      </c>
      <c r="AP61" s="37">
        <v>3510</v>
      </c>
      <c r="AR61" s="97"/>
      <c r="AS61" s="38"/>
      <c r="AU61" s="97"/>
      <c r="AY61" s="81"/>
      <c r="AZ61" s="81"/>
      <c r="BA61" s="37"/>
      <c r="BC61" s="97"/>
      <c r="BD61" s="38"/>
    </row>
    <row r="62" spans="2:56" ht="16" x14ac:dyDescent="0.4">
      <c r="V62" s="97">
        <v>45969</v>
      </c>
      <c r="W62" s="16">
        <v>216745</v>
      </c>
      <c r="X62" s="101" t="s">
        <v>36</v>
      </c>
      <c r="Y62" s="105"/>
      <c r="Z62" s="50">
        <v>0.68016203703703704</v>
      </c>
      <c r="AA62" s="50">
        <v>0.16790509259259259</v>
      </c>
      <c r="AD62" s="37">
        <v>19794</v>
      </c>
      <c r="AE62" s="93">
        <f t="shared" si="0"/>
        <v>19.794</v>
      </c>
      <c r="AF62">
        <v>15.27</v>
      </c>
      <c r="AG62" s="103">
        <f t="shared" si="1"/>
        <v>14</v>
      </c>
      <c r="AH62" s="37">
        <f t="shared" si="2"/>
        <v>19.794</v>
      </c>
      <c r="AJ62" s="97">
        <v>45972</v>
      </c>
      <c r="AK62" t="s">
        <v>2821</v>
      </c>
      <c r="AL62" t="s">
        <v>5</v>
      </c>
      <c r="AN62" s="81" t="s">
        <v>2855</v>
      </c>
      <c r="AO62" s="81" t="s">
        <v>2855</v>
      </c>
      <c r="AP62" s="37">
        <v>2770</v>
      </c>
      <c r="AR62" s="97"/>
      <c r="AS62" s="38"/>
      <c r="AU62" s="97"/>
      <c r="AY62" s="81"/>
      <c r="AZ62" s="81"/>
      <c r="BA62" s="37"/>
      <c r="BC62" s="97"/>
      <c r="BD62" s="38"/>
    </row>
    <row r="63" spans="2:56" ht="16" x14ac:dyDescent="0.4">
      <c r="V63" s="97">
        <v>45969</v>
      </c>
      <c r="W63" s="16">
        <v>216750</v>
      </c>
      <c r="X63" s="101" t="s">
        <v>36</v>
      </c>
      <c r="Y63" s="105"/>
      <c r="Z63" s="50">
        <v>0.37877314814814816</v>
      </c>
      <c r="AA63" s="50">
        <v>0.21254629629629629</v>
      </c>
      <c r="AD63" s="37">
        <v>19254</v>
      </c>
      <c r="AE63" s="93">
        <f t="shared" si="0"/>
        <v>19.254000000000001</v>
      </c>
      <c r="AF63">
        <v>13.62</v>
      </c>
      <c r="AG63" s="103">
        <f t="shared" si="1"/>
        <v>13.62</v>
      </c>
      <c r="AH63" s="37">
        <f t="shared" si="2"/>
        <v>18.731391428571431</v>
      </c>
      <c r="AJ63" s="97">
        <v>45972</v>
      </c>
      <c r="AK63" t="s">
        <v>2822</v>
      </c>
      <c r="AL63" t="s">
        <v>5</v>
      </c>
      <c r="AN63" s="81" t="s">
        <v>2856</v>
      </c>
      <c r="AO63" s="81" t="s">
        <v>2857</v>
      </c>
      <c r="AP63" s="37">
        <v>3340</v>
      </c>
      <c r="AR63" s="97"/>
      <c r="AS63" s="38"/>
      <c r="AU63" s="97"/>
      <c r="AY63" s="81"/>
      <c r="AZ63" s="81"/>
      <c r="BA63" s="37"/>
      <c r="BC63" s="97"/>
      <c r="BD63" s="38"/>
    </row>
    <row r="64" spans="2:56" ht="16" x14ac:dyDescent="0.4">
      <c r="V64" s="97">
        <v>45969</v>
      </c>
      <c r="W64">
        <v>216779</v>
      </c>
      <c r="X64" s="101" t="s">
        <v>36</v>
      </c>
      <c r="Z64" s="50">
        <v>0.20277777777777781</v>
      </c>
      <c r="AA64" s="50">
        <v>0.32083333333333336</v>
      </c>
      <c r="AD64" s="37">
        <v>21744</v>
      </c>
      <c r="AE64" s="93">
        <f t="shared" si="0"/>
        <v>21.744</v>
      </c>
      <c r="AF64">
        <v>14.06</v>
      </c>
      <c r="AG64" s="103">
        <f t="shared" si="1"/>
        <v>14</v>
      </c>
      <c r="AH64" s="37">
        <f t="shared" si="2"/>
        <v>21.744</v>
      </c>
      <c r="AJ64" s="97">
        <v>45972</v>
      </c>
      <c r="AK64" t="s">
        <v>2823</v>
      </c>
      <c r="AL64" t="s">
        <v>5</v>
      </c>
      <c r="AN64" s="81" t="s">
        <v>2858</v>
      </c>
      <c r="AO64" s="81" t="s">
        <v>2858</v>
      </c>
      <c r="AP64" s="37">
        <v>6640</v>
      </c>
      <c r="AR64" s="97"/>
      <c r="AS64" s="38"/>
      <c r="AU64" s="97"/>
      <c r="AY64" s="81"/>
      <c r="AZ64" s="81"/>
      <c r="BA64" s="37"/>
      <c r="BC64" s="97"/>
      <c r="BD64" s="38"/>
    </row>
    <row r="65" spans="22:56" ht="16" x14ac:dyDescent="0.4">
      <c r="V65" s="90">
        <v>45969</v>
      </c>
      <c r="W65" s="16">
        <v>216824</v>
      </c>
      <c r="X65" s="101" t="s">
        <v>36</v>
      </c>
      <c r="Y65" s="105"/>
      <c r="Z65" s="50">
        <v>0.14861111111111111</v>
      </c>
      <c r="AA65" s="50">
        <v>0.37847222222222227</v>
      </c>
      <c r="AD65" s="37">
        <v>22350</v>
      </c>
      <c r="AE65" s="93">
        <f t="shared" si="0"/>
        <v>22.35</v>
      </c>
      <c r="AF65">
        <v>15.92</v>
      </c>
      <c r="AG65" s="103">
        <f t="shared" si="1"/>
        <v>14</v>
      </c>
      <c r="AH65" s="37">
        <f t="shared" si="2"/>
        <v>22.35</v>
      </c>
      <c r="AJ65" s="97">
        <v>45972</v>
      </c>
      <c r="AK65" t="s">
        <v>2824</v>
      </c>
      <c r="AL65" t="s">
        <v>5</v>
      </c>
      <c r="AN65" s="81" t="s">
        <v>2859</v>
      </c>
      <c r="AO65" s="81" t="s">
        <v>2859</v>
      </c>
      <c r="AP65" s="37">
        <v>2390</v>
      </c>
      <c r="AR65" s="97"/>
      <c r="AS65" s="38"/>
      <c r="AU65" s="97"/>
      <c r="AY65" s="81"/>
      <c r="AZ65" s="81"/>
      <c r="BA65" s="37"/>
      <c r="BC65" s="97"/>
      <c r="BD65" s="38"/>
    </row>
    <row r="66" spans="22:56" ht="16" x14ac:dyDescent="0.4">
      <c r="V66" s="97">
        <v>45969</v>
      </c>
      <c r="W66" s="16">
        <v>216869</v>
      </c>
      <c r="X66" s="101" t="s">
        <v>36</v>
      </c>
      <c r="Y66" s="105"/>
      <c r="Z66" s="50">
        <v>0.20277777777777781</v>
      </c>
      <c r="AA66" s="50">
        <v>0.44513888888888892</v>
      </c>
      <c r="AD66" s="37">
        <v>20942</v>
      </c>
      <c r="AE66" s="93">
        <f t="shared" ref="AE66:AE129" si="15">AD66/1000</f>
        <v>20.942</v>
      </c>
      <c r="AF66">
        <v>14.99</v>
      </c>
      <c r="AG66" s="103">
        <f t="shared" ref="AG66:AG129" si="16">IF($AF66&gt;14,14,$AF66)</f>
        <v>14</v>
      </c>
      <c r="AH66" s="37">
        <f t="shared" ref="AH66:AH129" si="17">AE66*AG66/14</f>
        <v>20.942</v>
      </c>
      <c r="AJ66" s="97">
        <v>45973</v>
      </c>
      <c r="AK66" t="s">
        <v>2825</v>
      </c>
      <c r="AL66" t="s">
        <v>5</v>
      </c>
      <c r="AN66" s="81" t="s">
        <v>2860</v>
      </c>
      <c r="AO66" s="81" t="s">
        <v>2861</v>
      </c>
      <c r="AP66" s="37">
        <v>5530</v>
      </c>
      <c r="AR66" s="97"/>
      <c r="AS66" s="38"/>
      <c r="AU66" s="97"/>
      <c r="AY66" s="81"/>
      <c r="AZ66" s="81"/>
      <c r="BA66" s="37"/>
      <c r="BC66" s="97"/>
      <c r="BD66" s="38"/>
    </row>
    <row r="67" spans="22:56" ht="16" x14ac:dyDescent="0.4">
      <c r="V67" s="97">
        <v>45969</v>
      </c>
      <c r="W67" s="16">
        <v>216891</v>
      </c>
      <c r="X67" s="101" t="s">
        <v>36</v>
      </c>
      <c r="Y67" s="105"/>
      <c r="Z67" s="50">
        <v>3.7499999999999999E-2</v>
      </c>
      <c r="AA67" s="50">
        <v>0.51458333333333328</v>
      </c>
      <c r="AD67" s="37">
        <v>20942</v>
      </c>
      <c r="AE67" s="93">
        <f t="shared" si="15"/>
        <v>20.942</v>
      </c>
      <c r="AF67">
        <v>15.38</v>
      </c>
      <c r="AG67" s="103">
        <f t="shared" si="16"/>
        <v>14</v>
      </c>
      <c r="AH67" s="37">
        <f t="shared" si="17"/>
        <v>20.942</v>
      </c>
      <c r="AJ67" s="97">
        <v>45974</v>
      </c>
      <c r="AK67" t="s">
        <v>2826</v>
      </c>
      <c r="AL67" t="s">
        <v>5</v>
      </c>
      <c r="AN67" s="81" t="s">
        <v>2862</v>
      </c>
      <c r="AO67" s="81" t="s">
        <v>2862</v>
      </c>
      <c r="AP67" s="37">
        <v>2920</v>
      </c>
      <c r="AR67" s="97"/>
      <c r="AS67" s="38"/>
      <c r="AU67" s="97"/>
      <c r="AY67" s="81"/>
      <c r="AZ67" s="81"/>
      <c r="BA67" s="37"/>
      <c r="BC67" s="97"/>
      <c r="BD67" s="38"/>
    </row>
    <row r="68" spans="22:56" ht="16" x14ac:dyDescent="0.4">
      <c r="V68" s="97">
        <v>45969</v>
      </c>
      <c r="W68" s="16">
        <v>216926</v>
      </c>
      <c r="X68" s="101" t="s">
        <v>36</v>
      </c>
      <c r="Y68" s="105"/>
      <c r="Z68" s="50">
        <v>0.8520833333333333</v>
      </c>
      <c r="AA68" s="50">
        <v>0.57638888888888895</v>
      </c>
      <c r="AD68" s="37">
        <v>18274</v>
      </c>
      <c r="AE68" s="93">
        <f t="shared" si="15"/>
        <v>18.274000000000001</v>
      </c>
      <c r="AF68">
        <v>14.66</v>
      </c>
      <c r="AG68" s="103">
        <f t="shared" si="16"/>
        <v>14</v>
      </c>
      <c r="AH68" s="37">
        <f t="shared" si="17"/>
        <v>18.274000000000001</v>
      </c>
      <c r="AJ68" s="97">
        <v>45974</v>
      </c>
      <c r="AK68" t="s">
        <v>2827</v>
      </c>
      <c r="AL68" t="s">
        <v>5</v>
      </c>
      <c r="AN68" s="81" t="s">
        <v>2863</v>
      </c>
      <c r="AO68" s="81" t="s">
        <v>2863</v>
      </c>
      <c r="AP68" s="37">
        <v>1840</v>
      </c>
      <c r="AR68" s="97"/>
      <c r="AS68" s="38"/>
      <c r="AU68" s="97"/>
      <c r="AY68" s="81"/>
      <c r="AZ68" s="81"/>
      <c r="BA68" s="37"/>
      <c r="BC68" s="97"/>
      <c r="BD68" s="38"/>
    </row>
    <row r="69" spans="22:56" ht="16" x14ac:dyDescent="0.4">
      <c r="V69" s="97">
        <v>45969</v>
      </c>
      <c r="W69" s="16">
        <v>216947</v>
      </c>
      <c r="X69" s="101" t="s">
        <v>36</v>
      </c>
      <c r="Y69" s="105"/>
      <c r="Z69" s="50">
        <v>0.49236111111111108</v>
      </c>
      <c r="AA69" s="50">
        <v>0.64444444444444449</v>
      </c>
      <c r="AD69" s="37">
        <v>20906</v>
      </c>
      <c r="AE69" s="93">
        <f t="shared" si="15"/>
        <v>20.905999999999999</v>
      </c>
      <c r="AF69">
        <v>14.51</v>
      </c>
      <c r="AG69" s="103">
        <f t="shared" si="16"/>
        <v>14</v>
      </c>
      <c r="AH69" s="37">
        <f t="shared" si="17"/>
        <v>20.905999999999999</v>
      </c>
      <c r="AJ69" s="97">
        <v>45974</v>
      </c>
      <c r="AK69" t="s">
        <v>2828</v>
      </c>
      <c r="AL69" t="s">
        <v>5</v>
      </c>
      <c r="AN69" s="81" t="s">
        <v>2864</v>
      </c>
      <c r="AO69" s="81" t="s">
        <v>2864</v>
      </c>
      <c r="AP69" s="37">
        <v>3440</v>
      </c>
      <c r="AR69" s="97"/>
      <c r="AS69" s="38"/>
      <c r="AU69" s="97"/>
      <c r="AY69" s="81"/>
      <c r="AZ69" s="81"/>
      <c r="BA69" s="37"/>
      <c r="BC69" s="97"/>
      <c r="BD69" s="38"/>
    </row>
    <row r="70" spans="22:56" ht="16" x14ac:dyDescent="0.4">
      <c r="V70" s="97">
        <v>45969</v>
      </c>
      <c r="W70" s="16">
        <v>216966</v>
      </c>
      <c r="X70" s="101" t="s">
        <v>36</v>
      </c>
      <c r="Y70" s="105"/>
      <c r="Z70" s="50">
        <v>0.20277777777777781</v>
      </c>
      <c r="AA70" s="50">
        <v>0.69861111111111107</v>
      </c>
      <c r="AD70" s="37">
        <v>19056</v>
      </c>
      <c r="AE70" s="93">
        <f t="shared" si="15"/>
        <v>19.056000000000001</v>
      </c>
      <c r="AF70">
        <v>14.24</v>
      </c>
      <c r="AG70" s="103">
        <f t="shared" si="16"/>
        <v>14</v>
      </c>
      <c r="AH70" s="37">
        <f t="shared" si="17"/>
        <v>19.056000000000001</v>
      </c>
      <c r="AJ70" s="97">
        <v>45974</v>
      </c>
      <c r="AK70" t="s">
        <v>2829</v>
      </c>
      <c r="AL70" t="s">
        <v>5</v>
      </c>
      <c r="AN70" s="81" t="s">
        <v>2865</v>
      </c>
      <c r="AO70" s="81" t="s">
        <v>2865</v>
      </c>
      <c r="AP70" s="37">
        <v>2690</v>
      </c>
      <c r="AR70" s="97"/>
      <c r="AS70" s="38"/>
      <c r="AU70" s="97"/>
      <c r="AY70" s="81"/>
      <c r="AZ70" s="81"/>
      <c r="BA70" s="37"/>
      <c r="BC70" s="97"/>
      <c r="BD70" s="38"/>
    </row>
    <row r="71" spans="22:56" ht="16" x14ac:dyDescent="0.4">
      <c r="V71" s="97">
        <v>45969</v>
      </c>
      <c r="W71" s="16">
        <v>216985</v>
      </c>
      <c r="X71" s="101" t="s">
        <v>36</v>
      </c>
      <c r="Y71" s="105"/>
      <c r="Z71" s="50">
        <v>0.56584490740740734</v>
      </c>
      <c r="AA71" s="50">
        <v>0.76931712962962961</v>
      </c>
      <c r="AD71" s="37">
        <v>19422</v>
      </c>
      <c r="AE71" s="93">
        <f t="shared" si="15"/>
        <v>19.422000000000001</v>
      </c>
      <c r="AF71">
        <v>12.99</v>
      </c>
      <c r="AG71" s="103">
        <f t="shared" si="16"/>
        <v>12.99</v>
      </c>
      <c r="AH71" s="37">
        <f t="shared" si="17"/>
        <v>18.02084142857143</v>
      </c>
      <c r="AJ71" s="97">
        <v>45974</v>
      </c>
      <c r="AK71" t="s">
        <v>2830</v>
      </c>
      <c r="AL71" t="s">
        <v>5</v>
      </c>
      <c r="AN71" s="81" t="s">
        <v>2866</v>
      </c>
      <c r="AO71" s="81" t="s">
        <v>2867</v>
      </c>
      <c r="AP71" s="37">
        <v>3540</v>
      </c>
      <c r="AR71" s="97"/>
      <c r="AS71" s="38"/>
      <c r="AU71" s="97"/>
      <c r="AY71" s="81"/>
      <c r="AZ71" s="81"/>
      <c r="BA71" s="37"/>
      <c r="BC71" s="97"/>
      <c r="BD71" s="38"/>
    </row>
    <row r="72" spans="22:56" ht="16" x14ac:dyDescent="0.4">
      <c r="V72" s="97">
        <v>45969</v>
      </c>
      <c r="W72" s="16">
        <v>217006</v>
      </c>
      <c r="X72" s="101" t="s">
        <v>36</v>
      </c>
      <c r="Y72" s="105"/>
      <c r="Z72" s="50">
        <v>0.75934027777777768</v>
      </c>
      <c r="AA72" s="50">
        <v>0.84199074074074076</v>
      </c>
      <c r="AD72" s="37">
        <v>22006</v>
      </c>
      <c r="AE72" s="93">
        <f t="shared" si="15"/>
        <v>22.006</v>
      </c>
      <c r="AF72">
        <v>13.41</v>
      </c>
      <c r="AG72" s="103">
        <f t="shared" si="16"/>
        <v>13.41</v>
      </c>
      <c r="AH72" s="37">
        <f t="shared" si="17"/>
        <v>21.078604285714285</v>
      </c>
      <c r="AJ72" s="97">
        <v>45974</v>
      </c>
      <c r="AK72" t="s">
        <v>2831</v>
      </c>
      <c r="AL72" t="s">
        <v>5</v>
      </c>
      <c r="AN72" s="81" t="s">
        <v>2868</v>
      </c>
      <c r="AO72" s="81" t="s">
        <v>2868</v>
      </c>
      <c r="AP72" s="37">
        <v>3320</v>
      </c>
      <c r="AR72" s="97"/>
      <c r="AS72" s="38"/>
      <c r="AU72" s="97"/>
      <c r="AY72" s="81"/>
      <c r="AZ72" s="81"/>
      <c r="BA72" s="37"/>
      <c r="BC72" s="97"/>
      <c r="BD72" s="38"/>
    </row>
    <row r="73" spans="22:56" ht="16" x14ac:dyDescent="0.4">
      <c r="V73" s="97">
        <v>45969</v>
      </c>
      <c r="W73" s="16">
        <v>217020</v>
      </c>
      <c r="X73" s="101" t="s">
        <v>36</v>
      </c>
      <c r="Y73" s="105"/>
      <c r="Z73" s="50">
        <v>0.14944444444444446</v>
      </c>
      <c r="AA73" s="50">
        <v>0.90278935185185183</v>
      </c>
      <c r="AD73" s="37">
        <v>22604</v>
      </c>
      <c r="AE73" s="93">
        <f t="shared" si="15"/>
        <v>22.603999999999999</v>
      </c>
      <c r="AF73">
        <v>13.63</v>
      </c>
      <c r="AG73" s="103">
        <f t="shared" si="16"/>
        <v>13.63</v>
      </c>
      <c r="AH73" s="37">
        <f t="shared" si="17"/>
        <v>22.006608571428568</v>
      </c>
      <c r="AJ73" s="97">
        <v>45974</v>
      </c>
      <c r="AK73" t="s">
        <v>2832</v>
      </c>
      <c r="AL73" t="s">
        <v>5</v>
      </c>
      <c r="AN73" s="81" t="s">
        <v>2869</v>
      </c>
      <c r="AO73" s="81" t="s">
        <v>2869</v>
      </c>
      <c r="AP73" s="37">
        <v>2830</v>
      </c>
      <c r="AR73" s="97"/>
      <c r="AS73" s="38"/>
      <c r="AU73" s="97"/>
      <c r="AY73" s="81"/>
      <c r="AZ73" s="81"/>
      <c r="BA73" s="37"/>
      <c r="BC73" s="97"/>
      <c r="BD73" s="38"/>
    </row>
    <row r="74" spans="22:56" ht="16" x14ac:dyDescent="0.4">
      <c r="V74" s="97">
        <v>45969</v>
      </c>
      <c r="W74" s="16">
        <v>217035</v>
      </c>
      <c r="X74" s="101" t="s">
        <v>36</v>
      </c>
      <c r="Y74" s="105"/>
      <c r="Z74" s="50">
        <v>0.49300925925925926</v>
      </c>
      <c r="AA74" s="50">
        <v>0.97023148148148142</v>
      </c>
      <c r="AD74" s="37">
        <v>19246</v>
      </c>
      <c r="AE74" s="93">
        <f t="shared" si="15"/>
        <v>19.245999999999999</v>
      </c>
      <c r="AF74">
        <v>15.66</v>
      </c>
      <c r="AG74" s="103">
        <f t="shared" si="16"/>
        <v>14</v>
      </c>
      <c r="AH74" s="37">
        <f t="shared" si="17"/>
        <v>19.245999999999999</v>
      </c>
      <c r="AJ74" s="97">
        <v>45975</v>
      </c>
      <c r="AK74" t="s">
        <v>2833</v>
      </c>
      <c r="AL74" t="s">
        <v>5</v>
      </c>
      <c r="AN74" s="81" t="s">
        <v>2870</v>
      </c>
      <c r="AO74" s="81" t="s">
        <v>2870</v>
      </c>
      <c r="AP74" s="37">
        <v>1830</v>
      </c>
      <c r="AR74" s="97"/>
      <c r="AS74" s="38"/>
      <c r="AU74" s="97"/>
      <c r="AY74" s="81"/>
      <c r="AZ74" s="81"/>
      <c r="BA74" s="37"/>
      <c r="BC74" s="97"/>
      <c r="BD74" s="38"/>
    </row>
    <row r="75" spans="22:56" ht="16" x14ac:dyDescent="0.4">
      <c r="V75" s="97">
        <v>45970</v>
      </c>
      <c r="W75" s="16">
        <v>217052</v>
      </c>
      <c r="X75" s="101" t="s">
        <v>36</v>
      </c>
      <c r="Y75" s="105"/>
      <c r="Z75" s="50">
        <v>0.94005787037037036</v>
      </c>
      <c r="AA75" s="50">
        <v>1.8460648148148146E-2</v>
      </c>
      <c r="AD75" s="37">
        <v>19870</v>
      </c>
      <c r="AE75" s="93">
        <f t="shared" si="15"/>
        <v>19.87</v>
      </c>
      <c r="AF75">
        <v>16.45</v>
      </c>
      <c r="AG75" s="103">
        <f t="shared" si="16"/>
        <v>14</v>
      </c>
      <c r="AH75" s="37">
        <f t="shared" si="17"/>
        <v>19.87</v>
      </c>
      <c r="AJ75" s="97">
        <v>45975</v>
      </c>
      <c r="AK75" t="s">
        <v>2834</v>
      </c>
      <c r="AL75" t="s">
        <v>5</v>
      </c>
      <c r="AN75" s="81" t="s">
        <v>2871</v>
      </c>
      <c r="AO75" s="81" t="s">
        <v>2872</v>
      </c>
      <c r="AP75" s="37">
        <v>3490</v>
      </c>
      <c r="AR75" s="97"/>
      <c r="AS75" s="38"/>
      <c r="AU75" s="97"/>
      <c r="AY75" s="81"/>
      <c r="AZ75" s="81"/>
      <c r="BA75" s="37"/>
      <c r="BC75" s="97"/>
      <c r="BD75" s="38"/>
    </row>
    <row r="76" spans="22:56" ht="16" x14ac:dyDescent="0.4">
      <c r="V76" s="97">
        <v>45970</v>
      </c>
      <c r="W76" s="16">
        <v>217053</v>
      </c>
      <c r="X76" s="101" t="s">
        <v>36</v>
      </c>
      <c r="Y76" s="105"/>
      <c r="Z76" s="50">
        <v>0.75924768518518515</v>
      </c>
      <c r="AA76" s="50">
        <v>7.2002314814814811E-2</v>
      </c>
      <c r="AD76" s="37">
        <v>21494</v>
      </c>
      <c r="AE76" s="93">
        <f t="shared" si="15"/>
        <v>21.494</v>
      </c>
      <c r="AF76">
        <v>14.22</v>
      </c>
      <c r="AG76" s="103">
        <f t="shared" si="16"/>
        <v>14</v>
      </c>
      <c r="AH76" s="37">
        <f t="shared" si="17"/>
        <v>21.494</v>
      </c>
      <c r="AJ76" s="97">
        <v>45975</v>
      </c>
      <c r="AK76" t="s">
        <v>2835</v>
      </c>
      <c r="AL76" t="s">
        <v>5</v>
      </c>
      <c r="AN76" s="81" t="s">
        <v>2873</v>
      </c>
      <c r="AO76" s="81" t="s">
        <v>2873</v>
      </c>
      <c r="AP76" s="37">
        <v>3210</v>
      </c>
      <c r="AR76" s="97"/>
      <c r="AS76" s="38"/>
      <c r="AU76" s="97"/>
      <c r="AY76" s="81"/>
      <c r="AZ76" s="81"/>
      <c r="BA76" s="37"/>
      <c r="BC76" s="97"/>
      <c r="BD76" s="38"/>
    </row>
    <row r="77" spans="22:56" ht="16" x14ac:dyDescent="0.4">
      <c r="V77" s="97">
        <v>45970</v>
      </c>
      <c r="W77" s="16">
        <v>217059</v>
      </c>
      <c r="X77" s="101" t="s">
        <v>36</v>
      </c>
      <c r="Y77" s="105"/>
      <c r="Z77" s="50">
        <v>0.94024305555555554</v>
      </c>
      <c r="AA77" s="50">
        <v>0.12745370370370371</v>
      </c>
      <c r="AD77" s="37">
        <v>19232</v>
      </c>
      <c r="AE77" s="93">
        <f t="shared" si="15"/>
        <v>19.231999999999999</v>
      </c>
      <c r="AF77">
        <v>15.12</v>
      </c>
      <c r="AG77" s="103">
        <f t="shared" si="16"/>
        <v>14</v>
      </c>
      <c r="AH77" s="37">
        <f t="shared" si="17"/>
        <v>19.231999999999999</v>
      </c>
      <c r="AJ77" s="97">
        <v>45975</v>
      </c>
      <c r="AK77" t="s">
        <v>2836</v>
      </c>
      <c r="AL77" t="s">
        <v>4</v>
      </c>
      <c r="AN77" s="81" t="s">
        <v>2874</v>
      </c>
      <c r="AO77" s="81" t="s">
        <v>2875</v>
      </c>
      <c r="AP77" s="37">
        <v>6010</v>
      </c>
      <c r="AR77" s="97"/>
      <c r="AS77" s="38"/>
      <c r="AU77" s="97"/>
      <c r="AY77" s="81"/>
      <c r="AZ77" s="81"/>
      <c r="BA77" s="37"/>
      <c r="BC77" s="97"/>
      <c r="BD77" s="38"/>
    </row>
    <row r="78" spans="22:56" ht="16" x14ac:dyDescent="0.4">
      <c r="V78" s="97">
        <v>45970</v>
      </c>
      <c r="W78" s="16">
        <v>217064</v>
      </c>
      <c r="X78" s="101" t="s">
        <v>36</v>
      </c>
      <c r="Y78" s="105"/>
      <c r="Z78" s="50">
        <v>0.10280092592592593</v>
      </c>
      <c r="AA78" s="50">
        <v>0.18552083333333333</v>
      </c>
      <c r="AD78" s="37">
        <v>20506</v>
      </c>
      <c r="AE78" s="93">
        <f t="shared" si="15"/>
        <v>20.506</v>
      </c>
      <c r="AF78">
        <v>14.31</v>
      </c>
      <c r="AG78" s="103">
        <f t="shared" si="16"/>
        <v>14</v>
      </c>
      <c r="AH78" s="37">
        <f t="shared" si="17"/>
        <v>20.506</v>
      </c>
      <c r="AJ78" s="97">
        <v>45975</v>
      </c>
      <c r="AK78" t="s">
        <v>2837</v>
      </c>
      <c r="AL78" t="s">
        <v>5</v>
      </c>
      <c r="AN78" s="81" t="s">
        <v>2876</v>
      </c>
      <c r="AO78" s="81" t="s">
        <v>2876</v>
      </c>
      <c r="AP78" s="37">
        <v>2940</v>
      </c>
      <c r="AR78" s="97"/>
      <c r="AS78" s="38"/>
      <c r="AU78" s="97"/>
      <c r="AY78" s="81"/>
      <c r="AZ78" s="81"/>
      <c r="BA78" s="37"/>
      <c r="BC78" s="97"/>
      <c r="BD78" s="38"/>
    </row>
    <row r="79" spans="22:56" ht="16" x14ac:dyDescent="0.4">
      <c r="V79" s="97">
        <v>45970</v>
      </c>
      <c r="W79" s="16">
        <v>217069</v>
      </c>
      <c r="X79" s="101" t="s">
        <v>36</v>
      </c>
      <c r="Y79" s="105"/>
      <c r="Z79" s="50">
        <v>0.94054398148148144</v>
      </c>
      <c r="AA79" s="50">
        <v>0.23932870370370371</v>
      </c>
      <c r="AD79" s="37">
        <v>15914</v>
      </c>
      <c r="AE79" s="93">
        <f t="shared" si="15"/>
        <v>15.914</v>
      </c>
      <c r="AF79">
        <v>15.56</v>
      </c>
      <c r="AG79" s="103">
        <f t="shared" si="16"/>
        <v>14</v>
      </c>
      <c r="AH79" s="37">
        <f t="shared" si="17"/>
        <v>15.914</v>
      </c>
      <c r="AJ79" s="97">
        <v>45975</v>
      </c>
      <c r="AK79" t="s">
        <v>2838</v>
      </c>
      <c r="AL79" t="s">
        <v>5</v>
      </c>
      <c r="AN79" s="81" t="s">
        <v>2877</v>
      </c>
      <c r="AO79" s="81" t="s">
        <v>2877</v>
      </c>
      <c r="AP79" s="37">
        <v>3460</v>
      </c>
      <c r="AR79" s="97"/>
      <c r="AS79" s="38"/>
      <c r="AU79" s="97"/>
      <c r="AY79" s="81"/>
      <c r="AZ79" s="81"/>
      <c r="BA79" s="37"/>
      <c r="BC79" s="97"/>
      <c r="BD79" s="38"/>
    </row>
    <row r="80" spans="22:56" ht="16" x14ac:dyDescent="0.4">
      <c r="V80" s="97">
        <v>45972</v>
      </c>
      <c r="W80" s="16">
        <v>217654</v>
      </c>
      <c r="X80" s="101" t="s">
        <v>36</v>
      </c>
      <c r="Y80" s="105"/>
      <c r="Z80" s="50">
        <v>0.25208333333333333</v>
      </c>
      <c r="AA80" s="50">
        <v>0.3444444444444445</v>
      </c>
      <c r="AD80" s="37">
        <v>20562</v>
      </c>
      <c r="AE80" s="93">
        <f t="shared" si="15"/>
        <v>20.562000000000001</v>
      </c>
      <c r="AF80">
        <v>16.34</v>
      </c>
      <c r="AG80" s="103">
        <f t="shared" si="16"/>
        <v>14</v>
      </c>
      <c r="AH80" s="37">
        <f t="shared" si="17"/>
        <v>20.562000000000001</v>
      </c>
      <c r="AJ80" s="97">
        <v>45976</v>
      </c>
      <c r="AK80" t="s">
        <v>2839</v>
      </c>
      <c r="AL80" t="s">
        <v>5</v>
      </c>
      <c r="AN80" s="81" t="s">
        <v>2878</v>
      </c>
      <c r="AO80" s="81" t="s">
        <v>2879</v>
      </c>
      <c r="AP80" s="37">
        <v>2730</v>
      </c>
      <c r="AR80" s="97"/>
      <c r="AS80" s="38"/>
      <c r="AU80" s="97"/>
      <c r="AY80" s="81"/>
      <c r="AZ80" s="81"/>
      <c r="BA80" s="37"/>
      <c r="BC80" s="97"/>
      <c r="BD80" s="38"/>
    </row>
    <row r="81" spans="22:56" ht="16" x14ac:dyDescent="0.4">
      <c r="V81" s="97">
        <v>45972</v>
      </c>
      <c r="W81" s="16">
        <v>217707</v>
      </c>
      <c r="X81" s="101" t="s">
        <v>36</v>
      </c>
      <c r="Y81" s="105"/>
      <c r="Z81" s="50">
        <v>0.20555555555555557</v>
      </c>
      <c r="AA81" s="50">
        <v>0.42152777777777778</v>
      </c>
      <c r="AD81" s="37">
        <v>20830</v>
      </c>
      <c r="AE81" s="93">
        <f t="shared" si="15"/>
        <v>20.83</v>
      </c>
      <c r="AF81">
        <v>15.07</v>
      </c>
      <c r="AG81" s="103">
        <f t="shared" si="16"/>
        <v>14</v>
      </c>
      <c r="AH81" s="37">
        <f t="shared" si="17"/>
        <v>20.830000000000002</v>
      </c>
      <c r="AJ81" s="97">
        <v>45976</v>
      </c>
      <c r="AK81" t="s">
        <v>2840</v>
      </c>
      <c r="AL81" t="s">
        <v>5</v>
      </c>
      <c r="AN81" s="81" t="s">
        <v>2880</v>
      </c>
      <c r="AO81" s="81" t="s">
        <v>2881</v>
      </c>
      <c r="AP81" s="37">
        <v>2920</v>
      </c>
      <c r="AR81" s="97"/>
      <c r="AS81" s="38"/>
      <c r="AU81" s="97"/>
      <c r="AY81" s="81"/>
      <c r="AZ81" s="81"/>
      <c r="BA81" s="37"/>
      <c r="BC81" s="97"/>
      <c r="BD81" s="38"/>
    </row>
    <row r="82" spans="22:56" ht="16" x14ac:dyDescent="0.4">
      <c r="V82" s="97">
        <v>45972</v>
      </c>
      <c r="W82" s="16">
        <v>217752</v>
      </c>
      <c r="X82" s="101" t="s">
        <v>36</v>
      </c>
      <c r="Y82" s="105"/>
      <c r="Z82" s="50">
        <v>0.43958333333333338</v>
      </c>
      <c r="AA82" s="50">
        <v>0.5083333333333333</v>
      </c>
      <c r="AD82" s="37">
        <v>20830</v>
      </c>
      <c r="AE82" s="93">
        <f t="shared" si="15"/>
        <v>20.83</v>
      </c>
      <c r="AF82">
        <v>15.87</v>
      </c>
      <c r="AG82" s="103">
        <f t="shared" si="16"/>
        <v>14</v>
      </c>
      <c r="AH82" s="37">
        <f t="shared" si="17"/>
        <v>20.830000000000002</v>
      </c>
      <c r="AJ82" s="97">
        <v>45976</v>
      </c>
      <c r="AK82" t="s">
        <v>2841</v>
      </c>
      <c r="AL82" t="s">
        <v>5</v>
      </c>
      <c r="AN82" s="81" t="s">
        <v>2882</v>
      </c>
      <c r="AO82" s="81" t="s">
        <v>2883</v>
      </c>
      <c r="AP82" s="37">
        <v>3780</v>
      </c>
      <c r="AR82" s="97"/>
      <c r="AS82" s="38"/>
      <c r="AU82" s="97"/>
      <c r="AY82" s="81"/>
      <c r="AZ82" s="81"/>
      <c r="BA82" s="37"/>
      <c r="BC82" s="97"/>
      <c r="BD82" s="38"/>
    </row>
    <row r="83" spans="22:56" ht="16" x14ac:dyDescent="0.4">
      <c r="V83" s="97">
        <v>45972</v>
      </c>
      <c r="W83" s="16">
        <v>217838</v>
      </c>
      <c r="X83" s="101" t="s">
        <v>36</v>
      </c>
      <c r="Y83" s="105"/>
      <c r="Z83" s="50">
        <v>0.27083333333333331</v>
      </c>
      <c r="AA83" s="50">
        <v>0.65347222222222223</v>
      </c>
      <c r="AD83" s="37">
        <v>20908</v>
      </c>
      <c r="AE83" s="93">
        <f t="shared" si="15"/>
        <v>20.908000000000001</v>
      </c>
      <c r="AF83">
        <v>15.88</v>
      </c>
      <c r="AG83" s="103">
        <f t="shared" si="16"/>
        <v>14</v>
      </c>
      <c r="AH83" s="37">
        <f t="shared" si="17"/>
        <v>20.907999999999998</v>
      </c>
      <c r="AJ83" s="97">
        <v>45976</v>
      </c>
      <c r="AK83" t="s">
        <v>2842</v>
      </c>
      <c r="AL83" t="s">
        <v>5</v>
      </c>
      <c r="AN83" s="81" t="s">
        <v>2884</v>
      </c>
      <c r="AO83" s="81" t="s">
        <v>2884</v>
      </c>
      <c r="AP83" s="37">
        <v>2700</v>
      </c>
      <c r="AR83" s="97"/>
      <c r="AS83" s="38"/>
      <c r="AU83" s="97"/>
      <c r="AY83" s="81"/>
      <c r="AZ83" s="81"/>
      <c r="BA83" s="37"/>
      <c r="BC83" s="97"/>
      <c r="BD83" s="38"/>
    </row>
    <row r="84" spans="22:56" ht="16" x14ac:dyDescent="0.4">
      <c r="V84" s="97">
        <v>45972</v>
      </c>
      <c r="W84" s="16">
        <v>217869</v>
      </c>
      <c r="X84" s="101" t="s">
        <v>36</v>
      </c>
      <c r="Y84" s="105"/>
      <c r="Z84" s="50">
        <v>0.43958333333333338</v>
      </c>
      <c r="AA84" s="50">
        <v>0.70833333333333337</v>
      </c>
      <c r="AD84" s="37">
        <v>21394</v>
      </c>
      <c r="AE84" s="93">
        <f t="shared" si="15"/>
        <v>21.393999999999998</v>
      </c>
      <c r="AF84">
        <v>14.24</v>
      </c>
      <c r="AG84" s="103">
        <f t="shared" si="16"/>
        <v>14</v>
      </c>
      <c r="AH84" s="37">
        <f t="shared" si="17"/>
        <v>21.393999999999998</v>
      </c>
      <c r="AJ84" s="97">
        <v>45976</v>
      </c>
      <c r="AK84" t="s">
        <v>2843</v>
      </c>
      <c r="AL84" t="s">
        <v>5</v>
      </c>
      <c r="AN84" s="81" t="s">
        <v>2885</v>
      </c>
      <c r="AO84" s="81" t="s">
        <v>2886</v>
      </c>
      <c r="AP84" s="37">
        <v>3560</v>
      </c>
      <c r="AR84" s="97"/>
      <c r="AS84" s="38"/>
      <c r="AU84" s="97"/>
      <c r="AY84" s="81"/>
      <c r="AZ84" s="81"/>
      <c r="BA84" s="37"/>
      <c r="BC84" s="97"/>
      <c r="BD84" s="38"/>
    </row>
    <row r="85" spans="22:56" ht="16" x14ac:dyDescent="0.4">
      <c r="V85" s="90">
        <v>45972</v>
      </c>
      <c r="W85" s="17">
        <v>217877</v>
      </c>
      <c r="X85" s="101" t="s">
        <v>36</v>
      </c>
      <c r="Y85" s="110"/>
      <c r="Z85" s="50">
        <v>0.69935185185185189</v>
      </c>
      <c r="AA85" s="50">
        <v>0.76533564814814825</v>
      </c>
      <c r="AB85" s="17"/>
      <c r="AC85" s="17"/>
      <c r="AD85" s="37">
        <v>18960</v>
      </c>
      <c r="AE85" s="93">
        <f t="shared" si="15"/>
        <v>18.96</v>
      </c>
      <c r="AF85">
        <v>14.31</v>
      </c>
      <c r="AG85" s="103">
        <f t="shared" si="16"/>
        <v>14</v>
      </c>
      <c r="AH85" s="37">
        <f t="shared" si="17"/>
        <v>18.96</v>
      </c>
      <c r="AJ85" s="97">
        <v>45978</v>
      </c>
      <c r="AK85" t="s">
        <v>2844</v>
      </c>
      <c r="AL85" t="s">
        <v>5</v>
      </c>
      <c r="AN85" s="81" t="s">
        <v>2887</v>
      </c>
      <c r="AO85" s="81" t="s">
        <v>2887</v>
      </c>
      <c r="AP85" s="37">
        <v>2660</v>
      </c>
      <c r="AR85" s="97"/>
      <c r="AS85" s="38"/>
      <c r="AU85" s="97"/>
      <c r="AY85" s="81"/>
      <c r="AZ85" s="81"/>
      <c r="BA85" s="37"/>
      <c r="BC85" s="97"/>
      <c r="BD85" s="38"/>
    </row>
    <row r="86" spans="22:56" ht="16" x14ac:dyDescent="0.4">
      <c r="V86" s="97">
        <v>45972</v>
      </c>
      <c r="W86" s="16">
        <v>217912</v>
      </c>
      <c r="X86" s="101" t="s">
        <v>36</v>
      </c>
      <c r="Y86" s="105"/>
      <c r="Z86" s="50">
        <v>0.43959490740740742</v>
      </c>
      <c r="AA86" s="50">
        <v>0.87989583333333332</v>
      </c>
      <c r="AD86" s="37">
        <v>20898</v>
      </c>
      <c r="AE86" s="93">
        <f t="shared" si="15"/>
        <v>20.898</v>
      </c>
      <c r="AF86">
        <v>13.74</v>
      </c>
      <c r="AG86" s="103">
        <f t="shared" si="16"/>
        <v>13.74</v>
      </c>
      <c r="AH86" s="37">
        <f t="shared" si="17"/>
        <v>20.509894285714289</v>
      </c>
      <c r="AJ86" s="97">
        <v>45978</v>
      </c>
      <c r="AK86" t="s">
        <v>2845</v>
      </c>
      <c r="AL86" t="s">
        <v>5</v>
      </c>
      <c r="AN86" s="81" t="s">
        <v>2888</v>
      </c>
      <c r="AO86" s="81" t="s">
        <v>2889</v>
      </c>
      <c r="AP86" s="37">
        <v>3250</v>
      </c>
      <c r="AR86" s="97"/>
      <c r="AS86" s="38"/>
      <c r="AU86" s="97"/>
      <c r="AY86" s="81"/>
      <c r="AZ86" s="81"/>
      <c r="BA86" s="37"/>
      <c r="BC86" s="97"/>
      <c r="BD86" s="38"/>
    </row>
    <row r="87" spans="22:56" ht="16" x14ac:dyDescent="0.4">
      <c r="V87" s="97">
        <v>45972</v>
      </c>
      <c r="W87" s="16">
        <v>217926</v>
      </c>
      <c r="X87" s="101" t="s">
        <v>36</v>
      </c>
      <c r="Y87" s="105"/>
      <c r="Z87" s="50">
        <v>0.47877314814814814</v>
      </c>
      <c r="AA87" s="50">
        <v>0.9590277777777777</v>
      </c>
      <c r="AD87" s="37">
        <v>19762</v>
      </c>
      <c r="AE87" s="93">
        <f t="shared" si="15"/>
        <v>19.762</v>
      </c>
      <c r="AF87">
        <v>14.16</v>
      </c>
      <c r="AG87" s="103">
        <f t="shared" si="16"/>
        <v>14</v>
      </c>
      <c r="AH87" s="37">
        <f t="shared" si="17"/>
        <v>19.762</v>
      </c>
      <c r="AJ87" s="97">
        <v>45978</v>
      </c>
      <c r="AK87" t="s">
        <v>2846</v>
      </c>
      <c r="AL87" t="s">
        <v>5</v>
      </c>
      <c r="AN87" s="81" t="s">
        <v>2890</v>
      </c>
      <c r="AO87" s="81" t="s">
        <v>2890</v>
      </c>
      <c r="AP87" s="37">
        <v>3460</v>
      </c>
      <c r="AR87" s="97"/>
      <c r="AS87" s="38"/>
      <c r="AU87" s="97"/>
      <c r="AY87" s="81"/>
      <c r="AZ87" s="81"/>
      <c r="BA87" s="37"/>
      <c r="BC87" s="97"/>
      <c r="BD87" s="38"/>
    </row>
    <row r="88" spans="22:56" ht="16" x14ac:dyDescent="0.4">
      <c r="V88" s="97">
        <v>45973</v>
      </c>
      <c r="W88" s="16">
        <v>217943</v>
      </c>
      <c r="X88" s="101" t="s">
        <v>36</v>
      </c>
      <c r="Y88" s="105"/>
      <c r="Z88" s="50">
        <v>0.91915509259259265</v>
      </c>
      <c r="AA88" s="50">
        <v>3.1041666666666665E-2</v>
      </c>
      <c r="AD88" s="37">
        <v>19928</v>
      </c>
      <c r="AE88" s="93">
        <f t="shared" si="15"/>
        <v>19.928000000000001</v>
      </c>
      <c r="AF88">
        <v>15.66</v>
      </c>
      <c r="AG88" s="103">
        <f t="shared" si="16"/>
        <v>14</v>
      </c>
      <c r="AH88" s="37">
        <f t="shared" si="17"/>
        <v>19.928000000000001</v>
      </c>
      <c r="AJ88" s="97">
        <v>45978</v>
      </c>
      <c r="AK88" t="s">
        <v>2847</v>
      </c>
      <c r="AL88" t="s">
        <v>5</v>
      </c>
      <c r="AN88" s="81" t="s">
        <v>2891</v>
      </c>
      <c r="AO88" s="81" t="s">
        <v>2891</v>
      </c>
      <c r="AP88" s="37">
        <v>2990</v>
      </c>
      <c r="AR88" s="97"/>
      <c r="AS88" s="38"/>
      <c r="AU88" s="97"/>
      <c r="AY88" s="81"/>
      <c r="AZ88" s="81"/>
      <c r="BA88" s="37"/>
      <c r="BC88" s="97"/>
      <c r="BD88" s="38"/>
    </row>
    <row r="89" spans="22:56" ht="16" x14ac:dyDescent="0.4">
      <c r="V89" s="97">
        <v>45973</v>
      </c>
      <c r="W89" s="16">
        <v>217951</v>
      </c>
      <c r="X89" s="101" t="s">
        <v>36</v>
      </c>
      <c r="Y89" s="105"/>
      <c r="Z89" s="50">
        <v>0.27124999999999999</v>
      </c>
      <c r="AA89" s="50">
        <v>9.07175925925926E-2</v>
      </c>
      <c r="AD89" s="37">
        <v>19830</v>
      </c>
      <c r="AE89" s="93">
        <f t="shared" si="15"/>
        <v>19.829999999999998</v>
      </c>
      <c r="AF89">
        <v>14.74</v>
      </c>
      <c r="AG89" s="103">
        <f t="shared" si="16"/>
        <v>14</v>
      </c>
      <c r="AH89" s="37">
        <f t="shared" si="17"/>
        <v>19.830000000000002</v>
      </c>
      <c r="AJ89" s="97">
        <v>45978</v>
      </c>
      <c r="AK89" t="s">
        <v>2848</v>
      </c>
      <c r="AL89" t="s">
        <v>5</v>
      </c>
      <c r="AN89" s="81" t="s">
        <v>2892</v>
      </c>
      <c r="AO89" s="81" t="s">
        <v>2892</v>
      </c>
      <c r="AP89" s="37">
        <v>2860</v>
      </c>
      <c r="AR89" s="97"/>
      <c r="AS89" s="38"/>
      <c r="AU89" s="97"/>
      <c r="AY89" s="81"/>
      <c r="AZ89" s="81"/>
      <c r="BA89" s="37"/>
      <c r="BC89" s="97"/>
      <c r="BD89" s="38"/>
    </row>
    <row r="90" spans="22:56" ht="16" x14ac:dyDescent="0.4">
      <c r="V90" s="97">
        <v>45973</v>
      </c>
      <c r="W90" s="16">
        <v>217963</v>
      </c>
      <c r="X90" s="101" t="s">
        <v>36</v>
      </c>
      <c r="Y90" s="105"/>
      <c r="Z90" s="50">
        <v>0.91901620370370374</v>
      </c>
      <c r="AA90" s="50">
        <v>0.14956018518518518</v>
      </c>
      <c r="AD90" s="37">
        <v>19328</v>
      </c>
      <c r="AE90" s="93">
        <f t="shared" si="15"/>
        <v>19.327999999999999</v>
      </c>
      <c r="AF90">
        <v>14.45</v>
      </c>
      <c r="AG90" s="103">
        <f t="shared" si="16"/>
        <v>14</v>
      </c>
      <c r="AH90" s="37">
        <f t="shared" si="17"/>
        <v>19.327999999999999</v>
      </c>
      <c r="AJ90" s="97">
        <v>45978</v>
      </c>
      <c r="AK90" t="s">
        <v>2849</v>
      </c>
      <c r="AL90" t="s">
        <v>5</v>
      </c>
      <c r="AN90" s="81" t="s">
        <v>2893</v>
      </c>
      <c r="AO90" s="81" t="s">
        <v>2893</v>
      </c>
      <c r="AP90" s="37">
        <v>3160</v>
      </c>
      <c r="AR90" s="97"/>
      <c r="AS90" s="38"/>
      <c r="AU90" s="97"/>
      <c r="AY90" s="81"/>
      <c r="AZ90" s="81"/>
      <c r="BA90" s="37"/>
      <c r="BC90" s="97"/>
      <c r="BD90" s="38"/>
    </row>
    <row r="91" spans="22:56" ht="16" x14ac:dyDescent="0.4">
      <c r="V91" s="97">
        <v>45973</v>
      </c>
      <c r="W91" s="16">
        <v>217969</v>
      </c>
      <c r="X91" s="101" t="s">
        <v>36</v>
      </c>
      <c r="Y91" s="105"/>
      <c r="Z91" s="50">
        <v>0.13333333333333333</v>
      </c>
      <c r="AA91" s="50">
        <v>0.20351851851851852</v>
      </c>
      <c r="AD91" s="37">
        <v>18744</v>
      </c>
      <c r="AE91" s="93">
        <f t="shared" si="15"/>
        <v>18.744</v>
      </c>
      <c r="AF91">
        <v>15.88</v>
      </c>
      <c r="AG91" s="103">
        <f t="shared" si="16"/>
        <v>14</v>
      </c>
      <c r="AH91" s="37">
        <f t="shared" si="17"/>
        <v>18.744</v>
      </c>
      <c r="AJ91" s="97">
        <v>45978</v>
      </c>
      <c r="AK91" t="s">
        <v>2850</v>
      </c>
      <c r="AL91" t="s">
        <v>5</v>
      </c>
      <c r="AN91" s="39" t="s">
        <v>2894</v>
      </c>
      <c r="AO91" s="39" t="s">
        <v>2894</v>
      </c>
      <c r="AP91" s="37">
        <v>5310</v>
      </c>
      <c r="AR91" s="97"/>
      <c r="AS91" s="38"/>
      <c r="AU91" s="97"/>
      <c r="AY91" s="39"/>
      <c r="AZ91" s="39"/>
      <c r="BA91" s="37"/>
      <c r="BC91" s="97"/>
      <c r="BD91" s="38"/>
    </row>
    <row r="92" spans="22:56" ht="16" x14ac:dyDescent="0.4">
      <c r="V92" s="97">
        <v>45973</v>
      </c>
      <c r="W92" s="16">
        <v>217976</v>
      </c>
      <c r="X92" s="101" t="s">
        <v>36</v>
      </c>
      <c r="Y92" s="105"/>
      <c r="Z92" s="50">
        <v>0.91931712962962964</v>
      </c>
      <c r="AA92" s="50">
        <v>0.24722222222222223</v>
      </c>
      <c r="AD92" s="37">
        <v>16588</v>
      </c>
      <c r="AE92" s="93">
        <f t="shared" si="15"/>
        <v>16.588000000000001</v>
      </c>
      <c r="AF92">
        <v>15.13</v>
      </c>
      <c r="AG92" s="103">
        <f t="shared" si="16"/>
        <v>14</v>
      </c>
      <c r="AH92" s="37">
        <f t="shared" si="17"/>
        <v>16.588000000000001</v>
      </c>
      <c r="AJ92" s="97">
        <v>45978</v>
      </c>
      <c r="AK92" t="s">
        <v>2851</v>
      </c>
      <c r="AL92" t="s">
        <v>5</v>
      </c>
      <c r="AN92" s="39" t="s">
        <v>2895</v>
      </c>
      <c r="AO92" s="39" t="s">
        <v>2895</v>
      </c>
      <c r="AP92" s="37">
        <v>3380</v>
      </c>
      <c r="AR92" s="97"/>
      <c r="AS92" s="38"/>
      <c r="AU92" s="97"/>
      <c r="AY92" s="39"/>
      <c r="AZ92" s="39"/>
      <c r="BA92" s="37"/>
      <c r="BC92" s="97"/>
      <c r="BD92" s="38"/>
    </row>
    <row r="93" spans="22:56" ht="16" x14ac:dyDescent="0.4">
      <c r="V93" s="97">
        <v>45973</v>
      </c>
      <c r="W93" s="16">
        <v>218013</v>
      </c>
      <c r="X93" s="101" t="s">
        <v>36</v>
      </c>
      <c r="Y93" s="105"/>
      <c r="Z93" s="50">
        <v>0.13333333333333333</v>
      </c>
      <c r="AA93" s="50">
        <v>0.33263888888888887</v>
      </c>
      <c r="AD93" s="37">
        <v>20626</v>
      </c>
      <c r="AE93" s="93">
        <f t="shared" si="15"/>
        <v>20.626000000000001</v>
      </c>
      <c r="AF93">
        <v>15.12</v>
      </c>
      <c r="AG93" s="103">
        <f t="shared" si="16"/>
        <v>14</v>
      </c>
      <c r="AH93" s="37">
        <f t="shared" si="17"/>
        <v>20.626000000000001</v>
      </c>
      <c r="AJ93" s="97">
        <v>45978</v>
      </c>
      <c r="AK93" t="s">
        <v>2852</v>
      </c>
      <c r="AL93" t="s">
        <v>5</v>
      </c>
      <c r="AN93" s="81" t="s">
        <v>2896</v>
      </c>
      <c r="AO93" s="81" t="s">
        <v>2897</v>
      </c>
      <c r="AP93" s="37">
        <v>2630</v>
      </c>
      <c r="AR93" s="97"/>
      <c r="AS93" s="38"/>
      <c r="AU93" s="97"/>
      <c r="AY93" s="39"/>
      <c r="AZ93" s="39"/>
      <c r="BA93" s="37"/>
      <c r="BC93" s="97"/>
      <c r="BD93" s="38"/>
    </row>
    <row r="94" spans="22:56" ht="16" x14ac:dyDescent="0.4">
      <c r="V94" s="97">
        <v>45973</v>
      </c>
      <c r="W94" s="16">
        <v>218083</v>
      </c>
      <c r="X94" s="101" t="s">
        <v>36</v>
      </c>
      <c r="Y94" s="105"/>
      <c r="Z94" s="50">
        <v>0.29791666666666666</v>
      </c>
      <c r="AA94" s="50">
        <v>0.38958333333333334</v>
      </c>
      <c r="AD94" s="37">
        <v>20548</v>
      </c>
      <c r="AE94" s="93">
        <f t="shared" si="15"/>
        <v>20.547999999999998</v>
      </c>
      <c r="AF94">
        <v>16.05</v>
      </c>
      <c r="AG94" s="103">
        <f t="shared" si="16"/>
        <v>14</v>
      </c>
      <c r="AH94" s="37">
        <f t="shared" si="17"/>
        <v>20.547999999999998</v>
      </c>
      <c r="AJ94" s="97">
        <v>45979</v>
      </c>
      <c r="AK94" t="s">
        <v>2898</v>
      </c>
      <c r="AL94" t="s">
        <v>5</v>
      </c>
      <c r="AN94" s="81" t="s">
        <v>2961</v>
      </c>
      <c r="AO94" s="81" t="s">
        <v>2962</v>
      </c>
      <c r="AP94" s="37">
        <v>2780</v>
      </c>
      <c r="AR94" s="97"/>
      <c r="AS94" s="38"/>
      <c r="AU94" s="97"/>
      <c r="AY94" s="39"/>
      <c r="AZ94" s="39"/>
      <c r="BA94" s="37"/>
      <c r="BC94" s="97"/>
      <c r="BD94" s="38"/>
    </row>
    <row r="95" spans="22:56" ht="16" x14ac:dyDescent="0.4">
      <c r="V95" s="97">
        <v>45973</v>
      </c>
      <c r="W95" s="16">
        <v>218171</v>
      </c>
      <c r="X95" s="101" t="s">
        <v>36</v>
      </c>
      <c r="Y95" s="105"/>
      <c r="Z95" s="50">
        <v>0.38819444444444445</v>
      </c>
      <c r="AA95" s="50">
        <v>0.50694444444444442</v>
      </c>
      <c r="AD95" s="37">
        <v>21640</v>
      </c>
      <c r="AE95" s="93">
        <f t="shared" si="15"/>
        <v>21.64</v>
      </c>
      <c r="AF95">
        <v>14.62</v>
      </c>
      <c r="AG95" s="103">
        <f t="shared" si="16"/>
        <v>14</v>
      </c>
      <c r="AH95" s="37">
        <f t="shared" si="17"/>
        <v>21.640000000000004</v>
      </c>
      <c r="AJ95" s="97">
        <v>45979</v>
      </c>
      <c r="AK95" t="s">
        <v>2899</v>
      </c>
      <c r="AL95" t="s">
        <v>5</v>
      </c>
      <c r="AN95" s="81" t="s">
        <v>2963</v>
      </c>
      <c r="AO95" s="81" t="s">
        <v>2963</v>
      </c>
      <c r="AP95" s="37">
        <v>2980</v>
      </c>
      <c r="AR95" s="97"/>
      <c r="AS95" s="38"/>
      <c r="AU95" s="97"/>
      <c r="AY95" s="39"/>
      <c r="AZ95" s="39"/>
      <c r="BA95" s="37"/>
      <c r="BC95" s="97"/>
      <c r="BD95" s="38"/>
    </row>
    <row r="96" spans="22:56" ht="16" x14ac:dyDescent="0.4">
      <c r="V96" s="97">
        <v>45973</v>
      </c>
      <c r="W96" s="16">
        <v>218193</v>
      </c>
      <c r="X96" s="101" t="s">
        <v>36</v>
      </c>
      <c r="Y96" s="105"/>
      <c r="Z96" s="50">
        <v>0.29791666666666666</v>
      </c>
      <c r="AA96" s="50">
        <v>0.56944444444444442</v>
      </c>
      <c r="AD96" s="37">
        <v>21588</v>
      </c>
      <c r="AE96" s="93">
        <f t="shared" si="15"/>
        <v>21.588000000000001</v>
      </c>
      <c r="AF96">
        <v>14.23</v>
      </c>
      <c r="AG96" s="103">
        <f t="shared" si="16"/>
        <v>14</v>
      </c>
      <c r="AH96" s="37">
        <f t="shared" si="17"/>
        <v>21.588000000000001</v>
      </c>
      <c r="AJ96" s="97">
        <v>45979</v>
      </c>
      <c r="AK96" t="s">
        <v>2900</v>
      </c>
      <c r="AL96" t="s">
        <v>5</v>
      </c>
      <c r="AN96" s="81" t="s">
        <v>2964</v>
      </c>
      <c r="AO96" s="81" t="s">
        <v>2964</v>
      </c>
      <c r="AP96" s="37">
        <v>3710</v>
      </c>
      <c r="AR96" s="97"/>
      <c r="AS96" s="38"/>
      <c r="AU96" s="97"/>
      <c r="AY96" s="39"/>
      <c r="AZ96" s="39"/>
      <c r="BA96" s="37"/>
      <c r="BC96" s="97"/>
      <c r="BD96" s="38"/>
    </row>
    <row r="97" spans="22:56" ht="16" x14ac:dyDescent="0.4">
      <c r="V97" s="97">
        <v>45973</v>
      </c>
      <c r="W97" s="16">
        <v>218235</v>
      </c>
      <c r="X97" s="101" t="s">
        <v>36</v>
      </c>
      <c r="Y97" s="105"/>
      <c r="Z97" s="50">
        <v>0.55069444444444449</v>
      </c>
      <c r="AA97" s="50">
        <v>0.63055555555555554</v>
      </c>
      <c r="AD97" s="37">
        <v>21486</v>
      </c>
      <c r="AE97" s="93">
        <f t="shared" si="15"/>
        <v>21.486000000000001</v>
      </c>
      <c r="AF97">
        <v>15.68</v>
      </c>
      <c r="AG97" s="103">
        <f t="shared" si="16"/>
        <v>14</v>
      </c>
      <c r="AH97" s="37">
        <f t="shared" si="17"/>
        <v>21.486000000000001</v>
      </c>
      <c r="AJ97" s="97">
        <v>45979</v>
      </c>
      <c r="AK97" t="s">
        <v>2901</v>
      </c>
      <c r="AL97" t="s">
        <v>5</v>
      </c>
      <c r="AN97" s="81" t="s">
        <v>2965</v>
      </c>
      <c r="AO97" s="81" t="s">
        <v>2966</v>
      </c>
      <c r="AP97" s="37">
        <v>3200</v>
      </c>
      <c r="AR97" s="97"/>
      <c r="AS97" s="38"/>
      <c r="AU97" s="97"/>
      <c r="AY97" s="39"/>
      <c r="AZ97" s="39"/>
      <c r="BA97" s="37"/>
      <c r="BC97" s="97"/>
      <c r="BD97" s="38"/>
    </row>
    <row r="98" spans="22:56" ht="16" x14ac:dyDescent="0.4">
      <c r="V98" s="97">
        <v>45973</v>
      </c>
      <c r="W98" s="16">
        <v>218274</v>
      </c>
      <c r="X98" s="101" t="s">
        <v>36</v>
      </c>
      <c r="Y98" s="105"/>
      <c r="Z98" s="50">
        <v>0.29791666666666666</v>
      </c>
      <c r="AA98" s="50">
        <v>0.68680555555555556</v>
      </c>
      <c r="AD98" s="37">
        <v>20452</v>
      </c>
      <c r="AE98" s="93">
        <f t="shared" si="15"/>
        <v>20.452000000000002</v>
      </c>
      <c r="AF98">
        <v>14.79</v>
      </c>
      <c r="AG98" s="103">
        <f t="shared" si="16"/>
        <v>14</v>
      </c>
      <c r="AH98" s="37">
        <f t="shared" si="17"/>
        <v>20.452000000000002</v>
      </c>
      <c r="AJ98" s="97">
        <v>45979</v>
      </c>
      <c r="AK98" t="s">
        <v>2902</v>
      </c>
      <c r="AL98" t="s">
        <v>5</v>
      </c>
      <c r="AN98" s="81" t="s">
        <v>2967</v>
      </c>
      <c r="AO98" s="81" t="s">
        <v>2967</v>
      </c>
      <c r="AP98" s="37">
        <v>2680</v>
      </c>
      <c r="AR98" s="97"/>
      <c r="AS98" s="38"/>
      <c r="AU98" s="97"/>
      <c r="AY98" s="39"/>
      <c r="AZ98" s="39"/>
      <c r="BA98" s="37"/>
      <c r="BC98" s="97"/>
      <c r="BD98" s="38"/>
    </row>
    <row r="99" spans="22:56" ht="16" x14ac:dyDescent="0.4">
      <c r="V99" s="97">
        <v>45973</v>
      </c>
      <c r="W99" s="16">
        <v>218299</v>
      </c>
      <c r="X99" s="101" t="s">
        <v>36</v>
      </c>
      <c r="Y99" s="105"/>
      <c r="Z99" s="50">
        <v>0.13348379629629628</v>
      </c>
      <c r="AA99" s="50">
        <v>0.7337731481481482</v>
      </c>
      <c r="AD99" s="37">
        <v>18482</v>
      </c>
      <c r="AE99" s="93">
        <f t="shared" si="15"/>
        <v>18.481999999999999</v>
      </c>
      <c r="AF99">
        <v>14.63</v>
      </c>
      <c r="AG99" s="103">
        <f t="shared" si="16"/>
        <v>14</v>
      </c>
      <c r="AH99" s="37">
        <f t="shared" si="17"/>
        <v>18.481999999999999</v>
      </c>
      <c r="AJ99" s="97">
        <v>45979</v>
      </c>
      <c r="AK99" t="s">
        <v>2903</v>
      </c>
      <c r="AL99" t="s">
        <v>5</v>
      </c>
      <c r="AN99" s="81" t="s">
        <v>2968</v>
      </c>
      <c r="AO99" s="81" t="s">
        <v>2968</v>
      </c>
      <c r="AP99" s="37">
        <v>3280</v>
      </c>
      <c r="AR99" s="97"/>
      <c r="AS99" s="38"/>
      <c r="AU99" s="97"/>
      <c r="AY99" s="39"/>
      <c r="AZ99" s="39"/>
      <c r="BA99" s="37"/>
      <c r="BC99" s="97"/>
      <c r="BD99" s="38"/>
    </row>
    <row r="100" spans="22:56" ht="16" x14ac:dyDescent="0.4">
      <c r="V100" s="90">
        <v>45973</v>
      </c>
      <c r="W100" s="17">
        <v>218338</v>
      </c>
      <c r="X100" s="101" t="s">
        <v>36</v>
      </c>
      <c r="Y100" s="110"/>
      <c r="Z100" s="50">
        <v>0.7308796296296296</v>
      </c>
      <c r="AA100" s="50">
        <v>0.81526620370370362</v>
      </c>
      <c r="AB100" s="17"/>
      <c r="AC100" s="17"/>
      <c r="AD100" s="37">
        <v>20238</v>
      </c>
      <c r="AE100" s="93">
        <f t="shared" si="15"/>
        <v>20.238</v>
      </c>
      <c r="AF100">
        <v>15.95</v>
      </c>
      <c r="AG100" s="103">
        <f t="shared" si="16"/>
        <v>14</v>
      </c>
      <c r="AH100" s="37">
        <f t="shared" si="17"/>
        <v>20.238</v>
      </c>
      <c r="AJ100" s="97">
        <v>45979</v>
      </c>
      <c r="AK100" t="s">
        <v>2904</v>
      </c>
      <c r="AL100" t="s">
        <v>5</v>
      </c>
      <c r="AN100" s="81" t="s">
        <v>2969</v>
      </c>
      <c r="AO100" s="81" t="s">
        <v>2969</v>
      </c>
      <c r="AP100" s="37">
        <v>3120</v>
      </c>
      <c r="AR100" s="97"/>
      <c r="AS100" s="38"/>
      <c r="AU100" s="97"/>
      <c r="AY100" s="39"/>
      <c r="AZ100" s="39"/>
      <c r="BA100" s="37"/>
      <c r="BC100" s="97"/>
      <c r="BD100" s="38"/>
    </row>
    <row r="101" spans="22:56" ht="16" x14ac:dyDescent="0.4">
      <c r="V101" s="90">
        <v>45973</v>
      </c>
      <c r="W101" s="17">
        <v>218356</v>
      </c>
      <c r="X101" s="101" t="s">
        <v>36</v>
      </c>
      <c r="Y101" s="110"/>
      <c r="Z101" s="50">
        <v>0.68016203703703704</v>
      </c>
      <c r="AA101" s="50">
        <v>0.87001157407407403</v>
      </c>
      <c r="AB101" s="17"/>
      <c r="AC101" s="17"/>
      <c r="AD101" s="37">
        <v>19124</v>
      </c>
      <c r="AE101" s="93">
        <f t="shared" si="15"/>
        <v>19.123999999999999</v>
      </c>
      <c r="AF101">
        <v>17.38</v>
      </c>
      <c r="AG101" s="103">
        <f t="shared" si="16"/>
        <v>14</v>
      </c>
      <c r="AH101" s="37">
        <f t="shared" si="17"/>
        <v>19.123999999999999</v>
      </c>
      <c r="AJ101" s="97">
        <v>45979</v>
      </c>
      <c r="AK101" t="s">
        <v>2905</v>
      </c>
      <c r="AL101" t="s">
        <v>5</v>
      </c>
      <c r="AN101" s="81" t="s">
        <v>2970</v>
      </c>
      <c r="AO101" s="81" t="s">
        <v>2970</v>
      </c>
      <c r="AP101" s="37">
        <v>2740</v>
      </c>
      <c r="AR101" s="97"/>
      <c r="AS101" s="38"/>
      <c r="AU101" s="97"/>
      <c r="AY101" s="81"/>
      <c r="AZ101" s="81"/>
      <c r="BA101" s="37"/>
      <c r="BC101" s="97"/>
      <c r="BD101" s="38"/>
    </row>
    <row r="102" spans="22:56" ht="16" x14ac:dyDescent="0.4">
      <c r="V102" s="97">
        <v>45973</v>
      </c>
      <c r="W102" s="16">
        <v>218371</v>
      </c>
      <c r="X102" s="101" t="s">
        <v>36</v>
      </c>
      <c r="Y102" s="105"/>
      <c r="Z102" s="50">
        <v>0.73067129629629635</v>
      </c>
      <c r="AA102" s="50">
        <v>0.92178240740740736</v>
      </c>
      <c r="AD102" s="37">
        <v>20672</v>
      </c>
      <c r="AE102" s="93">
        <f t="shared" si="15"/>
        <v>20.672000000000001</v>
      </c>
      <c r="AF102">
        <v>16.13</v>
      </c>
      <c r="AG102" s="103">
        <f t="shared" si="16"/>
        <v>14</v>
      </c>
      <c r="AH102" s="37">
        <f t="shared" si="17"/>
        <v>20.672000000000001</v>
      </c>
      <c r="AJ102" s="97">
        <v>45979</v>
      </c>
      <c r="AK102" t="s">
        <v>2906</v>
      </c>
      <c r="AL102" t="s">
        <v>5</v>
      </c>
      <c r="AN102" s="81" t="s">
        <v>2971</v>
      </c>
      <c r="AO102" s="81" t="s">
        <v>2971</v>
      </c>
      <c r="AP102" s="37">
        <v>3640</v>
      </c>
      <c r="AR102" s="97"/>
      <c r="AS102" s="38"/>
      <c r="AU102" s="97"/>
      <c r="AY102" s="39"/>
      <c r="AZ102" s="39"/>
      <c r="BA102" s="37"/>
      <c r="BC102" s="97"/>
      <c r="BD102" s="38"/>
    </row>
    <row r="103" spans="22:56" ht="16" x14ac:dyDescent="0.4">
      <c r="V103" s="97">
        <v>45974</v>
      </c>
      <c r="W103" s="16">
        <v>218384</v>
      </c>
      <c r="X103" s="101" t="s">
        <v>36</v>
      </c>
      <c r="Y103" s="105"/>
      <c r="Z103" s="50">
        <v>0.38856481481481481</v>
      </c>
      <c r="AA103" s="50">
        <v>1.1111111111111111E-3</v>
      </c>
      <c r="AD103" s="37">
        <v>22314</v>
      </c>
      <c r="AE103" s="93">
        <f t="shared" si="15"/>
        <v>22.314</v>
      </c>
      <c r="AF103">
        <v>14.98</v>
      </c>
      <c r="AG103" s="103">
        <f t="shared" si="16"/>
        <v>14</v>
      </c>
      <c r="AH103" s="37">
        <f t="shared" si="17"/>
        <v>22.314</v>
      </c>
      <c r="AJ103" s="97">
        <v>45980</v>
      </c>
      <c r="AK103" t="s">
        <v>2907</v>
      </c>
      <c r="AL103" t="s">
        <v>5</v>
      </c>
      <c r="AN103" s="81" t="s">
        <v>2972</v>
      </c>
      <c r="AO103" s="81" t="s">
        <v>2972</v>
      </c>
      <c r="AP103" s="37">
        <v>3260</v>
      </c>
      <c r="AR103" s="97"/>
      <c r="AS103" s="38"/>
      <c r="AU103" s="97"/>
      <c r="AY103" s="39"/>
      <c r="AZ103" s="39"/>
      <c r="BA103" s="37"/>
      <c r="BC103" s="97"/>
      <c r="BD103" s="38"/>
    </row>
    <row r="104" spans="22:56" ht="16" x14ac:dyDescent="0.4">
      <c r="V104" s="97">
        <v>45974</v>
      </c>
      <c r="W104" s="16">
        <v>218395</v>
      </c>
      <c r="X104" s="101" t="s">
        <v>36</v>
      </c>
      <c r="Y104" s="105"/>
      <c r="Z104" s="50">
        <v>0.73075231481481484</v>
      </c>
      <c r="AA104" s="50">
        <v>5.1736111111111115E-2</v>
      </c>
      <c r="AD104" s="37">
        <v>21398</v>
      </c>
      <c r="AE104" s="93">
        <f t="shared" si="15"/>
        <v>21.398</v>
      </c>
      <c r="AF104">
        <v>15.7</v>
      </c>
      <c r="AG104" s="103">
        <f t="shared" si="16"/>
        <v>14</v>
      </c>
      <c r="AH104" s="37">
        <f t="shared" si="17"/>
        <v>21.398</v>
      </c>
      <c r="AJ104" s="97">
        <v>45980</v>
      </c>
      <c r="AK104" t="s">
        <v>2908</v>
      </c>
      <c r="AL104" t="s">
        <v>5</v>
      </c>
      <c r="AN104" s="81" t="s">
        <v>2973</v>
      </c>
      <c r="AO104" s="81" t="s">
        <v>2973</v>
      </c>
      <c r="AP104" s="37">
        <v>3020</v>
      </c>
      <c r="AR104" s="97"/>
      <c r="AS104" s="38"/>
      <c r="AU104" s="97"/>
      <c r="AY104" s="39"/>
      <c r="AZ104" s="39"/>
      <c r="BA104" s="37"/>
      <c r="BC104" s="97"/>
      <c r="BD104" s="38"/>
    </row>
    <row r="105" spans="22:56" ht="16" x14ac:dyDescent="0.4">
      <c r="V105" s="97">
        <v>45974</v>
      </c>
      <c r="W105" s="16">
        <v>218406</v>
      </c>
      <c r="X105" s="101" t="s">
        <v>36</v>
      </c>
      <c r="Y105" s="105"/>
      <c r="Z105" s="50">
        <v>3.8425925925925926E-2</v>
      </c>
      <c r="AA105" s="50">
        <v>0.11092592592592593</v>
      </c>
      <c r="AD105" s="37">
        <v>20120</v>
      </c>
      <c r="AE105" s="93">
        <f t="shared" si="15"/>
        <v>20.12</v>
      </c>
      <c r="AF105">
        <v>16.559999999999999</v>
      </c>
      <c r="AG105" s="103">
        <f t="shared" si="16"/>
        <v>14</v>
      </c>
      <c r="AH105" s="37">
        <f t="shared" si="17"/>
        <v>20.12</v>
      </c>
      <c r="AJ105" s="97">
        <v>45980</v>
      </c>
      <c r="AK105" t="s">
        <v>2909</v>
      </c>
      <c r="AL105" t="s">
        <v>5</v>
      </c>
      <c r="AN105" s="81" t="s">
        <v>2974</v>
      </c>
      <c r="AO105" s="81" t="s">
        <v>2974</v>
      </c>
      <c r="AP105" s="37">
        <v>3250</v>
      </c>
      <c r="AR105" s="97"/>
      <c r="AS105" s="38"/>
      <c r="AU105" s="97"/>
      <c r="AY105" s="39"/>
      <c r="AZ105" s="39"/>
      <c r="BA105" s="37"/>
      <c r="BC105" s="97"/>
      <c r="BD105" s="38"/>
    </row>
    <row r="106" spans="22:56" ht="16" x14ac:dyDescent="0.4">
      <c r="V106" s="97">
        <v>45974</v>
      </c>
      <c r="W106" s="16">
        <v>218420</v>
      </c>
      <c r="X106" s="101" t="s">
        <v>36</v>
      </c>
      <c r="Y106" s="105"/>
      <c r="Z106" s="50">
        <v>8.4317129629629631E-2</v>
      </c>
      <c r="AA106" s="50">
        <v>0.16615740740740739</v>
      </c>
      <c r="AD106" s="37">
        <v>14972</v>
      </c>
      <c r="AE106" s="93">
        <f t="shared" si="15"/>
        <v>14.972</v>
      </c>
      <c r="AF106">
        <v>13.99</v>
      </c>
      <c r="AG106" s="103">
        <f t="shared" si="16"/>
        <v>13.99</v>
      </c>
      <c r="AH106" s="37">
        <f t="shared" si="17"/>
        <v>14.961305714285714</v>
      </c>
      <c r="AJ106" s="97">
        <v>45980</v>
      </c>
      <c r="AK106" t="s">
        <v>2910</v>
      </c>
      <c r="AL106" t="s">
        <v>5</v>
      </c>
      <c r="AN106" s="81" t="s">
        <v>2975</v>
      </c>
      <c r="AO106" s="81" t="s">
        <v>2975</v>
      </c>
      <c r="AP106" s="37">
        <v>3720</v>
      </c>
      <c r="AR106" s="97"/>
      <c r="AS106" s="38"/>
      <c r="AU106" s="97"/>
      <c r="AY106" s="39"/>
      <c r="AZ106" s="39"/>
      <c r="BA106" s="37"/>
      <c r="BC106" s="97"/>
      <c r="BD106" s="38"/>
    </row>
    <row r="107" spans="22:56" ht="16" x14ac:dyDescent="0.4">
      <c r="V107" s="97">
        <v>45974</v>
      </c>
      <c r="W107">
        <v>218561</v>
      </c>
      <c r="X107" s="101" t="s">
        <v>36</v>
      </c>
      <c r="Y107" s="105"/>
      <c r="Z107" s="50">
        <v>8.4027777777777771E-2</v>
      </c>
      <c r="AA107" s="50">
        <v>0.42569444444444443</v>
      </c>
      <c r="AD107" s="37">
        <v>19712</v>
      </c>
      <c r="AE107" s="93">
        <f t="shared" si="15"/>
        <v>19.712</v>
      </c>
      <c r="AF107">
        <v>15.24</v>
      </c>
      <c r="AG107" s="103">
        <f t="shared" si="16"/>
        <v>14</v>
      </c>
      <c r="AH107" s="37">
        <f t="shared" si="17"/>
        <v>19.712</v>
      </c>
      <c r="AJ107" s="97">
        <v>45980</v>
      </c>
      <c r="AK107" t="s">
        <v>2911</v>
      </c>
      <c r="AL107" t="s">
        <v>5</v>
      </c>
      <c r="AN107" s="81" t="s">
        <v>2976</v>
      </c>
      <c r="AO107" s="81" t="s">
        <v>2976</v>
      </c>
      <c r="AP107" s="37">
        <v>3050</v>
      </c>
      <c r="AR107" s="97"/>
      <c r="AS107" s="38"/>
      <c r="AU107" s="97"/>
      <c r="AY107" s="39"/>
      <c r="AZ107" s="39"/>
      <c r="BA107" s="37"/>
      <c r="BC107" s="97"/>
      <c r="BD107" s="38"/>
    </row>
    <row r="108" spans="22:56" ht="16" x14ac:dyDescent="0.4">
      <c r="V108" s="97">
        <v>45974</v>
      </c>
      <c r="W108">
        <v>218606</v>
      </c>
      <c r="X108" s="101" t="s">
        <v>36</v>
      </c>
      <c r="Y108" s="105"/>
      <c r="Z108" s="50">
        <v>3.8194444444444441E-2</v>
      </c>
      <c r="AA108" s="50">
        <v>0.50069444444444444</v>
      </c>
      <c r="AD108" s="37">
        <v>20134</v>
      </c>
      <c r="AE108" s="93">
        <f t="shared" si="15"/>
        <v>20.134</v>
      </c>
      <c r="AF108">
        <v>14.39</v>
      </c>
      <c r="AG108" s="103">
        <f t="shared" si="16"/>
        <v>14</v>
      </c>
      <c r="AH108" s="37">
        <f t="shared" si="17"/>
        <v>20.133999999999997</v>
      </c>
      <c r="AJ108" s="97">
        <v>45980</v>
      </c>
      <c r="AK108" t="s">
        <v>2912</v>
      </c>
      <c r="AL108" t="s">
        <v>5</v>
      </c>
      <c r="AN108" s="81" t="s">
        <v>2977</v>
      </c>
      <c r="AO108" s="81" t="s">
        <v>2978</v>
      </c>
      <c r="AP108" s="37">
        <v>2550</v>
      </c>
      <c r="AR108" s="97"/>
      <c r="AU108" s="97"/>
      <c r="AY108" s="81"/>
      <c r="AZ108" s="81"/>
      <c r="BA108" s="37"/>
      <c r="BC108" s="97"/>
    </row>
    <row r="109" spans="22:56" ht="16" x14ac:dyDescent="0.4">
      <c r="V109" s="97">
        <v>45974</v>
      </c>
      <c r="W109">
        <v>218641</v>
      </c>
      <c r="X109" s="101" t="s">
        <v>36</v>
      </c>
      <c r="Y109" s="105"/>
      <c r="Z109" s="50">
        <v>8.4027777777777771E-2</v>
      </c>
      <c r="AA109" s="50">
        <v>0.57708333333333328</v>
      </c>
      <c r="AD109" s="37">
        <v>20716</v>
      </c>
      <c r="AE109" s="93">
        <f t="shared" si="15"/>
        <v>20.716000000000001</v>
      </c>
      <c r="AF109">
        <v>13.73</v>
      </c>
      <c r="AG109" s="103">
        <f t="shared" si="16"/>
        <v>13.73</v>
      </c>
      <c r="AH109" s="37">
        <f t="shared" si="17"/>
        <v>20.316477142857142</v>
      </c>
      <c r="AJ109" s="97">
        <v>45980</v>
      </c>
      <c r="AK109" t="s">
        <v>2913</v>
      </c>
      <c r="AL109" t="s">
        <v>5</v>
      </c>
      <c r="AN109" s="39" t="s">
        <v>2979</v>
      </c>
      <c r="AO109" s="39" t="s">
        <v>2979</v>
      </c>
      <c r="AP109" s="37">
        <v>3300</v>
      </c>
      <c r="AR109" s="97"/>
      <c r="AU109" s="97"/>
      <c r="AY109" s="81"/>
      <c r="AZ109" s="81"/>
      <c r="BA109" s="37"/>
      <c r="BC109" s="97"/>
    </row>
    <row r="110" spans="22:56" ht="16" x14ac:dyDescent="0.4">
      <c r="V110" s="97">
        <v>45974</v>
      </c>
      <c r="W110">
        <v>218684</v>
      </c>
      <c r="X110" s="101" t="s">
        <v>36</v>
      </c>
      <c r="Z110" s="50">
        <v>3.8194444444444441E-2</v>
      </c>
      <c r="AA110" s="50">
        <v>0.64583333333333337</v>
      </c>
      <c r="AD110" s="37">
        <v>19704</v>
      </c>
      <c r="AE110" s="93">
        <f t="shared" si="15"/>
        <v>19.704000000000001</v>
      </c>
      <c r="AF110">
        <v>14.24</v>
      </c>
      <c r="AG110" s="103">
        <f t="shared" si="16"/>
        <v>14</v>
      </c>
      <c r="AH110" s="37">
        <f t="shared" si="17"/>
        <v>19.704000000000001</v>
      </c>
      <c r="AJ110" s="97">
        <v>45980</v>
      </c>
      <c r="AK110" s="98" t="s">
        <v>2914</v>
      </c>
      <c r="AL110" t="s">
        <v>5</v>
      </c>
      <c r="AN110" s="81" t="s">
        <v>2980</v>
      </c>
      <c r="AO110" s="81" t="s">
        <v>2980</v>
      </c>
      <c r="AP110" s="37">
        <v>3730</v>
      </c>
      <c r="AR110" s="38"/>
      <c r="AU110" s="97"/>
      <c r="AY110" s="81"/>
      <c r="AZ110" s="81"/>
      <c r="BA110" s="37"/>
      <c r="BC110" s="97"/>
    </row>
    <row r="111" spans="22:56" ht="16" x14ac:dyDescent="0.4">
      <c r="V111" s="97">
        <v>45974</v>
      </c>
      <c r="W111">
        <v>218722</v>
      </c>
      <c r="X111" s="101" t="s">
        <v>36</v>
      </c>
      <c r="Y111" s="105"/>
      <c r="Z111" s="50">
        <v>0.63194444444444442</v>
      </c>
      <c r="AA111" s="50">
        <v>0.70763888888888893</v>
      </c>
      <c r="AD111" s="37">
        <v>20148</v>
      </c>
      <c r="AE111" s="93">
        <f t="shared" si="15"/>
        <v>20.148</v>
      </c>
      <c r="AF111">
        <v>14.87</v>
      </c>
      <c r="AG111" s="103">
        <f t="shared" si="16"/>
        <v>14</v>
      </c>
      <c r="AH111" s="37">
        <f t="shared" si="17"/>
        <v>20.148</v>
      </c>
      <c r="AJ111" s="97">
        <v>45980</v>
      </c>
      <c r="AK111" s="16" t="s">
        <v>2915</v>
      </c>
      <c r="AL111" t="s">
        <v>5</v>
      </c>
      <c r="AN111" s="81" t="s">
        <v>2981</v>
      </c>
      <c r="AO111" s="81" t="s">
        <v>2981</v>
      </c>
      <c r="AP111" s="37">
        <v>2240</v>
      </c>
      <c r="AR111" s="38"/>
      <c r="AU111" s="97"/>
      <c r="AY111" s="39"/>
      <c r="AZ111" s="39"/>
      <c r="BA111" s="37"/>
      <c r="BC111" s="97"/>
    </row>
    <row r="112" spans="22:56" ht="16" x14ac:dyDescent="0.4">
      <c r="V112" s="97">
        <v>45974</v>
      </c>
      <c r="W112">
        <v>218768</v>
      </c>
      <c r="X112" s="101" t="s">
        <v>36</v>
      </c>
      <c r="Y112" s="105"/>
      <c r="Z112" s="50">
        <v>0.69440972222222219</v>
      </c>
      <c r="AA112" s="50">
        <v>0.80105324074074069</v>
      </c>
      <c r="AD112" s="37">
        <v>20624</v>
      </c>
      <c r="AE112" s="93">
        <f t="shared" si="15"/>
        <v>20.623999999999999</v>
      </c>
      <c r="AF112">
        <v>15.77</v>
      </c>
      <c r="AG112" s="103">
        <f t="shared" si="16"/>
        <v>14</v>
      </c>
      <c r="AH112" s="37">
        <f t="shared" si="17"/>
        <v>20.623999999999999</v>
      </c>
      <c r="AJ112" s="97">
        <v>45980</v>
      </c>
      <c r="AK112" s="16" t="s">
        <v>2916</v>
      </c>
      <c r="AL112" t="s">
        <v>4</v>
      </c>
      <c r="AN112" s="81" t="s">
        <v>2982</v>
      </c>
      <c r="AO112" s="81" t="s">
        <v>2983</v>
      </c>
      <c r="AP112" s="37">
        <v>5950</v>
      </c>
      <c r="AR112" s="38"/>
      <c r="AU112" s="97"/>
      <c r="AY112" s="39"/>
      <c r="AZ112" s="39"/>
      <c r="BA112" s="37"/>
      <c r="BC112" s="97"/>
    </row>
    <row r="113" spans="22:55" ht="16" x14ac:dyDescent="0.4">
      <c r="V113" s="97">
        <v>45974</v>
      </c>
      <c r="W113">
        <v>218797</v>
      </c>
      <c r="X113" s="101" t="s">
        <v>36</v>
      </c>
      <c r="Y113" s="105"/>
      <c r="Z113" s="50">
        <v>0.63211805555555556</v>
      </c>
      <c r="AA113" s="50">
        <v>0.86597222222222225</v>
      </c>
      <c r="AD113" s="37">
        <v>18116</v>
      </c>
      <c r="AE113" s="93">
        <f t="shared" si="15"/>
        <v>18.116</v>
      </c>
      <c r="AF113">
        <v>17.02</v>
      </c>
      <c r="AG113" s="103">
        <f t="shared" si="16"/>
        <v>14</v>
      </c>
      <c r="AH113" s="37">
        <f t="shared" si="17"/>
        <v>18.116</v>
      </c>
      <c r="AJ113" s="97">
        <v>45980</v>
      </c>
      <c r="AK113" s="16" t="s">
        <v>2917</v>
      </c>
      <c r="AL113" t="s">
        <v>5</v>
      </c>
      <c r="AN113" s="81" t="s">
        <v>2984</v>
      </c>
      <c r="AO113" s="81" t="s">
        <v>2984</v>
      </c>
      <c r="AP113" s="37">
        <v>1890</v>
      </c>
      <c r="AR113" s="38"/>
      <c r="AU113" s="97"/>
      <c r="AY113" s="39"/>
      <c r="AZ113" s="39"/>
      <c r="BA113" s="37"/>
      <c r="BC113" s="97"/>
    </row>
    <row r="114" spans="22:55" ht="16" x14ac:dyDescent="0.4">
      <c r="V114" s="97">
        <v>45974</v>
      </c>
      <c r="W114">
        <v>218833</v>
      </c>
      <c r="X114" s="101" t="s">
        <v>36</v>
      </c>
      <c r="Y114" s="105"/>
      <c r="Z114" s="50">
        <v>0.55091435185185189</v>
      </c>
      <c r="AA114" s="50">
        <v>0.92407407407407405</v>
      </c>
      <c r="AD114" s="37">
        <v>17732</v>
      </c>
      <c r="AE114" s="93">
        <f t="shared" si="15"/>
        <v>17.731999999999999</v>
      </c>
      <c r="AF114">
        <v>18.87</v>
      </c>
      <c r="AG114" s="103">
        <f t="shared" si="16"/>
        <v>14</v>
      </c>
      <c r="AH114" s="37">
        <f t="shared" si="17"/>
        <v>17.731999999999999</v>
      </c>
      <c r="AJ114" s="97">
        <v>45981</v>
      </c>
      <c r="AK114" s="16" t="s">
        <v>2918</v>
      </c>
      <c r="AL114" t="s">
        <v>5</v>
      </c>
      <c r="AN114" s="81" t="s">
        <v>2985</v>
      </c>
      <c r="AO114" s="81" t="s">
        <v>2985</v>
      </c>
      <c r="AP114" s="37">
        <v>3210</v>
      </c>
      <c r="AR114" s="38"/>
      <c r="AU114" s="97"/>
      <c r="AY114" s="39"/>
      <c r="AZ114" s="39"/>
      <c r="BA114" s="37"/>
      <c r="BC114" s="97"/>
    </row>
    <row r="115" spans="22:55" ht="16" x14ac:dyDescent="0.4">
      <c r="V115" s="97">
        <v>45975</v>
      </c>
      <c r="W115">
        <v>218847</v>
      </c>
      <c r="X115" s="101" t="s">
        <v>36</v>
      </c>
      <c r="Y115" s="105"/>
      <c r="Z115" s="50">
        <v>0.63194444444444442</v>
      </c>
      <c r="AA115" s="50">
        <v>0.99883101851851863</v>
      </c>
      <c r="AD115" s="37">
        <v>16342</v>
      </c>
      <c r="AE115" s="93">
        <f t="shared" si="15"/>
        <v>16.341999999999999</v>
      </c>
      <c r="AF115">
        <v>18.45</v>
      </c>
      <c r="AG115" s="103">
        <f t="shared" si="16"/>
        <v>14</v>
      </c>
      <c r="AH115" s="37">
        <f t="shared" si="17"/>
        <v>16.341999999999999</v>
      </c>
      <c r="AJ115" s="97">
        <v>45981</v>
      </c>
      <c r="AK115" s="16" t="s">
        <v>2919</v>
      </c>
      <c r="AL115" t="s">
        <v>5</v>
      </c>
      <c r="AN115" s="81" t="s">
        <v>2986</v>
      </c>
      <c r="AO115" s="81" t="s">
        <v>2986</v>
      </c>
      <c r="AP115" s="37">
        <v>2840</v>
      </c>
      <c r="AR115" s="38"/>
      <c r="AU115" s="97"/>
      <c r="AY115" s="39"/>
      <c r="AZ115" s="39"/>
      <c r="BA115" s="37"/>
      <c r="BC115" s="97"/>
    </row>
    <row r="116" spans="22:55" ht="16" x14ac:dyDescent="0.4">
      <c r="V116" s="97">
        <v>45975</v>
      </c>
      <c r="W116">
        <v>218861</v>
      </c>
      <c r="X116" s="101" t="s">
        <v>36</v>
      </c>
      <c r="Y116" s="105"/>
      <c r="Z116" s="50">
        <v>0.55104166666666665</v>
      </c>
      <c r="AA116" s="50">
        <v>5.2372685185185182E-2</v>
      </c>
      <c r="AD116" s="37">
        <v>17832</v>
      </c>
      <c r="AE116" s="93">
        <f t="shared" si="15"/>
        <v>17.832000000000001</v>
      </c>
      <c r="AF116">
        <v>18.09</v>
      </c>
      <c r="AG116" s="103">
        <f t="shared" si="16"/>
        <v>14</v>
      </c>
      <c r="AH116" s="37">
        <f t="shared" si="17"/>
        <v>17.832000000000001</v>
      </c>
      <c r="AJ116" s="97">
        <v>45981</v>
      </c>
      <c r="AK116" s="16" t="s">
        <v>2920</v>
      </c>
      <c r="AL116" t="s">
        <v>5</v>
      </c>
      <c r="AN116" s="81" t="s">
        <v>2987</v>
      </c>
      <c r="AO116" s="81" t="s">
        <v>2987</v>
      </c>
      <c r="AP116" s="37">
        <v>3180</v>
      </c>
      <c r="AR116" s="38"/>
      <c r="AU116" s="97"/>
      <c r="AY116" s="39"/>
      <c r="AZ116" s="39"/>
      <c r="BA116" s="37"/>
      <c r="BC116" s="97"/>
    </row>
    <row r="117" spans="22:55" ht="16" x14ac:dyDescent="0.4">
      <c r="V117" s="97">
        <v>45975</v>
      </c>
      <c r="W117">
        <v>218870</v>
      </c>
      <c r="X117" s="101" t="s">
        <v>36</v>
      </c>
      <c r="Y117" s="105"/>
      <c r="Z117" s="50">
        <v>3.2326388888888884E-2</v>
      </c>
      <c r="AA117" s="50">
        <v>0.11202546296296297</v>
      </c>
      <c r="AD117" s="37">
        <v>18912</v>
      </c>
      <c r="AE117" s="93">
        <f t="shared" si="15"/>
        <v>18.911999999999999</v>
      </c>
      <c r="AF117">
        <v>17.989999999999998</v>
      </c>
      <c r="AG117" s="103">
        <f t="shared" si="16"/>
        <v>14</v>
      </c>
      <c r="AH117" s="37">
        <f t="shared" si="17"/>
        <v>18.911999999999999</v>
      </c>
      <c r="AJ117" s="97">
        <v>45981</v>
      </c>
      <c r="AK117" s="16" t="s">
        <v>2921</v>
      </c>
      <c r="AL117" t="s">
        <v>5</v>
      </c>
      <c r="AN117" s="81" t="s">
        <v>2988</v>
      </c>
      <c r="AO117" s="81" t="s">
        <v>2988</v>
      </c>
      <c r="AP117" s="37">
        <v>2770</v>
      </c>
      <c r="AR117" s="38"/>
      <c r="AU117" s="97"/>
      <c r="AY117" s="39"/>
      <c r="AZ117" s="39"/>
      <c r="BA117" s="100"/>
      <c r="BC117" s="97"/>
    </row>
    <row r="118" spans="22:55" ht="16" x14ac:dyDescent="0.4">
      <c r="V118" s="97">
        <v>45975</v>
      </c>
      <c r="W118">
        <v>218878</v>
      </c>
      <c r="X118" s="101" t="s">
        <v>36</v>
      </c>
      <c r="Y118" s="105"/>
      <c r="Z118" s="50">
        <v>0.10814814814814815</v>
      </c>
      <c r="AA118" s="50">
        <v>0.16153935185185184</v>
      </c>
      <c r="AD118" s="37">
        <v>21794</v>
      </c>
      <c r="AE118" s="93">
        <f t="shared" si="15"/>
        <v>21.794</v>
      </c>
      <c r="AF118">
        <v>15.49</v>
      </c>
      <c r="AG118" s="103">
        <f t="shared" si="16"/>
        <v>14</v>
      </c>
      <c r="AH118" s="37">
        <f t="shared" si="17"/>
        <v>21.794</v>
      </c>
      <c r="AJ118" s="97">
        <v>45981</v>
      </c>
      <c r="AK118" s="16" t="s">
        <v>2922</v>
      </c>
      <c r="AL118" t="s">
        <v>5</v>
      </c>
      <c r="AN118" s="81" t="s">
        <v>2989</v>
      </c>
      <c r="AO118" s="81" t="s">
        <v>2989</v>
      </c>
      <c r="AP118" s="37">
        <v>3540</v>
      </c>
      <c r="AR118" s="38"/>
      <c r="AU118" s="97"/>
      <c r="AV118" s="16"/>
      <c r="AY118" s="39"/>
      <c r="AZ118" s="39"/>
      <c r="BA118" s="100"/>
      <c r="BC118" s="97"/>
    </row>
    <row r="119" spans="22:55" ht="16" x14ac:dyDescent="0.4">
      <c r="V119" s="97">
        <v>45975</v>
      </c>
      <c r="W119">
        <v>218883</v>
      </c>
      <c r="X119" s="101" t="s">
        <v>36</v>
      </c>
      <c r="Y119" s="105"/>
      <c r="Z119" s="50">
        <v>3.24537037037037E-2</v>
      </c>
      <c r="AA119" s="50">
        <v>0.20702546296296295</v>
      </c>
      <c r="AD119" s="37">
        <v>20170</v>
      </c>
      <c r="AE119" s="93">
        <f t="shared" si="15"/>
        <v>20.170000000000002</v>
      </c>
      <c r="AF119">
        <v>16.38</v>
      </c>
      <c r="AG119" s="103">
        <f t="shared" si="16"/>
        <v>14</v>
      </c>
      <c r="AH119" s="37">
        <f t="shared" si="17"/>
        <v>20.169999999999998</v>
      </c>
      <c r="AJ119" s="97">
        <v>45981</v>
      </c>
      <c r="AK119" s="16" t="s">
        <v>2923</v>
      </c>
      <c r="AL119" t="s">
        <v>5</v>
      </c>
      <c r="AN119" s="81" t="s">
        <v>2990</v>
      </c>
      <c r="AO119" s="81" t="s">
        <v>2990</v>
      </c>
      <c r="AP119" s="37">
        <v>3090</v>
      </c>
      <c r="AR119" s="38"/>
      <c r="AU119" s="97"/>
      <c r="AV119" s="16"/>
      <c r="AY119" s="81"/>
      <c r="AZ119" s="81"/>
      <c r="BA119" s="37"/>
      <c r="BC119" s="97"/>
    </row>
    <row r="120" spans="22:55" ht="16" x14ac:dyDescent="0.4">
      <c r="V120" s="97">
        <v>45975</v>
      </c>
      <c r="W120">
        <v>218919</v>
      </c>
      <c r="X120" s="101" t="s">
        <v>36</v>
      </c>
      <c r="Y120" s="105"/>
      <c r="Z120" s="50">
        <v>0.10833333333333334</v>
      </c>
      <c r="AA120" s="50">
        <v>0.29583333333333334</v>
      </c>
      <c r="AD120" s="37">
        <v>20532</v>
      </c>
      <c r="AE120" s="93">
        <f t="shared" si="15"/>
        <v>20.532</v>
      </c>
      <c r="AF120">
        <v>15.95</v>
      </c>
      <c r="AG120" s="103">
        <f t="shared" si="16"/>
        <v>14</v>
      </c>
      <c r="AH120" s="37">
        <f t="shared" si="17"/>
        <v>20.532</v>
      </c>
      <c r="AJ120" s="97">
        <v>45981</v>
      </c>
      <c r="AK120" s="16" t="s">
        <v>2924</v>
      </c>
      <c r="AL120" t="s">
        <v>5</v>
      </c>
      <c r="AN120" s="81" t="s">
        <v>2991</v>
      </c>
      <c r="AO120" s="81" t="s">
        <v>2992</v>
      </c>
      <c r="AP120" s="37">
        <v>3100</v>
      </c>
      <c r="AR120" s="38"/>
      <c r="AU120" s="97"/>
      <c r="AV120" s="16"/>
      <c r="AY120" s="81"/>
      <c r="AZ120" s="81"/>
      <c r="BA120" s="37"/>
      <c r="BC120" s="97"/>
    </row>
    <row r="121" spans="22:55" ht="16" x14ac:dyDescent="0.4">
      <c r="V121" s="97">
        <v>45975</v>
      </c>
      <c r="W121">
        <v>218978</v>
      </c>
      <c r="X121" s="101" t="s">
        <v>36</v>
      </c>
      <c r="Y121" s="105"/>
      <c r="Z121" s="50">
        <v>0.25833333333333336</v>
      </c>
      <c r="AA121" s="50">
        <v>0.36805555555555558</v>
      </c>
      <c r="AD121" s="37">
        <v>22764</v>
      </c>
      <c r="AE121" s="93">
        <f t="shared" si="15"/>
        <v>22.763999999999999</v>
      </c>
      <c r="AF121">
        <v>14.83</v>
      </c>
      <c r="AG121" s="103">
        <f t="shared" si="16"/>
        <v>14</v>
      </c>
      <c r="AH121" s="37">
        <f t="shared" si="17"/>
        <v>22.763999999999999</v>
      </c>
      <c r="AJ121" s="97">
        <v>45981</v>
      </c>
      <c r="AK121" t="s">
        <v>2925</v>
      </c>
      <c r="AL121" t="s">
        <v>5</v>
      </c>
      <c r="AN121" s="81" t="s">
        <v>2993</v>
      </c>
      <c r="AO121" s="81" t="s">
        <v>2993</v>
      </c>
      <c r="AP121" s="37">
        <v>3290</v>
      </c>
      <c r="AR121" s="38"/>
      <c r="AU121" s="97"/>
      <c r="AY121" s="81"/>
      <c r="AZ121" s="81"/>
      <c r="BA121" s="37"/>
      <c r="BC121" s="97"/>
    </row>
    <row r="122" spans="22:55" ht="16" x14ac:dyDescent="0.4">
      <c r="V122" s="97">
        <v>45975</v>
      </c>
      <c r="W122">
        <v>219035</v>
      </c>
      <c r="X122" s="101" t="s">
        <v>36</v>
      </c>
      <c r="Y122" s="105"/>
      <c r="Z122" s="50">
        <v>0.1076388888888889</v>
      </c>
      <c r="AA122" s="50">
        <v>0.43263888888888885</v>
      </c>
      <c r="AD122" s="37">
        <v>22504</v>
      </c>
      <c r="AE122" s="93">
        <f t="shared" si="15"/>
        <v>22.504000000000001</v>
      </c>
      <c r="AF122">
        <v>15.7</v>
      </c>
      <c r="AG122" s="103">
        <f t="shared" si="16"/>
        <v>14</v>
      </c>
      <c r="AH122" s="37">
        <f t="shared" si="17"/>
        <v>22.504000000000001</v>
      </c>
      <c r="AJ122" s="97">
        <v>45981</v>
      </c>
      <c r="AK122" t="s">
        <v>2926</v>
      </c>
      <c r="AL122" t="s">
        <v>5</v>
      </c>
      <c r="AN122" s="81" t="s">
        <v>2994</v>
      </c>
      <c r="AO122" s="81" t="s">
        <v>2994</v>
      </c>
      <c r="AP122" s="37">
        <v>3270</v>
      </c>
      <c r="AR122" s="38"/>
      <c r="AU122" s="97"/>
      <c r="AY122" s="81"/>
      <c r="AZ122" s="81"/>
      <c r="BA122" s="37"/>
      <c r="BC122" s="97"/>
    </row>
    <row r="123" spans="22:55" ht="16" x14ac:dyDescent="0.4">
      <c r="V123" s="97">
        <v>45975</v>
      </c>
      <c r="W123">
        <v>219078</v>
      </c>
      <c r="X123" s="101" t="s">
        <v>36</v>
      </c>
      <c r="Y123" s="105"/>
      <c r="Z123" s="50">
        <v>3.3333333333333333E-2</v>
      </c>
      <c r="AA123" s="50">
        <v>0.51041666666666663</v>
      </c>
      <c r="AD123" s="37">
        <v>22096</v>
      </c>
      <c r="AE123" s="93">
        <f t="shared" si="15"/>
        <v>22.096</v>
      </c>
      <c r="AF123">
        <v>13.81</v>
      </c>
      <c r="AG123" s="103">
        <f t="shared" si="16"/>
        <v>13.81</v>
      </c>
      <c r="AH123" s="37">
        <f t="shared" si="17"/>
        <v>21.796125714285715</v>
      </c>
      <c r="AJ123" s="97">
        <v>45982</v>
      </c>
      <c r="AK123" t="s">
        <v>2927</v>
      </c>
      <c r="AL123" t="s">
        <v>5</v>
      </c>
      <c r="AN123" s="81" t="s">
        <v>2995</v>
      </c>
      <c r="AO123" s="81" t="s">
        <v>2995</v>
      </c>
      <c r="AP123" s="37">
        <v>3180</v>
      </c>
      <c r="AR123" s="38"/>
      <c r="AU123" s="97"/>
      <c r="AY123" s="81"/>
      <c r="AZ123" s="81"/>
      <c r="BA123" s="37"/>
      <c r="BC123" s="97"/>
    </row>
    <row r="124" spans="22:55" ht="16" x14ac:dyDescent="0.4">
      <c r="V124" s="97">
        <v>45975</v>
      </c>
      <c r="W124">
        <v>219132</v>
      </c>
      <c r="X124" s="101" t="s">
        <v>36</v>
      </c>
      <c r="Y124" s="105"/>
      <c r="Z124" s="50">
        <v>0.23055555555555554</v>
      </c>
      <c r="AA124" s="50">
        <v>0.5756944444444444</v>
      </c>
      <c r="AD124" s="37">
        <v>21922</v>
      </c>
      <c r="AE124" s="93">
        <f t="shared" si="15"/>
        <v>21.922000000000001</v>
      </c>
      <c r="AF124">
        <v>14.72</v>
      </c>
      <c r="AG124" s="103">
        <f t="shared" si="16"/>
        <v>14</v>
      </c>
      <c r="AH124" s="37">
        <f t="shared" si="17"/>
        <v>21.922000000000001</v>
      </c>
      <c r="AJ124" s="97">
        <v>45982</v>
      </c>
      <c r="AK124" t="s">
        <v>2928</v>
      </c>
      <c r="AL124" t="s">
        <v>5</v>
      </c>
      <c r="AN124" s="81" t="s">
        <v>2996</v>
      </c>
      <c r="AO124" s="81" t="s">
        <v>2996</v>
      </c>
      <c r="AP124" s="37">
        <v>3150</v>
      </c>
      <c r="AR124" s="38"/>
      <c r="AU124" s="97"/>
      <c r="AY124" s="81"/>
      <c r="AZ124" s="81"/>
      <c r="BA124" s="37"/>
      <c r="BC124" s="97"/>
    </row>
    <row r="125" spans="22:55" ht="16" x14ac:dyDescent="0.4">
      <c r="V125" s="97">
        <v>45975</v>
      </c>
      <c r="W125">
        <v>219186</v>
      </c>
      <c r="X125" s="101" t="s">
        <v>36</v>
      </c>
      <c r="Y125" s="105"/>
      <c r="Z125" s="50">
        <v>0.55486111111111114</v>
      </c>
      <c r="AA125" s="50">
        <v>0.63541666666666663</v>
      </c>
      <c r="AD125" s="37">
        <v>21026</v>
      </c>
      <c r="AE125" s="93">
        <f t="shared" si="15"/>
        <v>21.026</v>
      </c>
      <c r="AF125">
        <v>15.17</v>
      </c>
      <c r="AG125" s="103">
        <f t="shared" si="16"/>
        <v>14</v>
      </c>
      <c r="AH125" s="37">
        <f t="shared" si="17"/>
        <v>21.026</v>
      </c>
      <c r="AJ125" s="97">
        <v>45982</v>
      </c>
      <c r="AK125" t="s">
        <v>2929</v>
      </c>
      <c r="AL125" t="s">
        <v>5</v>
      </c>
      <c r="AN125" s="81" t="s">
        <v>2997</v>
      </c>
      <c r="AO125" s="81" t="s">
        <v>2997</v>
      </c>
      <c r="AP125" s="37">
        <v>3240</v>
      </c>
      <c r="AR125" s="38"/>
      <c r="AU125" s="97"/>
      <c r="AY125" s="81"/>
      <c r="AZ125" s="81"/>
      <c r="BA125" s="37"/>
      <c r="BC125" s="97"/>
    </row>
    <row r="126" spans="22:55" ht="16" x14ac:dyDescent="0.4">
      <c r="V126" s="97">
        <v>45975</v>
      </c>
      <c r="W126">
        <v>219220</v>
      </c>
      <c r="X126" s="101" t="s">
        <v>36</v>
      </c>
      <c r="Y126" s="110"/>
      <c r="Z126" s="50">
        <v>0.61944444444444446</v>
      </c>
      <c r="AA126" s="50">
        <v>0.70000000000000007</v>
      </c>
      <c r="AB126" s="17"/>
      <c r="AC126" s="17"/>
      <c r="AD126" s="37">
        <v>22164</v>
      </c>
      <c r="AE126" s="93">
        <f t="shared" si="15"/>
        <v>22.164000000000001</v>
      </c>
      <c r="AF126">
        <v>15.24</v>
      </c>
      <c r="AG126" s="103">
        <f t="shared" si="16"/>
        <v>14</v>
      </c>
      <c r="AH126" s="37">
        <f t="shared" si="17"/>
        <v>22.164000000000005</v>
      </c>
      <c r="AJ126" s="97">
        <v>45982</v>
      </c>
      <c r="AK126" t="s">
        <v>2930</v>
      </c>
      <c r="AL126" t="s">
        <v>5</v>
      </c>
      <c r="AN126" s="81" t="s">
        <v>2998</v>
      </c>
      <c r="AO126" s="81" t="s">
        <v>2998</v>
      </c>
      <c r="AP126" s="37">
        <v>3450</v>
      </c>
      <c r="AR126" s="38"/>
      <c r="AU126" s="97"/>
      <c r="AY126" s="81"/>
      <c r="AZ126" s="81"/>
      <c r="BA126" s="37"/>
      <c r="BC126" s="97"/>
    </row>
    <row r="127" spans="22:55" ht="16" x14ac:dyDescent="0.4">
      <c r="V127" s="97">
        <v>45975</v>
      </c>
      <c r="W127">
        <v>219237</v>
      </c>
      <c r="X127" s="101" t="s">
        <v>36</v>
      </c>
      <c r="Y127" s="105"/>
      <c r="Z127" s="50">
        <v>0.55495370370370367</v>
      </c>
      <c r="AA127" s="50">
        <v>0.7707060185185185</v>
      </c>
      <c r="AD127" s="37">
        <v>21470</v>
      </c>
      <c r="AE127" s="93">
        <f t="shared" si="15"/>
        <v>21.47</v>
      </c>
      <c r="AF127">
        <v>14.84</v>
      </c>
      <c r="AG127" s="103">
        <f t="shared" si="16"/>
        <v>14</v>
      </c>
      <c r="AH127" s="37">
        <f t="shared" si="17"/>
        <v>21.47</v>
      </c>
      <c r="AJ127" s="97">
        <v>45982</v>
      </c>
      <c r="AK127" t="s">
        <v>2931</v>
      </c>
      <c r="AL127" t="s">
        <v>5</v>
      </c>
      <c r="AN127" s="81" t="s">
        <v>2999</v>
      </c>
      <c r="AO127" s="81" t="s">
        <v>2999</v>
      </c>
      <c r="AP127" s="37">
        <v>3160</v>
      </c>
      <c r="AR127" s="38"/>
      <c r="AU127" s="97"/>
      <c r="AY127" s="81"/>
      <c r="AZ127" s="81"/>
      <c r="BA127" s="37"/>
      <c r="BC127" s="97"/>
    </row>
    <row r="128" spans="22:55" ht="16" x14ac:dyDescent="0.4">
      <c r="V128" s="97">
        <v>45975</v>
      </c>
      <c r="W128">
        <v>219268</v>
      </c>
      <c r="X128" s="101" t="s">
        <v>36</v>
      </c>
      <c r="Y128" s="105"/>
      <c r="Z128" s="50">
        <v>0.62019675925925932</v>
      </c>
      <c r="AA128" s="50"/>
      <c r="AD128" s="37">
        <v>21222</v>
      </c>
      <c r="AE128" s="93">
        <f t="shared" si="15"/>
        <v>21.222000000000001</v>
      </c>
      <c r="AF128">
        <v>16.37</v>
      </c>
      <c r="AG128" s="103">
        <f t="shared" si="16"/>
        <v>14</v>
      </c>
      <c r="AH128" s="37">
        <f t="shared" si="17"/>
        <v>21.222000000000001</v>
      </c>
      <c r="AJ128" s="97">
        <v>45982</v>
      </c>
      <c r="AK128" t="s">
        <v>2932</v>
      </c>
      <c r="AL128" t="s">
        <v>5</v>
      </c>
      <c r="AN128" s="81" t="s">
        <v>3000</v>
      </c>
      <c r="AO128" s="81" t="s">
        <v>3000</v>
      </c>
      <c r="AP128" s="37">
        <v>2740</v>
      </c>
      <c r="AR128" s="38"/>
      <c r="AU128" s="97"/>
      <c r="AY128" s="81"/>
      <c r="AZ128" s="81"/>
      <c r="BA128" s="37"/>
      <c r="BC128" s="97"/>
    </row>
    <row r="129" spans="22:55" ht="16" x14ac:dyDescent="0.4">
      <c r="V129" s="97">
        <v>45975</v>
      </c>
      <c r="W129">
        <v>219282</v>
      </c>
      <c r="X129" s="101" t="s">
        <v>36</v>
      </c>
      <c r="Y129" s="105"/>
      <c r="Z129" s="50">
        <v>0.55504629629629632</v>
      </c>
      <c r="AA129" s="50">
        <v>0.88634259259259263</v>
      </c>
      <c r="AD129" s="37">
        <v>19496</v>
      </c>
      <c r="AE129" s="93">
        <f t="shared" si="15"/>
        <v>19.495999999999999</v>
      </c>
      <c r="AF129">
        <v>16.87</v>
      </c>
      <c r="AG129" s="103">
        <f t="shared" si="16"/>
        <v>14</v>
      </c>
      <c r="AH129" s="37">
        <f t="shared" si="17"/>
        <v>19.495999999999999</v>
      </c>
      <c r="AJ129" s="97">
        <v>45982</v>
      </c>
      <c r="AK129" t="s">
        <v>2933</v>
      </c>
      <c r="AL129" t="s">
        <v>5</v>
      </c>
      <c r="AN129" s="81" t="s">
        <v>3001</v>
      </c>
      <c r="AO129" s="81" t="s">
        <v>3001</v>
      </c>
      <c r="AP129" s="37">
        <v>3390</v>
      </c>
      <c r="AR129" s="38"/>
      <c r="AU129" s="97"/>
      <c r="AY129" s="81"/>
      <c r="AZ129" s="81"/>
      <c r="BA129" s="37"/>
      <c r="BC129" s="97"/>
    </row>
    <row r="130" spans="22:55" ht="16" x14ac:dyDescent="0.4">
      <c r="V130" s="97">
        <v>45975</v>
      </c>
      <c r="W130">
        <v>219302</v>
      </c>
      <c r="X130" s="101" t="s">
        <v>36</v>
      </c>
      <c r="Y130" s="105"/>
      <c r="Z130" s="50">
        <v>0.88523148148148145</v>
      </c>
      <c r="AA130" s="50">
        <v>0.95996527777777774</v>
      </c>
      <c r="AD130" s="37">
        <v>22182</v>
      </c>
      <c r="AE130" s="93">
        <f t="shared" ref="AE130:AE193" si="18">AD130/1000</f>
        <v>22.181999999999999</v>
      </c>
      <c r="AF130">
        <v>14.05</v>
      </c>
      <c r="AG130" s="103">
        <f t="shared" ref="AG130:AG193" si="19">IF($AF130&gt;14,14,$AF130)</f>
        <v>14</v>
      </c>
      <c r="AH130" s="37">
        <f t="shared" ref="AH130:AH193" si="20">AE130*AG130/14</f>
        <v>22.181999999999999</v>
      </c>
      <c r="AJ130" s="97">
        <v>45982</v>
      </c>
      <c r="AK130" t="s">
        <v>2934</v>
      </c>
      <c r="AL130" t="s">
        <v>5</v>
      </c>
      <c r="AN130" s="81" t="s">
        <v>3002</v>
      </c>
      <c r="AO130" s="81" t="s">
        <v>3002</v>
      </c>
      <c r="AP130" s="37">
        <v>3280</v>
      </c>
      <c r="AR130" s="38"/>
      <c r="AU130" s="97"/>
      <c r="AY130" s="81"/>
      <c r="AZ130" s="81"/>
      <c r="BA130" s="37"/>
      <c r="BC130" s="97"/>
    </row>
    <row r="131" spans="22:55" ht="16" x14ac:dyDescent="0.4">
      <c r="V131" s="97">
        <v>45976</v>
      </c>
      <c r="W131">
        <v>219317</v>
      </c>
      <c r="X131" s="101" t="s">
        <v>36</v>
      </c>
      <c r="Y131" s="105"/>
      <c r="Z131" s="50">
        <v>0.92732638888888885</v>
      </c>
      <c r="AA131" s="50">
        <v>2.5717592592592594E-2</v>
      </c>
      <c r="AD131" s="37">
        <v>20558</v>
      </c>
      <c r="AE131" s="93">
        <f t="shared" si="18"/>
        <v>20.558</v>
      </c>
      <c r="AF131">
        <v>15.16</v>
      </c>
      <c r="AG131" s="103">
        <f t="shared" si="19"/>
        <v>14</v>
      </c>
      <c r="AH131" s="37">
        <f t="shared" si="20"/>
        <v>20.558</v>
      </c>
      <c r="AJ131" s="97">
        <v>45982</v>
      </c>
      <c r="AK131" t="s">
        <v>2935</v>
      </c>
      <c r="AL131" t="s">
        <v>5</v>
      </c>
      <c r="AN131" s="81" t="s">
        <v>3003</v>
      </c>
      <c r="AO131" s="81" t="s">
        <v>3003</v>
      </c>
      <c r="AP131" s="37">
        <v>3470</v>
      </c>
      <c r="AR131" s="38"/>
      <c r="AU131" s="97"/>
      <c r="AY131" s="81"/>
      <c r="AZ131" s="81"/>
      <c r="BA131" s="37"/>
      <c r="BC131" s="97"/>
    </row>
    <row r="132" spans="22:55" ht="16" x14ac:dyDescent="0.4">
      <c r="V132" s="97">
        <v>45976</v>
      </c>
      <c r="W132">
        <v>219324</v>
      </c>
      <c r="X132" s="101" t="s">
        <v>36</v>
      </c>
      <c r="Y132" s="105"/>
      <c r="Z132" s="50">
        <v>8.3125000000000004E-2</v>
      </c>
      <c r="AA132" s="50"/>
      <c r="AD132" s="37">
        <v>20242</v>
      </c>
      <c r="AE132" s="93">
        <f t="shared" si="18"/>
        <v>20.242000000000001</v>
      </c>
      <c r="AF132">
        <v>16.739999999999998</v>
      </c>
      <c r="AG132" s="103">
        <f t="shared" si="19"/>
        <v>14</v>
      </c>
      <c r="AH132" s="37">
        <f t="shared" si="20"/>
        <v>20.242000000000001</v>
      </c>
      <c r="AJ132" s="97">
        <v>45982</v>
      </c>
      <c r="AK132" t="s">
        <v>2936</v>
      </c>
      <c r="AL132" t="s">
        <v>5</v>
      </c>
      <c r="AN132" s="81" t="s">
        <v>3004</v>
      </c>
      <c r="AO132" s="81" t="s">
        <v>3004</v>
      </c>
      <c r="AP132" s="37">
        <v>3960</v>
      </c>
      <c r="AR132" s="38"/>
      <c r="AU132" s="97"/>
      <c r="AY132" s="81"/>
      <c r="AZ132" s="81"/>
      <c r="BA132" s="37"/>
      <c r="BC132" s="97"/>
    </row>
    <row r="133" spans="22:55" ht="16" x14ac:dyDescent="0.4">
      <c r="V133" s="97">
        <v>45976</v>
      </c>
      <c r="W133">
        <v>219328</v>
      </c>
      <c r="X133" s="101" t="s">
        <v>36</v>
      </c>
      <c r="Y133" s="105"/>
      <c r="Z133" s="50">
        <v>0.92719907407407398</v>
      </c>
      <c r="AA133" s="50">
        <v>0.13011574074074075</v>
      </c>
      <c r="AD133" s="37">
        <v>20558</v>
      </c>
      <c r="AE133" s="93">
        <f t="shared" si="18"/>
        <v>20.558</v>
      </c>
      <c r="AF133">
        <v>15.49</v>
      </c>
      <c r="AG133" s="103">
        <f t="shared" si="19"/>
        <v>14</v>
      </c>
      <c r="AH133" s="37">
        <f t="shared" si="20"/>
        <v>20.558</v>
      </c>
      <c r="AJ133" s="97">
        <v>45982</v>
      </c>
      <c r="AK133" t="s">
        <v>2937</v>
      </c>
      <c r="AL133" t="s">
        <v>5</v>
      </c>
      <c r="AN133" s="81" t="s">
        <v>3005</v>
      </c>
      <c r="AO133" s="81" t="s">
        <v>3005</v>
      </c>
      <c r="AP133" s="37">
        <v>1610</v>
      </c>
      <c r="AR133" s="38"/>
      <c r="AU133" s="97"/>
      <c r="AY133" s="81"/>
      <c r="AZ133" s="81"/>
      <c r="BA133" s="37"/>
      <c r="BC133" s="97"/>
    </row>
    <row r="134" spans="22:55" ht="16" x14ac:dyDescent="0.4">
      <c r="V134" s="97">
        <v>45976</v>
      </c>
      <c r="W134">
        <v>219332</v>
      </c>
      <c r="X134" s="101" t="s">
        <v>36</v>
      </c>
      <c r="Y134" s="105"/>
      <c r="Z134" s="50">
        <v>0.62004629629629626</v>
      </c>
      <c r="AA134" s="50">
        <v>0.1792013888888889</v>
      </c>
      <c r="AD134" s="37">
        <v>19136</v>
      </c>
      <c r="AE134" s="93">
        <f t="shared" si="18"/>
        <v>19.135999999999999</v>
      </c>
      <c r="AF134">
        <v>16.55</v>
      </c>
      <c r="AG134" s="103">
        <f t="shared" si="19"/>
        <v>14</v>
      </c>
      <c r="AH134" s="37">
        <f t="shared" si="20"/>
        <v>19.135999999999999</v>
      </c>
      <c r="AJ134" s="97">
        <v>45983</v>
      </c>
      <c r="AK134" t="s">
        <v>2938</v>
      </c>
      <c r="AL134" t="s">
        <v>5</v>
      </c>
      <c r="AN134" s="81" t="s">
        <v>3006</v>
      </c>
      <c r="AO134" s="81" t="s">
        <v>3007</v>
      </c>
      <c r="AP134" s="37">
        <v>2950</v>
      </c>
      <c r="AR134" s="38"/>
      <c r="AU134" s="97"/>
      <c r="AY134" s="81"/>
      <c r="AZ134" s="81"/>
      <c r="BA134" s="37"/>
      <c r="BC134" s="97"/>
    </row>
    <row r="135" spans="22:55" ht="16" x14ac:dyDescent="0.4">
      <c r="V135" s="97">
        <v>45976</v>
      </c>
      <c r="W135">
        <v>219335</v>
      </c>
      <c r="X135" s="101" t="s">
        <v>36</v>
      </c>
      <c r="Y135" s="105"/>
      <c r="Z135" s="50">
        <v>0.92701388888888892</v>
      </c>
      <c r="AA135" s="50">
        <v>0.22337962962962962</v>
      </c>
      <c r="AB135" s="16"/>
      <c r="AC135" s="16"/>
      <c r="AD135" s="37">
        <v>19550</v>
      </c>
      <c r="AE135" s="93">
        <f t="shared" si="18"/>
        <v>19.55</v>
      </c>
      <c r="AF135">
        <v>14.49</v>
      </c>
      <c r="AG135" s="103">
        <f t="shared" si="19"/>
        <v>14</v>
      </c>
      <c r="AH135" s="37">
        <f t="shared" si="20"/>
        <v>19.55</v>
      </c>
      <c r="AJ135" s="97">
        <v>45983</v>
      </c>
      <c r="AK135" t="s">
        <v>2939</v>
      </c>
      <c r="AL135" t="s">
        <v>5</v>
      </c>
      <c r="AN135" s="81" t="s">
        <v>3008</v>
      </c>
      <c r="AO135" s="81" t="s">
        <v>3008</v>
      </c>
      <c r="AP135" s="37">
        <v>3340</v>
      </c>
      <c r="AR135" s="38"/>
      <c r="AU135" s="97"/>
      <c r="AY135" s="81"/>
      <c r="AZ135" s="81"/>
      <c r="BA135" s="37"/>
      <c r="BC135" s="97"/>
    </row>
    <row r="136" spans="22:55" ht="16" x14ac:dyDescent="0.4">
      <c r="V136" s="97">
        <v>45976</v>
      </c>
      <c r="W136">
        <v>219351</v>
      </c>
      <c r="X136" s="101" t="s">
        <v>36</v>
      </c>
      <c r="Y136" s="105"/>
      <c r="Z136" s="50">
        <v>0.21319444444444444</v>
      </c>
      <c r="AA136" s="50">
        <v>0.27291666666666664</v>
      </c>
      <c r="AB136" s="16"/>
      <c r="AC136" s="16"/>
      <c r="AD136" s="37">
        <v>18666</v>
      </c>
      <c r="AE136" s="93">
        <f t="shared" si="18"/>
        <v>18.666</v>
      </c>
      <c r="AF136">
        <v>13.81</v>
      </c>
      <c r="AG136" s="103">
        <f t="shared" si="19"/>
        <v>13.81</v>
      </c>
      <c r="AH136" s="37">
        <f t="shared" si="20"/>
        <v>18.412675714285715</v>
      </c>
      <c r="AJ136" s="97">
        <v>45983</v>
      </c>
      <c r="AK136" t="s">
        <v>2940</v>
      </c>
      <c r="AL136" t="s">
        <v>5</v>
      </c>
      <c r="AN136" s="81" t="s">
        <v>3009</v>
      </c>
      <c r="AO136" s="81" t="s">
        <v>3009</v>
      </c>
      <c r="AP136" s="37">
        <v>3660</v>
      </c>
      <c r="AR136" s="38"/>
      <c r="AU136" s="97"/>
      <c r="AY136" s="81"/>
      <c r="AZ136" s="81"/>
      <c r="BA136" s="37"/>
      <c r="BC136" s="97"/>
    </row>
    <row r="137" spans="22:55" ht="16" x14ac:dyDescent="0.4">
      <c r="V137" s="97">
        <v>45976</v>
      </c>
      <c r="W137">
        <v>219378</v>
      </c>
      <c r="X137" s="101" t="s">
        <v>36</v>
      </c>
      <c r="Y137" s="105"/>
      <c r="Z137" s="50">
        <v>0.29166666666666669</v>
      </c>
      <c r="AA137" s="50">
        <v>0.33888888888888885</v>
      </c>
      <c r="AB137" s="16"/>
      <c r="AC137" s="16"/>
      <c r="AD137" s="37">
        <v>22238</v>
      </c>
      <c r="AE137" s="93">
        <f t="shared" si="18"/>
        <v>22.238</v>
      </c>
      <c r="AF137">
        <v>14.66</v>
      </c>
      <c r="AG137" s="103">
        <f t="shared" si="19"/>
        <v>14</v>
      </c>
      <c r="AH137" s="37">
        <f t="shared" si="20"/>
        <v>22.238</v>
      </c>
      <c r="AJ137" s="97">
        <v>45983</v>
      </c>
      <c r="AK137" t="s">
        <v>2941</v>
      </c>
      <c r="AL137" t="s">
        <v>5</v>
      </c>
      <c r="AN137" s="81" t="s">
        <v>3010</v>
      </c>
      <c r="AO137" s="81" t="s">
        <v>3010</v>
      </c>
      <c r="AP137" s="37">
        <v>3240</v>
      </c>
      <c r="AR137" s="38"/>
      <c r="AU137" s="97"/>
      <c r="AY137" s="81"/>
      <c r="AZ137" s="81"/>
      <c r="BA137" s="37"/>
      <c r="BC137" s="97"/>
    </row>
    <row r="138" spans="22:55" ht="16" x14ac:dyDescent="0.4">
      <c r="V138" s="97">
        <v>45976</v>
      </c>
      <c r="W138">
        <v>219422</v>
      </c>
      <c r="X138" s="101" t="s">
        <v>36</v>
      </c>
      <c r="Y138" s="105"/>
      <c r="Z138" s="50">
        <v>0.21319444444444444</v>
      </c>
      <c r="AA138" s="50">
        <v>0.39374999999999999</v>
      </c>
      <c r="AB138" s="16"/>
      <c r="AC138" s="16"/>
      <c r="AD138" s="37">
        <v>21308</v>
      </c>
      <c r="AE138" s="93">
        <f t="shared" si="18"/>
        <v>21.308</v>
      </c>
      <c r="AF138">
        <v>14.88</v>
      </c>
      <c r="AG138" s="103">
        <f t="shared" si="19"/>
        <v>14</v>
      </c>
      <c r="AH138" s="37">
        <f t="shared" si="20"/>
        <v>21.308</v>
      </c>
      <c r="AJ138" s="97">
        <v>45983</v>
      </c>
      <c r="AK138" t="s">
        <v>2942</v>
      </c>
      <c r="AL138" t="s">
        <v>5</v>
      </c>
      <c r="AN138" s="81" t="s">
        <v>3011</v>
      </c>
      <c r="AO138" s="81" t="s">
        <v>3011</v>
      </c>
      <c r="AP138" s="37">
        <v>3040</v>
      </c>
      <c r="AR138" s="38"/>
      <c r="AU138" s="97"/>
      <c r="AY138" s="81"/>
      <c r="AZ138" s="81"/>
      <c r="BA138" s="37"/>
      <c r="BC138" s="97"/>
    </row>
    <row r="139" spans="22:55" ht="16" x14ac:dyDescent="0.4">
      <c r="V139" s="97">
        <v>45976</v>
      </c>
      <c r="W139">
        <v>219466</v>
      </c>
      <c r="X139" s="101" t="s">
        <v>36</v>
      </c>
      <c r="Y139" s="105"/>
      <c r="Z139" s="50">
        <v>0.39513888888888887</v>
      </c>
      <c r="AA139" s="50">
        <v>0.46597222222222223</v>
      </c>
      <c r="AB139" s="16"/>
      <c r="AC139" s="16"/>
      <c r="AD139" s="37">
        <v>20444</v>
      </c>
      <c r="AE139" s="93">
        <f t="shared" si="18"/>
        <v>20.443999999999999</v>
      </c>
      <c r="AF139">
        <v>15.62</v>
      </c>
      <c r="AG139" s="103">
        <f t="shared" si="19"/>
        <v>14</v>
      </c>
      <c r="AH139" s="37">
        <f t="shared" si="20"/>
        <v>20.443999999999999</v>
      </c>
      <c r="AJ139" s="97">
        <v>45983</v>
      </c>
      <c r="AK139" t="s">
        <v>2943</v>
      </c>
      <c r="AL139" t="s">
        <v>5</v>
      </c>
      <c r="AN139" s="81" t="s">
        <v>3012</v>
      </c>
      <c r="AO139" s="81" t="s">
        <v>3012</v>
      </c>
      <c r="AP139" s="37">
        <v>2860</v>
      </c>
      <c r="AR139" s="38"/>
      <c r="AU139" s="97"/>
      <c r="AY139" s="81"/>
      <c r="AZ139" s="81"/>
      <c r="BA139" s="37"/>
      <c r="BC139" s="97"/>
    </row>
    <row r="140" spans="22:55" ht="16" x14ac:dyDescent="0.4">
      <c r="V140" s="97">
        <v>45976</v>
      </c>
      <c r="W140">
        <v>219483</v>
      </c>
      <c r="X140" s="101" t="s">
        <v>36</v>
      </c>
      <c r="Y140" s="105"/>
      <c r="Z140" s="50">
        <v>0.43333333333333335</v>
      </c>
      <c r="AA140" s="50">
        <v>0.53611111111111109</v>
      </c>
      <c r="AB140" s="16"/>
      <c r="AC140" s="16"/>
      <c r="AD140" s="37">
        <v>22408</v>
      </c>
      <c r="AE140" s="93">
        <f t="shared" si="18"/>
        <v>22.408000000000001</v>
      </c>
      <c r="AF140">
        <v>14.51</v>
      </c>
      <c r="AG140" s="103">
        <f t="shared" si="19"/>
        <v>14</v>
      </c>
      <c r="AH140" s="37">
        <f t="shared" si="20"/>
        <v>22.407999999999998</v>
      </c>
      <c r="AJ140" s="97">
        <v>45983</v>
      </c>
      <c r="AK140" t="s">
        <v>2944</v>
      </c>
      <c r="AL140" t="s">
        <v>5</v>
      </c>
      <c r="AN140" s="81" t="s">
        <v>3013</v>
      </c>
      <c r="AO140" s="81" t="s">
        <v>3013</v>
      </c>
      <c r="AP140" s="37">
        <v>5560</v>
      </c>
      <c r="AR140" s="38"/>
      <c r="AU140" s="97"/>
      <c r="AY140" s="81"/>
      <c r="AZ140" s="81"/>
      <c r="BA140" s="37"/>
      <c r="BC140" s="97"/>
    </row>
    <row r="141" spans="22:55" ht="16" x14ac:dyDescent="0.4">
      <c r="V141" s="97">
        <v>45976</v>
      </c>
      <c r="W141">
        <v>219507</v>
      </c>
      <c r="X141" s="101" t="s">
        <v>36</v>
      </c>
      <c r="Y141" s="105"/>
      <c r="Z141" s="50">
        <v>0.39444444444444443</v>
      </c>
      <c r="AA141" s="50">
        <v>0.58680555555555558</v>
      </c>
      <c r="AB141" s="16"/>
      <c r="AC141" s="16"/>
      <c r="AD141" s="37">
        <v>21406</v>
      </c>
      <c r="AE141" s="93">
        <f t="shared" si="18"/>
        <v>21.405999999999999</v>
      </c>
      <c r="AF141">
        <v>14.67</v>
      </c>
      <c r="AG141" s="103">
        <f t="shared" si="19"/>
        <v>14</v>
      </c>
      <c r="AH141" s="37">
        <f t="shared" si="20"/>
        <v>21.405999999999999</v>
      </c>
      <c r="AJ141" s="97">
        <v>45983</v>
      </c>
      <c r="AK141" t="s">
        <v>2945</v>
      </c>
      <c r="AL141" t="s">
        <v>5</v>
      </c>
      <c r="AN141" s="81" t="s">
        <v>3014</v>
      </c>
      <c r="AO141" s="81" t="s">
        <v>3014</v>
      </c>
      <c r="AP141" s="48">
        <v>1590</v>
      </c>
      <c r="AR141" s="38"/>
      <c r="AU141" s="97"/>
      <c r="AY141" s="81"/>
      <c r="AZ141" s="81"/>
      <c r="BA141" s="48"/>
      <c r="BC141" s="97"/>
    </row>
    <row r="142" spans="22:55" ht="16" x14ac:dyDescent="0.4">
      <c r="V142" s="97">
        <v>45976</v>
      </c>
      <c r="W142">
        <v>219527</v>
      </c>
      <c r="X142" s="101" t="s">
        <v>36</v>
      </c>
      <c r="Y142" s="105"/>
      <c r="Z142" s="50">
        <v>0.43402777777777773</v>
      </c>
      <c r="AA142" s="50">
        <v>0.65347222222222223</v>
      </c>
      <c r="AB142" s="16"/>
      <c r="AC142" s="16"/>
      <c r="AD142" s="37">
        <v>21956</v>
      </c>
      <c r="AE142" s="93">
        <f t="shared" si="18"/>
        <v>21.956</v>
      </c>
      <c r="AF142">
        <v>14.74</v>
      </c>
      <c r="AG142" s="103">
        <f t="shared" si="19"/>
        <v>14</v>
      </c>
      <c r="AH142" s="37">
        <f t="shared" si="20"/>
        <v>21.956</v>
      </c>
      <c r="AJ142" s="97">
        <v>45983</v>
      </c>
      <c r="AK142" t="s">
        <v>2946</v>
      </c>
      <c r="AL142" t="s">
        <v>4</v>
      </c>
      <c r="AN142" s="81" t="s">
        <v>3015</v>
      </c>
      <c r="AO142" s="81" t="s">
        <v>3016</v>
      </c>
      <c r="AP142" s="48">
        <v>6700</v>
      </c>
      <c r="AR142" s="38"/>
      <c r="AU142" s="97"/>
      <c r="AY142" s="81"/>
      <c r="AZ142" s="81"/>
      <c r="BA142" s="48"/>
      <c r="BC142" s="97"/>
    </row>
    <row r="143" spans="22:55" ht="16" x14ac:dyDescent="0.4">
      <c r="V143" s="97">
        <v>45976</v>
      </c>
      <c r="W143">
        <v>219552</v>
      </c>
      <c r="X143" s="101" t="s">
        <v>36</v>
      </c>
      <c r="Y143" s="105"/>
      <c r="Z143" s="50">
        <v>0.39513888888888887</v>
      </c>
      <c r="AA143" s="50">
        <v>0.69791666666666663</v>
      </c>
      <c r="AB143" s="16"/>
      <c r="AC143" s="16"/>
      <c r="AD143" s="37">
        <v>21156</v>
      </c>
      <c r="AE143" s="93">
        <f t="shared" si="18"/>
        <v>21.155999999999999</v>
      </c>
      <c r="AF143">
        <v>15.09</v>
      </c>
      <c r="AG143" s="103">
        <f t="shared" si="19"/>
        <v>14</v>
      </c>
      <c r="AH143" s="37">
        <f t="shared" si="20"/>
        <v>21.155999999999999</v>
      </c>
      <c r="AJ143" s="97">
        <v>45983</v>
      </c>
      <c r="AK143" t="s">
        <v>2947</v>
      </c>
      <c r="AL143" t="s">
        <v>5</v>
      </c>
      <c r="AN143" s="81" t="s">
        <v>3017</v>
      </c>
      <c r="AO143" s="81" t="s">
        <v>3017</v>
      </c>
      <c r="AP143" s="48">
        <v>3530</v>
      </c>
      <c r="AR143" s="38"/>
      <c r="AU143" s="97"/>
      <c r="AY143" s="81"/>
      <c r="AZ143" s="81"/>
      <c r="BA143" s="48"/>
      <c r="BC143" s="97"/>
    </row>
    <row r="144" spans="22:55" ht="16" x14ac:dyDescent="0.4">
      <c r="V144" s="97">
        <v>45976</v>
      </c>
      <c r="W144">
        <v>219565</v>
      </c>
      <c r="X144" s="101" t="s">
        <v>36</v>
      </c>
      <c r="Y144" s="105"/>
      <c r="Z144" s="50">
        <v>0.43394675925925924</v>
      </c>
      <c r="AA144" s="50">
        <v>0.765162037037037</v>
      </c>
      <c r="AB144" s="16"/>
      <c r="AC144" s="16"/>
      <c r="AD144" s="37">
        <v>19318</v>
      </c>
      <c r="AE144" s="93">
        <f t="shared" si="18"/>
        <v>19.318000000000001</v>
      </c>
      <c r="AF144">
        <v>15.88</v>
      </c>
      <c r="AG144" s="103">
        <f t="shared" si="19"/>
        <v>14</v>
      </c>
      <c r="AH144" s="37">
        <f t="shared" si="20"/>
        <v>19.318000000000001</v>
      </c>
      <c r="AJ144" s="97">
        <v>45983</v>
      </c>
      <c r="AK144" t="s">
        <v>2948</v>
      </c>
      <c r="AL144" t="s">
        <v>5</v>
      </c>
      <c r="AN144" s="81" t="s">
        <v>3018</v>
      </c>
      <c r="AO144" s="81" t="s">
        <v>3018</v>
      </c>
      <c r="AP144" s="48">
        <v>2900</v>
      </c>
      <c r="AR144" s="38"/>
      <c r="AU144" s="97"/>
      <c r="AY144" s="81"/>
      <c r="AZ144" s="81"/>
      <c r="BA144" s="48"/>
      <c r="BC144" s="97"/>
    </row>
    <row r="145" spans="22:55" ht="16" x14ac:dyDescent="0.4">
      <c r="V145" s="97">
        <v>45976</v>
      </c>
      <c r="W145">
        <v>219583</v>
      </c>
      <c r="X145" s="101" t="s">
        <v>36</v>
      </c>
      <c r="Y145" s="105"/>
      <c r="Z145" s="50">
        <v>0.75268518518518512</v>
      </c>
      <c r="AA145" s="50">
        <v>0.83951388888888889</v>
      </c>
      <c r="AB145" s="16"/>
      <c r="AC145" s="16"/>
      <c r="AD145" s="37">
        <v>19106</v>
      </c>
      <c r="AE145" s="93">
        <f t="shared" si="18"/>
        <v>19.106000000000002</v>
      </c>
      <c r="AF145">
        <v>15.41</v>
      </c>
      <c r="AG145" s="103">
        <f t="shared" si="19"/>
        <v>14</v>
      </c>
      <c r="AH145" s="37">
        <f t="shared" si="20"/>
        <v>19.106000000000002</v>
      </c>
      <c r="AJ145" s="97">
        <v>45983</v>
      </c>
      <c r="AK145" t="s">
        <v>2949</v>
      </c>
      <c r="AL145" t="s">
        <v>5</v>
      </c>
      <c r="AN145" s="81" t="s">
        <v>3019</v>
      </c>
      <c r="AO145" s="81" t="s">
        <v>3019</v>
      </c>
      <c r="AP145" s="48">
        <v>5800</v>
      </c>
      <c r="AR145" s="38"/>
      <c r="AU145" s="97"/>
      <c r="AY145" s="81"/>
      <c r="AZ145" s="81"/>
      <c r="BA145" s="48"/>
      <c r="BC145" s="97"/>
    </row>
    <row r="146" spans="22:55" ht="16" x14ac:dyDescent="0.4">
      <c r="V146" s="97">
        <v>45976</v>
      </c>
      <c r="W146">
        <v>219598</v>
      </c>
      <c r="X146" s="101" t="s">
        <v>36</v>
      </c>
      <c r="Y146" s="105"/>
      <c r="Z146" s="50">
        <v>0.11809027777777777</v>
      </c>
      <c r="AA146" s="50">
        <v>0.91261574074074081</v>
      </c>
      <c r="AB146" s="16"/>
      <c r="AC146" s="16"/>
      <c r="AD146" s="37">
        <v>19562</v>
      </c>
      <c r="AE146" s="93">
        <f t="shared" si="18"/>
        <v>19.562000000000001</v>
      </c>
      <c r="AF146">
        <v>15.31</v>
      </c>
      <c r="AG146" s="103">
        <f t="shared" si="19"/>
        <v>14</v>
      </c>
      <c r="AH146" s="37">
        <f t="shared" si="20"/>
        <v>19.562000000000001</v>
      </c>
      <c r="AJ146" s="97">
        <v>45984</v>
      </c>
      <c r="AK146" t="s">
        <v>2950</v>
      </c>
      <c r="AL146" t="s">
        <v>5</v>
      </c>
      <c r="AN146" s="81" t="s">
        <v>3020</v>
      </c>
      <c r="AO146" s="81" t="s">
        <v>3020</v>
      </c>
      <c r="AP146" s="48">
        <v>2710</v>
      </c>
      <c r="AR146" s="38"/>
      <c r="AU146" s="97"/>
      <c r="AY146" s="81"/>
      <c r="AZ146" s="81"/>
      <c r="BA146" s="48"/>
      <c r="BC146" s="97"/>
    </row>
    <row r="147" spans="22:55" ht="16" x14ac:dyDescent="0.4">
      <c r="V147" s="97">
        <v>45976</v>
      </c>
      <c r="W147">
        <v>219608</v>
      </c>
      <c r="X147" s="101" t="s">
        <v>36</v>
      </c>
      <c r="Y147" s="105"/>
      <c r="Z147" s="50">
        <v>0.75291666666666668</v>
      </c>
      <c r="AA147" s="50">
        <v>0.98790509259259263</v>
      </c>
      <c r="AB147" s="16"/>
      <c r="AC147" s="16"/>
      <c r="AD147" s="37">
        <v>21718</v>
      </c>
      <c r="AE147" s="93">
        <f t="shared" si="18"/>
        <v>21.718</v>
      </c>
      <c r="AF147">
        <v>14.99</v>
      </c>
      <c r="AG147" s="103">
        <f t="shared" si="19"/>
        <v>14</v>
      </c>
      <c r="AH147" s="37">
        <f t="shared" si="20"/>
        <v>21.718</v>
      </c>
      <c r="AJ147" s="97">
        <v>45985</v>
      </c>
      <c r="AK147" t="s">
        <v>2951</v>
      </c>
      <c r="AL147" t="s">
        <v>5</v>
      </c>
      <c r="AN147" t="s">
        <v>3021</v>
      </c>
      <c r="AO147" t="s">
        <v>3021</v>
      </c>
      <c r="AP147" s="56">
        <v>3080</v>
      </c>
      <c r="AR147" s="38"/>
      <c r="AU147" s="97"/>
      <c r="AY147" s="81"/>
      <c r="AZ147" s="81"/>
      <c r="BA147" s="48"/>
      <c r="BC147" s="97"/>
    </row>
    <row r="148" spans="22:55" ht="16" x14ac:dyDescent="0.4">
      <c r="V148" s="97">
        <v>45977</v>
      </c>
      <c r="W148">
        <v>219618</v>
      </c>
      <c r="X148" s="101" t="s">
        <v>36</v>
      </c>
      <c r="Y148" s="105"/>
      <c r="Z148" s="50">
        <v>0.6002777777777778</v>
      </c>
      <c r="AA148" s="50">
        <v>3.2071759259259258E-2</v>
      </c>
      <c r="AB148" s="16"/>
      <c r="AC148" s="16"/>
      <c r="AD148" s="37">
        <v>20286</v>
      </c>
      <c r="AE148" s="93">
        <f t="shared" si="18"/>
        <v>20.286000000000001</v>
      </c>
      <c r="AF148">
        <v>14.88</v>
      </c>
      <c r="AG148" s="103">
        <f t="shared" si="19"/>
        <v>14</v>
      </c>
      <c r="AH148" s="37">
        <f t="shared" si="20"/>
        <v>20.286000000000001</v>
      </c>
      <c r="AJ148" s="97">
        <v>45985</v>
      </c>
      <c r="AK148" t="s">
        <v>2952</v>
      </c>
      <c r="AL148" t="s">
        <v>5</v>
      </c>
      <c r="AN148" t="s">
        <v>3022</v>
      </c>
      <c r="AO148" t="s">
        <v>3022</v>
      </c>
      <c r="AP148" s="56">
        <v>3550</v>
      </c>
      <c r="AR148" s="38"/>
      <c r="AU148" s="97"/>
      <c r="AY148" s="81"/>
      <c r="AZ148" s="81"/>
      <c r="BA148" s="48"/>
      <c r="BC148" s="97"/>
    </row>
    <row r="149" spans="22:55" ht="16" x14ac:dyDescent="0.4">
      <c r="V149" s="97">
        <v>45977</v>
      </c>
      <c r="W149">
        <v>219625</v>
      </c>
      <c r="X149" s="101" t="s">
        <v>36</v>
      </c>
      <c r="Y149" s="105"/>
      <c r="Z149" s="50">
        <v>0.75282407407407403</v>
      </c>
      <c r="AA149" s="50">
        <v>8.0752314814814818E-2</v>
      </c>
      <c r="AB149" s="16"/>
      <c r="AC149" s="16"/>
      <c r="AD149" s="37">
        <v>21072</v>
      </c>
      <c r="AE149" s="93">
        <f t="shared" si="18"/>
        <v>21.071999999999999</v>
      </c>
      <c r="AF149">
        <v>14.98</v>
      </c>
      <c r="AG149" s="103">
        <f t="shared" si="19"/>
        <v>14</v>
      </c>
      <c r="AH149" s="37">
        <f t="shared" si="20"/>
        <v>21.071999999999999</v>
      </c>
      <c r="AJ149" s="97">
        <v>45985</v>
      </c>
      <c r="AK149" t="s">
        <v>2953</v>
      </c>
      <c r="AL149" t="s">
        <v>5</v>
      </c>
      <c r="AN149" t="s">
        <v>3023</v>
      </c>
      <c r="AO149" t="s">
        <v>3023</v>
      </c>
      <c r="AP149" s="56">
        <v>3120</v>
      </c>
      <c r="AR149" s="38"/>
      <c r="AU149" s="97"/>
      <c r="AY149" s="81"/>
      <c r="AZ149" s="81"/>
      <c r="BA149" s="48"/>
      <c r="BC149" s="97"/>
    </row>
    <row r="150" spans="22:55" ht="16" x14ac:dyDescent="0.4">
      <c r="V150" s="97">
        <v>45977</v>
      </c>
      <c r="W150">
        <v>219627</v>
      </c>
      <c r="X150" s="101" t="s">
        <v>36</v>
      </c>
      <c r="Y150" s="105"/>
      <c r="Z150" s="50">
        <v>0.70297453703703694</v>
      </c>
      <c r="AA150" s="50">
        <v>0.12909722222222222</v>
      </c>
      <c r="AB150" s="16"/>
      <c r="AC150" s="16"/>
      <c r="AD150" s="37">
        <v>20982</v>
      </c>
      <c r="AE150" s="93">
        <f t="shared" si="18"/>
        <v>20.981999999999999</v>
      </c>
      <c r="AF150">
        <v>14.22</v>
      </c>
      <c r="AG150" s="103">
        <f t="shared" si="19"/>
        <v>14</v>
      </c>
      <c r="AH150" s="37">
        <f t="shared" si="20"/>
        <v>20.981999999999999</v>
      </c>
      <c r="AJ150" s="97">
        <v>45985</v>
      </c>
      <c r="AK150" t="s">
        <v>2954</v>
      </c>
      <c r="AL150" t="s">
        <v>5</v>
      </c>
      <c r="AN150" t="s">
        <v>3024</v>
      </c>
      <c r="AO150" t="s">
        <v>3025</v>
      </c>
      <c r="AP150" s="56">
        <v>3100</v>
      </c>
      <c r="AR150" s="38"/>
      <c r="AU150" s="97"/>
      <c r="AY150" s="81"/>
      <c r="AZ150" s="81"/>
      <c r="BA150" s="48"/>
      <c r="BC150" s="97"/>
    </row>
    <row r="151" spans="22:55" ht="16" x14ac:dyDescent="0.4">
      <c r="V151" s="97">
        <v>45977</v>
      </c>
      <c r="W151">
        <v>219632</v>
      </c>
      <c r="X151" s="101" t="s">
        <v>36</v>
      </c>
      <c r="Y151" s="105"/>
      <c r="Z151" s="50">
        <v>0.11995370370370372</v>
      </c>
      <c r="AA151" s="50">
        <v>0.17373842592592592</v>
      </c>
      <c r="AB151" s="16"/>
      <c r="AC151" s="16"/>
      <c r="AD151" s="37">
        <v>18450</v>
      </c>
      <c r="AE151" s="93">
        <f t="shared" si="18"/>
        <v>18.45</v>
      </c>
      <c r="AF151">
        <v>15.16</v>
      </c>
      <c r="AG151" s="103">
        <f t="shared" si="19"/>
        <v>14</v>
      </c>
      <c r="AH151" s="37">
        <f t="shared" si="20"/>
        <v>18.45</v>
      </c>
      <c r="AJ151" s="97">
        <v>45985</v>
      </c>
      <c r="AK151" t="s">
        <v>2955</v>
      </c>
      <c r="AL151" t="s">
        <v>5</v>
      </c>
      <c r="AN151" t="s">
        <v>3026</v>
      </c>
      <c r="AO151" t="s">
        <v>3026</v>
      </c>
      <c r="AP151" s="56">
        <v>3100</v>
      </c>
      <c r="AR151" s="38"/>
      <c r="AU151" s="97"/>
      <c r="AY151" s="81"/>
      <c r="AZ151" s="81"/>
      <c r="BA151" s="48"/>
      <c r="BC151" s="97"/>
    </row>
    <row r="152" spans="22:55" ht="16" x14ac:dyDescent="0.4">
      <c r="V152" s="97">
        <v>45977</v>
      </c>
      <c r="W152">
        <v>219634</v>
      </c>
      <c r="X152" s="101" t="s">
        <v>36</v>
      </c>
      <c r="Y152" s="110"/>
      <c r="Z152" s="50">
        <v>0.16364583333333335</v>
      </c>
      <c r="AA152" s="50">
        <v>2.2277777777777779</v>
      </c>
      <c r="AB152" s="17"/>
      <c r="AC152" s="17"/>
      <c r="AD152" s="37">
        <v>19624</v>
      </c>
      <c r="AE152" s="93">
        <f t="shared" si="18"/>
        <v>19.623999999999999</v>
      </c>
      <c r="AF152">
        <v>15.59</v>
      </c>
      <c r="AG152" s="103">
        <f t="shared" si="19"/>
        <v>14</v>
      </c>
      <c r="AH152" s="37">
        <f t="shared" si="20"/>
        <v>19.623999999999999</v>
      </c>
      <c r="AJ152" s="97">
        <v>45985</v>
      </c>
      <c r="AK152" t="s">
        <v>2956</v>
      </c>
      <c r="AL152" t="s">
        <v>5</v>
      </c>
      <c r="AN152" t="s">
        <v>3027</v>
      </c>
      <c r="AO152" t="s">
        <v>3027</v>
      </c>
      <c r="AP152" s="56">
        <v>6290</v>
      </c>
      <c r="AR152" s="38"/>
      <c r="AU152" s="97"/>
      <c r="AY152" s="81"/>
      <c r="AZ152" s="81"/>
      <c r="BA152" s="48"/>
      <c r="BC152" s="97"/>
    </row>
    <row r="153" spans="22:55" ht="16" x14ac:dyDescent="0.4">
      <c r="V153" s="97">
        <v>45978</v>
      </c>
      <c r="W153">
        <v>220011</v>
      </c>
      <c r="X153" s="101" t="s">
        <v>36</v>
      </c>
      <c r="Y153" s="105"/>
      <c r="Z153" s="50">
        <v>0.64236111111111105</v>
      </c>
      <c r="AA153" s="50">
        <v>0.84166666666666667</v>
      </c>
      <c r="AB153" s="16"/>
      <c r="AC153" s="16"/>
      <c r="AD153" s="37">
        <v>21414</v>
      </c>
      <c r="AE153" s="93">
        <f t="shared" si="18"/>
        <v>21.414000000000001</v>
      </c>
      <c r="AF153" s="16">
        <v>14.31</v>
      </c>
      <c r="AG153" s="103">
        <f t="shared" si="19"/>
        <v>14</v>
      </c>
      <c r="AH153" s="37">
        <f t="shared" si="20"/>
        <v>21.414000000000005</v>
      </c>
      <c r="AJ153" s="97">
        <v>45985</v>
      </c>
      <c r="AK153" t="s">
        <v>2957</v>
      </c>
      <c r="AL153" t="s">
        <v>5</v>
      </c>
      <c r="AN153" t="s">
        <v>3028</v>
      </c>
      <c r="AO153" t="s">
        <v>3028</v>
      </c>
      <c r="AP153" s="56">
        <v>3540</v>
      </c>
      <c r="AR153" s="38"/>
      <c r="AU153" s="97"/>
      <c r="AY153" s="81"/>
      <c r="AZ153" s="81"/>
      <c r="BA153" s="48"/>
      <c r="BC153" s="97"/>
    </row>
    <row r="154" spans="22:55" ht="16" x14ac:dyDescent="0.4">
      <c r="V154" s="97">
        <v>45978</v>
      </c>
      <c r="W154">
        <v>220047</v>
      </c>
      <c r="X154" s="101" t="s">
        <v>36</v>
      </c>
      <c r="Y154" s="105"/>
      <c r="Z154" s="50">
        <v>0.11944444444444445</v>
      </c>
      <c r="AA154" s="50">
        <v>0.93958333333333333</v>
      </c>
      <c r="AB154" s="16"/>
      <c r="AC154" s="16"/>
      <c r="AD154" s="37">
        <v>21208</v>
      </c>
      <c r="AE154" s="93">
        <f t="shared" si="18"/>
        <v>21.207999999999998</v>
      </c>
      <c r="AF154" s="16">
        <v>15.49</v>
      </c>
      <c r="AG154" s="103">
        <f t="shared" si="19"/>
        <v>14</v>
      </c>
      <c r="AH154" s="37">
        <f t="shared" si="20"/>
        <v>21.207999999999998</v>
      </c>
      <c r="AJ154" s="97">
        <v>45985</v>
      </c>
      <c r="AK154" t="s">
        <v>2958</v>
      </c>
      <c r="AL154" t="s">
        <v>5</v>
      </c>
      <c r="AN154" t="s">
        <v>3029</v>
      </c>
      <c r="AO154" t="s">
        <v>3029</v>
      </c>
      <c r="AP154" s="56">
        <v>3080</v>
      </c>
      <c r="AR154" s="38"/>
      <c r="AU154" s="38"/>
      <c r="AY154" s="81"/>
      <c r="AZ154" s="81"/>
      <c r="BA154" s="48"/>
      <c r="BC154" s="38"/>
    </row>
    <row r="155" spans="22:55" ht="16" x14ac:dyDescent="0.4">
      <c r="V155" s="97">
        <v>45979</v>
      </c>
      <c r="W155">
        <v>220059</v>
      </c>
      <c r="X155" s="101" t="s">
        <v>36</v>
      </c>
      <c r="Y155" s="105"/>
      <c r="Z155" s="50">
        <v>0.16319444444444445</v>
      </c>
      <c r="AA155" s="50">
        <v>0.99930555555555556</v>
      </c>
      <c r="AB155" s="16"/>
      <c r="AC155" s="16"/>
      <c r="AD155" s="37">
        <v>20468</v>
      </c>
      <c r="AE155" s="93">
        <f t="shared" si="18"/>
        <v>20.468</v>
      </c>
      <c r="AF155" s="16">
        <v>15.24</v>
      </c>
      <c r="AG155" s="103">
        <f t="shared" si="19"/>
        <v>14</v>
      </c>
      <c r="AH155" s="37">
        <f t="shared" si="20"/>
        <v>20.468</v>
      </c>
      <c r="AJ155" s="97">
        <v>45985</v>
      </c>
      <c r="AK155" t="s">
        <v>2959</v>
      </c>
      <c r="AL155" t="s">
        <v>5</v>
      </c>
      <c r="AN155" t="s">
        <v>3030</v>
      </c>
      <c r="AO155" t="s">
        <v>3030</v>
      </c>
      <c r="AP155" s="56">
        <v>2480</v>
      </c>
      <c r="AR155" s="38"/>
      <c r="AU155" s="38"/>
      <c r="AY155" s="81"/>
      <c r="AZ155" s="81"/>
      <c r="BA155" s="48"/>
      <c r="BC155" s="38"/>
    </row>
    <row r="156" spans="22:55" ht="16" x14ac:dyDescent="0.4">
      <c r="V156" s="97">
        <v>45979</v>
      </c>
      <c r="W156">
        <v>220065</v>
      </c>
      <c r="X156" s="101" t="s">
        <v>36</v>
      </c>
      <c r="Y156" s="105"/>
      <c r="Z156" s="50">
        <v>0.11944444444444445</v>
      </c>
      <c r="AA156" s="50">
        <v>4.7222222222222221E-2</v>
      </c>
      <c r="AB156" s="16"/>
      <c r="AC156" s="16"/>
      <c r="AD156" s="37">
        <v>20172</v>
      </c>
      <c r="AE156" s="93">
        <f t="shared" si="18"/>
        <v>20.172000000000001</v>
      </c>
      <c r="AF156" s="16">
        <v>14.88</v>
      </c>
      <c r="AG156" s="103">
        <f t="shared" si="19"/>
        <v>14</v>
      </c>
      <c r="AH156" s="37">
        <f t="shared" si="20"/>
        <v>20.172000000000001</v>
      </c>
      <c r="AJ156" s="97">
        <v>45985</v>
      </c>
      <c r="AK156" t="s">
        <v>2960</v>
      </c>
      <c r="AL156" t="s">
        <v>5</v>
      </c>
      <c r="AN156" t="s">
        <v>3031</v>
      </c>
      <c r="AO156" t="s">
        <v>3031</v>
      </c>
      <c r="AP156" s="56">
        <v>2360</v>
      </c>
      <c r="AR156" s="38"/>
      <c r="AU156" s="38"/>
      <c r="AY156" s="81"/>
      <c r="AZ156" s="81"/>
      <c r="BA156" s="48"/>
      <c r="BC156" s="38"/>
    </row>
    <row r="157" spans="22:55" ht="16" x14ac:dyDescent="0.4">
      <c r="V157" s="97">
        <v>45979</v>
      </c>
      <c r="W157">
        <v>220075</v>
      </c>
      <c r="X157" s="101" t="s">
        <v>36</v>
      </c>
      <c r="Y157" s="105"/>
      <c r="Z157" s="50">
        <v>3.9583333333333331E-2</v>
      </c>
      <c r="AA157" s="50">
        <v>0.10625</v>
      </c>
      <c r="AB157" s="16"/>
      <c r="AC157" s="16"/>
      <c r="AD157" s="37">
        <v>21438</v>
      </c>
      <c r="AE157" s="93">
        <f t="shared" si="18"/>
        <v>21.437999999999999</v>
      </c>
      <c r="AF157" s="16">
        <v>14.13</v>
      </c>
      <c r="AG157" s="103">
        <f t="shared" si="19"/>
        <v>14</v>
      </c>
      <c r="AH157" s="37">
        <f t="shared" si="20"/>
        <v>21.437999999999999</v>
      </c>
      <c r="AJ157" s="97"/>
      <c r="AP157" s="56"/>
      <c r="AR157" s="38"/>
      <c r="AU157" s="38"/>
      <c r="AY157" s="81"/>
      <c r="AZ157" s="81"/>
      <c r="BA157" s="48"/>
      <c r="BC157" s="38"/>
    </row>
    <row r="158" spans="22:55" ht="16" x14ac:dyDescent="0.4">
      <c r="V158" s="97">
        <v>45979</v>
      </c>
      <c r="W158">
        <v>220080</v>
      </c>
      <c r="X158" s="101" t="s">
        <v>36</v>
      </c>
      <c r="Y158" s="105"/>
      <c r="Z158" s="50">
        <v>9.0972222222222218E-2</v>
      </c>
      <c r="AA158" s="50">
        <v>0.15763888888888888</v>
      </c>
      <c r="AB158" s="16"/>
      <c r="AC158" s="16"/>
      <c r="AD158" s="37">
        <v>18738</v>
      </c>
      <c r="AE158" s="93">
        <f t="shared" si="18"/>
        <v>18.738</v>
      </c>
      <c r="AF158" s="16">
        <v>14.62</v>
      </c>
      <c r="AG158" s="103">
        <f t="shared" si="19"/>
        <v>14</v>
      </c>
      <c r="AH158" s="37">
        <f t="shared" si="20"/>
        <v>18.738</v>
      </c>
      <c r="AJ158" s="97"/>
      <c r="AP158" s="56"/>
      <c r="AR158" s="38"/>
      <c r="AU158" s="38"/>
      <c r="AY158" s="81"/>
      <c r="AZ158" s="81"/>
      <c r="BA158" s="48"/>
      <c r="BC158" s="38"/>
    </row>
    <row r="159" spans="22:55" ht="16" x14ac:dyDescent="0.4">
      <c r="V159" s="97">
        <v>45979</v>
      </c>
      <c r="W159">
        <v>220090</v>
      </c>
      <c r="X159" s="101" t="s">
        <v>36</v>
      </c>
      <c r="Y159" s="105"/>
      <c r="Z159" s="50">
        <v>0.14861111111111111</v>
      </c>
      <c r="AA159" s="50">
        <v>0.21805555555555556</v>
      </c>
      <c r="AB159" s="16"/>
      <c r="AC159" s="16"/>
      <c r="AD159" s="37">
        <v>18972</v>
      </c>
      <c r="AE159" s="93">
        <f t="shared" si="18"/>
        <v>18.972000000000001</v>
      </c>
      <c r="AF159" s="16">
        <v>15.05</v>
      </c>
      <c r="AG159" s="103">
        <f t="shared" si="19"/>
        <v>14</v>
      </c>
      <c r="AH159" s="37">
        <f t="shared" si="20"/>
        <v>18.972000000000001</v>
      </c>
      <c r="AJ159" s="38"/>
      <c r="AP159" s="56"/>
      <c r="AQ159" s="39"/>
      <c r="AR159" s="38"/>
      <c r="AU159" s="38"/>
      <c r="AY159" s="81"/>
      <c r="AZ159" s="81"/>
      <c r="BA159" s="48"/>
      <c r="BB159" s="39"/>
      <c r="BC159" s="38"/>
    </row>
    <row r="160" spans="22:55" ht="16" x14ac:dyDescent="0.4">
      <c r="V160" s="97">
        <v>45979</v>
      </c>
      <c r="W160">
        <v>220142</v>
      </c>
      <c r="X160" s="101" t="s">
        <v>36</v>
      </c>
      <c r="Y160" s="105"/>
      <c r="Z160" s="50">
        <v>9.1932870370370359E-2</v>
      </c>
      <c r="AA160" s="50">
        <v>0.32218750000000002</v>
      </c>
      <c r="AB160" s="16"/>
      <c r="AC160" s="16"/>
      <c r="AD160" s="37">
        <v>21642</v>
      </c>
      <c r="AE160" s="93">
        <f t="shared" si="18"/>
        <v>21.641999999999999</v>
      </c>
      <c r="AF160" s="16">
        <v>14.63</v>
      </c>
      <c r="AG160" s="103">
        <f t="shared" si="19"/>
        <v>14</v>
      </c>
      <c r="AH160" s="37">
        <f t="shared" si="20"/>
        <v>21.641999999999999</v>
      </c>
      <c r="AJ160" s="38"/>
      <c r="AP160" s="56"/>
      <c r="AR160" s="38"/>
      <c r="AU160" s="38"/>
      <c r="AY160" s="81"/>
      <c r="AZ160" s="81"/>
      <c r="BA160" s="48"/>
      <c r="BC160" s="38"/>
    </row>
    <row r="161" spans="22:55" ht="16" x14ac:dyDescent="0.4">
      <c r="V161" s="97">
        <v>45979</v>
      </c>
      <c r="W161">
        <v>220206</v>
      </c>
      <c r="X161" s="101" t="s">
        <v>36</v>
      </c>
      <c r="Y161" s="105"/>
      <c r="Z161" s="50">
        <v>0.25946759259259261</v>
      </c>
      <c r="AA161" s="50">
        <v>0.38322916666666668</v>
      </c>
      <c r="AB161" s="16"/>
      <c r="AC161" s="16"/>
      <c r="AD161" s="37">
        <v>18356</v>
      </c>
      <c r="AE161" s="93">
        <f t="shared" si="18"/>
        <v>18.356000000000002</v>
      </c>
      <c r="AF161" s="16">
        <v>16.309999999999999</v>
      </c>
      <c r="AG161" s="103">
        <f t="shared" si="19"/>
        <v>14</v>
      </c>
      <c r="AH161" s="37">
        <f t="shared" si="20"/>
        <v>18.356000000000002</v>
      </c>
      <c r="AJ161" s="38"/>
      <c r="AP161" s="56"/>
      <c r="AR161" s="38"/>
      <c r="AU161" s="38"/>
      <c r="AY161" s="81"/>
      <c r="AZ161" s="81"/>
      <c r="BA161" s="48"/>
      <c r="BC161" s="38"/>
    </row>
    <row r="162" spans="22:55" ht="16" x14ac:dyDescent="0.4">
      <c r="V162" s="97">
        <v>45979</v>
      </c>
      <c r="W162">
        <v>220263</v>
      </c>
      <c r="X162" s="101" t="s">
        <v>36</v>
      </c>
      <c r="Y162" s="105"/>
      <c r="Z162" s="50">
        <v>9.1747685185185182E-2</v>
      </c>
      <c r="AA162" s="50">
        <v>0.45343749999999999</v>
      </c>
      <c r="AB162" s="16"/>
      <c r="AC162" s="16"/>
      <c r="AD162" s="37">
        <v>21252</v>
      </c>
      <c r="AE162" s="93">
        <f t="shared" si="18"/>
        <v>21.251999999999999</v>
      </c>
      <c r="AF162" s="16">
        <v>15.08</v>
      </c>
      <c r="AG162" s="103">
        <f t="shared" si="19"/>
        <v>14</v>
      </c>
      <c r="AH162" s="37">
        <f t="shared" si="20"/>
        <v>21.251999999999999</v>
      </c>
      <c r="AJ162" s="38"/>
      <c r="AP162" s="56"/>
      <c r="AR162" s="38"/>
      <c r="AU162" s="38"/>
      <c r="AY162" s="81"/>
      <c r="AZ162" s="81"/>
      <c r="BA162" s="48"/>
      <c r="BC162" s="38"/>
    </row>
    <row r="163" spans="22:55" ht="16" x14ac:dyDescent="0.4">
      <c r="V163" s="97">
        <v>45979</v>
      </c>
      <c r="W163">
        <v>220294</v>
      </c>
      <c r="X163" s="101" t="s">
        <v>36</v>
      </c>
      <c r="Y163" s="105"/>
      <c r="Z163" s="50">
        <v>0.64143518518518516</v>
      </c>
      <c r="AA163" s="50">
        <v>0.53217592592592589</v>
      </c>
      <c r="AB163" s="16"/>
      <c r="AC163" s="16"/>
      <c r="AD163" s="37">
        <v>20996</v>
      </c>
      <c r="AE163" s="93">
        <f t="shared" si="18"/>
        <v>20.995999999999999</v>
      </c>
      <c r="AF163" s="16">
        <v>16.41</v>
      </c>
      <c r="AG163" s="103">
        <f t="shared" si="19"/>
        <v>14</v>
      </c>
      <c r="AH163" s="37">
        <f t="shared" si="20"/>
        <v>20.995999999999999</v>
      </c>
      <c r="AJ163" s="38"/>
      <c r="AP163" s="56"/>
      <c r="AR163" s="38"/>
      <c r="AU163" s="38"/>
      <c r="AY163" s="81"/>
      <c r="AZ163" s="81"/>
      <c r="BA163" s="48"/>
      <c r="BC163" s="38"/>
    </row>
    <row r="164" spans="22:55" ht="16" x14ac:dyDescent="0.4">
      <c r="V164" s="97">
        <v>45979</v>
      </c>
      <c r="W164">
        <v>220322</v>
      </c>
      <c r="X164" s="101" t="s">
        <v>36</v>
      </c>
      <c r="Y164" s="105"/>
      <c r="Z164" s="50">
        <v>0.50276620370370373</v>
      </c>
      <c r="AA164" s="50">
        <v>0.58429398148148148</v>
      </c>
      <c r="AB164" s="16"/>
      <c r="AC164" s="16"/>
      <c r="AD164" s="37">
        <v>20852</v>
      </c>
      <c r="AE164" s="93">
        <f t="shared" si="18"/>
        <v>20.852</v>
      </c>
      <c r="AF164" s="16">
        <v>14.95</v>
      </c>
      <c r="AG164" s="103">
        <f t="shared" si="19"/>
        <v>14</v>
      </c>
      <c r="AH164" s="37">
        <f t="shared" si="20"/>
        <v>20.852</v>
      </c>
      <c r="AJ164" s="38"/>
      <c r="AP164" s="56"/>
      <c r="AR164" s="38"/>
      <c r="AU164" s="38"/>
      <c r="AY164" s="39"/>
      <c r="AZ164" s="39"/>
      <c r="BA164" s="48"/>
      <c r="BC164" s="38"/>
    </row>
    <row r="165" spans="22:55" ht="16" x14ac:dyDescent="0.4">
      <c r="V165" s="97">
        <v>45979</v>
      </c>
      <c r="W165">
        <v>220364</v>
      </c>
      <c r="X165" s="101" t="s">
        <v>36</v>
      </c>
      <c r="Y165" s="105"/>
      <c r="Z165" s="50">
        <v>0.16350694444444444</v>
      </c>
      <c r="AA165" s="50">
        <v>0.64534722222222218</v>
      </c>
      <c r="AB165" s="16"/>
      <c r="AC165" s="16"/>
      <c r="AD165" s="37">
        <v>21606</v>
      </c>
      <c r="AE165" s="93">
        <f t="shared" si="18"/>
        <v>21.606000000000002</v>
      </c>
      <c r="AF165" s="16">
        <v>15.22</v>
      </c>
      <c r="AG165" s="103">
        <f t="shared" si="19"/>
        <v>14</v>
      </c>
      <c r="AH165" s="37">
        <f t="shared" si="20"/>
        <v>21.606000000000002</v>
      </c>
      <c r="AJ165" s="38"/>
      <c r="AP165" s="56"/>
      <c r="AR165" s="38"/>
      <c r="AU165" s="38"/>
      <c r="AY165" s="39"/>
      <c r="AZ165" s="39"/>
      <c r="BA165" s="48"/>
      <c r="BC165" s="38"/>
    </row>
    <row r="166" spans="22:55" ht="16" x14ac:dyDescent="0.4">
      <c r="V166" s="97">
        <v>45979</v>
      </c>
      <c r="W166">
        <v>220407</v>
      </c>
      <c r="X166" s="101" t="s">
        <v>36</v>
      </c>
      <c r="Y166" s="105"/>
      <c r="Z166" s="50">
        <v>0.6422106481481481</v>
      </c>
      <c r="AA166" s="50">
        <v>0.70716435185185189</v>
      </c>
      <c r="AB166" s="16"/>
      <c r="AC166" s="16"/>
      <c r="AD166" s="37">
        <v>21130</v>
      </c>
      <c r="AE166" s="93">
        <f t="shared" si="18"/>
        <v>21.13</v>
      </c>
      <c r="AF166" s="16">
        <v>14.81</v>
      </c>
      <c r="AG166" s="103">
        <f t="shared" si="19"/>
        <v>14</v>
      </c>
      <c r="AH166" s="37">
        <f t="shared" si="20"/>
        <v>21.13</v>
      </c>
      <c r="AJ166" s="38"/>
      <c r="AP166" s="56"/>
      <c r="AR166" s="38"/>
      <c r="AU166" s="38"/>
      <c r="AY166" s="39"/>
      <c r="AZ166" s="39"/>
      <c r="BA166" s="48"/>
      <c r="BC166" s="38"/>
    </row>
    <row r="167" spans="22:55" ht="16" x14ac:dyDescent="0.4">
      <c r="V167" s="97">
        <v>45979</v>
      </c>
      <c r="W167">
        <v>220433</v>
      </c>
      <c r="X167" s="101" t="s">
        <v>36</v>
      </c>
      <c r="Y167" s="105"/>
      <c r="Z167" s="50">
        <v>0.6972222222222223</v>
      </c>
      <c r="AA167" s="50">
        <v>0.78819444444444453</v>
      </c>
      <c r="AB167" s="16"/>
      <c r="AC167" s="16"/>
      <c r="AD167" s="37">
        <v>21766</v>
      </c>
      <c r="AE167" s="93">
        <f t="shared" si="18"/>
        <v>21.765999999999998</v>
      </c>
      <c r="AF167" s="16">
        <v>13.84</v>
      </c>
      <c r="AG167" s="103">
        <f t="shared" si="19"/>
        <v>13.84</v>
      </c>
      <c r="AH167" s="37">
        <f t="shared" si="20"/>
        <v>21.517245714285711</v>
      </c>
      <c r="AJ167" s="38"/>
      <c r="AP167" s="56"/>
      <c r="AR167" s="38"/>
      <c r="AU167" s="38"/>
      <c r="AY167" s="39"/>
      <c r="AZ167" s="39"/>
      <c r="BA167" s="48"/>
      <c r="BC167" s="38"/>
    </row>
    <row r="168" spans="22:55" ht="16" x14ac:dyDescent="0.4">
      <c r="V168" s="97">
        <v>45979</v>
      </c>
      <c r="W168">
        <v>220465</v>
      </c>
      <c r="X168" s="101" t="s">
        <v>36</v>
      </c>
      <c r="Y168" s="105"/>
      <c r="Z168" s="50">
        <v>0.75555555555555554</v>
      </c>
      <c r="AA168" s="50">
        <v>0.85625000000000007</v>
      </c>
      <c r="AB168" s="16"/>
      <c r="AC168" s="16"/>
      <c r="AD168" s="37">
        <v>22010</v>
      </c>
      <c r="AE168" s="93">
        <f t="shared" si="18"/>
        <v>22.01</v>
      </c>
      <c r="AF168" s="16">
        <v>14.02</v>
      </c>
      <c r="AG168" s="103">
        <f t="shared" si="19"/>
        <v>14</v>
      </c>
      <c r="AH168" s="37">
        <f t="shared" si="20"/>
        <v>22.01</v>
      </c>
      <c r="AJ168" s="38"/>
      <c r="AP168" s="56"/>
      <c r="AR168" s="38"/>
      <c r="AU168" s="38"/>
      <c r="AY168" s="39"/>
      <c r="AZ168" s="39"/>
      <c r="BA168" s="48"/>
      <c r="BC168" s="38"/>
    </row>
    <row r="169" spans="22:55" ht="16" x14ac:dyDescent="0.4">
      <c r="V169" s="97">
        <v>45979</v>
      </c>
      <c r="W169">
        <v>220494</v>
      </c>
      <c r="X169" s="101" t="s">
        <v>36</v>
      </c>
      <c r="Y169" s="105"/>
      <c r="Z169" s="50">
        <v>0.6972222222222223</v>
      </c>
      <c r="AA169" s="50">
        <v>0.92152777777777783</v>
      </c>
      <c r="AB169" s="16"/>
      <c r="AC169" s="16"/>
      <c r="AD169" s="37">
        <v>22646</v>
      </c>
      <c r="AE169" s="93">
        <f t="shared" si="18"/>
        <v>22.646000000000001</v>
      </c>
      <c r="AF169" s="16">
        <v>15.52</v>
      </c>
      <c r="AG169" s="103">
        <f t="shared" si="19"/>
        <v>14</v>
      </c>
      <c r="AH169" s="37">
        <f t="shared" si="20"/>
        <v>22.645999999999997</v>
      </c>
      <c r="AJ169" s="38"/>
      <c r="AP169" s="56"/>
      <c r="AR169" s="38"/>
      <c r="AU169" s="38"/>
      <c r="AY169" s="39"/>
      <c r="AZ169" s="39"/>
      <c r="BA169" s="48"/>
      <c r="BC169" s="38"/>
    </row>
    <row r="170" spans="22:55" ht="16" x14ac:dyDescent="0.4">
      <c r="V170" s="97">
        <v>45980</v>
      </c>
      <c r="W170">
        <v>220505</v>
      </c>
      <c r="X170" s="101" t="s">
        <v>36</v>
      </c>
      <c r="Y170" s="105"/>
      <c r="Z170" s="50">
        <v>0.75486111111111109</v>
      </c>
      <c r="AA170" s="50">
        <v>0.99236111111111114</v>
      </c>
      <c r="AB170" s="16"/>
      <c r="AC170" s="16"/>
      <c r="AD170" s="37">
        <v>21952</v>
      </c>
      <c r="AE170" s="93">
        <f t="shared" si="18"/>
        <v>21.952000000000002</v>
      </c>
      <c r="AF170" s="16">
        <v>15.81</v>
      </c>
      <c r="AG170" s="103">
        <f t="shared" si="19"/>
        <v>14</v>
      </c>
      <c r="AH170" s="37">
        <f t="shared" si="20"/>
        <v>21.952000000000002</v>
      </c>
      <c r="AJ170" s="38"/>
      <c r="AP170" s="56"/>
      <c r="AR170" s="38"/>
      <c r="AU170" s="38"/>
      <c r="AY170" s="39"/>
      <c r="AZ170" s="39"/>
      <c r="BA170" s="48"/>
      <c r="BC170" s="38"/>
    </row>
    <row r="171" spans="22:55" ht="16" x14ac:dyDescent="0.4">
      <c r="V171" s="97">
        <v>45980</v>
      </c>
      <c r="W171">
        <v>220516</v>
      </c>
      <c r="X171" s="101" t="s">
        <v>36</v>
      </c>
      <c r="Y171" s="105"/>
      <c r="Z171" s="50">
        <v>0.69652777777777775</v>
      </c>
      <c r="AA171" s="50">
        <v>4.9999999999999996E-2</v>
      </c>
      <c r="AB171" s="16"/>
      <c r="AC171" s="16"/>
      <c r="AD171" s="37">
        <v>22548</v>
      </c>
      <c r="AE171" s="93">
        <f t="shared" si="18"/>
        <v>22.547999999999998</v>
      </c>
      <c r="AF171" s="16">
        <v>14.77</v>
      </c>
      <c r="AG171" s="103">
        <f t="shared" si="19"/>
        <v>14</v>
      </c>
      <c r="AH171" s="37">
        <f t="shared" si="20"/>
        <v>22.547999999999998</v>
      </c>
      <c r="AJ171" s="38"/>
      <c r="AP171" s="56"/>
      <c r="AR171" s="38"/>
      <c r="AU171" s="38"/>
      <c r="AY171" s="39"/>
      <c r="AZ171" s="39"/>
      <c r="BA171" s="48"/>
      <c r="BC171" s="38"/>
    </row>
    <row r="172" spans="22:55" ht="16" x14ac:dyDescent="0.4">
      <c r="V172" s="97">
        <v>45980</v>
      </c>
      <c r="W172">
        <v>220529</v>
      </c>
      <c r="X172" s="101" t="s">
        <v>36</v>
      </c>
      <c r="Y172" s="105"/>
      <c r="Z172" s="50">
        <v>0.75486111111111109</v>
      </c>
      <c r="AA172" s="50">
        <v>0.10833333333333334</v>
      </c>
      <c r="AB172" s="16"/>
      <c r="AC172" s="16"/>
      <c r="AD172" s="37">
        <v>22158</v>
      </c>
      <c r="AE172" s="93">
        <f t="shared" si="18"/>
        <v>22.158000000000001</v>
      </c>
      <c r="AF172" s="16">
        <v>14.63</v>
      </c>
      <c r="AG172" s="103">
        <f t="shared" si="19"/>
        <v>14</v>
      </c>
      <c r="AH172" s="37">
        <f t="shared" si="20"/>
        <v>22.157999999999998</v>
      </c>
      <c r="AJ172" s="38"/>
      <c r="AP172" s="56"/>
      <c r="AR172" s="38"/>
      <c r="AU172" s="38"/>
      <c r="AY172" s="39"/>
      <c r="AZ172" s="39"/>
      <c r="BA172" s="48"/>
      <c r="BC172" s="38"/>
    </row>
    <row r="173" spans="22:55" ht="16" x14ac:dyDescent="0.4">
      <c r="V173" s="97">
        <v>45980</v>
      </c>
      <c r="W173">
        <v>220535</v>
      </c>
      <c r="X173" s="101" t="s">
        <v>36</v>
      </c>
      <c r="Y173" s="105"/>
      <c r="Z173" s="50">
        <v>8.9583333333333334E-2</v>
      </c>
      <c r="AA173" s="50">
        <v>0.15833333333333333</v>
      </c>
      <c r="AB173" s="16"/>
      <c r="AC173" s="16"/>
      <c r="AD173" s="37">
        <v>21332</v>
      </c>
      <c r="AE173" s="93">
        <f t="shared" si="18"/>
        <v>21.332000000000001</v>
      </c>
      <c r="AF173" s="16">
        <v>15.05</v>
      </c>
      <c r="AG173" s="103">
        <f t="shared" si="19"/>
        <v>14</v>
      </c>
      <c r="AH173" s="37">
        <f t="shared" si="20"/>
        <v>21.332000000000001</v>
      </c>
      <c r="AJ173" s="38"/>
      <c r="AP173" s="56"/>
      <c r="AR173" s="38"/>
      <c r="AU173" s="38"/>
      <c r="AY173" s="39"/>
      <c r="AZ173" s="39"/>
      <c r="BA173" s="48"/>
      <c r="BC173" s="38"/>
    </row>
    <row r="174" spans="22:55" ht="16" x14ac:dyDescent="0.4">
      <c r="V174" s="97">
        <v>45980</v>
      </c>
      <c r="W174">
        <v>220542</v>
      </c>
      <c r="X174" s="101" t="s">
        <v>36</v>
      </c>
      <c r="Y174" s="105"/>
      <c r="Z174" s="50">
        <v>0.13854166666666667</v>
      </c>
      <c r="AA174" s="50">
        <v>0.26725694444444442</v>
      </c>
      <c r="AB174" s="16"/>
      <c r="AC174" s="16"/>
      <c r="AD174" s="37">
        <v>14454</v>
      </c>
      <c r="AE174" s="93">
        <f t="shared" si="18"/>
        <v>14.454000000000001</v>
      </c>
      <c r="AF174" s="16">
        <v>13.81</v>
      </c>
      <c r="AG174" s="103">
        <f t="shared" si="19"/>
        <v>13.81</v>
      </c>
      <c r="AH174" s="37">
        <f t="shared" si="20"/>
        <v>14.257838571428573</v>
      </c>
      <c r="AJ174" s="38"/>
      <c r="AP174" s="56"/>
      <c r="AR174" s="38"/>
      <c r="AU174" s="38"/>
      <c r="AY174" s="39"/>
      <c r="AZ174" s="39"/>
      <c r="BA174" s="48"/>
      <c r="BC174" s="38"/>
    </row>
    <row r="175" spans="22:55" ht="16" x14ac:dyDescent="0.4">
      <c r="V175" s="97">
        <v>45980</v>
      </c>
      <c r="W175" s="16">
        <v>220632</v>
      </c>
      <c r="X175" s="101" t="s">
        <v>36</v>
      </c>
      <c r="Y175" s="105"/>
      <c r="Z175" s="50">
        <v>9.043981481481482E-2</v>
      </c>
      <c r="AA175" s="50">
        <v>0.37049768518518517</v>
      </c>
      <c r="AD175" s="37">
        <v>19746</v>
      </c>
      <c r="AE175" s="93">
        <f t="shared" si="18"/>
        <v>19.745999999999999</v>
      </c>
      <c r="AF175">
        <v>15.02</v>
      </c>
      <c r="AG175" s="103">
        <f t="shared" si="19"/>
        <v>14</v>
      </c>
      <c r="AH175" s="37">
        <f t="shared" si="20"/>
        <v>19.745999999999999</v>
      </c>
      <c r="AJ175" s="38"/>
      <c r="AP175" s="56"/>
      <c r="AR175" s="38"/>
      <c r="AU175" s="38"/>
      <c r="AY175" s="39"/>
      <c r="AZ175" s="39"/>
      <c r="BA175" s="48"/>
      <c r="BC175" s="38"/>
    </row>
    <row r="176" spans="22:55" ht="16" x14ac:dyDescent="0.4">
      <c r="V176" s="97">
        <v>45980</v>
      </c>
      <c r="W176" s="16">
        <v>220661</v>
      </c>
      <c r="X176" s="101" t="s">
        <v>36</v>
      </c>
      <c r="Y176" s="105"/>
      <c r="Z176" s="50">
        <v>0.13822916666666665</v>
      </c>
      <c r="AA176" s="50">
        <v>0.41799768518518521</v>
      </c>
      <c r="AD176" s="37">
        <v>20504</v>
      </c>
      <c r="AE176" s="93">
        <f t="shared" si="18"/>
        <v>20.504000000000001</v>
      </c>
      <c r="AF176">
        <v>14.73</v>
      </c>
      <c r="AG176" s="103">
        <f t="shared" si="19"/>
        <v>14</v>
      </c>
      <c r="AH176" s="37">
        <f t="shared" si="20"/>
        <v>20.504000000000001</v>
      </c>
      <c r="AJ176" s="38"/>
      <c r="AP176" s="56"/>
      <c r="AR176" s="38"/>
      <c r="AU176" s="38"/>
      <c r="AY176" s="39"/>
      <c r="AZ176" s="39"/>
      <c r="BA176" s="48"/>
      <c r="BC176" s="38"/>
    </row>
    <row r="177" spans="22:56" ht="16" x14ac:dyDescent="0.4">
      <c r="V177" s="97">
        <v>45980</v>
      </c>
      <c r="W177" s="16">
        <v>220701</v>
      </c>
      <c r="X177" s="101" t="s">
        <v>36</v>
      </c>
      <c r="Y177" s="105"/>
      <c r="Z177" s="50">
        <v>0.25827546296296294</v>
      </c>
      <c r="AA177" s="50">
        <v>0.49085648148148148</v>
      </c>
      <c r="AD177" s="37">
        <v>22136</v>
      </c>
      <c r="AE177" s="93">
        <f t="shared" si="18"/>
        <v>22.135999999999999</v>
      </c>
      <c r="AF177">
        <v>13.99</v>
      </c>
      <c r="AG177" s="103">
        <f t="shared" si="19"/>
        <v>13.99</v>
      </c>
      <c r="AH177" s="37">
        <f t="shared" si="20"/>
        <v>22.120188571428571</v>
      </c>
      <c r="AJ177" s="38"/>
      <c r="AP177" s="56"/>
      <c r="AR177" s="38"/>
      <c r="AU177" s="38"/>
      <c r="AY177" s="39"/>
      <c r="AZ177" s="39"/>
      <c r="BA177" s="48"/>
      <c r="BC177" s="38"/>
    </row>
    <row r="178" spans="22:56" ht="16" x14ac:dyDescent="0.4">
      <c r="V178" s="97">
        <v>45980</v>
      </c>
      <c r="W178" s="16">
        <v>220740</v>
      </c>
      <c r="X178" s="101" t="s">
        <v>36</v>
      </c>
      <c r="Y178" s="105"/>
      <c r="Z178" s="50">
        <v>0.13837962962962963</v>
      </c>
      <c r="AA178" s="50">
        <v>0.55666666666666664</v>
      </c>
      <c r="AD178" s="37">
        <v>21430</v>
      </c>
      <c r="AE178" s="93">
        <f t="shared" si="18"/>
        <v>21.43</v>
      </c>
      <c r="AF178">
        <v>14.74</v>
      </c>
      <c r="AG178" s="103">
        <f t="shared" si="19"/>
        <v>14</v>
      </c>
      <c r="AH178" s="37">
        <f t="shared" si="20"/>
        <v>21.43</v>
      </c>
      <c r="AJ178" s="38"/>
      <c r="AP178" s="56"/>
      <c r="AR178" s="38"/>
      <c r="AU178" s="38"/>
      <c r="AY178" s="39"/>
      <c r="AZ178" s="39"/>
      <c r="BA178" s="48"/>
      <c r="BC178" s="38"/>
    </row>
    <row r="179" spans="22:56" ht="16" x14ac:dyDescent="0.4">
      <c r="V179" s="97">
        <v>45980</v>
      </c>
      <c r="W179" s="16">
        <v>220777</v>
      </c>
      <c r="X179" s="101" t="s">
        <v>36</v>
      </c>
      <c r="Y179" s="105"/>
      <c r="Z179" s="50">
        <v>9.0254629629629643E-2</v>
      </c>
      <c r="AA179" s="50">
        <v>0.61743055555555559</v>
      </c>
      <c r="AD179" s="37">
        <v>22102</v>
      </c>
      <c r="AE179" s="93">
        <f t="shared" si="18"/>
        <v>22.102</v>
      </c>
      <c r="AF179">
        <v>13.95</v>
      </c>
      <c r="AG179" s="103">
        <f t="shared" si="19"/>
        <v>13.95</v>
      </c>
      <c r="AH179" s="37">
        <f t="shared" si="20"/>
        <v>22.023064285714288</v>
      </c>
      <c r="AJ179" s="38"/>
      <c r="AP179" s="56"/>
      <c r="AR179" s="38"/>
      <c r="AU179" s="38"/>
      <c r="AW179" s="16"/>
      <c r="AY179" s="39"/>
      <c r="AZ179" s="39"/>
      <c r="BA179" s="48"/>
      <c r="BC179" s="38"/>
    </row>
    <row r="180" spans="22:56" ht="16" x14ac:dyDescent="0.4">
      <c r="V180" s="97">
        <v>45980</v>
      </c>
      <c r="W180" s="16">
        <v>220816</v>
      </c>
      <c r="X180" s="101" t="s">
        <v>36</v>
      </c>
      <c r="Y180" s="105"/>
      <c r="Z180" s="50">
        <v>0.61106481481481478</v>
      </c>
      <c r="AA180" s="50">
        <v>0.67798611111111118</v>
      </c>
      <c r="AD180" s="37">
        <v>20804</v>
      </c>
      <c r="AE180" s="93">
        <f t="shared" si="18"/>
        <v>20.803999999999998</v>
      </c>
      <c r="AF180">
        <v>15.49</v>
      </c>
      <c r="AG180" s="103">
        <f t="shared" si="19"/>
        <v>14</v>
      </c>
      <c r="AH180" s="37">
        <f t="shared" si="20"/>
        <v>20.803999999999998</v>
      </c>
      <c r="AJ180" s="38"/>
      <c r="AP180" s="56"/>
      <c r="AR180" s="38"/>
      <c r="AU180" s="38"/>
      <c r="AW180" s="16"/>
      <c r="AY180" s="39"/>
      <c r="AZ180" s="39"/>
      <c r="BA180" s="48"/>
      <c r="BC180" s="38"/>
    </row>
    <row r="181" spans="22:56" ht="16" x14ac:dyDescent="0.4">
      <c r="V181" s="97">
        <v>45980</v>
      </c>
      <c r="W181" s="16">
        <v>220838</v>
      </c>
      <c r="X181" s="101" t="s">
        <v>36</v>
      </c>
      <c r="Y181" s="105"/>
      <c r="Z181" s="50">
        <v>0.6750694444444445</v>
      </c>
      <c r="AA181" s="50">
        <v>0.72043981481481489</v>
      </c>
      <c r="AD181" s="37">
        <v>19528</v>
      </c>
      <c r="AE181" s="93">
        <f t="shared" si="18"/>
        <v>19.527999999999999</v>
      </c>
      <c r="AF181">
        <v>15.59</v>
      </c>
      <c r="AG181" s="103">
        <f t="shared" si="19"/>
        <v>14</v>
      </c>
      <c r="AH181" s="37">
        <f t="shared" si="20"/>
        <v>19.527999999999999</v>
      </c>
      <c r="AJ181" s="38"/>
      <c r="AL181" s="16"/>
      <c r="AN181" s="39"/>
      <c r="AO181" s="39"/>
      <c r="AP181" s="48"/>
      <c r="AR181" s="38"/>
      <c r="AU181" s="38"/>
      <c r="AW181" s="16"/>
      <c r="AY181" s="39"/>
      <c r="AZ181" s="39"/>
      <c r="BA181" s="48"/>
      <c r="BC181" s="38"/>
    </row>
    <row r="182" spans="22:56" ht="16" x14ac:dyDescent="0.4">
      <c r="V182" s="97">
        <v>45980</v>
      </c>
      <c r="W182" s="16">
        <v>220849</v>
      </c>
      <c r="X182" s="101" t="s">
        <v>36</v>
      </c>
      <c r="Y182" s="105"/>
      <c r="Z182" s="50">
        <v>0.61111111111111105</v>
      </c>
      <c r="AA182" s="50">
        <v>0.77430555555555547</v>
      </c>
      <c r="AD182" s="37">
        <v>20814</v>
      </c>
      <c r="AE182" s="93">
        <f t="shared" si="18"/>
        <v>20.814</v>
      </c>
      <c r="AF182">
        <v>14.41</v>
      </c>
      <c r="AG182" s="103">
        <f t="shared" si="19"/>
        <v>14</v>
      </c>
      <c r="AH182" s="37">
        <f t="shared" si="20"/>
        <v>20.814</v>
      </c>
      <c r="AJ182" s="38"/>
      <c r="AL182" s="16"/>
      <c r="AN182" s="39"/>
      <c r="AO182" s="39"/>
      <c r="AP182" s="48"/>
      <c r="AR182" s="38"/>
      <c r="AU182" s="38"/>
      <c r="AW182" s="16"/>
      <c r="AY182" s="39"/>
      <c r="AZ182" s="39"/>
      <c r="BA182" s="48"/>
      <c r="BC182" s="38"/>
    </row>
    <row r="183" spans="22:56" ht="16" x14ac:dyDescent="0.4">
      <c r="V183" s="97">
        <v>45980</v>
      </c>
      <c r="W183" s="16">
        <v>220874</v>
      </c>
      <c r="X183" s="101" t="s">
        <v>36</v>
      </c>
      <c r="Y183" s="105"/>
      <c r="Z183" s="50">
        <v>0.67499999999999993</v>
      </c>
      <c r="AA183" s="50">
        <v>0.83888888888888891</v>
      </c>
      <c r="AD183" s="37">
        <v>22320</v>
      </c>
      <c r="AE183" s="93">
        <f t="shared" si="18"/>
        <v>22.32</v>
      </c>
      <c r="AF183">
        <v>15.31</v>
      </c>
      <c r="AG183" s="103">
        <f t="shared" si="19"/>
        <v>14</v>
      </c>
      <c r="AH183" s="37">
        <f t="shared" si="20"/>
        <v>22.32</v>
      </c>
      <c r="AJ183" s="38"/>
      <c r="AL183" s="16"/>
      <c r="AN183" s="39"/>
      <c r="AO183" s="39"/>
      <c r="AP183" s="48"/>
      <c r="AR183" s="38"/>
      <c r="AU183" s="38"/>
      <c r="AW183" s="16"/>
      <c r="AY183" s="39"/>
      <c r="AZ183" s="39"/>
      <c r="BA183" s="48"/>
      <c r="BC183" s="38"/>
    </row>
    <row r="184" spans="22:56" ht="16" x14ac:dyDescent="0.4">
      <c r="V184" s="97">
        <v>45980</v>
      </c>
      <c r="W184" s="16">
        <v>220894</v>
      </c>
      <c r="X184" s="101" t="s">
        <v>36</v>
      </c>
      <c r="Y184" s="105"/>
      <c r="Z184" s="50">
        <v>0.23124999999999998</v>
      </c>
      <c r="AA184" s="50">
        <v>0.89027777777777783</v>
      </c>
      <c r="AD184" s="37">
        <v>21014</v>
      </c>
      <c r="AE184" s="93">
        <f t="shared" si="18"/>
        <v>21.013999999999999</v>
      </c>
      <c r="AF184">
        <v>14.56</v>
      </c>
      <c r="AG184" s="103">
        <f t="shared" si="19"/>
        <v>14</v>
      </c>
      <c r="AH184" s="37">
        <f t="shared" si="20"/>
        <v>21.013999999999999</v>
      </c>
      <c r="AJ184" s="38"/>
      <c r="AL184" s="16"/>
      <c r="AN184" s="39"/>
      <c r="AO184" s="39"/>
      <c r="AP184" s="48"/>
      <c r="AR184" s="38"/>
      <c r="AS184" s="49"/>
      <c r="AU184" s="38"/>
      <c r="AW184" s="16"/>
      <c r="AY184" s="39"/>
      <c r="AZ184" s="39"/>
      <c r="BA184" s="48"/>
      <c r="BC184" s="38"/>
      <c r="BD184" s="49"/>
    </row>
    <row r="185" spans="22:56" ht="16" x14ac:dyDescent="0.4">
      <c r="V185" s="97">
        <v>45980</v>
      </c>
      <c r="W185" s="16">
        <v>220910</v>
      </c>
      <c r="X185" s="101" t="s">
        <v>36</v>
      </c>
      <c r="Y185" s="105"/>
      <c r="Z185" s="50">
        <v>0.67499999999999993</v>
      </c>
      <c r="AA185" s="50">
        <v>0.94652777777777775</v>
      </c>
      <c r="AD185" s="37">
        <v>21692</v>
      </c>
      <c r="AE185" s="93">
        <f t="shared" si="18"/>
        <v>21.692</v>
      </c>
      <c r="AF185">
        <v>15.59</v>
      </c>
      <c r="AG185" s="103">
        <f t="shared" si="19"/>
        <v>14</v>
      </c>
      <c r="AH185" s="37">
        <f t="shared" si="20"/>
        <v>21.692</v>
      </c>
      <c r="AJ185" s="38"/>
      <c r="AL185" s="16"/>
      <c r="AN185" s="39"/>
      <c r="AO185" s="39"/>
      <c r="AP185" s="48"/>
      <c r="AR185" s="38"/>
      <c r="AS185" s="49"/>
      <c r="AU185" s="38"/>
      <c r="AW185" s="16"/>
      <c r="AY185" s="39"/>
      <c r="AZ185" s="39"/>
      <c r="BA185" s="48"/>
      <c r="BC185" s="38"/>
      <c r="BD185" s="49"/>
    </row>
    <row r="186" spans="22:56" ht="16" x14ac:dyDescent="0.4">
      <c r="V186" s="97">
        <v>45981</v>
      </c>
      <c r="W186" s="16">
        <v>220923</v>
      </c>
      <c r="X186" s="101" t="s">
        <v>36</v>
      </c>
      <c r="Y186" s="105"/>
      <c r="Z186" s="50">
        <v>0.92847222222222225</v>
      </c>
      <c r="AA186" s="50">
        <v>2.7083333333333334E-2</v>
      </c>
      <c r="AD186" s="37">
        <v>22160</v>
      </c>
      <c r="AE186" s="93">
        <f t="shared" si="18"/>
        <v>22.16</v>
      </c>
      <c r="AF186">
        <v>15.23</v>
      </c>
      <c r="AG186" s="103">
        <f t="shared" si="19"/>
        <v>14</v>
      </c>
      <c r="AH186" s="37">
        <f t="shared" si="20"/>
        <v>22.16</v>
      </c>
      <c r="AJ186" s="38"/>
      <c r="AL186" s="16"/>
      <c r="AN186" s="39"/>
      <c r="AO186" s="39"/>
      <c r="AP186" s="48"/>
      <c r="AR186" s="38"/>
      <c r="AS186" s="49"/>
      <c r="AU186" s="38"/>
      <c r="AW186" s="16"/>
      <c r="AY186" s="39"/>
      <c r="AZ186" s="39"/>
      <c r="BA186" s="48"/>
      <c r="BC186" s="38"/>
      <c r="BD186" s="49"/>
    </row>
    <row r="187" spans="22:56" ht="16" x14ac:dyDescent="0.4">
      <c r="V187" s="97">
        <v>45981</v>
      </c>
      <c r="W187" s="16">
        <v>220928</v>
      </c>
      <c r="X187" s="101" t="s">
        <v>36</v>
      </c>
      <c r="Y187" s="105"/>
      <c r="Z187" s="50">
        <v>0.97986111111111107</v>
      </c>
      <c r="AA187" s="50">
        <v>7.9861111111111105E-2</v>
      </c>
      <c r="AD187" s="37">
        <v>21132</v>
      </c>
      <c r="AE187" s="93">
        <f t="shared" si="18"/>
        <v>21.132000000000001</v>
      </c>
      <c r="AF187">
        <v>14.66</v>
      </c>
      <c r="AG187" s="103">
        <f t="shared" si="19"/>
        <v>14</v>
      </c>
      <c r="AH187" s="37">
        <f t="shared" si="20"/>
        <v>21.132000000000001</v>
      </c>
      <c r="AJ187" s="38"/>
      <c r="AL187" s="16"/>
      <c r="AN187" s="39"/>
      <c r="AO187" s="39"/>
      <c r="AP187" s="48"/>
      <c r="AR187" s="38"/>
      <c r="AS187" s="49"/>
      <c r="AU187" s="38"/>
      <c r="AW187" s="16"/>
      <c r="AY187" s="39"/>
      <c r="AZ187" s="39"/>
      <c r="BA187" s="48"/>
      <c r="BC187" s="38"/>
      <c r="BD187" s="49"/>
    </row>
    <row r="188" spans="22:56" ht="16" x14ac:dyDescent="0.4">
      <c r="V188" s="97">
        <v>45981</v>
      </c>
      <c r="W188" s="16">
        <v>220932</v>
      </c>
      <c r="X188" s="101" t="s">
        <v>36</v>
      </c>
      <c r="Y188" s="105"/>
      <c r="Z188" s="50">
        <v>0.9291666666666667</v>
      </c>
      <c r="AA188" s="50">
        <v>0.12083333333333333</v>
      </c>
      <c r="AD188" s="37">
        <v>20918</v>
      </c>
      <c r="AE188" s="93">
        <f t="shared" si="18"/>
        <v>20.917999999999999</v>
      </c>
      <c r="AF188">
        <v>15.29</v>
      </c>
      <c r="AG188" s="103">
        <f t="shared" si="19"/>
        <v>14</v>
      </c>
      <c r="AH188" s="37">
        <f t="shared" si="20"/>
        <v>20.917999999999999</v>
      </c>
      <c r="AJ188" s="38"/>
      <c r="AL188" s="16"/>
      <c r="AN188" s="39"/>
      <c r="AO188" s="39"/>
      <c r="AP188" s="48"/>
      <c r="AR188" s="38"/>
      <c r="AS188" s="49"/>
      <c r="AU188" s="38"/>
      <c r="AW188" s="16"/>
      <c r="AY188" s="39"/>
      <c r="AZ188" s="39"/>
      <c r="BA188" s="48"/>
      <c r="BC188" s="38"/>
      <c r="BD188" s="49"/>
    </row>
    <row r="189" spans="22:56" ht="16" x14ac:dyDescent="0.4">
      <c r="V189" s="97">
        <v>45981</v>
      </c>
      <c r="W189" s="16">
        <v>220936</v>
      </c>
      <c r="X189" s="101" t="s">
        <v>36</v>
      </c>
      <c r="Y189" s="105"/>
      <c r="Z189" s="50">
        <v>0.97986111111111107</v>
      </c>
      <c r="AA189" s="50">
        <v>0.16458333333333333</v>
      </c>
      <c r="AD189" s="37">
        <v>15408</v>
      </c>
      <c r="AE189" s="93">
        <f t="shared" si="18"/>
        <v>15.407999999999999</v>
      </c>
      <c r="AF189">
        <v>8.85</v>
      </c>
      <c r="AG189" s="103">
        <f t="shared" si="19"/>
        <v>8.85</v>
      </c>
      <c r="AH189" s="37">
        <f t="shared" si="20"/>
        <v>9.7400571428571414</v>
      </c>
      <c r="AJ189" s="38"/>
      <c r="AL189" s="16"/>
      <c r="AN189" s="39"/>
      <c r="AO189" s="39"/>
      <c r="AP189" s="48"/>
      <c r="AR189" s="38"/>
      <c r="AS189" s="49"/>
      <c r="AU189" s="38"/>
      <c r="AW189" s="16"/>
      <c r="AY189" s="39"/>
      <c r="AZ189" s="39"/>
      <c r="BA189" s="48"/>
      <c r="BC189" s="38"/>
      <c r="BD189" s="49"/>
    </row>
    <row r="190" spans="22:56" ht="16" x14ac:dyDescent="0.4">
      <c r="V190" s="97">
        <v>45981</v>
      </c>
      <c r="W190" s="16">
        <v>221061</v>
      </c>
      <c r="X190" s="101" t="s">
        <v>36</v>
      </c>
      <c r="Y190" s="105"/>
      <c r="Z190" s="50"/>
      <c r="AA190" s="50"/>
      <c r="AD190" s="37">
        <v>20154</v>
      </c>
      <c r="AE190" s="93">
        <f t="shared" si="18"/>
        <v>20.154</v>
      </c>
      <c r="AF190">
        <v>14.45</v>
      </c>
      <c r="AG190" s="103">
        <f t="shared" si="19"/>
        <v>14</v>
      </c>
      <c r="AH190" s="37">
        <f t="shared" si="20"/>
        <v>20.154</v>
      </c>
      <c r="AJ190" s="38"/>
      <c r="AL190" s="16"/>
      <c r="AN190" s="39"/>
      <c r="AO190" s="39"/>
      <c r="AP190" s="48"/>
      <c r="AR190" s="38"/>
      <c r="AS190" s="49"/>
      <c r="AU190" s="38"/>
      <c r="AW190" s="16"/>
      <c r="AY190" s="39"/>
      <c r="AZ190" s="39"/>
      <c r="BA190" s="48"/>
      <c r="BC190" s="38"/>
      <c r="BD190" s="49"/>
    </row>
    <row r="191" spans="22:56" ht="16" x14ac:dyDescent="0.4">
      <c r="V191" s="97">
        <v>45981</v>
      </c>
      <c r="W191" s="16">
        <v>221100</v>
      </c>
      <c r="X191" s="101" t="s">
        <v>36</v>
      </c>
      <c r="Y191" s="105"/>
      <c r="Z191" s="50">
        <v>0.98021990740740739</v>
      </c>
      <c r="AA191" s="50">
        <v>0.53054398148148152</v>
      </c>
      <c r="AD191" s="37">
        <v>21704</v>
      </c>
      <c r="AE191" s="93">
        <f t="shared" si="18"/>
        <v>21.704000000000001</v>
      </c>
      <c r="AF191">
        <v>14.41</v>
      </c>
      <c r="AG191" s="103">
        <f t="shared" si="19"/>
        <v>14</v>
      </c>
      <c r="AH191" s="37">
        <f t="shared" si="20"/>
        <v>21.704000000000001</v>
      </c>
      <c r="AJ191" s="38"/>
      <c r="AL191" s="16"/>
      <c r="AN191" s="39"/>
      <c r="AO191" s="39"/>
      <c r="AP191" s="48"/>
      <c r="AR191" s="38"/>
      <c r="AS191" s="49"/>
      <c r="AU191" s="38"/>
      <c r="AW191" s="16"/>
      <c r="AY191" s="39"/>
      <c r="AZ191" s="39"/>
      <c r="BA191" s="48"/>
      <c r="BC191" s="38"/>
      <c r="BD191" s="49"/>
    </row>
    <row r="192" spans="22:56" ht="16" x14ac:dyDescent="0.4">
      <c r="V192" s="97">
        <v>45981</v>
      </c>
      <c r="W192" s="16">
        <v>221133</v>
      </c>
      <c r="X192" s="101" t="s">
        <v>36</v>
      </c>
      <c r="Y192" s="105"/>
      <c r="Z192" s="50">
        <v>0.39506944444444447</v>
      </c>
      <c r="AA192" s="50">
        <v>0.58501157407407411</v>
      </c>
      <c r="AD192" s="37">
        <v>20846</v>
      </c>
      <c r="AE192" s="93">
        <f t="shared" si="18"/>
        <v>20.846</v>
      </c>
      <c r="AF192">
        <v>15.49</v>
      </c>
      <c r="AG192" s="103">
        <f t="shared" si="19"/>
        <v>14</v>
      </c>
      <c r="AH192" s="37">
        <f t="shared" si="20"/>
        <v>20.846</v>
      </c>
      <c r="AJ192" s="38"/>
      <c r="AL192" s="16"/>
      <c r="AN192" s="39"/>
      <c r="AO192" s="39"/>
      <c r="AP192" s="48"/>
      <c r="AR192" s="38"/>
      <c r="AS192" s="49"/>
      <c r="AU192" s="38"/>
      <c r="AW192" s="16"/>
      <c r="AY192" s="39"/>
      <c r="AZ192" s="39"/>
      <c r="BA192" s="48"/>
      <c r="BC192" s="38"/>
      <c r="BD192" s="49"/>
    </row>
    <row r="193" spans="22:56" ht="16" x14ac:dyDescent="0.4">
      <c r="V193" s="97">
        <v>45981</v>
      </c>
      <c r="W193" s="16">
        <v>221159</v>
      </c>
      <c r="X193" s="101" t="s">
        <v>36</v>
      </c>
      <c r="Y193" s="105"/>
      <c r="Z193" s="50">
        <v>0.58357638888888885</v>
      </c>
      <c r="AA193" s="50">
        <v>0.63254629629629633</v>
      </c>
      <c r="AD193" s="37">
        <v>21208</v>
      </c>
      <c r="AE193" s="93">
        <f t="shared" si="18"/>
        <v>21.207999999999998</v>
      </c>
      <c r="AF193">
        <v>14.49</v>
      </c>
      <c r="AG193" s="103">
        <f t="shared" si="19"/>
        <v>14</v>
      </c>
      <c r="AH193" s="37">
        <f t="shared" si="20"/>
        <v>21.207999999999998</v>
      </c>
      <c r="AJ193" s="38"/>
      <c r="AL193" s="16"/>
      <c r="AN193" s="39"/>
      <c r="AO193" s="39"/>
      <c r="AP193" s="48"/>
      <c r="AR193" s="38"/>
      <c r="AS193" s="49"/>
      <c r="AU193" s="38"/>
      <c r="AW193" s="16"/>
      <c r="AY193" s="39"/>
      <c r="AZ193" s="39"/>
      <c r="BA193" s="48"/>
      <c r="BC193" s="38"/>
      <c r="BD193" s="49"/>
    </row>
    <row r="194" spans="22:56" ht="16" x14ac:dyDescent="0.4">
      <c r="V194" s="97">
        <v>45981</v>
      </c>
      <c r="W194" s="16">
        <v>221208</v>
      </c>
      <c r="X194" s="101" t="s">
        <v>36</v>
      </c>
      <c r="Y194" s="105"/>
      <c r="Z194" s="50">
        <v>0.69438657407407411</v>
      </c>
      <c r="AA194" s="50"/>
      <c r="AD194" s="37">
        <v>19938</v>
      </c>
      <c r="AE194" s="93">
        <f t="shared" ref="AE194:AE257" si="21">AD194/1000</f>
        <v>19.937999999999999</v>
      </c>
      <c r="AF194">
        <v>15.38</v>
      </c>
      <c r="AG194" s="103">
        <f t="shared" ref="AG194:AG257" si="22">IF($AF194&gt;14,14,$AF194)</f>
        <v>14</v>
      </c>
      <c r="AH194" s="37">
        <f t="shared" ref="AH194:AH257" si="23">AE194*AG194/14</f>
        <v>19.937999999999999</v>
      </c>
      <c r="AJ194" s="38"/>
      <c r="AL194" s="16"/>
      <c r="AN194" s="39"/>
      <c r="AO194" s="39"/>
      <c r="AP194" s="48"/>
      <c r="AR194" s="38"/>
      <c r="AS194" s="49"/>
      <c r="AU194" s="38"/>
      <c r="AW194" s="16"/>
      <c r="AY194" s="39"/>
      <c r="AZ194" s="39"/>
      <c r="BA194" s="48"/>
      <c r="BC194" s="38"/>
      <c r="BD194" s="49"/>
    </row>
    <row r="195" spans="22:56" ht="16" x14ac:dyDescent="0.4">
      <c r="V195" s="97">
        <v>45981</v>
      </c>
      <c r="W195" s="16">
        <v>221217</v>
      </c>
      <c r="X195" s="101" t="s">
        <v>36</v>
      </c>
      <c r="Y195" s="105"/>
      <c r="Z195" s="50">
        <v>0.5854166666666667</v>
      </c>
      <c r="AA195" s="50">
        <v>0.72638888888888886</v>
      </c>
      <c r="AD195" s="37">
        <v>16188</v>
      </c>
      <c r="AE195" s="93">
        <f t="shared" si="21"/>
        <v>16.187999999999999</v>
      </c>
      <c r="AF195">
        <v>15.22</v>
      </c>
      <c r="AG195" s="103">
        <f t="shared" si="22"/>
        <v>14</v>
      </c>
      <c r="AH195" s="37">
        <f t="shared" si="23"/>
        <v>16.187999999999999</v>
      </c>
      <c r="AJ195" s="38"/>
      <c r="AL195" s="16"/>
      <c r="AN195" s="39"/>
      <c r="AO195" s="39"/>
      <c r="AP195" s="48"/>
      <c r="AQ195" s="16"/>
      <c r="AR195" s="38"/>
      <c r="AS195" s="49"/>
      <c r="AU195" s="38"/>
      <c r="AW195" s="16"/>
      <c r="AY195" s="39"/>
      <c r="AZ195" s="39"/>
      <c r="BA195" s="48"/>
      <c r="BB195" s="16"/>
      <c r="BC195" s="38"/>
      <c r="BD195" s="49"/>
    </row>
    <row r="196" spans="22:56" ht="16" x14ac:dyDescent="0.4">
      <c r="V196" s="97">
        <v>45981</v>
      </c>
      <c r="W196" s="16">
        <v>221244</v>
      </c>
      <c r="X196" s="101" t="s">
        <v>36</v>
      </c>
      <c r="Y196" s="105"/>
      <c r="Z196" s="50">
        <v>0.39444444444444443</v>
      </c>
      <c r="AA196" s="50">
        <v>0.8041666666666667</v>
      </c>
      <c r="AD196" s="37">
        <v>21234</v>
      </c>
      <c r="AE196" s="93">
        <f t="shared" si="21"/>
        <v>21.234000000000002</v>
      </c>
      <c r="AF196">
        <v>14.31</v>
      </c>
      <c r="AG196" s="103">
        <f t="shared" si="22"/>
        <v>14</v>
      </c>
      <c r="AH196" s="37">
        <f t="shared" si="23"/>
        <v>21.234000000000002</v>
      </c>
      <c r="AJ196" s="38"/>
      <c r="AL196" s="16"/>
      <c r="AM196" s="17"/>
      <c r="AN196" s="81"/>
      <c r="AO196" s="39"/>
      <c r="AP196" s="48"/>
      <c r="AR196" s="38"/>
      <c r="AS196" s="49"/>
      <c r="AU196" s="38"/>
      <c r="AW196" s="16"/>
      <c r="AX196" s="17"/>
      <c r="AY196" s="81"/>
      <c r="AZ196" s="39"/>
      <c r="BA196" s="48"/>
      <c r="BC196" s="38"/>
      <c r="BD196" s="49"/>
    </row>
    <row r="197" spans="22:56" ht="16" x14ac:dyDescent="0.4">
      <c r="V197" s="97">
        <v>45981</v>
      </c>
      <c r="W197" s="16">
        <v>221260</v>
      </c>
      <c r="X197" s="101" t="s">
        <v>36</v>
      </c>
      <c r="Y197" s="105"/>
      <c r="Z197" s="50">
        <v>0.58333333333333337</v>
      </c>
      <c r="AA197" s="50">
        <v>0.86041666666666661</v>
      </c>
      <c r="AD197" s="37">
        <v>23126</v>
      </c>
      <c r="AE197" s="93">
        <f t="shared" si="21"/>
        <v>23.126000000000001</v>
      </c>
      <c r="AF197">
        <v>15.88</v>
      </c>
      <c r="AG197" s="103">
        <f t="shared" si="22"/>
        <v>14</v>
      </c>
      <c r="AH197" s="37">
        <f t="shared" si="23"/>
        <v>23.126000000000001</v>
      </c>
      <c r="AJ197" s="38"/>
      <c r="AL197" s="16"/>
      <c r="AN197" s="81"/>
      <c r="AO197" s="39"/>
      <c r="AP197" s="48"/>
      <c r="AR197" s="38"/>
      <c r="AS197" s="16"/>
      <c r="AU197" s="38"/>
      <c r="AW197" s="16"/>
      <c r="AY197" s="81"/>
      <c r="AZ197" s="39"/>
      <c r="BA197" s="48"/>
      <c r="BC197" s="38"/>
      <c r="BD197" s="16"/>
    </row>
    <row r="198" spans="22:56" ht="16" x14ac:dyDescent="0.4">
      <c r="V198" s="97">
        <v>45981</v>
      </c>
      <c r="W198" s="16">
        <v>221283</v>
      </c>
      <c r="X198" s="101" t="s">
        <v>36</v>
      </c>
      <c r="Y198" s="105"/>
      <c r="Z198" s="50">
        <v>0.91527777777777775</v>
      </c>
      <c r="AA198" s="50"/>
      <c r="AD198" s="37">
        <v>20968</v>
      </c>
      <c r="AE198" s="93">
        <f t="shared" si="21"/>
        <v>20.968</v>
      </c>
      <c r="AF198">
        <v>14.85</v>
      </c>
      <c r="AG198" s="103">
        <f t="shared" si="22"/>
        <v>14</v>
      </c>
      <c r="AH198" s="37">
        <f t="shared" si="23"/>
        <v>20.968</v>
      </c>
      <c r="AJ198" s="38"/>
      <c r="AL198" s="16"/>
      <c r="AN198" s="81"/>
      <c r="AO198" s="39"/>
      <c r="AP198" s="48"/>
      <c r="AR198" s="38"/>
      <c r="AS198" s="16"/>
      <c r="AU198" s="38"/>
      <c r="AW198" s="16"/>
      <c r="AY198" s="81"/>
      <c r="AZ198" s="39"/>
      <c r="BA198" s="48"/>
      <c r="BC198" s="38"/>
      <c r="BD198" s="16"/>
    </row>
    <row r="199" spans="22:56" ht="16" x14ac:dyDescent="0.4">
      <c r="V199" s="97">
        <v>45982</v>
      </c>
      <c r="W199" s="16">
        <v>221294</v>
      </c>
      <c r="X199" s="101" t="s">
        <v>36</v>
      </c>
      <c r="Y199" s="105"/>
      <c r="Z199" s="50">
        <v>0.8979166666666667</v>
      </c>
      <c r="AA199" s="50">
        <v>0</v>
      </c>
      <c r="AD199" s="37">
        <v>22900</v>
      </c>
      <c r="AE199" s="93">
        <f t="shared" si="21"/>
        <v>22.9</v>
      </c>
      <c r="AF199">
        <v>15.97</v>
      </c>
      <c r="AG199" s="103">
        <f t="shared" si="22"/>
        <v>14</v>
      </c>
      <c r="AH199" s="37">
        <f t="shared" si="23"/>
        <v>22.9</v>
      </c>
      <c r="AJ199" s="38"/>
      <c r="AL199" s="16"/>
      <c r="AN199" s="81"/>
      <c r="AO199" s="39"/>
      <c r="AP199" s="48"/>
      <c r="AR199" s="38"/>
      <c r="AS199" s="16"/>
      <c r="AU199" s="38"/>
      <c r="AW199" s="16"/>
      <c r="AY199" s="81"/>
      <c r="AZ199" s="39"/>
      <c r="BA199" s="48"/>
      <c r="BC199" s="38"/>
      <c r="BD199" s="16"/>
    </row>
    <row r="200" spans="22:56" ht="16" x14ac:dyDescent="0.4">
      <c r="V200" s="97">
        <v>45982</v>
      </c>
      <c r="W200" s="16">
        <v>221306</v>
      </c>
      <c r="X200" s="101" t="s">
        <v>36</v>
      </c>
      <c r="Y200" s="105"/>
      <c r="Z200" s="50">
        <v>0.84305555555555556</v>
      </c>
      <c r="AA200" s="50">
        <v>5.347222222222222E-2</v>
      </c>
      <c r="AD200" s="37">
        <v>20774</v>
      </c>
      <c r="AE200" s="93">
        <f t="shared" si="21"/>
        <v>20.774000000000001</v>
      </c>
      <c r="AF200">
        <v>14.53</v>
      </c>
      <c r="AG200" s="103">
        <f t="shared" si="22"/>
        <v>14</v>
      </c>
      <c r="AH200" s="37">
        <f t="shared" si="23"/>
        <v>20.774000000000001</v>
      </c>
      <c r="AJ200" s="38"/>
      <c r="AL200" s="16"/>
      <c r="AN200" s="81"/>
      <c r="AO200" s="39"/>
      <c r="AP200" s="48"/>
      <c r="AR200" s="38"/>
      <c r="AS200" s="16"/>
      <c r="AU200" s="38"/>
      <c r="AW200" s="16"/>
      <c r="AY200" s="81"/>
      <c r="AZ200" s="39"/>
      <c r="BA200" s="48"/>
      <c r="BC200" s="38"/>
      <c r="BD200" s="16"/>
    </row>
    <row r="201" spans="22:56" ht="16" x14ac:dyDescent="0.4">
      <c r="V201" s="97">
        <v>45982</v>
      </c>
      <c r="W201" s="16">
        <v>221318</v>
      </c>
      <c r="X201" s="101" t="s">
        <v>36</v>
      </c>
      <c r="Y201" s="105"/>
      <c r="Z201" s="50">
        <v>3.4722222222222224E-2</v>
      </c>
      <c r="AA201" s="50">
        <v>0.10972222222222222</v>
      </c>
      <c r="AD201" s="37">
        <v>22062</v>
      </c>
      <c r="AE201" s="93">
        <f t="shared" si="21"/>
        <v>22.062000000000001</v>
      </c>
      <c r="AF201">
        <v>14.13</v>
      </c>
      <c r="AG201" s="103">
        <f t="shared" si="22"/>
        <v>14</v>
      </c>
      <c r="AH201" s="37">
        <f t="shared" si="23"/>
        <v>22.062000000000001</v>
      </c>
      <c r="AJ201" s="38"/>
      <c r="AL201" s="16"/>
      <c r="AN201" s="81"/>
      <c r="AO201" s="39"/>
      <c r="AP201" s="48"/>
      <c r="AR201" s="38"/>
      <c r="AS201" s="16"/>
      <c r="AU201" s="38"/>
      <c r="AW201" s="16"/>
      <c r="AY201" s="81"/>
      <c r="AZ201" s="39"/>
      <c r="BA201" s="48"/>
      <c r="BC201" s="38"/>
      <c r="BD201" s="16"/>
    </row>
    <row r="202" spans="22:56" ht="16" x14ac:dyDescent="0.4">
      <c r="V202" s="97">
        <v>45982</v>
      </c>
      <c r="W202" s="16">
        <v>221328</v>
      </c>
      <c r="X202" s="101" t="s">
        <v>36</v>
      </c>
      <c r="Y202" s="105"/>
      <c r="Z202" s="50">
        <v>0.84305555555555556</v>
      </c>
      <c r="AA202" s="50">
        <v>0.15833333333333333</v>
      </c>
      <c r="AD202" s="37">
        <v>21490</v>
      </c>
      <c r="AE202" s="93">
        <f t="shared" si="21"/>
        <v>21.49</v>
      </c>
      <c r="AF202">
        <v>14.41</v>
      </c>
      <c r="AG202" s="103">
        <f t="shared" si="22"/>
        <v>14</v>
      </c>
      <c r="AH202" s="37">
        <f t="shared" si="23"/>
        <v>21.49</v>
      </c>
      <c r="AJ202" s="38"/>
      <c r="AL202" s="16"/>
      <c r="AN202" s="81"/>
      <c r="AO202" s="39"/>
      <c r="AP202" s="48"/>
      <c r="AR202" s="38"/>
      <c r="AS202" s="16"/>
      <c r="AU202" s="38"/>
      <c r="AW202" s="16"/>
      <c r="AY202" s="81"/>
      <c r="AZ202" s="39"/>
      <c r="BA202" s="48"/>
      <c r="BC202" s="38"/>
      <c r="BD202" s="16"/>
    </row>
    <row r="203" spans="22:56" ht="16" x14ac:dyDescent="0.4">
      <c r="V203" s="97">
        <v>45982</v>
      </c>
      <c r="W203" s="16">
        <v>221329</v>
      </c>
      <c r="X203" s="101" t="s">
        <v>36</v>
      </c>
      <c r="Y203" s="105"/>
      <c r="Z203" s="50">
        <v>3.4722222222222224E-2</v>
      </c>
      <c r="AA203" s="50">
        <v>0.20277777777777781</v>
      </c>
      <c r="AD203" s="37">
        <v>22492</v>
      </c>
      <c r="AE203" s="93">
        <f t="shared" si="21"/>
        <v>22.492000000000001</v>
      </c>
      <c r="AF203">
        <v>15.92</v>
      </c>
      <c r="AG203" s="103">
        <f t="shared" si="22"/>
        <v>14</v>
      </c>
      <c r="AH203" s="37">
        <f t="shared" si="23"/>
        <v>22.492000000000001</v>
      </c>
      <c r="AJ203" s="38"/>
      <c r="AL203" s="16"/>
      <c r="AN203" s="81"/>
      <c r="AO203" s="39"/>
      <c r="AP203" s="48"/>
      <c r="AR203" s="38"/>
      <c r="AS203" s="16"/>
      <c r="AU203" s="38"/>
      <c r="AW203" s="16"/>
      <c r="AY203" s="81"/>
      <c r="AZ203" s="39"/>
      <c r="BA203" s="48"/>
      <c r="BC203" s="38"/>
      <c r="BD203" s="16"/>
    </row>
    <row r="204" spans="22:56" ht="16" x14ac:dyDescent="0.4">
      <c r="V204" s="97">
        <v>45982</v>
      </c>
      <c r="W204" s="16">
        <v>221336</v>
      </c>
      <c r="X204" s="101" t="s">
        <v>36</v>
      </c>
      <c r="Y204" s="105"/>
      <c r="Z204" s="50">
        <v>0.84339120370370368</v>
      </c>
      <c r="AA204" s="50">
        <v>0.26324074074074072</v>
      </c>
      <c r="AD204" s="37">
        <v>20366</v>
      </c>
      <c r="AE204" s="93">
        <f t="shared" si="21"/>
        <v>20.366</v>
      </c>
      <c r="AF204">
        <v>14.49</v>
      </c>
      <c r="AG204" s="103">
        <f t="shared" si="22"/>
        <v>14</v>
      </c>
      <c r="AH204" s="37">
        <f t="shared" si="23"/>
        <v>20.366000000000003</v>
      </c>
      <c r="AJ204" s="38"/>
      <c r="AL204" s="16"/>
      <c r="AN204" s="81"/>
      <c r="AO204" s="39"/>
      <c r="AP204" s="48"/>
      <c r="AR204" s="38"/>
      <c r="AS204" s="16"/>
      <c r="AU204" s="38"/>
      <c r="AW204" s="16"/>
      <c r="AY204" s="81"/>
      <c r="AZ204" s="39"/>
      <c r="BA204" s="48"/>
      <c r="BC204" s="38"/>
      <c r="BD204" s="16"/>
    </row>
    <row r="205" spans="22:56" ht="16" x14ac:dyDescent="0.4">
      <c r="V205" s="97">
        <v>45982</v>
      </c>
      <c r="W205" s="16">
        <v>221353</v>
      </c>
      <c r="X205" s="101" t="s">
        <v>36</v>
      </c>
      <c r="Y205" s="105"/>
      <c r="Z205" s="50">
        <v>3.5613425925925923E-2</v>
      </c>
      <c r="AA205" s="50">
        <v>0.2913425925925926</v>
      </c>
      <c r="AD205" s="37">
        <v>21544</v>
      </c>
      <c r="AE205" s="93">
        <f t="shared" si="21"/>
        <v>21.544</v>
      </c>
      <c r="AF205">
        <v>14.52</v>
      </c>
      <c r="AG205" s="103">
        <f t="shared" si="22"/>
        <v>14</v>
      </c>
      <c r="AH205" s="37">
        <f t="shared" si="23"/>
        <v>21.544</v>
      </c>
      <c r="AJ205" s="38"/>
      <c r="AL205" s="16"/>
      <c r="AN205" s="81"/>
      <c r="AO205" s="39"/>
      <c r="AP205" s="48"/>
      <c r="AR205" s="38"/>
      <c r="AS205" s="16"/>
      <c r="AU205" s="38"/>
      <c r="AW205" s="16"/>
      <c r="AY205" s="81"/>
      <c r="AZ205" s="39"/>
      <c r="BA205" s="48"/>
      <c r="BC205" s="38"/>
      <c r="BD205" s="16"/>
    </row>
    <row r="206" spans="22:56" ht="16" x14ac:dyDescent="0.4">
      <c r="V206" s="90">
        <v>45982</v>
      </c>
      <c r="W206" s="17">
        <v>221386</v>
      </c>
      <c r="X206" s="101" t="s">
        <v>36</v>
      </c>
      <c r="Y206" s="110"/>
      <c r="Z206" s="50">
        <v>0.30601851851851852</v>
      </c>
      <c r="AA206" s="50">
        <v>0.34534722222222225</v>
      </c>
      <c r="AD206" s="37">
        <v>21678</v>
      </c>
      <c r="AE206" s="93">
        <f t="shared" si="21"/>
        <v>21.678000000000001</v>
      </c>
      <c r="AF206">
        <v>14.27</v>
      </c>
      <c r="AG206" s="103">
        <f t="shared" si="22"/>
        <v>14</v>
      </c>
      <c r="AH206" s="37">
        <f t="shared" si="23"/>
        <v>21.678000000000001</v>
      </c>
      <c r="AJ206" s="38"/>
      <c r="AL206" s="16"/>
      <c r="AN206" s="81"/>
      <c r="AO206" s="39"/>
      <c r="AP206" s="48"/>
      <c r="AR206" s="38"/>
      <c r="AS206" s="16"/>
      <c r="AU206" s="38"/>
      <c r="AW206" s="16"/>
      <c r="AY206" s="81"/>
      <c r="AZ206" s="39"/>
      <c r="BA206" s="48"/>
      <c r="BC206" s="38"/>
      <c r="BD206" s="16"/>
    </row>
    <row r="207" spans="22:56" ht="16" x14ac:dyDescent="0.4">
      <c r="V207" s="97">
        <v>45982</v>
      </c>
      <c r="W207" s="16">
        <v>221487</v>
      </c>
      <c r="X207" s="101" t="s">
        <v>36</v>
      </c>
      <c r="Y207" s="105"/>
      <c r="Z207" s="50">
        <v>0.25835648148148149</v>
      </c>
      <c r="AA207" s="50">
        <v>0.43273148148148149</v>
      </c>
      <c r="AD207" s="37">
        <v>21680</v>
      </c>
      <c r="AE207" s="93">
        <f t="shared" si="21"/>
        <v>21.68</v>
      </c>
      <c r="AF207">
        <v>13.66</v>
      </c>
      <c r="AG207" s="103">
        <f t="shared" si="22"/>
        <v>13.66</v>
      </c>
      <c r="AH207" s="37">
        <f t="shared" si="23"/>
        <v>21.153485714285715</v>
      </c>
      <c r="AJ207" s="38"/>
      <c r="AL207" s="16"/>
      <c r="AN207" s="81"/>
      <c r="AO207" s="39"/>
      <c r="AP207" s="48"/>
      <c r="AR207" s="38"/>
      <c r="AS207" s="16"/>
      <c r="AU207" s="38"/>
      <c r="AW207" s="16"/>
      <c r="AY207" s="81"/>
      <c r="AZ207" s="39"/>
      <c r="BA207" s="48"/>
      <c r="BC207" s="38"/>
      <c r="BD207" s="16"/>
    </row>
    <row r="208" spans="22:56" ht="16" x14ac:dyDescent="0.4">
      <c r="V208" s="97">
        <v>45982</v>
      </c>
      <c r="W208" s="16">
        <v>221503</v>
      </c>
      <c r="X208" s="101" t="s">
        <v>36</v>
      </c>
      <c r="Y208" s="105"/>
      <c r="Z208" s="50">
        <v>0.9544097222222222</v>
      </c>
      <c r="AA208" s="50">
        <v>0.47991898148148149</v>
      </c>
      <c r="AD208" s="37">
        <v>19540</v>
      </c>
      <c r="AE208" s="93">
        <f t="shared" si="21"/>
        <v>19.54</v>
      </c>
      <c r="AF208">
        <v>16.809999999999999</v>
      </c>
      <c r="AG208" s="103">
        <f t="shared" si="22"/>
        <v>14</v>
      </c>
      <c r="AH208" s="37">
        <f t="shared" si="23"/>
        <v>19.54</v>
      </c>
      <c r="AJ208" s="38"/>
      <c r="AL208" s="16"/>
      <c r="AN208" s="81"/>
      <c r="AO208" s="39"/>
      <c r="AP208" s="48"/>
      <c r="AR208" s="38"/>
      <c r="AS208" s="16"/>
      <c r="AU208" s="38"/>
      <c r="AW208" s="16"/>
      <c r="AY208" s="81"/>
      <c r="AZ208" s="39"/>
      <c r="BA208" s="48"/>
      <c r="BC208" s="38"/>
      <c r="BD208" s="16"/>
    </row>
    <row r="209" spans="18:56" ht="16" x14ac:dyDescent="0.4">
      <c r="V209" s="97">
        <v>45982</v>
      </c>
      <c r="W209" s="16">
        <v>221513</v>
      </c>
      <c r="X209" s="101" t="s">
        <v>36</v>
      </c>
      <c r="Y209" s="105"/>
      <c r="Z209" s="50">
        <v>0.49069444444444449</v>
      </c>
      <c r="AA209" s="50">
        <v>0.52407407407407403</v>
      </c>
      <c r="AD209" s="37">
        <v>21202</v>
      </c>
      <c r="AE209" s="93">
        <f t="shared" si="21"/>
        <v>21.202000000000002</v>
      </c>
      <c r="AF209">
        <v>14.09</v>
      </c>
      <c r="AG209" s="103">
        <f t="shared" si="22"/>
        <v>14</v>
      </c>
      <c r="AH209" s="37">
        <f t="shared" si="23"/>
        <v>21.202000000000002</v>
      </c>
      <c r="AJ209" s="38"/>
      <c r="AL209" s="16"/>
      <c r="AN209" s="81"/>
      <c r="AO209" s="81"/>
      <c r="AP209" s="48"/>
      <c r="AR209" s="38"/>
      <c r="AS209" s="16"/>
      <c r="AU209" s="38"/>
      <c r="AW209" s="16"/>
      <c r="AY209" s="81"/>
      <c r="AZ209" s="81"/>
      <c r="BA209" s="48"/>
      <c r="BC209" s="38"/>
      <c r="BD209" s="16"/>
    </row>
    <row r="210" spans="18:56" ht="16" x14ac:dyDescent="0.4">
      <c r="V210" s="97">
        <v>45982</v>
      </c>
      <c r="W210" s="16">
        <v>211545</v>
      </c>
      <c r="X210" s="101" t="s">
        <v>36</v>
      </c>
      <c r="Y210" s="105"/>
      <c r="Z210" s="50">
        <v>0.51790509259259265</v>
      </c>
      <c r="AA210" s="50">
        <v>0.57803240740740736</v>
      </c>
      <c r="AD210" s="37">
        <v>22478</v>
      </c>
      <c r="AE210" s="93">
        <f t="shared" si="21"/>
        <v>22.478000000000002</v>
      </c>
      <c r="AF210">
        <v>13.7</v>
      </c>
      <c r="AG210" s="103">
        <f t="shared" si="22"/>
        <v>13.7</v>
      </c>
      <c r="AH210" s="37">
        <f t="shared" si="23"/>
        <v>21.99632857142857</v>
      </c>
      <c r="AJ210" s="38"/>
      <c r="AL210" s="16"/>
      <c r="AN210" s="81"/>
      <c r="AO210" s="81"/>
      <c r="AP210" s="48"/>
      <c r="AR210" s="38"/>
      <c r="AS210" s="16"/>
      <c r="AU210" s="38"/>
      <c r="AW210" s="16"/>
      <c r="AY210" s="81"/>
      <c r="AZ210" s="81"/>
      <c r="BA210" s="48"/>
      <c r="BC210" s="38"/>
      <c r="BD210" s="16"/>
    </row>
    <row r="211" spans="18:56" ht="16" x14ac:dyDescent="0.4">
      <c r="V211" s="97">
        <v>45982</v>
      </c>
      <c r="W211" s="16">
        <v>221585</v>
      </c>
      <c r="X211" s="101" t="s">
        <v>36</v>
      </c>
      <c r="Y211" s="105"/>
      <c r="Z211" s="50">
        <v>0.56445601851851845</v>
      </c>
      <c r="AA211" s="50">
        <v>0.63797453703703699</v>
      </c>
      <c r="AD211" s="37">
        <v>21332</v>
      </c>
      <c r="AE211" s="93">
        <f t="shared" si="21"/>
        <v>21.332000000000001</v>
      </c>
      <c r="AF211">
        <v>14.73</v>
      </c>
      <c r="AG211" s="103">
        <f t="shared" si="22"/>
        <v>14</v>
      </c>
      <c r="AH211" s="37">
        <f t="shared" si="23"/>
        <v>21.332000000000001</v>
      </c>
      <c r="AJ211" s="38"/>
      <c r="AL211" s="16"/>
      <c r="AN211" s="81"/>
      <c r="AO211" s="81"/>
      <c r="AP211" s="48"/>
      <c r="AR211" s="38"/>
      <c r="AS211" s="16"/>
      <c r="AU211" s="38"/>
      <c r="AW211" s="16"/>
      <c r="AY211" s="81"/>
      <c r="AZ211" s="81"/>
      <c r="BA211" s="48"/>
      <c r="BC211" s="38"/>
      <c r="BD211" s="16"/>
    </row>
    <row r="212" spans="18:56" ht="16" x14ac:dyDescent="0.4">
      <c r="V212" s="97">
        <v>45982</v>
      </c>
      <c r="W212" s="16">
        <v>221605</v>
      </c>
      <c r="X212" s="101" t="s">
        <v>36</v>
      </c>
      <c r="Y212" s="105"/>
      <c r="Z212" s="50">
        <v>0.62368055555555557</v>
      </c>
      <c r="AA212" s="50">
        <v>0.68406250000000002</v>
      </c>
      <c r="AD212" s="37">
        <v>19148</v>
      </c>
      <c r="AE212" s="93">
        <f t="shared" si="21"/>
        <v>19.148</v>
      </c>
      <c r="AF212">
        <v>16.489999999999998</v>
      </c>
      <c r="AG212" s="103">
        <f t="shared" si="22"/>
        <v>14</v>
      </c>
      <c r="AH212" s="37">
        <f t="shared" si="23"/>
        <v>19.148</v>
      </c>
      <c r="AJ212" s="38"/>
      <c r="AL212" s="16"/>
      <c r="AN212" s="81"/>
      <c r="AO212" s="81"/>
      <c r="AP212" s="48"/>
      <c r="AR212" s="38"/>
      <c r="AS212" s="16"/>
      <c r="AU212" s="38"/>
      <c r="AW212" s="16"/>
      <c r="AY212" s="81"/>
      <c r="AZ212" s="81"/>
      <c r="BA212" s="48"/>
      <c r="BC212" s="38"/>
      <c r="BD212" s="16"/>
    </row>
    <row r="213" spans="18:56" ht="16" x14ac:dyDescent="0.4">
      <c r="V213" s="97">
        <v>45982</v>
      </c>
      <c r="W213" s="16">
        <v>221621</v>
      </c>
      <c r="X213" s="101" t="s">
        <v>36</v>
      </c>
      <c r="Y213" s="105"/>
      <c r="Z213" s="50">
        <v>0.68472222222222223</v>
      </c>
      <c r="AA213" s="50">
        <v>0.72361111111111109</v>
      </c>
      <c r="AD213" s="37">
        <v>19602</v>
      </c>
      <c r="AE213" s="93">
        <f t="shared" si="21"/>
        <v>19.602</v>
      </c>
      <c r="AF213">
        <v>13.91</v>
      </c>
      <c r="AG213" s="103">
        <f t="shared" si="22"/>
        <v>13.91</v>
      </c>
      <c r="AH213" s="37">
        <f t="shared" si="23"/>
        <v>19.475987142857143</v>
      </c>
      <c r="AJ213" s="38"/>
      <c r="AL213" s="16"/>
      <c r="AN213" s="81"/>
      <c r="AO213" s="81"/>
      <c r="AP213" s="48"/>
      <c r="AR213" s="38"/>
      <c r="AS213" s="16"/>
      <c r="AU213" s="38"/>
      <c r="AW213" s="16"/>
      <c r="AY213" s="81"/>
      <c r="AZ213" s="81"/>
      <c r="BA213" s="48"/>
      <c r="BC213" s="38"/>
      <c r="BD213" s="16"/>
    </row>
    <row r="214" spans="18:56" ht="16" x14ac:dyDescent="0.4">
      <c r="V214" s="97">
        <v>45982</v>
      </c>
      <c r="W214" s="16">
        <v>221644</v>
      </c>
      <c r="X214" s="101" t="s">
        <v>36</v>
      </c>
      <c r="Y214" s="105"/>
      <c r="Z214" s="50">
        <v>0.71875</v>
      </c>
      <c r="AA214" s="50">
        <v>0.78611111111111109</v>
      </c>
      <c r="AD214" s="37">
        <v>21320</v>
      </c>
      <c r="AE214" s="93">
        <f t="shared" si="21"/>
        <v>21.32</v>
      </c>
      <c r="AF214">
        <v>15.92</v>
      </c>
      <c r="AG214" s="103">
        <f t="shared" si="22"/>
        <v>14</v>
      </c>
      <c r="AH214" s="37">
        <f t="shared" si="23"/>
        <v>21.32</v>
      </c>
      <c r="AJ214" s="38"/>
      <c r="AL214" s="16"/>
      <c r="AN214" s="81"/>
      <c r="AO214" s="81"/>
      <c r="AP214" s="48"/>
      <c r="AR214" s="38"/>
      <c r="AS214" s="16"/>
      <c r="AU214" s="38"/>
      <c r="AW214" s="16"/>
      <c r="AY214" s="81"/>
      <c r="AZ214" s="81"/>
      <c r="BA214" s="48"/>
      <c r="BC214" s="38"/>
      <c r="BD214" s="16"/>
    </row>
    <row r="215" spans="18:56" ht="16" x14ac:dyDescent="0.4">
      <c r="V215" s="90">
        <v>45982</v>
      </c>
      <c r="W215" s="17">
        <v>221665</v>
      </c>
      <c r="X215" s="101" t="s">
        <v>36</v>
      </c>
      <c r="Y215" s="110"/>
      <c r="Z215" s="50">
        <v>0.77569444444444446</v>
      </c>
      <c r="AA215" s="50">
        <v>0.84444444444444444</v>
      </c>
      <c r="AD215" s="37">
        <v>22048</v>
      </c>
      <c r="AE215" s="93">
        <f t="shared" si="21"/>
        <v>22.047999999999998</v>
      </c>
      <c r="AF215">
        <v>14.38</v>
      </c>
      <c r="AG215" s="103">
        <f t="shared" si="22"/>
        <v>14</v>
      </c>
      <c r="AH215" s="37">
        <f t="shared" si="23"/>
        <v>22.047999999999998</v>
      </c>
      <c r="AJ215" s="38"/>
      <c r="AL215" s="16"/>
      <c r="AN215" s="81"/>
      <c r="AO215" s="81"/>
      <c r="AP215" s="48"/>
      <c r="AR215" s="38"/>
      <c r="AS215" s="16"/>
      <c r="AU215" s="38"/>
      <c r="AW215" s="16"/>
      <c r="AY215" s="81"/>
      <c r="AZ215" s="81"/>
      <c r="BA215" s="48"/>
      <c r="BC215" s="38"/>
      <c r="BD215" s="16"/>
    </row>
    <row r="216" spans="18:56" ht="16" x14ac:dyDescent="0.4">
      <c r="V216" s="97">
        <v>45982</v>
      </c>
      <c r="W216">
        <v>221678</v>
      </c>
      <c r="X216" s="101" t="s">
        <v>36</v>
      </c>
      <c r="Y216" s="105"/>
      <c r="Z216" s="50">
        <v>0.82986111111111116</v>
      </c>
      <c r="AA216" s="50">
        <v>0.8979166666666667</v>
      </c>
      <c r="AD216" s="37">
        <v>20092</v>
      </c>
      <c r="AE216" s="93">
        <f t="shared" si="21"/>
        <v>20.091999999999999</v>
      </c>
      <c r="AF216">
        <v>14.74</v>
      </c>
      <c r="AG216" s="103">
        <f t="shared" si="22"/>
        <v>14</v>
      </c>
      <c r="AH216" s="37">
        <f t="shared" si="23"/>
        <v>20.092000000000002</v>
      </c>
      <c r="AJ216" s="38"/>
      <c r="AL216" s="16"/>
      <c r="AN216" s="81"/>
      <c r="AO216" s="81"/>
      <c r="AP216" s="48"/>
      <c r="AR216" s="38"/>
      <c r="AS216" s="16"/>
      <c r="AU216" s="38"/>
      <c r="AW216" s="16"/>
      <c r="AY216" s="81"/>
      <c r="AZ216" s="81"/>
      <c r="BA216" s="48"/>
      <c r="BC216" s="38"/>
      <c r="BD216" s="16"/>
    </row>
    <row r="217" spans="18:56" ht="16" x14ac:dyDescent="0.4">
      <c r="V217" s="97">
        <v>45982</v>
      </c>
      <c r="W217">
        <v>221700</v>
      </c>
      <c r="X217" s="101" t="s">
        <v>36</v>
      </c>
      <c r="Y217" s="105"/>
      <c r="Z217" s="50">
        <v>0.88541666666666663</v>
      </c>
      <c r="AA217" s="50">
        <v>0.96111111111111114</v>
      </c>
      <c r="AD217" s="37">
        <v>20796</v>
      </c>
      <c r="AE217" s="93">
        <f t="shared" si="21"/>
        <v>20.795999999999999</v>
      </c>
      <c r="AF217">
        <v>13.49</v>
      </c>
      <c r="AG217" s="103">
        <f t="shared" si="22"/>
        <v>13.49</v>
      </c>
      <c r="AH217" s="37">
        <f t="shared" si="23"/>
        <v>20.038431428571432</v>
      </c>
      <c r="AJ217" s="38"/>
      <c r="AL217" s="16"/>
      <c r="AN217" s="81"/>
      <c r="AO217" s="81"/>
      <c r="AP217" s="48"/>
      <c r="AR217" s="38"/>
      <c r="AS217" s="16"/>
      <c r="AU217" s="38"/>
      <c r="AW217" s="16"/>
      <c r="AY217" s="81"/>
      <c r="AZ217" s="81"/>
      <c r="BA217" s="48"/>
      <c r="BC217" s="38"/>
      <c r="BD217" s="16"/>
    </row>
    <row r="218" spans="18:56" ht="16" x14ac:dyDescent="0.4">
      <c r="V218" s="97">
        <v>45983</v>
      </c>
      <c r="W218">
        <v>221717</v>
      </c>
      <c r="X218" s="101" t="s">
        <v>36</v>
      </c>
      <c r="Y218" s="105"/>
      <c r="Z218" s="50">
        <v>0.30555555555555552</v>
      </c>
      <c r="AA218" s="50">
        <v>2.7777777777777776E-2</v>
      </c>
      <c r="AD218" s="37">
        <v>20524</v>
      </c>
      <c r="AE218" s="93">
        <f t="shared" si="21"/>
        <v>20.524000000000001</v>
      </c>
      <c r="AF218">
        <v>15.48</v>
      </c>
      <c r="AG218" s="103">
        <f t="shared" si="22"/>
        <v>14</v>
      </c>
      <c r="AH218" s="37">
        <f t="shared" si="23"/>
        <v>20.524000000000001</v>
      </c>
      <c r="AJ218" s="38"/>
      <c r="AL218" s="16"/>
      <c r="AN218" s="81"/>
      <c r="AO218" s="81"/>
      <c r="AP218" s="48"/>
      <c r="AR218" s="38"/>
      <c r="AS218" s="16"/>
      <c r="AU218" s="38"/>
      <c r="AW218" s="16"/>
      <c r="AY218" s="81"/>
      <c r="AZ218" s="81"/>
      <c r="BA218" s="48"/>
      <c r="BC218" s="38"/>
      <c r="BD218" s="16"/>
    </row>
    <row r="219" spans="18:56" ht="16" x14ac:dyDescent="0.4">
      <c r="R219" s="33"/>
      <c r="V219" s="97">
        <v>45983</v>
      </c>
      <c r="W219">
        <v>221728</v>
      </c>
      <c r="X219" s="101" t="s">
        <v>36</v>
      </c>
      <c r="Y219" s="105"/>
      <c r="Z219" s="50">
        <v>0.99444444444444446</v>
      </c>
      <c r="AA219" s="50">
        <v>8.7500000000000008E-2</v>
      </c>
      <c r="AD219" s="37">
        <v>22108</v>
      </c>
      <c r="AE219" s="93">
        <f t="shared" si="21"/>
        <v>22.108000000000001</v>
      </c>
      <c r="AF219">
        <v>14.56</v>
      </c>
      <c r="AG219" s="103">
        <f t="shared" si="22"/>
        <v>14</v>
      </c>
      <c r="AH219" s="37">
        <f t="shared" si="23"/>
        <v>22.108000000000001</v>
      </c>
      <c r="AJ219" s="38"/>
      <c r="AL219" s="16"/>
      <c r="AN219" s="81"/>
      <c r="AO219" s="81"/>
      <c r="AP219" s="48"/>
      <c r="AR219" s="38"/>
      <c r="AU219" s="38"/>
      <c r="AW219" s="16"/>
      <c r="AY219" s="81"/>
      <c r="AZ219" s="81"/>
      <c r="BA219" s="48"/>
      <c r="BC219" s="38"/>
    </row>
    <row r="220" spans="18:56" ht="16" x14ac:dyDescent="0.4">
      <c r="R220" s="33"/>
      <c r="V220" s="97">
        <v>45983</v>
      </c>
      <c r="W220">
        <v>221737</v>
      </c>
      <c r="X220" s="101" t="s">
        <v>36</v>
      </c>
      <c r="Y220" s="105"/>
      <c r="Z220" s="50">
        <v>0.82916666666666661</v>
      </c>
      <c r="AA220" s="50">
        <v>0.14166666666666666</v>
      </c>
      <c r="AD220" s="37">
        <v>20884</v>
      </c>
      <c r="AE220" s="93">
        <f t="shared" si="21"/>
        <v>20.884</v>
      </c>
      <c r="AF220">
        <v>14.84</v>
      </c>
      <c r="AG220" s="103">
        <f t="shared" si="22"/>
        <v>14</v>
      </c>
      <c r="AH220" s="37">
        <f t="shared" si="23"/>
        <v>20.883999999999997</v>
      </c>
      <c r="AJ220" s="38"/>
      <c r="AL220" s="16"/>
      <c r="AN220" s="81"/>
      <c r="AO220" s="81"/>
      <c r="AP220" s="48"/>
      <c r="AR220" s="38"/>
      <c r="AU220" s="38"/>
      <c r="AW220" s="16"/>
      <c r="AY220" s="81"/>
      <c r="AZ220" s="81"/>
      <c r="BA220" s="48"/>
      <c r="BC220" s="38"/>
    </row>
    <row r="221" spans="18:56" ht="16" x14ac:dyDescent="0.4">
      <c r="V221" s="97">
        <v>45983</v>
      </c>
      <c r="W221">
        <v>221743</v>
      </c>
      <c r="X221" s="101" t="s">
        <v>36</v>
      </c>
      <c r="Y221" s="105"/>
      <c r="Z221" s="50">
        <v>0.88541666666666663</v>
      </c>
      <c r="AA221" s="50">
        <v>0.18819444444444444</v>
      </c>
      <c r="AD221" s="37">
        <v>18694</v>
      </c>
      <c r="AE221" s="93">
        <f t="shared" si="21"/>
        <v>18.693999999999999</v>
      </c>
      <c r="AF221">
        <v>15.02</v>
      </c>
      <c r="AG221" s="103">
        <f t="shared" si="22"/>
        <v>14</v>
      </c>
      <c r="AH221" s="37">
        <f t="shared" si="23"/>
        <v>18.693999999999999</v>
      </c>
      <c r="AJ221" s="38"/>
      <c r="AL221" s="16"/>
      <c r="AN221" s="81"/>
      <c r="AO221" s="81"/>
      <c r="AP221" s="48"/>
      <c r="AR221" s="38"/>
      <c r="AU221" s="38"/>
      <c r="AW221" s="16"/>
      <c r="AY221" s="81"/>
      <c r="AZ221" s="81"/>
      <c r="BA221" s="48"/>
      <c r="BC221" s="38"/>
    </row>
    <row r="222" spans="18:56" ht="16" x14ac:dyDescent="0.4">
      <c r="V222" s="97">
        <v>45983</v>
      </c>
      <c r="W222">
        <v>221783</v>
      </c>
      <c r="X222" s="101" t="s">
        <v>36</v>
      </c>
      <c r="Y222" s="105"/>
      <c r="Z222" s="50">
        <v>0.18596064814814817</v>
      </c>
      <c r="AA222" s="50">
        <v>0.3452662037037037</v>
      </c>
      <c r="AD222" s="37">
        <v>20240</v>
      </c>
      <c r="AE222" s="93">
        <f t="shared" si="21"/>
        <v>20.239999999999998</v>
      </c>
      <c r="AF222">
        <v>13.66</v>
      </c>
      <c r="AG222" s="103">
        <f t="shared" si="22"/>
        <v>13.66</v>
      </c>
      <c r="AH222" s="37">
        <f t="shared" si="23"/>
        <v>19.748457142857141</v>
      </c>
      <c r="AJ222" s="38"/>
      <c r="AL222" s="16"/>
      <c r="AN222" s="81"/>
      <c r="AO222" s="81"/>
      <c r="AP222" s="48"/>
      <c r="AR222" s="38"/>
      <c r="AU222" s="38"/>
      <c r="AW222" s="16"/>
      <c r="AY222" s="81"/>
      <c r="AZ222" s="81"/>
      <c r="BA222" s="48"/>
      <c r="BC222" s="38"/>
    </row>
    <row r="223" spans="18:56" ht="16" x14ac:dyDescent="0.4">
      <c r="V223" s="97">
        <v>45983</v>
      </c>
      <c r="W223">
        <v>221805</v>
      </c>
      <c r="X223" s="101" t="s">
        <v>36</v>
      </c>
      <c r="Y223" s="105"/>
      <c r="Z223" s="50">
        <v>0.88548611111111108</v>
      </c>
      <c r="AA223" s="50">
        <v>0.38488425925925923</v>
      </c>
      <c r="AD223" s="37">
        <v>18334</v>
      </c>
      <c r="AE223" s="93">
        <f t="shared" si="21"/>
        <v>18.334</v>
      </c>
      <c r="AF223">
        <v>17.3</v>
      </c>
      <c r="AG223" s="103">
        <f t="shared" si="22"/>
        <v>14</v>
      </c>
      <c r="AH223" s="37">
        <f t="shared" si="23"/>
        <v>18.334</v>
      </c>
      <c r="AJ223" s="38"/>
      <c r="AL223" s="16"/>
      <c r="AN223" s="81"/>
      <c r="AO223" s="81"/>
      <c r="AP223" s="48"/>
      <c r="AR223" s="38"/>
      <c r="AU223" s="38"/>
      <c r="AW223" s="16"/>
      <c r="AY223" s="81"/>
      <c r="AZ223" s="81"/>
      <c r="BA223" s="48"/>
      <c r="BC223" s="38"/>
    </row>
    <row r="224" spans="18:56" ht="16" x14ac:dyDescent="0.4">
      <c r="V224" s="97">
        <v>45983</v>
      </c>
      <c r="W224">
        <v>221859</v>
      </c>
      <c r="X224" s="101" t="s">
        <v>36</v>
      </c>
      <c r="Y224" s="105"/>
      <c r="Z224" s="50">
        <v>0.18564814814814815</v>
      </c>
      <c r="AA224" s="50">
        <v>0.4762615740740741</v>
      </c>
      <c r="AD224" s="37">
        <v>20470</v>
      </c>
      <c r="AE224" s="93">
        <f t="shared" si="21"/>
        <v>20.47</v>
      </c>
      <c r="AF224">
        <v>14.09</v>
      </c>
      <c r="AG224" s="103">
        <f t="shared" si="22"/>
        <v>14</v>
      </c>
      <c r="AH224" s="37">
        <f t="shared" si="23"/>
        <v>20.47</v>
      </c>
      <c r="AJ224" s="38"/>
      <c r="AL224" s="16"/>
      <c r="AN224" s="81"/>
      <c r="AO224" s="81"/>
      <c r="AP224" s="48"/>
      <c r="AR224" s="38"/>
      <c r="AU224" s="38"/>
      <c r="AW224" s="16"/>
      <c r="AY224" s="81"/>
      <c r="AZ224" s="81"/>
      <c r="BA224" s="48"/>
      <c r="BC224" s="38"/>
    </row>
    <row r="225" spans="22:56" ht="16" x14ac:dyDescent="0.4">
      <c r="V225" s="97">
        <v>45983</v>
      </c>
      <c r="W225">
        <v>221872</v>
      </c>
      <c r="X225" s="101" t="s">
        <v>36</v>
      </c>
      <c r="Y225" s="105"/>
      <c r="Z225" s="50">
        <v>0.4435763888888889</v>
      </c>
      <c r="AA225" s="50">
        <v>0.54353009259259266</v>
      </c>
      <c r="AD225" s="37">
        <v>20410</v>
      </c>
      <c r="AE225" s="93">
        <f t="shared" si="21"/>
        <v>20.41</v>
      </c>
      <c r="AF225">
        <v>13.24</v>
      </c>
      <c r="AG225" s="103">
        <f t="shared" si="22"/>
        <v>13.24</v>
      </c>
      <c r="AH225" s="37">
        <f t="shared" si="23"/>
        <v>19.302028571428572</v>
      </c>
      <c r="AJ225" s="38"/>
      <c r="AL225" s="16"/>
      <c r="AN225" s="39"/>
      <c r="AO225" s="39"/>
      <c r="AP225" s="48"/>
      <c r="AR225" s="38"/>
      <c r="AU225" s="38"/>
      <c r="AW225" s="16"/>
      <c r="AY225" s="39"/>
      <c r="AZ225" s="39"/>
      <c r="BA225" s="48"/>
      <c r="BC225" s="38"/>
    </row>
    <row r="226" spans="22:56" ht="16" x14ac:dyDescent="0.4">
      <c r="V226" s="97">
        <v>45983</v>
      </c>
      <c r="W226">
        <v>221910</v>
      </c>
      <c r="X226" s="101" t="s">
        <v>36</v>
      </c>
      <c r="Y226" s="105"/>
      <c r="Z226" s="50">
        <v>0.18581018518518519</v>
      </c>
      <c r="AA226" s="50">
        <v>0.60627314814814814</v>
      </c>
      <c r="AD226" s="37">
        <v>20626</v>
      </c>
      <c r="AE226" s="93">
        <f t="shared" si="21"/>
        <v>20.626000000000001</v>
      </c>
      <c r="AF226">
        <v>15.48</v>
      </c>
      <c r="AG226" s="103">
        <f t="shared" si="22"/>
        <v>14</v>
      </c>
      <c r="AH226" s="37">
        <f t="shared" si="23"/>
        <v>20.626000000000001</v>
      </c>
      <c r="AJ226" s="38"/>
      <c r="AL226" s="16"/>
      <c r="AN226" s="39"/>
      <c r="AO226" s="39"/>
      <c r="AP226" s="48"/>
      <c r="AR226" s="38"/>
      <c r="AU226" s="38"/>
      <c r="AW226" s="16"/>
      <c r="AY226" s="39"/>
      <c r="AZ226" s="39"/>
      <c r="BA226" s="48"/>
      <c r="BC226" s="38"/>
    </row>
    <row r="227" spans="22:56" ht="16" x14ac:dyDescent="0.4">
      <c r="V227" s="97">
        <v>45983</v>
      </c>
      <c r="W227">
        <v>211943</v>
      </c>
      <c r="X227" s="101" t="s">
        <v>36</v>
      </c>
      <c r="Y227" s="105"/>
      <c r="Z227" s="50">
        <v>0.4432638888888889</v>
      </c>
      <c r="AA227" s="50">
        <v>0.66920138888888892</v>
      </c>
      <c r="AD227" s="37">
        <v>21272</v>
      </c>
      <c r="AE227" s="93">
        <f t="shared" si="21"/>
        <v>21.271999999999998</v>
      </c>
      <c r="AF227">
        <v>15.9</v>
      </c>
      <c r="AG227" s="103">
        <f t="shared" si="22"/>
        <v>14</v>
      </c>
      <c r="AH227" s="37">
        <f t="shared" si="23"/>
        <v>21.271999999999998</v>
      </c>
      <c r="AJ227" s="38"/>
      <c r="AL227" s="16"/>
      <c r="AN227" s="39"/>
      <c r="AO227" s="39"/>
      <c r="AP227" s="48"/>
      <c r="AR227" s="38"/>
      <c r="AU227" s="38"/>
      <c r="AW227" s="16"/>
      <c r="AY227" s="39"/>
      <c r="AZ227" s="39"/>
      <c r="BA227" s="48"/>
      <c r="BC227" s="38"/>
    </row>
    <row r="228" spans="22:56" ht="16" x14ac:dyDescent="0.4">
      <c r="V228" s="97">
        <v>45983</v>
      </c>
      <c r="W228">
        <v>211958</v>
      </c>
      <c r="X228" s="101" t="s">
        <v>36</v>
      </c>
      <c r="Y228" s="105"/>
      <c r="Z228" s="50">
        <v>0.65041666666666664</v>
      </c>
      <c r="AA228" s="50">
        <v>0.71982638888888895</v>
      </c>
      <c r="AD228" s="37">
        <v>20372</v>
      </c>
      <c r="AE228" s="93">
        <f t="shared" si="21"/>
        <v>20.372</v>
      </c>
      <c r="AF228">
        <v>16.3</v>
      </c>
      <c r="AG228" s="103">
        <f t="shared" si="22"/>
        <v>14</v>
      </c>
      <c r="AH228" s="37">
        <f t="shared" si="23"/>
        <v>20.371999999999996</v>
      </c>
      <c r="AJ228" s="38"/>
      <c r="AL228" s="16"/>
      <c r="AM228" s="16"/>
      <c r="AN228" s="81"/>
      <c r="AO228" s="81"/>
      <c r="AP228" s="48"/>
      <c r="AR228" s="38"/>
      <c r="AU228" s="38"/>
      <c r="AW228" s="16"/>
      <c r="AX228" s="16"/>
      <c r="AY228" s="81"/>
      <c r="AZ228" s="81"/>
      <c r="BA228" s="48"/>
      <c r="BC228" s="38"/>
    </row>
    <row r="229" spans="22:56" ht="16" x14ac:dyDescent="0.4">
      <c r="V229" s="97">
        <v>45983</v>
      </c>
      <c r="W229">
        <v>221976</v>
      </c>
      <c r="X229" s="101" t="s">
        <v>36</v>
      </c>
      <c r="Y229" s="105"/>
      <c r="Z229" s="50">
        <v>0.44375000000000003</v>
      </c>
      <c r="AA229" s="50">
        <v>0.77083333333333337</v>
      </c>
      <c r="AD229" s="37">
        <v>20194</v>
      </c>
      <c r="AE229" s="93">
        <f t="shared" si="21"/>
        <v>20.193999999999999</v>
      </c>
      <c r="AF229">
        <v>14.2</v>
      </c>
      <c r="AG229" s="103">
        <f t="shared" si="22"/>
        <v>14</v>
      </c>
      <c r="AH229" s="37">
        <f t="shared" si="23"/>
        <v>20.193999999999999</v>
      </c>
      <c r="AJ229" s="38"/>
      <c r="AL229" s="16"/>
      <c r="AM229" s="16"/>
      <c r="AN229" s="81"/>
      <c r="AP229" s="48"/>
      <c r="AR229" s="38"/>
      <c r="AU229" s="38"/>
      <c r="AW229" s="16"/>
      <c r="AX229" s="16"/>
      <c r="AY229" s="81"/>
      <c r="BA229" s="48"/>
      <c r="BC229" s="38"/>
    </row>
    <row r="230" spans="22:56" ht="16" x14ac:dyDescent="0.4">
      <c r="V230" s="97">
        <v>45983</v>
      </c>
      <c r="W230">
        <v>221997</v>
      </c>
      <c r="X230" s="101" t="s">
        <v>36</v>
      </c>
      <c r="Y230" s="105"/>
      <c r="Z230" s="50">
        <v>0.65</v>
      </c>
      <c r="AA230" s="50">
        <v>0.8340277777777777</v>
      </c>
      <c r="AD230" s="37">
        <v>21696</v>
      </c>
      <c r="AE230" s="93">
        <f t="shared" si="21"/>
        <v>21.696000000000002</v>
      </c>
      <c r="AF230">
        <v>15.57</v>
      </c>
      <c r="AG230" s="103">
        <f t="shared" si="22"/>
        <v>14</v>
      </c>
      <c r="AH230" s="37">
        <f t="shared" si="23"/>
        <v>21.696000000000002</v>
      </c>
      <c r="AJ230" s="38"/>
      <c r="AL230" s="16"/>
      <c r="AM230" s="16"/>
      <c r="AN230" s="81"/>
      <c r="AO230" s="81"/>
      <c r="AP230" s="48"/>
      <c r="AR230" s="38"/>
      <c r="AS230" s="49"/>
      <c r="AU230" s="38"/>
      <c r="AW230" s="16"/>
      <c r="AX230" s="16"/>
      <c r="AY230" s="81"/>
      <c r="AZ230" s="81"/>
      <c r="BA230" s="48"/>
      <c r="BC230" s="38"/>
      <c r="BD230" s="49"/>
    </row>
    <row r="231" spans="22:56" ht="16" x14ac:dyDescent="0.4">
      <c r="V231" s="97">
        <v>45983</v>
      </c>
      <c r="W231">
        <v>222009</v>
      </c>
      <c r="X231" s="101" t="s">
        <v>36</v>
      </c>
      <c r="Y231" s="105"/>
      <c r="Z231" s="50">
        <v>0.8125</v>
      </c>
      <c r="AA231" s="50"/>
      <c r="AD231" s="37">
        <v>20758</v>
      </c>
      <c r="AE231" s="93">
        <f t="shared" si="21"/>
        <v>20.757999999999999</v>
      </c>
      <c r="AF231">
        <v>14.81</v>
      </c>
      <c r="AG231" s="103">
        <f t="shared" si="22"/>
        <v>14</v>
      </c>
      <c r="AH231" s="37">
        <f t="shared" si="23"/>
        <v>20.757999999999999</v>
      </c>
      <c r="AJ231" s="38"/>
      <c r="AL231" s="16"/>
      <c r="AM231" s="16"/>
      <c r="AN231" s="81"/>
      <c r="AO231" s="81"/>
      <c r="AP231" s="48"/>
      <c r="AR231" s="38"/>
      <c r="AS231" s="49"/>
      <c r="AU231" s="38"/>
      <c r="AW231" s="16"/>
      <c r="AX231" s="16"/>
      <c r="AY231" s="81"/>
      <c r="AZ231" s="81"/>
      <c r="BA231" s="48"/>
      <c r="BC231" s="38"/>
      <c r="BD231" s="49"/>
    </row>
    <row r="232" spans="22:56" ht="16" x14ac:dyDescent="0.4">
      <c r="V232" s="97">
        <v>45983</v>
      </c>
      <c r="W232">
        <v>222028</v>
      </c>
      <c r="X232" s="101" t="s">
        <v>36</v>
      </c>
      <c r="Y232" s="105"/>
      <c r="Z232" s="50">
        <v>0.65069444444444446</v>
      </c>
      <c r="AA232" s="50">
        <v>0.95347222222222217</v>
      </c>
      <c r="AD232" s="37">
        <v>20424</v>
      </c>
      <c r="AE232" s="93">
        <f t="shared" si="21"/>
        <v>20.423999999999999</v>
      </c>
      <c r="AF232">
        <v>13.77</v>
      </c>
      <c r="AG232" s="103">
        <f t="shared" si="22"/>
        <v>13.77</v>
      </c>
      <c r="AH232" s="37">
        <f t="shared" si="23"/>
        <v>20.088462857142854</v>
      </c>
      <c r="AJ232" s="38"/>
      <c r="AL232" s="16"/>
      <c r="AM232" s="16"/>
      <c r="AN232" s="81"/>
      <c r="AO232" s="81"/>
      <c r="AP232" s="48"/>
      <c r="AR232" s="38"/>
      <c r="AS232" s="49"/>
      <c r="AU232" s="38"/>
      <c r="AW232" s="16"/>
      <c r="AX232" s="16"/>
      <c r="AY232" s="81"/>
      <c r="AZ232" s="81"/>
      <c r="BA232" s="48"/>
      <c r="BC232" s="38"/>
      <c r="BD232" s="49"/>
    </row>
    <row r="233" spans="22:56" ht="16" x14ac:dyDescent="0.4">
      <c r="V233" s="97">
        <v>45984</v>
      </c>
      <c r="W233">
        <v>222036</v>
      </c>
      <c r="X233" s="101" t="s">
        <v>36</v>
      </c>
      <c r="Y233" s="105"/>
      <c r="Z233" s="50">
        <v>0.71666666666666667</v>
      </c>
      <c r="AA233" s="50">
        <v>1.8055555555555557E-2</v>
      </c>
      <c r="AD233" s="37">
        <v>21640</v>
      </c>
      <c r="AE233" s="93">
        <f t="shared" si="21"/>
        <v>21.64</v>
      </c>
      <c r="AF233">
        <v>14.81</v>
      </c>
      <c r="AG233" s="103">
        <f t="shared" si="22"/>
        <v>14</v>
      </c>
      <c r="AH233" s="37">
        <f t="shared" si="23"/>
        <v>21.640000000000004</v>
      </c>
      <c r="AJ233" s="38"/>
      <c r="AL233" s="16"/>
      <c r="AN233" s="81"/>
      <c r="AO233" s="81"/>
      <c r="AP233" s="48"/>
      <c r="AR233" s="38"/>
      <c r="AS233" s="49"/>
      <c r="AU233" s="38"/>
      <c r="AW233" s="16"/>
      <c r="AY233" s="81"/>
      <c r="AZ233" s="81"/>
      <c r="BA233" s="48"/>
      <c r="BC233" s="38"/>
      <c r="BD233" s="49"/>
    </row>
    <row r="234" spans="22:56" ht="16" x14ac:dyDescent="0.4">
      <c r="V234" s="97">
        <v>45984</v>
      </c>
      <c r="W234">
        <v>222041</v>
      </c>
      <c r="X234" s="101" t="s">
        <v>36</v>
      </c>
      <c r="Y234" s="105"/>
      <c r="Z234" s="50">
        <v>0.99444444444444446</v>
      </c>
      <c r="AA234" s="50">
        <v>6.805555555555555E-2</v>
      </c>
      <c r="AD234" s="37">
        <v>20924</v>
      </c>
      <c r="AE234" s="93">
        <f t="shared" si="21"/>
        <v>20.923999999999999</v>
      </c>
      <c r="AF234">
        <v>14.77</v>
      </c>
      <c r="AG234" s="103">
        <f t="shared" si="22"/>
        <v>14</v>
      </c>
      <c r="AH234" s="37">
        <f t="shared" si="23"/>
        <v>20.923999999999999</v>
      </c>
      <c r="AJ234" s="38"/>
      <c r="AL234" s="16"/>
      <c r="AN234" s="81"/>
      <c r="AO234" s="81"/>
      <c r="AP234" s="48"/>
      <c r="AR234" s="38"/>
      <c r="AS234" s="49"/>
      <c r="AU234" s="38"/>
      <c r="AW234" s="16"/>
      <c r="AY234" s="81"/>
      <c r="AZ234" s="81"/>
      <c r="BA234" s="48"/>
      <c r="BC234" s="38"/>
      <c r="BD234" s="49"/>
    </row>
    <row r="235" spans="22:56" ht="16" x14ac:dyDescent="0.4">
      <c r="V235" s="97">
        <v>45984</v>
      </c>
      <c r="W235">
        <v>222044</v>
      </c>
      <c r="X235" s="101" t="s">
        <v>36</v>
      </c>
      <c r="Y235" s="105"/>
      <c r="Z235" s="50">
        <v>0.71597222222222223</v>
      </c>
      <c r="AA235" s="50">
        <v>0.12986111111111112</v>
      </c>
      <c r="AD235" s="37">
        <v>20672</v>
      </c>
      <c r="AE235" s="93">
        <f t="shared" si="21"/>
        <v>20.672000000000001</v>
      </c>
      <c r="AF235">
        <v>14.8</v>
      </c>
      <c r="AG235" s="103">
        <f t="shared" si="22"/>
        <v>14</v>
      </c>
      <c r="AH235" s="37">
        <f t="shared" si="23"/>
        <v>20.672000000000001</v>
      </c>
      <c r="AJ235" s="38"/>
      <c r="AL235" s="16"/>
      <c r="AN235" s="81"/>
      <c r="AO235" s="81"/>
      <c r="AP235" s="48"/>
      <c r="AR235" s="38"/>
      <c r="AS235" s="49"/>
      <c r="AU235" s="38"/>
      <c r="AW235" s="16"/>
      <c r="AY235" s="81"/>
      <c r="AZ235" s="81"/>
      <c r="BA235" s="48"/>
      <c r="BC235" s="38"/>
      <c r="BD235" s="49"/>
    </row>
    <row r="236" spans="22:56" ht="16" x14ac:dyDescent="0.4">
      <c r="V236" s="97">
        <v>45984</v>
      </c>
      <c r="W236">
        <v>222048</v>
      </c>
      <c r="X236" s="101" t="s">
        <v>36</v>
      </c>
      <c r="Y236" s="105"/>
      <c r="Z236" s="50">
        <v>0.87013888888888891</v>
      </c>
      <c r="AA236" s="50">
        <v>0.17916666666666667</v>
      </c>
      <c r="AD236" s="37">
        <v>20500</v>
      </c>
      <c r="AE236" s="93">
        <f t="shared" si="21"/>
        <v>20.5</v>
      </c>
      <c r="AF236">
        <v>15.27</v>
      </c>
      <c r="AG236" s="103">
        <f t="shared" si="22"/>
        <v>14</v>
      </c>
      <c r="AH236" s="37">
        <f t="shared" si="23"/>
        <v>20.5</v>
      </c>
      <c r="AJ236" s="38"/>
      <c r="AL236" s="16"/>
      <c r="AN236" s="81"/>
      <c r="AP236" s="48"/>
      <c r="AR236" s="38"/>
      <c r="AS236" s="49"/>
      <c r="AU236" s="38"/>
      <c r="AW236" s="16"/>
      <c r="AY236" s="81"/>
      <c r="BA236" s="48"/>
      <c r="BC236" s="38"/>
      <c r="BD236" s="49"/>
    </row>
    <row r="237" spans="22:56" ht="16" x14ac:dyDescent="0.4">
      <c r="V237" s="97">
        <v>45984</v>
      </c>
      <c r="W237">
        <v>222051</v>
      </c>
      <c r="X237" s="101" t="s">
        <v>36</v>
      </c>
      <c r="Y237" s="105"/>
      <c r="Z237" s="50">
        <v>0.71805555555555556</v>
      </c>
      <c r="AA237" s="50">
        <v>0.22083333333333333</v>
      </c>
      <c r="AD237" s="37">
        <v>19392</v>
      </c>
      <c r="AE237" s="93">
        <f t="shared" si="21"/>
        <v>19.391999999999999</v>
      </c>
      <c r="AF237">
        <v>14.66</v>
      </c>
      <c r="AG237" s="103">
        <f t="shared" si="22"/>
        <v>14</v>
      </c>
      <c r="AH237" s="37">
        <f t="shared" si="23"/>
        <v>19.391999999999999</v>
      </c>
      <c r="AJ237" s="38"/>
      <c r="AL237" s="16"/>
      <c r="AN237" s="81"/>
      <c r="AO237" s="81"/>
      <c r="AP237" s="48"/>
      <c r="AR237" s="38"/>
      <c r="AS237" s="49"/>
      <c r="AU237" s="38"/>
      <c r="AW237" s="16"/>
      <c r="AY237" s="81"/>
      <c r="AZ237" s="81"/>
      <c r="BA237" s="48"/>
      <c r="BC237" s="38"/>
      <c r="BD237" s="49"/>
    </row>
    <row r="238" spans="22:56" ht="16" x14ac:dyDescent="0.4">
      <c r="V238" s="97">
        <v>45984</v>
      </c>
      <c r="W238">
        <v>222057</v>
      </c>
      <c r="X238" s="101" t="s">
        <v>36</v>
      </c>
      <c r="Y238" s="105"/>
      <c r="Z238" s="50">
        <v>0.27021990740740742</v>
      </c>
      <c r="AA238" s="50"/>
      <c r="AD238" s="37">
        <v>14500</v>
      </c>
      <c r="AE238" s="93">
        <f t="shared" si="21"/>
        <v>14.5</v>
      </c>
      <c r="AF238">
        <v>12.91</v>
      </c>
      <c r="AG238" s="103">
        <f t="shared" si="22"/>
        <v>12.91</v>
      </c>
      <c r="AH238" s="37">
        <f t="shared" si="23"/>
        <v>13.371071428571428</v>
      </c>
      <c r="AJ238" s="38"/>
      <c r="AL238" s="16"/>
      <c r="AN238" s="81"/>
      <c r="AO238" s="81"/>
      <c r="AP238" s="48"/>
      <c r="AR238" s="38"/>
      <c r="AS238" s="49"/>
      <c r="AU238" s="38"/>
      <c r="AW238" s="16"/>
      <c r="AY238" s="81"/>
      <c r="AZ238" s="81"/>
      <c r="BA238" s="48"/>
      <c r="BC238" s="38"/>
      <c r="BD238" s="49"/>
    </row>
    <row r="239" spans="22:56" ht="16" x14ac:dyDescent="0.4">
      <c r="V239" s="97"/>
      <c r="X239" s="101"/>
      <c r="Y239" s="105"/>
      <c r="Z239" s="50"/>
      <c r="AA239" s="50"/>
      <c r="AD239" s="37"/>
      <c r="AE239" s="93">
        <f t="shared" si="21"/>
        <v>0</v>
      </c>
      <c r="AG239" s="103">
        <f t="shared" si="22"/>
        <v>0</v>
      </c>
      <c r="AH239" s="37">
        <f t="shared" si="23"/>
        <v>0</v>
      </c>
      <c r="AJ239" s="38"/>
      <c r="AL239" s="16"/>
      <c r="AP239" s="48"/>
      <c r="AR239" s="38"/>
      <c r="AS239" s="49"/>
      <c r="AU239" s="38"/>
      <c r="AW239" s="16"/>
      <c r="BA239" s="48"/>
      <c r="BC239" s="38"/>
      <c r="BD239" s="49"/>
    </row>
    <row r="240" spans="22:56" ht="16" x14ac:dyDescent="0.4">
      <c r="V240" s="97"/>
      <c r="X240" s="101"/>
      <c r="Y240" s="105"/>
      <c r="Z240" s="50"/>
      <c r="AA240" s="50"/>
      <c r="AD240" s="37"/>
      <c r="AE240" s="93">
        <f t="shared" si="21"/>
        <v>0</v>
      </c>
      <c r="AG240" s="103">
        <f t="shared" si="22"/>
        <v>0</v>
      </c>
      <c r="AH240" s="37">
        <f t="shared" si="23"/>
        <v>0</v>
      </c>
      <c r="AJ240" s="38"/>
      <c r="AL240" s="16"/>
      <c r="AN240" s="81"/>
      <c r="AO240" s="81"/>
      <c r="AP240" s="48"/>
      <c r="AR240" s="38"/>
      <c r="AS240" s="49"/>
      <c r="AU240" s="38"/>
      <c r="AW240" s="16"/>
      <c r="AY240" s="81"/>
      <c r="AZ240" s="81"/>
      <c r="BA240" s="48"/>
      <c r="BC240" s="38"/>
      <c r="BD240" s="49"/>
    </row>
    <row r="241" spans="22:56" ht="16" x14ac:dyDescent="0.4">
      <c r="V241" s="97"/>
      <c r="X241" s="101"/>
      <c r="Y241" s="105"/>
      <c r="Z241" s="50"/>
      <c r="AA241" s="50"/>
      <c r="AD241" s="37"/>
      <c r="AE241" s="93">
        <f t="shared" si="21"/>
        <v>0</v>
      </c>
      <c r="AG241" s="103">
        <f t="shared" si="22"/>
        <v>0</v>
      </c>
      <c r="AH241" s="37">
        <f t="shared" si="23"/>
        <v>0</v>
      </c>
      <c r="AJ241" s="38"/>
      <c r="AL241" s="16"/>
      <c r="AN241" s="81"/>
      <c r="AO241" s="81"/>
      <c r="AP241" s="48"/>
      <c r="AR241" s="38"/>
      <c r="AS241" s="49"/>
      <c r="AU241" s="38"/>
      <c r="AW241" s="16"/>
      <c r="AY241" s="81"/>
      <c r="AZ241" s="81"/>
      <c r="BA241" s="48"/>
      <c r="BC241" s="38"/>
      <c r="BD241" s="49"/>
    </row>
    <row r="242" spans="22:56" ht="16" x14ac:dyDescent="0.4">
      <c r="V242" s="97"/>
      <c r="X242" s="101"/>
      <c r="Y242" s="105"/>
      <c r="Z242" s="50"/>
      <c r="AA242" s="50"/>
      <c r="AD242" s="37"/>
      <c r="AE242" s="93">
        <f t="shared" si="21"/>
        <v>0</v>
      </c>
      <c r="AG242" s="103">
        <f t="shared" si="22"/>
        <v>0</v>
      </c>
      <c r="AH242" s="37">
        <f t="shared" si="23"/>
        <v>0</v>
      </c>
      <c r="AJ242" s="38"/>
      <c r="AL242" s="16"/>
      <c r="AN242" s="81"/>
      <c r="AO242" s="81"/>
      <c r="AP242" s="48"/>
      <c r="AR242" s="38"/>
      <c r="AS242" s="49"/>
      <c r="AU242" s="38"/>
      <c r="AW242" s="16"/>
      <c r="AY242" s="81"/>
      <c r="AZ242" s="81"/>
      <c r="BA242" s="48"/>
      <c r="BC242" s="38"/>
      <c r="BD242" s="49"/>
    </row>
    <row r="243" spans="22:56" ht="16" x14ac:dyDescent="0.4">
      <c r="V243" s="97"/>
      <c r="X243" s="101"/>
      <c r="Y243" s="105"/>
      <c r="Z243" s="50"/>
      <c r="AA243" s="50"/>
      <c r="AD243" s="37"/>
      <c r="AE243" s="93">
        <f t="shared" si="21"/>
        <v>0</v>
      </c>
      <c r="AG243" s="103">
        <f t="shared" si="22"/>
        <v>0</v>
      </c>
      <c r="AH243" s="37">
        <f t="shared" si="23"/>
        <v>0</v>
      </c>
      <c r="AJ243" s="38"/>
      <c r="AL243" s="16"/>
      <c r="AN243" s="39"/>
      <c r="AO243" s="39"/>
      <c r="AP243" s="48"/>
      <c r="AR243" s="38"/>
      <c r="AS243" s="49"/>
      <c r="AU243" s="38"/>
      <c r="AW243" s="16"/>
      <c r="AY243" s="39"/>
      <c r="AZ243" s="39"/>
      <c r="BA243" s="48"/>
      <c r="BC243" s="38"/>
      <c r="BD243" s="49"/>
    </row>
    <row r="244" spans="22:56" ht="16" x14ac:dyDescent="0.4">
      <c r="V244" s="97"/>
      <c r="X244" s="101"/>
      <c r="Y244" s="105"/>
      <c r="Z244" s="50"/>
      <c r="AA244" s="50"/>
      <c r="AD244" s="37"/>
      <c r="AE244" s="93">
        <f t="shared" si="21"/>
        <v>0</v>
      </c>
      <c r="AG244" s="103">
        <f t="shared" si="22"/>
        <v>0</v>
      </c>
      <c r="AH244" s="37">
        <f t="shared" si="23"/>
        <v>0</v>
      </c>
      <c r="AJ244" s="38"/>
      <c r="AL244" s="16"/>
      <c r="AN244" s="81"/>
      <c r="AO244" s="81"/>
      <c r="AP244" s="48"/>
      <c r="AR244" s="38"/>
      <c r="AS244" s="49"/>
      <c r="AU244" s="38"/>
      <c r="AW244" s="16"/>
      <c r="AY244" s="81"/>
      <c r="AZ244" s="81"/>
      <c r="BA244" s="48"/>
      <c r="BC244" s="38"/>
      <c r="BD244" s="49"/>
    </row>
    <row r="245" spans="22:56" ht="16" x14ac:dyDescent="0.4">
      <c r="V245" s="97"/>
      <c r="X245" s="101"/>
      <c r="Y245" s="105"/>
      <c r="Z245" s="50"/>
      <c r="AA245" s="50"/>
      <c r="AD245" s="37"/>
      <c r="AE245" s="93">
        <f t="shared" si="21"/>
        <v>0</v>
      </c>
      <c r="AG245" s="103">
        <f t="shared" si="22"/>
        <v>0</v>
      </c>
      <c r="AH245" s="37">
        <f t="shared" si="23"/>
        <v>0</v>
      </c>
      <c r="AJ245" s="38"/>
      <c r="AK245" s="81"/>
      <c r="AL245" s="16"/>
      <c r="AN245" s="81"/>
      <c r="AO245" s="81"/>
      <c r="AP245" s="48"/>
      <c r="AR245" s="38"/>
      <c r="AS245" s="49"/>
      <c r="AU245" s="38"/>
      <c r="AV245" s="81"/>
      <c r="AW245" s="16"/>
      <c r="AY245" s="81"/>
      <c r="AZ245" s="81"/>
      <c r="BA245" s="48"/>
      <c r="BC245" s="38"/>
      <c r="BD245" s="49"/>
    </row>
    <row r="246" spans="22:56" ht="16" x14ac:dyDescent="0.4">
      <c r="V246" s="97"/>
      <c r="X246" s="101"/>
      <c r="Y246" s="105"/>
      <c r="Z246" s="50"/>
      <c r="AA246" s="50"/>
      <c r="AD246" s="37"/>
      <c r="AE246" s="93">
        <f t="shared" si="21"/>
        <v>0</v>
      </c>
      <c r="AG246" s="103">
        <f t="shared" si="22"/>
        <v>0</v>
      </c>
      <c r="AH246" s="37">
        <f t="shared" si="23"/>
        <v>0</v>
      </c>
      <c r="AJ246" s="38"/>
      <c r="AL246" s="16"/>
      <c r="AN246" s="81"/>
      <c r="AO246" s="81"/>
      <c r="AP246" s="48"/>
      <c r="AR246" s="38"/>
      <c r="AS246" s="49"/>
      <c r="AU246" s="38"/>
      <c r="AW246" s="16"/>
      <c r="AY246" s="81"/>
      <c r="AZ246" s="81"/>
      <c r="BA246" s="48"/>
      <c r="BC246" s="38"/>
      <c r="BD246" s="49"/>
    </row>
    <row r="247" spans="22:56" ht="16" x14ac:dyDescent="0.4">
      <c r="V247" s="97"/>
      <c r="X247" s="101"/>
      <c r="Y247" s="105"/>
      <c r="Z247" s="50"/>
      <c r="AA247" s="50"/>
      <c r="AD247" s="37"/>
      <c r="AE247" s="93">
        <f t="shared" si="21"/>
        <v>0</v>
      </c>
      <c r="AG247" s="103">
        <f t="shared" si="22"/>
        <v>0</v>
      </c>
      <c r="AH247" s="37">
        <f t="shared" si="23"/>
        <v>0</v>
      </c>
      <c r="AJ247" s="38"/>
      <c r="AL247" s="16"/>
      <c r="AN247" s="81"/>
      <c r="AO247" s="81"/>
      <c r="AP247" s="48"/>
      <c r="AR247" s="38"/>
      <c r="AS247" s="49"/>
      <c r="AU247" s="38"/>
      <c r="AW247" s="16"/>
      <c r="AY247" s="81"/>
      <c r="AZ247" s="81"/>
      <c r="BA247" s="48"/>
      <c r="BC247" s="38"/>
      <c r="BD247" s="49"/>
    </row>
    <row r="248" spans="22:56" ht="16" x14ac:dyDescent="0.4">
      <c r="V248" s="97"/>
      <c r="X248" s="101"/>
      <c r="Y248" s="105"/>
      <c r="Z248" s="50"/>
      <c r="AA248" s="50"/>
      <c r="AD248" s="37"/>
      <c r="AE248" s="93">
        <f t="shared" si="21"/>
        <v>0</v>
      </c>
      <c r="AG248" s="103">
        <f t="shared" si="22"/>
        <v>0</v>
      </c>
      <c r="AH248" s="37">
        <f t="shared" si="23"/>
        <v>0</v>
      </c>
      <c r="AJ248" s="38"/>
      <c r="AL248" s="16"/>
      <c r="AN248" s="81"/>
      <c r="AO248" s="81"/>
      <c r="AP248" s="48"/>
      <c r="AR248" s="38"/>
      <c r="AS248" s="49"/>
      <c r="AU248" s="38"/>
      <c r="AW248" s="16"/>
      <c r="AY248" s="81"/>
      <c r="AZ248" s="81"/>
      <c r="BA248" s="48"/>
      <c r="BC248" s="38"/>
      <c r="BD248" s="49"/>
    </row>
    <row r="249" spans="22:56" ht="16" x14ac:dyDescent="0.4">
      <c r="V249" s="97"/>
      <c r="X249" s="101"/>
      <c r="Y249" s="105"/>
      <c r="Z249" s="50"/>
      <c r="AA249" s="50"/>
      <c r="AD249" s="37"/>
      <c r="AE249" s="93">
        <f t="shared" si="21"/>
        <v>0</v>
      </c>
      <c r="AG249" s="103">
        <f t="shared" si="22"/>
        <v>0</v>
      </c>
      <c r="AH249" s="37">
        <f t="shared" si="23"/>
        <v>0</v>
      </c>
      <c r="AJ249" s="38"/>
      <c r="AN249" s="81"/>
      <c r="AO249" s="81"/>
      <c r="AP249" s="48"/>
      <c r="AR249" s="38"/>
      <c r="AS249" s="49"/>
      <c r="AU249" s="38"/>
      <c r="AY249" s="81"/>
      <c r="AZ249" s="81"/>
      <c r="BA249" s="48"/>
      <c r="BC249" s="38"/>
      <c r="BD249" s="49"/>
    </row>
    <row r="250" spans="22:56" ht="16" x14ac:dyDescent="0.4">
      <c r="V250" s="97"/>
      <c r="X250" s="101"/>
      <c r="Y250" s="105"/>
      <c r="Z250" s="50"/>
      <c r="AA250" s="50"/>
      <c r="AD250" s="37"/>
      <c r="AE250" s="93">
        <f t="shared" si="21"/>
        <v>0</v>
      </c>
      <c r="AG250" s="103">
        <f t="shared" si="22"/>
        <v>0</v>
      </c>
      <c r="AH250" s="37">
        <f t="shared" si="23"/>
        <v>0</v>
      </c>
      <c r="AJ250" s="38"/>
      <c r="AN250" s="81"/>
      <c r="AO250" s="81"/>
      <c r="AP250" s="48"/>
      <c r="AR250" s="38"/>
      <c r="AS250" s="49"/>
      <c r="AU250" s="38"/>
      <c r="AY250" s="81"/>
      <c r="AZ250" s="81"/>
      <c r="BA250" s="48"/>
      <c r="BC250" s="38"/>
      <c r="BD250" s="49"/>
    </row>
    <row r="251" spans="22:56" ht="16" x14ac:dyDescent="0.4">
      <c r="V251" s="97"/>
      <c r="X251" s="101"/>
      <c r="Y251" s="105"/>
      <c r="Z251" s="50"/>
      <c r="AA251" s="50"/>
      <c r="AD251" s="37"/>
      <c r="AE251" s="93">
        <f t="shared" si="21"/>
        <v>0</v>
      </c>
      <c r="AG251" s="103">
        <f t="shared" si="22"/>
        <v>0</v>
      </c>
      <c r="AH251" s="37">
        <f t="shared" si="23"/>
        <v>0</v>
      </c>
      <c r="AJ251" s="38"/>
      <c r="AN251" s="81"/>
      <c r="AO251" s="81"/>
      <c r="AP251" s="48"/>
      <c r="AR251" s="38"/>
      <c r="AS251" s="49"/>
      <c r="AU251" s="38"/>
      <c r="AY251" s="81"/>
      <c r="AZ251" s="81"/>
      <c r="BA251" s="48"/>
      <c r="BC251" s="38"/>
      <c r="BD251" s="49"/>
    </row>
    <row r="252" spans="22:56" ht="16" x14ac:dyDescent="0.4">
      <c r="V252" s="97"/>
      <c r="X252" s="101"/>
      <c r="Y252" s="105"/>
      <c r="Z252" s="50"/>
      <c r="AA252" s="50"/>
      <c r="AD252" s="37"/>
      <c r="AE252" s="93">
        <f t="shared" si="21"/>
        <v>0</v>
      </c>
      <c r="AG252" s="103">
        <f t="shared" si="22"/>
        <v>0</v>
      </c>
      <c r="AH252" s="37">
        <f t="shared" si="23"/>
        <v>0</v>
      </c>
      <c r="AJ252" s="38"/>
      <c r="AN252" s="81"/>
      <c r="AO252" s="81"/>
      <c r="AP252" s="48"/>
      <c r="AR252" s="38"/>
      <c r="AS252" s="49"/>
      <c r="AU252" s="38"/>
      <c r="AY252" s="81"/>
      <c r="AZ252" s="81"/>
      <c r="BA252" s="48"/>
      <c r="BC252" s="38"/>
      <c r="BD252" s="49"/>
    </row>
    <row r="253" spans="22:56" ht="16" x14ac:dyDescent="0.4">
      <c r="V253" s="97"/>
      <c r="X253" s="101"/>
      <c r="Y253" s="105"/>
      <c r="Z253" s="50"/>
      <c r="AA253" s="50"/>
      <c r="AD253" s="37"/>
      <c r="AE253" s="93">
        <f t="shared" si="21"/>
        <v>0</v>
      </c>
      <c r="AG253" s="103">
        <f t="shared" si="22"/>
        <v>0</v>
      </c>
      <c r="AH253" s="37">
        <f t="shared" si="23"/>
        <v>0</v>
      </c>
      <c r="AJ253" s="38"/>
      <c r="AN253" s="81"/>
      <c r="AO253" s="81"/>
      <c r="AP253" s="48"/>
      <c r="AR253" s="38"/>
      <c r="AS253" s="49"/>
      <c r="AU253" s="38"/>
      <c r="AY253" s="81"/>
      <c r="AZ253" s="81"/>
      <c r="BA253" s="48"/>
      <c r="BC253" s="38"/>
      <c r="BD253" s="49"/>
    </row>
    <row r="254" spans="22:56" ht="16" x14ac:dyDescent="0.4">
      <c r="V254" s="97"/>
      <c r="X254" s="101"/>
      <c r="Y254" s="110"/>
      <c r="Z254" s="50"/>
      <c r="AA254" s="50"/>
      <c r="AD254" s="37"/>
      <c r="AE254" s="93">
        <f t="shared" si="21"/>
        <v>0</v>
      </c>
      <c r="AG254" s="103">
        <f t="shared" si="22"/>
        <v>0</v>
      </c>
      <c r="AH254" s="37">
        <f t="shared" si="23"/>
        <v>0</v>
      </c>
      <c r="AJ254" s="38"/>
      <c r="AP254" s="48"/>
      <c r="AR254" s="38"/>
      <c r="AS254" s="49"/>
      <c r="AU254" s="38"/>
      <c r="BA254" s="48"/>
      <c r="BC254" s="38"/>
      <c r="BD254" s="49"/>
    </row>
    <row r="255" spans="22:56" ht="16" x14ac:dyDescent="0.4">
      <c r="V255" s="97"/>
      <c r="X255" s="101"/>
      <c r="Y255" s="105"/>
      <c r="Z255" s="50"/>
      <c r="AA255" s="50"/>
      <c r="AD255" s="37"/>
      <c r="AE255" s="93">
        <f t="shared" si="21"/>
        <v>0</v>
      </c>
      <c r="AG255" s="103">
        <f t="shared" si="22"/>
        <v>0</v>
      </c>
      <c r="AH255" s="37">
        <f t="shared" si="23"/>
        <v>0</v>
      </c>
      <c r="AJ255" s="38"/>
      <c r="AN255" s="81"/>
      <c r="AO255" s="81"/>
      <c r="AP255" s="48"/>
      <c r="AR255" s="38"/>
      <c r="AS255" s="71"/>
      <c r="AU255" s="38"/>
      <c r="AY255" s="81"/>
      <c r="AZ255" s="81"/>
      <c r="BA255" s="48"/>
      <c r="BC255" s="38"/>
      <c r="BD255" s="71"/>
    </row>
    <row r="256" spans="22:56" ht="16" x14ac:dyDescent="0.4">
      <c r="V256" s="97"/>
      <c r="X256" s="101"/>
      <c r="Y256" s="105"/>
      <c r="Z256" s="50"/>
      <c r="AA256" s="50"/>
      <c r="AD256" s="37"/>
      <c r="AE256" s="93">
        <f t="shared" si="21"/>
        <v>0</v>
      </c>
      <c r="AG256" s="103">
        <f t="shared" si="22"/>
        <v>0</v>
      </c>
      <c r="AH256" s="37">
        <f t="shared" si="23"/>
        <v>0</v>
      </c>
      <c r="AJ256" s="38"/>
      <c r="AN256" s="81"/>
      <c r="AO256" s="81"/>
      <c r="AP256" s="48"/>
      <c r="AR256" s="38"/>
      <c r="AS256" s="49"/>
      <c r="AU256" s="38"/>
      <c r="AY256" s="81"/>
      <c r="AZ256" s="81"/>
      <c r="BA256" s="48"/>
      <c r="BC256" s="38"/>
      <c r="BD256" s="49"/>
    </row>
    <row r="257" spans="22:56" ht="16" x14ac:dyDescent="0.4">
      <c r="V257" s="97"/>
      <c r="X257" s="101"/>
      <c r="Y257" s="105"/>
      <c r="Z257" s="50"/>
      <c r="AA257" s="50"/>
      <c r="AD257" s="37"/>
      <c r="AE257" s="93">
        <f t="shared" si="21"/>
        <v>0</v>
      </c>
      <c r="AG257" s="103">
        <f t="shared" si="22"/>
        <v>0</v>
      </c>
      <c r="AH257" s="37">
        <f t="shared" si="23"/>
        <v>0</v>
      </c>
      <c r="AJ257" s="38"/>
      <c r="AN257" s="81"/>
      <c r="AO257" s="81"/>
      <c r="AP257" s="48"/>
      <c r="AR257" s="38"/>
      <c r="AS257" s="49"/>
      <c r="AU257" s="38"/>
      <c r="AY257" s="81"/>
      <c r="AZ257" s="81"/>
      <c r="BA257" s="48"/>
      <c r="BC257" s="38"/>
      <c r="BD257" s="49"/>
    </row>
    <row r="258" spans="22:56" ht="16" x14ac:dyDescent="0.4">
      <c r="V258" s="97"/>
      <c r="X258" s="101"/>
      <c r="Y258" s="105"/>
      <c r="Z258" s="50"/>
      <c r="AA258" s="50"/>
      <c r="AD258" s="37"/>
      <c r="AE258" s="93">
        <f t="shared" ref="AE258:AE321" si="24">AD258/1000</f>
        <v>0</v>
      </c>
      <c r="AG258" s="103">
        <f t="shared" ref="AG258:AG309" si="25">IF($AF258&gt;14,14,$AF258)</f>
        <v>0</v>
      </c>
      <c r="AH258" s="37">
        <f t="shared" ref="AH258:AH321" si="26">AE258*AG258/14</f>
        <v>0</v>
      </c>
      <c r="AJ258" s="97"/>
      <c r="AN258" s="39"/>
      <c r="AO258" s="39"/>
      <c r="AP258" s="47"/>
      <c r="AR258" s="38"/>
      <c r="AS258" s="49"/>
      <c r="AU258" s="97"/>
      <c r="AY258" s="39"/>
      <c r="AZ258" s="39"/>
      <c r="BA258" s="47"/>
      <c r="BC258" s="38"/>
      <c r="BD258" s="49"/>
    </row>
    <row r="259" spans="22:56" ht="16" x14ac:dyDescent="0.4">
      <c r="V259" s="97"/>
      <c r="X259" s="101"/>
      <c r="Y259" s="105"/>
      <c r="Z259" s="50"/>
      <c r="AA259" s="50"/>
      <c r="AD259" s="37"/>
      <c r="AE259" s="93">
        <f t="shared" si="24"/>
        <v>0</v>
      </c>
      <c r="AG259" s="103">
        <f t="shared" si="25"/>
        <v>0</v>
      </c>
      <c r="AH259" s="37">
        <f t="shared" si="26"/>
        <v>0</v>
      </c>
      <c r="AJ259" s="97"/>
      <c r="AP259" s="47"/>
      <c r="AR259" s="38"/>
      <c r="AS259" s="49"/>
      <c r="AU259" s="97"/>
      <c r="BA259" s="47"/>
      <c r="BC259" s="38"/>
      <c r="BD259" s="49"/>
    </row>
    <row r="260" spans="22:56" ht="16" x14ac:dyDescent="0.4">
      <c r="V260" s="97"/>
      <c r="X260" s="101"/>
      <c r="Y260" s="105"/>
      <c r="Z260" s="50"/>
      <c r="AA260" s="50"/>
      <c r="AD260" s="37"/>
      <c r="AE260" s="93">
        <f t="shared" si="24"/>
        <v>0</v>
      </c>
      <c r="AG260" s="103">
        <f t="shared" si="25"/>
        <v>0</v>
      </c>
      <c r="AH260" s="37">
        <f t="shared" si="26"/>
        <v>0</v>
      </c>
      <c r="AJ260" s="97"/>
      <c r="AN260" s="39"/>
      <c r="AO260" s="39"/>
      <c r="AP260" s="47"/>
      <c r="AR260" s="38"/>
      <c r="AS260" s="49"/>
      <c r="AU260" s="97"/>
      <c r="AY260" s="39"/>
      <c r="AZ260" s="39"/>
      <c r="BA260" s="47"/>
      <c r="BC260" s="38"/>
      <c r="BD260" s="49"/>
    </row>
    <row r="261" spans="22:56" ht="16" x14ac:dyDescent="0.4">
      <c r="V261" s="97"/>
      <c r="X261" s="101"/>
      <c r="Y261" s="105"/>
      <c r="Z261" s="50"/>
      <c r="AA261" s="50"/>
      <c r="AD261" s="37"/>
      <c r="AE261" s="93">
        <f t="shared" si="24"/>
        <v>0</v>
      </c>
      <c r="AG261" s="103">
        <f t="shared" si="25"/>
        <v>0</v>
      </c>
      <c r="AH261" s="37">
        <f t="shared" si="26"/>
        <v>0</v>
      </c>
      <c r="AJ261" s="97"/>
      <c r="AN261" s="39"/>
      <c r="AO261" s="39"/>
      <c r="AP261" s="47"/>
      <c r="AR261" s="38"/>
      <c r="AS261" s="49"/>
      <c r="AU261" s="97"/>
      <c r="AY261" s="39"/>
      <c r="AZ261" s="39"/>
      <c r="BA261" s="47"/>
      <c r="BC261" s="38"/>
      <c r="BD261" s="49"/>
    </row>
    <row r="262" spans="22:56" ht="16" x14ac:dyDescent="0.4">
      <c r="V262" s="97"/>
      <c r="X262" s="101"/>
      <c r="Y262" s="105"/>
      <c r="Z262" s="50"/>
      <c r="AA262" s="50"/>
      <c r="AD262" s="37"/>
      <c r="AE262" s="93">
        <f t="shared" si="24"/>
        <v>0</v>
      </c>
      <c r="AG262" s="103">
        <f t="shared" si="25"/>
        <v>0</v>
      </c>
      <c r="AH262" s="37">
        <f t="shared" si="26"/>
        <v>0</v>
      </c>
      <c r="AJ262" s="97"/>
      <c r="AN262" s="39"/>
      <c r="AO262" s="39"/>
      <c r="AP262" s="94"/>
      <c r="AR262" s="38"/>
      <c r="AS262" s="49"/>
      <c r="AU262" s="97"/>
      <c r="AY262" s="39"/>
      <c r="AZ262" s="39"/>
      <c r="BA262" s="94"/>
      <c r="BC262" s="38"/>
      <c r="BD262" s="49"/>
    </row>
    <row r="263" spans="22:56" ht="16" x14ac:dyDescent="0.4">
      <c r="V263" s="97"/>
      <c r="X263" s="101"/>
      <c r="Y263" s="105"/>
      <c r="Z263" s="50"/>
      <c r="AA263" s="50"/>
      <c r="AD263" s="37"/>
      <c r="AE263" s="93">
        <f t="shared" si="24"/>
        <v>0</v>
      </c>
      <c r="AG263" s="103">
        <f t="shared" si="25"/>
        <v>0</v>
      </c>
      <c r="AH263" s="37">
        <f t="shared" si="26"/>
        <v>0</v>
      </c>
      <c r="AJ263" s="97"/>
      <c r="AN263" s="39"/>
      <c r="AO263" s="39"/>
      <c r="AP263" s="94"/>
      <c r="AR263" s="38"/>
      <c r="AS263" s="49"/>
      <c r="AU263" s="97"/>
      <c r="AY263" s="39"/>
      <c r="AZ263" s="39"/>
      <c r="BA263" s="94"/>
      <c r="BC263" s="38"/>
      <c r="BD263" s="49"/>
    </row>
    <row r="264" spans="22:56" ht="16" x14ac:dyDescent="0.4">
      <c r="V264" s="97"/>
      <c r="X264" s="101"/>
      <c r="Y264" s="105"/>
      <c r="Z264" s="50"/>
      <c r="AA264" s="50"/>
      <c r="AD264" s="37"/>
      <c r="AE264" s="93">
        <f t="shared" si="24"/>
        <v>0</v>
      </c>
      <c r="AG264" s="103">
        <f t="shared" si="25"/>
        <v>0</v>
      </c>
      <c r="AH264" s="37">
        <f t="shared" si="26"/>
        <v>0</v>
      </c>
      <c r="AJ264" s="97"/>
      <c r="AN264" s="39"/>
      <c r="AO264" s="39"/>
      <c r="AP264" s="94"/>
      <c r="AR264" s="38"/>
      <c r="AS264" s="49"/>
      <c r="AU264" s="97"/>
      <c r="AY264" s="39"/>
      <c r="AZ264" s="39"/>
      <c r="BA264" s="94"/>
      <c r="BC264" s="38"/>
      <c r="BD264" s="49"/>
    </row>
    <row r="265" spans="22:56" ht="16" x14ac:dyDescent="0.4">
      <c r="V265" s="97"/>
      <c r="X265" s="101"/>
      <c r="Y265" s="105"/>
      <c r="Z265" s="50"/>
      <c r="AA265" s="50"/>
      <c r="AD265" s="37"/>
      <c r="AE265" s="93">
        <f t="shared" si="24"/>
        <v>0</v>
      </c>
      <c r="AG265" s="103">
        <f t="shared" si="25"/>
        <v>0</v>
      </c>
      <c r="AH265" s="37">
        <f t="shared" si="26"/>
        <v>0</v>
      </c>
      <c r="AJ265" s="97"/>
      <c r="AN265" s="39"/>
      <c r="AO265" s="39"/>
      <c r="AP265" s="94"/>
      <c r="AR265" s="38"/>
      <c r="AS265" s="49"/>
      <c r="AU265" s="97"/>
      <c r="AY265" s="39"/>
      <c r="AZ265" s="39"/>
      <c r="BA265" s="94"/>
      <c r="BC265" s="38"/>
      <c r="BD265" s="49"/>
    </row>
    <row r="266" spans="22:56" ht="16" x14ac:dyDescent="0.4">
      <c r="V266" s="97"/>
      <c r="X266" s="101"/>
      <c r="Y266" s="105"/>
      <c r="Z266" s="50"/>
      <c r="AA266" s="50"/>
      <c r="AD266" s="37"/>
      <c r="AE266" s="93">
        <f t="shared" si="24"/>
        <v>0</v>
      </c>
      <c r="AG266" s="103">
        <f t="shared" si="25"/>
        <v>0</v>
      </c>
      <c r="AH266" s="37">
        <f t="shared" si="26"/>
        <v>0</v>
      </c>
      <c r="AJ266" s="97"/>
      <c r="AN266" s="39"/>
      <c r="AO266" s="39"/>
      <c r="AP266" s="94"/>
      <c r="AR266" s="38"/>
      <c r="AS266" s="49"/>
      <c r="AU266" s="97"/>
      <c r="AY266" s="39"/>
      <c r="AZ266" s="39"/>
      <c r="BA266" s="94"/>
      <c r="BC266" s="38"/>
      <c r="BD266" s="49"/>
    </row>
    <row r="267" spans="22:56" ht="16" x14ac:dyDescent="0.4">
      <c r="V267" s="97"/>
      <c r="X267" s="101"/>
      <c r="Y267" s="105"/>
      <c r="Z267" s="50"/>
      <c r="AA267" s="50"/>
      <c r="AD267" s="37"/>
      <c r="AE267" s="93">
        <f t="shared" si="24"/>
        <v>0</v>
      </c>
      <c r="AG267" s="103">
        <f t="shared" si="25"/>
        <v>0</v>
      </c>
      <c r="AH267" s="37">
        <f t="shared" si="26"/>
        <v>0</v>
      </c>
      <c r="AJ267" s="97"/>
      <c r="AN267" s="39"/>
      <c r="AO267" s="39"/>
      <c r="AP267" s="47"/>
      <c r="AR267" s="38"/>
      <c r="AS267" s="49"/>
      <c r="AU267" s="97"/>
      <c r="AY267" s="39"/>
      <c r="AZ267" s="39"/>
      <c r="BA267" s="47"/>
      <c r="BC267" s="38"/>
      <c r="BD267" s="49"/>
    </row>
    <row r="268" spans="22:56" ht="16" x14ac:dyDescent="0.4">
      <c r="V268" s="97"/>
      <c r="X268" s="101"/>
      <c r="Y268" s="105"/>
      <c r="Z268" s="50"/>
      <c r="AA268" s="50"/>
      <c r="AD268" s="37"/>
      <c r="AE268" s="93">
        <f t="shared" si="24"/>
        <v>0</v>
      </c>
      <c r="AG268" s="103">
        <f t="shared" si="25"/>
        <v>0</v>
      </c>
      <c r="AH268" s="37">
        <f t="shared" si="26"/>
        <v>0</v>
      </c>
      <c r="AJ268" s="97"/>
      <c r="AN268" s="39"/>
      <c r="AO268" s="39"/>
      <c r="AP268" s="47"/>
      <c r="AR268" s="38"/>
      <c r="AS268" s="49"/>
      <c r="AU268" s="97"/>
      <c r="AY268" s="39"/>
      <c r="AZ268" s="39"/>
      <c r="BA268" s="47"/>
      <c r="BC268" s="38"/>
      <c r="BD268" s="49"/>
    </row>
    <row r="269" spans="22:56" ht="16" x14ac:dyDescent="0.4">
      <c r="V269" s="97"/>
      <c r="X269" s="101"/>
      <c r="Y269" s="105"/>
      <c r="Z269" s="50"/>
      <c r="AA269" s="50"/>
      <c r="AD269" s="37"/>
      <c r="AE269" s="93">
        <f t="shared" si="24"/>
        <v>0</v>
      </c>
      <c r="AG269" s="103">
        <f t="shared" si="25"/>
        <v>0</v>
      </c>
      <c r="AH269" s="37">
        <f t="shared" si="26"/>
        <v>0</v>
      </c>
      <c r="AJ269" s="97"/>
      <c r="AN269" s="39"/>
      <c r="AO269" s="39"/>
      <c r="AP269" s="47"/>
      <c r="AR269" s="38"/>
      <c r="AS269" s="49"/>
      <c r="AU269" s="97"/>
      <c r="AY269" s="39"/>
      <c r="AZ269" s="39"/>
      <c r="BA269" s="47"/>
      <c r="BC269" s="38"/>
      <c r="BD269" s="49"/>
    </row>
    <row r="270" spans="22:56" ht="16" x14ac:dyDescent="0.4">
      <c r="V270" s="97"/>
      <c r="X270" s="101"/>
      <c r="Y270" s="105"/>
      <c r="Z270" s="50"/>
      <c r="AA270" s="50"/>
      <c r="AD270" s="37"/>
      <c r="AE270" s="93">
        <f t="shared" si="24"/>
        <v>0</v>
      </c>
      <c r="AG270" s="103">
        <f t="shared" si="25"/>
        <v>0</v>
      </c>
      <c r="AH270" s="37">
        <f t="shared" si="26"/>
        <v>0</v>
      </c>
      <c r="AJ270" s="97"/>
      <c r="AN270" s="39"/>
      <c r="AO270" s="39"/>
      <c r="AP270" s="47"/>
      <c r="AR270" s="38"/>
      <c r="AS270" s="49"/>
      <c r="AU270" s="97"/>
      <c r="AY270" s="39"/>
      <c r="AZ270" s="39"/>
      <c r="BA270" s="47"/>
      <c r="BC270" s="38"/>
      <c r="BD270" s="49"/>
    </row>
    <row r="271" spans="22:56" ht="16" x14ac:dyDescent="0.4">
      <c r="V271" s="97"/>
      <c r="X271" s="101"/>
      <c r="Y271" s="105"/>
      <c r="Z271" s="50"/>
      <c r="AA271" s="50"/>
      <c r="AD271" s="37"/>
      <c r="AE271" s="93">
        <f t="shared" si="24"/>
        <v>0</v>
      </c>
      <c r="AG271" s="103">
        <f t="shared" si="25"/>
        <v>0</v>
      </c>
      <c r="AH271" s="37">
        <f t="shared" si="26"/>
        <v>0</v>
      </c>
      <c r="AJ271" s="97"/>
      <c r="AN271" s="39"/>
      <c r="AO271" s="39"/>
      <c r="AP271" s="47"/>
      <c r="AR271" s="38"/>
      <c r="AS271" s="49"/>
      <c r="AU271" s="97"/>
      <c r="AY271" s="39"/>
      <c r="AZ271" s="39"/>
      <c r="BA271" s="47"/>
      <c r="BC271" s="38"/>
      <c r="BD271" s="49"/>
    </row>
    <row r="272" spans="22:56" ht="16" x14ac:dyDescent="0.4">
      <c r="V272" s="97"/>
      <c r="X272" s="101"/>
      <c r="Y272" s="105"/>
      <c r="Z272" s="50"/>
      <c r="AA272" s="50"/>
      <c r="AD272" s="37"/>
      <c r="AE272" s="93">
        <f t="shared" si="24"/>
        <v>0</v>
      </c>
      <c r="AG272" s="103">
        <f t="shared" si="25"/>
        <v>0</v>
      </c>
      <c r="AH272" s="37">
        <f t="shared" si="26"/>
        <v>0</v>
      </c>
      <c r="AJ272" s="97"/>
      <c r="AN272" s="39"/>
      <c r="AO272" s="39"/>
      <c r="AP272" s="47"/>
      <c r="AR272" s="38"/>
      <c r="AS272" s="49"/>
      <c r="AU272" s="97"/>
      <c r="AY272" s="39"/>
      <c r="AZ272" s="39"/>
      <c r="BA272" s="47"/>
      <c r="BC272" s="38"/>
      <c r="BD272" s="49"/>
    </row>
    <row r="273" spans="22:56" ht="16" x14ac:dyDescent="0.4">
      <c r="V273" s="97"/>
      <c r="X273" s="101"/>
      <c r="Y273" s="105"/>
      <c r="Z273" s="50"/>
      <c r="AA273" s="50"/>
      <c r="AD273" s="37"/>
      <c r="AE273" s="93">
        <f t="shared" si="24"/>
        <v>0</v>
      </c>
      <c r="AG273" s="103">
        <f t="shared" si="25"/>
        <v>0</v>
      </c>
      <c r="AH273" s="37">
        <f t="shared" si="26"/>
        <v>0</v>
      </c>
      <c r="AJ273" s="97"/>
      <c r="AN273" s="39"/>
      <c r="AO273" s="39"/>
      <c r="AP273" s="47"/>
      <c r="AR273" s="38"/>
      <c r="AS273" s="49"/>
      <c r="AU273" s="97"/>
      <c r="AY273" s="39"/>
      <c r="AZ273" s="39"/>
      <c r="BA273" s="47"/>
      <c r="BC273" s="38"/>
      <c r="BD273" s="49"/>
    </row>
    <row r="274" spans="22:56" ht="16" x14ac:dyDescent="0.4">
      <c r="V274" s="97"/>
      <c r="W274" s="16"/>
      <c r="X274" s="101"/>
      <c r="Y274" s="105"/>
      <c r="Z274" s="50"/>
      <c r="AA274" s="50"/>
      <c r="AD274" s="37"/>
      <c r="AE274" s="93">
        <f t="shared" si="24"/>
        <v>0</v>
      </c>
      <c r="AF274" s="16"/>
      <c r="AG274" s="103">
        <f t="shared" si="25"/>
        <v>0</v>
      </c>
      <c r="AH274" s="37">
        <f t="shared" si="26"/>
        <v>0</v>
      </c>
      <c r="AJ274" s="97"/>
      <c r="AN274" s="39"/>
      <c r="AO274" s="39"/>
      <c r="AP274" s="47"/>
      <c r="AR274" s="38"/>
      <c r="AS274" s="49"/>
      <c r="AU274" s="97"/>
      <c r="AY274" s="39"/>
      <c r="AZ274" s="39"/>
      <c r="BA274" s="47"/>
      <c r="BC274" s="38"/>
      <c r="BD274" s="49"/>
    </row>
    <row r="275" spans="22:56" ht="16" x14ac:dyDescent="0.4">
      <c r="V275" s="97"/>
      <c r="W275" s="16"/>
      <c r="X275" s="101"/>
      <c r="Y275" s="105"/>
      <c r="Z275" s="50"/>
      <c r="AA275" s="50"/>
      <c r="AD275" s="37"/>
      <c r="AE275" s="93">
        <f t="shared" si="24"/>
        <v>0</v>
      </c>
      <c r="AF275" s="16"/>
      <c r="AG275" s="103">
        <f t="shared" si="25"/>
        <v>0</v>
      </c>
      <c r="AH275" s="37">
        <f t="shared" si="26"/>
        <v>0</v>
      </c>
      <c r="AJ275" s="97"/>
      <c r="AN275" s="39"/>
      <c r="AO275" s="39"/>
      <c r="AP275" s="47"/>
      <c r="AR275" s="38"/>
      <c r="AS275" s="49"/>
      <c r="AU275" s="97"/>
      <c r="AY275" s="39"/>
      <c r="AZ275" s="39"/>
      <c r="BA275" s="47"/>
      <c r="BC275" s="38"/>
      <c r="BD275" s="49"/>
    </row>
    <row r="276" spans="22:56" ht="16" x14ac:dyDescent="0.4">
      <c r="V276" s="97"/>
      <c r="W276" s="16"/>
      <c r="X276" s="101"/>
      <c r="Y276" s="105"/>
      <c r="Z276" s="50"/>
      <c r="AA276" s="50"/>
      <c r="AD276" s="37"/>
      <c r="AE276" s="93">
        <f t="shared" si="24"/>
        <v>0</v>
      </c>
      <c r="AF276" s="16"/>
      <c r="AG276" s="103">
        <f t="shared" si="25"/>
        <v>0</v>
      </c>
      <c r="AH276" s="37">
        <f t="shared" si="26"/>
        <v>0</v>
      </c>
      <c r="AJ276" s="97"/>
      <c r="AN276" s="39"/>
      <c r="AO276" s="39"/>
      <c r="AP276" s="47"/>
      <c r="AR276" s="38"/>
      <c r="AS276" s="49"/>
      <c r="AU276" s="97"/>
      <c r="AY276" s="39"/>
      <c r="AZ276" s="39"/>
      <c r="BA276" s="47"/>
      <c r="BC276" s="38"/>
      <c r="BD276" s="49"/>
    </row>
    <row r="277" spans="22:56" ht="16" x14ac:dyDescent="0.4">
      <c r="V277" s="97"/>
      <c r="W277" s="16"/>
      <c r="X277" s="101"/>
      <c r="Y277" s="105"/>
      <c r="Z277" s="50"/>
      <c r="AA277" s="50"/>
      <c r="AD277" s="37"/>
      <c r="AE277" s="93">
        <f t="shared" si="24"/>
        <v>0</v>
      </c>
      <c r="AF277" s="16"/>
      <c r="AG277" s="103">
        <f t="shared" si="25"/>
        <v>0</v>
      </c>
      <c r="AH277" s="37">
        <f t="shared" si="26"/>
        <v>0</v>
      </c>
      <c r="AJ277" s="97"/>
      <c r="AN277" s="39"/>
      <c r="AO277" s="39"/>
      <c r="AP277" s="47"/>
      <c r="AR277" s="38"/>
      <c r="AS277" s="49"/>
      <c r="AU277" s="97"/>
      <c r="AY277" s="39"/>
      <c r="AZ277" s="39"/>
      <c r="BA277" s="47"/>
      <c r="BC277" s="38"/>
      <c r="BD277" s="49"/>
    </row>
    <row r="278" spans="22:56" ht="16" x14ac:dyDescent="0.4">
      <c r="V278" s="97"/>
      <c r="W278" s="16"/>
      <c r="X278" s="101"/>
      <c r="Y278" s="105"/>
      <c r="Z278" s="50"/>
      <c r="AA278" s="50"/>
      <c r="AD278" s="37"/>
      <c r="AE278" s="93">
        <f t="shared" si="24"/>
        <v>0</v>
      </c>
      <c r="AF278" s="16"/>
      <c r="AG278" s="103">
        <f t="shared" si="25"/>
        <v>0</v>
      </c>
      <c r="AH278" s="37">
        <f t="shared" si="26"/>
        <v>0</v>
      </c>
      <c r="AJ278" s="97"/>
      <c r="AN278" s="39"/>
      <c r="AO278" s="39"/>
      <c r="AP278" s="47"/>
      <c r="AR278" s="38"/>
      <c r="AS278" s="49"/>
      <c r="AU278" s="97"/>
      <c r="AY278" s="39"/>
      <c r="AZ278" s="39"/>
      <c r="BA278" s="47"/>
      <c r="BC278" s="38"/>
      <c r="BD278" s="49"/>
    </row>
    <row r="279" spans="22:56" ht="16" x14ac:dyDescent="0.4">
      <c r="V279" s="97"/>
      <c r="W279" s="16"/>
      <c r="X279" s="101"/>
      <c r="Y279" s="105"/>
      <c r="Z279" s="50"/>
      <c r="AA279" s="50"/>
      <c r="AD279" s="37"/>
      <c r="AE279" s="93">
        <f t="shared" si="24"/>
        <v>0</v>
      </c>
      <c r="AF279" s="16"/>
      <c r="AG279" s="103">
        <f t="shared" si="25"/>
        <v>0</v>
      </c>
      <c r="AH279" s="37">
        <f t="shared" si="26"/>
        <v>0</v>
      </c>
      <c r="AJ279" s="97"/>
      <c r="AN279" s="39"/>
      <c r="AO279" s="39"/>
      <c r="AP279" s="47"/>
      <c r="AR279" s="38"/>
      <c r="AS279" s="49"/>
      <c r="AU279" s="97"/>
      <c r="AY279" s="39"/>
      <c r="AZ279" s="39"/>
      <c r="BA279" s="47"/>
      <c r="BC279" s="38"/>
      <c r="BD279" s="49"/>
    </row>
    <row r="280" spans="22:56" ht="16" x14ac:dyDescent="0.4">
      <c r="V280" s="97"/>
      <c r="W280" s="16"/>
      <c r="X280" s="101"/>
      <c r="Y280" s="105"/>
      <c r="Z280" s="50"/>
      <c r="AA280" s="50"/>
      <c r="AD280" s="37"/>
      <c r="AE280" s="93">
        <f t="shared" si="24"/>
        <v>0</v>
      </c>
      <c r="AF280" s="16"/>
      <c r="AG280" s="103">
        <f t="shared" si="25"/>
        <v>0</v>
      </c>
      <c r="AH280" s="37">
        <f t="shared" si="26"/>
        <v>0</v>
      </c>
      <c r="AJ280" s="97"/>
      <c r="AN280" s="39"/>
      <c r="AO280" s="39"/>
      <c r="AP280" s="47"/>
      <c r="AR280" s="38"/>
      <c r="AS280" s="49"/>
      <c r="AU280" s="97"/>
      <c r="AY280" s="39"/>
      <c r="AZ280" s="39"/>
      <c r="BA280" s="47"/>
      <c r="BC280" s="38"/>
      <c r="BD280" s="49"/>
    </row>
    <row r="281" spans="22:56" ht="16" x14ac:dyDescent="0.4">
      <c r="V281" s="97"/>
      <c r="W281" s="16"/>
      <c r="X281" s="101"/>
      <c r="Y281" s="105"/>
      <c r="Z281" s="50"/>
      <c r="AA281" s="50"/>
      <c r="AD281" s="37"/>
      <c r="AE281" s="93">
        <f t="shared" si="24"/>
        <v>0</v>
      </c>
      <c r="AF281" s="16"/>
      <c r="AG281" s="103">
        <f t="shared" si="25"/>
        <v>0</v>
      </c>
      <c r="AH281" s="37">
        <f t="shared" si="26"/>
        <v>0</v>
      </c>
      <c r="AJ281" s="97"/>
      <c r="AN281" s="39"/>
      <c r="AO281" s="39"/>
      <c r="AP281" s="47"/>
      <c r="AR281" s="38"/>
      <c r="AS281" s="49"/>
      <c r="AU281" s="97"/>
      <c r="AY281" s="39"/>
      <c r="AZ281" s="39"/>
      <c r="BA281" s="47"/>
      <c r="BC281" s="38"/>
      <c r="BD281" s="49"/>
    </row>
    <row r="282" spans="22:56" ht="16" x14ac:dyDescent="0.4">
      <c r="V282" s="97"/>
      <c r="W282" s="16"/>
      <c r="X282" s="101"/>
      <c r="Y282" s="105"/>
      <c r="Z282" s="50"/>
      <c r="AA282" s="50"/>
      <c r="AD282" s="37"/>
      <c r="AE282" s="93">
        <f t="shared" si="24"/>
        <v>0</v>
      </c>
      <c r="AF282" s="16"/>
      <c r="AG282" s="103">
        <f t="shared" si="25"/>
        <v>0</v>
      </c>
      <c r="AH282" s="37">
        <f t="shared" si="26"/>
        <v>0</v>
      </c>
      <c r="AJ282" s="97"/>
      <c r="AN282" s="39"/>
      <c r="AO282" s="39"/>
      <c r="AP282" s="47"/>
      <c r="AR282" s="38"/>
      <c r="AS282" s="49"/>
      <c r="AU282" s="97"/>
      <c r="AY282" s="39"/>
      <c r="AZ282" s="39"/>
      <c r="BA282" s="47"/>
      <c r="BC282" s="38"/>
      <c r="BD282" s="49"/>
    </row>
    <row r="283" spans="22:56" ht="16" x14ac:dyDescent="0.4">
      <c r="V283" s="97"/>
      <c r="W283" s="16"/>
      <c r="X283" s="101"/>
      <c r="Y283" s="105"/>
      <c r="Z283" s="50"/>
      <c r="AA283" s="50"/>
      <c r="AD283" s="37"/>
      <c r="AE283" s="93">
        <f t="shared" si="24"/>
        <v>0</v>
      </c>
      <c r="AF283" s="16"/>
      <c r="AG283" s="103">
        <f t="shared" si="25"/>
        <v>0</v>
      </c>
      <c r="AH283" s="37">
        <f t="shared" si="26"/>
        <v>0</v>
      </c>
      <c r="AJ283" s="97"/>
      <c r="AN283" s="39"/>
      <c r="AO283" s="39"/>
      <c r="AP283" s="47"/>
      <c r="AR283" s="38"/>
      <c r="AS283" s="49"/>
      <c r="AU283" s="97"/>
      <c r="AY283" s="39"/>
      <c r="AZ283" s="39"/>
      <c r="BA283" s="47"/>
      <c r="BC283" s="38"/>
      <c r="BD283" s="49"/>
    </row>
    <row r="284" spans="22:56" ht="16" x14ac:dyDescent="0.4">
      <c r="V284" s="97"/>
      <c r="W284" s="16"/>
      <c r="X284" s="101"/>
      <c r="Y284" s="105"/>
      <c r="Z284" s="102"/>
      <c r="AA284" s="102"/>
      <c r="AB284" s="16"/>
      <c r="AC284" s="16"/>
      <c r="AD284" s="93"/>
      <c r="AE284" s="93">
        <f t="shared" si="24"/>
        <v>0</v>
      </c>
      <c r="AF284" s="16"/>
      <c r="AG284" s="103">
        <f t="shared" si="25"/>
        <v>0</v>
      </c>
      <c r="AH284" s="37">
        <f t="shared" si="26"/>
        <v>0</v>
      </c>
      <c r="AJ284" s="97"/>
      <c r="AN284" s="39"/>
      <c r="AO284" s="39"/>
      <c r="AP284" s="47"/>
      <c r="AR284" s="38"/>
      <c r="AS284" s="49"/>
      <c r="AU284" s="97"/>
      <c r="AY284" s="39"/>
      <c r="AZ284" s="39"/>
      <c r="BA284" s="47"/>
      <c r="BC284" s="38"/>
      <c r="BD284" s="49"/>
    </row>
    <row r="285" spans="22:56" ht="16" x14ac:dyDescent="0.4">
      <c r="V285" s="97"/>
      <c r="W285" s="16"/>
      <c r="X285" s="101"/>
      <c r="Y285" s="105"/>
      <c r="Z285" s="102"/>
      <c r="AA285" s="102"/>
      <c r="AB285" s="16"/>
      <c r="AC285" s="16"/>
      <c r="AD285" s="93"/>
      <c r="AE285" s="93">
        <f t="shared" si="24"/>
        <v>0</v>
      </c>
      <c r="AF285" s="16"/>
      <c r="AG285" s="103">
        <f t="shared" si="25"/>
        <v>0</v>
      </c>
      <c r="AH285" s="37">
        <f t="shared" si="26"/>
        <v>0</v>
      </c>
      <c r="AJ285" s="97"/>
      <c r="AN285" s="39"/>
      <c r="AO285" s="39"/>
      <c r="AP285" s="47"/>
      <c r="AR285" s="38"/>
      <c r="AS285" s="49"/>
      <c r="AU285" s="97"/>
      <c r="AY285" s="39"/>
      <c r="AZ285" s="39"/>
      <c r="BA285" s="47"/>
      <c r="BC285" s="38"/>
      <c r="BD285" s="49"/>
    </row>
    <row r="286" spans="22:56" ht="16" x14ac:dyDescent="0.4">
      <c r="V286" s="97"/>
      <c r="W286" s="16"/>
      <c r="X286" s="101"/>
      <c r="Y286" s="105"/>
      <c r="Z286" s="102"/>
      <c r="AA286" s="102"/>
      <c r="AB286" s="16"/>
      <c r="AC286" s="16"/>
      <c r="AD286" s="93"/>
      <c r="AE286" s="93">
        <f t="shared" si="24"/>
        <v>0</v>
      </c>
      <c r="AF286" s="16"/>
      <c r="AG286" s="103">
        <f t="shared" si="25"/>
        <v>0</v>
      </c>
      <c r="AH286" s="37">
        <f t="shared" si="26"/>
        <v>0</v>
      </c>
      <c r="AJ286" s="97"/>
      <c r="AN286" s="39"/>
      <c r="AP286" s="47"/>
      <c r="AR286" s="38"/>
      <c r="AS286" s="49"/>
      <c r="AU286" s="97"/>
      <c r="AY286" s="39"/>
      <c r="BA286" s="47"/>
      <c r="BC286" s="38"/>
      <c r="BD286" s="49"/>
    </row>
    <row r="287" spans="22:56" ht="16" x14ac:dyDescent="0.4">
      <c r="V287" s="97"/>
      <c r="W287" s="16"/>
      <c r="X287" s="101"/>
      <c r="Y287" s="105"/>
      <c r="Z287" s="102"/>
      <c r="AA287" s="102"/>
      <c r="AB287" s="16"/>
      <c r="AC287" s="16"/>
      <c r="AD287" s="93"/>
      <c r="AE287" s="93">
        <f t="shared" si="24"/>
        <v>0</v>
      </c>
      <c r="AF287" s="16"/>
      <c r="AG287" s="103">
        <f t="shared" si="25"/>
        <v>0</v>
      </c>
      <c r="AH287" s="37">
        <f t="shared" si="26"/>
        <v>0</v>
      </c>
      <c r="AJ287" s="97"/>
      <c r="AN287" s="39"/>
      <c r="AO287" s="39"/>
      <c r="AP287" s="47"/>
      <c r="AR287" s="38"/>
      <c r="AS287" s="49"/>
      <c r="AU287" s="97"/>
      <c r="AY287" s="39"/>
      <c r="AZ287" s="39"/>
      <c r="BA287" s="47"/>
      <c r="BC287" s="38"/>
      <c r="BD287" s="49"/>
    </row>
    <row r="288" spans="22:56" ht="16" x14ac:dyDescent="0.4">
      <c r="V288" s="97"/>
      <c r="W288" s="16"/>
      <c r="X288" s="101"/>
      <c r="Y288" s="105"/>
      <c r="Z288" s="102"/>
      <c r="AA288" s="102"/>
      <c r="AB288" s="16"/>
      <c r="AC288" s="16"/>
      <c r="AD288" s="93"/>
      <c r="AE288" s="93">
        <f t="shared" si="24"/>
        <v>0</v>
      </c>
      <c r="AF288" s="16"/>
      <c r="AG288" s="103">
        <f t="shared" si="25"/>
        <v>0</v>
      </c>
      <c r="AH288" s="37">
        <f t="shared" si="26"/>
        <v>0</v>
      </c>
      <c r="AJ288" s="97"/>
      <c r="AN288" s="39"/>
      <c r="AO288" s="39"/>
      <c r="AP288" s="47"/>
      <c r="AR288" s="38"/>
      <c r="AS288" s="49"/>
      <c r="AU288" s="97"/>
      <c r="AY288" s="39"/>
      <c r="AZ288" s="39"/>
      <c r="BA288" s="47"/>
      <c r="BC288" s="38"/>
      <c r="BD288" s="49"/>
    </row>
    <row r="289" spans="22:56" ht="16" x14ac:dyDescent="0.4">
      <c r="V289" s="97"/>
      <c r="W289" s="16"/>
      <c r="X289" s="101"/>
      <c r="Y289" s="105"/>
      <c r="Z289" s="102"/>
      <c r="AA289" s="102"/>
      <c r="AB289" s="16"/>
      <c r="AC289" s="16"/>
      <c r="AD289" s="93"/>
      <c r="AE289" s="93">
        <f t="shared" si="24"/>
        <v>0</v>
      </c>
      <c r="AF289" s="16"/>
      <c r="AG289" s="103">
        <f t="shared" si="25"/>
        <v>0</v>
      </c>
      <c r="AH289" s="37">
        <f t="shared" si="26"/>
        <v>0</v>
      </c>
      <c r="AJ289" s="97"/>
      <c r="AN289" s="39"/>
      <c r="AO289" s="39"/>
      <c r="AP289" s="47"/>
      <c r="AR289" s="38"/>
      <c r="AS289" s="49"/>
      <c r="AU289" s="97"/>
      <c r="AY289" s="39"/>
      <c r="AZ289" s="39"/>
      <c r="BA289" s="47"/>
      <c r="BC289" s="38"/>
      <c r="BD289" s="49"/>
    </row>
    <row r="290" spans="22:56" ht="16" x14ac:dyDescent="0.4">
      <c r="V290" s="97"/>
      <c r="W290" s="16"/>
      <c r="X290" s="101"/>
      <c r="Y290" s="105"/>
      <c r="Z290" s="102"/>
      <c r="AA290" s="102"/>
      <c r="AB290" s="16"/>
      <c r="AC290" s="16"/>
      <c r="AD290" s="93"/>
      <c r="AE290" s="93">
        <f t="shared" si="24"/>
        <v>0</v>
      </c>
      <c r="AF290" s="16"/>
      <c r="AG290" s="103">
        <f t="shared" si="25"/>
        <v>0</v>
      </c>
      <c r="AH290" s="37">
        <f t="shared" si="26"/>
        <v>0</v>
      </c>
      <c r="AJ290" s="97"/>
      <c r="AN290" s="39"/>
      <c r="AO290" s="39"/>
      <c r="AP290" s="47"/>
      <c r="AR290" s="38"/>
      <c r="AS290" s="38"/>
      <c r="AU290" s="97"/>
      <c r="AY290" s="39"/>
      <c r="AZ290" s="39"/>
      <c r="BA290" s="47"/>
      <c r="BC290" s="38"/>
      <c r="BD290" s="38"/>
    </row>
    <row r="291" spans="22:56" ht="16" x14ac:dyDescent="0.4">
      <c r="V291" s="97"/>
      <c r="W291" s="16"/>
      <c r="X291" s="101"/>
      <c r="Y291" s="105"/>
      <c r="Z291" s="102"/>
      <c r="AA291" s="102"/>
      <c r="AB291" s="16"/>
      <c r="AC291" s="16"/>
      <c r="AD291" s="93"/>
      <c r="AE291" s="93">
        <f t="shared" si="24"/>
        <v>0</v>
      </c>
      <c r="AF291" s="16"/>
      <c r="AG291" s="103">
        <f t="shared" si="25"/>
        <v>0</v>
      </c>
      <c r="AH291" s="37">
        <f t="shared" si="26"/>
        <v>0</v>
      </c>
      <c r="AJ291" s="97"/>
      <c r="AN291" s="39"/>
      <c r="AO291" s="39"/>
      <c r="AP291" s="47"/>
      <c r="AR291" s="38"/>
      <c r="AS291" s="38"/>
      <c r="AU291" s="97"/>
      <c r="AY291" s="39"/>
      <c r="AZ291" s="39"/>
      <c r="BA291" s="47"/>
      <c r="BC291" s="38"/>
      <c r="BD291" s="38"/>
    </row>
    <row r="292" spans="22:56" ht="16" x14ac:dyDescent="0.4">
      <c r="V292" s="97"/>
      <c r="W292" s="16"/>
      <c r="X292" s="101"/>
      <c r="Y292" s="105"/>
      <c r="Z292" s="102"/>
      <c r="AA292" s="102"/>
      <c r="AB292" s="16"/>
      <c r="AC292" s="16"/>
      <c r="AD292" s="93"/>
      <c r="AE292" s="93">
        <f t="shared" si="24"/>
        <v>0</v>
      </c>
      <c r="AF292" s="16"/>
      <c r="AG292" s="103">
        <f t="shared" si="25"/>
        <v>0</v>
      </c>
      <c r="AH292" s="37">
        <f t="shared" si="26"/>
        <v>0</v>
      </c>
      <c r="AJ292" s="97"/>
      <c r="AN292" s="39"/>
      <c r="AO292" s="39"/>
      <c r="AP292" s="47"/>
      <c r="AR292" s="38"/>
      <c r="AS292" s="38"/>
      <c r="AU292" s="97"/>
      <c r="AY292" s="39"/>
      <c r="AZ292" s="39"/>
      <c r="BA292" s="47"/>
      <c r="BC292" s="38"/>
      <c r="BD292" s="38"/>
    </row>
    <row r="293" spans="22:56" ht="16" x14ac:dyDescent="0.4">
      <c r="V293" s="97"/>
      <c r="W293" s="16"/>
      <c r="X293" s="101"/>
      <c r="Y293" s="105"/>
      <c r="Z293" s="102"/>
      <c r="AA293" s="102"/>
      <c r="AB293" s="16"/>
      <c r="AC293" s="16"/>
      <c r="AD293" s="93"/>
      <c r="AE293" s="93">
        <f t="shared" si="24"/>
        <v>0</v>
      </c>
      <c r="AF293" s="16"/>
      <c r="AG293" s="103">
        <f t="shared" si="25"/>
        <v>0</v>
      </c>
      <c r="AH293" s="37">
        <f t="shared" si="26"/>
        <v>0</v>
      </c>
      <c r="AJ293" s="97"/>
      <c r="AN293" s="39"/>
      <c r="AO293" s="39"/>
      <c r="AP293" s="47"/>
      <c r="AR293" s="38"/>
      <c r="AS293" s="38"/>
      <c r="AU293" s="97"/>
      <c r="AY293" s="39"/>
      <c r="AZ293" s="39"/>
      <c r="BA293" s="47"/>
      <c r="BC293" s="38"/>
      <c r="BD293" s="38"/>
    </row>
    <row r="294" spans="22:56" ht="16" x14ac:dyDescent="0.4">
      <c r="V294" s="97"/>
      <c r="W294" s="16"/>
      <c r="X294" s="101"/>
      <c r="Y294" s="105"/>
      <c r="Z294" s="102"/>
      <c r="AA294" s="102"/>
      <c r="AB294" s="16"/>
      <c r="AC294" s="16"/>
      <c r="AD294" s="93"/>
      <c r="AE294" s="93">
        <f t="shared" si="24"/>
        <v>0</v>
      </c>
      <c r="AF294" s="16"/>
      <c r="AG294" s="103">
        <f t="shared" si="25"/>
        <v>0</v>
      </c>
      <c r="AH294" s="37">
        <f t="shared" si="26"/>
        <v>0</v>
      </c>
      <c r="AJ294" s="97"/>
      <c r="AN294" s="39"/>
      <c r="AO294" s="39"/>
      <c r="AP294" s="47"/>
      <c r="AR294" s="38"/>
      <c r="AS294" s="38"/>
      <c r="AU294" s="97"/>
      <c r="AY294" s="39"/>
      <c r="AZ294" s="39"/>
      <c r="BA294" s="47"/>
      <c r="BC294" s="38"/>
      <c r="BD294" s="38"/>
    </row>
    <row r="295" spans="22:56" ht="16" x14ac:dyDescent="0.4">
      <c r="V295" s="97"/>
      <c r="W295" s="16"/>
      <c r="X295" s="101"/>
      <c r="Y295" s="105"/>
      <c r="Z295" s="102"/>
      <c r="AA295" s="102"/>
      <c r="AB295" s="16"/>
      <c r="AC295" s="16"/>
      <c r="AD295" s="105"/>
      <c r="AE295" s="93">
        <f t="shared" si="24"/>
        <v>0</v>
      </c>
      <c r="AF295" s="16"/>
      <c r="AG295" s="103">
        <f t="shared" si="25"/>
        <v>0</v>
      </c>
      <c r="AH295" s="37">
        <f t="shared" si="26"/>
        <v>0</v>
      </c>
      <c r="AJ295" s="97"/>
      <c r="AN295" s="39"/>
      <c r="AP295" s="47"/>
      <c r="AR295" s="38"/>
      <c r="AS295" s="38"/>
      <c r="AU295" s="97"/>
      <c r="AY295" s="39"/>
      <c r="BA295" s="47"/>
      <c r="BC295" s="38"/>
      <c r="BD295" s="38"/>
    </row>
    <row r="296" spans="22:56" ht="16" x14ac:dyDescent="0.4">
      <c r="V296" s="97"/>
      <c r="W296" s="16"/>
      <c r="X296" s="101"/>
      <c r="Y296" s="107"/>
      <c r="Z296" s="102"/>
      <c r="AA296" s="102"/>
      <c r="AB296" s="16"/>
      <c r="AC296" s="16"/>
      <c r="AD296" s="105"/>
      <c r="AE296" s="93">
        <f t="shared" si="24"/>
        <v>0</v>
      </c>
      <c r="AF296" s="16"/>
      <c r="AG296" s="103">
        <f t="shared" si="25"/>
        <v>0</v>
      </c>
      <c r="AH296" s="37">
        <f t="shared" si="26"/>
        <v>0</v>
      </c>
      <c r="AJ296" s="97"/>
      <c r="AN296" s="39"/>
      <c r="AO296" s="39"/>
      <c r="AP296" s="47"/>
      <c r="AR296" s="38"/>
      <c r="AS296" s="38"/>
      <c r="AU296" s="97"/>
      <c r="AY296" s="39"/>
      <c r="AZ296" s="39"/>
      <c r="BA296" s="47"/>
      <c r="BC296" s="38"/>
      <c r="BD296" s="38"/>
    </row>
    <row r="297" spans="22:56" ht="16" x14ac:dyDescent="0.4">
      <c r="V297" s="97"/>
      <c r="W297" s="16"/>
      <c r="X297" s="101"/>
      <c r="Y297" s="107"/>
      <c r="Z297" s="102"/>
      <c r="AA297" s="102"/>
      <c r="AB297" s="16"/>
      <c r="AC297" s="16"/>
      <c r="AD297" s="105"/>
      <c r="AE297" s="93">
        <f t="shared" si="24"/>
        <v>0</v>
      </c>
      <c r="AF297" s="16"/>
      <c r="AG297" s="103">
        <f t="shared" si="25"/>
        <v>0</v>
      </c>
      <c r="AH297" s="37">
        <f t="shared" si="26"/>
        <v>0</v>
      </c>
      <c r="AJ297" s="97"/>
      <c r="AN297" s="39"/>
      <c r="AO297" s="39"/>
      <c r="AP297" s="47"/>
      <c r="AR297" s="38"/>
      <c r="AS297" s="38"/>
      <c r="AU297" s="97"/>
      <c r="AY297" s="39"/>
      <c r="AZ297" s="39"/>
      <c r="BA297" s="47"/>
      <c r="BC297" s="38"/>
      <c r="BD297" s="38"/>
    </row>
    <row r="298" spans="22:56" ht="16" x14ac:dyDescent="0.4">
      <c r="V298" s="97"/>
      <c r="W298" s="16"/>
      <c r="X298" s="101"/>
      <c r="Y298" s="107"/>
      <c r="Z298" s="102"/>
      <c r="AA298" s="102"/>
      <c r="AB298" s="16"/>
      <c r="AC298" s="16"/>
      <c r="AD298" s="105"/>
      <c r="AE298" s="93">
        <f t="shared" si="24"/>
        <v>0</v>
      </c>
      <c r="AF298" s="16"/>
      <c r="AG298" s="103">
        <f t="shared" si="25"/>
        <v>0</v>
      </c>
      <c r="AH298" s="37">
        <f t="shared" si="26"/>
        <v>0</v>
      </c>
      <c r="AJ298" s="97"/>
      <c r="AN298" s="39"/>
      <c r="AO298" s="39"/>
      <c r="AP298" s="47"/>
      <c r="AR298" s="38"/>
      <c r="AS298" s="38"/>
      <c r="AU298" s="97"/>
      <c r="AY298" s="39"/>
      <c r="AZ298" s="39"/>
      <c r="BA298" s="47"/>
      <c r="BC298" s="38"/>
      <c r="BD298" s="38"/>
    </row>
    <row r="299" spans="22:56" ht="16" x14ac:dyDescent="0.4">
      <c r="V299" s="97"/>
      <c r="W299" s="16"/>
      <c r="X299" s="101"/>
      <c r="Y299" s="107"/>
      <c r="Z299" s="102"/>
      <c r="AA299" s="102"/>
      <c r="AB299" s="16"/>
      <c r="AC299" s="16"/>
      <c r="AD299" s="105"/>
      <c r="AE299" s="93">
        <f t="shared" si="24"/>
        <v>0</v>
      </c>
      <c r="AF299" s="16"/>
      <c r="AG299" s="103">
        <f t="shared" si="25"/>
        <v>0</v>
      </c>
      <c r="AH299" s="37">
        <f t="shared" si="26"/>
        <v>0</v>
      </c>
      <c r="AJ299" s="97"/>
      <c r="AO299" s="39"/>
      <c r="AP299" s="47"/>
      <c r="AR299" s="38"/>
      <c r="AS299" s="38"/>
      <c r="AU299" s="97"/>
      <c r="AZ299" s="39"/>
      <c r="BA299" s="47"/>
      <c r="BC299" s="38"/>
      <c r="BD299" s="38"/>
    </row>
    <row r="300" spans="22:56" ht="16" x14ac:dyDescent="0.4">
      <c r="V300" s="97"/>
      <c r="W300" s="16"/>
      <c r="X300" s="101"/>
      <c r="Y300" s="107"/>
      <c r="Z300" s="102"/>
      <c r="AA300" s="102"/>
      <c r="AB300" s="16"/>
      <c r="AC300" s="16"/>
      <c r="AD300" s="105"/>
      <c r="AE300" s="93">
        <f t="shared" si="24"/>
        <v>0</v>
      </c>
      <c r="AF300" s="16"/>
      <c r="AG300" s="103">
        <f t="shared" si="25"/>
        <v>0</v>
      </c>
      <c r="AH300" s="37">
        <f t="shared" si="26"/>
        <v>0</v>
      </c>
      <c r="AJ300" s="97"/>
      <c r="AN300" s="39"/>
      <c r="AO300" s="39"/>
      <c r="AP300" s="47"/>
      <c r="AR300" s="38"/>
      <c r="AS300" s="38"/>
      <c r="AU300" s="97"/>
      <c r="AY300" s="39"/>
      <c r="AZ300" s="39"/>
      <c r="BA300" s="47"/>
      <c r="BC300" s="38"/>
      <c r="BD300" s="38"/>
    </row>
    <row r="301" spans="22:56" ht="16" x14ac:dyDescent="0.4">
      <c r="V301" s="97"/>
      <c r="W301" s="16"/>
      <c r="X301" s="101"/>
      <c r="Y301" s="107"/>
      <c r="Z301" s="102"/>
      <c r="AA301" s="102"/>
      <c r="AB301" s="16"/>
      <c r="AC301" s="16"/>
      <c r="AD301" s="105"/>
      <c r="AE301" s="93">
        <f t="shared" si="24"/>
        <v>0</v>
      </c>
      <c r="AF301" s="16"/>
      <c r="AG301" s="103">
        <f t="shared" si="25"/>
        <v>0</v>
      </c>
      <c r="AH301" s="37">
        <f t="shared" si="26"/>
        <v>0</v>
      </c>
      <c r="AJ301" s="97"/>
      <c r="AN301" s="39"/>
      <c r="AO301" s="39"/>
      <c r="AP301" s="47"/>
      <c r="AR301" s="38"/>
      <c r="AS301" s="38"/>
      <c r="AU301" s="97"/>
      <c r="AY301" s="39"/>
      <c r="AZ301" s="39"/>
      <c r="BA301" s="47"/>
      <c r="BC301" s="38"/>
      <c r="BD301" s="38"/>
    </row>
    <row r="302" spans="22:56" ht="16" x14ac:dyDescent="0.4">
      <c r="V302" s="97"/>
      <c r="W302" s="16"/>
      <c r="X302" s="101"/>
      <c r="Y302" s="107"/>
      <c r="Z302" s="102"/>
      <c r="AA302" s="102"/>
      <c r="AB302" s="16"/>
      <c r="AC302" s="16"/>
      <c r="AD302" s="105"/>
      <c r="AE302" s="93">
        <f t="shared" si="24"/>
        <v>0</v>
      </c>
      <c r="AF302" s="16"/>
      <c r="AG302" s="103">
        <f t="shared" si="25"/>
        <v>0</v>
      </c>
      <c r="AH302" s="37">
        <f t="shared" si="26"/>
        <v>0</v>
      </c>
      <c r="AJ302" s="97"/>
      <c r="AN302" s="39"/>
      <c r="AO302" s="39"/>
      <c r="AP302" s="47"/>
      <c r="AR302" s="38"/>
      <c r="AS302" s="38"/>
      <c r="AU302" s="97"/>
      <c r="AY302" s="39"/>
      <c r="AZ302" s="39"/>
      <c r="BA302" s="47"/>
      <c r="BC302" s="38"/>
      <c r="BD302" s="38"/>
    </row>
    <row r="303" spans="22:56" ht="16" x14ac:dyDescent="0.4">
      <c r="V303" s="90"/>
      <c r="W303" s="17"/>
      <c r="X303" s="101"/>
      <c r="Y303" s="115"/>
      <c r="Z303" s="91"/>
      <c r="AA303" s="91"/>
      <c r="AB303" s="17"/>
      <c r="AC303" s="17"/>
      <c r="AD303" s="110"/>
      <c r="AE303" s="93">
        <f t="shared" si="24"/>
        <v>0</v>
      </c>
      <c r="AF303" s="16"/>
      <c r="AG303" s="103">
        <f t="shared" si="25"/>
        <v>0</v>
      </c>
      <c r="AH303" s="37">
        <f t="shared" si="26"/>
        <v>0</v>
      </c>
      <c r="AJ303" s="97"/>
      <c r="AK303" s="34"/>
      <c r="AN303" s="39"/>
      <c r="AO303" s="39"/>
      <c r="AP303" s="47"/>
      <c r="AR303" s="38"/>
      <c r="AS303" s="38"/>
      <c r="AU303" s="97"/>
      <c r="AV303" s="34"/>
      <c r="AY303" s="39"/>
      <c r="AZ303" s="39"/>
      <c r="BA303" s="47"/>
      <c r="BC303" s="38"/>
      <c r="BD303" s="38"/>
    </row>
    <row r="304" spans="22:56" ht="16" x14ac:dyDescent="0.4">
      <c r="V304" s="97"/>
      <c r="W304" s="16"/>
      <c r="X304" s="101"/>
      <c r="Y304" s="107"/>
      <c r="Z304" s="102"/>
      <c r="AA304" s="102"/>
      <c r="AB304" s="16"/>
      <c r="AC304" s="16"/>
      <c r="AD304" s="105"/>
      <c r="AE304" s="93">
        <f t="shared" si="24"/>
        <v>0</v>
      </c>
      <c r="AF304" s="16"/>
      <c r="AG304" s="103">
        <f t="shared" si="25"/>
        <v>0</v>
      </c>
      <c r="AH304" s="37">
        <f t="shared" si="26"/>
        <v>0</v>
      </c>
      <c r="AJ304" s="97"/>
      <c r="AK304" s="34"/>
      <c r="AN304" s="39"/>
      <c r="AP304" s="47"/>
      <c r="AR304" s="38"/>
      <c r="AS304" s="38"/>
      <c r="AU304" s="97"/>
      <c r="AV304" s="34"/>
      <c r="AY304" s="39"/>
      <c r="BA304" s="47"/>
      <c r="BC304" s="38"/>
      <c r="BD304" s="38"/>
    </row>
    <row r="305" spans="22:56" ht="16" x14ac:dyDescent="0.4">
      <c r="V305" s="97"/>
      <c r="W305" s="16"/>
      <c r="X305" s="101"/>
      <c r="Y305" s="107"/>
      <c r="Z305" s="102"/>
      <c r="AA305" s="102"/>
      <c r="AB305" s="16"/>
      <c r="AC305" s="16"/>
      <c r="AD305" s="105"/>
      <c r="AE305" s="93">
        <f t="shared" si="24"/>
        <v>0</v>
      </c>
      <c r="AF305" s="16"/>
      <c r="AG305" s="103">
        <f t="shared" si="25"/>
        <v>0</v>
      </c>
      <c r="AH305" s="37">
        <f t="shared" si="26"/>
        <v>0</v>
      </c>
      <c r="AJ305" s="97"/>
      <c r="AK305" s="34"/>
      <c r="AN305" s="39"/>
      <c r="AO305" s="39"/>
      <c r="AP305" s="47"/>
      <c r="AR305" s="38"/>
      <c r="AS305" s="84"/>
      <c r="AU305" s="97"/>
      <c r="AV305" s="34"/>
      <c r="AY305" s="39"/>
      <c r="AZ305" s="39"/>
      <c r="BA305" s="47"/>
      <c r="BC305" s="38"/>
      <c r="BD305" s="84"/>
    </row>
    <row r="306" spans="22:56" ht="16" x14ac:dyDescent="0.4">
      <c r="V306" s="97"/>
      <c r="W306" s="16"/>
      <c r="X306" s="101"/>
      <c r="Y306" s="107"/>
      <c r="Z306" s="102"/>
      <c r="AA306" s="102"/>
      <c r="AB306" s="16"/>
      <c r="AC306" s="16"/>
      <c r="AD306" s="105"/>
      <c r="AE306" s="93">
        <f t="shared" si="24"/>
        <v>0</v>
      </c>
      <c r="AF306" s="16"/>
      <c r="AG306" s="103">
        <f t="shared" si="25"/>
        <v>0</v>
      </c>
      <c r="AH306" s="37">
        <f t="shared" si="26"/>
        <v>0</v>
      </c>
      <c r="AJ306" s="97"/>
      <c r="AK306" s="34"/>
      <c r="AN306" s="39"/>
      <c r="AO306" s="39"/>
      <c r="AP306" s="47"/>
      <c r="AR306" s="38"/>
      <c r="AS306" s="38"/>
      <c r="AU306" s="97"/>
      <c r="AV306" s="34"/>
      <c r="AY306" s="39"/>
      <c r="AZ306" s="39"/>
      <c r="BA306" s="47"/>
      <c r="BC306" s="38"/>
      <c r="BD306" s="38"/>
    </row>
    <row r="307" spans="22:56" ht="16" x14ac:dyDescent="0.4">
      <c r="V307" s="97"/>
      <c r="W307" s="16"/>
      <c r="X307" s="101"/>
      <c r="Y307" s="107"/>
      <c r="Z307" s="102"/>
      <c r="AA307" s="102"/>
      <c r="AB307" s="16"/>
      <c r="AC307" s="16"/>
      <c r="AD307" s="105"/>
      <c r="AE307" s="93">
        <f t="shared" si="24"/>
        <v>0</v>
      </c>
      <c r="AF307" s="16"/>
      <c r="AG307" s="103">
        <f t="shared" si="25"/>
        <v>0</v>
      </c>
      <c r="AH307" s="37">
        <f t="shared" si="26"/>
        <v>0</v>
      </c>
      <c r="AJ307" s="38"/>
      <c r="AK307" s="34"/>
      <c r="AL307" s="16"/>
      <c r="AN307" s="39"/>
      <c r="AO307" s="39"/>
      <c r="AP307" s="47"/>
      <c r="AR307" s="38"/>
      <c r="AS307" s="38"/>
      <c r="AU307" s="38"/>
      <c r="AV307" s="34"/>
      <c r="AW307" s="16"/>
      <c r="AY307" s="39"/>
      <c r="AZ307" s="39"/>
      <c r="BA307" s="47"/>
      <c r="BC307" s="38"/>
      <c r="BD307" s="38"/>
    </row>
    <row r="308" spans="22:56" ht="16" x14ac:dyDescent="0.4">
      <c r="V308" s="97"/>
      <c r="W308" s="16"/>
      <c r="X308" s="101"/>
      <c r="Y308" s="107"/>
      <c r="Z308" s="102"/>
      <c r="AA308" s="102"/>
      <c r="AB308" s="16"/>
      <c r="AC308" s="16"/>
      <c r="AD308" s="105"/>
      <c r="AE308" s="93">
        <f t="shared" si="24"/>
        <v>0</v>
      </c>
      <c r="AF308" s="16"/>
      <c r="AG308" s="103">
        <f t="shared" si="25"/>
        <v>0</v>
      </c>
      <c r="AH308" s="37">
        <f t="shared" si="26"/>
        <v>0</v>
      </c>
      <c r="AJ308" s="38"/>
      <c r="AK308" s="34"/>
      <c r="AL308" s="16"/>
      <c r="AN308" s="39"/>
      <c r="AO308" s="39"/>
      <c r="AP308" s="47"/>
      <c r="AR308" s="38"/>
      <c r="AS308" s="38"/>
      <c r="AU308" s="38"/>
      <c r="AV308" s="34"/>
      <c r="AW308" s="16"/>
      <c r="AY308" s="39"/>
      <c r="AZ308" s="39"/>
      <c r="BA308" s="47"/>
      <c r="BC308" s="38"/>
      <c r="BD308" s="38"/>
    </row>
    <row r="309" spans="22:56" ht="16" x14ac:dyDescent="0.4">
      <c r="V309" s="97"/>
      <c r="W309" s="16"/>
      <c r="X309" s="101"/>
      <c r="Y309" s="107"/>
      <c r="Z309" s="102"/>
      <c r="AA309" s="102"/>
      <c r="AB309" s="16"/>
      <c r="AC309" s="16"/>
      <c r="AD309" s="105"/>
      <c r="AE309" s="93">
        <f t="shared" si="24"/>
        <v>0</v>
      </c>
      <c r="AF309" s="16"/>
      <c r="AG309" s="103">
        <f t="shared" si="25"/>
        <v>0</v>
      </c>
      <c r="AH309" s="37">
        <f t="shared" si="26"/>
        <v>0</v>
      </c>
      <c r="AJ309" s="38"/>
      <c r="AK309" s="34"/>
      <c r="AL309" s="16"/>
      <c r="AN309" s="39"/>
      <c r="AO309" s="39"/>
      <c r="AP309" s="47"/>
      <c r="AR309" s="38"/>
      <c r="AS309" s="38"/>
      <c r="AU309" s="38"/>
      <c r="AV309" s="34"/>
      <c r="AW309" s="16"/>
      <c r="AY309" s="39"/>
      <c r="AZ309" s="39"/>
      <c r="BA309" s="47"/>
      <c r="BC309" s="38"/>
      <c r="BD309" s="38"/>
    </row>
    <row r="310" spans="22:56" ht="16" x14ac:dyDescent="0.4">
      <c r="V310" s="97"/>
      <c r="W310" s="16"/>
      <c r="X310" s="101"/>
      <c r="Y310" s="107"/>
      <c r="Z310" s="102"/>
      <c r="AA310" s="102"/>
      <c r="AB310" s="16"/>
      <c r="AC310" s="16"/>
      <c r="AD310" s="105"/>
      <c r="AE310" s="93">
        <f t="shared" si="24"/>
        <v>0</v>
      </c>
      <c r="AF310" s="16"/>
      <c r="AG310" s="103">
        <f t="shared" ref="AG310:AG321" si="27">IF($AF310&gt;14,14,$AF310)</f>
        <v>0</v>
      </c>
      <c r="AH310" s="37">
        <f t="shared" si="26"/>
        <v>0</v>
      </c>
      <c r="AJ310" s="38"/>
      <c r="AK310" s="34"/>
      <c r="AL310" s="16"/>
      <c r="AN310" s="39"/>
      <c r="AO310" s="39"/>
      <c r="AP310" s="47"/>
      <c r="AR310" s="38"/>
      <c r="AS310" s="38"/>
      <c r="AU310" s="38"/>
      <c r="AV310" s="34"/>
      <c r="AW310" s="16"/>
      <c r="AY310" s="39"/>
      <c r="AZ310" s="39"/>
      <c r="BA310" s="47"/>
      <c r="BC310" s="38"/>
      <c r="BD310" s="38"/>
    </row>
    <row r="311" spans="22:56" ht="16" x14ac:dyDescent="0.4">
      <c r="V311" s="97"/>
      <c r="W311" s="16"/>
      <c r="X311" s="101"/>
      <c r="Y311" s="107"/>
      <c r="Z311" s="102"/>
      <c r="AA311" s="102"/>
      <c r="AB311" s="16"/>
      <c r="AC311" s="16"/>
      <c r="AD311" s="105"/>
      <c r="AE311" s="93">
        <f t="shared" si="24"/>
        <v>0</v>
      </c>
      <c r="AF311" s="16"/>
      <c r="AG311" s="103">
        <f t="shared" si="27"/>
        <v>0</v>
      </c>
      <c r="AH311" s="37">
        <f t="shared" si="26"/>
        <v>0</v>
      </c>
      <c r="AJ311" s="38"/>
      <c r="AK311" s="34"/>
      <c r="AL311" s="16"/>
      <c r="AN311" s="39"/>
      <c r="AO311" s="39"/>
      <c r="AP311" s="47"/>
      <c r="AR311" s="38"/>
      <c r="AS311" s="38"/>
      <c r="AU311" s="38"/>
      <c r="AV311" s="34"/>
      <c r="AW311" s="16"/>
      <c r="AY311" s="39"/>
      <c r="AZ311" s="39"/>
      <c r="BA311" s="47"/>
      <c r="BC311" s="38"/>
      <c r="BD311" s="38"/>
    </row>
    <row r="312" spans="22:56" ht="16" x14ac:dyDescent="0.4">
      <c r="V312" s="97"/>
      <c r="W312" s="16"/>
      <c r="X312" s="101"/>
      <c r="Y312" s="107"/>
      <c r="Z312" s="102"/>
      <c r="AA312" s="102"/>
      <c r="AB312" s="16"/>
      <c r="AC312" s="16"/>
      <c r="AD312" s="105"/>
      <c r="AE312" s="93">
        <f t="shared" si="24"/>
        <v>0</v>
      </c>
      <c r="AF312" s="16"/>
      <c r="AG312" s="103">
        <f t="shared" si="27"/>
        <v>0</v>
      </c>
      <c r="AH312" s="37">
        <f t="shared" si="26"/>
        <v>0</v>
      </c>
      <c r="AJ312" s="38"/>
      <c r="AK312" s="34"/>
      <c r="AL312" s="16"/>
      <c r="AN312" s="39"/>
      <c r="AO312" s="39"/>
      <c r="AP312" s="47"/>
      <c r="AR312" s="38"/>
      <c r="AS312" s="38"/>
      <c r="AU312" s="38"/>
      <c r="AV312" s="34"/>
      <c r="AW312" s="16"/>
      <c r="AY312" s="39"/>
      <c r="AZ312" s="39"/>
      <c r="BA312" s="47"/>
      <c r="BC312" s="38"/>
      <c r="BD312" s="38"/>
    </row>
    <row r="313" spans="22:56" ht="16" x14ac:dyDescent="0.4">
      <c r="V313" s="97"/>
      <c r="W313" s="16"/>
      <c r="X313" s="101"/>
      <c r="Y313" s="107"/>
      <c r="Z313" s="102"/>
      <c r="AA313" s="102"/>
      <c r="AB313" s="16"/>
      <c r="AC313" s="16"/>
      <c r="AD313" s="105"/>
      <c r="AE313" s="93">
        <f t="shared" si="24"/>
        <v>0</v>
      </c>
      <c r="AF313" s="16"/>
      <c r="AG313" s="103">
        <f t="shared" si="27"/>
        <v>0</v>
      </c>
      <c r="AH313" s="37">
        <f t="shared" si="26"/>
        <v>0</v>
      </c>
      <c r="AJ313" s="38"/>
      <c r="AK313" s="34"/>
      <c r="AL313" s="16"/>
      <c r="AN313" s="39"/>
      <c r="AO313" s="39"/>
      <c r="AP313" s="47"/>
      <c r="AR313" s="38"/>
      <c r="AS313" s="38"/>
      <c r="AU313" s="38"/>
      <c r="AV313" s="34"/>
      <c r="AW313" s="16"/>
      <c r="AY313" s="39"/>
      <c r="AZ313" s="39"/>
      <c r="BA313" s="47"/>
      <c r="BC313" s="38"/>
      <c r="BD313" s="38"/>
    </row>
    <row r="314" spans="22:56" ht="16" x14ac:dyDescent="0.4">
      <c r="V314" s="97"/>
      <c r="W314" s="16"/>
      <c r="X314" s="101"/>
      <c r="Y314" s="107"/>
      <c r="Z314" s="102"/>
      <c r="AA314" s="102"/>
      <c r="AB314" s="16"/>
      <c r="AC314" s="16"/>
      <c r="AD314" s="105"/>
      <c r="AE314" s="93">
        <f t="shared" si="24"/>
        <v>0</v>
      </c>
      <c r="AF314" s="16"/>
      <c r="AG314" s="103">
        <f t="shared" si="27"/>
        <v>0</v>
      </c>
      <c r="AH314" s="37">
        <f t="shared" si="26"/>
        <v>0</v>
      </c>
      <c r="AJ314" s="38"/>
      <c r="AK314" s="34"/>
      <c r="AL314" s="16"/>
      <c r="AN314" s="39"/>
      <c r="AO314" s="39"/>
      <c r="AP314" s="47"/>
      <c r="AR314" s="38"/>
      <c r="AS314" s="38"/>
      <c r="AU314" s="38"/>
      <c r="AV314" s="34"/>
      <c r="AW314" s="16"/>
      <c r="AY314" s="39"/>
      <c r="AZ314" s="39"/>
      <c r="BA314" s="47"/>
      <c r="BC314" s="38"/>
      <c r="BD314" s="38"/>
    </row>
    <row r="315" spans="22:56" ht="16" x14ac:dyDescent="0.4">
      <c r="V315" s="97"/>
      <c r="W315" s="16"/>
      <c r="X315" s="101"/>
      <c r="Y315" s="107"/>
      <c r="Z315" s="102"/>
      <c r="AA315" s="102"/>
      <c r="AB315" s="16"/>
      <c r="AC315" s="16"/>
      <c r="AD315" s="105"/>
      <c r="AE315" s="93">
        <f t="shared" si="24"/>
        <v>0</v>
      </c>
      <c r="AF315" s="16"/>
      <c r="AG315" s="103">
        <f t="shared" si="27"/>
        <v>0</v>
      </c>
      <c r="AH315" s="37">
        <f t="shared" si="26"/>
        <v>0</v>
      </c>
      <c r="AJ315" s="38"/>
      <c r="AK315" s="34"/>
      <c r="AL315" s="16"/>
      <c r="AN315" s="39"/>
      <c r="AO315" s="39"/>
      <c r="AP315" s="47"/>
      <c r="AR315" s="38"/>
      <c r="AS315" s="38"/>
      <c r="AU315" s="38"/>
      <c r="AV315" s="34"/>
      <c r="AW315" s="16"/>
      <c r="AY315" s="39"/>
      <c r="AZ315" s="39"/>
      <c r="BA315" s="47"/>
      <c r="BC315" s="38"/>
      <c r="BD315" s="38"/>
    </row>
    <row r="316" spans="22:56" ht="16" x14ac:dyDescent="0.4">
      <c r="V316" s="97"/>
      <c r="W316" s="16"/>
      <c r="X316" s="101"/>
      <c r="Y316" s="107"/>
      <c r="Z316" s="102"/>
      <c r="AA316" s="102"/>
      <c r="AB316" s="16"/>
      <c r="AC316" s="16"/>
      <c r="AD316" s="105"/>
      <c r="AE316" s="93">
        <f t="shared" si="24"/>
        <v>0</v>
      </c>
      <c r="AF316" s="16"/>
      <c r="AG316" s="103">
        <f t="shared" si="27"/>
        <v>0</v>
      </c>
      <c r="AH316" s="37">
        <f t="shared" si="26"/>
        <v>0</v>
      </c>
      <c r="AJ316" s="38"/>
      <c r="AK316" s="34"/>
      <c r="AL316" s="16"/>
      <c r="AN316" s="39"/>
      <c r="AP316" s="47"/>
      <c r="AR316" s="38"/>
      <c r="AS316" s="38"/>
      <c r="AU316" s="38"/>
      <c r="AV316" s="34"/>
      <c r="AW316" s="16"/>
      <c r="AY316" s="39"/>
      <c r="BA316" s="47"/>
      <c r="BC316" s="38"/>
      <c r="BD316" s="38"/>
    </row>
    <row r="317" spans="22:56" ht="16" x14ac:dyDescent="0.4">
      <c r="V317" s="97"/>
      <c r="W317" s="16"/>
      <c r="X317" s="101"/>
      <c r="Y317" s="107"/>
      <c r="Z317" s="102"/>
      <c r="AA317" s="102"/>
      <c r="AB317" s="16"/>
      <c r="AC317" s="16"/>
      <c r="AD317" s="105"/>
      <c r="AE317" s="93">
        <f t="shared" si="24"/>
        <v>0</v>
      </c>
      <c r="AF317" s="16"/>
      <c r="AG317" s="103">
        <f t="shared" si="27"/>
        <v>0</v>
      </c>
      <c r="AH317" s="37">
        <f t="shared" si="26"/>
        <v>0</v>
      </c>
      <c r="AJ317" s="38"/>
      <c r="AK317" s="34"/>
      <c r="AL317" s="16"/>
      <c r="AN317" s="39"/>
      <c r="AO317" s="39"/>
      <c r="AP317" s="47"/>
      <c r="AR317" s="38"/>
      <c r="AS317" s="38"/>
      <c r="AU317" s="38"/>
      <c r="AV317" s="34"/>
      <c r="AW317" s="16"/>
      <c r="AY317" s="39"/>
      <c r="AZ317" s="39"/>
      <c r="BA317" s="47"/>
      <c r="BC317" s="38"/>
      <c r="BD317" s="38"/>
    </row>
    <row r="318" spans="22:56" ht="16" x14ac:dyDescent="0.4">
      <c r="V318" s="97"/>
      <c r="W318" s="16"/>
      <c r="X318" s="101"/>
      <c r="Y318" s="107"/>
      <c r="Z318" s="102"/>
      <c r="AA318" s="102"/>
      <c r="AB318" s="16"/>
      <c r="AC318" s="16"/>
      <c r="AD318" s="105"/>
      <c r="AE318" s="93">
        <f t="shared" si="24"/>
        <v>0</v>
      </c>
      <c r="AF318" s="16"/>
      <c r="AG318" s="103">
        <f t="shared" si="27"/>
        <v>0</v>
      </c>
      <c r="AH318" s="37">
        <f t="shared" si="26"/>
        <v>0</v>
      </c>
      <c r="AJ318" s="38"/>
      <c r="AK318" s="34"/>
      <c r="AL318" s="16"/>
      <c r="AN318" s="39"/>
      <c r="AO318" s="39"/>
      <c r="AP318" s="47"/>
      <c r="AR318" s="38"/>
      <c r="AS318" s="38"/>
      <c r="AU318" s="38"/>
      <c r="AV318" s="34"/>
      <c r="AW318" s="16"/>
      <c r="AY318" s="39"/>
      <c r="AZ318" s="39"/>
      <c r="BA318" s="47"/>
      <c r="BC318" s="38"/>
      <c r="BD318" s="38"/>
    </row>
    <row r="319" spans="22:56" ht="16" x14ac:dyDescent="0.4">
      <c r="V319" s="97"/>
      <c r="W319" s="16"/>
      <c r="X319" s="101"/>
      <c r="Y319" s="107"/>
      <c r="Z319" s="102"/>
      <c r="AA319" s="102"/>
      <c r="AB319" s="16"/>
      <c r="AC319" s="16"/>
      <c r="AD319" s="105"/>
      <c r="AE319" s="93">
        <f t="shared" si="24"/>
        <v>0</v>
      </c>
      <c r="AF319" s="16"/>
      <c r="AG319" s="103">
        <f t="shared" si="27"/>
        <v>0</v>
      </c>
      <c r="AH319" s="37">
        <f t="shared" si="26"/>
        <v>0</v>
      </c>
      <c r="AJ319" s="38"/>
      <c r="AK319" s="34"/>
      <c r="AL319" s="16"/>
      <c r="AN319" s="39"/>
      <c r="AP319" s="47"/>
      <c r="AR319" s="38"/>
      <c r="AS319" s="38"/>
      <c r="AU319" s="38"/>
      <c r="AV319" s="34"/>
      <c r="AW319" s="16"/>
      <c r="AY319" s="39"/>
      <c r="BA319" s="47"/>
      <c r="BC319" s="38"/>
      <c r="BD319" s="38"/>
    </row>
    <row r="320" spans="22:56" ht="16" x14ac:dyDescent="0.4">
      <c r="V320" s="97"/>
      <c r="W320" s="16"/>
      <c r="X320" s="101"/>
      <c r="Y320" s="107"/>
      <c r="Z320" s="102"/>
      <c r="AA320" s="102"/>
      <c r="AB320" s="16"/>
      <c r="AC320" s="16"/>
      <c r="AD320" s="105"/>
      <c r="AE320" s="93">
        <f t="shared" si="24"/>
        <v>0</v>
      </c>
      <c r="AF320" s="16"/>
      <c r="AG320" s="103">
        <f t="shared" si="27"/>
        <v>0</v>
      </c>
      <c r="AH320" s="37">
        <f t="shared" si="26"/>
        <v>0</v>
      </c>
      <c r="AJ320" s="38"/>
      <c r="AK320" s="34"/>
      <c r="AL320" s="16"/>
      <c r="AN320" s="39"/>
      <c r="AO320" s="39"/>
      <c r="AP320" s="47"/>
      <c r="AR320" s="38"/>
      <c r="AS320" s="38"/>
      <c r="AU320" s="38"/>
      <c r="AV320" s="34"/>
      <c r="AW320" s="16"/>
      <c r="AY320" s="39"/>
      <c r="AZ320" s="39"/>
      <c r="BA320" s="47"/>
      <c r="BC320" s="38"/>
      <c r="BD320" s="38"/>
    </row>
    <row r="321" spans="22:56" ht="16" x14ac:dyDescent="0.4">
      <c r="V321" s="97"/>
      <c r="W321" s="16"/>
      <c r="X321" s="101"/>
      <c r="Y321" s="107"/>
      <c r="Z321" s="102"/>
      <c r="AA321" s="102"/>
      <c r="AB321" s="16"/>
      <c r="AC321" s="16"/>
      <c r="AD321" s="105"/>
      <c r="AE321" s="93">
        <f t="shared" si="24"/>
        <v>0</v>
      </c>
      <c r="AF321" s="16"/>
      <c r="AG321" s="103">
        <f t="shared" si="27"/>
        <v>0</v>
      </c>
      <c r="AH321" s="37">
        <f t="shared" si="26"/>
        <v>0</v>
      </c>
      <c r="AJ321" s="34"/>
      <c r="AK321" s="34"/>
      <c r="AL321" s="82"/>
      <c r="AN321" s="83"/>
      <c r="AO321" s="83"/>
      <c r="AP321" s="82"/>
      <c r="AQ321" s="84"/>
      <c r="AR321" s="84"/>
      <c r="AS321" s="38"/>
      <c r="AU321" s="34"/>
      <c r="AV321" s="34"/>
      <c r="AW321" s="82"/>
      <c r="AY321" s="83"/>
      <c r="AZ321" s="83"/>
      <c r="BA321" s="82"/>
      <c r="BB321" s="84"/>
      <c r="BC321" s="84"/>
      <c r="BD321" s="38"/>
    </row>
    <row r="322" spans="22:56" ht="16" x14ac:dyDescent="0.4">
      <c r="V322" s="97"/>
      <c r="W322" s="16"/>
      <c r="X322" s="101"/>
      <c r="Y322" s="107"/>
      <c r="Z322" s="102"/>
      <c r="AA322" s="102"/>
      <c r="AB322" s="16"/>
      <c r="AC322" s="16"/>
      <c r="AD322" s="105"/>
      <c r="AE322" s="93">
        <f t="shared" ref="AE322:AE363" si="28">AD322/1000</f>
        <v>0</v>
      </c>
      <c r="AF322" s="16"/>
      <c r="AG322" s="103">
        <f t="shared" ref="AG322:AG385" si="29">IF($AF322&gt;14,14,$AF322)</f>
        <v>0</v>
      </c>
      <c r="AH322" s="37">
        <f t="shared" ref="AH322:AH385" si="30">AE322*AG322/14</f>
        <v>0</v>
      </c>
      <c r="AJ322" s="34"/>
      <c r="AK322" s="34"/>
      <c r="AL322" s="82"/>
      <c r="AN322" s="83"/>
      <c r="AO322" s="83"/>
      <c r="AP322" s="82"/>
      <c r="AQ322" s="84"/>
      <c r="AR322" s="84"/>
      <c r="AS322" s="38"/>
      <c r="AU322" s="34"/>
      <c r="AV322" s="34"/>
      <c r="AW322" s="82"/>
      <c r="AY322" s="83"/>
      <c r="AZ322" s="83"/>
      <c r="BA322" s="82"/>
      <c r="BB322" s="84"/>
      <c r="BC322" s="84"/>
      <c r="BD322" s="38"/>
    </row>
    <row r="323" spans="22:56" ht="16" x14ac:dyDescent="0.4">
      <c r="V323" s="97"/>
      <c r="W323" s="16"/>
      <c r="X323" s="101"/>
      <c r="Y323" s="107"/>
      <c r="Z323" s="102"/>
      <c r="AA323" s="102"/>
      <c r="AB323" s="16"/>
      <c r="AC323" s="16"/>
      <c r="AD323" s="105"/>
      <c r="AE323" s="93">
        <f t="shared" si="28"/>
        <v>0</v>
      </c>
      <c r="AF323" s="16"/>
      <c r="AG323" s="103">
        <f t="shared" si="29"/>
        <v>0</v>
      </c>
      <c r="AH323" s="37">
        <f t="shared" si="30"/>
        <v>0</v>
      </c>
      <c r="AJ323" s="34"/>
      <c r="AK323" s="34"/>
      <c r="AL323" s="82"/>
      <c r="AN323" s="83"/>
      <c r="AO323" s="83"/>
      <c r="AP323" s="82"/>
      <c r="AQ323" s="84"/>
      <c r="AR323" s="84"/>
      <c r="AS323" s="84"/>
      <c r="AU323" s="34"/>
      <c r="AV323" s="34"/>
      <c r="AW323" s="82"/>
      <c r="AY323" s="83"/>
      <c r="AZ323" s="83"/>
      <c r="BA323" s="82"/>
      <c r="BB323" s="84"/>
      <c r="BC323" s="84"/>
      <c r="BD323" s="84"/>
    </row>
    <row r="324" spans="22:56" ht="16" x14ac:dyDescent="0.4">
      <c r="V324" s="97"/>
      <c r="W324" s="16"/>
      <c r="X324" s="101"/>
      <c r="Y324" s="107"/>
      <c r="Z324" s="102"/>
      <c r="AA324" s="102"/>
      <c r="AB324" s="16"/>
      <c r="AC324" s="16"/>
      <c r="AD324" s="105"/>
      <c r="AE324" s="93">
        <f t="shared" si="28"/>
        <v>0</v>
      </c>
      <c r="AF324" s="16"/>
      <c r="AG324" s="103">
        <f t="shared" si="29"/>
        <v>0</v>
      </c>
      <c r="AH324" s="37">
        <f t="shared" si="30"/>
        <v>0</v>
      </c>
      <c r="AJ324" s="34"/>
      <c r="AK324" s="34"/>
      <c r="AL324" s="82"/>
      <c r="AN324" s="83"/>
      <c r="AO324" s="83"/>
      <c r="AP324" s="82"/>
      <c r="AQ324" s="84"/>
      <c r="AR324" s="84"/>
      <c r="AS324" s="84"/>
      <c r="AU324" s="34"/>
      <c r="AV324" s="34"/>
      <c r="AW324" s="82"/>
      <c r="AY324" s="83"/>
      <c r="AZ324" s="83"/>
      <c r="BA324" s="82"/>
      <c r="BB324" s="84"/>
      <c r="BC324" s="84"/>
      <c r="BD324" s="84"/>
    </row>
    <row r="325" spans="22:56" ht="16" x14ac:dyDescent="0.4">
      <c r="V325" s="97"/>
      <c r="W325" s="16"/>
      <c r="X325" s="101"/>
      <c r="Y325" s="107"/>
      <c r="Z325" s="102"/>
      <c r="AA325" s="102"/>
      <c r="AB325" s="16"/>
      <c r="AC325" s="16"/>
      <c r="AD325" s="105"/>
      <c r="AE325" s="93">
        <f t="shared" si="28"/>
        <v>0</v>
      </c>
      <c r="AF325" s="16"/>
      <c r="AG325" s="103">
        <f t="shared" si="29"/>
        <v>0</v>
      </c>
      <c r="AH325" s="37">
        <f t="shared" si="30"/>
        <v>0</v>
      </c>
      <c r="AJ325" s="34"/>
      <c r="AK325" s="34"/>
      <c r="AL325" s="82"/>
      <c r="AN325" s="83"/>
      <c r="AO325" s="83"/>
      <c r="AP325" s="82"/>
      <c r="AQ325" s="84"/>
      <c r="AR325" s="84"/>
      <c r="AS325" s="84"/>
      <c r="AU325" s="34"/>
      <c r="AV325" s="34"/>
      <c r="AW325" s="82"/>
      <c r="AY325" s="83"/>
      <c r="AZ325" s="83"/>
      <c r="BA325" s="82"/>
      <c r="BB325" s="84"/>
      <c r="BC325" s="84"/>
      <c r="BD325" s="84"/>
    </row>
    <row r="326" spans="22:56" ht="16" x14ac:dyDescent="0.4">
      <c r="V326" s="97"/>
      <c r="W326" s="16"/>
      <c r="X326" s="101"/>
      <c r="Y326" s="107"/>
      <c r="Z326" s="102"/>
      <c r="AA326" s="102"/>
      <c r="AB326" s="16"/>
      <c r="AC326" s="16"/>
      <c r="AD326" s="105"/>
      <c r="AE326" s="93">
        <f t="shared" si="28"/>
        <v>0</v>
      </c>
      <c r="AF326" s="16"/>
      <c r="AG326" s="103">
        <f t="shared" si="29"/>
        <v>0</v>
      </c>
      <c r="AH326" s="37">
        <f t="shared" si="30"/>
        <v>0</v>
      </c>
      <c r="AJ326" s="34"/>
      <c r="AK326" s="34"/>
      <c r="AL326" s="82"/>
      <c r="AN326" s="83"/>
      <c r="AO326" s="83"/>
      <c r="AP326" s="82"/>
      <c r="AQ326" s="84"/>
      <c r="AR326" s="84"/>
      <c r="AS326" s="84"/>
      <c r="AU326" s="34"/>
      <c r="AV326" s="34"/>
      <c r="AW326" s="82"/>
      <c r="AY326" s="83"/>
      <c r="AZ326" s="83"/>
      <c r="BA326" s="82"/>
      <c r="BB326" s="84"/>
      <c r="BC326" s="84"/>
      <c r="BD326" s="84"/>
    </row>
    <row r="327" spans="22:56" ht="16" x14ac:dyDescent="0.4">
      <c r="V327" s="97"/>
      <c r="W327" s="16"/>
      <c r="X327" s="101"/>
      <c r="Y327" s="107"/>
      <c r="Z327" s="102"/>
      <c r="AA327" s="102"/>
      <c r="AB327" s="16"/>
      <c r="AC327" s="16"/>
      <c r="AD327" s="105"/>
      <c r="AE327" s="93">
        <f t="shared" si="28"/>
        <v>0</v>
      </c>
      <c r="AF327" s="16"/>
      <c r="AG327" s="103">
        <f t="shared" si="29"/>
        <v>0</v>
      </c>
      <c r="AH327" s="37">
        <f t="shared" si="30"/>
        <v>0</v>
      </c>
      <c r="AJ327" s="34"/>
      <c r="AK327" s="34"/>
      <c r="AL327" s="82"/>
      <c r="AN327" s="83"/>
      <c r="AO327" s="83"/>
      <c r="AP327" s="82"/>
      <c r="AQ327" s="84"/>
      <c r="AR327" s="84"/>
      <c r="AS327" s="84"/>
      <c r="AU327" s="34"/>
      <c r="AV327" s="34"/>
      <c r="AW327" s="82"/>
      <c r="AY327" s="83"/>
      <c r="AZ327" s="83"/>
      <c r="BA327" s="82"/>
      <c r="BB327" s="84"/>
      <c r="BC327" s="84"/>
      <c r="BD327" s="84"/>
    </row>
    <row r="328" spans="22:56" ht="16" x14ac:dyDescent="0.4">
      <c r="V328" s="97"/>
      <c r="W328" s="16"/>
      <c r="X328" s="101"/>
      <c r="Y328" s="107"/>
      <c r="Z328" s="102"/>
      <c r="AA328" s="102"/>
      <c r="AB328" s="16"/>
      <c r="AC328" s="16"/>
      <c r="AD328" s="105"/>
      <c r="AE328" s="93">
        <f t="shared" si="28"/>
        <v>0</v>
      </c>
      <c r="AF328" s="16"/>
      <c r="AG328" s="103">
        <f t="shared" si="29"/>
        <v>0</v>
      </c>
      <c r="AH328" s="37">
        <f t="shared" si="30"/>
        <v>0</v>
      </c>
      <c r="AJ328" s="34"/>
      <c r="AK328" s="34"/>
      <c r="AL328" s="82"/>
      <c r="AN328" s="83"/>
      <c r="AO328" s="83"/>
      <c r="AP328" s="82"/>
      <c r="AQ328" s="84"/>
      <c r="AR328" s="84"/>
      <c r="AS328" s="84"/>
      <c r="AU328" s="34"/>
      <c r="AV328" s="34"/>
      <c r="AW328" s="82"/>
      <c r="AY328" s="83"/>
      <c r="AZ328" s="83"/>
      <c r="BA328" s="82"/>
      <c r="BB328" s="84"/>
      <c r="BC328" s="84"/>
      <c r="BD328" s="84"/>
    </row>
    <row r="329" spans="22:56" ht="16" x14ac:dyDescent="0.4">
      <c r="V329" s="97"/>
      <c r="W329" s="16"/>
      <c r="X329" s="101"/>
      <c r="Y329" s="107"/>
      <c r="Z329" s="102"/>
      <c r="AA329" s="102"/>
      <c r="AB329" s="16"/>
      <c r="AC329" s="16"/>
      <c r="AD329" s="105"/>
      <c r="AE329" s="93">
        <f t="shared" si="28"/>
        <v>0</v>
      </c>
      <c r="AF329" s="16"/>
      <c r="AG329" s="103">
        <f t="shared" si="29"/>
        <v>0</v>
      </c>
      <c r="AH329" s="37">
        <f t="shared" si="30"/>
        <v>0</v>
      </c>
      <c r="AJ329" s="34"/>
      <c r="AK329" s="34"/>
      <c r="AL329" s="82"/>
      <c r="AN329" s="83"/>
      <c r="AO329" s="83"/>
      <c r="AP329" s="82"/>
      <c r="AQ329" s="84"/>
      <c r="AR329" s="84"/>
      <c r="AS329" s="84"/>
      <c r="AU329" s="34"/>
      <c r="AV329" s="34"/>
      <c r="AW329" s="82"/>
      <c r="AY329" s="83"/>
      <c r="AZ329" s="83"/>
      <c r="BA329" s="82"/>
      <c r="BB329" s="84"/>
      <c r="BC329" s="84"/>
      <c r="BD329" s="84"/>
    </row>
    <row r="330" spans="22:56" ht="16" x14ac:dyDescent="0.4">
      <c r="V330" s="97"/>
      <c r="W330" s="16"/>
      <c r="X330" s="101"/>
      <c r="Y330" s="107"/>
      <c r="Z330" s="102"/>
      <c r="AA330" s="102"/>
      <c r="AB330" s="16"/>
      <c r="AC330" s="16"/>
      <c r="AD330" s="105"/>
      <c r="AE330" s="93">
        <f t="shared" si="28"/>
        <v>0</v>
      </c>
      <c r="AF330" s="16"/>
      <c r="AG330" s="103">
        <f t="shared" si="29"/>
        <v>0</v>
      </c>
      <c r="AH330" s="37">
        <f t="shared" si="30"/>
        <v>0</v>
      </c>
      <c r="AJ330" s="34"/>
      <c r="AK330" s="34"/>
      <c r="AL330" s="82"/>
      <c r="AN330" s="83"/>
      <c r="AO330" s="83"/>
      <c r="AP330" s="82"/>
      <c r="AQ330" s="84"/>
      <c r="AR330" s="84"/>
      <c r="AS330" s="84"/>
      <c r="AU330" s="34"/>
      <c r="AV330" s="34"/>
      <c r="AW330" s="82"/>
      <c r="AY330" s="83"/>
      <c r="AZ330" s="83"/>
      <c r="BA330" s="82"/>
      <c r="BB330" s="84"/>
      <c r="BC330" s="84"/>
      <c r="BD330" s="84"/>
    </row>
    <row r="331" spans="22:56" ht="16" x14ac:dyDescent="0.4">
      <c r="V331" s="97"/>
      <c r="W331" s="16"/>
      <c r="X331" s="101"/>
      <c r="Y331" s="107"/>
      <c r="Z331" s="102"/>
      <c r="AA331" s="102"/>
      <c r="AB331" s="16"/>
      <c r="AC331" s="16"/>
      <c r="AD331" s="105"/>
      <c r="AE331" s="93">
        <f t="shared" si="28"/>
        <v>0</v>
      </c>
      <c r="AF331" s="16"/>
      <c r="AG331" s="103">
        <f t="shared" si="29"/>
        <v>0</v>
      </c>
      <c r="AH331" s="37">
        <f t="shared" si="30"/>
        <v>0</v>
      </c>
      <c r="AJ331" s="34"/>
      <c r="AK331" s="34"/>
      <c r="AL331" s="82"/>
      <c r="AN331" s="83"/>
      <c r="AO331" s="83"/>
      <c r="AP331" s="82"/>
      <c r="AQ331" s="84"/>
      <c r="AR331" s="84"/>
      <c r="AS331" s="84"/>
      <c r="AU331" s="34"/>
      <c r="AV331" s="34"/>
      <c r="AW331" s="82"/>
      <c r="AY331" s="83"/>
      <c r="AZ331" s="83"/>
      <c r="BA331" s="82"/>
      <c r="BB331" s="84"/>
      <c r="BC331" s="84"/>
      <c r="BD331" s="84"/>
    </row>
    <row r="332" spans="22:56" ht="16" x14ac:dyDescent="0.4">
      <c r="V332" s="97"/>
      <c r="W332" s="16"/>
      <c r="X332" s="101"/>
      <c r="Y332" s="107"/>
      <c r="Z332" s="102"/>
      <c r="AA332" s="102"/>
      <c r="AB332" s="16"/>
      <c r="AC332" s="16"/>
      <c r="AD332" s="105"/>
      <c r="AE332" s="93">
        <f t="shared" si="28"/>
        <v>0</v>
      </c>
      <c r="AF332" s="16"/>
      <c r="AG332" s="103">
        <f t="shared" si="29"/>
        <v>0</v>
      </c>
      <c r="AH332" s="37">
        <f t="shared" si="30"/>
        <v>0</v>
      </c>
      <c r="AJ332" s="34"/>
      <c r="AK332" s="34"/>
      <c r="AL332" s="82"/>
      <c r="AN332" s="83"/>
      <c r="AO332" s="83"/>
      <c r="AP332" s="82"/>
      <c r="AQ332" s="84"/>
      <c r="AR332" s="84"/>
      <c r="AS332" s="84"/>
      <c r="AU332" s="34"/>
      <c r="AV332" s="34"/>
      <c r="AW332" s="82"/>
      <c r="AY332" s="83"/>
      <c r="AZ332" s="83"/>
      <c r="BA332" s="82"/>
      <c r="BB332" s="84"/>
      <c r="BC332" s="84"/>
      <c r="BD332" s="84"/>
    </row>
    <row r="333" spans="22:56" ht="16" x14ac:dyDescent="0.4">
      <c r="V333" s="97"/>
      <c r="W333" s="16"/>
      <c r="X333" s="101"/>
      <c r="Y333" s="107"/>
      <c r="Z333" s="102"/>
      <c r="AA333" s="102"/>
      <c r="AB333" s="16"/>
      <c r="AC333" s="16"/>
      <c r="AD333" s="105"/>
      <c r="AE333" s="93">
        <f t="shared" si="28"/>
        <v>0</v>
      </c>
      <c r="AF333" s="16"/>
      <c r="AG333" s="103">
        <f t="shared" si="29"/>
        <v>0</v>
      </c>
      <c r="AH333" s="37">
        <f t="shared" si="30"/>
        <v>0</v>
      </c>
      <c r="AJ333" s="34"/>
      <c r="AK333" s="34"/>
      <c r="AL333" s="82"/>
      <c r="AN333" s="83"/>
      <c r="AO333" s="83"/>
      <c r="AP333" s="82"/>
      <c r="AQ333" s="84"/>
      <c r="AR333" s="84"/>
      <c r="AS333" s="84"/>
      <c r="AU333" s="34"/>
      <c r="AV333" s="34"/>
      <c r="AW333" s="82"/>
      <c r="AY333" s="83"/>
      <c r="AZ333" s="83"/>
      <c r="BA333" s="82"/>
      <c r="BB333" s="84"/>
      <c r="BC333" s="84"/>
      <c r="BD333" s="84"/>
    </row>
    <row r="334" spans="22:56" ht="16" x14ac:dyDescent="0.4">
      <c r="V334" s="97"/>
      <c r="W334" s="16"/>
      <c r="X334" s="101"/>
      <c r="Y334" s="107"/>
      <c r="Z334" s="102"/>
      <c r="AA334" s="102"/>
      <c r="AB334" s="16"/>
      <c r="AC334" s="16"/>
      <c r="AD334" s="105"/>
      <c r="AE334" s="93">
        <f t="shared" si="28"/>
        <v>0</v>
      </c>
      <c r="AF334" s="16"/>
      <c r="AG334" s="103">
        <f t="shared" si="29"/>
        <v>0</v>
      </c>
      <c r="AH334" s="37">
        <f t="shared" si="30"/>
        <v>0</v>
      </c>
      <c r="AJ334" s="34"/>
      <c r="AK334" s="34"/>
      <c r="AL334" s="82"/>
      <c r="AN334" s="83"/>
      <c r="AO334" s="83"/>
      <c r="AP334" s="82"/>
      <c r="AQ334" s="84"/>
      <c r="AR334" s="84"/>
      <c r="AS334" s="84"/>
      <c r="AU334" s="34"/>
      <c r="AV334" s="34"/>
      <c r="AW334" s="82"/>
      <c r="AY334" s="83"/>
      <c r="AZ334" s="83"/>
      <c r="BA334" s="82"/>
      <c r="BB334" s="84"/>
      <c r="BC334" s="84"/>
      <c r="BD334" s="84"/>
    </row>
    <row r="335" spans="22:56" ht="16" x14ac:dyDescent="0.4">
      <c r="V335" s="97"/>
      <c r="W335" s="16"/>
      <c r="X335" s="101"/>
      <c r="Y335" s="107"/>
      <c r="Z335" s="102"/>
      <c r="AA335" s="102"/>
      <c r="AB335" s="16"/>
      <c r="AC335" s="16"/>
      <c r="AD335" s="105"/>
      <c r="AE335" s="93">
        <f t="shared" si="28"/>
        <v>0</v>
      </c>
      <c r="AF335" s="16"/>
      <c r="AG335" s="103">
        <f t="shared" si="29"/>
        <v>0</v>
      </c>
      <c r="AH335" s="37">
        <f t="shared" si="30"/>
        <v>0</v>
      </c>
      <c r="AJ335" s="34"/>
      <c r="AK335" s="34"/>
      <c r="AL335" s="82"/>
      <c r="AN335" s="83"/>
      <c r="AO335" s="83"/>
      <c r="AP335" s="82"/>
      <c r="AQ335" s="84"/>
      <c r="AR335" s="84"/>
      <c r="AS335" s="84"/>
      <c r="AU335" s="34"/>
      <c r="AV335" s="34"/>
      <c r="AW335" s="82"/>
      <c r="AY335" s="83"/>
      <c r="AZ335" s="83"/>
      <c r="BA335" s="82"/>
      <c r="BB335" s="84"/>
      <c r="BC335" s="84"/>
      <c r="BD335" s="84"/>
    </row>
    <row r="336" spans="22:56" ht="16" x14ac:dyDescent="0.4">
      <c r="V336" s="97"/>
      <c r="W336" s="16"/>
      <c r="X336" s="101"/>
      <c r="Y336" s="107"/>
      <c r="Z336" s="102"/>
      <c r="AA336" s="102"/>
      <c r="AB336" s="16"/>
      <c r="AC336" s="16"/>
      <c r="AD336" s="105"/>
      <c r="AE336" s="93">
        <f t="shared" si="28"/>
        <v>0</v>
      </c>
      <c r="AF336" s="16"/>
      <c r="AG336" s="103">
        <f t="shared" si="29"/>
        <v>0</v>
      </c>
      <c r="AH336" s="37">
        <f t="shared" si="30"/>
        <v>0</v>
      </c>
      <c r="AJ336" s="34"/>
      <c r="AK336" s="34"/>
      <c r="AL336" s="82"/>
      <c r="AN336" s="83"/>
      <c r="AO336" s="83"/>
      <c r="AP336" s="82"/>
      <c r="AQ336" s="84"/>
      <c r="AR336" s="84"/>
      <c r="AS336" s="84"/>
      <c r="AU336" s="34"/>
      <c r="AV336" s="34"/>
      <c r="AW336" s="82"/>
      <c r="AY336" s="83"/>
      <c r="AZ336" s="83"/>
      <c r="BA336" s="82"/>
      <c r="BB336" s="84"/>
      <c r="BC336" s="84"/>
      <c r="BD336" s="84"/>
    </row>
    <row r="337" spans="22:56" ht="16" x14ac:dyDescent="0.4">
      <c r="V337" s="97"/>
      <c r="W337" s="16"/>
      <c r="X337" s="101"/>
      <c r="Y337" s="105"/>
      <c r="Z337" s="102"/>
      <c r="AA337" s="102"/>
      <c r="AB337" s="16"/>
      <c r="AC337" s="16"/>
      <c r="AD337" s="105"/>
      <c r="AE337" s="93">
        <f t="shared" si="28"/>
        <v>0</v>
      </c>
      <c r="AF337" s="16"/>
      <c r="AG337" s="103">
        <f t="shared" si="29"/>
        <v>0</v>
      </c>
      <c r="AH337" s="37">
        <f t="shared" si="30"/>
        <v>0</v>
      </c>
      <c r="AJ337" s="34"/>
      <c r="AK337" s="34"/>
      <c r="AL337" s="82"/>
      <c r="AN337" s="83"/>
      <c r="AO337" s="83"/>
      <c r="AP337" s="82"/>
      <c r="AQ337" s="84"/>
      <c r="AR337" s="84"/>
      <c r="AS337" s="84"/>
      <c r="AU337" s="34"/>
      <c r="AV337" s="34"/>
      <c r="AW337" s="82"/>
      <c r="AY337" s="83"/>
      <c r="AZ337" s="83"/>
      <c r="BA337" s="82"/>
      <c r="BB337" s="84"/>
      <c r="BC337" s="84"/>
      <c r="BD337" s="84"/>
    </row>
    <row r="338" spans="22:56" ht="16" x14ac:dyDescent="0.4">
      <c r="V338" s="97"/>
      <c r="W338" s="16"/>
      <c r="X338" s="101"/>
      <c r="Z338" s="50"/>
      <c r="AA338" s="50"/>
      <c r="AD338" s="37"/>
      <c r="AE338" s="93">
        <f t="shared" si="28"/>
        <v>0</v>
      </c>
      <c r="AF338" s="16"/>
      <c r="AG338" s="103">
        <f t="shared" si="29"/>
        <v>0</v>
      </c>
      <c r="AH338" s="37">
        <f t="shared" si="30"/>
        <v>0</v>
      </c>
      <c r="AJ338" s="34"/>
      <c r="AK338" s="34"/>
      <c r="AL338" s="82"/>
      <c r="AN338" s="83"/>
      <c r="AO338" s="83"/>
      <c r="AP338" s="82"/>
      <c r="AQ338" s="84"/>
      <c r="AR338" s="84"/>
      <c r="AS338" s="84"/>
      <c r="AU338" s="34"/>
      <c r="AV338" s="34"/>
      <c r="AW338" s="82"/>
      <c r="AY338" s="83"/>
      <c r="AZ338" s="83"/>
      <c r="BA338" s="82"/>
      <c r="BB338" s="84"/>
      <c r="BC338" s="84"/>
      <c r="BD338" s="84"/>
    </row>
    <row r="339" spans="22:56" ht="16" x14ac:dyDescent="0.4">
      <c r="V339" s="97"/>
      <c r="W339" s="16"/>
      <c r="X339" s="101"/>
      <c r="Z339" s="50"/>
      <c r="AA339" s="50"/>
      <c r="AD339" s="37"/>
      <c r="AE339" s="93">
        <f t="shared" si="28"/>
        <v>0</v>
      </c>
      <c r="AF339" s="16"/>
      <c r="AG339" s="103">
        <f t="shared" si="29"/>
        <v>0</v>
      </c>
      <c r="AH339" s="37">
        <f t="shared" si="30"/>
        <v>0</v>
      </c>
      <c r="AJ339" s="34"/>
      <c r="AK339" s="34"/>
      <c r="AL339" s="82"/>
      <c r="AN339" s="83"/>
      <c r="AO339" s="83"/>
      <c r="AP339" s="82"/>
      <c r="AQ339" s="84"/>
      <c r="AR339" s="84"/>
      <c r="AS339" s="84"/>
      <c r="AU339" s="34"/>
      <c r="AV339" s="34"/>
      <c r="AW339" s="82"/>
      <c r="AY339" s="83"/>
      <c r="AZ339" s="83"/>
      <c r="BA339" s="82"/>
      <c r="BB339" s="84"/>
      <c r="BC339" s="84"/>
      <c r="BD339" s="84"/>
    </row>
    <row r="340" spans="22:56" ht="16" x14ac:dyDescent="0.4">
      <c r="V340" s="97"/>
      <c r="W340" s="16"/>
      <c r="X340" s="101"/>
      <c r="Z340" s="50"/>
      <c r="AA340" s="50"/>
      <c r="AD340" s="37"/>
      <c r="AE340" s="93">
        <f t="shared" si="28"/>
        <v>0</v>
      </c>
      <c r="AF340" s="16"/>
      <c r="AG340" s="103">
        <f t="shared" si="29"/>
        <v>0</v>
      </c>
      <c r="AH340" s="37">
        <f t="shared" si="30"/>
        <v>0</v>
      </c>
      <c r="AJ340" s="34"/>
      <c r="AK340" s="34"/>
      <c r="AL340" s="82"/>
      <c r="AN340" s="83"/>
      <c r="AO340" s="83"/>
      <c r="AP340" s="82"/>
      <c r="AQ340" s="84"/>
      <c r="AR340" s="84"/>
      <c r="AS340" s="84"/>
      <c r="AU340" s="34"/>
      <c r="AV340" s="34"/>
      <c r="AW340" s="82"/>
      <c r="AY340" s="83"/>
      <c r="AZ340" s="83"/>
      <c r="BA340" s="82"/>
      <c r="BB340" s="84"/>
      <c r="BC340" s="84"/>
      <c r="BD340" s="84"/>
    </row>
    <row r="341" spans="22:56" ht="16" x14ac:dyDescent="0.4">
      <c r="V341" s="97"/>
      <c r="W341" s="16"/>
      <c r="X341" s="101"/>
      <c r="Z341" s="50"/>
      <c r="AA341" s="50"/>
      <c r="AD341" s="100"/>
      <c r="AE341" s="93">
        <f t="shared" si="28"/>
        <v>0</v>
      </c>
      <c r="AF341" s="16"/>
      <c r="AG341" s="103">
        <f t="shared" si="29"/>
        <v>0</v>
      </c>
      <c r="AH341" s="37">
        <f t="shared" si="30"/>
        <v>0</v>
      </c>
      <c r="AJ341" s="34"/>
      <c r="AK341" s="34"/>
      <c r="AL341" s="82"/>
      <c r="AN341" s="83"/>
      <c r="AO341" s="83"/>
      <c r="AP341" s="82"/>
      <c r="AQ341" s="84"/>
      <c r="AR341" s="84"/>
      <c r="AS341" s="84"/>
      <c r="AU341" s="34"/>
      <c r="AV341" s="34"/>
      <c r="AW341" s="82"/>
      <c r="AY341" s="83"/>
      <c r="AZ341" s="83"/>
      <c r="BA341" s="82"/>
      <c r="BB341" s="84"/>
      <c r="BC341" s="84"/>
      <c r="BD341" s="84"/>
    </row>
    <row r="342" spans="22:56" ht="16" x14ac:dyDescent="0.4">
      <c r="V342" s="97"/>
      <c r="W342" s="16"/>
      <c r="X342" s="101"/>
      <c r="Z342" s="50"/>
      <c r="AA342" s="50"/>
      <c r="AD342" s="100"/>
      <c r="AE342" s="93">
        <f t="shared" si="28"/>
        <v>0</v>
      </c>
      <c r="AF342" s="16"/>
      <c r="AG342" s="103">
        <f t="shared" si="29"/>
        <v>0</v>
      </c>
      <c r="AH342" s="37">
        <f t="shared" si="30"/>
        <v>0</v>
      </c>
      <c r="AJ342" s="34"/>
      <c r="AK342" s="34"/>
      <c r="AL342" s="82"/>
      <c r="AN342" s="83"/>
      <c r="AO342" s="83"/>
      <c r="AP342" s="82"/>
      <c r="AQ342" s="84"/>
      <c r="AR342" s="84"/>
      <c r="AS342" s="84"/>
      <c r="AU342" s="34"/>
      <c r="AV342" s="34"/>
      <c r="AW342" s="82"/>
      <c r="AY342" s="83"/>
      <c r="AZ342" s="83"/>
      <c r="BA342" s="82"/>
      <c r="BB342" s="84"/>
      <c r="BC342" s="84"/>
      <c r="BD342" s="84"/>
    </row>
    <row r="343" spans="22:56" ht="16" x14ac:dyDescent="0.4">
      <c r="V343" s="97"/>
      <c r="W343" s="16"/>
      <c r="X343" s="101"/>
      <c r="Z343" s="50"/>
      <c r="AA343" s="50"/>
      <c r="AD343" s="100"/>
      <c r="AE343" s="93">
        <f t="shared" si="28"/>
        <v>0</v>
      </c>
      <c r="AF343" s="16"/>
      <c r="AG343" s="103">
        <f t="shared" si="29"/>
        <v>0</v>
      </c>
      <c r="AH343" s="37">
        <f t="shared" si="30"/>
        <v>0</v>
      </c>
      <c r="AJ343" s="34"/>
      <c r="AK343" s="34"/>
      <c r="AL343" s="82"/>
      <c r="AN343" s="83"/>
      <c r="AO343" s="83"/>
      <c r="AP343" s="82"/>
      <c r="AQ343" s="84"/>
      <c r="AR343" s="84"/>
      <c r="AS343" s="84"/>
      <c r="AU343" s="34"/>
      <c r="AV343" s="34"/>
      <c r="AW343" s="82"/>
      <c r="AY343" s="83"/>
      <c r="AZ343" s="83"/>
      <c r="BA343" s="82"/>
      <c r="BB343" s="84"/>
      <c r="BC343" s="84"/>
      <c r="BD343" s="84"/>
    </row>
    <row r="344" spans="22:56" ht="16" x14ac:dyDescent="0.4">
      <c r="V344" s="97"/>
      <c r="W344" s="16"/>
      <c r="X344" s="101"/>
      <c r="Z344" s="50"/>
      <c r="AA344" s="50"/>
      <c r="AD344" s="100"/>
      <c r="AE344" s="93">
        <f t="shared" si="28"/>
        <v>0</v>
      </c>
      <c r="AF344" s="16"/>
      <c r="AG344" s="103">
        <f t="shared" si="29"/>
        <v>0</v>
      </c>
      <c r="AH344" s="37">
        <f t="shared" si="30"/>
        <v>0</v>
      </c>
      <c r="AJ344" s="34"/>
      <c r="AK344" s="34"/>
      <c r="AL344" s="82"/>
      <c r="AN344" s="83"/>
      <c r="AO344" s="83"/>
      <c r="AP344" s="82"/>
      <c r="AQ344" s="84"/>
      <c r="AR344" s="84"/>
      <c r="AS344" s="84"/>
      <c r="AU344" s="34"/>
      <c r="AV344" s="34"/>
      <c r="AW344" s="82"/>
      <c r="AY344" s="83"/>
      <c r="AZ344" s="83"/>
      <c r="BA344" s="82"/>
      <c r="BB344" s="84"/>
      <c r="BC344" s="84"/>
      <c r="BD344" s="84"/>
    </row>
    <row r="345" spans="22:56" ht="16" x14ac:dyDescent="0.4">
      <c r="V345" s="97"/>
      <c r="W345" s="16"/>
      <c r="X345" s="101"/>
      <c r="Z345" s="50"/>
      <c r="AA345" s="50"/>
      <c r="AD345" s="100"/>
      <c r="AE345" s="93">
        <f t="shared" si="28"/>
        <v>0</v>
      </c>
      <c r="AF345" s="16"/>
      <c r="AG345" s="103">
        <f t="shared" si="29"/>
        <v>0</v>
      </c>
      <c r="AH345" s="37">
        <f t="shared" si="30"/>
        <v>0</v>
      </c>
      <c r="AJ345" s="34"/>
      <c r="AK345" s="34"/>
      <c r="AL345" s="82"/>
      <c r="AN345" s="83"/>
      <c r="AO345" s="83"/>
      <c r="AP345" s="82"/>
      <c r="AQ345" s="84"/>
      <c r="AR345" s="84"/>
      <c r="AS345" s="84"/>
      <c r="AU345" s="34"/>
      <c r="AV345" s="34"/>
      <c r="AW345" s="82"/>
      <c r="AY345" s="83"/>
      <c r="AZ345" s="83"/>
      <c r="BA345" s="82"/>
      <c r="BB345" s="84"/>
      <c r="BC345" s="84"/>
      <c r="BD345" s="84"/>
    </row>
    <row r="346" spans="22:56" ht="16" x14ac:dyDescent="0.4">
      <c r="V346" s="97"/>
      <c r="W346" s="16"/>
      <c r="X346" s="101"/>
      <c r="Z346" s="50"/>
      <c r="AA346" s="50"/>
      <c r="AD346" s="100"/>
      <c r="AE346" s="93">
        <f t="shared" si="28"/>
        <v>0</v>
      </c>
      <c r="AF346" s="16"/>
      <c r="AG346" s="103">
        <f t="shared" si="29"/>
        <v>0</v>
      </c>
      <c r="AH346" s="37">
        <f t="shared" si="30"/>
        <v>0</v>
      </c>
      <c r="AJ346" s="34"/>
      <c r="AK346" s="34"/>
      <c r="AL346" s="82"/>
      <c r="AN346" s="83"/>
      <c r="AO346" s="83"/>
      <c r="AP346" s="82"/>
      <c r="AQ346" s="84"/>
      <c r="AR346" s="84"/>
      <c r="AS346" s="84"/>
      <c r="AU346" s="34"/>
      <c r="AV346" s="34"/>
      <c r="AW346" s="82"/>
      <c r="AY346" s="83"/>
      <c r="AZ346" s="83"/>
      <c r="BA346" s="82"/>
      <c r="BB346" s="84"/>
      <c r="BC346" s="84"/>
      <c r="BD346" s="84"/>
    </row>
    <row r="347" spans="22:56" ht="16" x14ac:dyDescent="0.4">
      <c r="V347" s="97"/>
      <c r="W347" s="16"/>
      <c r="X347" s="101"/>
      <c r="Z347" s="50"/>
      <c r="AA347" s="50"/>
      <c r="AD347" s="100"/>
      <c r="AE347" s="93">
        <f t="shared" si="28"/>
        <v>0</v>
      </c>
      <c r="AF347" s="16"/>
      <c r="AG347" s="103">
        <f t="shared" si="29"/>
        <v>0</v>
      </c>
      <c r="AH347" s="37">
        <f t="shared" si="30"/>
        <v>0</v>
      </c>
      <c r="AJ347" s="34"/>
      <c r="AK347" s="34"/>
      <c r="AL347" s="82"/>
      <c r="AN347" s="83"/>
      <c r="AO347" s="83"/>
      <c r="AP347" s="82"/>
      <c r="AQ347" s="84"/>
      <c r="AR347" s="84"/>
      <c r="AS347" s="84"/>
      <c r="AU347" s="34"/>
      <c r="AV347" s="34"/>
      <c r="AW347" s="82"/>
      <c r="AY347" s="83"/>
      <c r="AZ347" s="83"/>
      <c r="BA347" s="82"/>
      <c r="BB347" s="84"/>
      <c r="BC347" s="84"/>
      <c r="BD347" s="84"/>
    </row>
    <row r="348" spans="22:56" ht="16" x14ac:dyDescent="0.4">
      <c r="V348" s="97"/>
      <c r="W348" s="16"/>
      <c r="X348" s="101"/>
      <c r="Z348" s="50"/>
      <c r="AA348" s="50"/>
      <c r="AD348" s="100"/>
      <c r="AE348" s="93">
        <f t="shared" si="28"/>
        <v>0</v>
      </c>
      <c r="AF348" s="16"/>
      <c r="AG348" s="103">
        <f t="shared" si="29"/>
        <v>0</v>
      </c>
      <c r="AH348" s="37">
        <f t="shared" si="30"/>
        <v>0</v>
      </c>
      <c r="AJ348" s="34"/>
      <c r="AK348" s="34"/>
      <c r="AL348" s="82"/>
      <c r="AN348" s="83"/>
      <c r="AO348" s="83"/>
      <c r="AP348" s="82"/>
      <c r="AQ348" s="84"/>
      <c r="AR348" s="84"/>
      <c r="AS348" s="84"/>
      <c r="AU348" s="34"/>
      <c r="AV348" s="34"/>
      <c r="AW348" s="82"/>
      <c r="AY348" s="83"/>
      <c r="AZ348" s="83"/>
      <c r="BA348" s="82"/>
      <c r="BB348" s="84"/>
      <c r="BC348" s="84"/>
      <c r="BD348" s="84"/>
    </row>
    <row r="349" spans="22:56" ht="16" x14ac:dyDescent="0.4">
      <c r="V349" s="97"/>
      <c r="W349" s="16"/>
      <c r="X349" s="101"/>
      <c r="Z349" s="50"/>
      <c r="AA349" s="50"/>
      <c r="AD349" s="100"/>
      <c r="AE349" s="93">
        <f t="shared" si="28"/>
        <v>0</v>
      </c>
      <c r="AF349" s="16"/>
      <c r="AG349" s="103">
        <f t="shared" si="29"/>
        <v>0</v>
      </c>
      <c r="AH349" s="37">
        <f t="shared" si="30"/>
        <v>0</v>
      </c>
      <c r="AJ349" s="34"/>
      <c r="AK349" s="34"/>
      <c r="AL349" s="82"/>
      <c r="AN349" s="83"/>
      <c r="AO349" s="83"/>
      <c r="AP349" s="82"/>
      <c r="AQ349" s="84"/>
      <c r="AR349" s="84"/>
      <c r="AS349" s="84"/>
      <c r="AU349" s="34"/>
      <c r="AV349" s="34"/>
      <c r="AW349" s="82"/>
      <c r="AY349" s="83"/>
      <c r="AZ349" s="83"/>
      <c r="BA349" s="82"/>
      <c r="BB349" s="84"/>
      <c r="BC349" s="84"/>
      <c r="BD349" s="84"/>
    </row>
    <row r="350" spans="22:56" ht="16" x14ac:dyDescent="0.4">
      <c r="V350" s="97"/>
      <c r="W350" s="16"/>
      <c r="X350" s="101"/>
      <c r="Z350" s="50"/>
      <c r="AA350" s="50"/>
      <c r="AD350" s="100"/>
      <c r="AE350" s="93">
        <f t="shared" si="28"/>
        <v>0</v>
      </c>
      <c r="AF350" s="16"/>
      <c r="AG350" s="103">
        <f t="shared" si="29"/>
        <v>0</v>
      </c>
      <c r="AH350" s="37">
        <f t="shared" si="30"/>
        <v>0</v>
      </c>
      <c r="AJ350" s="34"/>
      <c r="AK350" s="34"/>
      <c r="AL350" s="82"/>
      <c r="AN350" s="83"/>
      <c r="AO350" s="83"/>
      <c r="AP350" s="82"/>
      <c r="AQ350" s="84"/>
      <c r="AR350" s="84"/>
      <c r="AS350" s="84"/>
      <c r="AU350" s="34"/>
      <c r="AV350" s="34"/>
      <c r="AW350" s="82"/>
      <c r="AY350" s="83"/>
      <c r="AZ350" s="83"/>
      <c r="BA350" s="82"/>
      <c r="BB350" s="84"/>
      <c r="BC350" s="84"/>
      <c r="BD350" s="84"/>
    </row>
    <row r="351" spans="22:56" ht="16" x14ac:dyDescent="0.4">
      <c r="V351" s="97"/>
      <c r="W351" s="16"/>
      <c r="X351" s="101"/>
      <c r="Z351" s="50"/>
      <c r="AA351" s="50"/>
      <c r="AD351" s="100"/>
      <c r="AE351" s="93">
        <f t="shared" si="28"/>
        <v>0</v>
      </c>
      <c r="AF351" s="16"/>
      <c r="AG351" s="103">
        <f t="shared" si="29"/>
        <v>0</v>
      </c>
      <c r="AH351" s="37">
        <f t="shared" si="30"/>
        <v>0</v>
      </c>
      <c r="AJ351" s="34"/>
      <c r="AK351" s="34"/>
      <c r="AL351" s="82"/>
      <c r="AN351" s="83"/>
      <c r="AO351" s="83"/>
      <c r="AP351" s="82"/>
      <c r="AQ351" s="84"/>
      <c r="AR351" s="84"/>
      <c r="AS351" s="84"/>
      <c r="AU351" s="34"/>
      <c r="AV351" s="34"/>
      <c r="AW351" s="82"/>
      <c r="AY351" s="83"/>
      <c r="AZ351" s="83"/>
      <c r="BA351" s="82"/>
      <c r="BB351" s="84"/>
      <c r="BC351" s="84"/>
      <c r="BD351" s="84"/>
    </row>
    <row r="352" spans="22:56" ht="16" x14ac:dyDescent="0.4">
      <c r="V352" s="97"/>
      <c r="W352" s="16"/>
      <c r="X352" s="101"/>
      <c r="Z352" s="50"/>
      <c r="AA352" s="50"/>
      <c r="AD352" s="100"/>
      <c r="AE352" s="93">
        <f t="shared" si="28"/>
        <v>0</v>
      </c>
      <c r="AF352" s="16"/>
      <c r="AG352" s="103">
        <f t="shared" si="29"/>
        <v>0</v>
      </c>
      <c r="AH352" s="37">
        <f t="shared" si="30"/>
        <v>0</v>
      </c>
      <c r="AJ352" s="34"/>
      <c r="AK352" s="34"/>
      <c r="AL352" s="82"/>
      <c r="AN352" s="83"/>
      <c r="AO352" s="83"/>
      <c r="AP352" s="82"/>
      <c r="AQ352" s="84"/>
      <c r="AR352" s="84"/>
      <c r="AS352" s="84"/>
      <c r="AU352" s="34"/>
      <c r="AV352" s="34"/>
      <c r="AW352" s="82"/>
      <c r="AY352" s="83"/>
      <c r="AZ352" s="83"/>
      <c r="BA352" s="82"/>
      <c r="BB352" s="84"/>
      <c r="BC352" s="84"/>
      <c r="BD352" s="84"/>
    </row>
    <row r="353" spans="22:56" ht="16" x14ac:dyDescent="0.4">
      <c r="V353" s="97"/>
      <c r="W353" s="16"/>
      <c r="X353" s="101"/>
      <c r="Z353" s="50"/>
      <c r="AA353" s="50"/>
      <c r="AD353" s="100"/>
      <c r="AE353" s="93">
        <f t="shared" si="28"/>
        <v>0</v>
      </c>
      <c r="AF353" s="16"/>
      <c r="AG353" s="103">
        <f t="shared" si="29"/>
        <v>0</v>
      </c>
      <c r="AH353" s="37">
        <f t="shared" si="30"/>
        <v>0</v>
      </c>
      <c r="AJ353" s="34"/>
      <c r="AK353" s="34"/>
      <c r="AL353" s="82"/>
      <c r="AN353" s="83"/>
      <c r="AO353" s="83"/>
      <c r="AP353" s="82"/>
      <c r="AQ353" s="84"/>
      <c r="AR353" s="84"/>
      <c r="AS353" s="84"/>
      <c r="AU353" s="34"/>
      <c r="AV353" s="34"/>
      <c r="AW353" s="82"/>
      <c r="AY353" s="83"/>
      <c r="AZ353" s="83"/>
      <c r="BA353" s="82"/>
      <c r="BB353" s="84"/>
      <c r="BC353" s="84"/>
      <c r="BD353" s="84"/>
    </row>
    <row r="354" spans="22:56" ht="16" x14ac:dyDescent="0.4">
      <c r="V354" s="97"/>
      <c r="W354" s="16"/>
      <c r="X354" s="101"/>
      <c r="Z354" s="50"/>
      <c r="AA354" s="50"/>
      <c r="AD354" s="100"/>
      <c r="AE354" s="93">
        <f t="shared" si="28"/>
        <v>0</v>
      </c>
      <c r="AF354" s="16"/>
      <c r="AG354" s="103">
        <f t="shared" si="29"/>
        <v>0</v>
      </c>
      <c r="AH354" s="37">
        <f t="shared" si="30"/>
        <v>0</v>
      </c>
      <c r="AJ354" s="34"/>
      <c r="AK354" s="34"/>
      <c r="AL354" s="82"/>
      <c r="AN354" s="83"/>
      <c r="AO354" s="83"/>
      <c r="AP354" s="82"/>
      <c r="AQ354" s="84"/>
      <c r="AR354" s="84"/>
      <c r="AS354" s="84"/>
      <c r="AU354" s="34"/>
      <c r="AV354" s="34"/>
      <c r="AW354" s="82"/>
      <c r="AY354" s="83"/>
      <c r="AZ354" s="83"/>
      <c r="BA354" s="82"/>
      <c r="BB354" s="84"/>
      <c r="BC354" s="84"/>
      <c r="BD354" s="84"/>
    </row>
    <row r="355" spans="22:56" ht="16" x14ac:dyDescent="0.4">
      <c r="V355" s="97"/>
      <c r="W355" s="16"/>
      <c r="X355" s="101"/>
      <c r="Z355" s="50"/>
      <c r="AA355" s="50"/>
      <c r="AD355" s="100"/>
      <c r="AE355" s="93">
        <f t="shared" si="28"/>
        <v>0</v>
      </c>
      <c r="AF355" s="16"/>
      <c r="AG355" s="103">
        <f t="shared" si="29"/>
        <v>0</v>
      </c>
      <c r="AH355" s="37">
        <f t="shared" si="30"/>
        <v>0</v>
      </c>
      <c r="AJ355" s="34"/>
      <c r="AK355" s="34"/>
      <c r="AL355" s="82"/>
      <c r="AN355" s="83"/>
      <c r="AO355" s="83"/>
      <c r="AP355" s="82"/>
      <c r="AQ355" s="84"/>
      <c r="AR355" s="84"/>
      <c r="AS355" s="84"/>
      <c r="AU355" s="34"/>
      <c r="AV355" s="34"/>
      <c r="AW355" s="82"/>
      <c r="AY355" s="83"/>
      <c r="AZ355" s="83"/>
      <c r="BA355" s="82"/>
      <c r="BB355" s="84"/>
      <c r="BC355" s="84"/>
      <c r="BD355" s="84"/>
    </row>
    <row r="356" spans="22:56" ht="16" x14ac:dyDescent="0.4">
      <c r="V356" s="97"/>
      <c r="W356" s="16"/>
      <c r="X356" s="101"/>
      <c r="Z356" s="50"/>
      <c r="AA356" s="50"/>
      <c r="AD356" s="100"/>
      <c r="AE356" s="93">
        <f t="shared" si="28"/>
        <v>0</v>
      </c>
      <c r="AF356" s="16"/>
      <c r="AG356" s="103">
        <f t="shared" si="29"/>
        <v>0</v>
      </c>
      <c r="AH356" s="37">
        <f t="shared" si="30"/>
        <v>0</v>
      </c>
      <c r="AJ356" s="34"/>
      <c r="AK356" s="34"/>
      <c r="AL356" s="82"/>
      <c r="AN356" s="83"/>
      <c r="AO356" s="83"/>
      <c r="AP356" s="82"/>
      <c r="AQ356" s="84"/>
      <c r="AR356" s="84"/>
      <c r="AS356" s="84"/>
      <c r="AU356" s="34"/>
      <c r="AV356" s="34"/>
      <c r="AW356" s="82"/>
      <c r="AY356" s="83"/>
      <c r="AZ356" s="83"/>
      <c r="BA356" s="82"/>
      <c r="BB356" s="84"/>
      <c r="BC356" s="84"/>
      <c r="BD356" s="84"/>
    </row>
    <row r="357" spans="22:56" ht="16" x14ac:dyDescent="0.4">
      <c r="V357" s="97"/>
      <c r="W357" s="16"/>
      <c r="X357" s="101"/>
      <c r="Z357" s="50"/>
      <c r="AA357" s="50"/>
      <c r="AD357" s="100"/>
      <c r="AE357" s="93">
        <f t="shared" si="28"/>
        <v>0</v>
      </c>
      <c r="AF357" s="16"/>
      <c r="AG357" s="103">
        <f t="shared" si="29"/>
        <v>0</v>
      </c>
      <c r="AH357" s="37">
        <f t="shared" si="30"/>
        <v>0</v>
      </c>
      <c r="AJ357" s="34"/>
      <c r="AK357" s="34"/>
      <c r="AL357" s="82"/>
      <c r="AN357" s="83"/>
      <c r="AO357" s="83"/>
      <c r="AP357" s="82"/>
      <c r="AQ357" s="84"/>
      <c r="AR357" s="84"/>
      <c r="AS357" s="84"/>
      <c r="AU357" s="34"/>
      <c r="AV357" s="34"/>
      <c r="AW357" s="82"/>
      <c r="AY357" s="83"/>
      <c r="AZ357" s="83"/>
      <c r="BA357" s="82"/>
      <c r="BB357" s="84"/>
      <c r="BC357" s="84"/>
      <c r="BD357" s="84"/>
    </row>
    <row r="358" spans="22:56" ht="16" x14ac:dyDescent="0.4">
      <c r="V358" s="97"/>
      <c r="W358" s="16"/>
      <c r="X358" s="101"/>
      <c r="Z358" s="50"/>
      <c r="AA358" s="50"/>
      <c r="AD358" s="100"/>
      <c r="AE358" s="93">
        <f t="shared" si="28"/>
        <v>0</v>
      </c>
      <c r="AF358" s="16"/>
      <c r="AG358" s="103">
        <f t="shared" si="29"/>
        <v>0</v>
      </c>
      <c r="AH358" s="37">
        <f t="shared" si="30"/>
        <v>0</v>
      </c>
      <c r="AJ358" s="34"/>
      <c r="AK358" s="34"/>
      <c r="AL358" s="82"/>
      <c r="AN358" s="83"/>
      <c r="AO358" s="83"/>
      <c r="AP358" s="82"/>
      <c r="AQ358" s="84"/>
      <c r="AR358" s="84"/>
      <c r="AS358" s="84"/>
      <c r="AU358" s="34"/>
      <c r="AV358" s="34"/>
      <c r="AW358" s="82"/>
      <c r="AY358" s="83"/>
      <c r="AZ358" s="83"/>
      <c r="BA358" s="82"/>
      <c r="BB358" s="84"/>
      <c r="BC358" s="84"/>
      <c r="BD358" s="84"/>
    </row>
    <row r="359" spans="22:56" ht="16" x14ac:dyDescent="0.4">
      <c r="V359" s="97"/>
      <c r="W359" s="16"/>
      <c r="X359" s="101"/>
      <c r="Z359" s="50"/>
      <c r="AA359" s="50"/>
      <c r="AD359" s="100"/>
      <c r="AE359" s="93">
        <f t="shared" si="28"/>
        <v>0</v>
      </c>
      <c r="AF359" s="16"/>
      <c r="AG359" s="103">
        <f t="shared" si="29"/>
        <v>0</v>
      </c>
      <c r="AH359" s="37">
        <f t="shared" si="30"/>
        <v>0</v>
      </c>
      <c r="AJ359" s="34"/>
      <c r="AK359" s="34"/>
      <c r="AL359" s="82"/>
      <c r="AN359" s="83"/>
      <c r="AO359" s="83"/>
      <c r="AP359" s="82"/>
      <c r="AQ359" s="84"/>
      <c r="AR359" s="84"/>
      <c r="AS359" s="84"/>
      <c r="AU359" s="34"/>
      <c r="AV359" s="34"/>
      <c r="AW359" s="82"/>
      <c r="AY359" s="83"/>
      <c r="AZ359" s="83"/>
      <c r="BA359" s="82"/>
      <c r="BB359" s="84"/>
      <c r="BC359" s="84"/>
      <c r="BD359" s="84"/>
    </row>
    <row r="360" spans="22:56" ht="16" x14ac:dyDescent="0.4">
      <c r="V360" s="97"/>
      <c r="W360" s="16"/>
      <c r="X360" s="101"/>
      <c r="Z360" s="50"/>
      <c r="AA360" s="50"/>
      <c r="AD360" s="100"/>
      <c r="AE360" s="93">
        <f t="shared" si="28"/>
        <v>0</v>
      </c>
      <c r="AF360" s="16"/>
      <c r="AG360" s="103">
        <f t="shared" si="29"/>
        <v>0</v>
      </c>
      <c r="AH360" s="37">
        <f t="shared" si="30"/>
        <v>0</v>
      </c>
      <c r="AJ360" s="34"/>
      <c r="AK360" s="34"/>
      <c r="AL360" s="82"/>
      <c r="AN360" s="83"/>
      <c r="AO360" s="83"/>
      <c r="AP360" s="82"/>
      <c r="AQ360" s="84"/>
      <c r="AR360" s="84"/>
      <c r="AS360" s="84"/>
      <c r="AU360" s="34"/>
      <c r="AV360" s="34"/>
      <c r="AW360" s="82"/>
      <c r="AY360" s="83"/>
      <c r="AZ360" s="83"/>
      <c r="BA360" s="82"/>
      <c r="BB360" s="84"/>
      <c r="BC360" s="84"/>
      <c r="BD360" s="84"/>
    </row>
    <row r="361" spans="22:56" ht="16" x14ac:dyDescent="0.4">
      <c r="V361" s="97"/>
      <c r="W361" s="16"/>
      <c r="X361" s="101"/>
      <c r="Z361" s="50"/>
      <c r="AA361" s="50"/>
      <c r="AD361" s="100"/>
      <c r="AE361" s="93">
        <f t="shared" si="28"/>
        <v>0</v>
      </c>
      <c r="AF361" s="16"/>
      <c r="AG361" s="103">
        <f t="shared" si="29"/>
        <v>0</v>
      </c>
      <c r="AH361" s="37">
        <f t="shared" si="30"/>
        <v>0</v>
      </c>
      <c r="AJ361" s="34"/>
      <c r="AK361" s="34"/>
      <c r="AL361" s="82"/>
      <c r="AN361" s="83"/>
      <c r="AO361" s="83"/>
      <c r="AP361" s="82"/>
      <c r="AQ361" s="84"/>
      <c r="AR361" s="84"/>
      <c r="AS361" s="84"/>
      <c r="AU361" s="34"/>
      <c r="AV361" s="34"/>
      <c r="AW361" s="82"/>
      <c r="AY361" s="83"/>
      <c r="AZ361" s="83"/>
      <c r="BA361" s="82"/>
      <c r="BB361" s="84"/>
      <c r="BC361" s="84"/>
      <c r="BD361" s="84"/>
    </row>
    <row r="362" spans="22:56" ht="16" x14ac:dyDescent="0.4">
      <c r="V362" s="97"/>
      <c r="W362" s="16"/>
      <c r="X362" s="101"/>
      <c r="Z362" s="50"/>
      <c r="AA362" s="50"/>
      <c r="AD362" s="100"/>
      <c r="AE362" s="93">
        <f t="shared" si="28"/>
        <v>0</v>
      </c>
      <c r="AF362" s="16"/>
      <c r="AG362" s="103">
        <f t="shared" si="29"/>
        <v>0</v>
      </c>
      <c r="AH362" s="37">
        <f t="shared" si="30"/>
        <v>0</v>
      </c>
      <c r="AJ362" s="34"/>
      <c r="AK362" s="34"/>
      <c r="AL362" s="82"/>
      <c r="AN362" s="83"/>
      <c r="AO362" s="83"/>
      <c r="AP362" s="82"/>
      <c r="AQ362" s="84"/>
      <c r="AR362" s="84"/>
      <c r="AS362" s="84"/>
      <c r="AU362" s="34"/>
      <c r="AV362" s="34"/>
      <c r="AW362" s="82"/>
      <c r="AY362" s="83"/>
      <c r="AZ362" s="83"/>
      <c r="BA362" s="82"/>
      <c r="BB362" s="84"/>
      <c r="BC362" s="84"/>
      <c r="BD362" s="84"/>
    </row>
    <row r="363" spans="22:56" ht="16" x14ac:dyDescent="0.4">
      <c r="V363" s="97"/>
      <c r="W363" s="16"/>
      <c r="X363" s="101"/>
      <c r="Z363" s="50"/>
      <c r="AA363" s="50"/>
      <c r="AD363" s="100"/>
      <c r="AE363" s="93">
        <f t="shared" si="28"/>
        <v>0</v>
      </c>
      <c r="AF363" s="16"/>
      <c r="AG363" s="103">
        <f t="shared" si="29"/>
        <v>0</v>
      </c>
      <c r="AH363" s="37">
        <f t="shared" si="30"/>
        <v>0</v>
      </c>
      <c r="AJ363" s="34"/>
      <c r="AK363" s="34"/>
      <c r="AL363" s="82"/>
      <c r="AN363" s="83"/>
      <c r="AO363" s="83"/>
      <c r="AP363" s="82"/>
      <c r="AQ363" s="84"/>
      <c r="AR363" s="84"/>
      <c r="AS363" s="84"/>
      <c r="AU363" s="34"/>
      <c r="AV363" s="34"/>
      <c r="AW363" s="82"/>
      <c r="AY363" s="83"/>
      <c r="AZ363" s="83"/>
      <c r="BA363" s="82"/>
      <c r="BB363" s="84"/>
      <c r="BC363" s="84"/>
      <c r="BD363" s="84"/>
    </row>
    <row r="364" spans="22:56" ht="16" x14ac:dyDescent="0.4">
      <c r="V364" s="97"/>
      <c r="W364" s="16"/>
      <c r="X364" s="101"/>
      <c r="Z364" s="50"/>
      <c r="AA364" s="50"/>
      <c r="AD364" s="100"/>
      <c r="AE364" s="93">
        <f t="shared" ref="AE364:AE385" si="31">AD364/1000</f>
        <v>0</v>
      </c>
      <c r="AF364" s="16"/>
      <c r="AG364" s="103">
        <f t="shared" si="29"/>
        <v>0</v>
      </c>
      <c r="AH364" s="37">
        <f t="shared" si="30"/>
        <v>0</v>
      </c>
      <c r="AJ364" s="34"/>
      <c r="AK364" s="34"/>
      <c r="AL364" s="82"/>
      <c r="AN364" s="83"/>
      <c r="AO364" s="83"/>
      <c r="AP364" s="82"/>
      <c r="AQ364" s="84"/>
      <c r="AR364" s="84"/>
      <c r="AS364" s="84"/>
      <c r="AU364" s="34"/>
      <c r="AV364" s="34"/>
      <c r="AW364" s="82"/>
      <c r="AY364" s="83"/>
      <c r="AZ364" s="83"/>
      <c r="BA364" s="82"/>
      <c r="BB364" s="84"/>
      <c r="BC364" s="84"/>
      <c r="BD364" s="84"/>
    </row>
    <row r="365" spans="22:56" ht="16" x14ac:dyDescent="0.4">
      <c r="V365" s="97"/>
      <c r="W365" s="16"/>
      <c r="X365" s="101"/>
      <c r="Z365" s="50"/>
      <c r="AA365" s="50"/>
      <c r="AD365" s="100"/>
      <c r="AE365" s="93">
        <f t="shared" si="31"/>
        <v>0</v>
      </c>
      <c r="AF365" s="16"/>
      <c r="AG365" s="103">
        <f t="shared" si="29"/>
        <v>0</v>
      </c>
      <c r="AH365" s="37">
        <f t="shared" si="30"/>
        <v>0</v>
      </c>
      <c r="AJ365" s="34"/>
      <c r="AK365" s="34"/>
      <c r="AL365" s="82"/>
      <c r="AN365" s="83"/>
      <c r="AO365" s="83"/>
      <c r="AP365" s="82"/>
      <c r="AQ365" s="84"/>
      <c r="AR365" s="84"/>
      <c r="AS365" s="84"/>
      <c r="AU365" s="34"/>
      <c r="AV365" s="34"/>
      <c r="AW365" s="82"/>
      <c r="AY365" s="83"/>
      <c r="AZ365" s="83"/>
      <c r="BA365" s="82"/>
      <c r="BB365" s="84"/>
      <c r="BC365" s="84"/>
      <c r="BD365" s="84"/>
    </row>
    <row r="366" spans="22:56" ht="16" x14ac:dyDescent="0.4">
      <c r="V366" s="97"/>
      <c r="W366" s="16"/>
      <c r="X366" s="89"/>
      <c r="Z366" s="50"/>
      <c r="AA366" s="50"/>
      <c r="AD366" s="100"/>
      <c r="AE366" s="93">
        <f t="shared" si="31"/>
        <v>0</v>
      </c>
      <c r="AF366" s="16"/>
      <c r="AG366" s="103">
        <f t="shared" si="29"/>
        <v>0</v>
      </c>
      <c r="AH366" s="37">
        <f t="shared" si="30"/>
        <v>0</v>
      </c>
      <c r="AJ366" s="34"/>
      <c r="AK366" s="34"/>
      <c r="AL366" s="82"/>
      <c r="AN366" s="83"/>
      <c r="AO366" s="83"/>
      <c r="AP366" s="82"/>
      <c r="AQ366" s="84"/>
      <c r="AR366" s="84"/>
      <c r="AS366" s="84"/>
      <c r="AU366" s="34"/>
      <c r="AV366" s="34"/>
      <c r="AW366" s="82"/>
      <c r="AY366" s="83"/>
      <c r="AZ366" s="83"/>
      <c r="BA366" s="82"/>
      <c r="BB366" s="84"/>
      <c r="BC366" s="84"/>
      <c r="BD366" s="84"/>
    </row>
    <row r="367" spans="22:56" ht="16" x14ac:dyDescent="0.4">
      <c r="V367" s="97"/>
      <c r="W367" s="16"/>
      <c r="X367" s="89"/>
      <c r="Z367" s="50"/>
      <c r="AA367" s="50"/>
      <c r="AD367" s="100"/>
      <c r="AE367" s="93">
        <f t="shared" si="31"/>
        <v>0</v>
      </c>
      <c r="AF367" s="16"/>
      <c r="AG367" s="103">
        <f t="shared" si="29"/>
        <v>0</v>
      </c>
      <c r="AH367" s="37">
        <f t="shared" si="30"/>
        <v>0</v>
      </c>
      <c r="AJ367" s="34"/>
      <c r="AK367" s="34"/>
      <c r="AL367" s="82"/>
      <c r="AN367" s="83"/>
      <c r="AO367" s="83"/>
      <c r="AP367" s="82"/>
      <c r="AQ367" s="84"/>
      <c r="AR367" s="84"/>
      <c r="AS367" s="84"/>
      <c r="AU367" s="34"/>
      <c r="AV367" s="34"/>
      <c r="AW367" s="82"/>
      <c r="AY367" s="83"/>
      <c r="AZ367" s="83"/>
      <c r="BA367" s="82"/>
      <c r="BB367" s="84"/>
      <c r="BC367" s="84"/>
      <c r="BD367" s="84"/>
    </row>
    <row r="368" spans="22:56" ht="16" x14ac:dyDescent="0.4">
      <c r="V368" s="97"/>
      <c r="W368" s="16"/>
      <c r="X368" s="89"/>
      <c r="Z368" s="50"/>
      <c r="AA368" s="50"/>
      <c r="AD368" s="100"/>
      <c r="AE368" s="93">
        <f t="shared" si="31"/>
        <v>0</v>
      </c>
      <c r="AF368" s="16"/>
      <c r="AG368" s="103">
        <f t="shared" si="29"/>
        <v>0</v>
      </c>
      <c r="AH368" s="37">
        <f t="shared" si="30"/>
        <v>0</v>
      </c>
      <c r="AJ368" s="34"/>
      <c r="AK368" s="34"/>
      <c r="AL368" s="82"/>
      <c r="AN368" s="83"/>
      <c r="AO368" s="83"/>
      <c r="AP368" s="82"/>
      <c r="AQ368" s="84"/>
      <c r="AR368" s="84"/>
      <c r="AS368" s="84"/>
      <c r="AU368" s="34"/>
      <c r="AV368" s="34"/>
      <c r="AW368" s="82"/>
      <c r="AY368" s="83"/>
      <c r="AZ368" s="83"/>
      <c r="BA368" s="82"/>
      <c r="BB368" s="84"/>
      <c r="BC368" s="84"/>
      <c r="BD368" s="84"/>
    </row>
    <row r="369" spans="22:56" ht="16" x14ac:dyDescent="0.4">
      <c r="V369" s="97"/>
      <c r="W369" s="16"/>
      <c r="X369" s="89"/>
      <c r="Z369" s="50"/>
      <c r="AA369" s="50"/>
      <c r="AD369" s="100"/>
      <c r="AE369" s="93">
        <f t="shared" si="31"/>
        <v>0</v>
      </c>
      <c r="AF369" s="16"/>
      <c r="AG369" s="103">
        <f t="shared" si="29"/>
        <v>0</v>
      </c>
      <c r="AH369" s="37">
        <f t="shared" si="30"/>
        <v>0</v>
      </c>
      <c r="AJ369" s="34"/>
      <c r="AK369" s="34"/>
      <c r="AL369" s="82"/>
      <c r="AN369" s="83"/>
      <c r="AO369" s="83"/>
      <c r="AP369" s="82"/>
      <c r="AQ369" s="84"/>
      <c r="AR369" s="84"/>
      <c r="AS369" s="84"/>
      <c r="AU369" s="34"/>
      <c r="AV369" s="34"/>
      <c r="AW369" s="82"/>
      <c r="AY369" s="83"/>
      <c r="AZ369" s="83"/>
      <c r="BA369" s="82"/>
      <c r="BB369" s="84"/>
      <c r="BC369" s="84"/>
      <c r="BD369" s="84"/>
    </row>
    <row r="370" spans="22:56" ht="16" x14ac:dyDescent="0.4">
      <c r="V370" s="97"/>
      <c r="W370" s="16"/>
      <c r="X370" s="89"/>
      <c r="Z370" s="50"/>
      <c r="AA370" s="50"/>
      <c r="AD370" s="100"/>
      <c r="AE370" s="93">
        <f t="shared" si="31"/>
        <v>0</v>
      </c>
      <c r="AF370" s="16"/>
      <c r="AG370" s="103">
        <f t="shared" si="29"/>
        <v>0</v>
      </c>
      <c r="AH370" s="37">
        <f t="shared" si="30"/>
        <v>0</v>
      </c>
      <c r="AJ370" s="34"/>
      <c r="AK370" s="34"/>
      <c r="AL370" s="82"/>
      <c r="AN370" s="83"/>
      <c r="AO370" s="83"/>
      <c r="AP370" s="82"/>
      <c r="AQ370" s="84"/>
      <c r="AR370" s="84"/>
      <c r="AS370" s="84"/>
      <c r="AU370" s="34"/>
      <c r="AV370" s="34"/>
      <c r="AW370" s="82"/>
      <c r="AY370" s="83"/>
      <c r="AZ370" s="83"/>
      <c r="BA370" s="82"/>
      <c r="BB370" s="84"/>
      <c r="BC370" s="84"/>
      <c r="BD370" s="84"/>
    </row>
    <row r="371" spans="22:56" ht="16" x14ac:dyDescent="0.4">
      <c r="V371" s="97"/>
      <c r="W371" s="16"/>
      <c r="X371" s="89"/>
      <c r="Z371" s="50"/>
      <c r="AA371" s="50"/>
      <c r="AD371" s="100"/>
      <c r="AE371" s="93">
        <f t="shared" si="31"/>
        <v>0</v>
      </c>
      <c r="AF371" s="16"/>
      <c r="AG371" s="103">
        <f t="shared" si="29"/>
        <v>0</v>
      </c>
      <c r="AH371" s="37">
        <f t="shared" si="30"/>
        <v>0</v>
      </c>
      <c r="AJ371" s="34"/>
      <c r="AK371" s="34"/>
      <c r="AL371" s="82"/>
      <c r="AN371" s="83"/>
      <c r="AO371" s="83"/>
      <c r="AP371" s="82"/>
      <c r="AQ371" s="84"/>
      <c r="AR371" s="84"/>
      <c r="AS371" s="84"/>
      <c r="AU371" s="34"/>
      <c r="AV371" s="34"/>
      <c r="AW371" s="82"/>
      <c r="AY371" s="83"/>
      <c r="AZ371" s="83"/>
      <c r="BA371" s="82"/>
      <c r="BB371" s="84"/>
      <c r="BC371" s="84"/>
      <c r="BD371" s="84"/>
    </row>
    <row r="372" spans="22:56" ht="16" x14ac:dyDescent="0.4">
      <c r="V372" s="97"/>
      <c r="W372" s="16"/>
      <c r="X372" s="89"/>
      <c r="Z372" s="50"/>
      <c r="AA372" s="50"/>
      <c r="AD372" s="100"/>
      <c r="AE372" s="93">
        <f t="shared" si="31"/>
        <v>0</v>
      </c>
      <c r="AF372" s="16"/>
      <c r="AG372" s="103">
        <f t="shared" si="29"/>
        <v>0</v>
      </c>
      <c r="AH372" s="37">
        <f t="shared" si="30"/>
        <v>0</v>
      </c>
      <c r="AJ372" s="34"/>
      <c r="AK372" s="34"/>
      <c r="AL372" s="82"/>
      <c r="AN372" s="83"/>
      <c r="AO372" s="83"/>
      <c r="AP372" s="82"/>
      <c r="AQ372" s="84"/>
      <c r="AR372" s="84"/>
      <c r="AS372" s="84"/>
      <c r="AU372" s="34"/>
      <c r="AV372" s="34"/>
      <c r="AW372" s="82"/>
      <c r="AY372" s="83"/>
      <c r="AZ372" s="83"/>
      <c r="BA372" s="82"/>
      <c r="BB372" s="84"/>
      <c r="BC372" s="84"/>
      <c r="BD372" s="84"/>
    </row>
    <row r="373" spans="22:56" ht="16" x14ac:dyDescent="0.4">
      <c r="V373" s="97"/>
      <c r="W373" s="16"/>
      <c r="X373" s="89"/>
      <c r="Z373" s="50"/>
      <c r="AA373" s="50"/>
      <c r="AD373" s="100"/>
      <c r="AE373" s="93">
        <f t="shared" si="31"/>
        <v>0</v>
      </c>
      <c r="AF373" s="16"/>
      <c r="AG373" s="103">
        <f t="shared" si="29"/>
        <v>0</v>
      </c>
      <c r="AH373" s="37">
        <f t="shared" si="30"/>
        <v>0</v>
      </c>
      <c r="AJ373" s="34"/>
      <c r="AK373" s="34"/>
      <c r="AL373" s="82"/>
      <c r="AN373" s="83"/>
      <c r="AO373" s="83"/>
      <c r="AP373" s="82"/>
      <c r="AQ373" s="84"/>
      <c r="AR373" s="84"/>
      <c r="AS373" s="84"/>
      <c r="AU373" s="34"/>
      <c r="AV373" s="34"/>
      <c r="AW373" s="82"/>
      <c r="AY373" s="83"/>
      <c r="AZ373" s="83"/>
      <c r="BA373" s="82"/>
      <c r="BB373" s="84"/>
      <c r="BC373" s="84"/>
      <c r="BD373" s="84"/>
    </row>
    <row r="374" spans="22:56" ht="16" x14ac:dyDescent="0.4">
      <c r="V374" s="97"/>
      <c r="W374" s="16"/>
      <c r="X374" s="89"/>
      <c r="Z374" s="50"/>
      <c r="AA374" s="50"/>
      <c r="AD374" s="100"/>
      <c r="AE374" s="93">
        <f t="shared" si="31"/>
        <v>0</v>
      </c>
      <c r="AF374" s="16"/>
      <c r="AG374" s="103">
        <f t="shared" si="29"/>
        <v>0</v>
      </c>
      <c r="AH374" s="37">
        <f t="shared" si="30"/>
        <v>0</v>
      </c>
      <c r="AJ374" s="34"/>
      <c r="AK374" s="34"/>
      <c r="AL374" s="82"/>
      <c r="AN374" s="83"/>
      <c r="AO374" s="83"/>
      <c r="AP374" s="82"/>
      <c r="AQ374" s="84"/>
      <c r="AR374" s="84"/>
      <c r="AS374" s="84"/>
      <c r="AU374" s="34"/>
      <c r="AV374" s="34"/>
      <c r="AW374" s="82"/>
      <c r="AY374" s="83"/>
      <c r="AZ374" s="83"/>
      <c r="BA374" s="82"/>
      <c r="BB374" s="84"/>
      <c r="BC374" s="84"/>
      <c r="BD374" s="84"/>
    </row>
    <row r="375" spans="22:56" ht="16" x14ac:dyDescent="0.4">
      <c r="V375" s="97"/>
      <c r="W375" s="16"/>
      <c r="X375" s="89"/>
      <c r="Z375" s="50"/>
      <c r="AA375" s="50"/>
      <c r="AD375" s="100"/>
      <c r="AE375" s="93">
        <f t="shared" si="31"/>
        <v>0</v>
      </c>
      <c r="AF375" s="16"/>
      <c r="AG375" s="103">
        <f t="shared" si="29"/>
        <v>0</v>
      </c>
      <c r="AH375" s="37">
        <f t="shared" si="30"/>
        <v>0</v>
      </c>
      <c r="AJ375" s="34"/>
      <c r="AK375" s="34"/>
      <c r="AL375" s="82"/>
      <c r="AN375" s="83"/>
      <c r="AO375" s="83"/>
      <c r="AP375" s="82"/>
      <c r="AQ375" s="84"/>
      <c r="AR375" s="84"/>
      <c r="AS375" s="84"/>
      <c r="AU375" s="34"/>
      <c r="AV375" s="34"/>
      <c r="AW375" s="82"/>
      <c r="AY375" s="83"/>
      <c r="AZ375" s="83"/>
      <c r="BA375" s="82"/>
      <c r="BB375" s="84"/>
      <c r="BC375" s="84"/>
      <c r="BD375" s="84"/>
    </row>
    <row r="376" spans="22:56" ht="16" x14ac:dyDescent="0.4">
      <c r="V376" s="97"/>
      <c r="W376" s="16"/>
      <c r="X376" s="89"/>
      <c r="Z376" s="50"/>
      <c r="AA376" s="50"/>
      <c r="AD376" s="100"/>
      <c r="AE376" s="93">
        <f t="shared" si="31"/>
        <v>0</v>
      </c>
      <c r="AF376" s="16"/>
      <c r="AG376" s="103">
        <f t="shared" si="29"/>
        <v>0</v>
      </c>
      <c r="AH376" s="37">
        <f t="shared" si="30"/>
        <v>0</v>
      </c>
      <c r="AJ376" s="34"/>
      <c r="AK376" s="34"/>
      <c r="AL376" s="82"/>
      <c r="AN376" s="83"/>
      <c r="AO376" s="83"/>
      <c r="AP376" s="82"/>
      <c r="AQ376" s="84"/>
      <c r="AR376" s="84"/>
      <c r="AS376" s="84"/>
      <c r="AU376" s="34"/>
      <c r="AV376" s="34"/>
      <c r="AW376" s="82"/>
      <c r="AY376" s="83"/>
      <c r="AZ376" s="83"/>
      <c r="BA376" s="82"/>
      <c r="BB376" s="84"/>
      <c r="BC376" s="84"/>
      <c r="BD376" s="84"/>
    </row>
    <row r="377" spans="22:56" ht="16" x14ac:dyDescent="0.4">
      <c r="V377" s="97"/>
      <c r="W377" s="16"/>
      <c r="X377" s="89"/>
      <c r="Z377" s="50"/>
      <c r="AA377" s="50"/>
      <c r="AD377" s="100"/>
      <c r="AE377" s="93">
        <f t="shared" si="31"/>
        <v>0</v>
      </c>
      <c r="AF377" s="16"/>
      <c r="AG377" s="103">
        <f t="shared" si="29"/>
        <v>0</v>
      </c>
      <c r="AH377" s="37">
        <f t="shared" si="30"/>
        <v>0</v>
      </c>
      <c r="AJ377" s="34"/>
      <c r="AK377" s="34"/>
      <c r="AL377" s="82"/>
      <c r="AN377" s="83"/>
      <c r="AO377" s="83"/>
      <c r="AP377" s="82"/>
      <c r="AQ377" s="84"/>
      <c r="AR377" s="84"/>
      <c r="AS377" s="84"/>
      <c r="AU377" s="34"/>
      <c r="AV377" s="34"/>
      <c r="AW377" s="82"/>
      <c r="AY377" s="83"/>
      <c r="AZ377" s="83"/>
      <c r="BA377" s="82"/>
      <c r="BB377" s="84"/>
      <c r="BC377" s="84"/>
      <c r="BD377" s="84"/>
    </row>
    <row r="378" spans="22:56" ht="16" x14ac:dyDescent="0.4">
      <c r="V378" s="97"/>
      <c r="W378" s="16"/>
      <c r="X378" s="89"/>
      <c r="Z378" s="50"/>
      <c r="AA378" s="50"/>
      <c r="AD378" s="100"/>
      <c r="AE378" s="93">
        <f t="shared" si="31"/>
        <v>0</v>
      </c>
      <c r="AF378" s="16"/>
      <c r="AG378" s="103">
        <f t="shared" si="29"/>
        <v>0</v>
      </c>
      <c r="AH378" s="37">
        <f t="shared" si="30"/>
        <v>0</v>
      </c>
      <c r="AJ378" s="34"/>
      <c r="AK378" s="34"/>
      <c r="AL378" s="82"/>
      <c r="AN378" s="83"/>
      <c r="AO378" s="83"/>
      <c r="AP378" s="82"/>
      <c r="AQ378" s="84"/>
      <c r="AR378" s="84"/>
      <c r="AS378" s="84"/>
      <c r="AU378" s="34"/>
      <c r="AV378" s="34"/>
      <c r="AW378" s="82"/>
      <c r="AY378" s="83"/>
      <c r="AZ378" s="83"/>
      <c r="BA378" s="82"/>
      <c r="BB378" s="84"/>
      <c r="BC378" s="84"/>
      <c r="BD378" s="84"/>
    </row>
    <row r="379" spans="22:56" ht="16" x14ac:dyDescent="0.4">
      <c r="V379" s="97"/>
      <c r="W379" s="16"/>
      <c r="X379" s="89"/>
      <c r="Z379" s="50"/>
      <c r="AA379" s="50"/>
      <c r="AD379" s="100"/>
      <c r="AE379" s="93">
        <f t="shared" si="31"/>
        <v>0</v>
      </c>
      <c r="AF379" s="16"/>
      <c r="AG379" s="103">
        <f t="shared" si="29"/>
        <v>0</v>
      </c>
      <c r="AH379" s="37">
        <f t="shared" si="30"/>
        <v>0</v>
      </c>
      <c r="AJ379" s="34"/>
      <c r="AK379" s="34"/>
      <c r="AL379" s="82"/>
      <c r="AN379" s="83"/>
      <c r="AO379" s="83"/>
      <c r="AP379" s="82"/>
      <c r="AQ379" s="84"/>
      <c r="AR379" s="84"/>
      <c r="AS379" s="84"/>
      <c r="AU379" s="34"/>
      <c r="AV379" s="34"/>
      <c r="AW379" s="82"/>
      <c r="AY379" s="83"/>
      <c r="AZ379" s="83"/>
      <c r="BA379" s="82"/>
      <c r="BB379" s="84"/>
      <c r="BC379" s="84"/>
      <c r="BD379" s="84"/>
    </row>
    <row r="380" spans="22:56" ht="16" x14ac:dyDescent="0.4">
      <c r="V380" s="97"/>
      <c r="W380" s="16"/>
      <c r="X380" s="89"/>
      <c r="Z380" s="50"/>
      <c r="AA380" s="50"/>
      <c r="AD380" s="100"/>
      <c r="AE380" s="93">
        <f t="shared" si="31"/>
        <v>0</v>
      </c>
      <c r="AF380" s="16"/>
      <c r="AG380" s="103">
        <f t="shared" si="29"/>
        <v>0</v>
      </c>
      <c r="AH380" s="37">
        <f t="shared" si="30"/>
        <v>0</v>
      </c>
      <c r="AJ380" s="34"/>
      <c r="AK380" s="34"/>
      <c r="AL380" s="82"/>
      <c r="AN380" s="83"/>
      <c r="AO380" s="83"/>
      <c r="AP380" s="82"/>
      <c r="AQ380" s="84"/>
      <c r="AR380" s="84"/>
      <c r="AS380" s="84"/>
      <c r="AU380" s="34"/>
      <c r="AV380" s="34"/>
      <c r="AW380" s="82"/>
      <c r="AY380" s="83"/>
      <c r="AZ380" s="83"/>
      <c r="BA380" s="82"/>
      <c r="BB380" s="84"/>
      <c r="BC380" s="84"/>
      <c r="BD380" s="84"/>
    </row>
    <row r="381" spans="22:56" ht="16" x14ac:dyDescent="0.4">
      <c r="V381" s="97"/>
      <c r="W381" s="16"/>
      <c r="X381" s="89"/>
      <c r="Z381" s="50"/>
      <c r="AA381" s="50"/>
      <c r="AD381" s="100"/>
      <c r="AE381" s="93">
        <f t="shared" si="31"/>
        <v>0</v>
      </c>
      <c r="AF381" s="16"/>
      <c r="AG381" s="103">
        <f t="shared" si="29"/>
        <v>0</v>
      </c>
      <c r="AH381" s="37">
        <f t="shared" si="30"/>
        <v>0</v>
      </c>
      <c r="AJ381" s="34"/>
      <c r="AK381" s="34"/>
      <c r="AL381" s="82"/>
      <c r="AN381" s="83"/>
      <c r="AO381" s="83"/>
      <c r="AP381" s="82"/>
      <c r="AQ381" s="84"/>
      <c r="AR381" s="84"/>
      <c r="AS381" s="84"/>
      <c r="AU381" s="34"/>
      <c r="AV381" s="34"/>
      <c r="AW381" s="82"/>
      <c r="AY381" s="83"/>
      <c r="AZ381" s="83"/>
      <c r="BA381" s="82"/>
      <c r="BB381" s="84"/>
      <c r="BC381" s="84"/>
      <c r="BD381" s="84"/>
    </row>
    <row r="382" spans="22:56" ht="16" x14ac:dyDescent="0.4">
      <c r="V382" s="97"/>
      <c r="W382" s="16"/>
      <c r="X382" s="89"/>
      <c r="Z382" s="50"/>
      <c r="AA382" s="50"/>
      <c r="AD382" s="100"/>
      <c r="AE382" s="93">
        <f t="shared" si="31"/>
        <v>0</v>
      </c>
      <c r="AF382" s="16"/>
      <c r="AG382" s="103">
        <f t="shared" si="29"/>
        <v>0</v>
      </c>
      <c r="AH382" s="37">
        <f t="shared" si="30"/>
        <v>0</v>
      </c>
      <c r="AJ382" s="34"/>
      <c r="AK382" s="34"/>
      <c r="AL382" s="82"/>
      <c r="AN382" s="83"/>
      <c r="AO382" s="83"/>
      <c r="AP382" s="82"/>
      <c r="AQ382" s="84"/>
      <c r="AR382" s="84"/>
      <c r="AS382" s="84"/>
      <c r="AU382" s="34"/>
      <c r="AV382" s="34"/>
      <c r="AW382" s="82"/>
      <c r="AY382" s="83"/>
      <c r="AZ382" s="83"/>
      <c r="BA382" s="82"/>
      <c r="BB382" s="84"/>
      <c r="BC382" s="84"/>
      <c r="BD382" s="84"/>
    </row>
    <row r="383" spans="22:56" ht="16" x14ac:dyDescent="0.4">
      <c r="V383" s="97"/>
      <c r="W383" s="16"/>
      <c r="X383" s="89"/>
      <c r="Z383" s="50"/>
      <c r="AA383" s="50"/>
      <c r="AD383" s="100"/>
      <c r="AE383" s="93">
        <f t="shared" si="31"/>
        <v>0</v>
      </c>
      <c r="AF383" s="16"/>
      <c r="AG383" s="103">
        <f t="shared" si="29"/>
        <v>0</v>
      </c>
      <c r="AH383" s="37">
        <f t="shared" si="30"/>
        <v>0</v>
      </c>
      <c r="AJ383" s="34"/>
      <c r="AK383" s="34"/>
      <c r="AL383" s="82"/>
      <c r="AN383" s="83"/>
      <c r="AO383" s="83"/>
      <c r="AP383" s="82"/>
      <c r="AQ383" s="84"/>
      <c r="AR383" s="84"/>
      <c r="AS383" s="84"/>
      <c r="AU383" s="34"/>
      <c r="AV383" s="34"/>
      <c r="AW383" s="82"/>
      <c r="AY383" s="83"/>
      <c r="AZ383" s="83"/>
      <c r="BA383" s="82"/>
      <c r="BB383" s="84"/>
      <c r="BC383" s="84"/>
      <c r="BD383" s="84"/>
    </row>
    <row r="384" spans="22:56" ht="16" x14ac:dyDescent="0.4">
      <c r="V384" s="97"/>
      <c r="W384" s="16"/>
      <c r="X384" s="89"/>
      <c r="Z384" s="50"/>
      <c r="AA384" s="50"/>
      <c r="AD384" s="100"/>
      <c r="AE384" s="93">
        <f t="shared" si="31"/>
        <v>0</v>
      </c>
      <c r="AF384" s="16"/>
      <c r="AG384" s="103">
        <f t="shared" si="29"/>
        <v>0</v>
      </c>
      <c r="AH384" s="37">
        <f t="shared" si="30"/>
        <v>0</v>
      </c>
      <c r="AJ384" s="34"/>
      <c r="AK384" s="34"/>
      <c r="AL384" s="82"/>
      <c r="AN384" s="83"/>
      <c r="AO384" s="83"/>
      <c r="AP384" s="82"/>
      <c r="AQ384" s="84"/>
      <c r="AR384" s="84"/>
      <c r="AS384" s="84"/>
      <c r="AU384" s="34"/>
      <c r="AV384" s="34"/>
      <c r="AW384" s="82"/>
      <c r="AY384" s="83"/>
      <c r="AZ384" s="83"/>
      <c r="BA384" s="82"/>
      <c r="BB384" s="84"/>
      <c r="BC384" s="84"/>
      <c r="BD384" s="84"/>
    </row>
    <row r="385" spans="22:56" ht="16" x14ac:dyDescent="0.4">
      <c r="V385" s="97"/>
      <c r="W385" s="16"/>
      <c r="X385" s="89"/>
      <c r="Z385" s="50"/>
      <c r="AA385" s="50"/>
      <c r="AD385" s="100"/>
      <c r="AE385" s="93">
        <f t="shared" si="31"/>
        <v>0</v>
      </c>
      <c r="AF385" s="16"/>
      <c r="AG385" s="103">
        <f t="shared" si="29"/>
        <v>0</v>
      </c>
      <c r="AH385" s="37">
        <f t="shared" si="30"/>
        <v>0</v>
      </c>
      <c r="AJ385" s="34"/>
      <c r="AK385" s="34"/>
      <c r="AL385" s="82"/>
      <c r="AN385" s="83"/>
      <c r="AO385" s="83"/>
      <c r="AP385" s="82"/>
      <c r="AQ385" s="84"/>
      <c r="AR385" s="84"/>
      <c r="AS385" s="84"/>
      <c r="AU385" s="34"/>
      <c r="AV385" s="34"/>
      <c r="AW385" s="82"/>
      <c r="AY385" s="83"/>
      <c r="AZ385" s="83"/>
      <c r="BA385" s="82"/>
      <c r="BB385" s="84"/>
      <c r="BC385" s="84"/>
      <c r="BD385" s="84"/>
    </row>
    <row r="386" spans="22:56" ht="16" x14ac:dyDescent="0.4">
      <c r="V386" s="97"/>
      <c r="W386" s="16"/>
      <c r="X386" s="89"/>
      <c r="Z386" s="50"/>
      <c r="AA386" s="50"/>
      <c r="AD386" s="100"/>
      <c r="AE386" s="93">
        <f t="shared" ref="AE386:AE449" si="32">AD386/1000</f>
        <v>0</v>
      </c>
      <c r="AF386" s="16"/>
      <c r="AG386" s="103">
        <f t="shared" ref="AG386:AG449" si="33">IF($AF386&gt;14,14,$AF386)</f>
        <v>0</v>
      </c>
      <c r="AH386" s="37">
        <f t="shared" ref="AH386:AH449" si="34">AE386*AG386/14</f>
        <v>0</v>
      </c>
      <c r="AJ386" s="34"/>
      <c r="AK386" s="34"/>
      <c r="AL386" s="82"/>
      <c r="AN386" s="83"/>
      <c r="AO386" s="83"/>
      <c r="AP386" s="82"/>
      <c r="AQ386" s="84"/>
      <c r="AR386" s="84"/>
      <c r="AS386" s="84"/>
      <c r="AU386" s="34"/>
      <c r="AV386" s="34"/>
      <c r="AW386" s="82"/>
      <c r="AY386" s="83"/>
      <c r="AZ386" s="83"/>
      <c r="BA386" s="82"/>
      <c r="BB386" s="84"/>
      <c r="BC386" s="84"/>
      <c r="BD386" s="84"/>
    </row>
    <row r="387" spans="22:56" ht="16" x14ac:dyDescent="0.4">
      <c r="V387" s="97"/>
      <c r="W387" s="16"/>
      <c r="X387" s="89"/>
      <c r="Z387" s="50"/>
      <c r="AA387" s="50"/>
      <c r="AD387" s="100"/>
      <c r="AE387" s="93">
        <f t="shared" si="32"/>
        <v>0</v>
      </c>
      <c r="AF387" s="16"/>
      <c r="AG387" s="103">
        <f t="shared" si="33"/>
        <v>0</v>
      </c>
      <c r="AH387" s="37">
        <f t="shared" si="34"/>
        <v>0</v>
      </c>
      <c r="AJ387" s="34"/>
      <c r="AK387" s="34"/>
      <c r="AL387" s="82"/>
      <c r="AN387" s="83"/>
      <c r="AO387" s="83"/>
      <c r="AP387" s="82"/>
      <c r="AQ387" s="84"/>
      <c r="AR387" s="84"/>
      <c r="AS387" s="84"/>
      <c r="AU387" s="34"/>
      <c r="AV387" s="34"/>
      <c r="AW387" s="82"/>
      <c r="AY387" s="83"/>
      <c r="AZ387" s="83"/>
      <c r="BA387" s="82"/>
      <c r="BB387" s="84"/>
      <c r="BC387" s="84"/>
      <c r="BD387" s="84"/>
    </row>
    <row r="388" spans="22:56" ht="16" x14ac:dyDescent="0.4">
      <c r="V388" s="97"/>
      <c r="W388" s="16"/>
      <c r="X388" s="89"/>
      <c r="Z388" s="50"/>
      <c r="AA388" s="50"/>
      <c r="AD388" s="100"/>
      <c r="AE388" s="93">
        <f t="shared" si="32"/>
        <v>0</v>
      </c>
      <c r="AF388" s="16"/>
      <c r="AG388" s="103">
        <f t="shared" si="33"/>
        <v>0</v>
      </c>
      <c r="AH388" s="37">
        <f t="shared" si="34"/>
        <v>0</v>
      </c>
      <c r="AJ388" s="34"/>
      <c r="AK388" s="34"/>
      <c r="AL388" s="82"/>
      <c r="AN388" s="83"/>
      <c r="AO388" s="83"/>
      <c r="AP388" s="82"/>
      <c r="AQ388" s="84"/>
      <c r="AR388" s="84"/>
      <c r="AS388" s="84"/>
      <c r="AU388" s="34"/>
      <c r="AV388" s="34"/>
      <c r="AW388" s="82"/>
      <c r="AY388" s="83"/>
      <c r="AZ388" s="83"/>
      <c r="BA388" s="82"/>
      <c r="BB388" s="84"/>
      <c r="BC388" s="84"/>
      <c r="BD388" s="84"/>
    </row>
    <row r="389" spans="22:56" ht="16" x14ac:dyDescent="0.4">
      <c r="V389" s="97"/>
      <c r="W389" s="16"/>
      <c r="X389" s="89"/>
      <c r="Z389" s="50"/>
      <c r="AA389" s="50"/>
      <c r="AD389" s="100"/>
      <c r="AE389" s="93">
        <f t="shared" si="32"/>
        <v>0</v>
      </c>
      <c r="AF389" s="16"/>
      <c r="AG389" s="103">
        <f t="shared" si="33"/>
        <v>0</v>
      </c>
      <c r="AH389" s="37">
        <f t="shared" si="34"/>
        <v>0</v>
      </c>
      <c r="AJ389" s="34"/>
      <c r="AK389" s="34"/>
      <c r="AL389" s="82"/>
      <c r="AN389" s="83"/>
      <c r="AO389" s="83"/>
      <c r="AP389" s="82"/>
      <c r="AQ389" s="84"/>
      <c r="AR389" s="84"/>
      <c r="AS389" s="84"/>
      <c r="AU389" s="34"/>
      <c r="AV389" s="34"/>
      <c r="AW389" s="82"/>
      <c r="AY389" s="83"/>
      <c r="AZ389" s="83"/>
      <c r="BA389" s="82"/>
      <c r="BB389" s="84"/>
      <c r="BC389" s="84"/>
      <c r="BD389" s="84"/>
    </row>
    <row r="390" spans="22:56" ht="16" x14ac:dyDescent="0.4">
      <c r="V390" s="97"/>
      <c r="W390" s="16"/>
      <c r="X390" s="89"/>
      <c r="Z390" s="50"/>
      <c r="AA390" s="50"/>
      <c r="AD390" s="48"/>
      <c r="AE390" s="93">
        <f t="shared" si="32"/>
        <v>0</v>
      </c>
      <c r="AF390" s="16"/>
      <c r="AG390" s="103">
        <f t="shared" si="33"/>
        <v>0</v>
      </c>
      <c r="AH390" s="37">
        <f t="shared" si="34"/>
        <v>0</v>
      </c>
      <c r="AJ390" s="34"/>
      <c r="AK390" s="34"/>
      <c r="AL390" s="82"/>
      <c r="AN390" s="83"/>
      <c r="AO390" s="83"/>
      <c r="AP390" s="82"/>
      <c r="AQ390" s="84"/>
      <c r="AR390" s="84"/>
      <c r="AS390" s="84"/>
      <c r="AU390" s="34"/>
      <c r="AV390" s="34"/>
      <c r="AW390" s="82"/>
      <c r="AY390" s="83"/>
      <c r="AZ390" s="83"/>
      <c r="BA390" s="82"/>
      <c r="BB390" s="84"/>
      <c r="BC390" s="84"/>
      <c r="BD390" s="84"/>
    </row>
    <row r="391" spans="22:56" ht="16" x14ac:dyDescent="0.4">
      <c r="V391" s="97"/>
      <c r="W391" s="16"/>
      <c r="X391" s="89"/>
      <c r="Z391" s="50"/>
      <c r="AA391" s="50"/>
      <c r="AD391" s="48"/>
      <c r="AE391" s="93">
        <f t="shared" si="32"/>
        <v>0</v>
      </c>
      <c r="AF391" s="16"/>
      <c r="AG391" s="103">
        <f t="shared" si="33"/>
        <v>0</v>
      </c>
      <c r="AH391" s="37">
        <f t="shared" si="34"/>
        <v>0</v>
      </c>
      <c r="AJ391" s="34"/>
      <c r="AK391" s="34"/>
      <c r="AL391" s="82"/>
      <c r="AN391" s="83"/>
      <c r="AO391" s="83"/>
      <c r="AP391" s="82"/>
      <c r="AQ391" s="84"/>
      <c r="AR391" s="84"/>
      <c r="AS391" s="84"/>
      <c r="AU391" s="34"/>
      <c r="AV391" s="34"/>
      <c r="AW391" s="82"/>
      <c r="AY391" s="83"/>
      <c r="AZ391" s="83"/>
      <c r="BA391" s="82"/>
      <c r="BB391" s="84"/>
      <c r="BC391" s="84"/>
      <c r="BD391" s="84"/>
    </row>
    <row r="392" spans="22:56" ht="16" x14ac:dyDescent="0.4">
      <c r="V392" s="97"/>
      <c r="W392" s="16"/>
      <c r="X392" s="89"/>
      <c r="Z392" s="50"/>
      <c r="AA392" s="50"/>
      <c r="AD392" s="48"/>
      <c r="AE392" s="93">
        <f t="shared" si="32"/>
        <v>0</v>
      </c>
      <c r="AF392" s="16"/>
      <c r="AG392" s="103">
        <f t="shared" si="33"/>
        <v>0</v>
      </c>
      <c r="AH392" s="37">
        <f t="shared" si="34"/>
        <v>0</v>
      </c>
      <c r="AJ392" s="34"/>
      <c r="AK392" s="34"/>
      <c r="AL392" s="82"/>
      <c r="AN392" s="83"/>
      <c r="AO392" s="83"/>
      <c r="AP392" s="82"/>
      <c r="AQ392" s="84"/>
      <c r="AR392" s="84"/>
      <c r="AS392" s="84"/>
      <c r="AU392" s="34"/>
      <c r="AV392" s="34"/>
      <c r="AW392" s="82"/>
      <c r="AY392" s="83"/>
      <c r="AZ392" s="83"/>
      <c r="BA392" s="82"/>
      <c r="BB392" s="84"/>
      <c r="BC392" s="84"/>
      <c r="BD392" s="84"/>
    </row>
    <row r="393" spans="22:56" ht="16" x14ac:dyDescent="0.4">
      <c r="V393" s="97"/>
      <c r="W393" s="16"/>
      <c r="X393" s="89"/>
      <c r="Z393" s="50"/>
      <c r="AA393" s="50"/>
      <c r="AD393" s="48"/>
      <c r="AE393" s="93">
        <f t="shared" si="32"/>
        <v>0</v>
      </c>
      <c r="AF393" s="16"/>
      <c r="AG393" s="103">
        <f t="shared" si="33"/>
        <v>0</v>
      </c>
      <c r="AH393" s="37">
        <f t="shared" si="34"/>
        <v>0</v>
      </c>
      <c r="AJ393" s="34"/>
      <c r="AK393" s="34"/>
      <c r="AL393" s="82"/>
      <c r="AN393" s="83"/>
      <c r="AO393" s="83"/>
      <c r="AP393" s="82"/>
      <c r="AQ393" s="84"/>
      <c r="AR393" s="84"/>
      <c r="AS393" s="84"/>
      <c r="AU393" s="34"/>
      <c r="AV393" s="34"/>
      <c r="AW393" s="82"/>
      <c r="AY393" s="83"/>
      <c r="AZ393" s="83"/>
      <c r="BA393" s="82"/>
      <c r="BB393" s="84"/>
      <c r="BC393" s="84"/>
      <c r="BD393" s="84"/>
    </row>
    <row r="394" spans="22:56" ht="16" x14ac:dyDescent="0.4">
      <c r="V394" s="97"/>
      <c r="W394" s="16"/>
      <c r="X394" s="89"/>
      <c r="Z394" s="50"/>
      <c r="AA394" s="50"/>
      <c r="AD394" s="48"/>
      <c r="AE394" s="93">
        <f t="shared" si="32"/>
        <v>0</v>
      </c>
      <c r="AF394" s="16"/>
      <c r="AG394" s="103">
        <f t="shared" si="33"/>
        <v>0</v>
      </c>
      <c r="AH394" s="37">
        <f t="shared" si="34"/>
        <v>0</v>
      </c>
      <c r="AJ394" s="34"/>
      <c r="AK394" s="34"/>
      <c r="AL394" s="82"/>
      <c r="AN394" s="83"/>
      <c r="AO394" s="83"/>
      <c r="AP394" s="82"/>
      <c r="AQ394" s="84"/>
      <c r="AR394" s="84"/>
      <c r="AS394" s="84"/>
      <c r="AU394" s="34"/>
      <c r="AV394" s="34"/>
      <c r="AW394" s="82"/>
      <c r="AY394" s="83"/>
      <c r="AZ394" s="83"/>
      <c r="BA394" s="82"/>
      <c r="BB394" s="84"/>
      <c r="BC394" s="84"/>
      <c r="BD394" s="84"/>
    </row>
    <row r="395" spans="22:56" ht="16" x14ac:dyDescent="0.4">
      <c r="V395" s="97"/>
      <c r="W395" s="16"/>
      <c r="X395" s="89"/>
      <c r="Z395" s="50"/>
      <c r="AA395" s="50"/>
      <c r="AD395" s="48"/>
      <c r="AE395" s="93">
        <f t="shared" si="32"/>
        <v>0</v>
      </c>
      <c r="AF395" s="16"/>
      <c r="AG395" s="103">
        <f t="shared" si="33"/>
        <v>0</v>
      </c>
      <c r="AH395" s="37">
        <f t="shared" si="34"/>
        <v>0</v>
      </c>
      <c r="AJ395" s="34"/>
      <c r="AK395" s="34"/>
      <c r="AL395" s="82"/>
      <c r="AN395" s="83"/>
      <c r="AO395" s="83"/>
      <c r="AP395" s="82"/>
      <c r="AQ395" s="84"/>
      <c r="AR395" s="84"/>
      <c r="AS395" s="84"/>
      <c r="AU395" s="34"/>
      <c r="AV395" s="34"/>
      <c r="AW395" s="82"/>
      <c r="AY395" s="83"/>
      <c r="AZ395" s="83"/>
      <c r="BA395" s="82"/>
      <c r="BB395" s="84"/>
      <c r="BC395" s="84"/>
      <c r="BD395" s="84"/>
    </row>
    <row r="396" spans="22:56" ht="16" x14ac:dyDescent="0.4">
      <c r="V396" s="97"/>
      <c r="W396" s="16"/>
      <c r="X396" s="89"/>
      <c r="Z396" s="50"/>
      <c r="AA396" s="50"/>
      <c r="AD396" s="48"/>
      <c r="AE396" s="93">
        <f t="shared" si="32"/>
        <v>0</v>
      </c>
      <c r="AF396" s="16"/>
      <c r="AG396" s="103">
        <f t="shared" si="33"/>
        <v>0</v>
      </c>
      <c r="AH396" s="37">
        <f t="shared" si="34"/>
        <v>0</v>
      </c>
      <c r="AJ396" s="34"/>
      <c r="AK396" s="34"/>
      <c r="AL396" s="82"/>
      <c r="AN396" s="83"/>
      <c r="AO396" s="83"/>
      <c r="AP396" s="82"/>
      <c r="AQ396" s="84"/>
      <c r="AR396" s="84"/>
      <c r="AS396" s="84"/>
      <c r="AU396" s="34"/>
      <c r="AV396" s="34"/>
      <c r="AW396" s="82"/>
      <c r="AY396" s="83"/>
      <c r="AZ396" s="83"/>
      <c r="BA396" s="82"/>
      <c r="BB396" s="84"/>
      <c r="BC396" s="84"/>
      <c r="BD396" s="84"/>
    </row>
    <row r="397" spans="22:56" ht="16" x14ac:dyDescent="0.4">
      <c r="V397" s="97"/>
      <c r="W397" s="16"/>
      <c r="X397" s="89"/>
      <c r="Z397" s="50"/>
      <c r="AA397" s="50"/>
      <c r="AD397" s="48"/>
      <c r="AE397" s="93">
        <f t="shared" si="32"/>
        <v>0</v>
      </c>
      <c r="AF397" s="16"/>
      <c r="AG397" s="103">
        <f t="shared" si="33"/>
        <v>0</v>
      </c>
      <c r="AH397" s="37">
        <f t="shared" si="34"/>
        <v>0</v>
      </c>
      <c r="AJ397" s="34"/>
      <c r="AK397" s="34"/>
      <c r="AL397" s="82"/>
      <c r="AN397" s="83"/>
      <c r="AO397" s="83"/>
      <c r="AP397" s="82"/>
      <c r="AQ397" s="84"/>
      <c r="AR397" s="84"/>
      <c r="AS397" s="84"/>
      <c r="AU397" s="34"/>
      <c r="AV397" s="34"/>
      <c r="AW397" s="82"/>
      <c r="AY397" s="83"/>
      <c r="AZ397" s="83"/>
      <c r="BA397" s="82"/>
      <c r="BB397" s="84"/>
      <c r="BC397" s="84"/>
      <c r="BD397" s="84"/>
    </row>
    <row r="398" spans="22:56" ht="16" x14ac:dyDescent="0.4">
      <c r="V398" s="97"/>
      <c r="W398" s="16"/>
      <c r="X398" s="89"/>
      <c r="Z398" s="50"/>
      <c r="AA398" s="50"/>
      <c r="AD398" s="48"/>
      <c r="AE398" s="93">
        <f t="shared" si="32"/>
        <v>0</v>
      </c>
      <c r="AF398" s="16"/>
      <c r="AG398" s="103">
        <f t="shared" si="33"/>
        <v>0</v>
      </c>
      <c r="AH398" s="37">
        <f t="shared" si="34"/>
        <v>0</v>
      </c>
      <c r="AJ398" s="85"/>
      <c r="AK398" s="86"/>
      <c r="AL398" s="82"/>
      <c r="AP398" s="86"/>
      <c r="AS398" s="84"/>
      <c r="AU398" s="85"/>
      <c r="AV398" s="86"/>
      <c r="AW398" s="82"/>
      <c r="BA398" s="86"/>
      <c r="BD398" s="84"/>
    </row>
    <row r="399" spans="22:56" ht="16" x14ac:dyDescent="0.4">
      <c r="V399" s="97"/>
      <c r="W399" s="16"/>
      <c r="X399" s="89"/>
      <c r="Z399" s="50"/>
      <c r="AA399" s="50"/>
      <c r="AD399" s="48"/>
      <c r="AE399" s="93">
        <f t="shared" si="32"/>
        <v>0</v>
      </c>
      <c r="AF399" s="16"/>
      <c r="AG399" s="103">
        <f t="shared" si="33"/>
        <v>0</v>
      </c>
      <c r="AH399" s="37">
        <f t="shared" si="34"/>
        <v>0</v>
      </c>
      <c r="AJ399" s="85"/>
      <c r="AK399" s="86"/>
      <c r="AL399" s="82"/>
      <c r="AP399" s="86"/>
      <c r="AS399" s="84"/>
      <c r="AU399" s="85"/>
      <c r="AV399" s="86"/>
      <c r="AW399" s="82"/>
      <c r="BA399" s="86"/>
      <c r="BD399" s="84"/>
    </row>
    <row r="400" spans="22:56" ht="16" x14ac:dyDescent="0.4">
      <c r="V400" s="97"/>
      <c r="W400" s="16"/>
      <c r="X400" s="89"/>
      <c r="Z400" s="50"/>
      <c r="AA400" s="50"/>
      <c r="AD400" s="48"/>
      <c r="AE400" s="93">
        <f t="shared" si="32"/>
        <v>0</v>
      </c>
      <c r="AF400" s="16"/>
      <c r="AG400" s="103">
        <f t="shared" si="33"/>
        <v>0</v>
      </c>
      <c r="AH400" s="37">
        <f t="shared" si="34"/>
        <v>0</v>
      </c>
      <c r="AJ400" s="85"/>
      <c r="AK400" s="86"/>
      <c r="AL400" s="82"/>
      <c r="AP400" s="86"/>
      <c r="AU400" s="85"/>
      <c r="AV400" s="86"/>
      <c r="AW400" s="82"/>
      <c r="BA400" s="86"/>
    </row>
    <row r="401" spans="22:53" ht="16" x14ac:dyDescent="0.4">
      <c r="V401" s="97"/>
      <c r="W401" s="16"/>
      <c r="X401" s="89"/>
      <c r="Z401" s="50"/>
      <c r="AA401" s="50"/>
      <c r="AD401" s="48"/>
      <c r="AE401" s="93">
        <f t="shared" si="32"/>
        <v>0</v>
      </c>
      <c r="AF401" s="16"/>
      <c r="AG401" s="103">
        <f t="shared" si="33"/>
        <v>0</v>
      </c>
      <c r="AH401" s="37">
        <f t="shared" si="34"/>
        <v>0</v>
      </c>
      <c r="AJ401" s="85"/>
      <c r="AK401" s="86"/>
      <c r="AL401" s="82"/>
      <c r="AP401" s="86"/>
      <c r="AU401" s="85"/>
      <c r="AV401" s="86"/>
      <c r="AW401" s="82"/>
      <c r="BA401" s="86"/>
    </row>
    <row r="402" spans="22:53" ht="16" x14ac:dyDescent="0.4">
      <c r="V402" s="97"/>
      <c r="W402" s="16"/>
      <c r="X402" s="89"/>
      <c r="Z402" s="50"/>
      <c r="AA402" s="50"/>
      <c r="AD402" s="48"/>
      <c r="AE402" s="93">
        <f t="shared" si="32"/>
        <v>0</v>
      </c>
      <c r="AF402" s="16"/>
      <c r="AG402" s="103">
        <f t="shared" si="33"/>
        <v>0</v>
      </c>
      <c r="AH402" s="37">
        <f t="shared" si="34"/>
        <v>0</v>
      </c>
      <c r="AJ402" s="87"/>
      <c r="AK402" s="82"/>
      <c r="AL402" s="82"/>
      <c r="AP402" s="82"/>
      <c r="AU402" s="87"/>
      <c r="AV402" s="82"/>
      <c r="AW402" s="82"/>
      <c r="BA402" s="82"/>
    </row>
    <row r="403" spans="22:53" ht="16" x14ac:dyDescent="0.4">
      <c r="V403" s="97"/>
      <c r="W403" s="16"/>
      <c r="X403" s="89"/>
      <c r="Z403" s="50"/>
      <c r="AA403" s="50"/>
      <c r="AD403" s="48"/>
      <c r="AE403" s="93">
        <f t="shared" si="32"/>
        <v>0</v>
      </c>
      <c r="AF403" s="16"/>
      <c r="AG403" s="103">
        <f t="shared" si="33"/>
        <v>0</v>
      </c>
      <c r="AH403" s="37">
        <f t="shared" si="34"/>
        <v>0</v>
      </c>
    </row>
    <row r="404" spans="22:53" ht="16" x14ac:dyDescent="0.4">
      <c r="V404" s="97"/>
      <c r="W404" s="16"/>
      <c r="X404" s="89"/>
      <c r="Z404" s="50"/>
      <c r="AA404" s="50"/>
      <c r="AD404" s="48"/>
      <c r="AE404" s="93">
        <f t="shared" si="32"/>
        <v>0</v>
      </c>
      <c r="AF404" s="16"/>
      <c r="AG404" s="103">
        <f t="shared" si="33"/>
        <v>0</v>
      </c>
      <c r="AH404" s="37">
        <f t="shared" si="34"/>
        <v>0</v>
      </c>
    </row>
    <row r="405" spans="22:53" ht="16" x14ac:dyDescent="0.4">
      <c r="V405" s="97"/>
      <c r="W405" s="16"/>
      <c r="X405" s="89"/>
      <c r="Z405" s="50"/>
      <c r="AA405" s="50"/>
      <c r="AD405" s="48"/>
      <c r="AE405" s="93">
        <f t="shared" si="32"/>
        <v>0</v>
      </c>
      <c r="AF405" s="16"/>
      <c r="AG405" s="103">
        <f t="shared" si="33"/>
        <v>0</v>
      </c>
      <c r="AH405" s="37">
        <f t="shared" si="34"/>
        <v>0</v>
      </c>
    </row>
    <row r="406" spans="22:53" ht="16" x14ac:dyDescent="0.4">
      <c r="V406" s="97"/>
      <c r="W406" s="16"/>
      <c r="X406" s="89"/>
      <c r="Z406" s="50"/>
      <c r="AA406" s="50"/>
      <c r="AD406" s="48"/>
      <c r="AE406" s="93">
        <f t="shared" si="32"/>
        <v>0</v>
      </c>
      <c r="AF406" s="16"/>
      <c r="AG406" s="103">
        <f t="shared" si="33"/>
        <v>0</v>
      </c>
      <c r="AH406" s="37">
        <f t="shared" si="34"/>
        <v>0</v>
      </c>
    </row>
    <row r="407" spans="22:53" ht="16" x14ac:dyDescent="0.4">
      <c r="V407" s="97"/>
      <c r="W407" s="16"/>
      <c r="X407" s="89"/>
      <c r="Z407" s="50"/>
      <c r="AA407" s="50"/>
      <c r="AD407" s="48"/>
      <c r="AE407" s="93">
        <f t="shared" si="32"/>
        <v>0</v>
      </c>
      <c r="AF407" s="16"/>
      <c r="AG407" s="103">
        <f t="shared" si="33"/>
        <v>0</v>
      </c>
      <c r="AH407" s="37">
        <f t="shared" si="34"/>
        <v>0</v>
      </c>
      <c r="AJ407" s="34"/>
      <c r="AK407" s="34"/>
      <c r="AU407" s="34"/>
      <c r="AV407" s="34"/>
    </row>
    <row r="408" spans="22:53" ht="16" x14ac:dyDescent="0.4">
      <c r="V408" s="97"/>
      <c r="W408" s="16"/>
      <c r="X408" s="89"/>
      <c r="Z408" s="50"/>
      <c r="AA408" s="50"/>
      <c r="AD408" s="48"/>
      <c r="AE408" s="93">
        <f t="shared" si="32"/>
        <v>0</v>
      </c>
      <c r="AF408" s="16"/>
      <c r="AG408" s="103">
        <f t="shared" si="33"/>
        <v>0</v>
      </c>
      <c r="AH408" s="37">
        <f t="shared" si="34"/>
        <v>0</v>
      </c>
      <c r="AJ408" s="34"/>
      <c r="AK408" s="34"/>
      <c r="AU408" s="34"/>
      <c r="AV408" s="34"/>
    </row>
    <row r="409" spans="22:53" ht="16" x14ac:dyDescent="0.4">
      <c r="V409" s="97"/>
      <c r="W409" s="16"/>
      <c r="X409" s="89"/>
      <c r="Z409" s="50"/>
      <c r="AA409" s="50"/>
      <c r="AD409" s="48"/>
      <c r="AE409" s="93">
        <f t="shared" si="32"/>
        <v>0</v>
      </c>
      <c r="AF409" s="16"/>
      <c r="AG409" s="103">
        <f t="shared" si="33"/>
        <v>0</v>
      </c>
      <c r="AH409" s="37">
        <f t="shared" si="34"/>
        <v>0</v>
      </c>
      <c r="AJ409" s="34"/>
      <c r="AK409" s="34"/>
      <c r="AU409" s="34"/>
      <c r="AV409" s="34"/>
    </row>
    <row r="410" spans="22:53" ht="16" x14ac:dyDescent="0.4">
      <c r="V410" s="97"/>
      <c r="W410" s="16"/>
      <c r="X410" s="89"/>
      <c r="Z410" s="50"/>
      <c r="AA410" s="50"/>
      <c r="AD410" s="48"/>
      <c r="AE410" s="93">
        <f t="shared" si="32"/>
        <v>0</v>
      </c>
      <c r="AF410" s="16"/>
      <c r="AG410" s="103">
        <f t="shared" si="33"/>
        <v>0</v>
      </c>
      <c r="AH410" s="37">
        <f t="shared" si="34"/>
        <v>0</v>
      </c>
      <c r="AJ410" s="34"/>
      <c r="AK410" s="34"/>
      <c r="AU410" s="34"/>
      <c r="AV410" s="34"/>
    </row>
    <row r="411" spans="22:53" ht="16" x14ac:dyDescent="0.4">
      <c r="V411" s="97"/>
      <c r="W411" s="16"/>
      <c r="X411" s="89"/>
      <c r="Z411" s="50"/>
      <c r="AA411" s="50"/>
      <c r="AD411" s="48"/>
      <c r="AE411" s="93">
        <f t="shared" si="32"/>
        <v>0</v>
      </c>
      <c r="AF411" s="16"/>
      <c r="AG411" s="103">
        <f t="shared" si="33"/>
        <v>0</v>
      </c>
      <c r="AH411" s="37">
        <f t="shared" si="34"/>
        <v>0</v>
      </c>
      <c r="AJ411" s="34"/>
      <c r="AK411" s="34"/>
      <c r="AU411" s="34"/>
      <c r="AV411" s="34"/>
    </row>
    <row r="412" spans="22:53" ht="16" x14ac:dyDescent="0.4">
      <c r="V412" s="97"/>
      <c r="W412" s="16"/>
      <c r="X412" s="89"/>
      <c r="Z412" s="50"/>
      <c r="AA412" s="50"/>
      <c r="AD412" s="48"/>
      <c r="AE412" s="93">
        <f t="shared" si="32"/>
        <v>0</v>
      </c>
      <c r="AF412" s="16"/>
      <c r="AG412" s="103">
        <f t="shared" si="33"/>
        <v>0</v>
      </c>
      <c r="AH412" s="37">
        <f t="shared" si="34"/>
        <v>0</v>
      </c>
      <c r="AJ412" s="34"/>
      <c r="AK412" s="34"/>
      <c r="AU412" s="34"/>
      <c r="AV412" s="34"/>
    </row>
    <row r="413" spans="22:53" ht="16" x14ac:dyDescent="0.4">
      <c r="V413" s="97"/>
      <c r="W413" s="16"/>
      <c r="X413" s="89"/>
      <c r="Z413" s="50"/>
      <c r="AA413" s="50"/>
      <c r="AD413" s="48"/>
      <c r="AE413" s="93">
        <f t="shared" si="32"/>
        <v>0</v>
      </c>
      <c r="AF413" s="16"/>
      <c r="AG413" s="103">
        <f t="shared" si="33"/>
        <v>0</v>
      </c>
      <c r="AH413" s="37">
        <f t="shared" si="34"/>
        <v>0</v>
      </c>
      <c r="AJ413" s="34"/>
      <c r="AK413" s="34"/>
      <c r="AU413" s="34"/>
      <c r="AV413" s="34"/>
    </row>
    <row r="414" spans="22:53" ht="16" x14ac:dyDescent="0.4">
      <c r="V414" s="97"/>
      <c r="W414" s="16"/>
      <c r="X414" s="89"/>
      <c r="Z414" s="50"/>
      <c r="AA414" s="50"/>
      <c r="AD414" s="48"/>
      <c r="AE414" s="93">
        <f t="shared" si="32"/>
        <v>0</v>
      </c>
      <c r="AF414" s="16"/>
      <c r="AG414" s="103">
        <f t="shared" si="33"/>
        <v>0</v>
      </c>
      <c r="AH414" s="37">
        <f t="shared" si="34"/>
        <v>0</v>
      </c>
      <c r="AJ414" s="34"/>
      <c r="AK414" s="34"/>
      <c r="AU414" s="34"/>
      <c r="AV414" s="34"/>
    </row>
    <row r="415" spans="22:53" ht="16" x14ac:dyDescent="0.4">
      <c r="V415" s="97"/>
      <c r="W415" s="16"/>
      <c r="X415" s="89"/>
      <c r="Z415" s="50"/>
      <c r="AA415" s="50"/>
      <c r="AD415" s="48"/>
      <c r="AE415" s="93">
        <f t="shared" si="32"/>
        <v>0</v>
      </c>
      <c r="AF415" s="16"/>
      <c r="AG415" s="103">
        <f t="shared" si="33"/>
        <v>0</v>
      </c>
      <c r="AH415" s="37">
        <f t="shared" si="34"/>
        <v>0</v>
      </c>
      <c r="AJ415" s="34"/>
      <c r="AK415" s="34"/>
      <c r="AU415" s="34"/>
      <c r="AV415" s="34"/>
    </row>
    <row r="416" spans="22:53" ht="16" x14ac:dyDescent="0.4">
      <c r="V416" s="97"/>
      <c r="W416" s="16"/>
      <c r="X416" s="89"/>
      <c r="Z416" s="50"/>
      <c r="AA416" s="50"/>
      <c r="AD416" s="48"/>
      <c r="AE416" s="93">
        <f t="shared" si="32"/>
        <v>0</v>
      </c>
      <c r="AF416" s="16"/>
      <c r="AG416" s="103">
        <f t="shared" si="33"/>
        <v>0</v>
      </c>
      <c r="AH416" s="37">
        <f t="shared" si="34"/>
        <v>0</v>
      </c>
      <c r="AJ416" s="34"/>
      <c r="AK416" s="34"/>
      <c r="AU416" s="34"/>
      <c r="AV416" s="34"/>
    </row>
    <row r="417" spans="22:48" ht="16" x14ac:dyDescent="0.4">
      <c r="V417" s="97"/>
      <c r="W417" s="16"/>
      <c r="X417" s="89"/>
      <c r="Z417" s="50"/>
      <c r="AA417" s="50"/>
      <c r="AD417" s="48"/>
      <c r="AE417" s="93">
        <f t="shared" si="32"/>
        <v>0</v>
      </c>
      <c r="AF417" s="16"/>
      <c r="AG417" s="103">
        <f t="shared" si="33"/>
        <v>0</v>
      </c>
      <c r="AH417" s="37">
        <f t="shared" si="34"/>
        <v>0</v>
      </c>
      <c r="AJ417" s="34"/>
      <c r="AK417" s="34"/>
      <c r="AU417" s="34"/>
      <c r="AV417" s="34"/>
    </row>
    <row r="418" spans="22:48" ht="16" x14ac:dyDescent="0.4">
      <c r="V418" s="97"/>
      <c r="W418" s="16"/>
      <c r="X418" s="89"/>
      <c r="Z418" s="50"/>
      <c r="AA418" s="50"/>
      <c r="AD418" s="48"/>
      <c r="AE418" s="93">
        <f t="shared" si="32"/>
        <v>0</v>
      </c>
      <c r="AF418" s="16"/>
      <c r="AG418" s="103">
        <f t="shared" si="33"/>
        <v>0</v>
      </c>
      <c r="AH418" s="37">
        <f t="shared" si="34"/>
        <v>0</v>
      </c>
      <c r="AJ418" s="34"/>
      <c r="AK418" s="34"/>
      <c r="AU418" s="34"/>
      <c r="AV418" s="34"/>
    </row>
    <row r="419" spans="22:48" ht="16" x14ac:dyDescent="0.4">
      <c r="V419" s="97"/>
      <c r="W419" s="16"/>
      <c r="X419" s="89"/>
      <c r="Z419" s="50"/>
      <c r="AA419" s="50"/>
      <c r="AD419" s="48"/>
      <c r="AE419" s="93">
        <f t="shared" si="32"/>
        <v>0</v>
      </c>
      <c r="AF419" s="16"/>
      <c r="AG419" s="103">
        <f t="shared" si="33"/>
        <v>0</v>
      </c>
      <c r="AH419" s="37">
        <f t="shared" si="34"/>
        <v>0</v>
      </c>
      <c r="AJ419" s="34"/>
      <c r="AK419" s="34"/>
      <c r="AU419" s="34"/>
      <c r="AV419" s="34"/>
    </row>
    <row r="420" spans="22:48" ht="16" x14ac:dyDescent="0.4">
      <c r="V420" s="97"/>
      <c r="W420" s="16"/>
      <c r="X420" s="89"/>
      <c r="Z420" s="50"/>
      <c r="AA420" s="50"/>
      <c r="AD420" s="48"/>
      <c r="AE420" s="93">
        <f t="shared" si="32"/>
        <v>0</v>
      </c>
      <c r="AF420" s="16"/>
      <c r="AG420" s="103">
        <f t="shared" si="33"/>
        <v>0</v>
      </c>
      <c r="AH420" s="37">
        <f t="shared" si="34"/>
        <v>0</v>
      </c>
      <c r="AJ420" s="34"/>
      <c r="AK420" s="34"/>
      <c r="AU420" s="34"/>
      <c r="AV420" s="34"/>
    </row>
    <row r="421" spans="22:48" ht="16" x14ac:dyDescent="0.4">
      <c r="V421" s="97"/>
      <c r="W421" s="16"/>
      <c r="X421" s="89"/>
      <c r="Z421" s="50"/>
      <c r="AA421" s="50"/>
      <c r="AD421" s="48"/>
      <c r="AE421" s="93">
        <f t="shared" si="32"/>
        <v>0</v>
      </c>
      <c r="AF421" s="16"/>
      <c r="AG421" s="103">
        <f t="shared" si="33"/>
        <v>0</v>
      </c>
      <c r="AH421" s="37">
        <f t="shared" si="34"/>
        <v>0</v>
      </c>
      <c r="AJ421" s="34"/>
      <c r="AK421" s="34"/>
      <c r="AU421" s="34"/>
      <c r="AV421" s="34"/>
    </row>
    <row r="422" spans="22:48" ht="16" x14ac:dyDescent="0.4">
      <c r="V422" s="97"/>
      <c r="W422" s="16"/>
      <c r="X422" s="89"/>
      <c r="Z422" s="50"/>
      <c r="AA422" s="50"/>
      <c r="AD422" s="48"/>
      <c r="AE422" s="93">
        <f t="shared" si="32"/>
        <v>0</v>
      </c>
      <c r="AF422" s="16"/>
      <c r="AG422" s="103">
        <f t="shared" si="33"/>
        <v>0</v>
      </c>
      <c r="AH422" s="37">
        <f t="shared" si="34"/>
        <v>0</v>
      </c>
      <c r="AJ422" s="34"/>
      <c r="AK422" s="34"/>
      <c r="AU422" s="34"/>
      <c r="AV422" s="34"/>
    </row>
    <row r="423" spans="22:48" ht="16" x14ac:dyDescent="0.4">
      <c r="V423" s="97"/>
      <c r="W423" s="16"/>
      <c r="X423" s="89"/>
      <c r="Z423" s="50"/>
      <c r="AA423" s="50"/>
      <c r="AD423" s="48"/>
      <c r="AE423" s="93">
        <f t="shared" si="32"/>
        <v>0</v>
      </c>
      <c r="AF423" s="16"/>
      <c r="AG423" s="103">
        <f t="shared" si="33"/>
        <v>0</v>
      </c>
      <c r="AH423" s="37">
        <f t="shared" si="34"/>
        <v>0</v>
      </c>
      <c r="AJ423" s="34"/>
      <c r="AK423" s="34"/>
      <c r="AU423" s="34"/>
      <c r="AV423" s="34"/>
    </row>
    <row r="424" spans="22:48" ht="16" x14ac:dyDescent="0.4">
      <c r="V424" s="97"/>
      <c r="W424" s="16"/>
      <c r="X424" s="89"/>
      <c r="Z424" s="50"/>
      <c r="AA424" s="50"/>
      <c r="AD424" s="48"/>
      <c r="AE424" s="93">
        <f t="shared" si="32"/>
        <v>0</v>
      </c>
      <c r="AF424" s="16"/>
      <c r="AG424" s="103">
        <f t="shared" si="33"/>
        <v>0</v>
      </c>
      <c r="AH424" s="37">
        <f t="shared" si="34"/>
        <v>0</v>
      </c>
      <c r="AJ424" s="34"/>
      <c r="AK424" s="34"/>
      <c r="AU424" s="34"/>
      <c r="AV424" s="34"/>
    </row>
    <row r="425" spans="22:48" ht="16" x14ac:dyDescent="0.4">
      <c r="V425" s="97"/>
      <c r="W425" s="16"/>
      <c r="X425" s="89"/>
      <c r="Z425" s="50"/>
      <c r="AA425" s="50"/>
      <c r="AD425" s="48"/>
      <c r="AE425" s="93">
        <f t="shared" si="32"/>
        <v>0</v>
      </c>
      <c r="AF425" s="16"/>
      <c r="AG425" s="103">
        <f t="shared" si="33"/>
        <v>0</v>
      </c>
      <c r="AH425" s="37">
        <f t="shared" si="34"/>
        <v>0</v>
      </c>
      <c r="AJ425" s="34"/>
      <c r="AK425" s="34"/>
      <c r="AU425" s="34"/>
      <c r="AV425" s="34"/>
    </row>
    <row r="426" spans="22:48" ht="16" x14ac:dyDescent="0.4">
      <c r="V426" s="97"/>
      <c r="W426" s="16"/>
      <c r="X426" s="89"/>
      <c r="Z426" s="50"/>
      <c r="AA426" s="50"/>
      <c r="AD426" s="48"/>
      <c r="AE426" s="93">
        <f t="shared" si="32"/>
        <v>0</v>
      </c>
      <c r="AF426" s="16"/>
      <c r="AG426" s="103">
        <f t="shared" si="33"/>
        <v>0</v>
      </c>
      <c r="AH426" s="37">
        <f t="shared" si="34"/>
        <v>0</v>
      </c>
      <c r="AJ426" s="34"/>
      <c r="AK426" s="34"/>
      <c r="AU426" s="34"/>
      <c r="AV426" s="34"/>
    </row>
    <row r="427" spans="22:48" ht="16" x14ac:dyDescent="0.4">
      <c r="V427" s="97"/>
      <c r="W427" s="16"/>
      <c r="X427" s="89"/>
      <c r="Z427" s="50"/>
      <c r="AA427" s="50"/>
      <c r="AD427" s="48"/>
      <c r="AE427" s="93">
        <f t="shared" si="32"/>
        <v>0</v>
      </c>
      <c r="AF427" s="16"/>
      <c r="AG427" s="103">
        <f t="shared" si="33"/>
        <v>0</v>
      </c>
      <c r="AH427" s="37">
        <f t="shared" si="34"/>
        <v>0</v>
      </c>
      <c r="AJ427" s="34"/>
      <c r="AK427" s="34"/>
      <c r="AU427" s="34"/>
      <c r="AV427" s="34"/>
    </row>
    <row r="428" spans="22:48" ht="16" x14ac:dyDescent="0.4">
      <c r="V428" s="97"/>
      <c r="W428" s="16"/>
      <c r="X428" s="89"/>
      <c r="Z428" s="50"/>
      <c r="AA428" s="50"/>
      <c r="AD428" s="48"/>
      <c r="AE428" s="93">
        <f t="shared" si="32"/>
        <v>0</v>
      </c>
      <c r="AF428" s="16"/>
      <c r="AG428" s="103">
        <f t="shared" si="33"/>
        <v>0</v>
      </c>
      <c r="AH428" s="37">
        <f t="shared" si="34"/>
        <v>0</v>
      </c>
      <c r="AJ428" s="34"/>
      <c r="AK428" s="34"/>
      <c r="AU428" s="34"/>
      <c r="AV428" s="34"/>
    </row>
    <row r="429" spans="22:48" ht="16" x14ac:dyDescent="0.4">
      <c r="V429" s="97"/>
      <c r="W429" s="16"/>
      <c r="X429" s="89"/>
      <c r="Z429" s="50"/>
      <c r="AA429" s="50"/>
      <c r="AD429" s="48"/>
      <c r="AE429" s="93">
        <f t="shared" si="32"/>
        <v>0</v>
      </c>
      <c r="AF429" s="16"/>
      <c r="AG429" s="103">
        <f t="shared" si="33"/>
        <v>0</v>
      </c>
      <c r="AH429" s="37">
        <f t="shared" si="34"/>
        <v>0</v>
      </c>
      <c r="AJ429" s="34"/>
      <c r="AK429" s="34"/>
      <c r="AU429" s="34"/>
      <c r="AV429" s="34"/>
    </row>
    <row r="430" spans="22:48" ht="16" x14ac:dyDescent="0.4">
      <c r="V430" s="97"/>
      <c r="W430" s="16"/>
      <c r="X430" s="89"/>
      <c r="Z430" s="50"/>
      <c r="AA430" s="50"/>
      <c r="AD430" s="48"/>
      <c r="AE430" s="93">
        <f t="shared" si="32"/>
        <v>0</v>
      </c>
      <c r="AF430" s="16"/>
      <c r="AG430" s="103">
        <f t="shared" si="33"/>
        <v>0</v>
      </c>
      <c r="AH430" s="37">
        <f t="shared" si="34"/>
        <v>0</v>
      </c>
      <c r="AJ430" s="34"/>
      <c r="AK430" s="34"/>
      <c r="AU430" s="34"/>
      <c r="AV430" s="34"/>
    </row>
    <row r="431" spans="22:48" ht="16" x14ac:dyDescent="0.4">
      <c r="V431" s="97"/>
      <c r="W431" s="16"/>
      <c r="X431" s="89"/>
      <c r="Z431" s="50"/>
      <c r="AA431" s="50"/>
      <c r="AD431" s="48"/>
      <c r="AE431" s="93">
        <f t="shared" si="32"/>
        <v>0</v>
      </c>
      <c r="AF431" s="16"/>
      <c r="AG431" s="103">
        <f t="shared" si="33"/>
        <v>0</v>
      </c>
      <c r="AH431" s="37">
        <f t="shared" si="34"/>
        <v>0</v>
      </c>
      <c r="AJ431" s="34"/>
      <c r="AK431" s="34"/>
      <c r="AU431" s="34"/>
      <c r="AV431" s="34"/>
    </row>
    <row r="432" spans="22:48" ht="16" x14ac:dyDescent="0.4">
      <c r="V432" s="97"/>
      <c r="W432" s="16"/>
      <c r="X432" s="89"/>
      <c r="Z432" s="50"/>
      <c r="AA432" s="50"/>
      <c r="AD432" s="48"/>
      <c r="AE432" s="93">
        <f t="shared" si="32"/>
        <v>0</v>
      </c>
      <c r="AF432" s="16"/>
      <c r="AG432" s="103">
        <f t="shared" si="33"/>
        <v>0</v>
      </c>
      <c r="AH432" s="37">
        <f t="shared" si="34"/>
        <v>0</v>
      </c>
      <c r="AJ432" s="34"/>
      <c r="AK432" s="34"/>
      <c r="AU432" s="34"/>
      <c r="AV432" s="34"/>
    </row>
    <row r="433" spans="22:48" ht="16" x14ac:dyDescent="0.4">
      <c r="V433" s="97"/>
      <c r="W433" s="16"/>
      <c r="X433" s="89"/>
      <c r="Z433" s="50"/>
      <c r="AA433" s="50"/>
      <c r="AD433" s="48"/>
      <c r="AE433" s="93">
        <f t="shared" si="32"/>
        <v>0</v>
      </c>
      <c r="AF433" s="16"/>
      <c r="AG433" s="103">
        <f t="shared" si="33"/>
        <v>0</v>
      </c>
      <c r="AH433" s="37">
        <f t="shared" si="34"/>
        <v>0</v>
      </c>
      <c r="AJ433" s="34"/>
      <c r="AK433" s="34"/>
      <c r="AU433" s="34"/>
      <c r="AV433" s="34"/>
    </row>
    <row r="434" spans="22:48" ht="16" x14ac:dyDescent="0.4">
      <c r="V434" s="97"/>
      <c r="W434" s="16"/>
      <c r="X434" s="89"/>
      <c r="Z434" s="50"/>
      <c r="AA434" s="50"/>
      <c r="AD434" s="48"/>
      <c r="AE434" s="93">
        <f t="shared" si="32"/>
        <v>0</v>
      </c>
      <c r="AF434" s="16"/>
      <c r="AG434" s="103">
        <f t="shared" si="33"/>
        <v>0</v>
      </c>
      <c r="AH434" s="37">
        <f t="shared" si="34"/>
        <v>0</v>
      </c>
      <c r="AJ434" s="34"/>
      <c r="AK434" s="34"/>
      <c r="AU434" s="34"/>
      <c r="AV434" s="34"/>
    </row>
    <row r="435" spans="22:48" ht="16" x14ac:dyDescent="0.4">
      <c r="V435" s="97"/>
      <c r="W435" s="16"/>
      <c r="X435" s="89"/>
      <c r="Z435" s="50"/>
      <c r="AA435" s="50"/>
      <c r="AD435" s="48"/>
      <c r="AE435" s="93">
        <f t="shared" si="32"/>
        <v>0</v>
      </c>
      <c r="AF435" s="16"/>
      <c r="AG435" s="103">
        <f t="shared" si="33"/>
        <v>0</v>
      </c>
      <c r="AH435" s="37">
        <f t="shared" si="34"/>
        <v>0</v>
      </c>
      <c r="AJ435" s="34"/>
      <c r="AK435" s="34"/>
      <c r="AU435" s="34"/>
      <c r="AV435" s="34"/>
    </row>
    <row r="436" spans="22:48" ht="16" x14ac:dyDescent="0.4">
      <c r="V436" s="97"/>
      <c r="W436" s="16"/>
      <c r="X436" s="89"/>
      <c r="Z436" s="50"/>
      <c r="AA436" s="50"/>
      <c r="AD436" s="48"/>
      <c r="AE436" s="93">
        <f t="shared" si="32"/>
        <v>0</v>
      </c>
      <c r="AF436" s="16"/>
      <c r="AG436" s="103">
        <f t="shared" si="33"/>
        <v>0</v>
      </c>
      <c r="AH436" s="37">
        <f t="shared" si="34"/>
        <v>0</v>
      </c>
      <c r="AJ436" s="34"/>
      <c r="AK436" s="34"/>
      <c r="AU436" s="34"/>
      <c r="AV436" s="34"/>
    </row>
    <row r="437" spans="22:48" ht="16" x14ac:dyDescent="0.4">
      <c r="V437" s="97"/>
      <c r="W437" s="16"/>
      <c r="X437" s="89"/>
      <c r="Z437" s="50"/>
      <c r="AA437" s="50"/>
      <c r="AD437" s="48"/>
      <c r="AE437" s="93">
        <f t="shared" si="32"/>
        <v>0</v>
      </c>
      <c r="AF437" s="16"/>
      <c r="AG437" s="103">
        <f t="shared" si="33"/>
        <v>0</v>
      </c>
      <c r="AH437" s="37">
        <f t="shared" si="34"/>
        <v>0</v>
      </c>
      <c r="AJ437" s="34"/>
      <c r="AK437" s="34"/>
      <c r="AU437" s="34"/>
      <c r="AV437" s="34"/>
    </row>
    <row r="438" spans="22:48" ht="16" x14ac:dyDescent="0.4">
      <c r="V438" s="97"/>
      <c r="W438" s="16"/>
      <c r="X438" s="89"/>
      <c r="Z438" s="50"/>
      <c r="AA438" s="50"/>
      <c r="AD438" s="48"/>
      <c r="AE438" s="93">
        <f t="shared" si="32"/>
        <v>0</v>
      </c>
      <c r="AF438" s="16"/>
      <c r="AG438" s="103">
        <f t="shared" si="33"/>
        <v>0</v>
      </c>
      <c r="AH438" s="37">
        <f t="shared" si="34"/>
        <v>0</v>
      </c>
      <c r="AJ438" s="34"/>
      <c r="AK438" s="34"/>
      <c r="AU438" s="34"/>
      <c r="AV438" s="34"/>
    </row>
    <row r="439" spans="22:48" ht="16" x14ac:dyDescent="0.4">
      <c r="V439" s="97"/>
      <c r="W439" s="16"/>
      <c r="X439" s="89"/>
      <c r="Z439" s="50"/>
      <c r="AA439" s="50"/>
      <c r="AD439" s="48"/>
      <c r="AE439" s="93">
        <f t="shared" si="32"/>
        <v>0</v>
      </c>
      <c r="AF439" s="16"/>
      <c r="AG439" s="103">
        <f t="shared" si="33"/>
        <v>0</v>
      </c>
      <c r="AH439" s="37">
        <f t="shared" si="34"/>
        <v>0</v>
      </c>
      <c r="AJ439" s="34"/>
      <c r="AK439" s="34"/>
      <c r="AU439" s="34"/>
      <c r="AV439" s="34"/>
    </row>
    <row r="440" spans="22:48" ht="16" x14ac:dyDescent="0.4">
      <c r="V440" s="97"/>
      <c r="W440" s="16"/>
      <c r="X440" s="89"/>
      <c r="Z440" s="50"/>
      <c r="AA440" s="50"/>
      <c r="AD440" s="48"/>
      <c r="AE440" s="93">
        <f t="shared" si="32"/>
        <v>0</v>
      </c>
      <c r="AF440" s="16"/>
      <c r="AG440" s="103">
        <f t="shared" si="33"/>
        <v>0</v>
      </c>
      <c r="AH440" s="37">
        <f t="shared" si="34"/>
        <v>0</v>
      </c>
      <c r="AJ440" s="34"/>
      <c r="AK440" s="34"/>
      <c r="AU440" s="34"/>
      <c r="AV440" s="34"/>
    </row>
    <row r="441" spans="22:48" ht="16" x14ac:dyDescent="0.4">
      <c r="V441" s="97"/>
      <c r="W441" s="16"/>
      <c r="X441" s="89"/>
      <c r="Z441" s="50"/>
      <c r="AA441" s="50"/>
      <c r="AD441" s="48"/>
      <c r="AE441" s="93">
        <f t="shared" si="32"/>
        <v>0</v>
      </c>
      <c r="AF441" s="16"/>
      <c r="AG441" s="103">
        <f t="shared" si="33"/>
        <v>0</v>
      </c>
      <c r="AH441" s="37">
        <f t="shared" si="34"/>
        <v>0</v>
      </c>
      <c r="AJ441" s="34"/>
      <c r="AK441" s="34"/>
      <c r="AU441" s="34"/>
      <c r="AV441" s="34"/>
    </row>
    <row r="442" spans="22:48" ht="16" x14ac:dyDescent="0.4">
      <c r="V442" s="97"/>
      <c r="W442" s="16"/>
      <c r="X442" s="89"/>
      <c r="Z442" s="50"/>
      <c r="AA442" s="50"/>
      <c r="AD442" s="48"/>
      <c r="AE442" s="93">
        <f t="shared" si="32"/>
        <v>0</v>
      </c>
      <c r="AF442" s="16"/>
      <c r="AG442" s="103">
        <f t="shared" si="33"/>
        <v>0</v>
      </c>
      <c r="AH442" s="37">
        <f t="shared" si="34"/>
        <v>0</v>
      </c>
      <c r="AJ442" s="34"/>
      <c r="AK442" s="34"/>
      <c r="AU442" s="34"/>
      <c r="AV442" s="34"/>
    </row>
    <row r="443" spans="22:48" ht="16" x14ac:dyDescent="0.4">
      <c r="V443" s="97"/>
      <c r="W443" s="16"/>
      <c r="X443" s="89"/>
      <c r="Z443" s="50"/>
      <c r="AA443" s="50"/>
      <c r="AD443" s="48"/>
      <c r="AE443" s="93">
        <f t="shared" si="32"/>
        <v>0</v>
      </c>
      <c r="AF443" s="16"/>
      <c r="AG443" s="103">
        <f t="shared" si="33"/>
        <v>0</v>
      </c>
      <c r="AH443" s="37">
        <f t="shared" si="34"/>
        <v>0</v>
      </c>
      <c r="AJ443" s="34"/>
      <c r="AK443" s="34"/>
      <c r="AU443" s="34"/>
      <c r="AV443" s="34"/>
    </row>
    <row r="444" spans="22:48" ht="16" x14ac:dyDescent="0.4">
      <c r="V444" s="97"/>
      <c r="W444" s="16"/>
      <c r="X444" s="89"/>
      <c r="Z444" s="50"/>
      <c r="AA444" s="50"/>
      <c r="AD444" s="48"/>
      <c r="AE444" s="93">
        <f t="shared" si="32"/>
        <v>0</v>
      </c>
      <c r="AF444" s="16"/>
      <c r="AG444" s="103">
        <f t="shared" si="33"/>
        <v>0</v>
      </c>
      <c r="AH444" s="37">
        <f t="shared" si="34"/>
        <v>0</v>
      </c>
      <c r="AJ444" s="34"/>
      <c r="AK444" s="34"/>
      <c r="AU444" s="34"/>
      <c r="AV444" s="34"/>
    </row>
    <row r="445" spans="22:48" ht="16" x14ac:dyDescent="0.4">
      <c r="V445" s="97"/>
      <c r="W445" s="16"/>
      <c r="X445" s="89"/>
      <c r="Z445" s="50"/>
      <c r="AA445" s="50"/>
      <c r="AD445" s="48"/>
      <c r="AE445" s="93">
        <f t="shared" si="32"/>
        <v>0</v>
      </c>
      <c r="AF445" s="16"/>
      <c r="AG445" s="103">
        <f t="shared" si="33"/>
        <v>0</v>
      </c>
      <c r="AH445" s="37">
        <f t="shared" si="34"/>
        <v>0</v>
      </c>
      <c r="AJ445" s="34"/>
      <c r="AK445" s="34"/>
      <c r="AU445" s="34"/>
      <c r="AV445" s="34"/>
    </row>
    <row r="446" spans="22:48" ht="16" x14ac:dyDescent="0.4">
      <c r="V446" s="97"/>
      <c r="W446" s="16"/>
      <c r="X446" s="89"/>
      <c r="Z446" s="50"/>
      <c r="AA446" s="50"/>
      <c r="AD446" s="48"/>
      <c r="AE446" s="93">
        <f t="shared" si="32"/>
        <v>0</v>
      </c>
      <c r="AF446" s="16"/>
      <c r="AG446" s="103">
        <f t="shared" si="33"/>
        <v>0</v>
      </c>
      <c r="AH446" s="37">
        <f t="shared" si="34"/>
        <v>0</v>
      </c>
      <c r="AJ446" s="34"/>
      <c r="AK446" s="34"/>
      <c r="AU446" s="34"/>
      <c r="AV446" s="34"/>
    </row>
    <row r="447" spans="22:48" ht="16" x14ac:dyDescent="0.4">
      <c r="V447" s="97"/>
      <c r="W447" s="16"/>
      <c r="X447" s="89"/>
      <c r="Z447" s="50"/>
      <c r="AA447" s="50"/>
      <c r="AD447" s="48"/>
      <c r="AE447" s="93">
        <f t="shared" si="32"/>
        <v>0</v>
      </c>
      <c r="AF447" s="16"/>
      <c r="AG447" s="103">
        <f t="shared" si="33"/>
        <v>0</v>
      </c>
      <c r="AH447" s="37">
        <f t="shared" si="34"/>
        <v>0</v>
      </c>
      <c r="AJ447" s="34"/>
      <c r="AK447" s="34"/>
      <c r="AU447" s="34"/>
      <c r="AV447" s="34"/>
    </row>
    <row r="448" spans="22:48" ht="16" x14ac:dyDescent="0.4">
      <c r="V448" s="97"/>
      <c r="X448" s="89"/>
      <c r="Z448" s="50"/>
      <c r="AA448" s="50"/>
      <c r="AD448" s="37"/>
      <c r="AE448" s="93">
        <f t="shared" si="32"/>
        <v>0</v>
      </c>
      <c r="AF448" s="16"/>
      <c r="AG448" s="103">
        <f t="shared" si="33"/>
        <v>0</v>
      </c>
      <c r="AH448" s="37">
        <f t="shared" si="34"/>
        <v>0</v>
      </c>
      <c r="AJ448" s="34"/>
      <c r="AK448" s="34"/>
      <c r="AU448" s="34"/>
      <c r="AV448" s="34"/>
    </row>
    <row r="449" spans="31:48" ht="16" x14ac:dyDescent="0.4">
      <c r="AE449" s="93">
        <f t="shared" si="32"/>
        <v>0</v>
      </c>
      <c r="AF449" s="16"/>
      <c r="AG449" s="103">
        <f t="shared" si="33"/>
        <v>0</v>
      </c>
      <c r="AH449" s="37">
        <f t="shared" si="34"/>
        <v>0</v>
      </c>
      <c r="AJ449" s="34"/>
      <c r="AK449" s="34"/>
      <c r="AU449" s="34"/>
      <c r="AV449" s="34"/>
    </row>
    <row r="450" spans="31:48" ht="16" x14ac:dyDescent="0.4">
      <c r="AE450" s="93">
        <f t="shared" ref="AE450:AE513" si="35">AD450/1000</f>
        <v>0</v>
      </c>
      <c r="AF450" s="16"/>
      <c r="AG450" s="103">
        <f t="shared" ref="AG450:AG513" si="36">IF($AF450&gt;14,14,$AF450)</f>
        <v>0</v>
      </c>
      <c r="AH450" s="37">
        <f t="shared" ref="AH450:AH513" si="37">AE450*AG450/14</f>
        <v>0</v>
      </c>
      <c r="AJ450" s="34"/>
      <c r="AK450" s="34"/>
      <c r="AU450" s="34"/>
      <c r="AV450" s="34"/>
    </row>
    <row r="451" spans="31:48" ht="16" x14ac:dyDescent="0.4">
      <c r="AE451" s="93">
        <f t="shared" si="35"/>
        <v>0</v>
      </c>
      <c r="AF451" s="16"/>
      <c r="AG451" s="103">
        <f t="shared" si="36"/>
        <v>0</v>
      </c>
      <c r="AH451" s="37">
        <f t="shared" si="37"/>
        <v>0</v>
      </c>
      <c r="AJ451" s="34"/>
      <c r="AK451" s="34"/>
      <c r="AU451" s="34"/>
      <c r="AV451" s="34"/>
    </row>
    <row r="452" spans="31:48" ht="16" x14ac:dyDescent="0.4">
      <c r="AE452" s="93">
        <f t="shared" si="35"/>
        <v>0</v>
      </c>
      <c r="AF452" s="16"/>
      <c r="AG452" s="103">
        <f t="shared" si="36"/>
        <v>0</v>
      </c>
      <c r="AH452" s="37">
        <f t="shared" si="37"/>
        <v>0</v>
      </c>
      <c r="AJ452" s="34"/>
      <c r="AK452" s="34"/>
      <c r="AU452" s="34"/>
      <c r="AV452" s="34"/>
    </row>
    <row r="453" spans="31:48" ht="16" x14ac:dyDescent="0.4">
      <c r="AE453" s="93">
        <f t="shared" si="35"/>
        <v>0</v>
      </c>
      <c r="AF453" s="16"/>
      <c r="AG453" s="103">
        <f t="shared" si="36"/>
        <v>0</v>
      </c>
      <c r="AH453" s="37">
        <f t="shared" si="37"/>
        <v>0</v>
      </c>
      <c r="AJ453" s="34"/>
      <c r="AK453" s="34"/>
      <c r="AU453" s="34"/>
      <c r="AV453" s="34"/>
    </row>
    <row r="454" spans="31:48" ht="16" x14ac:dyDescent="0.4">
      <c r="AE454" s="93">
        <f t="shared" si="35"/>
        <v>0</v>
      </c>
      <c r="AF454" s="16"/>
      <c r="AG454" s="103">
        <f t="shared" si="36"/>
        <v>0</v>
      </c>
      <c r="AH454" s="37">
        <f t="shared" si="37"/>
        <v>0</v>
      </c>
      <c r="AJ454" s="34"/>
      <c r="AK454" s="34"/>
      <c r="AU454" s="34"/>
      <c r="AV454" s="34"/>
    </row>
    <row r="455" spans="31:48" ht="16" x14ac:dyDescent="0.4">
      <c r="AE455" s="93">
        <f t="shared" si="35"/>
        <v>0</v>
      </c>
      <c r="AF455" s="16"/>
      <c r="AG455" s="103">
        <f t="shared" si="36"/>
        <v>0</v>
      </c>
      <c r="AH455" s="37">
        <f t="shared" si="37"/>
        <v>0</v>
      </c>
      <c r="AJ455" s="34"/>
      <c r="AK455" s="34"/>
      <c r="AU455" s="34"/>
      <c r="AV455" s="34"/>
    </row>
    <row r="456" spans="31:48" ht="16" x14ac:dyDescent="0.4">
      <c r="AE456" s="93">
        <f t="shared" si="35"/>
        <v>0</v>
      </c>
      <c r="AF456" s="16"/>
      <c r="AG456" s="103">
        <f t="shared" si="36"/>
        <v>0</v>
      </c>
      <c r="AH456" s="37">
        <f t="shared" si="37"/>
        <v>0</v>
      </c>
      <c r="AJ456" s="34"/>
      <c r="AK456" s="34"/>
      <c r="AU456" s="34"/>
      <c r="AV456" s="34"/>
    </row>
    <row r="457" spans="31:48" ht="16" x14ac:dyDescent="0.4">
      <c r="AE457" s="93">
        <f t="shared" si="35"/>
        <v>0</v>
      </c>
      <c r="AF457" s="16"/>
      <c r="AG457" s="103">
        <f t="shared" si="36"/>
        <v>0</v>
      </c>
      <c r="AH457" s="37">
        <f t="shared" si="37"/>
        <v>0</v>
      </c>
      <c r="AJ457" s="34"/>
      <c r="AK457" s="34"/>
      <c r="AU457" s="34"/>
      <c r="AV457" s="34"/>
    </row>
    <row r="458" spans="31:48" ht="16" x14ac:dyDescent="0.4">
      <c r="AE458" s="93">
        <f t="shared" si="35"/>
        <v>0</v>
      </c>
      <c r="AF458" s="16"/>
      <c r="AG458" s="103">
        <f t="shared" si="36"/>
        <v>0</v>
      </c>
      <c r="AH458" s="37">
        <f t="shared" si="37"/>
        <v>0</v>
      </c>
      <c r="AJ458" s="34"/>
      <c r="AK458" s="34"/>
      <c r="AU458" s="34"/>
      <c r="AV458" s="34"/>
    </row>
    <row r="459" spans="31:48" ht="16" x14ac:dyDescent="0.4">
      <c r="AE459" s="93">
        <f t="shared" si="35"/>
        <v>0</v>
      </c>
      <c r="AF459" s="16"/>
      <c r="AG459" s="103">
        <f t="shared" si="36"/>
        <v>0</v>
      </c>
      <c r="AH459" s="37">
        <f t="shared" si="37"/>
        <v>0</v>
      </c>
      <c r="AJ459" s="34"/>
      <c r="AK459" s="34"/>
      <c r="AU459" s="34"/>
      <c r="AV459" s="34"/>
    </row>
    <row r="460" spans="31:48" ht="16" x14ac:dyDescent="0.4">
      <c r="AE460" s="93">
        <f t="shared" si="35"/>
        <v>0</v>
      </c>
      <c r="AF460" s="16"/>
      <c r="AG460" s="103">
        <f t="shared" si="36"/>
        <v>0</v>
      </c>
      <c r="AH460" s="37">
        <f t="shared" si="37"/>
        <v>0</v>
      </c>
      <c r="AJ460" s="34"/>
      <c r="AK460" s="34"/>
      <c r="AU460" s="34"/>
      <c r="AV460" s="34"/>
    </row>
    <row r="461" spans="31:48" ht="16" x14ac:dyDescent="0.4">
      <c r="AE461" s="93">
        <f t="shared" si="35"/>
        <v>0</v>
      </c>
      <c r="AF461" s="16"/>
      <c r="AG461" s="103">
        <f t="shared" si="36"/>
        <v>0</v>
      </c>
      <c r="AH461" s="37">
        <f t="shared" si="37"/>
        <v>0</v>
      </c>
      <c r="AJ461" s="34"/>
      <c r="AK461" s="34"/>
      <c r="AU461" s="34"/>
      <c r="AV461" s="34"/>
    </row>
    <row r="462" spans="31:48" ht="16" x14ac:dyDescent="0.4">
      <c r="AE462" s="93">
        <f t="shared" si="35"/>
        <v>0</v>
      </c>
      <c r="AF462" s="16"/>
      <c r="AG462" s="103">
        <f t="shared" si="36"/>
        <v>0</v>
      </c>
      <c r="AH462" s="37">
        <f t="shared" si="37"/>
        <v>0</v>
      </c>
      <c r="AJ462" s="34"/>
      <c r="AK462" s="34"/>
      <c r="AU462" s="34"/>
      <c r="AV462" s="34"/>
    </row>
    <row r="463" spans="31:48" ht="16" x14ac:dyDescent="0.4">
      <c r="AE463" s="93">
        <f t="shared" si="35"/>
        <v>0</v>
      </c>
      <c r="AF463" s="16"/>
      <c r="AG463" s="103">
        <f t="shared" si="36"/>
        <v>0</v>
      </c>
      <c r="AH463" s="37">
        <f t="shared" si="37"/>
        <v>0</v>
      </c>
      <c r="AJ463" s="34"/>
      <c r="AK463" s="34"/>
      <c r="AU463" s="34"/>
      <c r="AV463" s="34"/>
    </row>
    <row r="464" spans="31:48" ht="16" x14ac:dyDescent="0.4">
      <c r="AE464" s="93">
        <f t="shared" si="35"/>
        <v>0</v>
      </c>
      <c r="AF464" s="16"/>
      <c r="AG464" s="103">
        <f t="shared" si="36"/>
        <v>0</v>
      </c>
      <c r="AH464" s="37">
        <f t="shared" si="37"/>
        <v>0</v>
      </c>
      <c r="AJ464" s="34"/>
      <c r="AK464" s="34"/>
      <c r="AU464" s="34"/>
      <c r="AV464" s="34"/>
    </row>
    <row r="465" spans="31:48" ht="16" x14ac:dyDescent="0.4">
      <c r="AE465" s="93">
        <f t="shared" si="35"/>
        <v>0</v>
      </c>
      <c r="AF465" s="16"/>
      <c r="AG465" s="103">
        <f t="shared" si="36"/>
        <v>0</v>
      </c>
      <c r="AH465" s="37">
        <f t="shared" si="37"/>
        <v>0</v>
      </c>
      <c r="AJ465" s="34"/>
      <c r="AK465" s="34"/>
      <c r="AU465" s="34"/>
      <c r="AV465" s="34"/>
    </row>
    <row r="466" spans="31:48" ht="16" x14ac:dyDescent="0.4">
      <c r="AE466" s="93">
        <f t="shared" si="35"/>
        <v>0</v>
      </c>
      <c r="AF466" s="16"/>
      <c r="AG466" s="103">
        <f t="shared" si="36"/>
        <v>0</v>
      </c>
      <c r="AH466" s="37">
        <f t="shared" si="37"/>
        <v>0</v>
      </c>
      <c r="AJ466" s="34"/>
      <c r="AK466" s="34"/>
      <c r="AU466" s="34"/>
      <c r="AV466" s="34"/>
    </row>
    <row r="467" spans="31:48" ht="16" x14ac:dyDescent="0.4">
      <c r="AE467" s="93">
        <f t="shared" si="35"/>
        <v>0</v>
      </c>
      <c r="AF467" s="16"/>
      <c r="AG467" s="103">
        <f t="shared" si="36"/>
        <v>0</v>
      </c>
      <c r="AH467" s="37">
        <f t="shared" si="37"/>
        <v>0</v>
      </c>
      <c r="AJ467" s="34"/>
      <c r="AK467" s="34"/>
      <c r="AU467" s="34"/>
      <c r="AV467" s="34"/>
    </row>
    <row r="468" spans="31:48" ht="16" x14ac:dyDescent="0.4">
      <c r="AE468" s="93">
        <f t="shared" si="35"/>
        <v>0</v>
      </c>
      <c r="AF468" s="16"/>
      <c r="AG468" s="103">
        <f t="shared" si="36"/>
        <v>0</v>
      </c>
      <c r="AH468" s="37">
        <f t="shared" si="37"/>
        <v>0</v>
      </c>
      <c r="AJ468" s="34"/>
      <c r="AK468" s="34"/>
      <c r="AU468" s="34"/>
      <c r="AV468" s="34"/>
    </row>
    <row r="469" spans="31:48" ht="16" x14ac:dyDescent="0.4">
      <c r="AE469" s="93">
        <f t="shared" si="35"/>
        <v>0</v>
      </c>
      <c r="AF469" s="16"/>
      <c r="AG469" s="103">
        <f t="shared" si="36"/>
        <v>0</v>
      </c>
      <c r="AH469" s="37">
        <f t="shared" si="37"/>
        <v>0</v>
      </c>
      <c r="AJ469" s="34"/>
      <c r="AK469" s="34"/>
      <c r="AU469" s="34"/>
      <c r="AV469" s="34"/>
    </row>
    <row r="470" spans="31:48" ht="16" x14ac:dyDescent="0.4">
      <c r="AE470" s="93">
        <f t="shared" si="35"/>
        <v>0</v>
      </c>
      <c r="AF470" s="16"/>
      <c r="AG470" s="103">
        <f t="shared" si="36"/>
        <v>0</v>
      </c>
      <c r="AH470" s="37">
        <f t="shared" si="37"/>
        <v>0</v>
      </c>
      <c r="AJ470" s="34"/>
      <c r="AK470" s="34"/>
      <c r="AU470" s="34"/>
      <c r="AV470" s="34"/>
    </row>
    <row r="471" spans="31:48" ht="16" x14ac:dyDescent="0.4">
      <c r="AE471" s="93">
        <f t="shared" si="35"/>
        <v>0</v>
      </c>
      <c r="AF471" s="16"/>
      <c r="AG471" s="103">
        <f t="shared" si="36"/>
        <v>0</v>
      </c>
      <c r="AH471" s="37">
        <f t="shared" si="37"/>
        <v>0</v>
      </c>
      <c r="AJ471" s="34"/>
      <c r="AK471" s="34"/>
      <c r="AU471" s="34"/>
      <c r="AV471" s="34"/>
    </row>
    <row r="472" spans="31:48" ht="16" x14ac:dyDescent="0.4">
      <c r="AE472" s="93">
        <f t="shared" si="35"/>
        <v>0</v>
      </c>
      <c r="AF472" s="16"/>
      <c r="AG472" s="103">
        <f t="shared" si="36"/>
        <v>0</v>
      </c>
      <c r="AH472" s="37">
        <f t="shared" si="37"/>
        <v>0</v>
      </c>
      <c r="AJ472" s="34"/>
      <c r="AK472" s="34"/>
      <c r="AU472" s="34"/>
      <c r="AV472" s="34"/>
    </row>
    <row r="473" spans="31:48" ht="16" x14ac:dyDescent="0.4">
      <c r="AE473" s="93">
        <f t="shared" si="35"/>
        <v>0</v>
      </c>
      <c r="AF473" s="16"/>
      <c r="AG473" s="103">
        <f t="shared" si="36"/>
        <v>0</v>
      </c>
      <c r="AH473" s="37">
        <f t="shared" si="37"/>
        <v>0</v>
      </c>
      <c r="AJ473" s="34"/>
      <c r="AK473" s="34"/>
      <c r="AU473" s="34"/>
      <c r="AV473" s="34"/>
    </row>
    <row r="474" spans="31:48" ht="16" x14ac:dyDescent="0.4">
      <c r="AE474" s="93">
        <f t="shared" si="35"/>
        <v>0</v>
      </c>
      <c r="AF474" s="16"/>
      <c r="AG474" s="103">
        <f t="shared" si="36"/>
        <v>0</v>
      </c>
      <c r="AH474" s="37">
        <f t="shared" si="37"/>
        <v>0</v>
      </c>
      <c r="AJ474" s="34"/>
      <c r="AK474" s="34"/>
      <c r="AU474" s="34"/>
      <c r="AV474" s="34"/>
    </row>
    <row r="475" spans="31:48" ht="16" x14ac:dyDescent="0.4">
      <c r="AE475" s="93">
        <f t="shared" si="35"/>
        <v>0</v>
      </c>
      <c r="AF475" s="16"/>
      <c r="AG475" s="103">
        <f t="shared" si="36"/>
        <v>0</v>
      </c>
      <c r="AH475" s="37">
        <f t="shared" si="37"/>
        <v>0</v>
      </c>
      <c r="AJ475" s="34"/>
      <c r="AK475" s="34"/>
      <c r="AU475" s="34"/>
      <c r="AV475" s="34"/>
    </row>
    <row r="476" spans="31:48" ht="16" x14ac:dyDescent="0.4">
      <c r="AE476" s="93">
        <f t="shared" si="35"/>
        <v>0</v>
      </c>
      <c r="AF476" s="16"/>
      <c r="AG476" s="103">
        <f t="shared" si="36"/>
        <v>0</v>
      </c>
      <c r="AH476" s="37">
        <f t="shared" si="37"/>
        <v>0</v>
      </c>
      <c r="AJ476" s="34"/>
      <c r="AK476" s="34"/>
      <c r="AU476" s="34"/>
      <c r="AV476" s="34"/>
    </row>
    <row r="477" spans="31:48" ht="16" x14ac:dyDescent="0.4">
      <c r="AE477" s="93">
        <f t="shared" si="35"/>
        <v>0</v>
      </c>
      <c r="AF477" s="16"/>
      <c r="AG477" s="103">
        <f t="shared" si="36"/>
        <v>0</v>
      </c>
      <c r="AH477" s="37">
        <f t="shared" si="37"/>
        <v>0</v>
      </c>
      <c r="AJ477" s="34"/>
      <c r="AK477" s="34"/>
      <c r="AU477" s="34"/>
      <c r="AV477" s="34"/>
    </row>
    <row r="478" spans="31:48" ht="16" x14ac:dyDescent="0.4">
      <c r="AE478" s="93">
        <f t="shared" si="35"/>
        <v>0</v>
      </c>
      <c r="AF478" s="16"/>
      <c r="AG478" s="103">
        <f t="shared" si="36"/>
        <v>0</v>
      </c>
      <c r="AH478" s="37">
        <f t="shared" si="37"/>
        <v>0</v>
      </c>
      <c r="AJ478" s="34"/>
      <c r="AK478" s="34"/>
      <c r="AU478" s="34"/>
      <c r="AV478" s="34"/>
    </row>
    <row r="479" spans="31:48" ht="16" x14ac:dyDescent="0.4">
      <c r="AE479" s="93">
        <f t="shared" si="35"/>
        <v>0</v>
      </c>
      <c r="AF479" s="16"/>
      <c r="AG479" s="103">
        <f t="shared" si="36"/>
        <v>0</v>
      </c>
      <c r="AH479" s="37">
        <f t="shared" si="37"/>
        <v>0</v>
      </c>
      <c r="AJ479" s="34"/>
      <c r="AK479" s="34"/>
      <c r="AU479" s="34"/>
      <c r="AV479" s="34"/>
    </row>
    <row r="480" spans="31:48" ht="16" x14ac:dyDescent="0.4">
      <c r="AE480" s="93">
        <f t="shared" si="35"/>
        <v>0</v>
      </c>
      <c r="AF480" s="16"/>
      <c r="AG480" s="103">
        <f t="shared" si="36"/>
        <v>0</v>
      </c>
      <c r="AH480" s="37">
        <f t="shared" si="37"/>
        <v>0</v>
      </c>
      <c r="AJ480" s="34"/>
      <c r="AK480" s="34"/>
      <c r="AU480" s="34"/>
      <c r="AV480" s="34"/>
    </row>
    <row r="481" spans="31:48" ht="16" x14ac:dyDescent="0.4">
      <c r="AE481" s="93">
        <f t="shared" si="35"/>
        <v>0</v>
      </c>
      <c r="AF481" s="16"/>
      <c r="AG481" s="103">
        <f t="shared" si="36"/>
        <v>0</v>
      </c>
      <c r="AH481" s="37">
        <f t="shared" si="37"/>
        <v>0</v>
      </c>
      <c r="AJ481" s="34"/>
      <c r="AK481" s="34"/>
      <c r="AU481" s="34"/>
      <c r="AV481" s="34"/>
    </row>
    <row r="482" spans="31:48" ht="16" x14ac:dyDescent="0.4">
      <c r="AE482" s="93">
        <f t="shared" si="35"/>
        <v>0</v>
      </c>
      <c r="AF482" s="16"/>
      <c r="AG482" s="103">
        <f t="shared" si="36"/>
        <v>0</v>
      </c>
      <c r="AH482" s="37">
        <f t="shared" si="37"/>
        <v>0</v>
      </c>
      <c r="AJ482" s="34"/>
      <c r="AK482" s="34"/>
      <c r="AU482" s="34"/>
      <c r="AV482" s="34"/>
    </row>
    <row r="483" spans="31:48" ht="16" x14ac:dyDescent="0.4">
      <c r="AE483" s="93">
        <f t="shared" si="35"/>
        <v>0</v>
      </c>
      <c r="AF483" s="16"/>
      <c r="AG483" s="103">
        <f t="shared" si="36"/>
        <v>0</v>
      </c>
      <c r="AH483" s="37">
        <f t="shared" si="37"/>
        <v>0</v>
      </c>
      <c r="AJ483" s="34"/>
      <c r="AK483" s="34"/>
      <c r="AU483" s="34"/>
      <c r="AV483" s="34"/>
    </row>
    <row r="484" spans="31:48" ht="16" x14ac:dyDescent="0.4">
      <c r="AE484" s="93">
        <f t="shared" si="35"/>
        <v>0</v>
      </c>
      <c r="AF484" s="16"/>
      <c r="AG484" s="103">
        <f t="shared" si="36"/>
        <v>0</v>
      </c>
      <c r="AH484" s="37">
        <f t="shared" si="37"/>
        <v>0</v>
      </c>
      <c r="AJ484" s="34"/>
      <c r="AK484" s="34"/>
      <c r="AU484" s="34"/>
      <c r="AV484" s="34"/>
    </row>
    <row r="485" spans="31:48" ht="16" x14ac:dyDescent="0.4">
      <c r="AE485" s="93">
        <f t="shared" si="35"/>
        <v>0</v>
      </c>
      <c r="AF485" s="16"/>
      <c r="AG485" s="103">
        <f t="shared" si="36"/>
        <v>0</v>
      </c>
      <c r="AH485" s="37">
        <f t="shared" si="37"/>
        <v>0</v>
      </c>
      <c r="AJ485" s="34"/>
      <c r="AK485" s="34"/>
      <c r="AU485" s="34"/>
      <c r="AV485" s="34"/>
    </row>
    <row r="486" spans="31:48" ht="16" x14ac:dyDescent="0.4">
      <c r="AE486" s="93">
        <f t="shared" si="35"/>
        <v>0</v>
      </c>
      <c r="AF486" s="16"/>
      <c r="AG486" s="103">
        <f t="shared" si="36"/>
        <v>0</v>
      </c>
      <c r="AH486" s="37">
        <f t="shared" si="37"/>
        <v>0</v>
      </c>
      <c r="AJ486" s="34"/>
      <c r="AK486" s="34"/>
      <c r="AU486" s="34"/>
      <c r="AV486" s="34"/>
    </row>
    <row r="487" spans="31:48" ht="16" x14ac:dyDescent="0.4">
      <c r="AE487" s="93">
        <f t="shared" si="35"/>
        <v>0</v>
      </c>
      <c r="AF487" s="16"/>
      <c r="AG487" s="103">
        <f t="shared" si="36"/>
        <v>0</v>
      </c>
      <c r="AH487" s="37">
        <f t="shared" si="37"/>
        <v>0</v>
      </c>
      <c r="AJ487" s="34"/>
      <c r="AK487" s="34"/>
      <c r="AU487" s="34"/>
      <c r="AV487" s="34"/>
    </row>
    <row r="488" spans="31:48" ht="16" x14ac:dyDescent="0.4">
      <c r="AE488" s="93">
        <f t="shared" si="35"/>
        <v>0</v>
      </c>
      <c r="AF488" s="16"/>
      <c r="AG488" s="103">
        <f t="shared" si="36"/>
        <v>0</v>
      </c>
      <c r="AH488" s="37">
        <f t="shared" si="37"/>
        <v>0</v>
      </c>
      <c r="AJ488" s="34"/>
      <c r="AK488" s="34"/>
      <c r="AU488" s="34"/>
      <c r="AV488" s="34"/>
    </row>
    <row r="489" spans="31:48" ht="16" x14ac:dyDescent="0.4">
      <c r="AE489" s="93">
        <f t="shared" si="35"/>
        <v>0</v>
      </c>
      <c r="AF489" s="16"/>
      <c r="AG489" s="103">
        <f t="shared" si="36"/>
        <v>0</v>
      </c>
      <c r="AH489" s="37">
        <f t="shared" si="37"/>
        <v>0</v>
      </c>
      <c r="AJ489" s="34"/>
      <c r="AK489" s="34"/>
      <c r="AU489" s="34"/>
      <c r="AV489" s="34"/>
    </row>
    <row r="490" spans="31:48" ht="16" x14ac:dyDescent="0.4">
      <c r="AE490" s="93">
        <f t="shared" si="35"/>
        <v>0</v>
      </c>
      <c r="AF490" s="16"/>
      <c r="AG490" s="103">
        <f t="shared" si="36"/>
        <v>0</v>
      </c>
      <c r="AH490" s="37">
        <f t="shared" si="37"/>
        <v>0</v>
      </c>
      <c r="AJ490" s="34"/>
      <c r="AK490" s="34"/>
      <c r="AU490" s="34"/>
      <c r="AV490" s="34"/>
    </row>
    <row r="491" spans="31:48" ht="16" x14ac:dyDescent="0.4">
      <c r="AE491" s="93">
        <f t="shared" si="35"/>
        <v>0</v>
      </c>
      <c r="AF491" s="16"/>
      <c r="AG491" s="103">
        <f t="shared" si="36"/>
        <v>0</v>
      </c>
      <c r="AH491" s="37">
        <f t="shared" si="37"/>
        <v>0</v>
      </c>
      <c r="AJ491" s="34"/>
      <c r="AK491" s="34"/>
      <c r="AU491" s="34"/>
      <c r="AV491" s="34"/>
    </row>
    <row r="492" spans="31:48" ht="16" x14ac:dyDescent="0.4">
      <c r="AE492" s="93">
        <f t="shared" si="35"/>
        <v>0</v>
      </c>
      <c r="AF492" s="16"/>
      <c r="AG492" s="103">
        <f t="shared" si="36"/>
        <v>0</v>
      </c>
      <c r="AH492" s="37">
        <f t="shared" si="37"/>
        <v>0</v>
      </c>
      <c r="AJ492" s="34"/>
      <c r="AK492" s="34"/>
      <c r="AU492" s="34"/>
      <c r="AV492" s="34"/>
    </row>
    <row r="493" spans="31:48" ht="16" x14ac:dyDescent="0.4">
      <c r="AE493" s="93">
        <f t="shared" si="35"/>
        <v>0</v>
      </c>
      <c r="AF493" s="16"/>
      <c r="AG493" s="103">
        <f t="shared" si="36"/>
        <v>0</v>
      </c>
      <c r="AH493" s="37">
        <f t="shared" si="37"/>
        <v>0</v>
      </c>
      <c r="AJ493" s="34"/>
      <c r="AK493" s="34"/>
      <c r="AU493" s="34"/>
      <c r="AV493" s="34"/>
    </row>
    <row r="494" spans="31:48" ht="16" x14ac:dyDescent="0.4">
      <c r="AE494" s="93">
        <f t="shared" si="35"/>
        <v>0</v>
      </c>
      <c r="AF494" s="16"/>
      <c r="AG494" s="103">
        <f t="shared" si="36"/>
        <v>0</v>
      </c>
      <c r="AH494" s="37">
        <f t="shared" si="37"/>
        <v>0</v>
      </c>
      <c r="AJ494" s="34"/>
      <c r="AK494" s="34"/>
      <c r="AU494" s="34"/>
      <c r="AV494" s="34"/>
    </row>
    <row r="495" spans="31:48" ht="16" x14ac:dyDescent="0.4">
      <c r="AE495" s="93">
        <f t="shared" si="35"/>
        <v>0</v>
      </c>
      <c r="AF495" s="16"/>
      <c r="AG495" s="103">
        <f t="shared" si="36"/>
        <v>0</v>
      </c>
      <c r="AH495" s="37">
        <f t="shared" si="37"/>
        <v>0</v>
      </c>
      <c r="AJ495" s="34"/>
      <c r="AK495" s="34"/>
      <c r="AU495" s="34"/>
      <c r="AV495" s="34"/>
    </row>
    <row r="496" spans="31:48" ht="16" x14ac:dyDescent="0.4">
      <c r="AE496" s="93">
        <f t="shared" si="35"/>
        <v>0</v>
      </c>
      <c r="AF496" s="16"/>
      <c r="AG496" s="103">
        <f t="shared" si="36"/>
        <v>0</v>
      </c>
      <c r="AH496" s="37">
        <f t="shared" si="37"/>
        <v>0</v>
      </c>
      <c r="AJ496" s="34"/>
      <c r="AK496" s="34"/>
      <c r="AU496" s="34"/>
      <c r="AV496" s="34"/>
    </row>
    <row r="497" spans="31:48" ht="16" x14ac:dyDescent="0.4">
      <c r="AE497" s="93">
        <f t="shared" si="35"/>
        <v>0</v>
      </c>
      <c r="AF497" s="16"/>
      <c r="AG497" s="103">
        <f t="shared" si="36"/>
        <v>0</v>
      </c>
      <c r="AH497" s="37">
        <f t="shared" si="37"/>
        <v>0</v>
      </c>
      <c r="AJ497" s="34"/>
      <c r="AK497" s="34"/>
      <c r="AU497" s="34"/>
      <c r="AV497" s="34"/>
    </row>
    <row r="498" spans="31:48" ht="16" x14ac:dyDescent="0.4">
      <c r="AE498" s="93">
        <f t="shared" si="35"/>
        <v>0</v>
      </c>
      <c r="AF498" s="16"/>
      <c r="AG498" s="103">
        <f t="shared" si="36"/>
        <v>0</v>
      </c>
      <c r="AH498" s="37">
        <f t="shared" si="37"/>
        <v>0</v>
      </c>
      <c r="AJ498" s="34"/>
      <c r="AK498" s="34"/>
      <c r="AU498" s="34"/>
      <c r="AV498" s="34"/>
    </row>
    <row r="499" spans="31:48" ht="16" x14ac:dyDescent="0.4">
      <c r="AE499" s="93">
        <f t="shared" si="35"/>
        <v>0</v>
      </c>
      <c r="AF499" s="16"/>
      <c r="AG499" s="103">
        <f t="shared" si="36"/>
        <v>0</v>
      </c>
      <c r="AH499" s="37">
        <f t="shared" si="37"/>
        <v>0</v>
      </c>
      <c r="AJ499" s="34"/>
      <c r="AK499" s="34"/>
      <c r="AU499" s="34"/>
      <c r="AV499" s="34"/>
    </row>
    <row r="500" spans="31:48" ht="16" x14ac:dyDescent="0.4">
      <c r="AE500" s="93">
        <f t="shared" si="35"/>
        <v>0</v>
      </c>
      <c r="AF500" s="16"/>
      <c r="AG500" s="103">
        <f t="shared" si="36"/>
        <v>0</v>
      </c>
      <c r="AH500" s="37">
        <f t="shared" si="37"/>
        <v>0</v>
      </c>
      <c r="AJ500" s="34"/>
      <c r="AK500" s="34"/>
      <c r="AU500" s="34"/>
      <c r="AV500" s="34"/>
    </row>
    <row r="501" spans="31:48" ht="16" x14ac:dyDescent="0.4">
      <c r="AE501" s="93">
        <f t="shared" si="35"/>
        <v>0</v>
      </c>
      <c r="AF501" s="16"/>
      <c r="AG501" s="103">
        <f t="shared" si="36"/>
        <v>0</v>
      </c>
      <c r="AH501" s="37">
        <f t="shared" si="37"/>
        <v>0</v>
      </c>
      <c r="AJ501" s="34"/>
      <c r="AK501" s="34"/>
      <c r="AU501" s="34"/>
      <c r="AV501" s="34"/>
    </row>
    <row r="502" spans="31:48" ht="16" x14ac:dyDescent="0.4">
      <c r="AE502" s="93">
        <f t="shared" si="35"/>
        <v>0</v>
      </c>
      <c r="AF502" s="16"/>
      <c r="AG502" s="103">
        <f t="shared" si="36"/>
        <v>0</v>
      </c>
      <c r="AH502" s="37">
        <f t="shared" si="37"/>
        <v>0</v>
      </c>
      <c r="AJ502" s="34"/>
      <c r="AK502" s="34"/>
      <c r="AU502" s="34"/>
      <c r="AV502" s="34"/>
    </row>
    <row r="503" spans="31:48" ht="16" x14ac:dyDescent="0.4">
      <c r="AE503" s="93">
        <f t="shared" si="35"/>
        <v>0</v>
      </c>
      <c r="AF503" s="16"/>
      <c r="AG503" s="103">
        <f t="shared" si="36"/>
        <v>0</v>
      </c>
      <c r="AH503" s="37">
        <f t="shared" si="37"/>
        <v>0</v>
      </c>
      <c r="AJ503" s="34"/>
      <c r="AK503" s="34"/>
      <c r="AU503" s="34"/>
      <c r="AV503" s="34"/>
    </row>
    <row r="504" spans="31:48" ht="16" x14ac:dyDescent="0.4">
      <c r="AE504" s="93">
        <f t="shared" si="35"/>
        <v>0</v>
      </c>
      <c r="AF504" s="16"/>
      <c r="AG504" s="103">
        <f t="shared" si="36"/>
        <v>0</v>
      </c>
      <c r="AH504" s="37">
        <f t="shared" si="37"/>
        <v>0</v>
      </c>
      <c r="AJ504" s="34"/>
      <c r="AK504" s="34"/>
      <c r="AU504" s="34"/>
      <c r="AV504" s="34"/>
    </row>
    <row r="505" spans="31:48" ht="16" x14ac:dyDescent="0.4">
      <c r="AE505" s="93">
        <f t="shared" si="35"/>
        <v>0</v>
      </c>
      <c r="AF505" s="16"/>
      <c r="AG505" s="103">
        <f t="shared" si="36"/>
        <v>0</v>
      </c>
      <c r="AH505" s="37">
        <f t="shared" si="37"/>
        <v>0</v>
      </c>
      <c r="AJ505" s="34"/>
      <c r="AK505" s="34"/>
      <c r="AU505" s="34"/>
      <c r="AV505" s="34"/>
    </row>
    <row r="506" spans="31:48" ht="16" x14ac:dyDescent="0.4">
      <c r="AE506" s="93">
        <f t="shared" si="35"/>
        <v>0</v>
      </c>
      <c r="AF506" s="16"/>
      <c r="AG506" s="103">
        <f t="shared" si="36"/>
        <v>0</v>
      </c>
      <c r="AH506" s="37">
        <f t="shared" si="37"/>
        <v>0</v>
      </c>
      <c r="AJ506" s="34"/>
      <c r="AK506" s="34"/>
      <c r="AU506" s="34"/>
      <c r="AV506" s="34"/>
    </row>
    <row r="507" spans="31:48" ht="16" x14ac:dyDescent="0.4">
      <c r="AE507" s="93">
        <f t="shared" si="35"/>
        <v>0</v>
      </c>
      <c r="AF507" s="16"/>
      <c r="AG507" s="103">
        <f t="shared" si="36"/>
        <v>0</v>
      </c>
      <c r="AH507" s="37">
        <f t="shared" si="37"/>
        <v>0</v>
      </c>
      <c r="AJ507" s="34"/>
      <c r="AK507" s="34"/>
      <c r="AU507" s="34"/>
      <c r="AV507" s="34"/>
    </row>
    <row r="508" spans="31:48" ht="16" x14ac:dyDescent="0.4">
      <c r="AE508" s="93">
        <f t="shared" si="35"/>
        <v>0</v>
      </c>
      <c r="AF508" s="16"/>
      <c r="AG508" s="103">
        <f t="shared" si="36"/>
        <v>0</v>
      </c>
      <c r="AH508" s="37">
        <f t="shared" si="37"/>
        <v>0</v>
      </c>
      <c r="AJ508" s="34"/>
      <c r="AK508" s="34"/>
      <c r="AU508" s="34"/>
      <c r="AV508" s="34"/>
    </row>
    <row r="509" spans="31:48" ht="16" x14ac:dyDescent="0.4">
      <c r="AE509" s="93">
        <f t="shared" si="35"/>
        <v>0</v>
      </c>
      <c r="AF509" s="16"/>
      <c r="AG509" s="103">
        <f t="shared" si="36"/>
        <v>0</v>
      </c>
      <c r="AH509" s="37">
        <f t="shared" si="37"/>
        <v>0</v>
      </c>
      <c r="AJ509" s="34"/>
      <c r="AK509" s="34"/>
      <c r="AU509" s="34"/>
      <c r="AV509" s="34"/>
    </row>
    <row r="510" spans="31:48" ht="16" x14ac:dyDescent="0.4">
      <c r="AE510" s="93">
        <f t="shared" si="35"/>
        <v>0</v>
      </c>
      <c r="AF510" s="16"/>
      <c r="AG510" s="103">
        <f t="shared" si="36"/>
        <v>0</v>
      </c>
      <c r="AH510" s="37">
        <f t="shared" si="37"/>
        <v>0</v>
      </c>
      <c r="AJ510" s="34"/>
      <c r="AK510" s="34"/>
      <c r="AU510" s="34"/>
      <c r="AV510" s="34"/>
    </row>
    <row r="511" spans="31:48" ht="16" x14ac:dyDescent="0.4">
      <c r="AE511" s="93">
        <f t="shared" si="35"/>
        <v>0</v>
      </c>
      <c r="AF511" s="16"/>
      <c r="AG511" s="103">
        <f t="shared" si="36"/>
        <v>0</v>
      </c>
      <c r="AH511" s="37">
        <f t="shared" si="37"/>
        <v>0</v>
      </c>
      <c r="AJ511" s="34"/>
      <c r="AK511" s="34"/>
      <c r="AU511" s="34"/>
      <c r="AV511" s="34"/>
    </row>
    <row r="512" spans="31:48" ht="16" x14ac:dyDescent="0.4">
      <c r="AE512" s="93">
        <f t="shared" si="35"/>
        <v>0</v>
      </c>
      <c r="AF512" s="16"/>
      <c r="AG512" s="103">
        <f t="shared" si="36"/>
        <v>0</v>
      </c>
      <c r="AH512" s="37">
        <f t="shared" si="37"/>
        <v>0</v>
      </c>
      <c r="AJ512" s="34"/>
      <c r="AK512" s="34"/>
      <c r="AU512" s="34"/>
      <c r="AV512" s="34"/>
    </row>
    <row r="513" spans="31:48" ht="16" x14ac:dyDescent="0.4">
      <c r="AE513" s="93">
        <f t="shared" si="35"/>
        <v>0</v>
      </c>
      <c r="AF513" s="16"/>
      <c r="AG513" s="103">
        <f t="shared" si="36"/>
        <v>0</v>
      </c>
      <c r="AH513" s="37">
        <f t="shared" si="37"/>
        <v>0</v>
      </c>
      <c r="AJ513" s="34"/>
      <c r="AK513" s="34"/>
      <c r="AU513" s="34"/>
      <c r="AV513" s="34"/>
    </row>
    <row r="514" spans="31:48" ht="16" x14ac:dyDescent="0.4">
      <c r="AE514" s="93">
        <f t="shared" ref="AE514:AE577" si="38">AD514/1000</f>
        <v>0</v>
      </c>
      <c r="AF514" s="16"/>
      <c r="AG514" s="103">
        <f t="shared" ref="AG514:AG577" si="39">IF($AF514&gt;14,14,$AF514)</f>
        <v>0</v>
      </c>
      <c r="AH514" s="37">
        <f t="shared" ref="AH514:AH577" si="40">AE514*AG514/14</f>
        <v>0</v>
      </c>
      <c r="AJ514" s="34"/>
      <c r="AK514" s="34"/>
      <c r="AU514" s="34"/>
      <c r="AV514" s="34"/>
    </row>
    <row r="515" spans="31:48" ht="16" x14ac:dyDescent="0.4">
      <c r="AE515" s="93">
        <f t="shared" si="38"/>
        <v>0</v>
      </c>
      <c r="AF515" s="16"/>
      <c r="AG515" s="103">
        <f t="shared" si="39"/>
        <v>0</v>
      </c>
      <c r="AH515" s="37">
        <f t="shared" si="40"/>
        <v>0</v>
      </c>
      <c r="AJ515" s="34"/>
      <c r="AK515" s="34"/>
      <c r="AU515" s="34"/>
      <c r="AV515" s="34"/>
    </row>
    <row r="516" spans="31:48" ht="16" x14ac:dyDescent="0.4">
      <c r="AE516" s="93">
        <f t="shared" si="38"/>
        <v>0</v>
      </c>
      <c r="AF516" s="16"/>
      <c r="AG516" s="103">
        <f t="shared" si="39"/>
        <v>0</v>
      </c>
      <c r="AH516" s="37">
        <f t="shared" si="40"/>
        <v>0</v>
      </c>
      <c r="AJ516" s="34"/>
      <c r="AK516" s="34"/>
      <c r="AU516" s="34"/>
      <c r="AV516" s="34"/>
    </row>
    <row r="517" spans="31:48" ht="16" x14ac:dyDescent="0.4">
      <c r="AE517" s="93">
        <f t="shared" si="38"/>
        <v>0</v>
      </c>
      <c r="AF517" s="16"/>
      <c r="AG517" s="103">
        <f t="shared" si="39"/>
        <v>0</v>
      </c>
      <c r="AH517" s="37">
        <f t="shared" si="40"/>
        <v>0</v>
      </c>
      <c r="AJ517" s="34"/>
      <c r="AK517" s="34"/>
      <c r="AU517" s="34"/>
      <c r="AV517" s="34"/>
    </row>
    <row r="518" spans="31:48" ht="16" x14ac:dyDescent="0.4">
      <c r="AE518" s="93">
        <f t="shared" si="38"/>
        <v>0</v>
      </c>
      <c r="AF518" s="16"/>
      <c r="AG518" s="103">
        <f t="shared" si="39"/>
        <v>0</v>
      </c>
      <c r="AH518" s="37">
        <f t="shared" si="40"/>
        <v>0</v>
      </c>
      <c r="AJ518" s="34"/>
      <c r="AK518" s="34"/>
      <c r="AU518" s="34"/>
      <c r="AV518" s="34"/>
    </row>
    <row r="519" spans="31:48" ht="16" x14ac:dyDescent="0.4">
      <c r="AE519" s="93">
        <f t="shared" si="38"/>
        <v>0</v>
      </c>
      <c r="AF519" s="16"/>
      <c r="AG519" s="103">
        <f t="shared" si="39"/>
        <v>0</v>
      </c>
      <c r="AH519" s="37">
        <f t="shared" si="40"/>
        <v>0</v>
      </c>
      <c r="AJ519" s="34"/>
      <c r="AK519" s="34"/>
      <c r="AU519" s="34"/>
      <c r="AV519" s="34"/>
    </row>
    <row r="520" spans="31:48" ht="16" x14ac:dyDescent="0.4">
      <c r="AE520" s="93">
        <f t="shared" si="38"/>
        <v>0</v>
      </c>
      <c r="AF520" s="16"/>
      <c r="AG520" s="103">
        <f t="shared" si="39"/>
        <v>0</v>
      </c>
      <c r="AH520" s="37">
        <f t="shared" si="40"/>
        <v>0</v>
      </c>
      <c r="AJ520" s="34"/>
      <c r="AK520" s="34"/>
      <c r="AU520" s="34"/>
      <c r="AV520" s="34"/>
    </row>
    <row r="521" spans="31:48" ht="16" x14ac:dyDescent="0.4">
      <c r="AE521" s="93">
        <f t="shared" si="38"/>
        <v>0</v>
      </c>
      <c r="AF521" s="16"/>
      <c r="AG521" s="103">
        <f t="shared" si="39"/>
        <v>0</v>
      </c>
      <c r="AH521" s="37">
        <f t="shared" si="40"/>
        <v>0</v>
      </c>
      <c r="AJ521" s="34"/>
      <c r="AK521" s="34"/>
      <c r="AU521" s="34"/>
      <c r="AV521" s="34"/>
    </row>
    <row r="522" spans="31:48" ht="16" x14ac:dyDescent="0.4">
      <c r="AE522" s="93">
        <f t="shared" si="38"/>
        <v>0</v>
      </c>
      <c r="AF522" s="16"/>
      <c r="AG522" s="103">
        <f t="shared" si="39"/>
        <v>0</v>
      </c>
      <c r="AH522" s="37">
        <f t="shared" si="40"/>
        <v>0</v>
      </c>
      <c r="AJ522" s="34"/>
      <c r="AK522" s="34"/>
      <c r="AU522" s="34"/>
      <c r="AV522" s="34"/>
    </row>
    <row r="523" spans="31:48" ht="16" x14ac:dyDescent="0.4">
      <c r="AE523" s="93">
        <f t="shared" si="38"/>
        <v>0</v>
      </c>
      <c r="AF523" s="16"/>
      <c r="AG523" s="103">
        <f t="shared" si="39"/>
        <v>0</v>
      </c>
      <c r="AH523" s="37">
        <f t="shared" si="40"/>
        <v>0</v>
      </c>
      <c r="AJ523" s="34"/>
      <c r="AK523" s="34"/>
      <c r="AU523" s="34"/>
      <c r="AV523" s="34"/>
    </row>
    <row r="524" spans="31:48" ht="16" x14ac:dyDescent="0.4">
      <c r="AE524" s="93">
        <f t="shared" si="38"/>
        <v>0</v>
      </c>
      <c r="AF524" s="16"/>
      <c r="AG524" s="103">
        <f t="shared" si="39"/>
        <v>0</v>
      </c>
      <c r="AH524" s="37">
        <f t="shared" si="40"/>
        <v>0</v>
      </c>
      <c r="AJ524" s="34"/>
      <c r="AK524" s="34"/>
      <c r="AU524" s="34"/>
      <c r="AV524" s="34"/>
    </row>
    <row r="525" spans="31:48" ht="16" x14ac:dyDescent="0.4">
      <c r="AE525" s="93">
        <f t="shared" si="38"/>
        <v>0</v>
      </c>
      <c r="AF525" s="16"/>
      <c r="AG525" s="103">
        <f t="shared" si="39"/>
        <v>0</v>
      </c>
      <c r="AH525" s="37">
        <f t="shared" si="40"/>
        <v>0</v>
      </c>
      <c r="AJ525" s="34"/>
      <c r="AK525" s="34"/>
      <c r="AU525" s="34"/>
      <c r="AV525" s="34"/>
    </row>
    <row r="526" spans="31:48" ht="16" x14ac:dyDescent="0.4">
      <c r="AE526" s="93">
        <f t="shared" si="38"/>
        <v>0</v>
      </c>
      <c r="AF526" s="16"/>
      <c r="AG526" s="103">
        <f t="shared" si="39"/>
        <v>0</v>
      </c>
      <c r="AH526" s="37">
        <f t="shared" si="40"/>
        <v>0</v>
      </c>
      <c r="AJ526" s="34"/>
      <c r="AK526" s="34"/>
      <c r="AU526" s="34"/>
      <c r="AV526" s="34"/>
    </row>
    <row r="527" spans="31:48" ht="16" x14ac:dyDescent="0.4">
      <c r="AE527" s="93">
        <f t="shared" si="38"/>
        <v>0</v>
      </c>
      <c r="AF527" s="16"/>
      <c r="AG527" s="103">
        <f t="shared" si="39"/>
        <v>0</v>
      </c>
      <c r="AH527" s="37">
        <f t="shared" si="40"/>
        <v>0</v>
      </c>
      <c r="AJ527" s="34"/>
      <c r="AK527" s="34"/>
      <c r="AU527" s="34"/>
      <c r="AV527" s="34"/>
    </row>
    <row r="528" spans="31:48" ht="16" x14ac:dyDescent="0.4">
      <c r="AE528" s="93">
        <f t="shared" si="38"/>
        <v>0</v>
      </c>
      <c r="AF528" s="16"/>
      <c r="AG528" s="103">
        <f t="shared" si="39"/>
        <v>0</v>
      </c>
      <c r="AH528" s="37">
        <f t="shared" si="40"/>
        <v>0</v>
      </c>
      <c r="AJ528" s="34"/>
      <c r="AK528" s="34"/>
      <c r="AU528" s="34"/>
      <c r="AV528" s="34"/>
    </row>
    <row r="529" spans="31:48" ht="16" x14ac:dyDescent="0.4">
      <c r="AE529" s="93">
        <f t="shared" si="38"/>
        <v>0</v>
      </c>
      <c r="AF529" s="16"/>
      <c r="AG529" s="103">
        <f t="shared" si="39"/>
        <v>0</v>
      </c>
      <c r="AH529" s="37">
        <f t="shared" si="40"/>
        <v>0</v>
      </c>
      <c r="AJ529" s="34"/>
      <c r="AK529" s="34"/>
      <c r="AU529" s="34"/>
      <c r="AV529" s="34"/>
    </row>
    <row r="530" spans="31:48" ht="16" x14ac:dyDescent="0.4">
      <c r="AE530" s="93">
        <f t="shared" si="38"/>
        <v>0</v>
      </c>
      <c r="AF530" s="16"/>
      <c r="AG530" s="103">
        <f t="shared" si="39"/>
        <v>0</v>
      </c>
      <c r="AH530" s="37">
        <f t="shared" si="40"/>
        <v>0</v>
      </c>
      <c r="AJ530" s="34"/>
      <c r="AK530" s="34"/>
      <c r="AU530" s="34"/>
      <c r="AV530" s="34"/>
    </row>
    <row r="531" spans="31:48" ht="16" x14ac:dyDescent="0.4">
      <c r="AE531" s="93">
        <f t="shared" si="38"/>
        <v>0</v>
      </c>
      <c r="AF531" s="16"/>
      <c r="AG531" s="103">
        <f t="shared" si="39"/>
        <v>0</v>
      </c>
      <c r="AH531" s="37">
        <f t="shared" si="40"/>
        <v>0</v>
      </c>
      <c r="AJ531" s="34"/>
      <c r="AK531" s="34"/>
      <c r="AU531" s="34"/>
      <c r="AV531" s="34"/>
    </row>
    <row r="532" spans="31:48" ht="16" x14ac:dyDescent="0.4">
      <c r="AE532" s="93">
        <f t="shared" si="38"/>
        <v>0</v>
      </c>
      <c r="AF532" s="16"/>
      <c r="AG532" s="103">
        <f t="shared" si="39"/>
        <v>0</v>
      </c>
      <c r="AH532" s="37">
        <f t="shared" si="40"/>
        <v>0</v>
      </c>
      <c r="AJ532" s="34"/>
      <c r="AK532" s="34"/>
      <c r="AU532" s="34"/>
      <c r="AV532" s="34"/>
    </row>
    <row r="533" spans="31:48" ht="16" x14ac:dyDescent="0.4">
      <c r="AE533" s="93">
        <f t="shared" si="38"/>
        <v>0</v>
      </c>
      <c r="AF533" s="16"/>
      <c r="AG533" s="103">
        <f t="shared" si="39"/>
        <v>0</v>
      </c>
      <c r="AH533" s="37">
        <f t="shared" si="40"/>
        <v>0</v>
      </c>
      <c r="AJ533" s="34"/>
      <c r="AK533" s="34"/>
      <c r="AU533" s="34"/>
      <c r="AV533" s="34"/>
    </row>
    <row r="534" spans="31:48" ht="16" x14ac:dyDescent="0.4">
      <c r="AE534" s="93">
        <f t="shared" si="38"/>
        <v>0</v>
      </c>
      <c r="AF534" s="16"/>
      <c r="AG534" s="103">
        <f t="shared" si="39"/>
        <v>0</v>
      </c>
      <c r="AH534" s="37">
        <f t="shared" si="40"/>
        <v>0</v>
      </c>
      <c r="AJ534" s="34"/>
      <c r="AK534" s="34"/>
      <c r="AU534" s="34"/>
      <c r="AV534" s="34"/>
    </row>
    <row r="535" spans="31:48" ht="16" x14ac:dyDescent="0.4">
      <c r="AE535" s="93">
        <f t="shared" si="38"/>
        <v>0</v>
      </c>
      <c r="AF535" s="16"/>
      <c r="AG535" s="103">
        <f t="shared" si="39"/>
        <v>0</v>
      </c>
      <c r="AH535" s="37">
        <f t="shared" si="40"/>
        <v>0</v>
      </c>
      <c r="AJ535" s="34"/>
      <c r="AK535" s="34"/>
      <c r="AU535" s="34"/>
      <c r="AV535" s="34"/>
    </row>
    <row r="536" spans="31:48" ht="16" x14ac:dyDescent="0.4">
      <c r="AE536" s="93">
        <f t="shared" si="38"/>
        <v>0</v>
      </c>
      <c r="AF536" s="16"/>
      <c r="AG536" s="103">
        <f t="shared" si="39"/>
        <v>0</v>
      </c>
      <c r="AH536" s="37">
        <f t="shared" si="40"/>
        <v>0</v>
      </c>
      <c r="AJ536" s="34"/>
      <c r="AK536" s="34"/>
      <c r="AU536" s="34"/>
      <c r="AV536" s="34"/>
    </row>
    <row r="537" spans="31:48" ht="16" x14ac:dyDescent="0.4">
      <c r="AE537" s="93">
        <f t="shared" si="38"/>
        <v>0</v>
      </c>
      <c r="AF537" s="16"/>
      <c r="AG537" s="103">
        <f t="shared" si="39"/>
        <v>0</v>
      </c>
      <c r="AH537" s="37">
        <f t="shared" si="40"/>
        <v>0</v>
      </c>
      <c r="AJ537" s="34"/>
      <c r="AK537" s="34"/>
      <c r="AU537" s="34"/>
      <c r="AV537" s="34"/>
    </row>
    <row r="538" spans="31:48" ht="16" x14ac:dyDescent="0.4">
      <c r="AE538" s="93">
        <f t="shared" si="38"/>
        <v>0</v>
      </c>
      <c r="AF538" s="16"/>
      <c r="AG538" s="103">
        <f t="shared" si="39"/>
        <v>0</v>
      </c>
      <c r="AH538" s="37">
        <f t="shared" si="40"/>
        <v>0</v>
      </c>
      <c r="AJ538" s="34"/>
      <c r="AK538" s="34"/>
      <c r="AU538" s="34"/>
      <c r="AV538" s="34"/>
    </row>
    <row r="539" spans="31:48" ht="16" x14ac:dyDescent="0.4">
      <c r="AE539" s="93">
        <f t="shared" si="38"/>
        <v>0</v>
      </c>
      <c r="AF539" s="16"/>
      <c r="AG539" s="103">
        <f t="shared" si="39"/>
        <v>0</v>
      </c>
      <c r="AH539" s="37">
        <f t="shared" si="40"/>
        <v>0</v>
      </c>
      <c r="AJ539" s="34"/>
      <c r="AK539" s="34"/>
      <c r="AU539" s="34"/>
      <c r="AV539" s="34"/>
    </row>
    <row r="540" spans="31:48" ht="16" x14ac:dyDescent="0.4">
      <c r="AE540" s="93">
        <f t="shared" si="38"/>
        <v>0</v>
      </c>
      <c r="AF540" s="16"/>
      <c r="AG540" s="103">
        <f t="shared" si="39"/>
        <v>0</v>
      </c>
      <c r="AH540" s="37">
        <f t="shared" si="40"/>
        <v>0</v>
      </c>
      <c r="AJ540" s="34"/>
      <c r="AK540" s="34"/>
      <c r="AU540" s="34"/>
      <c r="AV540" s="34"/>
    </row>
    <row r="541" spans="31:48" ht="16" x14ac:dyDescent="0.4">
      <c r="AE541" s="93">
        <f t="shared" si="38"/>
        <v>0</v>
      </c>
      <c r="AF541" s="16"/>
      <c r="AG541" s="103">
        <f t="shared" si="39"/>
        <v>0</v>
      </c>
      <c r="AH541" s="37">
        <f t="shared" si="40"/>
        <v>0</v>
      </c>
      <c r="AJ541" s="34"/>
      <c r="AK541" s="34"/>
      <c r="AU541" s="34"/>
      <c r="AV541" s="34"/>
    </row>
    <row r="542" spans="31:48" ht="16" x14ac:dyDescent="0.4">
      <c r="AE542" s="93">
        <f t="shared" si="38"/>
        <v>0</v>
      </c>
      <c r="AF542" s="16"/>
      <c r="AG542" s="103">
        <f t="shared" si="39"/>
        <v>0</v>
      </c>
      <c r="AH542" s="37">
        <f t="shared" si="40"/>
        <v>0</v>
      </c>
      <c r="AJ542" s="34"/>
      <c r="AK542" s="34"/>
      <c r="AU542" s="34"/>
      <c r="AV542" s="34"/>
    </row>
    <row r="543" spans="31:48" ht="16" x14ac:dyDescent="0.4">
      <c r="AE543" s="93">
        <f t="shared" si="38"/>
        <v>0</v>
      </c>
      <c r="AF543" s="16"/>
      <c r="AG543" s="103">
        <f t="shared" si="39"/>
        <v>0</v>
      </c>
      <c r="AH543" s="37">
        <f t="shared" si="40"/>
        <v>0</v>
      </c>
      <c r="AJ543" s="34"/>
      <c r="AK543" s="34"/>
      <c r="AU543" s="34"/>
      <c r="AV543" s="34"/>
    </row>
    <row r="544" spans="31:48" ht="16" x14ac:dyDescent="0.4">
      <c r="AE544" s="93">
        <f t="shared" si="38"/>
        <v>0</v>
      </c>
      <c r="AF544" s="16"/>
      <c r="AG544" s="103">
        <f t="shared" si="39"/>
        <v>0</v>
      </c>
      <c r="AH544" s="37">
        <f t="shared" si="40"/>
        <v>0</v>
      </c>
      <c r="AJ544" s="34"/>
      <c r="AK544" s="34"/>
      <c r="AU544" s="34"/>
      <c r="AV544" s="34"/>
    </row>
    <row r="545" spans="31:48" ht="16" x14ac:dyDescent="0.4">
      <c r="AE545" s="93">
        <f t="shared" si="38"/>
        <v>0</v>
      </c>
      <c r="AF545" s="16"/>
      <c r="AG545" s="103">
        <f t="shared" si="39"/>
        <v>0</v>
      </c>
      <c r="AH545" s="37">
        <f t="shared" si="40"/>
        <v>0</v>
      </c>
      <c r="AJ545" s="34"/>
      <c r="AK545" s="34"/>
      <c r="AU545" s="34"/>
      <c r="AV545" s="34"/>
    </row>
    <row r="546" spans="31:48" ht="16" x14ac:dyDescent="0.4">
      <c r="AE546" s="93">
        <f t="shared" si="38"/>
        <v>0</v>
      </c>
      <c r="AF546" s="16"/>
      <c r="AG546" s="103">
        <f t="shared" si="39"/>
        <v>0</v>
      </c>
      <c r="AH546" s="37">
        <f t="shared" si="40"/>
        <v>0</v>
      </c>
      <c r="AJ546" s="34"/>
      <c r="AK546" s="34"/>
      <c r="AU546" s="34"/>
      <c r="AV546" s="34"/>
    </row>
    <row r="547" spans="31:48" ht="16" x14ac:dyDescent="0.4">
      <c r="AE547" s="93">
        <f t="shared" si="38"/>
        <v>0</v>
      </c>
      <c r="AF547" s="16"/>
      <c r="AG547" s="103">
        <f t="shared" si="39"/>
        <v>0</v>
      </c>
      <c r="AH547" s="37">
        <f t="shared" si="40"/>
        <v>0</v>
      </c>
      <c r="AJ547" s="34"/>
      <c r="AK547" s="34"/>
      <c r="AU547" s="34"/>
      <c r="AV547" s="34"/>
    </row>
    <row r="548" spans="31:48" ht="16" x14ac:dyDescent="0.4">
      <c r="AE548" s="93">
        <f t="shared" si="38"/>
        <v>0</v>
      </c>
      <c r="AF548" s="16"/>
      <c r="AG548" s="103">
        <f t="shared" si="39"/>
        <v>0</v>
      </c>
      <c r="AH548" s="37">
        <f t="shared" si="40"/>
        <v>0</v>
      </c>
      <c r="AJ548" s="34"/>
      <c r="AK548" s="34"/>
      <c r="AU548" s="34"/>
      <c r="AV548" s="34"/>
    </row>
    <row r="549" spans="31:48" ht="16" x14ac:dyDescent="0.4">
      <c r="AE549" s="93">
        <f t="shared" si="38"/>
        <v>0</v>
      </c>
      <c r="AF549" s="16"/>
      <c r="AG549" s="103">
        <f t="shared" si="39"/>
        <v>0</v>
      </c>
      <c r="AH549" s="37">
        <f t="shared" si="40"/>
        <v>0</v>
      </c>
      <c r="AJ549" s="34"/>
      <c r="AK549" s="34"/>
      <c r="AU549" s="34"/>
      <c r="AV549" s="34"/>
    </row>
    <row r="550" spans="31:48" ht="16" x14ac:dyDescent="0.4">
      <c r="AE550" s="93">
        <f t="shared" si="38"/>
        <v>0</v>
      </c>
      <c r="AF550" s="16"/>
      <c r="AG550" s="103">
        <f t="shared" si="39"/>
        <v>0</v>
      </c>
      <c r="AH550" s="37">
        <f t="shared" si="40"/>
        <v>0</v>
      </c>
      <c r="AJ550" s="34"/>
      <c r="AK550" s="34"/>
      <c r="AU550" s="34"/>
      <c r="AV550" s="34"/>
    </row>
    <row r="551" spans="31:48" ht="16" x14ac:dyDescent="0.4">
      <c r="AE551" s="93">
        <f t="shared" si="38"/>
        <v>0</v>
      </c>
      <c r="AF551" s="16"/>
      <c r="AG551" s="103">
        <f t="shared" si="39"/>
        <v>0</v>
      </c>
      <c r="AH551" s="37">
        <f t="shared" si="40"/>
        <v>0</v>
      </c>
      <c r="AJ551" s="34"/>
      <c r="AK551" s="34"/>
      <c r="AU551" s="34"/>
      <c r="AV551" s="34"/>
    </row>
    <row r="552" spans="31:48" ht="16" x14ac:dyDescent="0.4">
      <c r="AE552" s="93">
        <f t="shared" si="38"/>
        <v>0</v>
      </c>
      <c r="AF552" s="16"/>
      <c r="AG552" s="103">
        <f t="shared" si="39"/>
        <v>0</v>
      </c>
      <c r="AH552" s="37">
        <f t="shared" si="40"/>
        <v>0</v>
      </c>
      <c r="AJ552" s="34"/>
      <c r="AK552" s="34"/>
      <c r="AU552" s="34"/>
      <c r="AV552" s="34"/>
    </row>
    <row r="553" spans="31:48" ht="16" x14ac:dyDescent="0.4">
      <c r="AE553" s="93">
        <f t="shared" si="38"/>
        <v>0</v>
      </c>
      <c r="AF553" s="16"/>
      <c r="AG553" s="103">
        <f t="shared" si="39"/>
        <v>0</v>
      </c>
      <c r="AH553" s="37">
        <f t="shared" si="40"/>
        <v>0</v>
      </c>
      <c r="AJ553" s="34"/>
      <c r="AK553" s="34"/>
      <c r="AU553" s="34"/>
      <c r="AV553" s="34"/>
    </row>
    <row r="554" spans="31:48" ht="16" x14ac:dyDescent="0.4">
      <c r="AE554" s="93">
        <f t="shared" si="38"/>
        <v>0</v>
      </c>
      <c r="AF554" s="16"/>
      <c r="AG554" s="103">
        <f t="shared" si="39"/>
        <v>0</v>
      </c>
      <c r="AH554" s="37">
        <f t="shared" si="40"/>
        <v>0</v>
      </c>
      <c r="AJ554" s="34"/>
      <c r="AK554" s="34"/>
      <c r="AU554" s="34"/>
      <c r="AV554" s="34"/>
    </row>
    <row r="555" spans="31:48" ht="16" x14ac:dyDescent="0.4">
      <c r="AE555" s="93">
        <f t="shared" si="38"/>
        <v>0</v>
      </c>
      <c r="AF555" s="16"/>
      <c r="AG555" s="103">
        <f t="shared" si="39"/>
        <v>0</v>
      </c>
      <c r="AH555" s="37">
        <f t="shared" si="40"/>
        <v>0</v>
      </c>
      <c r="AJ555" s="34"/>
      <c r="AK555" s="34"/>
      <c r="AU555" s="34"/>
      <c r="AV555" s="34"/>
    </row>
    <row r="556" spans="31:48" ht="16" x14ac:dyDescent="0.4">
      <c r="AE556" s="93">
        <f t="shared" si="38"/>
        <v>0</v>
      </c>
      <c r="AF556" s="16"/>
      <c r="AG556" s="103">
        <f t="shared" si="39"/>
        <v>0</v>
      </c>
      <c r="AH556" s="37">
        <f t="shared" si="40"/>
        <v>0</v>
      </c>
      <c r="AJ556" s="34"/>
      <c r="AK556" s="34"/>
      <c r="AU556" s="34"/>
      <c r="AV556" s="34"/>
    </row>
    <row r="557" spans="31:48" ht="16" x14ac:dyDescent="0.4">
      <c r="AE557" s="93">
        <f t="shared" si="38"/>
        <v>0</v>
      </c>
      <c r="AF557" s="16"/>
      <c r="AG557" s="103">
        <f t="shared" si="39"/>
        <v>0</v>
      </c>
      <c r="AH557" s="37">
        <f t="shared" si="40"/>
        <v>0</v>
      </c>
      <c r="AJ557" s="34"/>
      <c r="AK557" s="34"/>
      <c r="AU557" s="34"/>
      <c r="AV557" s="34"/>
    </row>
    <row r="558" spans="31:48" ht="16" x14ac:dyDescent="0.4">
      <c r="AE558" s="93">
        <f t="shared" si="38"/>
        <v>0</v>
      </c>
      <c r="AF558" s="16"/>
      <c r="AG558" s="103">
        <f t="shared" si="39"/>
        <v>0</v>
      </c>
      <c r="AH558" s="37">
        <f t="shared" si="40"/>
        <v>0</v>
      </c>
      <c r="AJ558" s="34"/>
      <c r="AK558" s="34"/>
      <c r="AU558" s="34"/>
      <c r="AV558" s="34"/>
    </row>
    <row r="559" spans="31:48" ht="16" x14ac:dyDescent="0.4">
      <c r="AE559" s="93">
        <f t="shared" si="38"/>
        <v>0</v>
      </c>
      <c r="AF559" s="16"/>
      <c r="AG559" s="103">
        <f t="shared" si="39"/>
        <v>0</v>
      </c>
      <c r="AH559" s="37">
        <f t="shared" si="40"/>
        <v>0</v>
      </c>
      <c r="AJ559" s="34"/>
      <c r="AK559" s="34"/>
      <c r="AU559" s="34"/>
      <c r="AV559" s="34"/>
    </row>
    <row r="560" spans="31:48" ht="16" x14ac:dyDescent="0.4">
      <c r="AE560" s="93">
        <f t="shared" si="38"/>
        <v>0</v>
      </c>
      <c r="AF560" s="16"/>
      <c r="AG560" s="103">
        <f t="shared" si="39"/>
        <v>0</v>
      </c>
      <c r="AH560" s="37">
        <f t="shared" si="40"/>
        <v>0</v>
      </c>
      <c r="AJ560" s="34"/>
      <c r="AK560" s="34"/>
      <c r="AU560" s="34"/>
      <c r="AV560" s="34"/>
    </row>
    <row r="561" spans="31:48" ht="16" x14ac:dyDescent="0.4">
      <c r="AE561" s="93">
        <f t="shared" si="38"/>
        <v>0</v>
      </c>
      <c r="AF561" s="16"/>
      <c r="AG561" s="103">
        <f t="shared" si="39"/>
        <v>0</v>
      </c>
      <c r="AH561" s="37">
        <f t="shared" si="40"/>
        <v>0</v>
      </c>
      <c r="AJ561" s="34"/>
      <c r="AK561" s="34"/>
      <c r="AU561" s="34"/>
      <c r="AV561" s="34"/>
    </row>
    <row r="562" spans="31:48" ht="16" x14ac:dyDescent="0.4">
      <c r="AE562" s="93">
        <f t="shared" si="38"/>
        <v>0</v>
      </c>
      <c r="AF562" s="16"/>
      <c r="AG562" s="103">
        <f t="shared" si="39"/>
        <v>0</v>
      </c>
      <c r="AH562" s="37">
        <f t="shared" si="40"/>
        <v>0</v>
      </c>
      <c r="AJ562" s="34"/>
      <c r="AK562" s="34"/>
      <c r="AU562" s="34"/>
      <c r="AV562" s="34"/>
    </row>
    <row r="563" spans="31:48" ht="16" x14ac:dyDescent="0.4">
      <c r="AE563" s="93">
        <f t="shared" si="38"/>
        <v>0</v>
      </c>
      <c r="AF563" s="16"/>
      <c r="AG563" s="103">
        <f t="shared" si="39"/>
        <v>0</v>
      </c>
      <c r="AH563" s="37">
        <f t="shared" si="40"/>
        <v>0</v>
      </c>
      <c r="AJ563" s="34"/>
      <c r="AK563" s="34"/>
      <c r="AU563" s="34"/>
      <c r="AV563" s="34"/>
    </row>
    <row r="564" spans="31:48" ht="16" x14ac:dyDescent="0.4">
      <c r="AE564" s="93">
        <f t="shared" si="38"/>
        <v>0</v>
      </c>
      <c r="AF564" s="16"/>
      <c r="AG564" s="103">
        <f t="shared" si="39"/>
        <v>0</v>
      </c>
      <c r="AH564" s="37">
        <f t="shared" si="40"/>
        <v>0</v>
      </c>
      <c r="AJ564" s="34"/>
      <c r="AK564" s="34"/>
      <c r="AU564" s="34"/>
      <c r="AV564" s="34"/>
    </row>
    <row r="565" spans="31:48" ht="16" x14ac:dyDescent="0.4">
      <c r="AE565" s="93">
        <f t="shared" si="38"/>
        <v>0</v>
      </c>
      <c r="AF565" s="16"/>
      <c r="AG565" s="103">
        <f t="shared" si="39"/>
        <v>0</v>
      </c>
      <c r="AH565" s="37">
        <f t="shared" si="40"/>
        <v>0</v>
      </c>
      <c r="AJ565" s="34"/>
      <c r="AK565" s="34"/>
      <c r="AU565" s="34"/>
      <c r="AV565" s="34"/>
    </row>
    <row r="566" spans="31:48" ht="16" x14ac:dyDescent="0.4">
      <c r="AE566" s="93">
        <f t="shared" si="38"/>
        <v>0</v>
      </c>
      <c r="AF566" s="16"/>
      <c r="AG566" s="103">
        <f t="shared" si="39"/>
        <v>0</v>
      </c>
      <c r="AH566" s="37">
        <f t="shared" si="40"/>
        <v>0</v>
      </c>
      <c r="AJ566" s="34"/>
      <c r="AK566" s="34"/>
      <c r="AU566" s="34"/>
      <c r="AV566" s="34"/>
    </row>
    <row r="567" spans="31:48" ht="16" x14ac:dyDescent="0.4">
      <c r="AE567" s="93">
        <f t="shared" si="38"/>
        <v>0</v>
      </c>
      <c r="AF567" s="16"/>
      <c r="AG567" s="103">
        <f t="shared" si="39"/>
        <v>0</v>
      </c>
      <c r="AH567" s="37">
        <f t="shared" si="40"/>
        <v>0</v>
      </c>
      <c r="AJ567" s="34"/>
      <c r="AK567" s="34"/>
      <c r="AU567" s="34"/>
      <c r="AV567" s="34"/>
    </row>
    <row r="568" spans="31:48" ht="16" x14ac:dyDescent="0.4">
      <c r="AE568" s="93">
        <f t="shared" si="38"/>
        <v>0</v>
      </c>
      <c r="AF568" s="16"/>
      <c r="AG568" s="103">
        <f t="shared" si="39"/>
        <v>0</v>
      </c>
      <c r="AH568" s="37">
        <f t="shared" si="40"/>
        <v>0</v>
      </c>
      <c r="AJ568" s="34"/>
      <c r="AK568" s="34"/>
      <c r="AU568" s="34"/>
      <c r="AV568" s="34"/>
    </row>
    <row r="569" spans="31:48" ht="16" x14ac:dyDescent="0.4">
      <c r="AE569" s="93">
        <f t="shared" si="38"/>
        <v>0</v>
      </c>
      <c r="AF569" s="16"/>
      <c r="AG569" s="103">
        <f t="shared" si="39"/>
        <v>0</v>
      </c>
      <c r="AH569" s="37">
        <f t="shared" si="40"/>
        <v>0</v>
      </c>
      <c r="AJ569" s="34"/>
      <c r="AK569" s="34"/>
      <c r="AU569" s="34"/>
      <c r="AV569" s="34"/>
    </row>
    <row r="570" spans="31:48" ht="16" x14ac:dyDescent="0.4">
      <c r="AE570" s="93">
        <f t="shared" si="38"/>
        <v>0</v>
      </c>
      <c r="AF570" s="16"/>
      <c r="AG570" s="103">
        <f t="shared" si="39"/>
        <v>0</v>
      </c>
      <c r="AH570" s="37">
        <f t="shared" si="40"/>
        <v>0</v>
      </c>
      <c r="AJ570" s="34"/>
      <c r="AK570" s="34"/>
      <c r="AU570" s="34"/>
      <c r="AV570" s="34"/>
    </row>
    <row r="571" spans="31:48" ht="16" x14ac:dyDescent="0.4">
      <c r="AE571" s="93">
        <f t="shared" si="38"/>
        <v>0</v>
      </c>
      <c r="AF571" s="16"/>
      <c r="AG571" s="103">
        <f t="shared" si="39"/>
        <v>0</v>
      </c>
      <c r="AH571" s="37">
        <f t="shared" si="40"/>
        <v>0</v>
      </c>
      <c r="AJ571" s="34"/>
      <c r="AK571" s="34"/>
      <c r="AU571" s="34"/>
      <c r="AV571" s="34"/>
    </row>
    <row r="572" spans="31:48" ht="16" x14ac:dyDescent="0.4">
      <c r="AE572" s="93">
        <f t="shared" si="38"/>
        <v>0</v>
      </c>
      <c r="AF572" s="16"/>
      <c r="AG572" s="103">
        <f t="shared" si="39"/>
        <v>0</v>
      </c>
      <c r="AH572" s="37">
        <f t="shared" si="40"/>
        <v>0</v>
      </c>
      <c r="AJ572" s="34"/>
      <c r="AK572" s="34"/>
      <c r="AU572" s="34"/>
      <c r="AV572" s="34"/>
    </row>
    <row r="573" spans="31:48" ht="16" x14ac:dyDescent="0.4">
      <c r="AE573" s="93">
        <f t="shared" si="38"/>
        <v>0</v>
      </c>
      <c r="AF573" s="16"/>
      <c r="AG573" s="103">
        <f t="shared" si="39"/>
        <v>0</v>
      </c>
      <c r="AH573" s="37">
        <f t="shared" si="40"/>
        <v>0</v>
      </c>
      <c r="AJ573" s="34"/>
      <c r="AK573" s="34"/>
      <c r="AU573" s="34"/>
      <c r="AV573" s="34"/>
    </row>
    <row r="574" spans="31:48" ht="16" x14ac:dyDescent="0.4">
      <c r="AE574" s="93">
        <f t="shared" si="38"/>
        <v>0</v>
      </c>
      <c r="AF574" s="16"/>
      <c r="AG574" s="103">
        <f t="shared" si="39"/>
        <v>0</v>
      </c>
      <c r="AH574" s="37">
        <f t="shared" si="40"/>
        <v>0</v>
      </c>
      <c r="AJ574" s="34"/>
      <c r="AK574" s="34"/>
      <c r="AU574" s="34"/>
      <c r="AV574" s="34"/>
    </row>
    <row r="575" spans="31:48" ht="16" x14ac:dyDescent="0.4">
      <c r="AE575" s="93">
        <f t="shared" si="38"/>
        <v>0</v>
      </c>
      <c r="AF575" s="16"/>
      <c r="AG575" s="103">
        <f t="shared" si="39"/>
        <v>0</v>
      </c>
      <c r="AH575" s="37">
        <f t="shared" si="40"/>
        <v>0</v>
      </c>
      <c r="AJ575" s="34"/>
      <c r="AK575" s="34"/>
      <c r="AU575" s="34"/>
      <c r="AV575" s="34"/>
    </row>
    <row r="576" spans="31:48" ht="16" x14ac:dyDescent="0.4">
      <c r="AE576" s="93">
        <f t="shared" si="38"/>
        <v>0</v>
      </c>
      <c r="AF576" s="16"/>
      <c r="AG576" s="103">
        <f t="shared" si="39"/>
        <v>0</v>
      </c>
      <c r="AH576" s="37">
        <f t="shared" si="40"/>
        <v>0</v>
      </c>
      <c r="AJ576" s="34"/>
      <c r="AK576" s="34"/>
      <c r="AU576" s="34"/>
      <c r="AV576" s="34"/>
    </row>
    <row r="577" spans="31:48" ht="16" x14ac:dyDescent="0.4">
      <c r="AE577" s="93">
        <f t="shared" si="38"/>
        <v>0</v>
      </c>
      <c r="AF577" s="16"/>
      <c r="AG577" s="103">
        <f t="shared" si="39"/>
        <v>0</v>
      </c>
      <c r="AH577" s="37">
        <f t="shared" si="40"/>
        <v>0</v>
      </c>
      <c r="AJ577" s="34"/>
      <c r="AK577" s="34"/>
      <c r="AU577" s="34"/>
      <c r="AV577" s="34"/>
    </row>
    <row r="578" spans="31:48" ht="16" x14ac:dyDescent="0.4">
      <c r="AE578" s="93">
        <f t="shared" ref="AE578:AE641" si="41">AD578/1000</f>
        <v>0</v>
      </c>
      <c r="AF578" s="16"/>
      <c r="AG578" s="103">
        <f t="shared" ref="AG578:AG641" si="42">IF($AF578&gt;14,14,$AF578)</f>
        <v>0</v>
      </c>
      <c r="AH578" s="37">
        <f t="shared" ref="AH578:AH593" si="43">AE578*AG578/14</f>
        <v>0</v>
      </c>
      <c r="AJ578" s="34"/>
      <c r="AK578" s="34"/>
      <c r="AU578" s="34"/>
      <c r="AV578" s="34"/>
    </row>
    <row r="579" spans="31:48" ht="16" x14ac:dyDescent="0.4">
      <c r="AE579" s="93">
        <f t="shared" si="41"/>
        <v>0</v>
      </c>
      <c r="AF579" s="16"/>
      <c r="AG579" s="103">
        <f t="shared" si="42"/>
        <v>0</v>
      </c>
      <c r="AH579" s="37">
        <f t="shared" si="43"/>
        <v>0</v>
      </c>
      <c r="AJ579" s="34"/>
      <c r="AK579" s="34"/>
      <c r="AU579" s="34"/>
      <c r="AV579" s="34"/>
    </row>
    <row r="580" spans="31:48" ht="16" x14ac:dyDescent="0.4">
      <c r="AE580" s="93">
        <f t="shared" si="41"/>
        <v>0</v>
      </c>
      <c r="AF580" s="16"/>
      <c r="AG580" s="103">
        <f t="shared" si="42"/>
        <v>0</v>
      </c>
      <c r="AH580" s="37">
        <f t="shared" si="43"/>
        <v>0</v>
      </c>
      <c r="AJ580" s="34"/>
      <c r="AK580" s="34"/>
      <c r="AU580" s="34"/>
      <c r="AV580" s="34"/>
    </row>
    <row r="581" spans="31:48" ht="16" x14ac:dyDescent="0.4">
      <c r="AE581" s="93">
        <f t="shared" si="41"/>
        <v>0</v>
      </c>
      <c r="AF581" s="16"/>
      <c r="AG581" s="103">
        <f t="shared" si="42"/>
        <v>0</v>
      </c>
      <c r="AH581" s="37">
        <f t="shared" si="43"/>
        <v>0</v>
      </c>
      <c r="AJ581" s="34"/>
      <c r="AK581" s="34"/>
      <c r="AU581" s="34"/>
      <c r="AV581" s="34"/>
    </row>
    <row r="582" spans="31:48" ht="16" x14ac:dyDescent="0.4">
      <c r="AE582" s="93">
        <f t="shared" si="41"/>
        <v>0</v>
      </c>
      <c r="AF582" s="16"/>
      <c r="AG582" s="103">
        <f t="shared" si="42"/>
        <v>0</v>
      </c>
      <c r="AH582" s="37">
        <f t="shared" si="43"/>
        <v>0</v>
      </c>
      <c r="AJ582" s="34"/>
      <c r="AK582" s="34"/>
      <c r="AU582" s="34"/>
      <c r="AV582" s="34"/>
    </row>
    <row r="583" spans="31:48" ht="16" x14ac:dyDescent="0.4">
      <c r="AE583" s="93">
        <f t="shared" si="41"/>
        <v>0</v>
      </c>
      <c r="AF583" s="16"/>
      <c r="AG583" s="103">
        <f t="shared" si="42"/>
        <v>0</v>
      </c>
      <c r="AH583" s="37">
        <f t="shared" si="43"/>
        <v>0</v>
      </c>
      <c r="AJ583" s="34"/>
      <c r="AK583" s="34"/>
      <c r="AU583" s="34"/>
      <c r="AV583" s="34"/>
    </row>
    <row r="584" spans="31:48" ht="16" x14ac:dyDescent="0.4">
      <c r="AE584" s="93">
        <f t="shared" si="41"/>
        <v>0</v>
      </c>
      <c r="AF584" s="16"/>
      <c r="AG584" s="103">
        <f t="shared" si="42"/>
        <v>0</v>
      </c>
      <c r="AH584" s="37">
        <f t="shared" si="43"/>
        <v>0</v>
      </c>
      <c r="AJ584" s="34"/>
      <c r="AK584" s="34"/>
      <c r="AU584" s="34"/>
      <c r="AV584" s="34"/>
    </row>
    <row r="585" spans="31:48" ht="16" x14ac:dyDescent="0.4">
      <c r="AE585" s="93">
        <f t="shared" si="41"/>
        <v>0</v>
      </c>
      <c r="AF585" s="16"/>
      <c r="AG585" s="103">
        <f t="shared" si="42"/>
        <v>0</v>
      </c>
      <c r="AH585" s="37">
        <f t="shared" si="43"/>
        <v>0</v>
      </c>
      <c r="AJ585" s="34"/>
      <c r="AK585" s="34"/>
      <c r="AU585" s="34"/>
      <c r="AV585" s="34"/>
    </row>
    <row r="586" spans="31:48" ht="16" x14ac:dyDescent="0.4">
      <c r="AE586" s="93">
        <f t="shared" si="41"/>
        <v>0</v>
      </c>
      <c r="AF586" s="16"/>
      <c r="AG586" s="103">
        <f t="shared" si="42"/>
        <v>0</v>
      </c>
      <c r="AH586" s="37">
        <f t="shared" si="43"/>
        <v>0</v>
      </c>
      <c r="AJ586" s="34"/>
      <c r="AK586" s="34"/>
      <c r="AU586" s="34"/>
      <c r="AV586" s="34"/>
    </row>
    <row r="587" spans="31:48" ht="16" x14ac:dyDescent="0.4">
      <c r="AE587" s="93">
        <f t="shared" si="41"/>
        <v>0</v>
      </c>
      <c r="AF587" s="16"/>
      <c r="AG587" s="103">
        <f t="shared" si="42"/>
        <v>0</v>
      </c>
      <c r="AH587" s="37">
        <f t="shared" si="43"/>
        <v>0</v>
      </c>
      <c r="AJ587" s="34"/>
      <c r="AK587" s="34"/>
      <c r="AU587" s="34"/>
      <c r="AV587" s="34"/>
    </row>
    <row r="588" spans="31:48" ht="16" x14ac:dyDescent="0.4">
      <c r="AE588" s="93">
        <f t="shared" si="41"/>
        <v>0</v>
      </c>
      <c r="AF588" s="16"/>
      <c r="AG588" s="103">
        <f t="shared" si="42"/>
        <v>0</v>
      </c>
      <c r="AH588" s="37">
        <f t="shared" si="43"/>
        <v>0</v>
      </c>
      <c r="AJ588" s="34"/>
      <c r="AK588" s="34"/>
      <c r="AU588" s="34"/>
      <c r="AV588" s="34"/>
    </row>
    <row r="589" spans="31:48" ht="16" x14ac:dyDescent="0.4">
      <c r="AE589" s="93">
        <f t="shared" si="41"/>
        <v>0</v>
      </c>
      <c r="AF589" s="16"/>
      <c r="AG589" s="103">
        <f t="shared" si="42"/>
        <v>0</v>
      </c>
      <c r="AH589" s="37">
        <f t="shared" si="43"/>
        <v>0</v>
      </c>
      <c r="AJ589" s="34"/>
      <c r="AK589" s="34"/>
      <c r="AU589" s="34"/>
      <c r="AV589" s="34"/>
    </row>
    <row r="590" spans="31:48" ht="16" x14ac:dyDescent="0.4">
      <c r="AE590" s="93">
        <f t="shared" si="41"/>
        <v>0</v>
      </c>
      <c r="AF590" s="16"/>
      <c r="AG590" s="103">
        <f t="shared" si="42"/>
        <v>0</v>
      </c>
      <c r="AH590" s="37">
        <f t="shared" si="43"/>
        <v>0</v>
      </c>
      <c r="AJ590" s="34"/>
      <c r="AK590" s="34"/>
      <c r="AU590" s="34"/>
      <c r="AV590" s="34"/>
    </row>
    <row r="591" spans="31:48" ht="16" x14ac:dyDescent="0.4">
      <c r="AE591" s="93">
        <f t="shared" si="41"/>
        <v>0</v>
      </c>
      <c r="AF591" s="16"/>
      <c r="AG591" s="103">
        <f t="shared" si="42"/>
        <v>0</v>
      </c>
      <c r="AH591" s="37">
        <f t="shared" si="43"/>
        <v>0</v>
      </c>
      <c r="AJ591" s="34"/>
      <c r="AK591" s="34"/>
      <c r="AU591" s="34"/>
      <c r="AV591" s="34"/>
    </row>
    <row r="592" spans="31:48" ht="16" x14ac:dyDescent="0.4">
      <c r="AE592" s="93">
        <f t="shared" si="41"/>
        <v>0</v>
      </c>
      <c r="AF592" s="16"/>
      <c r="AG592" s="103">
        <f t="shared" si="42"/>
        <v>0</v>
      </c>
      <c r="AH592" s="37">
        <f t="shared" si="43"/>
        <v>0</v>
      </c>
      <c r="AJ592" s="34"/>
      <c r="AK592" s="34"/>
      <c r="AU592" s="34"/>
      <c r="AV592" s="34"/>
    </row>
    <row r="593" spans="31:48" ht="16" x14ac:dyDescent="0.4">
      <c r="AE593" s="93">
        <f t="shared" si="41"/>
        <v>0</v>
      </c>
      <c r="AF593" s="16"/>
      <c r="AG593" s="103">
        <f t="shared" si="42"/>
        <v>0</v>
      </c>
      <c r="AH593" s="37">
        <f t="shared" si="43"/>
        <v>0</v>
      </c>
      <c r="AJ593" s="34"/>
      <c r="AK593" s="34"/>
      <c r="AU593" s="34"/>
      <c r="AV593" s="34"/>
    </row>
    <row r="594" spans="31:48" ht="16" x14ac:dyDescent="0.4">
      <c r="AE594" s="93">
        <f t="shared" si="41"/>
        <v>0</v>
      </c>
      <c r="AF594" s="16"/>
      <c r="AG594" s="103">
        <f t="shared" si="42"/>
        <v>0</v>
      </c>
      <c r="AH594" s="37">
        <f t="shared" ref="AH594:AH641" si="44">AE594*AG594/14</f>
        <v>0</v>
      </c>
      <c r="AJ594" s="34"/>
      <c r="AK594" s="34"/>
      <c r="AU594" s="34"/>
      <c r="AV594" s="34"/>
    </row>
    <row r="595" spans="31:48" ht="16" x14ac:dyDescent="0.4">
      <c r="AE595" s="93">
        <f t="shared" si="41"/>
        <v>0</v>
      </c>
      <c r="AF595" s="16"/>
      <c r="AG595" s="103">
        <f t="shared" si="42"/>
        <v>0</v>
      </c>
      <c r="AH595" s="37">
        <f t="shared" si="44"/>
        <v>0</v>
      </c>
      <c r="AJ595" s="34"/>
      <c r="AK595" s="34"/>
      <c r="AU595" s="34"/>
      <c r="AV595" s="34"/>
    </row>
    <row r="596" spans="31:48" ht="16" x14ac:dyDescent="0.4">
      <c r="AE596" s="93">
        <f t="shared" si="41"/>
        <v>0</v>
      </c>
      <c r="AF596" s="16"/>
      <c r="AG596" s="103">
        <f t="shared" si="42"/>
        <v>0</v>
      </c>
      <c r="AH596" s="37">
        <f t="shared" si="44"/>
        <v>0</v>
      </c>
      <c r="AJ596" s="34"/>
      <c r="AK596" s="34"/>
      <c r="AU596" s="34"/>
      <c r="AV596" s="34"/>
    </row>
    <row r="597" spans="31:48" ht="16" x14ac:dyDescent="0.4">
      <c r="AE597" s="93">
        <f t="shared" si="41"/>
        <v>0</v>
      </c>
      <c r="AF597" s="16"/>
      <c r="AG597" s="103">
        <f t="shared" si="42"/>
        <v>0</v>
      </c>
      <c r="AH597" s="37">
        <f t="shared" si="44"/>
        <v>0</v>
      </c>
      <c r="AJ597" s="34"/>
      <c r="AK597" s="34"/>
      <c r="AU597" s="34"/>
      <c r="AV597" s="34"/>
    </row>
    <row r="598" spans="31:48" ht="16" x14ac:dyDescent="0.4">
      <c r="AE598" s="93">
        <f t="shared" si="41"/>
        <v>0</v>
      </c>
      <c r="AF598" s="16"/>
      <c r="AG598" s="103">
        <f t="shared" si="42"/>
        <v>0</v>
      </c>
      <c r="AH598" s="37">
        <f t="shared" si="44"/>
        <v>0</v>
      </c>
      <c r="AJ598" s="34"/>
      <c r="AK598" s="34"/>
      <c r="AU598" s="34"/>
      <c r="AV598" s="34"/>
    </row>
    <row r="599" spans="31:48" ht="16" x14ac:dyDescent="0.4">
      <c r="AE599" s="93">
        <f t="shared" si="41"/>
        <v>0</v>
      </c>
      <c r="AF599" s="16"/>
      <c r="AG599" s="103">
        <f t="shared" si="42"/>
        <v>0</v>
      </c>
      <c r="AH599" s="37">
        <f t="shared" si="44"/>
        <v>0</v>
      </c>
      <c r="AJ599" s="34"/>
      <c r="AK599" s="34"/>
      <c r="AU599" s="34"/>
      <c r="AV599" s="34"/>
    </row>
    <row r="600" spans="31:48" ht="16" x14ac:dyDescent="0.4">
      <c r="AE600" s="93">
        <f t="shared" si="41"/>
        <v>0</v>
      </c>
      <c r="AF600" s="16"/>
      <c r="AG600" s="103">
        <f t="shared" si="42"/>
        <v>0</v>
      </c>
      <c r="AH600" s="37">
        <f t="shared" si="44"/>
        <v>0</v>
      </c>
      <c r="AJ600" s="34"/>
      <c r="AK600" s="34"/>
      <c r="AU600" s="34"/>
      <c r="AV600" s="34"/>
    </row>
    <row r="601" spans="31:48" ht="16" x14ac:dyDescent="0.4">
      <c r="AE601" s="93">
        <f t="shared" si="41"/>
        <v>0</v>
      </c>
      <c r="AF601" s="16"/>
      <c r="AG601" s="103">
        <f t="shared" si="42"/>
        <v>0</v>
      </c>
      <c r="AH601" s="37">
        <f t="shared" si="44"/>
        <v>0</v>
      </c>
      <c r="AJ601" s="34"/>
      <c r="AK601" s="34"/>
      <c r="AU601" s="34"/>
      <c r="AV601" s="34"/>
    </row>
    <row r="602" spans="31:48" ht="16" x14ac:dyDescent="0.4">
      <c r="AE602" s="93">
        <f t="shared" si="41"/>
        <v>0</v>
      </c>
      <c r="AF602" s="16"/>
      <c r="AG602" s="103">
        <f t="shared" si="42"/>
        <v>0</v>
      </c>
      <c r="AH602" s="37">
        <f t="shared" si="44"/>
        <v>0</v>
      </c>
      <c r="AJ602" s="34"/>
      <c r="AK602" s="34"/>
      <c r="AU602" s="34"/>
      <c r="AV602" s="34"/>
    </row>
    <row r="603" spans="31:48" ht="16" x14ac:dyDescent="0.4">
      <c r="AE603" s="93">
        <f t="shared" si="41"/>
        <v>0</v>
      </c>
      <c r="AF603" s="16"/>
      <c r="AG603" s="103">
        <f t="shared" si="42"/>
        <v>0</v>
      </c>
      <c r="AH603" s="37">
        <f t="shared" si="44"/>
        <v>0</v>
      </c>
      <c r="AJ603" s="34"/>
      <c r="AK603" s="34"/>
      <c r="AU603" s="34"/>
      <c r="AV603" s="34"/>
    </row>
    <row r="604" spans="31:48" ht="16" x14ac:dyDescent="0.4">
      <c r="AE604" s="93">
        <f t="shared" si="41"/>
        <v>0</v>
      </c>
      <c r="AF604" s="16"/>
      <c r="AG604" s="103">
        <f t="shared" si="42"/>
        <v>0</v>
      </c>
      <c r="AH604" s="37">
        <f t="shared" si="44"/>
        <v>0</v>
      </c>
      <c r="AJ604" s="34"/>
      <c r="AK604" s="34"/>
      <c r="AU604" s="34"/>
      <c r="AV604" s="34"/>
    </row>
    <row r="605" spans="31:48" ht="16" x14ac:dyDescent="0.4">
      <c r="AE605" s="93">
        <f t="shared" si="41"/>
        <v>0</v>
      </c>
      <c r="AF605" s="16"/>
      <c r="AG605" s="103">
        <f t="shared" si="42"/>
        <v>0</v>
      </c>
      <c r="AH605" s="37">
        <f t="shared" si="44"/>
        <v>0</v>
      </c>
      <c r="AJ605" s="34"/>
      <c r="AK605" s="34"/>
      <c r="AU605" s="34"/>
      <c r="AV605" s="34"/>
    </row>
    <row r="606" spans="31:48" ht="16" x14ac:dyDescent="0.4">
      <c r="AE606" s="93">
        <f t="shared" si="41"/>
        <v>0</v>
      </c>
      <c r="AF606" s="16"/>
      <c r="AG606" s="103">
        <f t="shared" si="42"/>
        <v>0</v>
      </c>
      <c r="AH606" s="37">
        <f t="shared" si="44"/>
        <v>0</v>
      </c>
      <c r="AJ606" s="34"/>
      <c r="AK606" s="34"/>
      <c r="AU606" s="34"/>
      <c r="AV606" s="34"/>
    </row>
    <row r="607" spans="31:48" ht="16" x14ac:dyDescent="0.4">
      <c r="AE607" s="93">
        <f t="shared" si="41"/>
        <v>0</v>
      </c>
      <c r="AF607" s="16"/>
      <c r="AG607" s="103">
        <f t="shared" si="42"/>
        <v>0</v>
      </c>
      <c r="AH607" s="37">
        <f t="shared" si="44"/>
        <v>0</v>
      </c>
      <c r="AJ607" s="34"/>
      <c r="AK607" s="34"/>
      <c r="AU607" s="34"/>
      <c r="AV607" s="34"/>
    </row>
    <row r="608" spans="31:48" ht="16" x14ac:dyDescent="0.4">
      <c r="AE608" s="93">
        <f t="shared" si="41"/>
        <v>0</v>
      </c>
      <c r="AF608" s="16"/>
      <c r="AG608" s="103">
        <f t="shared" si="42"/>
        <v>0</v>
      </c>
      <c r="AH608" s="37">
        <f t="shared" si="44"/>
        <v>0</v>
      </c>
      <c r="AJ608" s="34"/>
      <c r="AK608" s="34"/>
      <c r="AU608" s="34"/>
      <c r="AV608" s="34"/>
    </row>
    <row r="609" spans="31:48" ht="16" x14ac:dyDescent="0.4">
      <c r="AE609" s="93">
        <f t="shared" si="41"/>
        <v>0</v>
      </c>
      <c r="AF609" s="16"/>
      <c r="AG609" s="103">
        <f t="shared" si="42"/>
        <v>0</v>
      </c>
      <c r="AH609" s="37">
        <f t="shared" si="44"/>
        <v>0</v>
      </c>
      <c r="AJ609" s="34"/>
      <c r="AK609" s="34"/>
      <c r="AU609" s="34"/>
      <c r="AV609" s="34"/>
    </row>
    <row r="610" spans="31:48" ht="16" x14ac:dyDescent="0.4">
      <c r="AE610" s="93">
        <f t="shared" si="41"/>
        <v>0</v>
      </c>
      <c r="AF610" s="16"/>
      <c r="AG610" s="103">
        <f t="shared" si="42"/>
        <v>0</v>
      </c>
      <c r="AH610" s="37">
        <f t="shared" si="44"/>
        <v>0</v>
      </c>
      <c r="AJ610" s="34"/>
      <c r="AK610" s="34"/>
      <c r="AU610" s="34"/>
      <c r="AV610" s="34"/>
    </row>
    <row r="611" spans="31:48" ht="16" x14ac:dyDescent="0.4">
      <c r="AE611" s="93">
        <f t="shared" si="41"/>
        <v>0</v>
      </c>
      <c r="AF611" s="16"/>
      <c r="AG611" s="103">
        <f t="shared" si="42"/>
        <v>0</v>
      </c>
      <c r="AH611" s="37">
        <f t="shared" si="44"/>
        <v>0</v>
      </c>
      <c r="AJ611" s="34"/>
      <c r="AK611" s="34"/>
      <c r="AU611" s="34"/>
      <c r="AV611" s="34"/>
    </row>
    <row r="612" spans="31:48" ht="16" x14ac:dyDescent="0.4">
      <c r="AE612" s="93">
        <f t="shared" si="41"/>
        <v>0</v>
      </c>
      <c r="AF612" s="16"/>
      <c r="AG612" s="103">
        <f t="shared" si="42"/>
        <v>0</v>
      </c>
      <c r="AH612" s="37">
        <f t="shared" si="44"/>
        <v>0</v>
      </c>
      <c r="AJ612" s="34"/>
      <c r="AK612" s="34"/>
      <c r="AU612" s="34"/>
      <c r="AV612" s="34"/>
    </row>
    <row r="613" spans="31:48" ht="16" x14ac:dyDescent="0.4">
      <c r="AE613" s="93">
        <f t="shared" si="41"/>
        <v>0</v>
      </c>
      <c r="AF613" s="16"/>
      <c r="AG613" s="103">
        <f t="shared" si="42"/>
        <v>0</v>
      </c>
      <c r="AH613" s="37">
        <f t="shared" si="44"/>
        <v>0</v>
      </c>
      <c r="AJ613" s="34"/>
      <c r="AK613" s="34"/>
      <c r="AU613" s="34"/>
      <c r="AV613" s="34"/>
    </row>
    <row r="614" spans="31:48" ht="16" x14ac:dyDescent="0.4">
      <c r="AE614" s="93">
        <f t="shared" si="41"/>
        <v>0</v>
      </c>
      <c r="AF614" s="16"/>
      <c r="AG614" s="103">
        <f t="shared" si="42"/>
        <v>0</v>
      </c>
      <c r="AH614" s="37">
        <f t="shared" si="44"/>
        <v>0</v>
      </c>
      <c r="AJ614" s="34"/>
      <c r="AK614" s="34"/>
      <c r="AU614" s="34"/>
      <c r="AV614" s="34"/>
    </row>
    <row r="615" spans="31:48" ht="16" x14ac:dyDescent="0.4">
      <c r="AE615" s="93">
        <f t="shared" si="41"/>
        <v>0</v>
      </c>
      <c r="AF615" s="16"/>
      <c r="AG615" s="103">
        <f t="shared" si="42"/>
        <v>0</v>
      </c>
      <c r="AH615" s="37">
        <f t="shared" si="44"/>
        <v>0</v>
      </c>
      <c r="AJ615" s="34"/>
      <c r="AK615" s="34"/>
      <c r="AU615" s="34"/>
      <c r="AV615" s="34"/>
    </row>
    <row r="616" spans="31:48" ht="16" x14ac:dyDescent="0.4">
      <c r="AE616" s="93">
        <f t="shared" si="41"/>
        <v>0</v>
      </c>
      <c r="AF616" s="16"/>
      <c r="AG616" s="103">
        <f t="shared" si="42"/>
        <v>0</v>
      </c>
      <c r="AH616" s="37">
        <f t="shared" si="44"/>
        <v>0</v>
      </c>
      <c r="AJ616" s="34"/>
      <c r="AK616" s="34"/>
      <c r="AU616" s="34"/>
      <c r="AV616" s="34"/>
    </row>
    <row r="617" spans="31:48" ht="16" x14ac:dyDescent="0.4">
      <c r="AE617" s="93">
        <f t="shared" si="41"/>
        <v>0</v>
      </c>
      <c r="AF617" s="16"/>
      <c r="AG617" s="103">
        <f t="shared" si="42"/>
        <v>0</v>
      </c>
      <c r="AH617" s="37">
        <f t="shared" si="44"/>
        <v>0</v>
      </c>
      <c r="AJ617" s="34"/>
      <c r="AK617" s="34"/>
      <c r="AU617" s="34"/>
      <c r="AV617" s="34"/>
    </row>
    <row r="618" spans="31:48" ht="16" x14ac:dyDescent="0.4">
      <c r="AE618" s="93">
        <f t="shared" si="41"/>
        <v>0</v>
      </c>
      <c r="AF618" s="16"/>
      <c r="AG618" s="103">
        <f t="shared" si="42"/>
        <v>0</v>
      </c>
      <c r="AH618" s="37">
        <f t="shared" si="44"/>
        <v>0</v>
      </c>
      <c r="AJ618" s="34"/>
      <c r="AK618" s="34"/>
      <c r="AU618" s="34"/>
      <c r="AV618" s="34"/>
    </row>
    <row r="619" spans="31:48" ht="16" x14ac:dyDescent="0.4">
      <c r="AE619" s="93">
        <f t="shared" si="41"/>
        <v>0</v>
      </c>
      <c r="AF619" s="16"/>
      <c r="AG619" s="103">
        <f t="shared" si="42"/>
        <v>0</v>
      </c>
      <c r="AH619" s="37">
        <f t="shared" si="44"/>
        <v>0</v>
      </c>
      <c r="AJ619" s="34"/>
      <c r="AK619" s="34"/>
      <c r="AU619" s="34"/>
      <c r="AV619" s="34"/>
    </row>
    <row r="620" spans="31:48" ht="16" x14ac:dyDescent="0.4">
      <c r="AE620" s="93">
        <f t="shared" si="41"/>
        <v>0</v>
      </c>
      <c r="AF620" s="16"/>
      <c r="AG620" s="103">
        <f t="shared" si="42"/>
        <v>0</v>
      </c>
      <c r="AH620" s="37">
        <f t="shared" si="44"/>
        <v>0</v>
      </c>
      <c r="AJ620" s="34"/>
      <c r="AK620" s="34"/>
      <c r="AU620" s="34"/>
      <c r="AV620" s="34"/>
    </row>
    <row r="621" spans="31:48" ht="16" x14ac:dyDescent="0.4">
      <c r="AE621" s="93">
        <f t="shared" si="41"/>
        <v>0</v>
      </c>
      <c r="AF621" s="16"/>
      <c r="AG621" s="103">
        <f t="shared" si="42"/>
        <v>0</v>
      </c>
      <c r="AH621" s="37">
        <f t="shared" si="44"/>
        <v>0</v>
      </c>
      <c r="AJ621" s="34"/>
      <c r="AK621" s="34"/>
      <c r="AU621" s="34"/>
      <c r="AV621" s="34"/>
    </row>
    <row r="622" spans="31:48" ht="16" x14ac:dyDescent="0.4">
      <c r="AE622" s="93">
        <f t="shared" si="41"/>
        <v>0</v>
      </c>
      <c r="AF622" s="16"/>
      <c r="AG622" s="103">
        <f t="shared" si="42"/>
        <v>0</v>
      </c>
      <c r="AH622" s="37">
        <f t="shared" si="44"/>
        <v>0</v>
      </c>
      <c r="AJ622" s="34"/>
      <c r="AK622" s="34"/>
      <c r="AU622" s="34"/>
      <c r="AV622" s="34"/>
    </row>
    <row r="623" spans="31:48" ht="16" x14ac:dyDescent="0.4">
      <c r="AE623" s="93">
        <f t="shared" si="41"/>
        <v>0</v>
      </c>
      <c r="AF623" s="16"/>
      <c r="AG623" s="103">
        <f t="shared" si="42"/>
        <v>0</v>
      </c>
      <c r="AH623" s="37">
        <f t="shared" si="44"/>
        <v>0</v>
      </c>
      <c r="AJ623" s="34"/>
      <c r="AK623" s="34"/>
      <c r="AU623" s="34"/>
      <c r="AV623" s="34"/>
    </row>
    <row r="624" spans="31:48" ht="16" x14ac:dyDescent="0.4">
      <c r="AE624" s="93">
        <f t="shared" si="41"/>
        <v>0</v>
      </c>
      <c r="AF624" s="16"/>
      <c r="AG624" s="103">
        <f t="shared" si="42"/>
        <v>0</v>
      </c>
      <c r="AH624" s="37">
        <f t="shared" si="44"/>
        <v>0</v>
      </c>
      <c r="AJ624" s="34"/>
      <c r="AK624" s="34"/>
      <c r="AU624" s="34"/>
      <c r="AV624" s="34"/>
    </row>
    <row r="625" spans="31:48" ht="16" x14ac:dyDescent="0.4">
      <c r="AE625" s="93">
        <f t="shared" si="41"/>
        <v>0</v>
      </c>
      <c r="AF625" s="16"/>
      <c r="AG625" s="103">
        <f t="shared" si="42"/>
        <v>0</v>
      </c>
      <c r="AH625" s="37">
        <f t="shared" si="44"/>
        <v>0</v>
      </c>
      <c r="AJ625" s="34"/>
      <c r="AK625" s="34"/>
      <c r="AU625" s="34"/>
      <c r="AV625" s="34"/>
    </row>
    <row r="626" spans="31:48" ht="16" x14ac:dyDescent="0.4">
      <c r="AE626" s="93">
        <f t="shared" si="41"/>
        <v>0</v>
      </c>
      <c r="AF626" s="16"/>
      <c r="AG626" s="103">
        <f t="shared" si="42"/>
        <v>0</v>
      </c>
      <c r="AH626" s="37">
        <f t="shared" si="44"/>
        <v>0</v>
      </c>
      <c r="AJ626" s="34"/>
      <c r="AK626" s="34"/>
      <c r="AU626" s="34"/>
      <c r="AV626" s="34"/>
    </row>
    <row r="627" spans="31:48" ht="16" x14ac:dyDescent="0.4">
      <c r="AE627" s="93">
        <f t="shared" si="41"/>
        <v>0</v>
      </c>
      <c r="AF627" s="16"/>
      <c r="AG627" s="103">
        <f t="shared" si="42"/>
        <v>0</v>
      </c>
      <c r="AH627" s="37">
        <f t="shared" si="44"/>
        <v>0</v>
      </c>
      <c r="AJ627" s="34"/>
      <c r="AK627" s="34"/>
      <c r="AU627" s="34"/>
      <c r="AV627" s="34"/>
    </row>
    <row r="628" spans="31:48" ht="16" x14ac:dyDescent="0.4">
      <c r="AE628" s="93">
        <f t="shared" si="41"/>
        <v>0</v>
      </c>
      <c r="AF628" s="16"/>
      <c r="AG628" s="103">
        <f t="shared" si="42"/>
        <v>0</v>
      </c>
      <c r="AH628" s="37">
        <f t="shared" si="44"/>
        <v>0</v>
      </c>
      <c r="AJ628" s="34"/>
      <c r="AK628" s="34"/>
      <c r="AU628" s="34"/>
      <c r="AV628" s="34"/>
    </row>
    <row r="629" spans="31:48" ht="16" x14ac:dyDescent="0.4">
      <c r="AE629" s="93">
        <f t="shared" si="41"/>
        <v>0</v>
      </c>
      <c r="AF629" s="16"/>
      <c r="AG629" s="103">
        <f t="shared" si="42"/>
        <v>0</v>
      </c>
      <c r="AH629" s="37">
        <f t="shared" si="44"/>
        <v>0</v>
      </c>
      <c r="AJ629" s="34"/>
      <c r="AK629" s="34"/>
      <c r="AU629" s="34"/>
      <c r="AV629" s="34"/>
    </row>
    <row r="630" spans="31:48" ht="16" x14ac:dyDescent="0.4">
      <c r="AE630" s="93">
        <f t="shared" si="41"/>
        <v>0</v>
      </c>
      <c r="AF630" s="16"/>
      <c r="AG630" s="103">
        <f t="shared" si="42"/>
        <v>0</v>
      </c>
      <c r="AH630" s="37">
        <f t="shared" si="44"/>
        <v>0</v>
      </c>
      <c r="AJ630" s="34"/>
      <c r="AK630" s="34"/>
      <c r="AU630" s="34"/>
      <c r="AV630" s="34"/>
    </row>
    <row r="631" spans="31:48" ht="16" x14ac:dyDescent="0.4">
      <c r="AE631" s="93">
        <f t="shared" si="41"/>
        <v>0</v>
      </c>
      <c r="AF631" s="16"/>
      <c r="AG631" s="103">
        <f t="shared" si="42"/>
        <v>0</v>
      </c>
      <c r="AH631" s="37">
        <f t="shared" si="44"/>
        <v>0</v>
      </c>
      <c r="AJ631" s="34"/>
      <c r="AK631" s="34"/>
      <c r="AU631" s="34"/>
      <c r="AV631" s="34"/>
    </row>
    <row r="632" spans="31:48" ht="16" x14ac:dyDescent="0.4">
      <c r="AE632" s="93">
        <f t="shared" si="41"/>
        <v>0</v>
      </c>
      <c r="AF632" s="16"/>
      <c r="AG632" s="103">
        <f t="shared" si="42"/>
        <v>0</v>
      </c>
      <c r="AH632" s="37">
        <f t="shared" si="44"/>
        <v>0</v>
      </c>
      <c r="AJ632" s="34"/>
      <c r="AK632" s="34"/>
      <c r="AU632" s="34"/>
      <c r="AV632" s="34"/>
    </row>
    <row r="633" spans="31:48" ht="16" x14ac:dyDescent="0.4">
      <c r="AE633" s="93">
        <f t="shared" si="41"/>
        <v>0</v>
      </c>
      <c r="AF633" s="16"/>
      <c r="AG633" s="103">
        <f t="shared" si="42"/>
        <v>0</v>
      </c>
      <c r="AH633" s="37">
        <f t="shared" si="44"/>
        <v>0</v>
      </c>
      <c r="AJ633" s="34"/>
      <c r="AK633" s="34"/>
      <c r="AU633" s="34"/>
      <c r="AV633" s="34"/>
    </row>
    <row r="634" spans="31:48" ht="16" x14ac:dyDescent="0.4">
      <c r="AE634" s="93">
        <f t="shared" si="41"/>
        <v>0</v>
      </c>
      <c r="AF634" s="16"/>
      <c r="AG634" s="103">
        <f t="shared" si="42"/>
        <v>0</v>
      </c>
      <c r="AH634" s="37">
        <f t="shared" si="44"/>
        <v>0</v>
      </c>
      <c r="AJ634" s="34"/>
      <c r="AK634" s="34"/>
      <c r="AU634" s="34"/>
      <c r="AV634" s="34"/>
    </row>
    <row r="635" spans="31:48" ht="16" x14ac:dyDescent="0.4">
      <c r="AE635" s="93">
        <f t="shared" si="41"/>
        <v>0</v>
      </c>
      <c r="AF635" s="16"/>
      <c r="AG635" s="103">
        <f t="shared" si="42"/>
        <v>0</v>
      </c>
      <c r="AH635" s="37">
        <f t="shared" si="44"/>
        <v>0</v>
      </c>
      <c r="AJ635" s="34"/>
      <c r="AK635" s="34"/>
      <c r="AU635" s="34"/>
      <c r="AV635" s="34"/>
    </row>
    <row r="636" spans="31:48" ht="16" x14ac:dyDescent="0.4">
      <c r="AE636" s="93">
        <f t="shared" si="41"/>
        <v>0</v>
      </c>
      <c r="AF636" s="16"/>
      <c r="AG636" s="103">
        <f t="shared" si="42"/>
        <v>0</v>
      </c>
      <c r="AH636" s="37">
        <f t="shared" si="44"/>
        <v>0</v>
      </c>
      <c r="AJ636" s="34"/>
      <c r="AK636" s="34"/>
      <c r="AU636" s="34"/>
      <c r="AV636" s="34"/>
    </row>
    <row r="637" spans="31:48" ht="16" x14ac:dyDescent="0.4">
      <c r="AE637" s="93">
        <f t="shared" si="41"/>
        <v>0</v>
      </c>
      <c r="AF637" s="16"/>
      <c r="AG637" s="103">
        <f t="shared" si="42"/>
        <v>0</v>
      </c>
      <c r="AH637" s="37">
        <f t="shared" si="44"/>
        <v>0</v>
      </c>
      <c r="AJ637" s="34"/>
      <c r="AK637" s="34"/>
      <c r="AU637" s="34"/>
      <c r="AV637" s="34"/>
    </row>
    <row r="638" spans="31:48" ht="16" x14ac:dyDescent="0.4">
      <c r="AE638" s="93">
        <f t="shared" si="41"/>
        <v>0</v>
      </c>
      <c r="AF638" s="16"/>
      <c r="AG638" s="103">
        <f t="shared" si="42"/>
        <v>0</v>
      </c>
      <c r="AH638" s="37">
        <f t="shared" si="44"/>
        <v>0</v>
      </c>
      <c r="AJ638" s="34"/>
      <c r="AK638" s="34"/>
      <c r="AU638" s="34"/>
      <c r="AV638" s="34"/>
    </row>
    <row r="639" spans="31:48" ht="16" x14ac:dyDescent="0.4">
      <c r="AE639" s="93">
        <f t="shared" si="41"/>
        <v>0</v>
      </c>
      <c r="AF639" s="16"/>
      <c r="AG639" s="103">
        <f t="shared" si="42"/>
        <v>0</v>
      </c>
      <c r="AH639" s="37">
        <f t="shared" si="44"/>
        <v>0</v>
      </c>
      <c r="AJ639" s="34"/>
      <c r="AK639" s="34"/>
      <c r="AU639" s="34"/>
      <c r="AV639" s="34"/>
    </row>
    <row r="640" spans="31:48" ht="16" x14ac:dyDescent="0.4">
      <c r="AE640" s="93">
        <f t="shared" si="41"/>
        <v>0</v>
      </c>
      <c r="AF640" s="16"/>
      <c r="AG640" s="103">
        <f t="shared" si="42"/>
        <v>0</v>
      </c>
      <c r="AH640" s="37">
        <f t="shared" si="44"/>
        <v>0</v>
      </c>
      <c r="AJ640" s="34"/>
      <c r="AK640" s="34"/>
      <c r="AU640" s="34"/>
      <c r="AV640" s="34"/>
    </row>
    <row r="641" spans="31:48" ht="16" x14ac:dyDescent="0.4">
      <c r="AE641" s="93">
        <f t="shared" si="41"/>
        <v>0</v>
      </c>
      <c r="AF641" s="16"/>
      <c r="AG641" s="103">
        <f t="shared" si="42"/>
        <v>0</v>
      </c>
      <c r="AH641" s="37">
        <f t="shared" si="44"/>
        <v>0</v>
      </c>
      <c r="AJ641" s="34"/>
      <c r="AK641" s="34"/>
      <c r="AU641" s="34"/>
      <c r="AV641" s="34"/>
    </row>
    <row r="642" spans="31:48" ht="16" x14ac:dyDescent="0.4">
      <c r="AE642" s="93">
        <f t="shared" ref="AE642:AE705" si="45">AD642/1000</f>
        <v>0</v>
      </c>
      <c r="AF642" s="16"/>
      <c r="AG642" s="103">
        <f t="shared" ref="AG642:AG705" si="46">IF($AF642&gt;14,14,$AF642)</f>
        <v>0</v>
      </c>
      <c r="AH642" s="37">
        <f t="shared" ref="AH642:AH705" si="47">AE642*AG642/14</f>
        <v>0</v>
      </c>
      <c r="AJ642" s="34"/>
      <c r="AK642" s="34"/>
      <c r="AU642" s="34"/>
      <c r="AV642" s="34"/>
    </row>
    <row r="643" spans="31:48" ht="16" x14ac:dyDescent="0.4">
      <c r="AE643" s="93">
        <f t="shared" si="45"/>
        <v>0</v>
      </c>
      <c r="AF643" s="16"/>
      <c r="AG643" s="103">
        <f t="shared" si="46"/>
        <v>0</v>
      </c>
      <c r="AH643" s="37">
        <f t="shared" si="47"/>
        <v>0</v>
      </c>
      <c r="AJ643" s="34"/>
      <c r="AK643" s="34"/>
      <c r="AU643" s="34"/>
      <c r="AV643" s="34"/>
    </row>
    <row r="644" spans="31:48" ht="16" x14ac:dyDescent="0.4">
      <c r="AE644" s="93">
        <f t="shared" si="45"/>
        <v>0</v>
      </c>
      <c r="AF644" s="16"/>
      <c r="AG644" s="103">
        <f t="shared" si="46"/>
        <v>0</v>
      </c>
      <c r="AH644" s="37">
        <f t="shared" si="47"/>
        <v>0</v>
      </c>
      <c r="AJ644" s="34"/>
      <c r="AK644" s="34"/>
      <c r="AU644" s="34"/>
      <c r="AV644" s="34"/>
    </row>
    <row r="645" spans="31:48" ht="16" x14ac:dyDescent="0.4">
      <c r="AE645" s="93">
        <f t="shared" si="45"/>
        <v>0</v>
      </c>
      <c r="AF645" s="16"/>
      <c r="AG645" s="103">
        <f t="shared" si="46"/>
        <v>0</v>
      </c>
      <c r="AH645" s="37">
        <f t="shared" si="47"/>
        <v>0</v>
      </c>
      <c r="AJ645" s="34"/>
      <c r="AK645" s="34"/>
      <c r="AU645" s="34"/>
      <c r="AV645" s="34"/>
    </row>
    <row r="646" spans="31:48" ht="16" x14ac:dyDescent="0.4">
      <c r="AE646" s="93">
        <f t="shared" si="45"/>
        <v>0</v>
      </c>
      <c r="AF646" s="16"/>
      <c r="AG646" s="103">
        <f t="shared" si="46"/>
        <v>0</v>
      </c>
      <c r="AH646" s="37">
        <f t="shared" si="47"/>
        <v>0</v>
      </c>
      <c r="AJ646" s="34"/>
      <c r="AK646" s="34"/>
      <c r="AU646" s="34"/>
      <c r="AV646" s="34"/>
    </row>
    <row r="647" spans="31:48" ht="16" x14ac:dyDescent="0.4">
      <c r="AE647" s="93">
        <f t="shared" si="45"/>
        <v>0</v>
      </c>
      <c r="AF647" s="16"/>
      <c r="AG647" s="103">
        <f t="shared" si="46"/>
        <v>0</v>
      </c>
      <c r="AH647" s="37">
        <f t="shared" si="47"/>
        <v>0</v>
      </c>
      <c r="AJ647" s="34"/>
      <c r="AK647" s="34"/>
      <c r="AU647" s="34"/>
      <c r="AV647" s="34"/>
    </row>
    <row r="648" spans="31:48" ht="16" x14ac:dyDescent="0.4">
      <c r="AE648" s="93">
        <f t="shared" si="45"/>
        <v>0</v>
      </c>
      <c r="AF648" s="16"/>
      <c r="AG648" s="103">
        <f t="shared" si="46"/>
        <v>0</v>
      </c>
      <c r="AH648" s="37">
        <f t="shared" si="47"/>
        <v>0</v>
      </c>
      <c r="AJ648" s="34"/>
      <c r="AK648" s="34"/>
      <c r="AU648" s="34"/>
      <c r="AV648" s="34"/>
    </row>
    <row r="649" spans="31:48" ht="16" x14ac:dyDescent="0.4">
      <c r="AE649" s="93">
        <f t="shared" si="45"/>
        <v>0</v>
      </c>
      <c r="AF649" s="16"/>
      <c r="AG649" s="103">
        <f t="shared" si="46"/>
        <v>0</v>
      </c>
      <c r="AH649" s="37">
        <f t="shared" si="47"/>
        <v>0</v>
      </c>
      <c r="AJ649" s="34"/>
      <c r="AK649" s="34"/>
      <c r="AU649" s="34"/>
      <c r="AV649" s="34"/>
    </row>
    <row r="650" spans="31:48" ht="16" x14ac:dyDescent="0.4">
      <c r="AE650" s="93">
        <f t="shared" si="45"/>
        <v>0</v>
      </c>
      <c r="AF650" s="16"/>
      <c r="AG650" s="103">
        <f t="shared" si="46"/>
        <v>0</v>
      </c>
      <c r="AH650" s="37">
        <f t="shared" si="47"/>
        <v>0</v>
      </c>
      <c r="AJ650" s="34"/>
      <c r="AK650" s="34"/>
      <c r="AU650" s="34"/>
      <c r="AV650" s="34"/>
    </row>
    <row r="651" spans="31:48" ht="16" x14ac:dyDescent="0.4">
      <c r="AE651" s="93">
        <f t="shared" si="45"/>
        <v>0</v>
      </c>
      <c r="AF651" s="16"/>
      <c r="AG651" s="103">
        <f t="shared" si="46"/>
        <v>0</v>
      </c>
      <c r="AH651" s="37">
        <f t="shared" si="47"/>
        <v>0</v>
      </c>
      <c r="AJ651" s="34"/>
      <c r="AK651" s="34"/>
      <c r="AU651" s="34"/>
      <c r="AV651" s="34"/>
    </row>
    <row r="652" spans="31:48" ht="16" x14ac:dyDescent="0.4">
      <c r="AE652" s="93">
        <f t="shared" si="45"/>
        <v>0</v>
      </c>
      <c r="AF652" s="16"/>
      <c r="AG652" s="103">
        <f t="shared" si="46"/>
        <v>0</v>
      </c>
      <c r="AH652" s="37">
        <f t="shared" si="47"/>
        <v>0</v>
      </c>
      <c r="AJ652" s="34"/>
      <c r="AK652" s="34"/>
      <c r="AU652" s="34"/>
      <c r="AV652" s="34"/>
    </row>
    <row r="653" spans="31:48" ht="16" x14ac:dyDescent="0.4">
      <c r="AE653" s="93">
        <f t="shared" si="45"/>
        <v>0</v>
      </c>
      <c r="AF653" s="16"/>
      <c r="AG653" s="103">
        <f t="shared" si="46"/>
        <v>0</v>
      </c>
      <c r="AH653" s="37">
        <f t="shared" si="47"/>
        <v>0</v>
      </c>
      <c r="AJ653" s="34"/>
      <c r="AK653" s="34"/>
      <c r="AU653" s="34"/>
      <c r="AV653" s="34"/>
    </row>
    <row r="654" spans="31:48" ht="16" x14ac:dyDescent="0.4">
      <c r="AE654" s="93">
        <f t="shared" si="45"/>
        <v>0</v>
      </c>
      <c r="AF654" s="16"/>
      <c r="AG654" s="103">
        <f t="shared" si="46"/>
        <v>0</v>
      </c>
      <c r="AH654" s="37">
        <f t="shared" si="47"/>
        <v>0</v>
      </c>
      <c r="AJ654" s="34"/>
      <c r="AK654" s="34"/>
      <c r="AU654" s="34"/>
      <c r="AV654" s="34"/>
    </row>
    <row r="655" spans="31:48" ht="16" x14ac:dyDescent="0.4">
      <c r="AE655" s="93">
        <f t="shared" si="45"/>
        <v>0</v>
      </c>
      <c r="AF655" s="16"/>
      <c r="AG655" s="103">
        <f t="shared" si="46"/>
        <v>0</v>
      </c>
      <c r="AH655" s="37">
        <f t="shared" si="47"/>
        <v>0</v>
      </c>
      <c r="AJ655" s="34"/>
      <c r="AK655" s="34"/>
      <c r="AU655" s="34"/>
      <c r="AV655" s="34"/>
    </row>
    <row r="656" spans="31:48" ht="16" x14ac:dyDescent="0.4">
      <c r="AE656" s="93">
        <f t="shared" si="45"/>
        <v>0</v>
      </c>
      <c r="AF656" s="16"/>
      <c r="AG656" s="103">
        <f t="shared" si="46"/>
        <v>0</v>
      </c>
      <c r="AH656" s="37">
        <f t="shared" si="47"/>
        <v>0</v>
      </c>
      <c r="AJ656" s="34"/>
      <c r="AK656" s="34"/>
      <c r="AU656" s="34"/>
      <c r="AV656" s="34"/>
    </row>
    <row r="657" spans="31:48" ht="16" x14ac:dyDescent="0.4">
      <c r="AE657" s="93">
        <f t="shared" si="45"/>
        <v>0</v>
      </c>
      <c r="AF657" s="16"/>
      <c r="AG657" s="103">
        <f t="shared" si="46"/>
        <v>0</v>
      </c>
      <c r="AH657" s="37">
        <f t="shared" si="47"/>
        <v>0</v>
      </c>
      <c r="AJ657" s="34"/>
      <c r="AK657" s="34"/>
      <c r="AU657" s="34"/>
      <c r="AV657" s="34"/>
    </row>
    <row r="658" spans="31:48" ht="16" x14ac:dyDescent="0.4">
      <c r="AE658" s="93">
        <f t="shared" si="45"/>
        <v>0</v>
      </c>
      <c r="AF658" s="16"/>
      <c r="AG658" s="103">
        <f t="shared" si="46"/>
        <v>0</v>
      </c>
      <c r="AH658" s="37">
        <f t="shared" si="47"/>
        <v>0</v>
      </c>
      <c r="AJ658" s="34"/>
      <c r="AK658" s="34"/>
      <c r="AU658" s="34"/>
      <c r="AV658" s="34"/>
    </row>
    <row r="659" spans="31:48" ht="16" x14ac:dyDescent="0.4">
      <c r="AE659" s="93">
        <f t="shared" si="45"/>
        <v>0</v>
      </c>
      <c r="AF659" s="16"/>
      <c r="AG659" s="103">
        <f t="shared" si="46"/>
        <v>0</v>
      </c>
      <c r="AH659" s="37">
        <f t="shared" si="47"/>
        <v>0</v>
      </c>
      <c r="AJ659" s="34"/>
      <c r="AK659" s="34"/>
      <c r="AU659" s="34"/>
      <c r="AV659" s="34"/>
    </row>
    <row r="660" spans="31:48" ht="16" x14ac:dyDescent="0.4">
      <c r="AE660" s="93">
        <f t="shared" si="45"/>
        <v>0</v>
      </c>
      <c r="AF660" s="16"/>
      <c r="AG660" s="103">
        <f t="shared" si="46"/>
        <v>0</v>
      </c>
      <c r="AH660" s="37">
        <f t="shared" si="47"/>
        <v>0</v>
      </c>
      <c r="AJ660" s="34"/>
      <c r="AK660" s="34"/>
      <c r="AU660" s="34"/>
      <c r="AV660" s="34"/>
    </row>
    <row r="661" spans="31:48" ht="16" x14ac:dyDescent="0.4">
      <c r="AE661" s="93">
        <f t="shared" si="45"/>
        <v>0</v>
      </c>
      <c r="AF661" s="16"/>
      <c r="AG661" s="103">
        <f t="shared" si="46"/>
        <v>0</v>
      </c>
      <c r="AH661" s="37">
        <f t="shared" si="47"/>
        <v>0</v>
      </c>
      <c r="AJ661" s="34"/>
      <c r="AK661" s="34"/>
      <c r="AU661" s="34"/>
      <c r="AV661" s="34"/>
    </row>
    <row r="662" spans="31:48" ht="16" x14ac:dyDescent="0.4">
      <c r="AE662" s="93">
        <f t="shared" si="45"/>
        <v>0</v>
      </c>
      <c r="AF662" s="16"/>
      <c r="AG662" s="103">
        <f t="shared" si="46"/>
        <v>0</v>
      </c>
      <c r="AH662" s="37">
        <f t="shared" si="47"/>
        <v>0</v>
      </c>
      <c r="AJ662" s="34"/>
      <c r="AK662" s="34"/>
      <c r="AU662" s="34"/>
      <c r="AV662" s="34"/>
    </row>
    <row r="663" spans="31:48" ht="16" x14ac:dyDescent="0.4">
      <c r="AE663" s="93">
        <f t="shared" si="45"/>
        <v>0</v>
      </c>
      <c r="AF663" s="16"/>
      <c r="AG663" s="103">
        <f t="shared" si="46"/>
        <v>0</v>
      </c>
      <c r="AH663" s="37">
        <f t="shared" si="47"/>
        <v>0</v>
      </c>
      <c r="AJ663" s="34"/>
      <c r="AK663" s="34"/>
      <c r="AU663" s="34"/>
      <c r="AV663" s="34"/>
    </row>
    <row r="664" spans="31:48" ht="16" x14ac:dyDescent="0.4">
      <c r="AE664" s="93">
        <f t="shared" si="45"/>
        <v>0</v>
      </c>
      <c r="AF664" s="16"/>
      <c r="AG664" s="103">
        <f t="shared" si="46"/>
        <v>0</v>
      </c>
      <c r="AH664" s="37">
        <f t="shared" si="47"/>
        <v>0</v>
      </c>
      <c r="AJ664" s="34"/>
      <c r="AK664" s="34"/>
      <c r="AU664" s="34"/>
      <c r="AV664" s="34"/>
    </row>
    <row r="665" spans="31:48" ht="16" x14ac:dyDescent="0.4">
      <c r="AE665" s="93">
        <f t="shared" si="45"/>
        <v>0</v>
      </c>
      <c r="AF665" s="16"/>
      <c r="AG665" s="103">
        <f t="shared" si="46"/>
        <v>0</v>
      </c>
      <c r="AH665" s="37">
        <f t="shared" si="47"/>
        <v>0</v>
      </c>
      <c r="AJ665" s="34"/>
      <c r="AK665" s="34"/>
      <c r="AU665" s="34"/>
      <c r="AV665" s="34"/>
    </row>
    <row r="666" spans="31:48" ht="16" x14ac:dyDescent="0.4">
      <c r="AE666" s="93">
        <f t="shared" si="45"/>
        <v>0</v>
      </c>
      <c r="AF666" s="16"/>
      <c r="AG666" s="103">
        <f t="shared" si="46"/>
        <v>0</v>
      </c>
      <c r="AH666" s="37">
        <f t="shared" si="47"/>
        <v>0</v>
      </c>
      <c r="AJ666" s="34"/>
      <c r="AK666" s="34"/>
      <c r="AU666" s="34"/>
      <c r="AV666" s="34"/>
    </row>
    <row r="667" spans="31:48" ht="16" x14ac:dyDescent="0.4">
      <c r="AE667" s="93">
        <f t="shared" si="45"/>
        <v>0</v>
      </c>
      <c r="AF667" s="16"/>
      <c r="AG667" s="103">
        <f t="shared" si="46"/>
        <v>0</v>
      </c>
      <c r="AH667" s="37">
        <f t="shared" si="47"/>
        <v>0</v>
      </c>
      <c r="AJ667" s="34"/>
      <c r="AK667" s="34"/>
      <c r="AU667" s="34"/>
      <c r="AV667" s="34"/>
    </row>
    <row r="668" spans="31:48" ht="16" x14ac:dyDescent="0.4">
      <c r="AE668" s="93">
        <f t="shared" si="45"/>
        <v>0</v>
      </c>
      <c r="AF668" s="16"/>
      <c r="AG668" s="103">
        <f t="shared" si="46"/>
        <v>0</v>
      </c>
      <c r="AH668" s="37">
        <f t="shared" si="47"/>
        <v>0</v>
      </c>
      <c r="AJ668" s="34"/>
      <c r="AK668" s="34"/>
      <c r="AU668" s="34"/>
      <c r="AV668" s="34"/>
    </row>
    <row r="669" spans="31:48" ht="16" x14ac:dyDescent="0.4">
      <c r="AE669" s="93">
        <f t="shared" si="45"/>
        <v>0</v>
      </c>
      <c r="AF669" s="16"/>
      <c r="AG669" s="103">
        <f t="shared" si="46"/>
        <v>0</v>
      </c>
      <c r="AH669" s="37">
        <f t="shared" si="47"/>
        <v>0</v>
      </c>
      <c r="AJ669" s="34"/>
      <c r="AK669" s="34"/>
      <c r="AU669" s="34"/>
      <c r="AV669" s="34"/>
    </row>
    <row r="670" spans="31:48" ht="16" x14ac:dyDescent="0.4">
      <c r="AE670" s="93">
        <f t="shared" si="45"/>
        <v>0</v>
      </c>
      <c r="AF670" s="16"/>
      <c r="AG670" s="103">
        <f t="shared" si="46"/>
        <v>0</v>
      </c>
      <c r="AH670" s="37">
        <f t="shared" si="47"/>
        <v>0</v>
      </c>
      <c r="AJ670" s="34"/>
      <c r="AK670" s="34"/>
      <c r="AU670" s="34"/>
      <c r="AV670" s="34"/>
    </row>
    <row r="671" spans="31:48" ht="16" x14ac:dyDescent="0.4">
      <c r="AE671" s="93">
        <f t="shared" si="45"/>
        <v>0</v>
      </c>
      <c r="AF671" s="16"/>
      <c r="AG671" s="103">
        <f t="shared" si="46"/>
        <v>0</v>
      </c>
      <c r="AH671" s="37">
        <f t="shared" si="47"/>
        <v>0</v>
      </c>
      <c r="AJ671" s="34"/>
      <c r="AK671" s="34"/>
      <c r="AU671" s="34"/>
      <c r="AV671" s="34"/>
    </row>
    <row r="672" spans="31:48" ht="16" x14ac:dyDescent="0.4">
      <c r="AE672" s="93">
        <f t="shared" si="45"/>
        <v>0</v>
      </c>
      <c r="AF672" s="16"/>
      <c r="AG672" s="103">
        <f t="shared" si="46"/>
        <v>0</v>
      </c>
      <c r="AH672" s="37">
        <f t="shared" si="47"/>
        <v>0</v>
      </c>
      <c r="AJ672" s="34"/>
      <c r="AK672" s="34"/>
      <c r="AU672" s="34"/>
      <c r="AV672" s="34"/>
    </row>
    <row r="673" spans="31:48" ht="16" x14ac:dyDescent="0.4">
      <c r="AE673" s="93">
        <f t="shared" si="45"/>
        <v>0</v>
      </c>
      <c r="AF673" s="16"/>
      <c r="AG673" s="103">
        <f t="shared" si="46"/>
        <v>0</v>
      </c>
      <c r="AH673" s="37">
        <f t="shared" si="47"/>
        <v>0</v>
      </c>
      <c r="AJ673" s="34"/>
      <c r="AK673" s="34"/>
      <c r="AU673" s="34"/>
      <c r="AV673" s="34"/>
    </row>
    <row r="674" spans="31:48" ht="16" x14ac:dyDescent="0.4">
      <c r="AE674" s="93">
        <f t="shared" si="45"/>
        <v>0</v>
      </c>
      <c r="AF674" s="16"/>
      <c r="AG674" s="103">
        <f t="shared" si="46"/>
        <v>0</v>
      </c>
      <c r="AH674" s="37">
        <f t="shared" si="47"/>
        <v>0</v>
      </c>
      <c r="AJ674" s="34"/>
      <c r="AK674" s="34"/>
      <c r="AU674" s="34"/>
      <c r="AV674" s="34"/>
    </row>
    <row r="675" spans="31:48" ht="16" x14ac:dyDescent="0.4">
      <c r="AE675" s="93">
        <f t="shared" si="45"/>
        <v>0</v>
      </c>
      <c r="AF675" s="16"/>
      <c r="AG675" s="103">
        <f t="shared" si="46"/>
        <v>0</v>
      </c>
      <c r="AH675" s="37">
        <f t="shared" si="47"/>
        <v>0</v>
      </c>
      <c r="AJ675" s="34"/>
      <c r="AK675" s="34"/>
      <c r="AU675" s="34"/>
      <c r="AV675" s="34"/>
    </row>
    <row r="676" spans="31:48" ht="16" x14ac:dyDescent="0.4">
      <c r="AE676" s="93">
        <f t="shared" si="45"/>
        <v>0</v>
      </c>
      <c r="AF676" s="16"/>
      <c r="AG676" s="103">
        <f t="shared" si="46"/>
        <v>0</v>
      </c>
      <c r="AH676" s="37">
        <f t="shared" si="47"/>
        <v>0</v>
      </c>
      <c r="AJ676" s="34"/>
      <c r="AK676" s="34"/>
      <c r="AU676" s="34"/>
      <c r="AV676" s="34"/>
    </row>
    <row r="677" spans="31:48" ht="16" x14ac:dyDescent="0.4">
      <c r="AE677" s="93">
        <f t="shared" si="45"/>
        <v>0</v>
      </c>
      <c r="AF677" s="16"/>
      <c r="AG677" s="103">
        <f t="shared" si="46"/>
        <v>0</v>
      </c>
      <c r="AH677" s="37">
        <f t="shared" si="47"/>
        <v>0</v>
      </c>
      <c r="AJ677" s="34"/>
      <c r="AK677" s="34"/>
      <c r="AU677" s="34"/>
      <c r="AV677" s="34"/>
    </row>
    <row r="678" spans="31:48" ht="16" x14ac:dyDescent="0.4">
      <c r="AE678" s="93">
        <f t="shared" si="45"/>
        <v>0</v>
      </c>
      <c r="AF678" s="16"/>
      <c r="AG678" s="103">
        <f t="shared" si="46"/>
        <v>0</v>
      </c>
      <c r="AH678" s="37">
        <f t="shared" si="47"/>
        <v>0</v>
      </c>
      <c r="AJ678" s="34"/>
      <c r="AK678" s="34"/>
      <c r="AU678" s="34"/>
      <c r="AV678" s="34"/>
    </row>
    <row r="679" spans="31:48" ht="16" x14ac:dyDescent="0.4">
      <c r="AE679" s="93">
        <f t="shared" si="45"/>
        <v>0</v>
      </c>
      <c r="AF679" s="16"/>
      <c r="AG679" s="103">
        <f t="shared" si="46"/>
        <v>0</v>
      </c>
      <c r="AH679" s="37">
        <f t="shared" si="47"/>
        <v>0</v>
      </c>
      <c r="AJ679" s="34"/>
      <c r="AK679" s="34"/>
      <c r="AU679" s="34"/>
      <c r="AV679" s="34"/>
    </row>
    <row r="680" spans="31:48" ht="16" x14ac:dyDescent="0.4">
      <c r="AE680" s="93">
        <f t="shared" si="45"/>
        <v>0</v>
      </c>
      <c r="AF680" s="16"/>
      <c r="AG680" s="103">
        <f t="shared" si="46"/>
        <v>0</v>
      </c>
      <c r="AH680" s="37">
        <f t="shared" si="47"/>
        <v>0</v>
      </c>
      <c r="AJ680" s="34"/>
      <c r="AK680" s="34"/>
      <c r="AU680" s="34"/>
      <c r="AV680" s="34"/>
    </row>
    <row r="681" spans="31:48" ht="16" x14ac:dyDescent="0.4">
      <c r="AE681" s="93">
        <f t="shared" si="45"/>
        <v>0</v>
      </c>
      <c r="AF681" s="16"/>
      <c r="AG681" s="103">
        <f t="shared" si="46"/>
        <v>0</v>
      </c>
      <c r="AH681" s="37">
        <f t="shared" si="47"/>
        <v>0</v>
      </c>
      <c r="AJ681" s="34"/>
      <c r="AK681" s="34"/>
      <c r="AU681" s="34"/>
      <c r="AV681" s="34"/>
    </row>
    <row r="682" spans="31:48" ht="16" x14ac:dyDescent="0.4">
      <c r="AE682" s="93">
        <f t="shared" si="45"/>
        <v>0</v>
      </c>
      <c r="AF682" s="16"/>
      <c r="AG682" s="103">
        <f t="shared" si="46"/>
        <v>0</v>
      </c>
      <c r="AH682" s="37">
        <f t="shared" si="47"/>
        <v>0</v>
      </c>
      <c r="AJ682" s="34"/>
      <c r="AK682" s="34"/>
      <c r="AU682" s="34"/>
      <c r="AV682" s="34"/>
    </row>
    <row r="683" spans="31:48" ht="16" x14ac:dyDescent="0.4">
      <c r="AE683" s="93">
        <f t="shared" si="45"/>
        <v>0</v>
      </c>
      <c r="AF683" s="16"/>
      <c r="AG683" s="103">
        <f t="shared" si="46"/>
        <v>0</v>
      </c>
      <c r="AH683" s="37">
        <f t="shared" si="47"/>
        <v>0</v>
      </c>
      <c r="AJ683" s="34"/>
      <c r="AK683" s="34"/>
      <c r="AU683" s="34"/>
      <c r="AV683" s="34"/>
    </row>
    <row r="684" spans="31:48" ht="16" x14ac:dyDescent="0.4">
      <c r="AE684" s="93">
        <f t="shared" si="45"/>
        <v>0</v>
      </c>
      <c r="AF684" s="16"/>
      <c r="AG684" s="103">
        <f t="shared" si="46"/>
        <v>0</v>
      </c>
      <c r="AH684" s="37">
        <f t="shared" si="47"/>
        <v>0</v>
      </c>
      <c r="AJ684" s="34"/>
      <c r="AK684" s="34"/>
      <c r="AU684" s="34"/>
      <c r="AV684" s="34"/>
    </row>
    <row r="685" spans="31:48" ht="16" x14ac:dyDescent="0.4">
      <c r="AE685" s="93">
        <f t="shared" si="45"/>
        <v>0</v>
      </c>
      <c r="AF685" s="16"/>
      <c r="AG685" s="103">
        <f t="shared" si="46"/>
        <v>0</v>
      </c>
      <c r="AH685" s="37">
        <f t="shared" si="47"/>
        <v>0</v>
      </c>
      <c r="AJ685" s="34"/>
      <c r="AK685" s="34"/>
      <c r="AU685" s="34"/>
      <c r="AV685" s="34"/>
    </row>
    <row r="686" spans="31:48" ht="16" x14ac:dyDescent="0.4">
      <c r="AE686" s="93">
        <f t="shared" si="45"/>
        <v>0</v>
      </c>
      <c r="AF686" s="16"/>
      <c r="AG686" s="103">
        <f t="shared" si="46"/>
        <v>0</v>
      </c>
      <c r="AH686" s="37">
        <f t="shared" si="47"/>
        <v>0</v>
      </c>
      <c r="AJ686" s="34"/>
      <c r="AK686" s="34"/>
      <c r="AU686" s="34"/>
      <c r="AV686" s="34"/>
    </row>
    <row r="687" spans="31:48" ht="16" x14ac:dyDescent="0.4">
      <c r="AE687" s="93">
        <f t="shared" si="45"/>
        <v>0</v>
      </c>
      <c r="AF687" s="16"/>
      <c r="AG687" s="103">
        <f t="shared" si="46"/>
        <v>0</v>
      </c>
      <c r="AH687" s="37">
        <f t="shared" si="47"/>
        <v>0</v>
      </c>
      <c r="AJ687" s="34"/>
      <c r="AK687" s="34"/>
      <c r="AU687" s="34"/>
      <c r="AV687" s="34"/>
    </row>
    <row r="688" spans="31:48" ht="16" x14ac:dyDescent="0.4">
      <c r="AE688" s="93">
        <f t="shared" si="45"/>
        <v>0</v>
      </c>
      <c r="AF688" s="16"/>
      <c r="AG688" s="103">
        <f t="shared" si="46"/>
        <v>0</v>
      </c>
      <c r="AH688" s="37">
        <f t="shared" si="47"/>
        <v>0</v>
      </c>
      <c r="AJ688" s="34"/>
      <c r="AK688" s="34"/>
      <c r="AU688" s="34"/>
      <c r="AV688" s="34"/>
    </row>
    <row r="689" spans="31:48" ht="16" x14ac:dyDescent="0.4">
      <c r="AE689" s="93">
        <f t="shared" si="45"/>
        <v>0</v>
      </c>
      <c r="AF689" s="16"/>
      <c r="AG689" s="103">
        <f t="shared" si="46"/>
        <v>0</v>
      </c>
      <c r="AH689" s="37">
        <f t="shared" si="47"/>
        <v>0</v>
      </c>
      <c r="AJ689" s="34"/>
      <c r="AK689" s="34"/>
      <c r="AU689" s="34"/>
      <c r="AV689" s="34"/>
    </row>
    <row r="690" spans="31:48" ht="16" x14ac:dyDescent="0.4">
      <c r="AE690" s="93">
        <f t="shared" si="45"/>
        <v>0</v>
      </c>
      <c r="AF690" s="16"/>
      <c r="AG690" s="103">
        <f t="shared" si="46"/>
        <v>0</v>
      </c>
      <c r="AH690" s="37">
        <f t="shared" si="47"/>
        <v>0</v>
      </c>
      <c r="AJ690" s="34"/>
      <c r="AK690" s="34"/>
      <c r="AU690" s="34"/>
      <c r="AV690" s="34"/>
    </row>
    <row r="691" spans="31:48" ht="16" x14ac:dyDescent="0.4">
      <c r="AE691" s="93">
        <f t="shared" si="45"/>
        <v>0</v>
      </c>
      <c r="AF691" s="16"/>
      <c r="AG691" s="103">
        <f t="shared" si="46"/>
        <v>0</v>
      </c>
      <c r="AH691" s="37">
        <f t="shared" si="47"/>
        <v>0</v>
      </c>
      <c r="AJ691" s="34"/>
      <c r="AK691" s="34"/>
      <c r="AU691" s="34"/>
      <c r="AV691" s="34"/>
    </row>
    <row r="692" spans="31:48" ht="16" x14ac:dyDescent="0.4">
      <c r="AE692" s="93">
        <f t="shared" si="45"/>
        <v>0</v>
      </c>
      <c r="AF692" s="16"/>
      <c r="AG692" s="103">
        <f t="shared" si="46"/>
        <v>0</v>
      </c>
      <c r="AH692" s="37">
        <f t="shared" si="47"/>
        <v>0</v>
      </c>
      <c r="AJ692" s="34"/>
      <c r="AK692" s="34"/>
      <c r="AU692" s="34"/>
      <c r="AV692" s="34"/>
    </row>
    <row r="693" spans="31:48" ht="16" x14ac:dyDescent="0.4">
      <c r="AE693" s="93">
        <f t="shared" si="45"/>
        <v>0</v>
      </c>
      <c r="AF693" s="16"/>
      <c r="AG693" s="103">
        <f t="shared" si="46"/>
        <v>0</v>
      </c>
      <c r="AH693" s="37">
        <f t="shared" si="47"/>
        <v>0</v>
      </c>
      <c r="AJ693" s="34"/>
      <c r="AK693" s="34"/>
      <c r="AU693" s="34"/>
      <c r="AV693" s="34"/>
    </row>
    <row r="694" spans="31:48" ht="16" x14ac:dyDescent="0.4">
      <c r="AE694" s="93">
        <f t="shared" si="45"/>
        <v>0</v>
      </c>
      <c r="AF694" s="16"/>
      <c r="AG694" s="103">
        <f t="shared" si="46"/>
        <v>0</v>
      </c>
      <c r="AH694" s="37">
        <f t="shared" si="47"/>
        <v>0</v>
      </c>
      <c r="AJ694" s="34"/>
      <c r="AK694" s="34"/>
      <c r="AU694" s="34"/>
      <c r="AV694" s="34"/>
    </row>
    <row r="695" spans="31:48" ht="16" x14ac:dyDescent="0.4">
      <c r="AE695" s="93">
        <f t="shared" si="45"/>
        <v>0</v>
      </c>
      <c r="AF695" s="16"/>
      <c r="AG695" s="103">
        <f t="shared" si="46"/>
        <v>0</v>
      </c>
      <c r="AH695" s="37">
        <f t="shared" si="47"/>
        <v>0</v>
      </c>
      <c r="AJ695" s="34"/>
      <c r="AK695" s="34"/>
      <c r="AU695" s="34"/>
      <c r="AV695" s="34"/>
    </row>
    <row r="696" spans="31:48" ht="16" x14ac:dyDescent="0.4">
      <c r="AE696" s="93">
        <f t="shared" si="45"/>
        <v>0</v>
      </c>
      <c r="AF696" s="16"/>
      <c r="AG696" s="103">
        <f t="shared" si="46"/>
        <v>0</v>
      </c>
      <c r="AH696" s="37">
        <f t="shared" si="47"/>
        <v>0</v>
      </c>
      <c r="AJ696" s="34"/>
      <c r="AK696" s="34"/>
      <c r="AU696" s="34"/>
      <c r="AV696" s="34"/>
    </row>
    <row r="697" spans="31:48" ht="16" x14ac:dyDescent="0.4">
      <c r="AE697" s="93">
        <f t="shared" si="45"/>
        <v>0</v>
      </c>
      <c r="AF697" s="16"/>
      <c r="AG697" s="103">
        <f t="shared" si="46"/>
        <v>0</v>
      </c>
      <c r="AH697" s="37">
        <f t="shared" si="47"/>
        <v>0</v>
      </c>
      <c r="AJ697" s="34"/>
      <c r="AK697" s="34"/>
      <c r="AU697" s="34"/>
      <c r="AV697" s="34"/>
    </row>
    <row r="698" spans="31:48" ht="16" x14ac:dyDescent="0.4">
      <c r="AE698" s="93">
        <f t="shared" si="45"/>
        <v>0</v>
      </c>
      <c r="AF698" s="16"/>
      <c r="AG698" s="103">
        <f t="shared" si="46"/>
        <v>0</v>
      </c>
      <c r="AH698" s="37">
        <f t="shared" si="47"/>
        <v>0</v>
      </c>
      <c r="AJ698" s="34"/>
      <c r="AK698" s="34"/>
      <c r="AU698" s="34"/>
      <c r="AV698" s="34"/>
    </row>
    <row r="699" spans="31:48" ht="16" x14ac:dyDescent="0.4">
      <c r="AE699" s="93">
        <f t="shared" si="45"/>
        <v>0</v>
      </c>
      <c r="AF699" s="16"/>
      <c r="AG699" s="103">
        <f t="shared" si="46"/>
        <v>0</v>
      </c>
      <c r="AH699" s="37">
        <f t="shared" si="47"/>
        <v>0</v>
      </c>
      <c r="AJ699" s="34"/>
      <c r="AK699" s="34"/>
      <c r="AU699" s="34"/>
      <c r="AV699" s="34"/>
    </row>
    <row r="700" spans="31:48" ht="16" x14ac:dyDescent="0.4">
      <c r="AE700" s="93">
        <f t="shared" si="45"/>
        <v>0</v>
      </c>
      <c r="AF700" s="16"/>
      <c r="AG700" s="103">
        <f t="shared" si="46"/>
        <v>0</v>
      </c>
      <c r="AH700" s="37">
        <f t="shared" si="47"/>
        <v>0</v>
      </c>
      <c r="AJ700" s="34"/>
      <c r="AK700" s="34"/>
      <c r="AU700" s="34"/>
      <c r="AV700" s="34"/>
    </row>
    <row r="701" spans="31:48" ht="16" x14ac:dyDescent="0.4">
      <c r="AE701" s="93">
        <f t="shared" si="45"/>
        <v>0</v>
      </c>
      <c r="AF701" s="16"/>
      <c r="AG701" s="103">
        <f t="shared" si="46"/>
        <v>0</v>
      </c>
      <c r="AH701" s="37">
        <f t="shared" si="47"/>
        <v>0</v>
      </c>
      <c r="AJ701" s="34"/>
      <c r="AK701" s="34"/>
      <c r="AU701" s="34"/>
      <c r="AV701" s="34"/>
    </row>
    <row r="702" spans="31:48" ht="16" x14ac:dyDescent="0.4">
      <c r="AE702" s="93">
        <f t="shared" si="45"/>
        <v>0</v>
      </c>
      <c r="AF702" s="16"/>
      <c r="AG702" s="103">
        <f t="shared" si="46"/>
        <v>0</v>
      </c>
      <c r="AH702" s="37">
        <f t="shared" si="47"/>
        <v>0</v>
      </c>
      <c r="AJ702" s="34"/>
      <c r="AK702" s="34"/>
      <c r="AU702" s="34"/>
      <c r="AV702" s="34"/>
    </row>
    <row r="703" spans="31:48" ht="16" x14ac:dyDescent="0.4">
      <c r="AE703" s="93">
        <f t="shared" si="45"/>
        <v>0</v>
      </c>
      <c r="AF703" s="16"/>
      <c r="AG703" s="103">
        <f t="shared" si="46"/>
        <v>0</v>
      </c>
      <c r="AH703" s="37">
        <f t="shared" si="47"/>
        <v>0</v>
      </c>
      <c r="AJ703" s="34"/>
      <c r="AK703" s="34"/>
      <c r="AU703" s="34"/>
      <c r="AV703" s="34"/>
    </row>
    <row r="704" spans="31:48" ht="16" x14ac:dyDescent="0.4">
      <c r="AE704" s="93">
        <f t="shared" si="45"/>
        <v>0</v>
      </c>
      <c r="AF704" s="16"/>
      <c r="AG704" s="103">
        <f t="shared" si="46"/>
        <v>0</v>
      </c>
      <c r="AH704" s="37">
        <f t="shared" si="47"/>
        <v>0</v>
      </c>
      <c r="AJ704" s="34"/>
      <c r="AK704" s="34"/>
      <c r="AU704" s="34"/>
      <c r="AV704" s="34"/>
    </row>
    <row r="705" spans="31:48" ht="16" x14ac:dyDescent="0.4">
      <c r="AE705" s="93">
        <f t="shared" si="45"/>
        <v>0</v>
      </c>
      <c r="AF705" s="16"/>
      <c r="AG705" s="103">
        <f t="shared" si="46"/>
        <v>0</v>
      </c>
      <c r="AH705" s="37">
        <f t="shared" si="47"/>
        <v>0</v>
      </c>
      <c r="AJ705" s="34"/>
      <c r="AK705" s="34"/>
      <c r="AU705" s="34"/>
      <c r="AV705" s="34"/>
    </row>
    <row r="706" spans="31:48" ht="16" x14ac:dyDescent="0.4">
      <c r="AE706" s="93">
        <f t="shared" ref="AE706:AE763" si="48">AD706/1000</f>
        <v>0</v>
      </c>
      <c r="AF706" s="16"/>
      <c r="AG706" s="103">
        <f t="shared" ref="AG706:AG763" si="49">IF($AF706&gt;14,14,$AF706)</f>
        <v>0</v>
      </c>
      <c r="AH706" s="37">
        <f t="shared" ref="AH706:AH763" si="50">AE706*AG706/14</f>
        <v>0</v>
      </c>
      <c r="AJ706" s="34"/>
      <c r="AK706" s="34"/>
      <c r="AU706" s="34"/>
      <c r="AV706" s="34"/>
    </row>
    <row r="707" spans="31:48" ht="16" x14ac:dyDescent="0.4">
      <c r="AE707" s="93">
        <f t="shared" si="48"/>
        <v>0</v>
      </c>
      <c r="AF707" s="16"/>
      <c r="AG707" s="103">
        <f t="shared" si="49"/>
        <v>0</v>
      </c>
      <c r="AH707" s="37">
        <f t="shared" si="50"/>
        <v>0</v>
      </c>
      <c r="AJ707" s="34"/>
      <c r="AK707" s="34"/>
      <c r="AU707" s="34"/>
      <c r="AV707" s="34"/>
    </row>
    <row r="708" spans="31:48" ht="16" x14ac:dyDescent="0.4">
      <c r="AE708" s="93">
        <f t="shared" si="48"/>
        <v>0</v>
      </c>
      <c r="AF708" s="16"/>
      <c r="AG708" s="103">
        <f t="shared" si="49"/>
        <v>0</v>
      </c>
      <c r="AH708" s="37">
        <f t="shared" si="50"/>
        <v>0</v>
      </c>
      <c r="AJ708" s="34"/>
      <c r="AK708" s="34"/>
      <c r="AU708" s="34"/>
      <c r="AV708" s="34"/>
    </row>
    <row r="709" spans="31:48" ht="16" x14ac:dyDescent="0.4">
      <c r="AE709" s="93">
        <f t="shared" si="48"/>
        <v>0</v>
      </c>
      <c r="AF709" s="16"/>
      <c r="AG709" s="103">
        <f t="shared" si="49"/>
        <v>0</v>
      </c>
      <c r="AH709" s="37">
        <f t="shared" si="50"/>
        <v>0</v>
      </c>
      <c r="AJ709" s="34"/>
      <c r="AK709" s="34"/>
      <c r="AU709" s="34"/>
      <c r="AV709" s="34"/>
    </row>
    <row r="710" spans="31:48" ht="16" x14ac:dyDescent="0.4">
      <c r="AE710" s="93">
        <f t="shared" si="48"/>
        <v>0</v>
      </c>
      <c r="AF710" s="16"/>
      <c r="AG710" s="103">
        <f t="shared" si="49"/>
        <v>0</v>
      </c>
      <c r="AH710" s="37">
        <f t="shared" si="50"/>
        <v>0</v>
      </c>
      <c r="AJ710" s="34"/>
      <c r="AK710" s="34"/>
      <c r="AU710" s="34"/>
      <c r="AV710" s="34"/>
    </row>
    <row r="711" spans="31:48" ht="16" x14ac:dyDescent="0.4">
      <c r="AE711" s="93">
        <f t="shared" si="48"/>
        <v>0</v>
      </c>
      <c r="AF711" s="16"/>
      <c r="AG711" s="103">
        <f t="shared" si="49"/>
        <v>0</v>
      </c>
      <c r="AH711" s="37">
        <f t="shared" si="50"/>
        <v>0</v>
      </c>
      <c r="AJ711" s="34"/>
      <c r="AK711" s="34"/>
      <c r="AU711" s="34"/>
      <c r="AV711" s="34"/>
    </row>
    <row r="712" spans="31:48" ht="16" x14ac:dyDescent="0.4">
      <c r="AE712" s="93">
        <f t="shared" si="48"/>
        <v>0</v>
      </c>
      <c r="AF712" s="16"/>
      <c r="AG712" s="103">
        <f t="shared" si="49"/>
        <v>0</v>
      </c>
      <c r="AH712" s="37">
        <f t="shared" si="50"/>
        <v>0</v>
      </c>
      <c r="AJ712" s="34"/>
      <c r="AK712" s="34"/>
      <c r="AU712" s="34"/>
      <c r="AV712" s="34"/>
    </row>
    <row r="713" spans="31:48" ht="16" x14ac:dyDescent="0.4">
      <c r="AE713" s="93">
        <f t="shared" si="48"/>
        <v>0</v>
      </c>
      <c r="AF713" s="16"/>
      <c r="AG713" s="103">
        <f t="shared" si="49"/>
        <v>0</v>
      </c>
      <c r="AH713" s="37">
        <f t="shared" si="50"/>
        <v>0</v>
      </c>
      <c r="AJ713" s="34"/>
      <c r="AK713" s="34"/>
      <c r="AU713" s="34"/>
      <c r="AV713" s="34"/>
    </row>
    <row r="714" spans="31:48" ht="16" x14ac:dyDescent="0.4">
      <c r="AE714" s="93">
        <f t="shared" si="48"/>
        <v>0</v>
      </c>
      <c r="AF714" s="16"/>
      <c r="AG714" s="103">
        <f t="shared" si="49"/>
        <v>0</v>
      </c>
      <c r="AH714" s="37">
        <f t="shared" si="50"/>
        <v>0</v>
      </c>
      <c r="AJ714" s="34"/>
      <c r="AK714" s="34"/>
      <c r="AU714" s="34"/>
      <c r="AV714" s="34"/>
    </row>
    <row r="715" spans="31:48" ht="16" x14ac:dyDescent="0.4">
      <c r="AE715" s="93">
        <f t="shared" si="48"/>
        <v>0</v>
      </c>
      <c r="AF715" s="16"/>
      <c r="AG715" s="103">
        <f t="shared" si="49"/>
        <v>0</v>
      </c>
      <c r="AH715" s="37">
        <f t="shared" si="50"/>
        <v>0</v>
      </c>
      <c r="AJ715" s="34"/>
      <c r="AK715" s="34"/>
      <c r="AU715" s="34"/>
      <c r="AV715" s="34"/>
    </row>
    <row r="716" spans="31:48" ht="16" x14ac:dyDescent="0.4">
      <c r="AE716" s="93">
        <f t="shared" si="48"/>
        <v>0</v>
      </c>
      <c r="AF716" s="16"/>
      <c r="AG716" s="103">
        <f t="shared" si="49"/>
        <v>0</v>
      </c>
      <c r="AH716" s="37">
        <f t="shared" si="50"/>
        <v>0</v>
      </c>
      <c r="AJ716" s="34"/>
      <c r="AK716" s="34"/>
      <c r="AU716" s="34"/>
      <c r="AV716" s="34"/>
    </row>
    <row r="717" spans="31:48" ht="16" x14ac:dyDescent="0.4">
      <c r="AE717" s="93">
        <f t="shared" si="48"/>
        <v>0</v>
      </c>
      <c r="AF717" s="16"/>
      <c r="AG717" s="103">
        <f t="shared" si="49"/>
        <v>0</v>
      </c>
      <c r="AH717" s="37">
        <f t="shared" si="50"/>
        <v>0</v>
      </c>
      <c r="AJ717" s="34"/>
      <c r="AK717" s="34"/>
      <c r="AU717" s="34"/>
      <c r="AV717" s="34"/>
    </row>
    <row r="718" spans="31:48" ht="16" x14ac:dyDescent="0.4">
      <c r="AE718" s="93">
        <f t="shared" si="48"/>
        <v>0</v>
      </c>
      <c r="AF718" s="16"/>
      <c r="AG718" s="103">
        <f t="shared" si="49"/>
        <v>0</v>
      </c>
      <c r="AH718" s="37">
        <f t="shared" si="50"/>
        <v>0</v>
      </c>
      <c r="AJ718" s="34"/>
      <c r="AK718" s="34"/>
      <c r="AU718" s="34"/>
      <c r="AV718" s="34"/>
    </row>
    <row r="719" spans="31:48" ht="16" x14ac:dyDescent="0.4">
      <c r="AE719" s="93">
        <f t="shared" si="48"/>
        <v>0</v>
      </c>
      <c r="AF719" s="16"/>
      <c r="AG719" s="103">
        <f t="shared" si="49"/>
        <v>0</v>
      </c>
      <c r="AH719" s="37">
        <f t="shared" si="50"/>
        <v>0</v>
      </c>
      <c r="AJ719" s="34"/>
      <c r="AK719" s="34"/>
      <c r="AU719" s="34"/>
      <c r="AV719" s="34"/>
    </row>
    <row r="720" spans="31:48" ht="16" x14ac:dyDescent="0.4">
      <c r="AE720" s="93">
        <f t="shared" si="48"/>
        <v>0</v>
      </c>
      <c r="AF720" s="16"/>
      <c r="AG720" s="103">
        <f t="shared" si="49"/>
        <v>0</v>
      </c>
      <c r="AH720" s="37">
        <f t="shared" si="50"/>
        <v>0</v>
      </c>
      <c r="AJ720" s="34"/>
      <c r="AK720" s="34"/>
      <c r="AU720" s="34"/>
      <c r="AV720" s="34"/>
    </row>
    <row r="721" spans="31:48" ht="16" x14ac:dyDescent="0.4">
      <c r="AE721" s="93">
        <f t="shared" si="48"/>
        <v>0</v>
      </c>
      <c r="AF721" s="16"/>
      <c r="AG721" s="103">
        <f t="shared" si="49"/>
        <v>0</v>
      </c>
      <c r="AH721" s="37">
        <f t="shared" si="50"/>
        <v>0</v>
      </c>
      <c r="AJ721" s="34"/>
      <c r="AK721" s="34"/>
      <c r="AU721" s="34"/>
      <c r="AV721" s="34"/>
    </row>
    <row r="722" spans="31:48" ht="16" x14ac:dyDescent="0.4">
      <c r="AE722" s="93">
        <f t="shared" si="48"/>
        <v>0</v>
      </c>
      <c r="AF722" s="16"/>
      <c r="AG722" s="103">
        <f t="shared" si="49"/>
        <v>0</v>
      </c>
      <c r="AH722" s="37">
        <f t="shared" si="50"/>
        <v>0</v>
      </c>
      <c r="AJ722" s="34"/>
      <c r="AK722" s="34"/>
      <c r="AU722" s="34"/>
      <c r="AV722" s="34"/>
    </row>
    <row r="723" spans="31:48" ht="16" x14ac:dyDescent="0.4">
      <c r="AE723" s="93">
        <f t="shared" si="48"/>
        <v>0</v>
      </c>
      <c r="AF723" s="16"/>
      <c r="AG723" s="103">
        <f t="shared" si="49"/>
        <v>0</v>
      </c>
      <c r="AH723" s="37">
        <f t="shared" si="50"/>
        <v>0</v>
      </c>
      <c r="AJ723" s="34"/>
      <c r="AK723" s="34"/>
      <c r="AU723" s="34"/>
      <c r="AV723" s="34"/>
    </row>
    <row r="724" spans="31:48" ht="16" x14ac:dyDescent="0.4">
      <c r="AE724" s="93">
        <f t="shared" si="48"/>
        <v>0</v>
      </c>
      <c r="AF724" s="16"/>
      <c r="AG724" s="103">
        <f t="shared" si="49"/>
        <v>0</v>
      </c>
      <c r="AH724" s="37">
        <f t="shared" si="50"/>
        <v>0</v>
      </c>
      <c r="AJ724" s="34"/>
      <c r="AK724" s="34"/>
      <c r="AU724" s="34"/>
      <c r="AV724" s="34"/>
    </row>
    <row r="725" spans="31:48" ht="16" x14ac:dyDescent="0.4">
      <c r="AE725" s="93">
        <f t="shared" si="48"/>
        <v>0</v>
      </c>
      <c r="AF725" s="16"/>
      <c r="AG725" s="103">
        <f t="shared" si="49"/>
        <v>0</v>
      </c>
      <c r="AH725" s="37">
        <f t="shared" si="50"/>
        <v>0</v>
      </c>
      <c r="AJ725" s="34"/>
      <c r="AK725" s="34"/>
      <c r="AU725" s="34"/>
      <c r="AV725" s="34"/>
    </row>
    <row r="726" spans="31:48" ht="16" x14ac:dyDescent="0.4">
      <c r="AE726" s="93">
        <f t="shared" si="48"/>
        <v>0</v>
      </c>
      <c r="AF726" s="16"/>
      <c r="AG726" s="103">
        <f t="shared" si="49"/>
        <v>0</v>
      </c>
      <c r="AH726" s="37">
        <f t="shared" si="50"/>
        <v>0</v>
      </c>
      <c r="AJ726" s="34"/>
      <c r="AK726" s="34"/>
      <c r="AU726" s="34"/>
      <c r="AV726" s="34"/>
    </row>
    <row r="727" spans="31:48" ht="16" x14ac:dyDescent="0.4">
      <c r="AE727" s="93">
        <f t="shared" si="48"/>
        <v>0</v>
      </c>
      <c r="AF727" s="16"/>
      <c r="AG727" s="103">
        <f t="shared" si="49"/>
        <v>0</v>
      </c>
      <c r="AH727" s="37">
        <f t="shared" si="50"/>
        <v>0</v>
      </c>
      <c r="AJ727" s="34"/>
      <c r="AK727" s="34"/>
      <c r="AU727" s="34"/>
      <c r="AV727" s="34"/>
    </row>
    <row r="728" spans="31:48" ht="16" x14ac:dyDescent="0.4">
      <c r="AE728" s="93">
        <f t="shared" si="48"/>
        <v>0</v>
      </c>
      <c r="AF728" s="16"/>
      <c r="AG728" s="103">
        <f t="shared" si="49"/>
        <v>0</v>
      </c>
      <c r="AH728" s="37">
        <f t="shared" si="50"/>
        <v>0</v>
      </c>
      <c r="AJ728" s="34"/>
      <c r="AK728" s="34"/>
      <c r="AU728" s="34"/>
      <c r="AV728" s="34"/>
    </row>
    <row r="729" spans="31:48" ht="16" x14ac:dyDescent="0.4">
      <c r="AE729" s="93">
        <f t="shared" si="48"/>
        <v>0</v>
      </c>
      <c r="AF729" s="16"/>
      <c r="AG729" s="103">
        <f t="shared" si="49"/>
        <v>0</v>
      </c>
      <c r="AH729" s="37">
        <f t="shared" si="50"/>
        <v>0</v>
      </c>
      <c r="AJ729" s="34"/>
      <c r="AK729" s="34"/>
      <c r="AU729" s="34"/>
      <c r="AV729" s="34"/>
    </row>
    <row r="730" spans="31:48" ht="16" x14ac:dyDescent="0.4">
      <c r="AE730" s="93">
        <f t="shared" si="48"/>
        <v>0</v>
      </c>
      <c r="AF730" s="16"/>
      <c r="AG730" s="103">
        <f t="shared" si="49"/>
        <v>0</v>
      </c>
      <c r="AH730" s="37">
        <f t="shared" si="50"/>
        <v>0</v>
      </c>
      <c r="AJ730" s="34"/>
      <c r="AK730" s="34"/>
      <c r="AU730" s="34"/>
      <c r="AV730" s="34"/>
    </row>
    <row r="731" spans="31:48" ht="16" x14ac:dyDescent="0.4">
      <c r="AE731" s="93">
        <f t="shared" si="48"/>
        <v>0</v>
      </c>
      <c r="AF731" s="16"/>
      <c r="AG731" s="103">
        <f t="shared" si="49"/>
        <v>0</v>
      </c>
      <c r="AH731" s="37">
        <f t="shared" si="50"/>
        <v>0</v>
      </c>
      <c r="AJ731" s="34"/>
      <c r="AK731" s="34"/>
      <c r="AU731" s="34"/>
      <c r="AV731" s="34"/>
    </row>
    <row r="732" spans="31:48" ht="16" x14ac:dyDescent="0.4">
      <c r="AE732" s="93">
        <f t="shared" si="48"/>
        <v>0</v>
      </c>
      <c r="AF732" s="16"/>
      <c r="AG732" s="103">
        <f t="shared" si="49"/>
        <v>0</v>
      </c>
      <c r="AH732" s="37">
        <f t="shared" si="50"/>
        <v>0</v>
      </c>
      <c r="AJ732" s="34"/>
      <c r="AK732" s="34"/>
      <c r="AU732" s="34"/>
      <c r="AV732" s="34"/>
    </row>
    <row r="733" spans="31:48" ht="16" x14ac:dyDescent="0.4">
      <c r="AE733" s="93">
        <f t="shared" si="48"/>
        <v>0</v>
      </c>
      <c r="AF733" s="16"/>
      <c r="AG733" s="103">
        <f t="shared" si="49"/>
        <v>0</v>
      </c>
      <c r="AH733" s="37">
        <f t="shared" si="50"/>
        <v>0</v>
      </c>
      <c r="AJ733" s="34"/>
      <c r="AK733" s="34"/>
      <c r="AU733" s="34"/>
      <c r="AV733" s="34"/>
    </row>
    <row r="734" spans="31:48" ht="16" x14ac:dyDescent="0.4">
      <c r="AE734" s="93">
        <f t="shared" si="48"/>
        <v>0</v>
      </c>
      <c r="AF734" s="16"/>
      <c r="AG734" s="103">
        <f t="shared" si="49"/>
        <v>0</v>
      </c>
      <c r="AH734" s="37">
        <f t="shared" si="50"/>
        <v>0</v>
      </c>
      <c r="AJ734" s="34"/>
      <c r="AK734" s="34"/>
      <c r="AU734" s="34"/>
      <c r="AV734" s="34"/>
    </row>
    <row r="735" spans="31:48" ht="16" x14ac:dyDescent="0.4">
      <c r="AE735" s="93">
        <f t="shared" si="48"/>
        <v>0</v>
      </c>
      <c r="AF735" s="16"/>
      <c r="AG735" s="103">
        <f t="shared" si="49"/>
        <v>0</v>
      </c>
      <c r="AH735" s="37">
        <f t="shared" si="50"/>
        <v>0</v>
      </c>
      <c r="AJ735" s="34"/>
      <c r="AK735" s="34"/>
      <c r="AU735" s="34"/>
      <c r="AV735" s="34"/>
    </row>
    <row r="736" spans="31:48" ht="16" x14ac:dyDescent="0.4">
      <c r="AE736" s="93">
        <f t="shared" si="48"/>
        <v>0</v>
      </c>
      <c r="AF736" s="16"/>
      <c r="AG736" s="103">
        <f t="shared" si="49"/>
        <v>0</v>
      </c>
      <c r="AH736" s="37">
        <f t="shared" si="50"/>
        <v>0</v>
      </c>
      <c r="AJ736" s="34"/>
      <c r="AK736" s="34"/>
      <c r="AU736" s="34"/>
      <c r="AV736" s="34"/>
    </row>
    <row r="737" spans="31:48" ht="16" x14ac:dyDescent="0.4">
      <c r="AE737" s="93">
        <f t="shared" si="48"/>
        <v>0</v>
      </c>
      <c r="AF737" s="16"/>
      <c r="AG737" s="103">
        <f t="shared" si="49"/>
        <v>0</v>
      </c>
      <c r="AH737" s="37">
        <f t="shared" si="50"/>
        <v>0</v>
      </c>
      <c r="AJ737" s="34"/>
      <c r="AK737" s="34"/>
      <c r="AU737" s="34"/>
      <c r="AV737" s="34"/>
    </row>
    <row r="738" spans="31:48" ht="16" x14ac:dyDescent="0.4">
      <c r="AE738" s="93">
        <f t="shared" si="48"/>
        <v>0</v>
      </c>
      <c r="AF738" s="16"/>
      <c r="AG738" s="103">
        <f t="shared" si="49"/>
        <v>0</v>
      </c>
      <c r="AH738" s="37">
        <f t="shared" si="50"/>
        <v>0</v>
      </c>
      <c r="AJ738" s="34"/>
      <c r="AK738" s="34"/>
      <c r="AU738" s="34"/>
      <c r="AV738" s="34"/>
    </row>
    <row r="739" spans="31:48" ht="16" x14ac:dyDescent="0.4">
      <c r="AE739" s="93">
        <f t="shared" si="48"/>
        <v>0</v>
      </c>
      <c r="AF739" s="16"/>
      <c r="AG739" s="103">
        <f t="shared" si="49"/>
        <v>0</v>
      </c>
      <c r="AH739" s="37">
        <f t="shared" si="50"/>
        <v>0</v>
      </c>
      <c r="AJ739" s="34"/>
      <c r="AK739" s="34"/>
      <c r="AU739" s="34"/>
      <c r="AV739" s="34"/>
    </row>
    <row r="740" spans="31:48" ht="16" x14ac:dyDescent="0.4">
      <c r="AE740" s="93">
        <f t="shared" si="48"/>
        <v>0</v>
      </c>
      <c r="AF740" s="16"/>
      <c r="AG740" s="103">
        <f t="shared" si="49"/>
        <v>0</v>
      </c>
      <c r="AH740" s="37">
        <f t="shared" si="50"/>
        <v>0</v>
      </c>
      <c r="AJ740" s="34"/>
      <c r="AK740" s="34"/>
      <c r="AU740" s="34"/>
      <c r="AV740" s="34"/>
    </row>
    <row r="741" spans="31:48" ht="16" x14ac:dyDescent="0.4">
      <c r="AE741" s="93">
        <f t="shared" si="48"/>
        <v>0</v>
      </c>
      <c r="AF741" s="16"/>
      <c r="AG741" s="103">
        <f t="shared" si="49"/>
        <v>0</v>
      </c>
      <c r="AH741" s="37">
        <f t="shared" si="50"/>
        <v>0</v>
      </c>
      <c r="AJ741" s="34"/>
      <c r="AK741" s="34"/>
      <c r="AU741" s="34"/>
      <c r="AV741" s="34"/>
    </row>
    <row r="742" spans="31:48" ht="16" x14ac:dyDescent="0.4">
      <c r="AE742" s="93">
        <f t="shared" si="48"/>
        <v>0</v>
      </c>
      <c r="AF742" s="16"/>
      <c r="AG742" s="103">
        <f t="shared" si="49"/>
        <v>0</v>
      </c>
      <c r="AH742" s="37">
        <f t="shared" si="50"/>
        <v>0</v>
      </c>
      <c r="AJ742" s="34"/>
      <c r="AK742" s="34"/>
      <c r="AU742" s="34"/>
      <c r="AV742" s="34"/>
    </row>
    <row r="743" spans="31:48" ht="16" x14ac:dyDescent="0.4">
      <c r="AE743" s="93">
        <f t="shared" si="48"/>
        <v>0</v>
      </c>
      <c r="AF743" s="16"/>
      <c r="AG743" s="103">
        <f t="shared" si="49"/>
        <v>0</v>
      </c>
      <c r="AH743" s="37">
        <f t="shared" si="50"/>
        <v>0</v>
      </c>
      <c r="AJ743" s="34"/>
      <c r="AK743" s="34"/>
      <c r="AU743" s="34"/>
      <c r="AV743" s="34"/>
    </row>
    <row r="744" spans="31:48" ht="16" x14ac:dyDescent="0.4">
      <c r="AE744" s="93">
        <f t="shared" si="48"/>
        <v>0</v>
      </c>
      <c r="AF744" s="16"/>
      <c r="AG744" s="103">
        <f t="shared" si="49"/>
        <v>0</v>
      </c>
      <c r="AH744" s="37">
        <f t="shared" si="50"/>
        <v>0</v>
      </c>
      <c r="AJ744" s="34"/>
      <c r="AK744" s="34"/>
      <c r="AU744" s="34"/>
      <c r="AV744" s="34"/>
    </row>
    <row r="745" spans="31:48" ht="16" x14ac:dyDescent="0.4">
      <c r="AE745" s="93">
        <f t="shared" si="48"/>
        <v>0</v>
      </c>
      <c r="AF745" s="16"/>
      <c r="AG745" s="103">
        <f t="shared" si="49"/>
        <v>0</v>
      </c>
      <c r="AH745" s="37">
        <f t="shared" si="50"/>
        <v>0</v>
      </c>
      <c r="AJ745" s="34"/>
      <c r="AK745" s="34"/>
      <c r="AU745" s="34"/>
      <c r="AV745" s="34"/>
    </row>
    <row r="746" spans="31:48" ht="16" x14ac:dyDescent="0.4">
      <c r="AE746" s="93">
        <f t="shared" si="48"/>
        <v>0</v>
      </c>
      <c r="AF746" s="16"/>
      <c r="AG746" s="103">
        <f t="shared" si="49"/>
        <v>0</v>
      </c>
      <c r="AH746" s="37">
        <f t="shared" si="50"/>
        <v>0</v>
      </c>
      <c r="AJ746" s="34"/>
      <c r="AK746" s="34"/>
      <c r="AU746" s="34"/>
      <c r="AV746" s="34"/>
    </row>
    <row r="747" spans="31:48" ht="16" x14ac:dyDescent="0.4">
      <c r="AE747" s="93">
        <f t="shared" si="48"/>
        <v>0</v>
      </c>
      <c r="AF747" s="16"/>
      <c r="AG747" s="103">
        <f t="shared" si="49"/>
        <v>0</v>
      </c>
      <c r="AH747" s="37">
        <f t="shared" si="50"/>
        <v>0</v>
      </c>
      <c r="AJ747" s="34"/>
      <c r="AK747" s="34"/>
      <c r="AU747" s="34"/>
      <c r="AV747" s="34"/>
    </row>
    <row r="748" spans="31:48" ht="16" x14ac:dyDescent="0.4">
      <c r="AE748" s="93">
        <f t="shared" si="48"/>
        <v>0</v>
      </c>
      <c r="AF748" s="16"/>
      <c r="AG748" s="103">
        <f t="shared" si="49"/>
        <v>0</v>
      </c>
      <c r="AH748" s="37">
        <f t="shared" si="50"/>
        <v>0</v>
      </c>
      <c r="AJ748" s="34"/>
      <c r="AK748" s="34"/>
      <c r="AU748" s="34"/>
      <c r="AV748" s="34"/>
    </row>
    <row r="749" spans="31:48" ht="16" x14ac:dyDescent="0.4">
      <c r="AE749" s="93">
        <f t="shared" si="48"/>
        <v>0</v>
      </c>
      <c r="AF749" s="16"/>
      <c r="AG749" s="103">
        <f t="shared" si="49"/>
        <v>0</v>
      </c>
      <c r="AH749" s="37">
        <f t="shared" si="50"/>
        <v>0</v>
      </c>
      <c r="AJ749" s="34"/>
      <c r="AK749" s="34"/>
      <c r="AU749" s="34"/>
      <c r="AV749" s="34"/>
    </row>
    <row r="750" spans="31:48" ht="16" x14ac:dyDescent="0.4">
      <c r="AE750" s="93">
        <f t="shared" si="48"/>
        <v>0</v>
      </c>
      <c r="AF750" s="16"/>
      <c r="AG750" s="103">
        <f t="shared" si="49"/>
        <v>0</v>
      </c>
      <c r="AH750" s="37">
        <f t="shared" si="50"/>
        <v>0</v>
      </c>
      <c r="AJ750" s="34"/>
      <c r="AK750" s="34"/>
      <c r="AU750" s="34"/>
      <c r="AV750" s="34"/>
    </row>
    <row r="751" spans="31:48" ht="16" x14ac:dyDescent="0.4">
      <c r="AE751" s="93">
        <f t="shared" si="48"/>
        <v>0</v>
      </c>
      <c r="AF751" s="16"/>
      <c r="AG751" s="103">
        <f t="shared" si="49"/>
        <v>0</v>
      </c>
      <c r="AH751" s="37">
        <f t="shared" si="50"/>
        <v>0</v>
      </c>
      <c r="AJ751" s="34"/>
      <c r="AK751" s="34"/>
      <c r="AU751" s="34"/>
      <c r="AV751" s="34"/>
    </row>
    <row r="752" spans="31:48" ht="16" x14ac:dyDescent="0.4">
      <c r="AE752" s="93">
        <f t="shared" si="48"/>
        <v>0</v>
      </c>
      <c r="AF752" s="16"/>
      <c r="AG752" s="103">
        <f t="shared" si="49"/>
        <v>0</v>
      </c>
      <c r="AH752" s="37">
        <f t="shared" si="50"/>
        <v>0</v>
      </c>
      <c r="AJ752" s="34"/>
      <c r="AK752" s="34"/>
      <c r="AU752" s="34"/>
      <c r="AV752" s="34"/>
    </row>
    <row r="753" spans="31:48" ht="16" x14ac:dyDescent="0.4">
      <c r="AE753" s="93">
        <f t="shared" si="48"/>
        <v>0</v>
      </c>
      <c r="AF753" s="16"/>
      <c r="AG753" s="103">
        <f t="shared" si="49"/>
        <v>0</v>
      </c>
      <c r="AH753" s="37">
        <f t="shared" si="50"/>
        <v>0</v>
      </c>
      <c r="AJ753" s="34"/>
      <c r="AK753" s="34"/>
      <c r="AU753" s="34"/>
      <c r="AV753" s="34"/>
    </row>
    <row r="754" spans="31:48" ht="16" x14ac:dyDescent="0.4">
      <c r="AE754" s="93">
        <f t="shared" si="48"/>
        <v>0</v>
      </c>
      <c r="AF754" s="16"/>
      <c r="AG754" s="103">
        <f t="shared" si="49"/>
        <v>0</v>
      </c>
      <c r="AH754" s="37">
        <f t="shared" si="50"/>
        <v>0</v>
      </c>
      <c r="AJ754" s="34"/>
      <c r="AK754" s="34"/>
      <c r="AU754" s="34"/>
      <c r="AV754" s="34"/>
    </row>
    <row r="755" spans="31:48" ht="16" x14ac:dyDescent="0.4">
      <c r="AE755" s="93">
        <f t="shared" si="48"/>
        <v>0</v>
      </c>
      <c r="AF755" s="16"/>
      <c r="AG755" s="103">
        <f t="shared" si="49"/>
        <v>0</v>
      </c>
      <c r="AH755" s="37">
        <f t="shared" si="50"/>
        <v>0</v>
      </c>
      <c r="AJ755" s="34"/>
      <c r="AK755" s="34"/>
      <c r="AU755" s="34"/>
      <c r="AV755" s="34"/>
    </row>
    <row r="756" spans="31:48" ht="16" x14ac:dyDescent="0.4">
      <c r="AE756" s="93">
        <f t="shared" si="48"/>
        <v>0</v>
      </c>
      <c r="AF756" s="16"/>
      <c r="AG756" s="103">
        <f t="shared" si="49"/>
        <v>0</v>
      </c>
      <c r="AH756" s="37">
        <f t="shared" si="50"/>
        <v>0</v>
      </c>
      <c r="AJ756" s="34"/>
      <c r="AK756" s="34"/>
      <c r="AU756" s="34"/>
      <c r="AV756" s="34"/>
    </row>
    <row r="757" spans="31:48" ht="16" x14ac:dyDescent="0.4">
      <c r="AE757" s="93">
        <f t="shared" si="48"/>
        <v>0</v>
      </c>
      <c r="AF757" s="16"/>
      <c r="AG757" s="103">
        <f t="shared" si="49"/>
        <v>0</v>
      </c>
      <c r="AH757" s="37">
        <f t="shared" si="50"/>
        <v>0</v>
      </c>
      <c r="AJ757" s="34"/>
      <c r="AK757" s="34"/>
      <c r="AU757" s="34"/>
      <c r="AV757" s="34"/>
    </row>
    <row r="758" spans="31:48" ht="16" x14ac:dyDescent="0.4">
      <c r="AE758" s="93">
        <f t="shared" si="48"/>
        <v>0</v>
      </c>
      <c r="AF758" s="16"/>
      <c r="AG758" s="103">
        <f t="shared" si="49"/>
        <v>0</v>
      </c>
      <c r="AH758" s="37">
        <f t="shared" si="50"/>
        <v>0</v>
      </c>
      <c r="AJ758" s="34"/>
      <c r="AK758" s="34"/>
      <c r="AU758" s="34"/>
      <c r="AV758" s="34"/>
    </row>
    <row r="759" spans="31:48" ht="16" x14ac:dyDescent="0.4">
      <c r="AE759" s="93">
        <f t="shared" si="48"/>
        <v>0</v>
      </c>
      <c r="AF759" s="16"/>
      <c r="AG759" s="103">
        <f t="shared" si="49"/>
        <v>0</v>
      </c>
      <c r="AH759" s="37">
        <f t="shared" si="50"/>
        <v>0</v>
      </c>
      <c r="AJ759" s="34"/>
      <c r="AK759" s="34"/>
      <c r="AU759" s="34"/>
      <c r="AV759" s="34"/>
    </row>
    <row r="760" spans="31:48" ht="16" x14ac:dyDescent="0.4">
      <c r="AE760" s="93">
        <f t="shared" si="48"/>
        <v>0</v>
      </c>
      <c r="AF760" s="16"/>
      <c r="AG760" s="103">
        <f t="shared" si="49"/>
        <v>0</v>
      </c>
      <c r="AH760" s="37">
        <f t="shared" si="50"/>
        <v>0</v>
      </c>
      <c r="AJ760" s="34"/>
      <c r="AK760" s="34"/>
      <c r="AU760" s="34"/>
      <c r="AV760" s="34"/>
    </row>
    <row r="761" spans="31:48" ht="16" x14ac:dyDescent="0.4">
      <c r="AE761" s="93">
        <f t="shared" si="48"/>
        <v>0</v>
      </c>
      <c r="AF761" s="16"/>
      <c r="AG761" s="103">
        <f t="shared" si="49"/>
        <v>0</v>
      </c>
      <c r="AH761" s="37">
        <f t="shared" si="50"/>
        <v>0</v>
      </c>
      <c r="AJ761" s="34"/>
      <c r="AK761" s="34"/>
      <c r="AU761" s="34"/>
      <c r="AV761" s="34"/>
    </row>
    <row r="762" spans="31:48" ht="16" x14ac:dyDescent="0.4">
      <c r="AE762" s="93">
        <f t="shared" si="48"/>
        <v>0</v>
      </c>
      <c r="AF762" s="16"/>
      <c r="AG762" s="103">
        <f t="shared" si="49"/>
        <v>0</v>
      </c>
      <c r="AH762" s="37">
        <f t="shared" si="50"/>
        <v>0</v>
      </c>
      <c r="AJ762" s="34"/>
      <c r="AK762" s="34"/>
      <c r="AU762" s="34"/>
      <c r="AV762" s="34"/>
    </row>
    <row r="763" spans="31:48" ht="16" x14ac:dyDescent="0.4">
      <c r="AE763" s="93">
        <f t="shared" si="48"/>
        <v>0</v>
      </c>
      <c r="AF763" s="16"/>
      <c r="AG763" s="103">
        <f t="shared" si="49"/>
        <v>0</v>
      </c>
      <c r="AH763" s="37">
        <f t="shared" si="50"/>
        <v>0</v>
      </c>
      <c r="AJ763" s="34"/>
      <c r="AK763" s="34"/>
      <c r="AU763" s="34"/>
      <c r="AV763" s="34"/>
    </row>
    <row r="764" spans="31:48" x14ac:dyDescent="0.35">
      <c r="AJ764" s="34"/>
      <c r="AK764" s="34"/>
      <c r="AU764" s="34"/>
      <c r="AV764" s="34"/>
    </row>
    <row r="765" spans="31:48" x14ac:dyDescent="0.35">
      <c r="AJ765" s="34"/>
      <c r="AK765" s="34"/>
      <c r="AU765" s="34"/>
      <c r="AV765" s="34"/>
    </row>
    <row r="766" spans="31:48" x14ac:dyDescent="0.35">
      <c r="AJ766" s="34"/>
      <c r="AK766" s="34"/>
      <c r="AU766" s="34"/>
      <c r="AV766" s="34"/>
    </row>
    <row r="767" spans="31:48" x14ac:dyDescent="0.35">
      <c r="AJ767" s="34"/>
      <c r="AK767" s="34"/>
      <c r="AU767" s="34"/>
      <c r="AV767" s="34"/>
    </row>
    <row r="768" spans="31:48" x14ac:dyDescent="0.35">
      <c r="AJ768" s="34"/>
      <c r="AK768" s="34"/>
      <c r="AU768" s="34"/>
      <c r="AV768" s="34"/>
    </row>
    <row r="769" spans="36:48" x14ac:dyDescent="0.35">
      <c r="AJ769" s="34"/>
      <c r="AK769" s="34"/>
      <c r="AU769" s="34"/>
      <c r="AV769" s="34"/>
    </row>
    <row r="770" spans="36:48" x14ac:dyDescent="0.35">
      <c r="AJ770" s="34"/>
      <c r="AK770" s="34"/>
      <c r="AU770" s="34"/>
      <c r="AV770" s="34"/>
    </row>
    <row r="771" spans="36:48" x14ac:dyDescent="0.35">
      <c r="AJ771" s="34"/>
      <c r="AK771" s="34"/>
      <c r="AU771" s="34"/>
      <c r="AV771" s="34"/>
    </row>
    <row r="772" spans="36:48" x14ac:dyDescent="0.35">
      <c r="AJ772" s="34"/>
      <c r="AK772" s="34"/>
      <c r="AU772" s="34"/>
      <c r="AV772" s="34"/>
    </row>
    <row r="773" spans="36:48" x14ac:dyDescent="0.35">
      <c r="AJ773" s="34"/>
      <c r="AK773" s="34"/>
      <c r="AU773" s="34"/>
      <c r="AV773" s="34"/>
    </row>
    <row r="774" spans="36:48" x14ac:dyDescent="0.35">
      <c r="AJ774" s="34"/>
      <c r="AK774" s="34"/>
      <c r="AU774" s="34"/>
      <c r="AV774" s="34"/>
    </row>
  </sheetData>
  <autoFilter ref="V4:AT487" xr:uid="{F679762A-47DC-4E46-BA92-6E91B14CCD94}"/>
  <mergeCells count="16">
    <mergeCell ref="K8:K9"/>
    <mergeCell ref="B3:L4"/>
    <mergeCell ref="B5:L5"/>
    <mergeCell ref="B6:B9"/>
    <mergeCell ref="C6:F6"/>
    <mergeCell ref="G6:G9"/>
    <mergeCell ref="H6:I6"/>
    <mergeCell ref="J6:K7"/>
    <mergeCell ref="L6:L9"/>
    <mergeCell ref="C7:C9"/>
    <mergeCell ref="D7:D9"/>
    <mergeCell ref="E7:E9"/>
    <mergeCell ref="F7:F9"/>
    <mergeCell ref="H7:H9"/>
    <mergeCell ref="I7:I9"/>
    <mergeCell ref="J8:J9"/>
  </mergeCells>
  <conditionalFormatting sqref="W65:W92 W35:W63 W11:W33">
    <cfRule type="duplicateValues" dxfId="301" priority="41"/>
  </conditionalFormatting>
  <conditionalFormatting sqref="W93:W106">
    <cfRule type="duplicateValues" dxfId="300" priority="20"/>
  </conditionalFormatting>
  <conditionalFormatting sqref="W107:W152">
    <cfRule type="duplicateValues" dxfId="299" priority="1"/>
  </conditionalFormatting>
  <conditionalFormatting sqref="W153:W174">
    <cfRule type="duplicateValues" dxfId="298" priority="5"/>
  </conditionalFormatting>
  <conditionalFormatting sqref="W175:W186">
    <cfRule type="duplicateValues" dxfId="297" priority="23"/>
  </conditionalFormatting>
  <conditionalFormatting sqref="W187:W215">
    <cfRule type="duplicateValues" dxfId="296" priority="22"/>
  </conditionalFormatting>
  <conditionalFormatting sqref="W216:W273">
    <cfRule type="duplicateValues" dxfId="295" priority="4"/>
  </conditionalFormatting>
  <conditionalFormatting sqref="W274:W293">
    <cfRule type="duplicateValues" dxfId="294" priority="19"/>
  </conditionalFormatting>
  <conditionalFormatting sqref="W294:W340">
    <cfRule type="duplicateValues" dxfId="293" priority="21"/>
  </conditionalFormatting>
  <conditionalFormatting sqref="W341:W389">
    <cfRule type="duplicateValues" dxfId="292" priority="25"/>
  </conditionalFormatting>
  <conditionalFormatting sqref="W390:W447">
    <cfRule type="duplicateValues" dxfId="291" priority="24"/>
  </conditionalFormatting>
  <conditionalFormatting sqref="W448">
    <cfRule type="duplicateValues" dxfId="290" priority="26"/>
  </conditionalFormatting>
  <conditionalFormatting sqref="W449:W1048576 W1:W4">
    <cfRule type="duplicateValues" dxfId="289" priority="27"/>
  </conditionalFormatting>
  <conditionalFormatting sqref="AK5:AK8">
    <cfRule type="duplicateValues" dxfId="288" priority="2"/>
  </conditionalFormatting>
  <conditionalFormatting sqref="AK193:AK196 AK28:AK38 AK14 AK1:AK4 AK61:AK106 AK254:AK1048576">
    <cfRule type="duplicateValues" dxfId="287" priority="28"/>
  </conditionalFormatting>
  <conditionalFormatting sqref="AK14 AK254 AK193:AK196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330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1048576 AK14 AK1:AK4 AK193:AK196 AK254">
    <cfRule type="duplicateValues" dxfId="286" priority="37"/>
  </conditionalFormatting>
  <conditionalFormatting sqref="AK331:AK397 AK407:AK680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K402">
    <cfRule type="duplicateValues" dxfId="285" priority="31"/>
  </conditionalFormatting>
  <conditionalFormatting sqref="AK681:AK774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L402">
    <cfRule type="expression" dxfId="284" priority="29">
      <formula>MOD(ROW(),2)=0</formula>
    </cfRule>
  </conditionalFormatting>
  <conditionalFormatting sqref="AN16">
    <cfRule type="duplicateValues" dxfId="283" priority="32"/>
  </conditionalFormatting>
  <conditionalFormatting sqref="AP9:AP15">
    <cfRule type="duplicateValues" dxfId="282" priority="40"/>
  </conditionalFormatting>
  <conditionalFormatting sqref="AP68:AP142 AP17:AP21 AP23:AP63 AP65:AP66 AP145:AP146 AP254:AP330 AP237:AP251 AP9:AP15 AP181:AP229">
    <cfRule type="duplicateValues" dxfId="281" priority="39"/>
  </conditionalFormatting>
  <conditionalFormatting sqref="AP331:AP397">
    <cfRule type="duplicateValues" dxfId="280" priority="33"/>
  </conditionalFormatting>
  <conditionalFormatting sqref="AP398:AP402">
    <cfRule type="expression" dxfId="279" priority="30">
      <formula>MOD(ROW(),2)=0</formula>
    </cfRule>
  </conditionalFormatting>
  <conditionalFormatting sqref="AV193:AV196 AV28:AV38 AV14 AV1:AV4 AV61:AV106 AV254:AV1048576">
    <cfRule type="duplicateValues" dxfId="278" priority="6"/>
  </conditionalFormatting>
  <conditionalFormatting sqref="AV254 AV14 AV193:AV19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33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1048576 AV14 AV1:AV4 AV193:AV196 AV254">
    <cfRule type="duplicateValues" dxfId="277" priority="15"/>
  </conditionalFormatting>
  <conditionalFormatting sqref="AV331:AV397 AV407:AV68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V402">
    <cfRule type="duplicateValues" dxfId="276" priority="9"/>
  </conditionalFormatting>
  <conditionalFormatting sqref="AV681:AV77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W402">
    <cfRule type="expression" dxfId="275" priority="7">
      <formula>MOD(ROW(),2)=0</formula>
    </cfRule>
  </conditionalFormatting>
  <conditionalFormatting sqref="AY16">
    <cfRule type="duplicateValues" dxfId="274" priority="10"/>
  </conditionalFormatting>
  <conditionalFormatting sqref="BA5:BA6 BA9:BA15">
    <cfRule type="duplicateValues" dxfId="273" priority="18"/>
  </conditionalFormatting>
  <conditionalFormatting sqref="BA68:BA142 BA5:BA6 BA17:BA21 BA23:BA63 BA65:BA66 BA145:BA147 BA254:BA330 BA237:BA251 BA9:BA15 BA149:BA229">
    <cfRule type="duplicateValues" dxfId="272" priority="17"/>
  </conditionalFormatting>
  <conditionalFormatting sqref="BA331:BA397">
    <cfRule type="duplicateValues" dxfId="271" priority="11"/>
  </conditionalFormatting>
  <conditionalFormatting sqref="BA398:BA402">
    <cfRule type="expression" dxfId="270" priority="8">
      <formula>MOD(ROW(),2)=0</formula>
    </cfRule>
  </conditionalFormatting>
  <conditionalFormatting sqref="W5:W10">
    <cfRule type="duplicateValues" dxfId="269" priority="187"/>
  </conditionalFormatting>
  <dataValidations count="1">
    <dataValidation type="list" allowBlank="1" showInputMessage="1" showErrorMessage="1" sqref="AC338:AC339 AC72:AC83 AC86:AC98 AC129:AC152 AC154:AC195 AC197:AC336 AC100:AC109 AC111:AC127" xr:uid="{F90A37FC-1CF2-4497-B207-92127FDF3B4C}">
      <formula1>"N/A,CLEAN UP"</formula1>
    </dataValidation>
  </dataValidations>
  <pageMargins left="0.78740157480314965" right="0" top="0.15748031496062992" bottom="0" header="0.31496062992125984" footer="0.31496062992125984"/>
  <pageSetup paperSize="9" fitToHeight="0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59CC-9F71-4A15-A7CF-15E2830BEF25}">
  <sheetPr>
    <pageSetUpPr fitToPage="1"/>
  </sheetPr>
  <dimension ref="B1:BE774"/>
  <sheetViews>
    <sheetView showGridLines="0" topLeftCell="W165" zoomScale="70" zoomScaleNormal="55" workbookViewId="0">
      <selection activeCell="AL184" sqref="AL184"/>
    </sheetView>
  </sheetViews>
  <sheetFormatPr defaultRowHeight="14.5" x14ac:dyDescent="0.35"/>
  <cols>
    <col min="2" max="2" width="15.7265625" customWidth="1"/>
    <col min="3" max="3" width="10.26953125" bestFit="1" customWidth="1"/>
    <col min="4" max="4" width="8.6328125" bestFit="1" customWidth="1"/>
    <col min="5" max="5" width="9.7265625" bestFit="1" customWidth="1"/>
    <col min="6" max="6" width="8.1796875" bestFit="1" customWidth="1"/>
    <col min="7" max="7" width="12.453125" bestFit="1" customWidth="1"/>
    <col min="8" max="8" width="12.81640625" customWidth="1"/>
    <col min="9" max="9" width="13" customWidth="1"/>
    <col min="10" max="10" width="17.453125" customWidth="1"/>
    <col min="11" max="11" width="11.7265625" hidden="1" customWidth="1"/>
    <col min="12" max="12" width="12" customWidth="1"/>
    <col min="14" max="14" width="12.81640625" bestFit="1" customWidth="1"/>
    <col min="15" max="16" width="10.36328125" customWidth="1"/>
    <col min="18" max="18" width="10.1796875" bestFit="1" customWidth="1"/>
    <col min="21" max="21" width="2.453125" style="24" customWidth="1"/>
    <col min="22" max="22" width="13.36328125" customWidth="1"/>
    <col min="24" max="24" width="13.453125" customWidth="1"/>
    <col min="25" max="25" width="13.453125" style="37" customWidth="1"/>
    <col min="26" max="27" width="19.7265625" bestFit="1" customWidth="1"/>
    <col min="28" max="29" width="19.7265625" customWidth="1"/>
    <col min="30" max="30" width="15.54296875" bestFit="1" customWidth="1"/>
    <col min="31" max="31" width="10.81640625" customWidth="1"/>
    <col min="32" max="32" width="19.453125" bestFit="1" customWidth="1"/>
    <col min="33" max="33" width="19.453125" customWidth="1"/>
    <col min="34" max="34" width="24.08984375" bestFit="1" customWidth="1"/>
    <col min="35" max="35" width="2.453125" style="24" customWidth="1"/>
    <col min="36" max="36" width="13.6328125" customWidth="1"/>
    <col min="37" max="37" width="20.90625" bestFit="1" customWidth="1"/>
    <col min="38" max="38" width="11.6328125" customWidth="1"/>
    <col min="39" max="39" width="12.81640625" bestFit="1" customWidth="1"/>
    <col min="40" max="40" width="19.7265625" bestFit="1" customWidth="1"/>
    <col min="41" max="41" width="29.7265625" bestFit="1" customWidth="1"/>
    <col min="42" max="42" width="12.453125" bestFit="1" customWidth="1"/>
    <col min="43" max="45" width="13.26953125" customWidth="1"/>
    <col min="46" max="46" width="2.453125" style="24" customWidth="1"/>
    <col min="47" max="47" width="14.1796875" customWidth="1"/>
    <col min="48" max="48" width="11.453125" customWidth="1"/>
    <col min="49" max="49" width="11.6328125" customWidth="1"/>
    <col min="50" max="50" width="12.81640625" bestFit="1" customWidth="1"/>
    <col min="51" max="51" width="19.7265625" bestFit="1" customWidth="1"/>
    <col min="52" max="52" width="23.08984375" bestFit="1" customWidth="1"/>
    <col min="53" max="53" width="12.453125" bestFit="1" customWidth="1"/>
    <col min="54" max="54" width="13.26953125" customWidth="1"/>
    <col min="55" max="55" width="15.7265625" customWidth="1"/>
    <col min="56" max="56" width="13.26953125" customWidth="1"/>
    <col min="57" max="57" width="2.453125" style="24" customWidth="1"/>
  </cols>
  <sheetData>
    <row r="1" spans="2:56" x14ac:dyDescent="0.35">
      <c r="AA1" s="15" t="s">
        <v>26</v>
      </c>
      <c r="AN1" s="15" t="s">
        <v>26</v>
      </c>
      <c r="AY1" s="15" t="s">
        <v>26</v>
      </c>
    </row>
    <row r="2" spans="2:56" x14ac:dyDescent="0.35">
      <c r="V2" s="15" t="s">
        <v>27</v>
      </c>
      <c r="AJ2" s="15" t="s">
        <v>28</v>
      </c>
      <c r="AK2" s="15"/>
      <c r="AU2" s="15" t="s">
        <v>28</v>
      </c>
      <c r="AV2" s="15"/>
    </row>
    <row r="3" spans="2:56" x14ac:dyDescent="0.35">
      <c r="B3" s="120" t="s">
        <v>25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V3" s="15" t="s">
        <v>33</v>
      </c>
      <c r="AJ3" s="15" t="s">
        <v>1545</v>
      </c>
      <c r="AK3" s="15"/>
      <c r="AU3" s="15" t="s">
        <v>33</v>
      </c>
      <c r="AV3" s="15"/>
    </row>
    <row r="4" spans="2:56" x14ac:dyDescent="0.35"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V4" s="29" t="s">
        <v>0</v>
      </c>
      <c r="W4" s="29" t="s">
        <v>15</v>
      </c>
      <c r="X4" s="29" t="s">
        <v>16</v>
      </c>
      <c r="Y4" s="53" t="s">
        <v>16</v>
      </c>
      <c r="Z4" s="29" t="s">
        <v>17</v>
      </c>
      <c r="AA4" s="29" t="s">
        <v>18</v>
      </c>
      <c r="AB4" s="29" t="s">
        <v>20</v>
      </c>
      <c r="AC4" s="29" t="s">
        <v>21</v>
      </c>
      <c r="AD4" s="29" t="s">
        <v>19</v>
      </c>
      <c r="AE4" s="29" t="s">
        <v>44</v>
      </c>
      <c r="AF4" s="53" t="s">
        <v>43</v>
      </c>
      <c r="AG4" s="53" t="s">
        <v>46</v>
      </c>
      <c r="AH4" s="53" t="s">
        <v>41</v>
      </c>
      <c r="AJ4" s="29" t="s">
        <v>0</v>
      </c>
      <c r="AK4" s="29" t="s">
        <v>37</v>
      </c>
      <c r="AL4" s="29" t="s">
        <v>16</v>
      </c>
      <c r="AM4" s="29" t="s">
        <v>16</v>
      </c>
      <c r="AN4" s="29" t="s">
        <v>17</v>
      </c>
      <c r="AO4" s="29" t="s">
        <v>18</v>
      </c>
      <c r="AP4" s="29" t="s">
        <v>19</v>
      </c>
      <c r="AQ4" s="29" t="s">
        <v>34</v>
      </c>
      <c r="AR4" s="29" t="s">
        <v>39</v>
      </c>
      <c r="AS4" s="29" t="s">
        <v>47</v>
      </c>
      <c r="AU4" s="29" t="s">
        <v>0</v>
      </c>
      <c r="AV4" s="29" t="s">
        <v>37</v>
      </c>
      <c r="AW4" s="29" t="s">
        <v>16</v>
      </c>
      <c r="AX4" s="29" t="s">
        <v>16</v>
      </c>
      <c r="AY4" s="29" t="s">
        <v>17</v>
      </c>
      <c r="AZ4" s="29" t="s">
        <v>18</v>
      </c>
      <c r="BA4" s="29" t="s">
        <v>19</v>
      </c>
      <c r="BB4" s="29" t="s">
        <v>34</v>
      </c>
      <c r="BC4" s="29" t="s">
        <v>39</v>
      </c>
      <c r="BD4" s="29" t="s">
        <v>47</v>
      </c>
    </row>
    <row r="5" spans="2:56" ht="24" thickBot="1" x14ac:dyDescent="0.6">
      <c r="B5" s="121" t="s">
        <v>2318</v>
      </c>
      <c r="C5" s="121"/>
      <c r="D5" s="121"/>
      <c r="E5" s="121"/>
      <c r="F5" s="121"/>
      <c r="G5" s="121"/>
      <c r="H5" s="122"/>
      <c r="I5" s="122"/>
      <c r="J5" s="122"/>
      <c r="K5" s="122"/>
      <c r="L5" s="122"/>
      <c r="V5" s="97">
        <v>45931</v>
      </c>
      <c r="W5" s="16">
        <v>202503</v>
      </c>
      <c r="X5" s="101" t="s">
        <v>36</v>
      </c>
      <c r="Y5" s="105"/>
      <c r="Z5" s="102">
        <v>0.72361111111111109</v>
      </c>
      <c r="AA5" s="102">
        <v>3.6111111111111115E-2</v>
      </c>
      <c r="AB5" s="16"/>
      <c r="AC5" s="16"/>
      <c r="AD5" s="93">
        <v>21960</v>
      </c>
      <c r="AE5" s="93">
        <f t="shared" ref="AE5" si="0">AD5/1000</f>
        <v>21.96</v>
      </c>
      <c r="AF5" s="16">
        <v>14.38</v>
      </c>
      <c r="AG5" s="103">
        <f t="shared" ref="AG5:AG68" si="1">IF($AF5&gt;14,14,$AF5)</f>
        <v>14</v>
      </c>
      <c r="AH5" s="37">
        <f t="shared" ref="AH5:AH68" si="2">AE5*AG5/14</f>
        <v>21.96</v>
      </c>
      <c r="AJ5" s="97">
        <v>45931</v>
      </c>
      <c r="AK5" t="s">
        <v>2319</v>
      </c>
      <c r="AL5" t="s">
        <v>5</v>
      </c>
      <c r="AN5" s="81" t="s">
        <v>2356</v>
      </c>
      <c r="AO5" s="81" t="s">
        <v>2356</v>
      </c>
      <c r="AP5" s="37">
        <v>3340</v>
      </c>
      <c r="AR5" s="97"/>
      <c r="AU5" s="97"/>
      <c r="AY5" s="81"/>
      <c r="AZ5" s="81"/>
      <c r="BA5" s="37"/>
      <c r="BC5" s="97"/>
    </row>
    <row r="6" spans="2:56" ht="28.5" customHeight="1" x14ac:dyDescent="0.4">
      <c r="B6" s="123" t="s">
        <v>0</v>
      </c>
      <c r="C6" s="126" t="s">
        <v>1</v>
      </c>
      <c r="D6" s="127"/>
      <c r="E6" s="127"/>
      <c r="F6" s="128"/>
      <c r="G6" s="129" t="s">
        <v>2</v>
      </c>
      <c r="H6" s="132" t="s">
        <v>40</v>
      </c>
      <c r="I6" s="133"/>
      <c r="J6" s="134" t="s">
        <v>35</v>
      </c>
      <c r="K6" s="135"/>
      <c r="L6" s="138" t="s">
        <v>2</v>
      </c>
      <c r="V6" s="97">
        <v>45931</v>
      </c>
      <c r="W6" s="16">
        <v>202512</v>
      </c>
      <c r="X6" s="101" t="s">
        <v>36</v>
      </c>
      <c r="Y6" s="105"/>
      <c r="Z6" s="102">
        <v>0.90277777777777779</v>
      </c>
      <c r="AA6" s="102">
        <v>9.8611111111111108E-2</v>
      </c>
      <c r="AB6" s="16"/>
      <c r="AC6" s="16"/>
      <c r="AD6" s="93">
        <v>21742</v>
      </c>
      <c r="AE6" s="93">
        <f t="shared" ref="AE6:AE65" si="3">AD6/1000</f>
        <v>21.742000000000001</v>
      </c>
      <c r="AF6" s="16">
        <v>14.13</v>
      </c>
      <c r="AG6" s="103">
        <f t="shared" si="1"/>
        <v>14</v>
      </c>
      <c r="AH6" s="37">
        <f t="shared" si="2"/>
        <v>21.742000000000001</v>
      </c>
      <c r="AJ6" s="97">
        <v>45931</v>
      </c>
      <c r="AK6" t="s">
        <v>2320</v>
      </c>
      <c r="AL6" t="s">
        <v>5</v>
      </c>
      <c r="AN6" s="81" t="s">
        <v>2357</v>
      </c>
      <c r="AO6" t="s">
        <v>2357</v>
      </c>
      <c r="AP6" s="37">
        <v>2750</v>
      </c>
      <c r="AR6" s="97"/>
      <c r="AU6" s="97"/>
      <c r="AY6" s="81"/>
      <c r="BA6" s="37"/>
      <c r="BC6" s="97"/>
    </row>
    <row r="7" spans="2:56" ht="15.5" customHeight="1" x14ac:dyDescent="0.4">
      <c r="B7" s="124"/>
      <c r="C7" s="141" t="s">
        <v>36</v>
      </c>
      <c r="D7" s="143" t="s">
        <v>5</v>
      </c>
      <c r="E7" s="146" t="s">
        <v>4</v>
      </c>
      <c r="F7" s="141">
        <v>104</v>
      </c>
      <c r="G7" s="130"/>
      <c r="H7" s="149" t="s">
        <v>41</v>
      </c>
      <c r="I7" s="152" t="s">
        <v>42</v>
      </c>
      <c r="J7" s="136"/>
      <c r="K7" s="137"/>
      <c r="L7" s="139"/>
      <c r="N7" s="15" t="s">
        <v>32</v>
      </c>
      <c r="V7" s="97">
        <v>45931</v>
      </c>
      <c r="W7" s="16">
        <v>202524</v>
      </c>
      <c r="X7" s="101" t="s">
        <v>36</v>
      </c>
      <c r="Y7" s="105"/>
      <c r="Z7" s="102">
        <v>0.93958333333333333</v>
      </c>
      <c r="AA7" s="102">
        <v>0.15069444444444444</v>
      </c>
      <c r="AB7" s="16"/>
      <c r="AC7" s="16"/>
      <c r="AD7" s="93">
        <v>21904</v>
      </c>
      <c r="AE7" s="93">
        <f t="shared" si="3"/>
        <v>21.904</v>
      </c>
      <c r="AF7" s="16">
        <v>14.48</v>
      </c>
      <c r="AG7" s="103">
        <f t="shared" si="1"/>
        <v>14</v>
      </c>
      <c r="AH7" s="37">
        <f t="shared" si="2"/>
        <v>21.904</v>
      </c>
      <c r="AJ7" s="97">
        <v>45931</v>
      </c>
      <c r="AK7" t="s">
        <v>2321</v>
      </c>
      <c r="AL7" t="s">
        <v>5</v>
      </c>
      <c r="AN7" s="81" t="s">
        <v>2358</v>
      </c>
      <c r="AO7" s="81" t="s">
        <v>2358</v>
      </c>
      <c r="AP7" s="37">
        <v>3070</v>
      </c>
      <c r="AR7" s="97"/>
      <c r="AU7" s="97"/>
      <c r="AY7" s="81"/>
      <c r="AZ7" s="81"/>
      <c r="BA7" s="37"/>
      <c r="BC7" s="97"/>
    </row>
    <row r="8" spans="2:56" ht="15" customHeight="1" thickBot="1" x14ac:dyDescent="0.45">
      <c r="B8" s="124"/>
      <c r="C8" s="141"/>
      <c r="D8" s="144"/>
      <c r="E8" s="147"/>
      <c r="F8" s="141"/>
      <c r="G8" s="130"/>
      <c r="H8" s="150"/>
      <c r="I8" s="153"/>
      <c r="J8" s="155" t="s">
        <v>22</v>
      </c>
      <c r="K8" s="118" t="s">
        <v>5</v>
      </c>
      <c r="L8" s="139"/>
      <c r="N8" s="15" t="s">
        <v>38</v>
      </c>
      <c r="V8" s="97">
        <v>45931</v>
      </c>
      <c r="W8" s="16">
        <v>202536</v>
      </c>
      <c r="X8" s="101" t="s">
        <v>36</v>
      </c>
      <c r="Y8" s="105"/>
      <c r="Z8" s="102">
        <v>0.90277777777777779</v>
      </c>
      <c r="AA8" s="102">
        <v>0.21666666666666667</v>
      </c>
      <c r="AB8" s="16"/>
      <c r="AC8" s="16"/>
      <c r="AD8" s="93">
        <v>19100</v>
      </c>
      <c r="AE8" s="93">
        <f t="shared" si="3"/>
        <v>19.100000000000001</v>
      </c>
      <c r="AF8" s="16">
        <v>15.38</v>
      </c>
      <c r="AG8" s="103">
        <f t="shared" si="1"/>
        <v>14</v>
      </c>
      <c r="AH8" s="37">
        <f t="shared" si="2"/>
        <v>19.100000000000001</v>
      </c>
      <c r="AJ8" s="97">
        <v>45931</v>
      </c>
      <c r="AK8" t="s">
        <v>2322</v>
      </c>
      <c r="AL8" t="s">
        <v>5</v>
      </c>
      <c r="AM8" s="16"/>
      <c r="AN8" s="81" t="s">
        <v>2359</v>
      </c>
      <c r="AO8" s="81" t="s">
        <v>2359</v>
      </c>
      <c r="AP8" s="37">
        <v>4430</v>
      </c>
      <c r="AR8" s="97"/>
      <c r="AU8" s="97"/>
      <c r="AX8" s="16"/>
      <c r="AY8" s="81"/>
      <c r="AZ8" s="81"/>
      <c r="BA8" s="37"/>
      <c r="BC8" s="97"/>
    </row>
    <row r="9" spans="2:56" ht="16.5" thickBot="1" x14ac:dyDescent="0.45">
      <c r="B9" s="125"/>
      <c r="C9" s="142"/>
      <c r="D9" s="145"/>
      <c r="E9" s="148"/>
      <c r="F9" s="142"/>
      <c r="G9" s="131"/>
      <c r="H9" s="151"/>
      <c r="I9" s="154"/>
      <c r="J9" s="156"/>
      <c r="K9" s="119"/>
      <c r="L9" s="140"/>
      <c r="N9" s="25" t="s">
        <v>36</v>
      </c>
      <c r="O9" s="26" t="s">
        <v>5</v>
      </c>
      <c r="P9" s="35" t="s">
        <v>4</v>
      </c>
      <c r="Q9" s="27" t="s">
        <v>23</v>
      </c>
      <c r="V9" s="97">
        <v>45931</v>
      </c>
      <c r="W9" s="16">
        <v>202619</v>
      </c>
      <c r="X9" s="101" t="s">
        <v>36</v>
      </c>
      <c r="Y9" s="105"/>
      <c r="Z9" s="102">
        <v>0.19348379629629631</v>
      </c>
      <c r="AA9" s="102">
        <v>0.3394328703703704</v>
      </c>
      <c r="AB9" s="16"/>
      <c r="AC9" s="16"/>
      <c r="AD9" s="93">
        <v>20958</v>
      </c>
      <c r="AE9" s="93">
        <f t="shared" si="3"/>
        <v>20.957999999999998</v>
      </c>
      <c r="AF9" s="16">
        <v>13.13</v>
      </c>
      <c r="AG9" s="103">
        <f t="shared" si="1"/>
        <v>13.13</v>
      </c>
      <c r="AH9" s="37">
        <f t="shared" si="2"/>
        <v>19.655609999999999</v>
      </c>
      <c r="AJ9" s="97">
        <v>45931</v>
      </c>
      <c r="AK9" t="s">
        <v>2323</v>
      </c>
      <c r="AL9" t="s">
        <v>5</v>
      </c>
      <c r="AM9" s="16"/>
      <c r="AN9" s="39" t="s">
        <v>2360</v>
      </c>
      <c r="AO9" s="39" t="s">
        <v>2360</v>
      </c>
      <c r="AP9" s="37">
        <v>3480</v>
      </c>
      <c r="AR9" s="97"/>
      <c r="AU9" s="97"/>
      <c r="AX9" s="16"/>
      <c r="AY9" s="39"/>
      <c r="AZ9" s="39"/>
      <c r="BA9" s="37"/>
      <c r="BC9" s="97"/>
    </row>
    <row r="10" spans="2:56" ht="16" x14ac:dyDescent="0.4">
      <c r="B10" s="60">
        <v>45931</v>
      </c>
      <c r="C10" s="61">
        <f t="shared" ref="C10:C40" si="4">SUMIFS($AE:$AE,$V:$V,$B10,$X:$X,C$7)-$J10</f>
        <v>290.03399999999999</v>
      </c>
      <c r="D10" s="61">
        <f t="shared" ref="D10:E39" si="5">SUMIFS($AP:$AP,$AJ:$AJ,$B10,$AL:$AL,D$7)/1000</f>
        <v>38.29</v>
      </c>
      <c r="E10" s="62">
        <f t="shared" si="5"/>
        <v>0</v>
      </c>
      <c r="F10" s="63">
        <f t="shared" ref="F10:F40" si="6">SUMIFS($AD:$AD,$V:$V,$B10,$AB:$AB,$F$7)/1000</f>
        <v>0</v>
      </c>
      <c r="G10" s="64">
        <f>SUM(C10:E10)</f>
        <v>328.32400000000001</v>
      </c>
      <c r="H10" s="65">
        <f t="shared" ref="H10:H40" si="7">SUMIF($V:$V,$B10,$AH:$AH)</f>
        <v>288.73160999999999</v>
      </c>
      <c r="I10" s="66">
        <f>H10+D10+E10</f>
        <v>327.02161000000001</v>
      </c>
      <c r="J10" s="70">
        <f t="shared" ref="J10:J40" si="8">SUMIFS($AE:$AE,$V:$V,$B10,$AC:$AC,$J$8)</f>
        <v>0</v>
      </c>
      <c r="K10" s="67"/>
      <c r="L10" s="68">
        <f t="shared" ref="L10:L38" si="9">SUM(J10:K10)</f>
        <v>0</v>
      </c>
      <c r="N10" s="40">
        <f t="shared" ref="N10:N40" si="10">COUNTIFS($V:$V,$B10,$X:$X,N$9)</f>
        <v>14</v>
      </c>
      <c r="O10" s="41">
        <f t="shared" ref="O10:O40" si="11">COUNTIFS($AJ:$AJ,$B10,$AL:$AL,$O$9)</f>
        <v>12</v>
      </c>
      <c r="P10" s="41">
        <f t="shared" ref="P10:P40" si="12">COUNTIFS($AJ:$AJ,$B10,$AL:$AL,P$9)</f>
        <v>0</v>
      </c>
      <c r="Q10" s="42">
        <f>SUM(N10:P10)</f>
        <v>26</v>
      </c>
      <c r="V10" s="97">
        <v>45931</v>
      </c>
      <c r="W10" s="16">
        <v>202664</v>
      </c>
      <c r="X10" s="101" t="s">
        <v>36</v>
      </c>
      <c r="Y10" s="105"/>
      <c r="Z10" s="102">
        <v>0.90295138888888893</v>
      </c>
      <c r="AA10" s="102">
        <v>0.38126157407407407</v>
      </c>
      <c r="AB10" s="16"/>
      <c r="AC10" s="16"/>
      <c r="AD10" s="93">
        <v>20988</v>
      </c>
      <c r="AE10" s="93">
        <f t="shared" si="3"/>
        <v>20.988</v>
      </c>
      <c r="AF10" s="16">
        <v>15.66</v>
      </c>
      <c r="AG10" s="103">
        <f t="shared" si="1"/>
        <v>14</v>
      </c>
      <c r="AH10" s="37">
        <f t="shared" si="2"/>
        <v>20.988</v>
      </c>
      <c r="AJ10" s="97">
        <v>45931</v>
      </c>
      <c r="AK10" t="s">
        <v>2324</v>
      </c>
      <c r="AL10" t="s">
        <v>5</v>
      </c>
      <c r="AM10" s="16"/>
      <c r="AN10" s="39" t="s">
        <v>2361</v>
      </c>
      <c r="AO10" s="39" t="s">
        <v>2361</v>
      </c>
      <c r="AP10" s="37">
        <v>2690</v>
      </c>
      <c r="AR10" s="97"/>
      <c r="AU10" s="97"/>
      <c r="AX10" s="16"/>
      <c r="AY10" s="39"/>
      <c r="AZ10" s="39"/>
      <c r="BA10" s="37"/>
      <c r="BC10" s="97"/>
    </row>
    <row r="11" spans="2:56" ht="16" x14ac:dyDescent="0.4">
      <c r="B11" s="1">
        <v>45932</v>
      </c>
      <c r="C11" s="2">
        <f t="shared" si="4"/>
        <v>269.67599999999999</v>
      </c>
      <c r="D11" s="2">
        <f t="shared" si="5"/>
        <v>12.96</v>
      </c>
      <c r="E11" s="2">
        <f t="shared" si="5"/>
        <v>0</v>
      </c>
      <c r="F11" s="32">
        <f t="shared" si="6"/>
        <v>0</v>
      </c>
      <c r="G11" s="3">
        <f>SUM(C11:E11)</f>
        <v>282.63599999999997</v>
      </c>
      <c r="H11" s="51">
        <f t="shared" si="7"/>
        <v>269.67599999999999</v>
      </c>
      <c r="I11" s="52">
        <f>H11+D11+E11</f>
        <v>282.63599999999997</v>
      </c>
      <c r="J11" s="59">
        <f t="shared" si="8"/>
        <v>0</v>
      </c>
      <c r="K11" s="4"/>
      <c r="L11" s="20">
        <f t="shared" si="9"/>
        <v>0</v>
      </c>
      <c r="N11" s="43">
        <f t="shared" si="10"/>
        <v>14</v>
      </c>
      <c r="O11" s="44">
        <f t="shared" si="11"/>
        <v>5</v>
      </c>
      <c r="P11" s="41">
        <f t="shared" si="12"/>
        <v>0</v>
      </c>
      <c r="Q11" s="45">
        <f>SUM(N11:P11)</f>
        <v>19</v>
      </c>
      <c r="V11" s="97">
        <v>45931</v>
      </c>
      <c r="W11" s="16">
        <v>202737</v>
      </c>
      <c r="X11" s="101" t="s">
        <v>36</v>
      </c>
      <c r="Y11" s="105"/>
      <c r="Z11" s="102">
        <v>0.19336805555555556</v>
      </c>
      <c r="AA11" s="102">
        <v>0.44769675925925928</v>
      </c>
      <c r="AB11" s="16"/>
      <c r="AC11" s="16"/>
      <c r="AD11" s="93">
        <v>20732</v>
      </c>
      <c r="AE11" s="93">
        <f t="shared" si="3"/>
        <v>20.731999999999999</v>
      </c>
      <c r="AF11" s="16">
        <v>15.99</v>
      </c>
      <c r="AG11" s="103">
        <f t="shared" si="1"/>
        <v>14</v>
      </c>
      <c r="AH11" s="37">
        <f t="shared" si="2"/>
        <v>20.731999999999999</v>
      </c>
      <c r="AJ11" s="97">
        <v>45931</v>
      </c>
      <c r="AK11" t="s">
        <v>2325</v>
      </c>
      <c r="AL11" t="s">
        <v>5</v>
      </c>
      <c r="AM11" s="16"/>
      <c r="AN11" s="39" t="s">
        <v>2362</v>
      </c>
      <c r="AO11" s="39" t="s">
        <v>2362</v>
      </c>
      <c r="AP11" s="37">
        <v>3480</v>
      </c>
      <c r="AR11" s="97"/>
      <c r="AU11" s="97"/>
      <c r="AX11" s="16"/>
      <c r="AY11" s="39"/>
      <c r="AZ11" s="39"/>
      <c r="BA11" s="37"/>
      <c r="BC11" s="97"/>
    </row>
    <row r="12" spans="2:56" ht="16" x14ac:dyDescent="0.4">
      <c r="B12" s="1">
        <v>45933</v>
      </c>
      <c r="C12" s="2">
        <f t="shared" si="4"/>
        <v>62.745999999999995</v>
      </c>
      <c r="D12" s="2">
        <f t="shared" si="5"/>
        <v>30.59</v>
      </c>
      <c r="E12" s="2">
        <f t="shared" si="5"/>
        <v>6.2</v>
      </c>
      <c r="F12" s="32">
        <f t="shared" si="6"/>
        <v>0</v>
      </c>
      <c r="G12" s="3">
        <f t="shared" ref="G12:G38" si="13">SUM(C12:E12)</f>
        <v>99.536000000000001</v>
      </c>
      <c r="H12" s="51">
        <f t="shared" si="7"/>
        <v>62.745999999999995</v>
      </c>
      <c r="I12" s="52">
        <f t="shared" ref="I12:I38" si="14">H12+D12+E12</f>
        <v>99.536000000000001</v>
      </c>
      <c r="J12" s="59">
        <f t="shared" si="8"/>
        <v>0</v>
      </c>
      <c r="K12" s="4"/>
      <c r="L12" s="20">
        <f t="shared" si="9"/>
        <v>0</v>
      </c>
      <c r="N12" s="43">
        <f t="shared" si="10"/>
        <v>3</v>
      </c>
      <c r="O12" s="44">
        <f t="shared" si="11"/>
        <v>9</v>
      </c>
      <c r="P12" s="41">
        <f t="shared" si="12"/>
        <v>1</v>
      </c>
      <c r="Q12" s="45">
        <f t="shared" ref="Q12:Q38" si="15">SUM(N12:P12)</f>
        <v>13</v>
      </c>
      <c r="V12" s="97">
        <v>45931</v>
      </c>
      <c r="W12" s="16">
        <v>202785</v>
      </c>
      <c r="X12" s="101" t="s">
        <v>36</v>
      </c>
      <c r="Y12" s="105"/>
      <c r="Z12" s="102">
        <v>0.43144675925925924</v>
      </c>
      <c r="AA12" s="102">
        <v>0.53271990740740738</v>
      </c>
      <c r="AB12" s="16"/>
      <c r="AC12" s="16"/>
      <c r="AD12" s="93">
        <v>23702</v>
      </c>
      <c r="AE12" s="93">
        <f t="shared" si="3"/>
        <v>23.702000000000002</v>
      </c>
      <c r="AF12" s="16">
        <v>14.59</v>
      </c>
      <c r="AG12" s="103">
        <f t="shared" si="1"/>
        <v>14</v>
      </c>
      <c r="AH12" s="37">
        <f t="shared" si="2"/>
        <v>23.702000000000002</v>
      </c>
      <c r="AJ12" s="97">
        <v>45931</v>
      </c>
      <c r="AK12" t="s">
        <v>2326</v>
      </c>
      <c r="AL12" t="s">
        <v>5</v>
      </c>
      <c r="AM12" s="16"/>
      <c r="AN12" s="39" t="s">
        <v>2363</v>
      </c>
      <c r="AO12" s="39" t="s">
        <v>2363</v>
      </c>
      <c r="AP12" s="37">
        <v>3310</v>
      </c>
      <c r="AR12" s="97"/>
      <c r="AU12" s="97"/>
      <c r="AX12" s="16"/>
      <c r="AY12" s="39"/>
      <c r="AZ12" s="39"/>
      <c r="BA12" s="37"/>
      <c r="BC12" s="97"/>
    </row>
    <row r="13" spans="2:56" ht="16" x14ac:dyDescent="0.4">
      <c r="B13" s="1">
        <v>45934</v>
      </c>
      <c r="C13" s="2">
        <f t="shared" si="4"/>
        <v>299.54199999999997</v>
      </c>
      <c r="D13" s="2">
        <f t="shared" si="5"/>
        <v>28.22</v>
      </c>
      <c r="E13" s="2">
        <f t="shared" si="5"/>
        <v>0</v>
      </c>
      <c r="F13" s="32">
        <f t="shared" si="6"/>
        <v>0</v>
      </c>
      <c r="G13" s="3">
        <f t="shared" si="13"/>
        <v>327.76199999999994</v>
      </c>
      <c r="H13" s="51">
        <f t="shared" si="7"/>
        <v>299.54199999999997</v>
      </c>
      <c r="I13" s="52">
        <f t="shared" si="14"/>
        <v>327.76199999999994</v>
      </c>
      <c r="J13" s="59">
        <f t="shared" si="8"/>
        <v>0</v>
      </c>
      <c r="K13" s="4"/>
      <c r="L13" s="20">
        <f t="shared" si="9"/>
        <v>0</v>
      </c>
      <c r="N13" s="43">
        <f t="shared" si="10"/>
        <v>15</v>
      </c>
      <c r="O13" s="44">
        <f t="shared" si="11"/>
        <v>9</v>
      </c>
      <c r="P13" s="41">
        <f t="shared" si="12"/>
        <v>0</v>
      </c>
      <c r="Q13" s="45">
        <f t="shared" si="15"/>
        <v>24</v>
      </c>
      <c r="V13" s="97">
        <v>45931</v>
      </c>
      <c r="W13" s="16">
        <v>202824</v>
      </c>
      <c r="X13" s="101" t="s">
        <v>36</v>
      </c>
      <c r="Y13" s="105"/>
      <c r="Z13" s="102">
        <v>0.94006944444444451</v>
      </c>
      <c r="AA13" s="102">
        <v>0.57928240740740744</v>
      </c>
      <c r="AB13" s="16"/>
      <c r="AC13" s="16"/>
      <c r="AD13" s="93">
        <v>19116</v>
      </c>
      <c r="AE13" s="93">
        <f t="shared" si="3"/>
        <v>19.116</v>
      </c>
      <c r="AF13" s="16">
        <v>16.7</v>
      </c>
      <c r="AG13" s="103">
        <f t="shared" si="1"/>
        <v>14</v>
      </c>
      <c r="AH13" s="37">
        <f t="shared" si="2"/>
        <v>19.116000000000003</v>
      </c>
      <c r="AJ13" s="97">
        <v>45931</v>
      </c>
      <c r="AK13" t="s">
        <v>2327</v>
      </c>
      <c r="AL13" t="s">
        <v>5</v>
      </c>
      <c r="AM13" s="16"/>
      <c r="AN13" s="39" t="s">
        <v>2364</v>
      </c>
      <c r="AO13" s="39" t="s">
        <v>2364</v>
      </c>
      <c r="AP13" s="37">
        <v>3070</v>
      </c>
      <c r="AR13" s="97"/>
      <c r="AU13" s="97"/>
      <c r="AX13" s="16"/>
      <c r="AY13" s="39"/>
      <c r="AZ13" s="39"/>
      <c r="BA13" s="37"/>
      <c r="BC13" s="97"/>
    </row>
    <row r="14" spans="2:56" ht="16" x14ac:dyDescent="0.4">
      <c r="B14" s="1">
        <v>45935</v>
      </c>
      <c r="C14" s="2">
        <f t="shared" si="4"/>
        <v>105.08600000000001</v>
      </c>
      <c r="D14" s="2">
        <f t="shared" si="5"/>
        <v>0</v>
      </c>
      <c r="E14" s="2">
        <f t="shared" si="5"/>
        <v>0</v>
      </c>
      <c r="F14" s="32">
        <f t="shared" si="6"/>
        <v>0</v>
      </c>
      <c r="G14" s="3">
        <f t="shared" si="13"/>
        <v>105.08600000000001</v>
      </c>
      <c r="H14" s="51">
        <f t="shared" si="7"/>
        <v>105.08600000000001</v>
      </c>
      <c r="I14" s="52">
        <f t="shared" si="14"/>
        <v>105.08600000000001</v>
      </c>
      <c r="J14" s="59">
        <f t="shared" si="8"/>
        <v>0</v>
      </c>
      <c r="K14" s="4"/>
      <c r="L14" s="20">
        <f t="shared" si="9"/>
        <v>0</v>
      </c>
      <c r="N14" s="43">
        <f t="shared" si="10"/>
        <v>5</v>
      </c>
      <c r="O14" s="44">
        <f t="shared" si="11"/>
        <v>0</v>
      </c>
      <c r="P14" s="41">
        <f t="shared" si="12"/>
        <v>0</v>
      </c>
      <c r="Q14" s="45">
        <f t="shared" si="15"/>
        <v>5</v>
      </c>
      <c r="V14" s="97">
        <v>45931</v>
      </c>
      <c r="W14" s="16">
        <v>202877</v>
      </c>
      <c r="X14" s="101" t="s">
        <v>36</v>
      </c>
      <c r="Y14" s="105"/>
      <c r="Z14" s="102">
        <v>2.7662037037037034E-3</v>
      </c>
      <c r="AA14" s="102">
        <v>0.64006944444444447</v>
      </c>
      <c r="AB14" s="16"/>
      <c r="AC14" s="16"/>
      <c r="AD14" s="93">
        <v>20362</v>
      </c>
      <c r="AE14" s="93">
        <f t="shared" si="3"/>
        <v>20.361999999999998</v>
      </c>
      <c r="AF14" s="16">
        <v>14.48</v>
      </c>
      <c r="AG14" s="103">
        <f t="shared" si="1"/>
        <v>14</v>
      </c>
      <c r="AH14" s="37">
        <f t="shared" si="2"/>
        <v>20.361999999999998</v>
      </c>
      <c r="AJ14" s="97">
        <v>45931</v>
      </c>
      <c r="AK14" t="s">
        <v>2328</v>
      </c>
      <c r="AL14" t="s">
        <v>5</v>
      </c>
      <c r="AM14" s="16"/>
      <c r="AN14" s="39" t="s">
        <v>2365</v>
      </c>
      <c r="AO14" s="39" t="s">
        <v>2365</v>
      </c>
      <c r="AP14" s="37">
        <v>3210</v>
      </c>
      <c r="AR14" s="97"/>
      <c r="AU14" s="97"/>
      <c r="AX14" s="16"/>
      <c r="AY14" s="39"/>
      <c r="AZ14" s="39"/>
      <c r="BA14" s="37"/>
      <c r="BC14" s="97"/>
    </row>
    <row r="15" spans="2:56" ht="16" x14ac:dyDescent="0.4">
      <c r="B15" s="1">
        <v>45936</v>
      </c>
      <c r="C15" s="2">
        <f t="shared" si="4"/>
        <v>62.917999999999999</v>
      </c>
      <c r="D15" s="2">
        <f t="shared" si="5"/>
        <v>27.64</v>
      </c>
      <c r="E15" s="2">
        <f t="shared" si="5"/>
        <v>5.23</v>
      </c>
      <c r="F15" s="32">
        <f t="shared" si="6"/>
        <v>0</v>
      </c>
      <c r="G15" s="3">
        <f t="shared" si="13"/>
        <v>95.787999999999997</v>
      </c>
      <c r="H15" s="51">
        <f t="shared" si="7"/>
        <v>62.502928571428569</v>
      </c>
      <c r="I15" s="52">
        <f t="shared" si="14"/>
        <v>95.372928571428574</v>
      </c>
      <c r="J15" s="59">
        <f t="shared" si="8"/>
        <v>0</v>
      </c>
      <c r="K15" s="4"/>
      <c r="L15" s="20">
        <f t="shared" si="9"/>
        <v>0</v>
      </c>
      <c r="N15" s="43">
        <f t="shared" si="10"/>
        <v>3</v>
      </c>
      <c r="O15" s="44">
        <f t="shared" si="11"/>
        <v>8</v>
      </c>
      <c r="P15" s="41">
        <f t="shared" si="12"/>
        <v>1</v>
      </c>
      <c r="Q15" s="45">
        <f t="shared" si="15"/>
        <v>12</v>
      </c>
      <c r="V15" s="97">
        <v>45931</v>
      </c>
      <c r="W15" s="16">
        <v>202920</v>
      </c>
      <c r="X15" s="101" t="s">
        <v>36</v>
      </c>
      <c r="Y15" s="105"/>
      <c r="Z15" s="102">
        <v>0.63739583333333327</v>
      </c>
      <c r="AA15" s="102">
        <v>0.69996527777777784</v>
      </c>
      <c r="AB15" s="16"/>
      <c r="AC15" s="16"/>
      <c r="AD15" s="93">
        <v>18846</v>
      </c>
      <c r="AE15" s="93">
        <f t="shared" si="3"/>
        <v>18.846</v>
      </c>
      <c r="AF15" s="16">
        <v>14.63</v>
      </c>
      <c r="AG15" s="103">
        <f t="shared" si="1"/>
        <v>14</v>
      </c>
      <c r="AH15" s="37">
        <f t="shared" si="2"/>
        <v>18.846</v>
      </c>
      <c r="AJ15" s="97">
        <v>45931</v>
      </c>
      <c r="AK15" t="s">
        <v>2329</v>
      </c>
      <c r="AL15" t="s">
        <v>5</v>
      </c>
      <c r="AM15" s="16"/>
      <c r="AN15" s="39" t="s">
        <v>2366</v>
      </c>
      <c r="AO15" s="39" t="s">
        <v>2367</v>
      </c>
      <c r="AP15" s="37">
        <v>780</v>
      </c>
      <c r="AR15" s="97"/>
      <c r="AU15" s="97"/>
      <c r="AX15" s="16"/>
      <c r="AY15" s="39"/>
      <c r="AZ15" s="39"/>
      <c r="BA15" s="37"/>
      <c r="BC15" s="97"/>
    </row>
    <row r="16" spans="2:56" ht="16" x14ac:dyDescent="0.4">
      <c r="B16" s="1">
        <v>45937</v>
      </c>
      <c r="C16" s="2">
        <f t="shared" si="4"/>
        <v>298.05399999999997</v>
      </c>
      <c r="D16" s="2">
        <f t="shared" si="5"/>
        <v>24.84</v>
      </c>
      <c r="E16" s="2">
        <f t="shared" si="5"/>
        <v>0</v>
      </c>
      <c r="F16" s="32">
        <f t="shared" si="6"/>
        <v>0</v>
      </c>
      <c r="G16" s="3">
        <f t="shared" si="13"/>
        <v>322.89399999999995</v>
      </c>
      <c r="H16" s="51">
        <f t="shared" si="7"/>
        <v>298.05399999999997</v>
      </c>
      <c r="I16" s="52">
        <f t="shared" si="14"/>
        <v>322.89399999999995</v>
      </c>
      <c r="J16" s="59">
        <f t="shared" si="8"/>
        <v>0</v>
      </c>
      <c r="K16" s="4"/>
      <c r="L16" s="20">
        <f t="shared" si="9"/>
        <v>0</v>
      </c>
      <c r="N16" s="43">
        <f t="shared" si="10"/>
        <v>14</v>
      </c>
      <c r="O16" s="44">
        <f t="shared" si="11"/>
        <v>7</v>
      </c>
      <c r="P16" s="41">
        <f t="shared" si="12"/>
        <v>0</v>
      </c>
      <c r="Q16" s="45">
        <f t="shared" si="15"/>
        <v>21</v>
      </c>
      <c r="V16" s="97">
        <v>45931</v>
      </c>
      <c r="W16" s="16">
        <v>202967</v>
      </c>
      <c r="X16" s="101" t="s">
        <v>36</v>
      </c>
      <c r="Y16" s="105"/>
      <c r="Z16" s="102">
        <v>0.43124999999999997</v>
      </c>
      <c r="AA16" s="102">
        <v>0.80625000000000002</v>
      </c>
      <c r="AB16" s="16"/>
      <c r="AC16" s="16"/>
      <c r="AD16" s="93">
        <v>21668</v>
      </c>
      <c r="AE16" s="93">
        <f t="shared" si="3"/>
        <v>21.667999999999999</v>
      </c>
      <c r="AF16" s="16">
        <v>15.88</v>
      </c>
      <c r="AG16" s="103">
        <f t="shared" si="1"/>
        <v>14</v>
      </c>
      <c r="AH16" s="37">
        <f t="shared" si="2"/>
        <v>21.667999999999999</v>
      </c>
      <c r="AJ16" s="97">
        <v>45931</v>
      </c>
      <c r="AK16" t="s">
        <v>2330</v>
      </c>
      <c r="AL16" t="s">
        <v>5</v>
      </c>
      <c r="AM16" s="16"/>
      <c r="AN16" s="81" t="s">
        <v>2368</v>
      </c>
      <c r="AO16" s="81" t="s">
        <v>2368</v>
      </c>
      <c r="AP16" s="37">
        <v>4680</v>
      </c>
      <c r="AR16" s="97"/>
      <c r="AU16" s="97"/>
      <c r="AX16" s="16"/>
      <c r="AY16" s="81"/>
      <c r="AZ16" s="81"/>
      <c r="BA16" s="37"/>
      <c r="BC16" s="97"/>
    </row>
    <row r="17" spans="2:55" ht="16" x14ac:dyDescent="0.4">
      <c r="B17" s="1">
        <v>45938</v>
      </c>
      <c r="C17" s="2">
        <f t="shared" si="4"/>
        <v>340.57800000000003</v>
      </c>
      <c r="D17" s="2">
        <f t="shared" si="5"/>
        <v>12.71</v>
      </c>
      <c r="E17" s="2">
        <f t="shared" si="5"/>
        <v>0</v>
      </c>
      <c r="F17" s="32">
        <f t="shared" si="6"/>
        <v>0</v>
      </c>
      <c r="G17" s="3">
        <f t="shared" si="13"/>
        <v>353.28800000000001</v>
      </c>
      <c r="H17" s="51">
        <f t="shared" si="7"/>
        <v>340.04469857142857</v>
      </c>
      <c r="I17" s="52">
        <f t="shared" si="14"/>
        <v>352.75469857142855</v>
      </c>
      <c r="J17" s="59">
        <f t="shared" si="8"/>
        <v>0</v>
      </c>
      <c r="K17" s="4"/>
      <c r="L17" s="20">
        <f t="shared" si="9"/>
        <v>0</v>
      </c>
      <c r="N17" s="43">
        <f t="shared" si="10"/>
        <v>16</v>
      </c>
      <c r="O17" s="44">
        <f t="shared" si="11"/>
        <v>4</v>
      </c>
      <c r="P17" s="41">
        <f t="shared" si="12"/>
        <v>0</v>
      </c>
      <c r="Q17" s="45">
        <f t="shared" si="15"/>
        <v>20</v>
      </c>
      <c r="S17" t="s">
        <v>48</v>
      </c>
      <c r="V17" s="97">
        <v>45931</v>
      </c>
      <c r="W17" s="16">
        <v>203012</v>
      </c>
      <c r="X17" s="101" t="s">
        <v>36</v>
      </c>
      <c r="Y17" s="105"/>
      <c r="Z17" s="102">
        <v>0.63680555555555551</v>
      </c>
      <c r="AA17" s="102">
        <v>0.87638888888888899</v>
      </c>
      <c r="AB17" s="16"/>
      <c r="AC17" s="16"/>
      <c r="AD17" s="93">
        <v>21424</v>
      </c>
      <c r="AE17" s="93">
        <f t="shared" si="3"/>
        <v>21.423999999999999</v>
      </c>
      <c r="AF17" s="16">
        <v>14.92</v>
      </c>
      <c r="AG17" s="103">
        <f t="shared" si="1"/>
        <v>14</v>
      </c>
      <c r="AH17" s="37">
        <f t="shared" si="2"/>
        <v>21.423999999999999</v>
      </c>
      <c r="AJ17" s="97">
        <v>45932</v>
      </c>
      <c r="AK17" t="s">
        <v>2331</v>
      </c>
      <c r="AL17" t="s">
        <v>5</v>
      </c>
      <c r="AM17" s="16"/>
      <c r="AN17" s="81" t="s">
        <v>2369</v>
      </c>
      <c r="AO17" s="81" t="s">
        <v>2369</v>
      </c>
      <c r="AP17" s="37">
        <v>2510</v>
      </c>
      <c r="AR17" s="97"/>
      <c r="AU17" s="97"/>
      <c r="AX17" s="16"/>
      <c r="AY17" s="81"/>
      <c r="AZ17" s="81"/>
      <c r="BA17" s="37"/>
      <c r="BC17" s="97"/>
    </row>
    <row r="18" spans="2:55" ht="16" x14ac:dyDescent="0.4">
      <c r="B18" s="1">
        <v>45939</v>
      </c>
      <c r="C18" s="2">
        <f t="shared" si="4"/>
        <v>265.18199999999996</v>
      </c>
      <c r="D18" s="2">
        <f t="shared" si="5"/>
        <v>25.52</v>
      </c>
      <c r="E18" s="2">
        <f t="shared" si="5"/>
        <v>0</v>
      </c>
      <c r="F18" s="32">
        <f t="shared" si="6"/>
        <v>0</v>
      </c>
      <c r="G18" s="3">
        <f t="shared" si="13"/>
        <v>290.70199999999994</v>
      </c>
      <c r="H18" s="51">
        <f t="shared" si="7"/>
        <v>259.83495142857146</v>
      </c>
      <c r="I18" s="52">
        <f t="shared" si="14"/>
        <v>285.35495142857144</v>
      </c>
      <c r="J18" s="59">
        <f t="shared" si="8"/>
        <v>0</v>
      </c>
      <c r="K18" s="4"/>
      <c r="L18" s="20">
        <f t="shared" si="9"/>
        <v>0</v>
      </c>
      <c r="N18" s="43">
        <f t="shared" si="10"/>
        <v>14</v>
      </c>
      <c r="O18" s="44">
        <f t="shared" si="11"/>
        <v>8</v>
      </c>
      <c r="P18" s="41">
        <f t="shared" si="12"/>
        <v>0</v>
      </c>
      <c r="Q18" s="45">
        <f t="shared" si="15"/>
        <v>22</v>
      </c>
      <c r="V18" s="97">
        <v>45931</v>
      </c>
      <c r="W18" s="16">
        <v>203033</v>
      </c>
      <c r="X18" s="101" t="s">
        <v>36</v>
      </c>
      <c r="Y18" s="105"/>
      <c r="Z18" s="102">
        <v>0.43124999999999997</v>
      </c>
      <c r="AA18" s="102">
        <v>0.9375</v>
      </c>
      <c r="AB18" s="16"/>
      <c r="AC18" s="16"/>
      <c r="AD18" s="93">
        <v>17532</v>
      </c>
      <c r="AE18" s="93">
        <f t="shared" si="3"/>
        <v>17.532</v>
      </c>
      <c r="AF18" s="16">
        <v>15.73</v>
      </c>
      <c r="AG18" s="103">
        <f t="shared" si="1"/>
        <v>14</v>
      </c>
      <c r="AH18" s="37">
        <f t="shared" si="2"/>
        <v>17.532</v>
      </c>
      <c r="AJ18" s="97">
        <v>45932</v>
      </c>
      <c r="AK18" t="s">
        <v>2332</v>
      </c>
      <c r="AL18" t="s">
        <v>5</v>
      </c>
      <c r="AM18" s="16"/>
      <c r="AN18" s="81" t="s">
        <v>2370</v>
      </c>
      <c r="AO18" s="81" t="s">
        <v>2370</v>
      </c>
      <c r="AP18" s="37">
        <v>2950</v>
      </c>
      <c r="AR18" s="97"/>
      <c r="AU18" s="97"/>
      <c r="AX18" s="16"/>
      <c r="AY18" s="81"/>
      <c r="AZ18" s="81"/>
      <c r="BA18" s="37"/>
      <c r="BC18" s="97"/>
    </row>
    <row r="19" spans="2:55" ht="16" x14ac:dyDescent="0.4">
      <c r="B19" s="1">
        <v>45940</v>
      </c>
      <c r="C19" s="2">
        <f t="shared" si="4"/>
        <v>332.38999999999993</v>
      </c>
      <c r="D19" s="2">
        <f t="shared" si="5"/>
        <v>36.18</v>
      </c>
      <c r="E19" s="2">
        <f t="shared" si="5"/>
        <v>7.11</v>
      </c>
      <c r="F19" s="32">
        <f t="shared" si="6"/>
        <v>0</v>
      </c>
      <c r="G19" s="3">
        <f t="shared" si="13"/>
        <v>375.67999999999995</v>
      </c>
      <c r="H19" s="51">
        <f t="shared" si="7"/>
        <v>332.31017142857144</v>
      </c>
      <c r="I19" s="52">
        <f t="shared" si="14"/>
        <v>375.60017142857146</v>
      </c>
      <c r="J19" s="59">
        <f t="shared" si="8"/>
        <v>0</v>
      </c>
      <c r="K19" s="4"/>
      <c r="L19" s="20">
        <f t="shared" si="9"/>
        <v>0</v>
      </c>
      <c r="N19" s="43">
        <f t="shared" si="10"/>
        <v>16</v>
      </c>
      <c r="O19" s="44">
        <f t="shared" si="11"/>
        <v>10</v>
      </c>
      <c r="P19" s="41">
        <f t="shared" si="12"/>
        <v>1</v>
      </c>
      <c r="Q19" s="45">
        <f t="shared" si="15"/>
        <v>27</v>
      </c>
      <c r="V19" s="97">
        <v>45932</v>
      </c>
      <c r="W19" s="16">
        <v>203052</v>
      </c>
      <c r="X19" s="101" t="s">
        <v>36</v>
      </c>
      <c r="Y19" s="105"/>
      <c r="Z19" s="102">
        <v>0.63680555555555551</v>
      </c>
      <c r="AA19" s="102">
        <v>1.3888888888888888E-2</v>
      </c>
      <c r="AB19" s="16"/>
      <c r="AC19" s="16"/>
      <c r="AD19" s="93">
        <v>16966</v>
      </c>
      <c r="AE19" s="93">
        <f t="shared" si="3"/>
        <v>16.966000000000001</v>
      </c>
      <c r="AF19" s="16">
        <v>15.87</v>
      </c>
      <c r="AG19" s="103">
        <f t="shared" si="1"/>
        <v>14</v>
      </c>
      <c r="AH19" s="37">
        <f t="shared" si="2"/>
        <v>16.966000000000001</v>
      </c>
      <c r="AJ19" s="97">
        <v>45932</v>
      </c>
      <c r="AK19" t="s">
        <v>2333</v>
      </c>
      <c r="AL19" t="s">
        <v>5</v>
      </c>
      <c r="AM19" s="16"/>
      <c r="AN19" s="39" t="s">
        <v>2371</v>
      </c>
      <c r="AO19" s="39" t="s">
        <v>2371</v>
      </c>
      <c r="AP19" s="37">
        <v>1010</v>
      </c>
      <c r="AR19" s="97"/>
      <c r="AU19" s="97"/>
      <c r="AX19" s="16"/>
      <c r="AY19" s="39"/>
      <c r="AZ19" s="39"/>
      <c r="BA19" s="37"/>
      <c r="BC19" s="97"/>
    </row>
    <row r="20" spans="2:55" ht="16" x14ac:dyDescent="0.4">
      <c r="B20" s="1">
        <v>45941</v>
      </c>
      <c r="C20" s="2">
        <f t="shared" si="4"/>
        <v>293.80200000000002</v>
      </c>
      <c r="D20" s="2">
        <f t="shared" si="5"/>
        <v>28.86</v>
      </c>
      <c r="E20" s="2">
        <f t="shared" si="5"/>
        <v>0</v>
      </c>
      <c r="F20" s="32">
        <f t="shared" si="6"/>
        <v>0</v>
      </c>
      <c r="G20" s="3">
        <f t="shared" si="13"/>
        <v>322.66200000000003</v>
      </c>
      <c r="H20" s="51">
        <f t="shared" si="7"/>
        <v>293.32988571428575</v>
      </c>
      <c r="I20" s="52">
        <f t="shared" si="14"/>
        <v>322.18988571428577</v>
      </c>
      <c r="J20" s="59">
        <f t="shared" si="8"/>
        <v>0</v>
      </c>
      <c r="K20" s="4"/>
      <c r="L20" s="20">
        <f t="shared" si="9"/>
        <v>0</v>
      </c>
      <c r="N20" s="43">
        <f t="shared" si="10"/>
        <v>16</v>
      </c>
      <c r="O20" s="44">
        <f t="shared" si="11"/>
        <v>10</v>
      </c>
      <c r="P20" s="41">
        <f t="shared" si="12"/>
        <v>0</v>
      </c>
      <c r="Q20" s="45">
        <f t="shared" si="15"/>
        <v>26</v>
      </c>
      <c r="V20" s="97">
        <v>45932</v>
      </c>
      <c r="W20" s="16">
        <v>203063</v>
      </c>
      <c r="X20" s="101" t="s">
        <v>36</v>
      </c>
      <c r="Y20" s="105"/>
      <c r="Z20" s="102">
        <v>0.83819444444444446</v>
      </c>
      <c r="AA20" s="102">
        <v>6.458333333333334E-2</v>
      </c>
      <c r="AB20" s="16"/>
      <c r="AC20" s="16"/>
      <c r="AD20" s="93">
        <v>16644</v>
      </c>
      <c r="AE20" s="93">
        <f t="shared" si="3"/>
        <v>16.643999999999998</v>
      </c>
      <c r="AF20" s="16">
        <v>14.13</v>
      </c>
      <c r="AG20" s="103">
        <f t="shared" si="1"/>
        <v>14</v>
      </c>
      <c r="AH20" s="37">
        <f t="shared" si="2"/>
        <v>16.643999999999998</v>
      </c>
      <c r="AJ20" s="97">
        <v>45932</v>
      </c>
      <c r="AK20" t="s">
        <v>2334</v>
      </c>
      <c r="AL20" t="s">
        <v>5</v>
      </c>
      <c r="AM20" s="16"/>
      <c r="AN20" s="81" t="s">
        <v>2372</v>
      </c>
      <c r="AO20" t="s">
        <v>2372</v>
      </c>
      <c r="AP20" s="37">
        <v>3460</v>
      </c>
      <c r="AR20" s="97"/>
      <c r="AU20" s="97"/>
      <c r="AX20" s="16"/>
      <c r="AY20" s="81"/>
      <c r="BA20" s="37"/>
      <c r="BC20" s="97"/>
    </row>
    <row r="21" spans="2:55" ht="16" x14ac:dyDescent="0.4">
      <c r="B21" s="1">
        <v>45942</v>
      </c>
      <c r="C21" s="2">
        <f t="shared" si="4"/>
        <v>92.41</v>
      </c>
      <c r="D21" s="2">
        <f t="shared" si="5"/>
        <v>0</v>
      </c>
      <c r="E21" s="2">
        <f t="shared" si="5"/>
        <v>0</v>
      </c>
      <c r="F21" s="32">
        <f t="shared" si="6"/>
        <v>0</v>
      </c>
      <c r="G21" s="3">
        <f t="shared" si="13"/>
        <v>92.41</v>
      </c>
      <c r="H21" s="51">
        <f t="shared" si="7"/>
        <v>92.41</v>
      </c>
      <c r="I21" s="52">
        <f t="shared" si="14"/>
        <v>92.41</v>
      </c>
      <c r="J21" s="59">
        <f t="shared" si="8"/>
        <v>0</v>
      </c>
      <c r="K21" s="4"/>
      <c r="L21" s="20">
        <f t="shared" si="9"/>
        <v>0</v>
      </c>
      <c r="N21" s="43">
        <f t="shared" si="10"/>
        <v>5</v>
      </c>
      <c r="O21" s="44">
        <f t="shared" si="11"/>
        <v>0</v>
      </c>
      <c r="P21" s="41">
        <f t="shared" si="12"/>
        <v>0</v>
      </c>
      <c r="Q21" s="45">
        <f t="shared" si="15"/>
        <v>5</v>
      </c>
      <c r="V21" s="97">
        <v>45932</v>
      </c>
      <c r="W21" s="16">
        <v>203067</v>
      </c>
      <c r="X21" s="101" t="s">
        <v>36</v>
      </c>
      <c r="Y21" s="105"/>
      <c r="Z21" s="102">
        <v>4.9999999999999996E-2</v>
      </c>
      <c r="AA21" s="102">
        <v>0.10833333333333334</v>
      </c>
      <c r="AB21" s="16"/>
      <c r="AC21" s="16"/>
      <c r="AD21" s="93">
        <v>17774</v>
      </c>
      <c r="AE21" s="93">
        <f t="shared" si="3"/>
        <v>17.774000000000001</v>
      </c>
      <c r="AF21" s="16">
        <v>14.52</v>
      </c>
      <c r="AG21" s="103">
        <f t="shared" si="1"/>
        <v>14</v>
      </c>
      <c r="AH21" s="37">
        <f t="shared" si="2"/>
        <v>17.774000000000001</v>
      </c>
      <c r="AJ21" s="97">
        <v>45932</v>
      </c>
      <c r="AK21" t="s">
        <v>2335</v>
      </c>
      <c r="AL21" t="s">
        <v>5</v>
      </c>
      <c r="AM21" s="16"/>
      <c r="AN21" s="81" t="s">
        <v>2373</v>
      </c>
      <c r="AO21" t="s">
        <v>2373</v>
      </c>
      <c r="AP21" s="37">
        <v>3030</v>
      </c>
      <c r="AR21" s="97"/>
      <c r="AU21" s="97"/>
      <c r="AX21" s="16"/>
      <c r="AY21" s="81"/>
      <c r="BA21" s="37"/>
      <c r="BC21" s="97"/>
    </row>
    <row r="22" spans="2:55" ht="16" x14ac:dyDescent="0.4">
      <c r="B22" s="1">
        <v>45943</v>
      </c>
      <c r="C22" s="2">
        <f t="shared" si="4"/>
        <v>0</v>
      </c>
      <c r="D22" s="2">
        <f t="shared" si="5"/>
        <v>29.95</v>
      </c>
      <c r="E22" s="2">
        <f t="shared" si="5"/>
        <v>0</v>
      </c>
      <c r="F22" s="32">
        <f t="shared" si="6"/>
        <v>0</v>
      </c>
      <c r="G22" s="3">
        <f t="shared" si="13"/>
        <v>29.95</v>
      </c>
      <c r="H22" s="51">
        <f t="shared" si="7"/>
        <v>0</v>
      </c>
      <c r="I22" s="52">
        <f t="shared" si="14"/>
        <v>29.95</v>
      </c>
      <c r="J22" s="59">
        <f t="shared" si="8"/>
        <v>0</v>
      </c>
      <c r="K22" s="4"/>
      <c r="L22" s="20">
        <f t="shared" si="9"/>
        <v>0</v>
      </c>
      <c r="N22" s="43">
        <f t="shared" si="10"/>
        <v>0</v>
      </c>
      <c r="O22" s="44">
        <f t="shared" si="11"/>
        <v>9</v>
      </c>
      <c r="P22" s="41">
        <f t="shared" si="12"/>
        <v>0</v>
      </c>
      <c r="Q22" s="45">
        <f t="shared" si="15"/>
        <v>9</v>
      </c>
      <c r="V22" s="97">
        <v>45932</v>
      </c>
      <c r="W22" s="16">
        <v>203074</v>
      </c>
      <c r="X22" s="101" t="s">
        <v>36</v>
      </c>
      <c r="Y22" s="105"/>
      <c r="Z22" s="102">
        <v>0.83819444444444446</v>
      </c>
      <c r="AA22" s="102">
        <v>0.15902777777777777</v>
      </c>
      <c r="AB22" s="16"/>
      <c r="AC22" s="16"/>
      <c r="AD22" s="93">
        <v>21996</v>
      </c>
      <c r="AE22" s="93">
        <f t="shared" si="3"/>
        <v>21.995999999999999</v>
      </c>
      <c r="AF22" s="16">
        <v>15.49</v>
      </c>
      <c r="AG22" s="103">
        <f t="shared" si="1"/>
        <v>14</v>
      </c>
      <c r="AH22" s="37">
        <f t="shared" si="2"/>
        <v>21.995999999999999</v>
      </c>
      <c r="AJ22" s="97">
        <v>45933</v>
      </c>
      <c r="AK22" t="s">
        <v>2336</v>
      </c>
      <c r="AL22" t="s">
        <v>5</v>
      </c>
      <c r="AN22" t="s">
        <v>2374</v>
      </c>
      <c r="AO22" t="s">
        <v>2374</v>
      </c>
      <c r="AP22" s="37">
        <v>2740</v>
      </c>
      <c r="AR22" s="97"/>
      <c r="AU22" s="97"/>
      <c r="BA22" s="37"/>
      <c r="BC22" s="97"/>
    </row>
    <row r="23" spans="2:55" ht="16" x14ac:dyDescent="0.4">
      <c r="B23" s="1">
        <v>45944</v>
      </c>
      <c r="C23" s="2">
        <f t="shared" si="4"/>
        <v>0</v>
      </c>
      <c r="D23" s="2">
        <f t="shared" si="5"/>
        <v>42.31</v>
      </c>
      <c r="E23" s="2">
        <f t="shared" si="5"/>
        <v>0</v>
      </c>
      <c r="F23" s="32">
        <f t="shared" si="6"/>
        <v>0</v>
      </c>
      <c r="G23" s="3">
        <f t="shared" si="13"/>
        <v>42.31</v>
      </c>
      <c r="H23" s="51">
        <f t="shared" si="7"/>
        <v>0</v>
      </c>
      <c r="I23" s="52">
        <f t="shared" si="14"/>
        <v>42.31</v>
      </c>
      <c r="J23" s="59">
        <f t="shared" si="8"/>
        <v>0</v>
      </c>
      <c r="K23" s="4"/>
      <c r="L23" s="20">
        <f t="shared" si="9"/>
        <v>0</v>
      </c>
      <c r="N23" s="43">
        <f t="shared" si="10"/>
        <v>0</v>
      </c>
      <c r="O23" s="44">
        <f t="shared" si="11"/>
        <v>13</v>
      </c>
      <c r="P23" s="41">
        <f t="shared" si="12"/>
        <v>0</v>
      </c>
      <c r="Q23" s="45">
        <f t="shared" si="15"/>
        <v>13</v>
      </c>
      <c r="V23" s="97">
        <v>45932</v>
      </c>
      <c r="W23" s="16">
        <v>203082</v>
      </c>
      <c r="X23" s="101" t="s">
        <v>36</v>
      </c>
      <c r="Y23" s="105"/>
      <c r="Z23" s="102">
        <v>0.75138888888888899</v>
      </c>
      <c r="AA23" s="102">
        <v>0.20486111111111113</v>
      </c>
      <c r="AB23" s="16"/>
      <c r="AC23" s="16"/>
      <c r="AD23" s="93">
        <v>21290</v>
      </c>
      <c r="AE23" s="93">
        <f t="shared" si="3"/>
        <v>21.29</v>
      </c>
      <c r="AF23" s="16">
        <v>14.81</v>
      </c>
      <c r="AG23" s="103">
        <f t="shared" si="1"/>
        <v>14</v>
      </c>
      <c r="AH23" s="37">
        <f t="shared" si="2"/>
        <v>21.29</v>
      </c>
      <c r="AJ23" s="97">
        <v>45933</v>
      </c>
      <c r="AK23" t="s">
        <v>2337</v>
      </c>
      <c r="AL23" t="s">
        <v>5</v>
      </c>
      <c r="AN23" s="81" t="s">
        <v>2375</v>
      </c>
      <c r="AO23" t="s">
        <v>2375</v>
      </c>
      <c r="AP23" s="37">
        <v>2070</v>
      </c>
      <c r="AR23" s="97"/>
      <c r="AU23" s="97"/>
      <c r="AY23" s="81"/>
      <c r="BA23" s="37"/>
      <c r="BC23" s="97"/>
    </row>
    <row r="24" spans="2:55" ht="16" x14ac:dyDescent="0.4">
      <c r="B24" s="1">
        <v>45945</v>
      </c>
      <c r="C24" s="2">
        <f t="shared" si="4"/>
        <v>204.36799999999997</v>
      </c>
      <c r="D24" s="2">
        <f t="shared" si="5"/>
        <v>32.43</v>
      </c>
      <c r="E24" s="2">
        <f t="shared" si="5"/>
        <v>0</v>
      </c>
      <c r="F24" s="32">
        <f t="shared" si="6"/>
        <v>0</v>
      </c>
      <c r="G24" s="3">
        <f t="shared" si="13"/>
        <v>236.79799999999997</v>
      </c>
      <c r="H24" s="51">
        <f t="shared" si="7"/>
        <v>204.36799999999997</v>
      </c>
      <c r="I24" s="52">
        <f t="shared" si="14"/>
        <v>236.79799999999997</v>
      </c>
      <c r="J24" s="59">
        <f t="shared" si="8"/>
        <v>0</v>
      </c>
      <c r="K24" s="4"/>
      <c r="L24" s="20">
        <f t="shared" si="9"/>
        <v>0</v>
      </c>
      <c r="N24" s="43">
        <f t="shared" si="10"/>
        <v>10</v>
      </c>
      <c r="O24" s="44">
        <f t="shared" si="11"/>
        <v>10</v>
      </c>
      <c r="P24" s="41">
        <f t="shared" si="12"/>
        <v>0</v>
      </c>
      <c r="Q24" s="45">
        <f t="shared" si="15"/>
        <v>20</v>
      </c>
      <c r="V24" s="97">
        <v>45932</v>
      </c>
      <c r="W24" s="16">
        <v>203114</v>
      </c>
      <c r="X24" s="101" t="s">
        <v>36</v>
      </c>
      <c r="Y24" s="105"/>
      <c r="Z24" s="102">
        <v>0.83314814814814808</v>
      </c>
      <c r="AA24" s="102">
        <v>0.29753472222222221</v>
      </c>
      <c r="AB24" s="16"/>
      <c r="AC24" s="16"/>
      <c r="AD24" s="93">
        <v>20960</v>
      </c>
      <c r="AE24" s="93">
        <f t="shared" si="3"/>
        <v>20.96</v>
      </c>
      <c r="AF24" s="16">
        <v>14.23</v>
      </c>
      <c r="AG24" s="103">
        <f t="shared" si="1"/>
        <v>14</v>
      </c>
      <c r="AH24" s="37">
        <f t="shared" si="2"/>
        <v>20.96</v>
      </c>
      <c r="AJ24" s="97">
        <v>45933</v>
      </c>
      <c r="AK24" t="s">
        <v>2338</v>
      </c>
      <c r="AL24" t="s">
        <v>5</v>
      </c>
      <c r="AN24" s="81" t="s">
        <v>2376</v>
      </c>
      <c r="AO24" t="s">
        <v>2376</v>
      </c>
      <c r="AP24" s="37">
        <v>2940</v>
      </c>
      <c r="AR24" s="97"/>
      <c r="AU24" s="97"/>
      <c r="AY24" s="81"/>
      <c r="BA24" s="37"/>
      <c r="BC24" s="97"/>
    </row>
    <row r="25" spans="2:55" ht="16" x14ac:dyDescent="0.4">
      <c r="B25" s="1">
        <v>45946</v>
      </c>
      <c r="C25" s="2">
        <f t="shared" si="4"/>
        <v>291.40600000000001</v>
      </c>
      <c r="D25" s="2">
        <f t="shared" si="5"/>
        <v>33.619999999999997</v>
      </c>
      <c r="E25" s="2">
        <f t="shared" si="5"/>
        <v>0</v>
      </c>
      <c r="F25" s="32">
        <f t="shared" si="6"/>
        <v>0</v>
      </c>
      <c r="G25" s="3">
        <f t="shared" si="13"/>
        <v>325.02600000000001</v>
      </c>
      <c r="H25" s="51">
        <f t="shared" si="7"/>
        <v>291.40599999999995</v>
      </c>
      <c r="I25" s="52">
        <f t="shared" si="14"/>
        <v>325.02599999999995</v>
      </c>
      <c r="J25" s="59">
        <f t="shared" si="8"/>
        <v>0</v>
      </c>
      <c r="K25" s="4"/>
      <c r="L25" s="20">
        <f t="shared" si="9"/>
        <v>0</v>
      </c>
      <c r="N25" s="43">
        <f t="shared" si="10"/>
        <v>15</v>
      </c>
      <c r="O25" s="44">
        <f t="shared" si="11"/>
        <v>8</v>
      </c>
      <c r="P25" s="41">
        <f t="shared" si="12"/>
        <v>0</v>
      </c>
      <c r="Q25" s="45">
        <f t="shared" si="15"/>
        <v>23</v>
      </c>
      <c r="V25" s="97">
        <v>45932</v>
      </c>
      <c r="W25" s="16">
        <v>203184</v>
      </c>
      <c r="X25" s="101" t="s">
        <v>36</v>
      </c>
      <c r="Y25" s="105"/>
      <c r="Z25" s="102">
        <v>0.26708333333333334</v>
      </c>
      <c r="AA25" s="102">
        <v>0.37944444444444447</v>
      </c>
      <c r="AB25" s="16"/>
      <c r="AC25" s="16"/>
      <c r="AD25" s="93">
        <v>18426</v>
      </c>
      <c r="AE25" s="93">
        <f t="shared" si="3"/>
        <v>18.425999999999998</v>
      </c>
      <c r="AF25" s="16">
        <v>16.239999999999998</v>
      </c>
      <c r="AG25" s="103">
        <f t="shared" si="1"/>
        <v>14</v>
      </c>
      <c r="AH25" s="37">
        <f t="shared" si="2"/>
        <v>18.425999999999998</v>
      </c>
      <c r="AJ25" s="97">
        <v>45933</v>
      </c>
      <c r="AK25" t="s">
        <v>2339</v>
      </c>
      <c r="AL25" t="s">
        <v>5</v>
      </c>
      <c r="AN25" s="81" t="s">
        <v>2377</v>
      </c>
      <c r="AO25" t="s">
        <v>2377</v>
      </c>
      <c r="AP25" s="37">
        <v>3310</v>
      </c>
      <c r="AR25" s="97"/>
      <c r="AU25" s="97"/>
      <c r="AY25" s="81"/>
      <c r="BA25" s="37"/>
      <c r="BC25" s="97"/>
    </row>
    <row r="26" spans="2:55" ht="16" x14ac:dyDescent="0.4">
      <c r="B26" s="1">
        <v>45947</v>
      </c>
      <c r="C26" s="2">
        <f t="shared" si="4"/>
        <v>175.452</v>
      </c>
      <c r="D26" s="2">
        <f t="shared" si="5"/>
        <v>3.7</v>
      </c>
      <c r="E26" s="2">
        <f t="shared" si="5"/>
        <v>0</v>
      </c>
      <c r="F26" s="32">
        <f t="shared" si="6"/>
        <v>0</v>
      </c>
      <c r="G26" s="3">
        <f t="shared" si="13"/>
        <v>179.15199999999999</v>
      </c>
      <c r="H26" s="51">
        <f t="shared" si="7"/>
        <v>169.89910285714285</v>
      </c>
      <c r="I26" s="52">
        <f t="shared" si="14"/>
        <v>173.59910285714284</v>
      </c>
      <c r="J26" s="59">
        <f t="shared" si="8"/>
        <v>0</v>
      </c>
      <c r="K26" s="4"/>
      <c r="L26" s="20">
        <f t="shared" si="9"/>
        <v>0</v>
      </c>
      <c r="N26" s="43">
        <f t="shared" si="10"/>
        <v>10</v>
      </c>
      <c r="O26" s="44">
        <f t="shared" si="11"/>
        <v>1</v>
      </c>
      <c r="P26" s="41">
        <f t="shared" si="12"/>
        <v>0</v>
      </c>
      <c r="Q26" s="45">
        <f t="shared" si="15"/>
        <v>11</v>
      </c>
      <c r="V26" s="97">
        <v>45932</v>
      </c>
      <c r="W26" s="16">
        <v>203289</v>
      </c>
      <c r="X26" s="101" t="s">
        <v>36</v>
      </c>
      <c r="Y26" s="105"/>
      <c r="Z26" s="102">
        <v>0.37231481481481482</v>
      </c>
      <c r="AA26" s="102">
        <v>0.53300925925925924</v>
      </c>
      <c r="AB26" s="16"/>
      <c r="AC26" s="16"/>
      <c r="AD26" s="93">
        <v>19332</v>
      </c>
      <c r="AE26" s="93">
        <f t="shared" si="3"/>
        <v>19.332000000000001</v>
      </c>
      <c r="AF26" s="16">
        <v>15.84</v>
      </c>
      <c r="AG26" s="103">
        <f t="shared" si="1"/>
        <v>14</v>
      </c>
      <c r="AH26" s="37">
        <f t="shared" si="2"/>
        <v>19.332000000000001</v>
      </c>
      <c r="AJ26" s="97">
        <v>45933</v>
      </c>
      <c r="AK26" t="s">
        <v>2340</v>
      </c>
      <c r="AL26" t="s">
        <v>5</v>
      </c>
      <c r="AN26" s="81" t="s">
        <v>2378</v>
      </c>
      <c r="AO26" s="81" t="s">
        <v>2378</v>
      </c>
      <c r="AP26" s="37">
        <v>2910</v>
      </c>
      <c r="AR26" s="97"/>
      <c r="AU26" s="97"/>
      <c r="AY26" s="81"/>
      <c r="AZ26" s="81"/>
      <c r="BA26" s="37"/>
      <c r="BC26" s="97"/>
    </row>
    <row r="27" spans="2:55" ht="16" x14ac:dyDescent="0.4">
      <c r="B27" s="1">
        <v>45948</v>
      </c>
      <c r="C27" s="2">
        <f t="shared" si="4"/>
        <v>0</v>
      </c>
      <c r="D27" s="2">
        <f t="shared" si="5"/>
        <v>0</v>
      </c>
      <c r="E27" s="2">
        <f t="shared" si="5"/>
        <v>0</v>
      </c>
      <c r="F27" s="32">
        <f t="shared" si="6"/>
        <v>0</v>
      </c>
      <c r="G27" s="3">
        <f t="shared" si="13"/>
        <v>0</v>
      </c>
      <c r="H27" s="51">
        <f t="shared" si="7"/>
        <v>0</v>
      </c>
      <c r="I27" s="52">
        <f t="shared" si="14"/>
        <v>0</v>
      </c>
      <c r="J27" s="59">
        <f t="shared" si="8"/>
        <v>0</v>
      </c>
      <c r="K27" s="4"/>
      <c r="L27" s="20">
        <f t="shared" si="9"/>
        <v>0</v>
      </c>
      <c r="N27" s="43">
        <f t="shared" si="10"/>
        <v>0</v>
      </c>
      <c r="O27" s="44">
        <f t="shared" si="11"/>
        <v>0</v>
      </c>
      <c r="P27" s="41">
        <f t="shared" si="12"/>
        <v>0</v>
      </c>
      <c r="Q27" s="45">
        <f t="shared" si="15"/>
        <v>0</v>
      </c>
      <c r="V27" s="97">
        <v>45932</v>
      </c>
      <c r="W27" s="16">
        <v>203333</v>
      </c>
      <c r="X27" s="101" t="s">
        <v>36</v>
      </c>
      <c r="Y27" s="105"/>
      <c r="Z27" s="102">
        <v>0.2669212962962963</v>
      </c>
      <c r="AA27" s="102">
        <v>0.58905092592592589</v>
      </c>
      <c r="AB27" s="16"/>
      <c r="AC27" s="16"/>
      <c r="AD27" s="93">
        <v>19422</v>
      </c>
      <c r="AE27" s="93">
        <f t="shared" si="3"/>
        <v>19.422000000000001</v>
      </c>
      <c r="AF27" s="16">
        <v>15.91</v>
      </c>
      <c r="AG27" s="103">
        <f t="shared" si="1"/>
        <v>14</v>
      </c>
      <c r="AH27" s="37">
        <f t="shared" si="2"/>
        <v>19.422000000000001</v>
      </c>
      <c r="AJ27" s="97">
        <v>45933</v>
      </c>
      <c r="AK27" t="s">
        <v>2341</v>
      </c>
      <c r="AL27" t="s">
        <v>5</v>
      </c>
      <c r="AN27" s="81" t="s">
        <v>2379</v>
      </c>
      <c r="AO27" s="81" t="s">
        <v>2379</v>
      </c>
      <c r="AP27" s="37">
        <v>4810</v>
      </c>
      <c r="AR27" s="97"/>
      <c r="AU27" s="97"/>
      <c r="AY27" s="81"/>
      <c r="AZ27" s="81"/>
      <c r="BA27" s="37"/>
      <c r="BC27" s="97"/>
    </row>
    <row r="28" spans="2:55" ht="16" x14ac:dyDescent="0.4">
      <c r="B28" s="1">
        <v>45949</v>
      </c>
      <c r="C28" s="2">
        <f t="shared" si="4"/>
        <v>0</v>
      </c>
      <c r="D28" s="2">
        <f t="shared" si="5"/>
        <v>0</v>
      </c>
      <c r="E28" s="2">
        <f t="shared" si="5"/>
        <v>0</v>
      </c>
      <c r="F28" s="32">
        <f t="shared" si="6"/>
        <v>0</v>
      </c>
      <c r="G28" s="3">
        <f t="shared" si="13"/>
        <v>0</v>
      </c>
      <c r="H28" s="51">
        <f t="shared" si="7"/>
        <v>0</v>
      </c>
      <c r="I28" s="52">
        <f t="shared" si="14"/>
        <v>0</v>
      </c>
      <c r="J28" s="59">
        <f t="shared" si="8"/>
        <v>0</v>
      </c>
      <c r="K28" s="4"/>
      <c r="L28" s="20">
        <f t="shared" si="9"/>
        <v>0</v>
      </c>
      <c r="N28" s="43">
        <f t="shared" si="10"/>
        <v>0</v>
      </c>
      <c r="O28" s="44">
        <f t="shared" si="11"/>
        <v>0</v>
      </c>
      <c r="P28" s="41">
        <f t="shared" si="12"/>
        <v>0</v>
      </c>
      <c r="Q28" s="45">
        <f t="shared" si="15"/>
        <v>0</v>
      </c>
      <c r="V28" s="97">
        <v>45932</v>
      </c>
      <c r="W28" s="16">
        <v>203371</v>
      </c>
      <c r="X28" s="101" t="s">
        <v>36</v>
      </c>
      <c r="Y28" s="105"/>
      <c r="Z28" s="102">
        <v>0.37215277777777778</v>
      </c>
      <c r="AA28" s="102">
        <v>0.64101851851851854</v>
      </c>
      <c r="AB28" s="16"/>
      <c r="AC28" s="16"/>
      <c r="AD28" s="93">
        <v>19942</v>
      </c>
      <c r="AE28" s="93">
        <f t="shared" si="3"/>
        <v>19.942</v>
      </c>
      <c r="AF28" s="16">
        <v>15.99</v>
      </c>
      <c r="AG28" s="103">
        <f t="shared" si="1"/>
        <v>14</v>
      </c>
      <c r="AH28" s="37">
        <f t="shared" si="2"/>
        <v>19.942</v>
      </c>
      <c r="AJ28" s="97">
        <v>45933</v>
      </c>
      <c r="AK28" t="s">
        <v>2342</v>
      </c>
      <c r="AL28" t="s">
        <v>5</v>
      </c>
      <c r="AN28" s="81" t="s">
        <v>2380</v>
      </c>
      <c r="AO28" s="81" t="s">
        <v>2380</v>
      </c>
      <c r="AP28" s="37">
        <v>3490</v>
      </c>
      <c r="AR28" s="97"/>
      <c r="AU28" s="97"/>
      <c r="AY28" s="81"/>
      <c r="AZ28" s="81"/>
      <c r="BA28" s="37"/>
      <c r="BC28" s="97"/>
    </row>
    <row r="29" spans="2:55" ht="16" x14ac:dyDescent="0.4">
      <c r="B29" s="1">
        <v>45950</v>
      </c>
      <c r="C29" s="2">
        <f t="shared" si="4"/>
        <v>0</v>
      </c>
      <c r="D29" s="2">
        <f t="shared" si="5"/>
        <v>0</v>
      </c>
      <c r="E29" s="2">
        <f t="shared" si="5"/>
        <v>0</v>
      </c>
      <c r="F29" s="32">
        <f t="shared" si="6"/>
        <v>0</v>
      </c>
      <c r="G29" s="3">
        <f t="shared" si="13"/>
        <v>0</v>
      </c>
      <c r="H29" s="51">
        <f t="shared" si="7"/>
        <v>0</v>
      </c>
      <c r="I29" s="52">
        <f t="shared" si="14"/>
        <v>0</v>
      </c>
      <c r="J29" s="59">
        <f t="shared" si="8"/>
        <v>0</v>
      </c>
      <c r="K29" s="4"/>
      <c r="L29" s="20">
        <f t="shared" si="9"/>
        <v>0</v>
      </c>
      <c r="N29" s="43">
        <f t="shared" si="10"/>
        <v>0</v>
      </c>
      <c r="O29" s="44">
        <f t="shared" si="11"/>
        <v>0</v>
      </c>
      <c r="P29" s="41">
        <f t="shared" si="12"/>
        <v>0</v>
      </c>
      <c r="Q29" s="45">
        <f t="shared" si="15"/>
        <v>0</v>
      </c>
      <c r="V29" s="97">
        <v>45932</v>
      </c>
      <c r="W29" s="16">
        <v>203424</v>
      </c>
      <c r="X29" s="101" t="s">
        <v>36</v>
      </c>
      <c r="Y29" s="105"/>
      <c r="Z29" s="102">
        <v>0.9148842592592592</v>
      </c>
      <c r="AA29" s="102">
        <v>0.70118055555555558</v>
      </c>
      <c r="AB29" s="16"/>
      <c r="AC29" s="16"/>
      <c r="AD29" s="93">
        <v>17784</v>
      </c>
      <c r="AE29" s="93">
        <f t="shared" si="3"/>
        <v>17.783999999999999</v>
      </c>
      <c r="AF29" s="16">
        <v>17.13</v>
      </c>
      <c r="AG29" s="103">
        <f t="shared" si="1"/>
        <v>14</v>
      </c>
      <c r="AH29" s="37">
        <f t="shared" si="2"/>
        <v>17.783999999999999</v>
      </c>
      <c r="AJ29" s="97">
        <v>45933</v>
      </c>
      <c r="AK29" t="s">
        <v>2343</v>
      </c>
      <c r="AL29" t="s">
        <v>5</v>
      </c>
      <c r="AN29" t="s">
        <v>2381</v>
      </c>
      <c r="AO29" t="s">
        <v>2381</v>
      </c>
      <c r="AP29" s="37">
        <v>3040</v>
      </c>
      <c r="AR29" s="97"/>
      <c r="AU29" s="97"/>
      <c r="BA29" s="37"/>
      <c r="BC29" s="97"/>
    </row>
    <row r="30" spans="2:55" ht="16" x14ac:dyDescent="0.4">
      <c r="B30" s="1">
        <v>45951</v>
      </c>
      <c r="C30" s="2">
        <f t="shared" si="4"/>
        <v>0</v>
      </c>
      <c r="D30" s="2">
        <f t="shared" si="5"/>
        <v>0</v>
      </c>
      <c r="E30" s="2">
        <f t="shared" si="5"/>
        <v>0</v>
      </c>
      <c r="F30" s="32">
        <f t="shared" si="6"/>
        <v>0</v>
      </c>
      <c r="G30" s="116">
        <f t="shared" si="13"/>
        <v>0</v>
      </c>
      <c r="H30" s="51">
        <f t="shared" si="7"/>
        <v>0</v>
      </c>
      <c r="I30" s="52">
        <f t="shared" si="14"/>
        <v>0</v>
      </c>
      <c r="J30" s="59">
        <f t="shared" si="8"/>
        <v>0</v>
      </c>
      <c r="K30" s="4"/>
      <c r="L30" s="20">
        <f t="shared" si="9"/>
        <v>0</v>
      </c>
      <c r="N30" s="43">
        <f t="shared" si="10"/>
        <v>0</v>
      </c>
      <c r="O30" s="44">
        <f t="shared" si="11"/>
        <v>0</v>
      </c>
      <c r="P30" s="41">
        <f t="shared" si="12"/>
        <v>0</v>
      </c>
      <c r="Q30" s="45">
        <f t="shared" si="15"/>
        <v>0</v>
      </c>
      <c r="V30" s="97">
        <v>45932</v>
      </c>
      <c r="W30" s="16">
        <v>203437</v>
      </c>
      <c r="X30" s="101" t="s">
        <v>36</v>
      </c>
      <c r="Y30" s="105"/>
      <c r="Z30" s="102">
        <v>0.67569444444444438</v>
      </c>
      <c r="AA30" s="102">
        <v>0.76597222222222217</v>
      </c>
      <c r="AB30" s="16"/>
      <c r="AC30" s="16"/>
      <c r="AD30" s="93">
        <v>17730</v>
      </c>
      <c r="AE30" s="93">
        <f t="shared" si="3"/>
        <v>17.73</v>
      </c>
      <c r="AF30" s="16">
        <v>16.75</v>
      </c>
      <c r="AG30" s="103">
        <f t="shared" si="1"/>
        <v>14</v>
      </c>
      <c r="AH30" s="37">
        <f t="shared" si="2"/>
        <v>17.73</v>
      </c>
      <c r="AJ30" s="97">
        <v>45933</v>
      </c>
      <c r="AK30" t="s">
        <v>2344</v>
      </c>
      <c r="AL30" t="s">
        <v>4</v>
      </c>
      <c r="AN30" s="39" t="s">
        <v>2382</v>
      </c>
      <c r="AO30" t="s">
        <v>2383</v>
      </c>
      <c r="AP30" s="37">
        <v>6200</v>
      </c>
      <c r="AR30" s="97"/>
      <c r="AU30" s="97"/>
      <c r="AY30" s="39"/>
      <c r="BA30" s="37"/>
      <c r="BC30" s="97"/>
    </row>
    <row r="31" spans="2:55" ht="16" x14ac:dyDescent="0.4">
      <c r="B31" s="1">
        <v>45952</v>
      </c>
      <c r="C31" s="2">
        <f t="shared" si="4"/>
        <v>0</v>
      </c>
      <c r="D31" s="2">
        <f t="shared" si="5"/>
        <v>0</v>
      </c>
      <c r="E31" s="2">
        <f t="shared" si="5"/>
        <v>0</v>
      </c>
      <c r="F31" s="32">
        <f t="shared" si="6"/>
        <v>0</v>
      </c>
      <c r="G31" s="116">
        <f t="shared" si="13"/>
        <v>0</v>
      </c>
      <c r="H31" s="51">
        <f t="shared" si="7"/>
        <v>0</v>
      </c>
      <c r="I31" s="52">
        <f t="shared" si="14"/>
        <v>0</v>
      </c>
      <c r="J31" s="59">
        <f t="shared" si="8"/>
        <v>0</v>
      </c>
      <c r="K31" s="4"/>
      <c r="L31" s="20">
        <f t="shared" si="9"/>
        <v>0</v>
      </c>
      <c r="N31" s="43">
        <f t="shared" si="10"/>
        <v>0</v>
      </c>
      <c r="O31" s="44">
        <f t="shared" si="11"/>
        <v>0</v>
      </c>
      <c r="P31" s="41">
        <f t="shared" si="12"/>
        <v>0</v>
      </c>
      <c r="Q31" s="45">
        <f t="shared" si="15"/>
        <v>0</v>
      </c>
      <c r="V31" s="97">
        <v>45932</v>
      </c>
      <c r="W31" s="16">
        <v>203452</v>
      </c>
      <c r="X31" s="101" t="s">
        <v>36</v>
      </c>
      <c r="Y31" s="105"/>
      <c r="Z31" s="102">
        <v>0.76388888888888884</v>
      </c>
      <c r="AA31" s="102">
        <v>0.79375000000000007</v>
      </c>
      <c r="AB31" s="16"/>
      <c r="AC31" s="16"/>
      <c r="AD31" s="93">
        <v>20746</v>
      </c>
      <c r="AE31" s="93">
        <f t="shared" si="3"/>
        <v>20.745999999999999</v>
      </c>
      <c r="AF31" s="16">
        <v>15.62</v>
      </c>
      <c r="AG31" s="103">
        <f t="shared" si="1"/>
        <v>14</v>
      </c>
      <c r="AH31" s="37">
        <f t="shared" si="2"/>
        <v>20.745999999999999</v>
      </c>
      <c r="AJ31" s="97">
        <v>45933</v>
      </c>
      <c r="AK31" t="s">
        <v>2345</v>
      </c>
      <c r="AL31" t="s">
        <v>5</v>
      </c>
      <c r="AN31" s="39" t="s">
        <v>2384</v>
      </c>
      <c r="AO31" t="s">
        <v>2384</v>
      </c>
      <c r="AP31" s="37">
        <v>5280</v>
      </c>
      <c r="AR31" s="97"/>
      <c r="AU31" s="97"/>
      <c r="AY31" s="39"/>
      <c r="BA31" s="37"/>
      <c r="BC31" s="97"/>
    </row>
    <row r="32" spans="2:55" ht="16" x14ac:dyDescent="0.4">
      <c r="B32" s="1">
        <v>45953</v>
      </c>
      <c r="C32" s="2">
        <f t="shared" si="4"/>
        <v>145.40800000000002</v>
      </c>
      <c r="D32" s="2">
        <f t="shared" si="5"/>
        <v>21.45</v>
      </c>
      <c r="E32" s="2">
        <f t="shared" si="5"/>
        <v>0</v>
      </c>
      <c r="F32" s="32">
        <f t="shared" si="6"/>
        <v>0</v>
      </c>
      <c r="G32" s="116">
        <f t="shared" si="13"/>
        <v>166.858</v>
      </c>
      <c r="H32" s="51">
        <f t="shared" si="7"/>
        <v>145.25403285714287</v>
      </c>
      <c r="I32" s="52">
        <f t="shared" si="14"/>
        <v>166.70403285714286</v>
      </c>
      <c r="J32" s="59">
        <f t="shared" si="8"/>
        <v>0</v>
      </c>
      <c r="K32" s="4"/>
      <c r="L32" s="20">
        <f t="shared" si="9"/>
        <v>0</v>
      </c>
      <c r="N32" s="43">
        <f t="shared" si="10"/>
        <v>7</v>
      </c>
      <c r="O32" s="44">
        <f t="shared" si="11"/>
        <v>6</v>
      </c>
      <c r="P32" s="41">
        <f t="shared" si="12"/>
        <v>0</v>
      </c>
      <c r="Q32" s="45">
        <f t="shared" si="15"/>
        <v>13</v>
      </c>
      <c r="V32" s="97">
        <v>45932</v>
      </c>
      <c r="W32" s="16">
        <v>203470</v>
      </c>
      <c r="X32" s="101" t="s">
        <v>36</v>
      </c>
      <c r="Y32" s="105"/>
      <c r="Z32" s="102">
        <v>0.67499999999999993</v>
      </c>
      <c r="AA32" s="102">
        <v>0.83888888888888891</v>
      </c>
      <c r="AB32" s="16"/>
      <c r="AC32" s="16"/>
      <c r="AD32" s="93">
        <v>20664</v>
      </c>
      <c r="AE32" s="93">
        <f t="shared" si="3"/>
        <v>20.664000000000001</v>
      </c>
      <c r="AF32" s="16">
        <v>14.73</v>
      </c>
      <c r="AG32" s="103">
        <f t="shared" si="1"/>
        <v>14</v>
      </c>
      <c r="AH32" s="37">
        <f t="shared" si="2"/>
        <v>20.664000000000005</v>
      </c>
      <c r="AJ32" s="97">
        <v>45934</v>
      </c>
      <c r="AK32" t="s">
        <v>2346</v>
      </c>
      <c r="AL32" t="s">
        <v>5</v>
      </c>
      <c r="AN32" s="39" t="s">
        <v>2385</v>
      </c>
      <c r="AO32" t="s">
        <v>2385</v>
      </c>
      <c r="AP32" s="37">
        <v>2980</v>
      </c>
      <c r="AR32" s="97"/>
      <c r="AU32" s="97"/>
      <c r="AY32" s="39"/>
      <c r="BA32" s="37"/>
      <c r="BC32" s="97"/>
    </row>
    <row r="33" spans="2:55" ht="16" x14ac:dyDescent="0.4">
      <c r="B33" s="1">
        <v>45954</v>
      </c>
      <c r="C33" s="2">
        <f t="shared" si="4"/>
        <v>270.77599999999995</v>
      </c>
      <c r="D33" s="2">
        <f t="shared" si="5"/>
        <v>10.09</v>
      </c>
      <c r="E33" s="2">
        <f t="shared" si="5"/>
        <v>0</v>
      </c>
      <c r="F33" s="32">
        <f t="shared" si="6"/>
        <v>0</v>
      </c>
      <c r="G33" s="116">
        <f t="shared" si="13"/>
        <v>280.86599999999993</v>
      </c>
      <c r="H33" s="51">
        <f t="shared" si="7"/>
        <v>270.35183000000001</v>
      </c>
      <c r="I33" s="52">
        <f t="shared" si="14"/>
        <v>280.44182999999998</v>
      </c>
      <c r="J33" s="59">
        <f t="shared" si="8"/>
        <v>0</v>
      </c>
      <c r="K33" s="4"/>
      <c r="L33" s="20" t="s">
        <v>48</v>
      </c>
      <c r="N33" s="43">
        <f t="shared" si="10"/>
        <v>13</v>
      </c>
      <c r="O33" s="44">
        <f t="shared" si="11"/>
        <v>3</v>
      </c>
      <c r="P33" s="41">
        <f t="shared" si="12"/>
        <v>0</v>
      </c>
      <c r="Q33" s="45">
        <f t="shared" si="15"/>
        <v>16</v>
      </c>
      <c r="V33" s="97">
        <v>45933</v>
      </c>
      <c r="W33" s="16">
        <v>203967</v>
      </c>
      <c r="X33" s="101" t="s">
        <v>36</v>
      </c>
      <c r="Y33" s="105"/>
      <c r="Z33" s="102">
        <v>0.84027777777777779</v>
      </c>
      <c r="AA33" s="102">
        <v>0.78125</v>
      </c>
      <c r="AB33" s="16"/>
      <c r="AC33" s="16"/>
      <c r="AD33" s="93">
        <v>21616</v>
      </c>
      <c r="AE33" s="93">
        <f t="shared" si="3"/>
        <v>21.616</v>
      </c>
      <c r="AF33" s="16">
        <v>15.59</v>
      </c>
      <c r="AG33" s="103">
        <f t="shared" si="1"/>
        <v>14</v>
      </c>
      <c r="AH33" s="37">
        <f t="shared" si="2"/>
        <v>21.616000000000003</v>
      </c>
      <c r="AJ33" s="97">
        <v>45934</v>
      </c>
      <c r="AK33" t="s">
        <v>2347</v>
      </c>
      <c r="AL33" t="s">
        <v>5</v>
      </c>
      <c r="AN33" s="39" t="s">
        <v>2386</v>
      </c>
      <c r="AO33" t="s">
        <v>2386</v>
      </c>
      <c r="AP33" s="37">
        <v>4740</v>
      </c>
      <c r="AR33" s="97"/>
      <c r="AU33" s="97"/>
      <c r="AY33" s="39"/>
      <c r="BA33" s="37"/>
      <c r="BC33" s="97"/>
    </row>
    <row r="34" spans="2:55" ht="16" x14ac:dyDescent="0.4">
      <c r="B34" s="1">
        <v>45955</v>
      </c>
      <c r="C34" s="2">
        <f t="shared" si="4"/>
        <v>285.58100000000002</v>
      </c>
      <c r="D34" s="2">
        <f t="shared" si="5"/>
        <v>24.48</v>
      </c>
      <c r="E34" s="2">
        <f t="shared" si="5"/>
        <v>0</v>
      </c>
      <c r="F34" s="32">
        <f t="shared" si="6"/>
        <v>0</v>
      </c>
      <c r="G34" s="116">
        <f t="shared" si="13"/>
        <v>310.06100000000004</v>
      </c>
      <c r="H34" s="51">
        <f t="shared" si="7"/>
        <v>285.58100000000002</v>
      </c>
      <c r="I34" s="52">
        <f t="shared" si="14"/>
        <v>310.06100000000004</v>
      </c>
      <c r="J34" s="59">
        <f t="shared" si="8"/>
        <v>0</v>
      </c>
      <c r="K34" s="4"/>
      <c r="L34" s="20">
        <f t="shared" si="9"/>
        <v>0</v>
      </c>
      <c r="N34" s="43">
        <f t="shared" si="10"/>
        <v>14</v>
      </c>
      <c r="O34" s="44">
        <f t="shared" si="11"/>
        <v>7</v>
      </c>
      <c r="P34" s="41">
        <f t="shared" si="12"/>
        <v>0</v>
      </c>
      <c r="Q34" s="45">
        <f t="shared" si="15"/>
        <v>21</v>
      </c>
      <c r="V34" s="97">
        <v>45933</v>
      </c>
      <c r="W34" s="16">
        <v>203993</v>
      </c>
      <c r="X34" s="101" t="s">
        <v>36</v>
      </c>
      <c r="Y34" s="105"/>
      <c r="Z34" s="102">
        <v>0.74444444444444446</v>
      </c>
      <c r="AA34" s="102">
        <v>0.84375</v>
      </c>
      <c r="AB34" s="16"/>
      <c r="AC34" s="16"/>
      <c r="AD34" s="93">
        <v>20744</v>
      </c>
      <c r="AE34" s="93">
        <f t="shared" si="3"/>
        <v>20.744</v>
      </c>
      <c r="AF34" s="16">
        <v>15.87</v>
      </c>
      <c r="AG34" s="103">
        <f t="shared" si="1"/>
        <v>14</v>
      </c>
      <c r="AH34" s="37">
        <f t="shared" si="2"/>
        <v>20.744</v>
      </c>
      <c r="AJ34" s="97">
        <v>45934</v>
      </c>
      <c r="AK34" t="s">
        <v>2348</v>
      </c>
      <c r="AL34" t="s">
        <v>5</v>
      </c>
      <c r="AN34" s="39" t="s">
        <v>2387</v>
      </c>
      <c r="AO34" t="s">
        <v>2388</v>
      </c>
      <c r="AP34" s="37">
        <v>3360</v>
      </c>
      <c r="AR34" s="97"/>
      <c r="AU34" s="97"/>
      <c r="AY34" s="39"/>
      <c r="BA34" s="37"/>
      <c r="BC34" s="97"/>
    </row>
    <row r="35" spans="2:55" ht="16" x14ac:dyDescent="0.4">
      <c r="B35" s="1">
        <v>45956</v>
      </c>
      <c r="C35" s="2">
        <f t="shared" si="4"/>
        <v>122.27800000000001</v>
      </c>
      <c r="D35" s="2">
        <f t="shared" si="5"/>
        <v>0</v>
      </c>
      <c r="E35" s="2">
        <f t="shared" si="5"/>
        <v>0</v>
      </c>
      <c r="F35" s="32">
        <f t="shared" si="6"/>
        <v>0</v>
      </c>
      <c r="G35" s="116">
        <f t="shared" si="13"/>
        <v>122.27800000000001</v>
      </c>
      <c r="H35" s="51">
        <f t="shared" si="7"/>
        <v>122.27799999999998</v>
      </c>
      <c r="I35" s="52">
        <f t="shared" si="14"/>
        <v>122.27799999999998</v>
      </c>
      <c r="J35" s="59">
        <f t="shared" si="8"/>
        <v>0</v>
      </c>
      <c r="K35" s="4"/>
      <c r="L35" s="20">
        <f t="shared" si="9"/>
        <v>0</v>
      </c>
      <c r="N35" s="43">
        <f t="shared" si="10"/>
        <v>6</v>
      </c>
      <c r="O35" s="44">
        <f t="shared" si="11"/>
        <v>0</v>
      </c>
      <c r="P35" s="41">
        <f t="shared" si="12"/>
        <v>0</v>
      </c>
      <c r="Q35" s="45">
        <f t="shared" si="15"/>
        <v>6</v>
      </c>
      <c r="V35" s="97">
        <v>45933</v>
      </c>
      <c r="W35">
        <v>204026</v>
      </c>
      <c r="X35" s="101" t="s">
        <v>36</v>
      </c>
      <c r="Z35">
        <v>0.76388888888888884</v>
      </c>
      <c r="AA35">
        <v>0.92569444444444438</v>
      </c>
      <c r="AD35" s="93">
        <v>20386</v>
      </c>
      <c r="AE35" s="93">
        <f t="shared" si="3"/>
        <v>20.385999999999999</v>
      </c>
      <c r="AF35" s="16">
        <v>16.2</v>
      </c>
      <c r="AG35" s="103">
        <f t="shared" si="1"/>
        <v>14</v>
      </c>
      <c r="AH35" s="37">
        <f t="shared" si="2"/>
        <v>20.385999999999999</v>
      </c>
      <c r="AJ35" s="97">
        <v>45934</v>
      </c>
      <c r="AK35" t="s">
        <v>2349</v>
      </c>
      <c r="AL35" t="s">
        <v>5</v>
      </c>
      <c r="AN35" s="39" t="s">
        <v>2389</v>
      </c>
      <c r="AO35" t="s">
        <v>2389</v>
      </c>
      <c r="AP35" s="37">
        <v>3120</v>
      </c>
      <c r="AR35" s="97"/>
      <c r="AU35" s="97"/>
      <c r="AY35" s="39"/>
      <c r="BA35" s="37"/>
      <c r="BC35" s="97"/>
    </row>
    <row r="36" spans="2:55" ht="16" x14ac:dyDescent="0.4">
      <c r="B36" s="1">
        <v>45957</v>
      </c>
      <c r="C36" s="2">
        <f t="shared" si="4"/>
        <v>0</v>
      </c>
      <c r="D36" s="2">
        <f t="shared" si="5"/>
        <v>26.61</v>
      </c>
      <c r="E36" s="2">
        <f t="shared" si="5"/>
        <v>0</v>
      </c>
      <c r="F36" s="32">
        <f t="shared" si="6"/>
        <v>0</v>
      </c>
      <c r="G36" s="116">
        <f t="shared" si="13"/>
        <v>26.61</v>
      </c>
      <c r="H36" s="51">
        <f t="shared" si="7"/>
        <v>0</v>
      </c>
      <c r="I36" s="52">
        <f t="shared" si="14"/>
        <v>26.61</v>
      </c>
      <c r="J36" s="59">
        <f t="shared" si="8"/>
        <v>0</v>
      </c>
      <c r="K36" s="4"/>
      <c r="L36" s="20">
        <f t="shared" si="9"/>
        <v>0</v>
      </c>
      <c r="N36" s="43">
        <f t="shared" si="10"/>
        <v>0</v>
      </c>
      <c r="O36" s="44">
        <f t="shared" si="11"/>
        <v>8</v>
      </c>
      <c r="P36" s="41">
        <f t="shared" si="12"/>
        <v>0</v>
      </c>
      <c r="Q36" s="45">
        <f t="shared" si="15"/>
        <v>8</v>
      </c>
      <c r="V36" s="97">
        <v>45934</v>
      </c>
      <c r="W36" s="16">
        <v>204044</v>
      </c>
      <c r="X36" s="101" t="s">
        <v>36</v>
      </c>
      <c r="Y36" s="105"/>
      <c r="Z36" s="102">
        <v>0.74444444444444446</v>
      </c>
      <c r="AA36" s="102">
        <v>0.97361111111111109</v>
      </c>
      <c r="AB36" s="16"/>
      <c r="AC36" s="16"/>
      <c r="AD36" s="93">
        <v>19010</v>
      </c>
      <c r="AE36" s="93">
        <f t="shared" si="3"/>
        <v>19.010000000000002</v>
      </c>
      <c r="AF36" s="16">
        <v>15.66</v>
      </c>
      <c r="AG36" s="103">
        <f t="shared" si="1"/>
        <v>14</v>
      </c>
      <c r="AH36" s="37">
        <f t="shared" si="2"/>
        <v>19.010000000000002</v>
      </c>
      <c r="AJ36" s="97">
        <v>45934</v>
      </c>
      <c r="AK36" t="s">
        <v>2350</v>
      </c>
      <c r="AL36" t="s">
        <v>5</v>
      </c>
      <c r="AN36" s="81" t="s">
        <v>2390</v>
      </c>
      <c r="AO36" t="s">
        <v>2390</v>
      </c>
      <c r="AP36" s="37">
        <v>2970</v>
      </c>
      <c r="AR36" s="97"/>
      <c r="AU36" s="97"/>
      <c r="AY36" s="81"/>
      <c r="BA36" s="37"/>
      <c r="BC36" s="97"/>
    </row>
    <row r="37" spans="2:55" ht="16" x14ac:dyDescent="0.4">
      <c r="B37" s="1">
        <v>45958</v>
      </c>
      <c r="C37" s="2">
        <f t="shared" si="4"/>
        <v>192.49199999999996</v>
      </c>
      <c r="D37" s="2">
        <f t="shared" si="5"/>
        <v>24.2</v>
      </c>
      <c r="E37" s="2">
        <f t="shared" si="5"/>
        <v>0</v>
      </c>
      <c r="F37" s="32">
        <f t="shared" si="6"/>
        <v>0</v>
      </c>
      <c r="G37" s="116">
        <f t="shared" si="13"/>
        <v>216.69199999999995</v>
      </c>
      <c r="H37" s="51">
        <f t="shared" si="7"/>
        <v>192.49199999999999</v>
      </c>
      <c r="I37" s="52">
        <f t="shared" si="14"/>
        <v>216.69199999999998</v>
      </c>
      <c r="J37" s="59">
        <f t="shared" si="8"/>
        <v>0</v>
      </c>
      <c r="K37" s="4"/>
      <c r="L37" s="20">
        <f t="shared" si="9"/>
        <v>0</v>
      </c>
      <c r="N37" s="43">
        <f t="shared" si="10"/>
        <v>10</v>
      </c>
      <c r="O37" s="44">
        <f t="shared" si="11"/>
        <v>7</v>
      </c>
      <c r="P37" s="41">
        <f t="shared" si="12"/>
        <v>0</v>
      </c>
      <c r="Q37" s="45">
        <f t="shared" si="15"/>
        <v>17</v>
      </c>
      <c r="V37" s="97">
        <v>45934</v>
      </c>
      <c r="W37" s="16">
        <v>204055</v>
      </c>
      <c r="X37" s="101" t="s">
        <v>36</v>
      </c>
      <c r="Y37" s="105"/>
      <c r="Z37" s="102">
        <v>0.76388888888888884</v>
      </c>
      <c r="AA37" s="102">
        <v>3.8194444444444441E-2</v>
      </c>
      <c r="AB37" s="16"/>
      <c r="AC37" s="16"/>
      <c r="AD37" s="93">
        <v>19632</v>
      </c>
      <c r="AE37" s="93">
        <f t="shared" si="3"/>
        <v>19.632000000000001</v>
      </c>
      <c r="AF37" s="16">
        <v>14.45</v>
      </c>
      <c r="AG37" s="103">
        <f t="shared" si="1"/>
        <v>14</v>
      </c>
      <c r="AH37" s="37">
        <f t="shared" si="2"/>
        <v>19.632000000000001</v>
      </c>
      <c r="AJ37" s="97">
        <v>45934</v>
      </c>
      <c r="AK37" t="s">
        <v>2351</v>
      </c>
      <c r="AL37" t="s">
        <v>5</v>
      </c>
      <c r="AN37" s="81" t="s">
        <v>2391</v>
      </c>
      <c r="AO37" t="s">
        <v>2391</v>
      </c>
      <c r="AP37" s="37">
        <v>1430</v>
      </c>
      <c r="AR37" s="97"/>
      <c r="AU37" s="97"/>
      <c r="AY37" s="81"/>
      <c r="BA37" s="37"/>
      <c r="BC37" s="97"/>
    </row>
    <row r="38" spans="2:55" ht="16" x14ac:dyDescent="0.4">
      <c r="B38" s="1">
        <v>45959</v>
      </c>
      <c r="C38" s="2">
        <f t="shared" si="4"/>
        <v>335.10599999999999</v>
      </c>
      <c r="D38" s="2">
        <f t="shared" si="5"/>
        <v>13.37</v>
      </c>
      <c r="E38" s="2">
        <f t="shared" si="5"/>
        <v>6.43</v>
      </c>
      <c r="F38" s="32">
        <f t="shared" si="6"/>
        <v>0</v>
      </c>
      <c r="G38" s="116">
        <f t="shared" si="13"/>
        <v>354.90600000000001</v>
      </c>
      <c r="H38" s="51">
        <f t="shared" si="7"/>
        <v>333.30247857142859</v>
      </c>
      <c r="I38" s="52">
        <f t="shared" si="14"/>
        <v>353.10247857142861</v>
      </c>
      <c r="J38" s="59">
        <f t="shared" si="8"/>
        <v>0</v>
      </c>
      <c r="K38" s="4"/>
      <c r="L38" s="20">
        <f t="shared" si="9"/>
        <v>0</v>
      </c>
      <c r="N38" s="43">
        <f t="shared" si="10"/>
        <v>16</v>
      </c>
      <c r="O38" s="44">
        <f t="shared" si="11"/>
        <v>5</v>
      </c>
      <c r="P38" s="41">
        <f t="shared" si="12"/>
        <v>1</v>
      </c>
      <c r="Q38" s="45">
        <f t="shared" si="15"/>
        <v>22</v>
      </c>
      <c r="V38" s="97">
        <v>45934</v>
      </c>
      <c r="W38" s="16">
        <v>204064</v>
      </c>
      <c r="X38" s="101" t="s">
        <v>36</v>
      </c>
      <c r="Y38" s="105"/>
      <c r="Z38" s="102">
        <v>0.37083333333333335</v>
      </c>
      <c r="AA38" s="102">
        <v>8.8888888888888892E-2</v>
      </c>
      <c r="AB38" s="16"/>
      <c r="AC38" s="16"/>
      <c r="AD38" s="93">
        <v>18882</v>
      </c>
      <c r="AE38" s="93">
        <f t="shared" si="3"/>
        <v>18.882000000000001</v>
      </c>
      <c r="AF38" s="16">
        <v>14.52</v>
      </c>
      <c r="AG38" s="103">
        <f t="shared" si="1"/>
        <v>14</v>
      </c>
      <c r="AH38" s="37">
        <f t="shared" si="2"/>
        <v>18.882000000000001</v>
      </c>
      <c r="AJ38" s="97">
        <v>45934</v>
      </c>
      <c r="AK38" t="s">
        <v>2352</v>
      </c>
      <c r="AL38" t="s">
        <v>5</v>
      </c>
      <c r="AN38" s="81" t="s">
        <v>2392</v>
      </c>
      <c r="AO38" t="s">
        <v>2392</v>
      </c>
      <c r="AP38" s="37">
        <v>2380</v>
      </c>
      <c r="AR38" s="97"/>
      <c r="AU38" s="97"/>
      <c r="AY38" s="81"/>
      <c r="BA38" s="37"/>
      <c r="BC38" s="97"/>
    </row>
    <row r="39" spans="2:55" ht="16" x14ac:dyDescent="0.4">
      <c r="B39" s="1">
        <v>45960</v>
      </c>
      <c r="C39" s="2">
        <f t="shared" si="4"/>
        <v>297.65199999999999</v>
      </c>
      <c r="D39" s="2">
        <f t="shared" si="5"/>
        <v>21.9</v>
      </c>
      <c r="E39" s="2">
        <f t="shared" si="5"/>
        <v>0</v>
      </c>
      <c r="F39" s="32">
        <f t="shared" si="6"/>
        <v>0</v>
      </c>
      <c r="G39" s="116">
        <f t="shared" ref="G39:G40" si="16">SUM(C39:E39)</f>
        <v>319.55199999999996</v>
      </c>
      <c r="H39" s="51">
        <f t="shared" si="7"/>
        <v>296.03946571428571</v>
      </c>
      <c r="I39" s="52">
        <f t="shared" ref="I39:I40" si="17">H39+D39+E39</f>
        <v>317.93946571428569</v>
      </c>
      <c r="J39" s="59">
        <f t="shared" si="8"/>
        <v>0</v>
      </c>
      <c r="K39" s="4"/>
      <c r="L39" s="20">
        <f t="shared" ref="L39:L40" si="18">SUM(J39:K39)</f>
        <v>0</v>
      </c>
      <c r="N39" s="43">
        <f t="shared" si="10"/>
        <v>14</v>
      </c>
      <c r="O39" s="44">
        <f t="shared" si="11"/>
        <v>8</v>
      </c>
      <c r="P39" s="41">
        <f t="shared" si="12"/>
        <v>0</v>
      </c>
      <c r="Q39" s="45">
        <f t="shared" ref="Q39:Q40" si="19">SUM(N39:P39)</f>
        <v>22</v>
      </c>
      <c r="V39" s="97">
        <v>45934</v>
      </c>
      <c r="W39" s="16">
        <v>204077</v>
      </c>
      <c r="X39" s="101" t="s">
        <v>36</v>
      </c>
      <c r="Y39" s="105"/>
      <c r="Z39" s="102">
        <v>0.96458333333333324</v>
      </c>
      <c r="AA39" s="102">
        <v>0.14444444444444446</v>
      </c>
      <c r="AB39" s="16"/>
      <c r="AC39" s="16"/>
      <c r="AD39" s="93">
        <v>19868</v>
      </c>
      <c r="AE39" s="93">
        <f t="shared" si="3"/>
        <v>19.867999999999999</v>
      </c>
      <c r="AF39" s="16">
        <v>15.09</v>
      </c>
      <c r="AG39" s="103">
        <f t="shared" si="1"/>
        <v>14</v>
      </c>
      <c r="AH39" s="37">
        <f t="shared" si="2"/>
        <v>19.867999999999999</v>
      </c>
      <c r="AJ39" s="97">
        <v>45934</v>
      </c>
      <c r="AK39" t="s">
        <v>2353</v>
      </c>
      <c r="AL39" t="s">
        <v>5</v>
      </c>
      <c r="AN39" t="s">
        <v>2393</v>
      </c>
      <c r="AO39" t="s">
        <v>2393</v>
      </c>
      <c r="AP39" s="37">
        <v>2720</v>
      </c>
      <c r="AR39" s="97"/>
      <c r="AU39" s="97"/>
      <c r="BA39" s="37"/>
      <c r="BC39" s="97"/>
    </row>
    <row r="40" spans="2:55" ht="16.5" thickBot="1" x14ac:dyDescent="0.45">
      <c r="B40" s="1">
        <v>45961</v>
      </c>
      <c r="C40" s="2">
        <f t="shared" si="4"/>
        <v>366.15799999999996</v>
      </c>
      <c r="D40" s="2">
        <f t="shared" ref="D40:E40" si="20">SUMIFS($AP:$AP,$AJ:$AJ,$B40,$AL:$AL,D$7)/1000</f>
        <v>14.87</v>
      </c>
      <c r="E40" s="2">
        <f t="shared" si="20"/>
        <v>0</v>
      </c>
      <c r="F40" s="32">
        <f t="shared" si="6"/>
        <v>0</v>
      </c>
      <c r="G40" s="116">
        <f t="shared" si="16"/>
        <v>381.02799999999996</v>
      </c>
      <c r="H40" s="51">
        <f t="shared" si="7"/>
        <v>365.16353142857139</v>
      </c>
      <c r="I40" s="52">
        <f t="shared" si="17"/>
        <v>380.03353142857139</v>
      </c>
      <c r="J40" s="59">
        <f t="shared" si="8"/>
        <v>0</v>
      </c>
      <c r="K40" s="4"/>
      <c r="L40" s="20">
        <f t="shared" si="18"/>
        <v>0</v>
      </c>
      <c r="N40" s="43">
        <f t="shared" si="10"/>
        <v>17</v>
      </c>
      <c r="O40" s="44">
        <f t="shared" si="11"/>
        <v>5</v>
      </c>
      <c r="P40" s="41">
        <f t="shared" si="12"/>
        <v>0</v>
      </c>
      <c r="Q40" s="45">
        <f t="shared" si="19"/>
        <v>22</v>
      </c>
      <c r="V40" s="97">
        <v>45934</v>
      </c>
      <c r="W40" s="16">
        <v>204082</v>
      </c>
      <c r="X40" s="101" t="s">
        <v>36</v>
      </c>
      <c r="Y40" s="105"/>
      <c r="Z40" s="102">
        <v>0.22847222222222222</v>
      </c>
      <c r="AA40" s="102">
        <v>0.19097222222222221</v>
      </c>
      <c r="AB40" s="16"/>
      <c r="AC40" s="16"/>
      <c r="AD40" s="93">
        <v>19938</v>
      </c>
      <c r="AE40" s="93">
        <f t="shared" si="3"/>
        <v>19.937999999999999</v>
      </c>
      <c r="AF40" s="16">
        <v>14.31</v>
      </c>
      <c r="AG40" s="103">
        <f t="shared" si="1"/>
        <v>14</v>
      </c>
      <c r="AH40" s="37">
        <f t="shared" si="2"/>
        <v>19.937999999999999</v>
      </c>
      <c r="AJ40" s="97">
        <v>45934</v>
      </c>
      <c r="AK40" t="s">
        <v>2354</v>
      </c>
      <c r="AL40" t="s">
        <v>5</v>
      </c>
      <c r="AN40" s="81" t="s">
        <v>2394</v>
      </c>
      <c r="AO40" t="s">
        <v>2394</v>
      </c>
      <c r="AP40" s="37">
        <v>4520</v>
      </c>
      <c r="AR40" s="97"/>
      <c r="AU40" s="97"/>
      <c r="AY40" s="81"/>
      <c r="BA40" s="37"/>
      <c r="BC40" s="97"/>
    </row>
    <row r="41" spans="2:55" ht="16" x14ac:dyDescent="0.4">
      <c r="B41" s="5" t="s">
        <v>23</v>
      </c>
      <c r="C41" s="6">
        <f t="shared" ref="C41:K41" si="21">SUM(C10:C40)</f>
        <v>5399.0950000000003</v>
      </c>
      <c r="D41" s="31">
        <f>SUM(D10:D40)</f>
        <v>564.79</v>
      </c>
      <c r="E41" s="31">
        <f t="shared" ref="E41" si="22">SUM(E10:E40)</f>
        <v>24.97</v>
      </c>
      <c r="F41" s="6">
        <f t="shared" si="21"/>
        <v>0</v>
      </c>
      <c r="G41" s="7">
        <f t="shared" si="21"/>
        <v>5988.8549999999987</v>
      </c>
      <c r="H41" s="54">
        <f>SUM(H10:H40)</f>
        <v>5380.403687142858</v>
      </c>
      <c r="I41" s="7">
        <f>SUM(I10:I40)</f>
        <v>5970.1636871428564</v>
      </c>
      <c r="J41" s="8">
        <f t="shared" si="21"/>
        <v>0</v>
      </c>
      <c r="K41" s="8">
        <f t="shared" si="21"/>
        <v>0</v>
      </c>
      <c r="L41" s="7">
        <f>SUM(L10:L40)-J41</f>
        <v>0</v>
      </c>
      <c r="N41" s="46">
        <f>SUM(N10:N40)</f>
        <v>267</v>
      </c>
      <c r="O41" s="46">
        <f t="shared" ref="O41" si="23">SUM(O10:O40)</f>
        <v>172</v>
      </c>
      <c r="P41" s="46">
        <f>SUM(P10:P40)</f>
        <v>4</v>
      </c>
      <c r="Q41" s="46">
        <f>SUM(Q10:Q40)-Q42</f>
        <v>321</v>
      </c>
      <c r="V41" s="97">
        <v>45934</v>
      </c>
      <c r="W41" s="16">
        <v>204136</v>
      </c>
      <c r="X41" s="101" t="s">
        <v>36</v>
      </c>
      <c r="Y41" s="105"/>
      <c r="Z41" s="102">
        <v>0.82459490740740737</v>
      </c>
      <c r="AA41" s="102">
        <v>0.31505787037037036</v>
      </c>
      <c r="AB41" s="16"/>
      <c r="AC41" s="16"/>
      <c r="AD41" s="93">
        <v>20024</v>
      </c>
      <c r="AE41" s="93">
        <f t="shared" si="3"/>
        <v>20.024000000000001</v>
      </c>
      <c r="AF41" s="16">
        <v>15.98</v>
      </c>
      <c r="AG41" s="103">
        <f t="shared" si="1"/>
        <v>14</v>
      </c>
      <c r="AH41" s="37">
        <f t="shared" si="2"/>
        <v>20.024000000000001</v>
      </c>
      <c r="AJ41" s="97">
        <v>45936</v>
      </c>
      <c r="AK41" t="s">
        <v>2355</v>
      </c>
      <c r="AL41" t="s">
        <v>5</v>
      </c>
      <c r="AN41" s="39" t="s">
        <v>2395</v>
      </c>
      <c r="AO41" t="s">
        <v>2395</v>
      </c>
      <c r="AP41" s="37">
        <v>3790</v>
      </c>
      <c r="AR41" s="97"/>
      <c r="AU41" s="97"/>
      <c r="AY41" s="39"/>
      <c r="BA41" s="37"/>
      <c r="BC41" s="97"/>
    </row>
    <row r="42" spans="2:55" ht="16.5" thickBot="1" x14ac:dyDescent="0.45">
      <c r="B42" s="9"/>
      <c r="C42" s="10">
        <f>C41/$G$41</f>
        <v>0.90152374702676918</v>
      </c>
      <c r="D42" s="10">
        <f t="shared" ref="D42:E42" si="24">D41/$G$41</f>
        <v>9.4306841624985094E-2</v>
      </c>
      <c r="E42" s="10">
        <f t="shared" si="24"/>
        <v>4.169411348246034E-3</v>
      </c>
      <c r="F42" s="10">
        <f>F41/$G$41</f>
        <v>0</v>
      </c>
      <c r="G42" s="9"/>
      <c r="H42" s="9"/>
      <c r="I42" s="9"/>
      <c r="J42" s="10" t="e">
        <f t="shared" ref="J42:K42" si="25">J41/$L$41</f>
        <v>#DIV/0!</v>
      </c>
      <c r="K42" s="10" t="e">
        <f t="shared" si="25"/>
        <v>#DIV/0!</v>
      </c>
      <c r="L42" s="11">
        <f>G41+L41</f>
        <v>5988.8549999999987</v>
      </c>
      <c r="N42" s="28" t="s">
        <v>24</v>
      </c>
      <c r="O42" s="28"/>
      <c r="P42" s="28"/>
      <c r="Q42" s="28">
        <f>COUNTBLANK(AP5:AP302)</f>
        <v>122</v>
      </c>
      <c r="V42" s="97">
        <v>45934</v>
      </c>
      <c r="W42" s="16">
        <v>204186</v>
      </c>
      <c r="X42" s="101" t="s">
        <v>36</v>
      </c>
      <c r="Y42" s="105"/>
      <c r="Z42" s="102">
        <v>0.26739583333333333</v>
      </c>
      <c r="AA42" s="102">
        <v>0.37817129629629626</v>
      </c>
      <c r="AB42" s="16"/>
      <c r="AC42" s="16"/>
      <c r="AD42" s="93">
        <v>20146</v>
      </c>
      <c r="AE42" s="93">
        <f t="shared" si="3"/>
        <v>20.146000000000001</v>
      </c>
      <c r="AF42" s="16">
        <v>15.56</v>
      </c>
      <c r="AG42" s="103">
        <f t="shared" si="1"/>
        <v>14</v>
      </c>
      <c r="AH42" s="37">
        <f t="shared" si="2"/>
        <v>20.145999999999997</v>
      </c>
      <c r="AJ42" s="97">
        <v>45936</v>
      </c>
      <c r="AK42" t="s">
        <v>2396</v>
      </c>
      <c r="AL42" t="s">
        <v>5</v>
      </c>
      <c r="AN42" s="81" t="s">
        <v>2451</v>
      </c>
      <c r="AO42" s="81" t="s">
        <v>2451</v>
      </c>
      <c r="AP42" s="37">
        <v>2750</v>
      </c>
      <c r="AR42" s="97"/>
      <c r="AU42" s="97"/>
      <c r="AY42" s="81"/>
      <c r="AZ42" s="81"/>
      <c r="BA42" s="37"/>
      <c r="BC42" s="97"/>
    </row>
    <row r="43" spans="2:55" ht="16.5" thickTop="1" x14ac:dyDescent="0.4">
      <c r="G43" s="12"/>
      <c r="H43" s="12"/>
      <c r="I43" s="12"/>
      <c r="J43" s="13"/>
      <c r="K43" s="14"/>
      <c r="V43" s="97">
        <v>45934</v>
      </c>
      <c r="W43" s="16">
        <v>204250</v>
      </c>
      <c r="X43" s="101" t="s">
        <v>36</v>
      </c>
      <c r="Y43" s="105"/>
      <c r="Z43" s="102">
        <v>8.4803240740740748E-2</v>
      </c>
      <c r="AA43" s="102">
        <v>0.4496412037037037</v>
      </c>
      <c r="AB43" s="16"/>
      <c r="AC43" s="16"/>
      <c r="AD43" s="93">
        <v>20028</v>
      </c>
      <c r="AE43" s="93">
        <f t="shared" si="3"/>
        <v>20.027999999999999</v>
      </c>
      <c r="AF43" s="16">
        <v>14.84</v>
      </c>
      <c r="AG43" s="103">
        <f t="shared" si="1"/>
        <v>14</v>
      </c>
      <c r="AH43" s="37">
        <f t="shared" si="2"/>
        <v>20.027999999999999</v>
      </c>
      <c r="AJ43" s="97">
        <v>45936</v>
      </c>
      <c r="AK43" t="s">
        <v>2397</v>
      </c>
      <c r="AL43" t="s">
        <v>5</v>
      </c>
      <c r="AN43" s="81" t="s">
        <v>2452</v>
      </c>
      <c r="AO43" s="81" t="s">
        <v>2452</v>
      </c>
      <c r="AP43" s="37">
        <v>2800</v>
      </c>
      <c r="AR43" s="97"/>
      <c r="AU43" s="97"/>
      <c r="AY43" s="81"/>
      <c r="AZ43" s="81"/>
      <c r="BA43" s="37"/>
      <c r="BC43" s="97"/>
    </row>
    <row r="44" spans="2:55" ht="16" x14ac:dyDescent="0.4">
      <c r="B44" s="15" t="s">
        <v>6</v>
      </c>
      <c r="G44" s="16"/>
      <c r="H44" s="16"/>
      <c r="I44" s="16"/>
      <c r="J44" s="16"/>
      <c r="K44" s="14"/>
      <c r="V44" s="97">
        <v>45934</v>
      </c>
      <c r="W44" s="16">
        <v>204291</v>
      </c>
      <c r="X44" s="101" t="s">
        <v>36</v>
      </c>
      <c r="Y44" s="105"/>
      <c r="Z44" s="102">
        <v>0.26758101851851851</v>
      </c>
      <c r="AA44" s="102">
        <v>0.52824074074074068</v>
      </c>
      <c r="AB44" s="16"/>
      <c r="AC44" s="16"/>
      <c r="AD44" s="93">
        <v>20838</v>
      </c>
      <c r="AE44" s="93">
        <f t="shared" si="3"/>
        <v>20.838000000000001</v>
      </c>
      <c r="AF44" s="16">
        <v>15.99</v>
      </c>
      <c r="AG44" s="103">
        <f t="shared" si="1"/>
        <v>14</v>
      </c>
      <c r="AH44" s="37">
        <f t="shared" si="2"/>
        <v>20.838000000000001</v>
      </c>
      <c r="AJ44" s="97">
        <v>45936</v>
      </c>
      <c r="AK44" t="s">
        <v>2398</v>
      </c>
      <c r="AL44" t="s">
        <v>4</v>
      </c>
      <c r="AN44" s="81" t="s">
        <v>2453</v>
      </c>
      <c r="AO44" t="s">
        <v>2454</v>
      </c>
      <c r="AP44" s="37">
        <v>5230</v>
      </c>
      <c r="AR44" s="97"/>
      <c r="AU44" s="97"/>
      <c r="AY44" s="81"/>
      <c r="BA44" s="37"/>
      <c r="BC44" s="97"/>
    </row>
    <row r="45" spans="2:55" ht="16" x14ac:dyDescent="0.4">
      <c r="B45" t="s">
        <v>7</v>
      </c>
      <c r="G45" s="23"/>
      <c r="H45" s="23"/>
      <c r="I45" s="23"/>
      <c r="J45" s="17"/>
      <c r="K45" s="18"/>
      <c r="V45" s="97">
        <v>45934</v>
      </c>
      <c r="W45" s="16">
        <v>204321</v>
      </c>
      <c r="X45" s="101" t="s">
        <v>36</v>
      </c>
      <c r="Y45" s="105"/>
      <c r="Z45" s="102">
        <v>0.49548611111111113</v>
      </c>
      <c r="AA45" s="102">
        <v>4.6618055555555555</v>
      </c>
      <c r="AB45" s="16"/>
      <c r="AC45" s="16"/>
      <c r="AD45" s="93">
        <v>20168</v>
      </c>
      <c r="AE45" s="93">
        <f t="shared" si="3"/>
        <v>20.167999999999999</v>
      </c>
      <c r="AF45" s="16">
        <v>14.59</v>
      </c>
      <c r="AG45" s="103">
        <f t="shared" si="1"/>
        <v>14</v>
      </c>
      <c r="AH45" s="37">
        <f t="shared" si="2"/>
        <v>20.167999999999999</v>
      </c>
      <c r="AJ45" s="97">
        <v>45936</v>
      </c>
      <c r="AK45" t="s">
        <v>2399</v>
      </c>
      <c r="AL45" t="s">
        <v>5</v>
      </c>
      <c r="AN45" s="81" t="s">
        <v>2455</v>
      </c>
      <c r="AO45" t="s">
        <v>2455</v>
      </c>
      <c r="AP45" s="37">
        <v>5260</v>
      </c>
      <c r="AR45" s="97"/>
      <c r="AU45" s="97"/>
      <c r="AY45" s="81"/>
      <c r="BA45" s="37"/>
      <c r="BC45" s="97"/>
    </row>
    <row r="46" spans="2:55" ht="16" x14ac:dyDescent="0.4">
      <c r="B46" t="s">
        <v>8</v>
      </c>
      <c r="F46" s="23"/>
      <c r="G46" s="23"/>
      <c r="H46" s="23"/>
      <c r="I46" s="23"/>
      <c r="J46" s="23"/>
      <c r="K46" s="23"/>
      <c r="V46" s="97">
        <v>45934</v>
      </c>
      <c r="W46" s="16">
        <v>20462</v>
      </c>
      <c r="X46" s="101" t="s">
        <v>36</v>
      </c>
      <c r="Y46" s="105"/>
      <c r="Z46" s="102">
        <v>0.26771990740740742</v>
      </c>
      <c r="AA46" s="102">
        <v>0.65074074074074073</v>
      </c>
      <c r="AB46" s="16"/>
      <c r="AC46" s="16"/>
      <c r="AD46" s="93">
        <v>20266</v>
      </c>
      <c r="AE46" s="93">
        <f t="shared" si="3"/>
        <v>20.265999999999998</v>
      </c>
      <c r="AF46" s="16">
        <v>14.49</v>
      </c>
      <c r="AG46" s="103">
        <f t="shared" si="1"/>
        <v>14</v>
      </c>
      <c r="AH46" s="37">
        <f t="shared" si="2"/>
        <v>20.265999999999998</v>
      </c>
      <c r="AJ46" s="97">
        <v>45936</v>
      </c>
      <c r="AK46" t="s">
        <v>2400</v>
      </c>
      <c r="AL46" t="s">
        <v>5</v>
      </c>
      <c r="AN46" s="81" t="s">
        <v>2456</v>
      </c>
      <c r="AO46" s="81" t="s">
        <v>2457</v>
      </c>
      <c r="AP46" s="37">
        <v>2900</v>
      </c>
      <c r="AR46" s="97"/>
      <c r="AU46" s="97"/>
      <c r="AY46" s="81"/>
      <c r="AZ46" s="81"/>
      <c r="BA46" s="37"/>
      <c r="BC46" s="97"/>
    </row>
    <row r="47" spans="2:55" ht="16" x14ac:dyDescent="0.4">
      <c r="B47" t="s">
        <v>9</v>
      </c>
      <c r="F47" s="23"/>
      <c r="G47" s="30"/>
      <c r="H47" s="30"/>
      <c r="I47" s="30"/>
      <c r="V47" s="97">
        <v>45934</v>
      </c>
      <c r="W47" s="16">
        <v>204396</v>
      </c>
      <c r="X47" s="101" t="s">
        <v>36</v>
      </c>
      <c r="Y47" s="105"/>
      <c r="Z47" s="102">
        <v>0.65347222222222223</v>
      </c>
      <c r="AA47" s="102">
        <v>0.70611111111111102</v>
      </c>
      <c r="AB47" s="16"/>
      <c r="AC47" s="16"/>
      <c r="AD47" s="93">
        <v>20208</v>
      </c>
      <c r="AE47" s="93">
        <f t="shared" si="3"/>
        <v>20.207999999999998</v>
      </c>
      <c r="AF47" s="16">
        <v>15.38</v>
      </c>
      <c r="AG47" s="103">
        <f t="shared" si="1"/>
        <v>14</v>
      </c>
      <c r="AH47" s="37">
        <f t="shared" si="2"/>
        <v>20.207999999999998</v>
      </c>
      <c r="AJ47" s="97">
        <v>45936</v>
      </c>
      <c r="AK47" t="s">
        <v>2401</v>
      </c>
      <c r="AL47" t="s">
        <v>5</v>
      </c>
      <c r="AN47" s="81" t="s">
        <v>2458</v>
      </c>
      <c r="AO47" t="s">
        <v>2459</v>
      </c>
      <c r="AP47" s="37">
        <v>2920</v>
      </c>
      <c r="AR47" s="97"/>
      <c r="AU47" s="97"/>
      <c r="AY47" s="81"/>
      <c r="BA47" s="37"/>
      <c r="BC47" s="97"/>
    </row>
    <row r="48" spans="2:55" ht="16" x14ac:dyDescent="0.4">
      <c r="B48" t="s">
        <v>10</v>
      </c>
      <c r="V48" s="97">
        <v>45934</v>
      </c>
      <c r="W48" s="16">
        <v>204413</v>
      </c>
      <c r="X48" s="101" t="s">
        <v>36</v>
      </c>
      <c r="Y48" s="105"/>
      <c r="Z48" s="102">
        <v>0.68958333333333333</v>
      </c>
      <c r="AA48" s="102">
        <v>0.77500000000000002</v>
      </c>
      <c r="AB48" s="16"/>
      <c r="AC48" s="16"/>
      <c r="AD48" s="93">
        <v>19684</v>
      </c>
      <c r="AE48" s="93">
        <f t="shared" si="3"/>
        <v>19.684000000000001</v>
      </c>
      <c r="AF48" s="16">
        <v>14.49</v>
      </c>
      <c r="AG48" s="103">
        <f t="shared" si="1"/>
        <v>14</v>
      </c>
      <c r="AH48" s="37">
        <f t="shared" si="2"/>
        <v>19.684000000000001</v>
      </c>
      <c r="AJ48" s="97">
        <v>45936</v>
      </c>
      <c r="AK48" t="s">
        <v>2402</v>
      </c>
      <c r="AL48" t="s">
        <v>5</v>
      </c>
      <c r="AN48" t="s">
        <v>2460</v>
      </c>
      <c r="AO48" t="s">
        <v>2460</v>
      </c>
      <c r="AP48" s="37">
        <v>2800</v>
      </c>
      <c r="AR48" s="97"/>
      <c r="AU48" s="97"/>
      <c r="BA48" s="37"/>
      <c r="BC48" s="97"/>
    </row>
    <row r="49" spans="2:56" ht="16" x14ac:dyDescent="0.4">
      <c r="V49" s="97">
        <v>45934</v>
      </c>
      <c r="W49" s="16">
        <v>204425</v>
      </c>
      <c r="X49" s="101" t="s">
        <v>36</v>
      </c>
      <c r="Y49" s="105"/>
      <c r="Z49" s="102">
        <v>0.76041666666666663</v>
      </c>
      <c r="AA49" s="102">
        <v>0.8354166666666667</v>
      </c>
      <c r="AB49" s="16"/>
      <c r="AC49" s="16"/>
      <c r="AD49" s="93">
        <v>19046</v>
      </c>
      <c r="AE49" s="93">
        <f t="shared" si="3"/>
        <v>19.045999999999999</v>
      </c>
      <c r="AF49" s="16">
        <v>15.84</v>
      </c>
      <c r="AG49" s="103">
        <f t="shared" si="1"/>
        <v>14</v>
      </c>
      <c r="AH49" s="37">
        <f t="shared" si="2"/>
        <v>19.045999999999999</v>
      </c>
      <c r="AJ49" s="97">
        <v>45936</v>
      </c>
      <c r="AK49" t="s">
        <v>2403</v>
      </c>
      <c r="AL49" t="s">
        <v>5</v>
      </c>
      <c r="AN49" s="81" t="s">
        <v>2461</v>
      </c>
      <c r="AO49" t="s">
        <v>2462</v>
      </c>
      <c r="AP49" s="37">
        <v>4420</v>
      </c>
      <c r="AR49" s="97"/>
      <c r="AU49" s="97"/>
      <c r="AY49" s="81"/>
      <c r="BA49" s="37"/>
      <c r="BC49" s="97"/>
    </row>
    <row r="50" spans="2:56" ht="16" x14ac:dyDescent="0.4">
      <c r="B50" t="s">
        <v>11</v>
      </c>
      <c r="J50" t="s">
        <v>11</v>
      </c>
      <c r="V50" s="97">
        <v>45934</v>
      </c>
      <c r="W50" s="16">
        <v>204448</v>
      </c>
      <c r="X50" s="101" t="s">
        <v>36</v>
      </c>
      <c r="Y50" s="105"/>
      <c r="Z50" s="102">
        <v>0.68958333333333333</v>
      </c>
      <c r="AA50" s="102">
        <v>0.92152777777777783</v>
      </c>
      <c r="AB50" s="16"/>
      <c r="AC50" s="16"/>
      <c r="AD50" s="93">
        <v>21804</v>
      </c>
      <c r="AE50" s="93">
        <f t="shared" si="3"/>
        <v>21.803999999999998</v>
      </c>
      <c r="AF50" s="16">
        <v>14.27</v>
      </c>
      <c r="AG50" s="103">
        <f t="shared" si="1"/>
        <v>14</v>
      </c>
      <c r="AH50" s="37">
        <f t="shared" si="2"/>
        <v>21.803999999999998</v>
      </c>
      <c r="AJ50" s="97">
        <v>45937</v>
      </c>
      <c r="AK50" t="s">
        <v>2404</v>
      </c>
      <c r="AL50" t="s">
        <v>5</v>
      </c>
      <c r="AN50" s="81" t="s">
        <v>2463</v>
      </c>
      <c r="AO50" t="s">
        <v>2463</v>
      </c>
      <c r="AP50" s="37">
        <v>3060</v>
      </c>
      <c r="AR50" s="97"/>
      <c r="AU50" s="97"/>
      <c r="AY50" s="81"/>
      <c r="BA50" s="37"/>
      <c r="BC50" s="97"/>
    </row>
    <row r="51" spans="2:56" ht="16" x14ac:dyDescent="0.4">
      <c r="V51" s="97">
        <v>45935</v>
      </c>
      <c r="W51" s="16">
        <v>204456</v>
      </c>
      <c r="X51" s="101" t="s">
        <v>36</v>
      </c>
      <c r="Y51" s="105"/>
      <c r="Z51" s="102">
        <v>0.76041666666666663</v>
      </c>
      <c r="AA51" s="102">
        <v>0.99791666666666667</v>
      </c>
      <c r="AB51" s="16"/>
      <c r="AC51" s="16"/>
      <c r="AD51" s="93">
        <v>21814</v>
      </c>
      <c r="AE51" s="93">
        <f t="shared" si="3"/>
        <v>21.814</v>
      </c>
      <c r="AF51" s="16">
        <v>14.74</v>
      </c>
      <c r="AG51" s="103">
        <f t="shared" si="1"/>
        <v>14</v>
      </c>
      <c r="AH51" s="37">
        <f t="shared" si="2"/>
        <v>21.814</v>
      </c>
      <c r="AJ51" s="97">
        <v>45937</v>
      </c>
      <c r="AK51" t="s">
        <v>2405</v>
      </c>
      <c r="AL51" t="s">
        <v>5</v>
      </c>
      <c r="AN51" s="81" t="s">
        <v>2464</v>
      </c>
      <c r="AO51" t="s">
        <v>2464</v>
      </c>
      <c r="AP51" s="37">
        <v>3070</v>
      </c>
      <c r="AR51" s="97"/>
      <c r="AU51" s="97"/>
      <c r="AY51" s="81"/>
      <c r="BA51" s="37"/>
      <c r="BC51" s="97"/>
    </row>
    <row r="52" spans="2:56" ht="16" x14ac:dyDescent="0.4">
      <c r="V52" s="97">
        <v>45935</v>
      </c>
      <c r="W52" s="16">
        <v>204464</v>
      </c>
      <c r="X52" s="101" t="s">
        <v>36</v>
      </c>
      <c r="Y52" s="105"/>
      <c r="Z52" s="102">
        <v>0.68958333333333333</v>
      </c>
      <c r="AA52" s="102">
        <v>5.4166666666666669E-2</v>
      </c>
      <c r="AB52" s="16"/>
      <c r="AC52" s="16"/>
      <c r="AD52" s="93">
        <v>20626</v>
      </c>
      <c r="AE52" s="93">
        <f t="shared" si="3"/>
        <v>20.626000000000001</v>
      </c>
      <c r="AF52" s="16">
        <v>15.63</v>
      </c>
      <c r="AG52" s="103">
        <f t="shared" si="1"/>
        <v>14</v>
      </c>
      <c r="AH52" s="37">
        <f t="shared" si="2"/>
        <v>20.626000000000001</v>
      </c>
      <c r="AJ52" s="97">
        <v>45937</v>
      </c>
      <c r="AK52" t="s">
        <v>2406</v>
      </c>
      <c r="AL52" t="s">
        <v>5</v>
      </c>
      <c r="AN52" s="81" t="s">
        <v>2465</v>
      </c>
      <c r="AO52" t="s">
        <v>2466</v>
      </c>
      <c r="AP52" s="37">
        <v>5220</v>
      </c>
      <c r="AR52" s="97"/>
      <c r="AU52" s="97"/>
      <c r="AY52" s="81"/>
      <c r="BA52" s="37"/>
      <c r="BC52" s="97"/>
    </row>
    <row r="53" spans="2:56" ht="16.5" thickBot="1" x14ac:dyDescent="0.45">
      <c r="B53" s="19" t="s">
        <v>12</v>
      </c>
      <c r="C53" s="19"/>
      <c r="J53" s="19"/>
      <c r="K53" s="19"/>
      <c r="L53" s="19"/>
      <c r="V53" s="97">
        <v>45935</v>
      </c>
      <c r="W53" s="16">
        <v>204468</v>
      </c>
      <c r="X53" s="101" t="s">
        <v>36</v>
      </c>
      <c r="Y53" s="105"/>
      <c r="Z53" s="102">
        <v>3.888888888888889E-2</v>
      </c>
      <c r="AA53" s="102">
        <v>0.11527777777777777</v>
      </c>
      <c r="AB53" s="16"/>
      <c r="AC53" s="16"/>
      <c r="AD53" s="93">
        <v>21942</v>
      </c>
      <c r="AE53" s="93">
        <f t="shared" si="3"/>
        <v>21.942</v>
      </c>
      <c r="AF53" s="16">
        <v>14.87</v>
      </c>
      <c r="AG53" s="103">
        <f t="shared" si="1"/>
        <v>14</v>
      </c>
      <c r="AH53" s="37">
        <f t="shared" si="2"/>
        <v>21.942</v>
      </c>
      <c r="AJ53" s="97">
        <v>45937</v>
      </c>
      <c r="AK53" t="s">
        <v>2407</v>
      </c>
      <c r="AL53" t="s">
        <v>5</v>
      </c>
      <c r="AN53" s="81" t="s">
        <v>2467</v>
      </c>
      <c r="AO53" t="s">
        <v>2467</v>
      </c>
      <c r="AP53" s="37">
        <v>3370</v>
      </c>
      <c r="AR53" s="97"/>
      <c r="AS53" s="88"/>
      <c r="AU53" s="97"/>
      <c r="AY53" s="81"/>
      <c r="BA53" s="37"/>
      <c r="BC53" s="97"/>
      <c r="BD53" s="88"/>
    </row>
    <row r="54" spans="2:56" ht="16" x14ac:dyDescent="0.4">
      <c r="B54" t="s">
        <v>13</v>
      </c>
      <c r="J54" t="s">
        <v>14</v>
      </c>
      <c r="V54" s="97">
        <v>45935</v>
      </c>
      <c r="W54" s="16">
        <v>204470</v>
      </c>
      <c r="X54" s="101" t="s">
        <v>36</v>
      </c>
      <c r="Y54" s="105"/>
      <c r="Z54" s="102">
        <v>9.3055555555555558E-2</v>
      </c>
      <c r="AA54" s="102">
        <v>0.16874999999999998</v>
      </c>
      <c r="AB54" s="16"/>
      <c r="AC54" s="16"/>
      <c r="AD54" s="93">
        <v>20674</v>
      </c>
      <c r="AE54" s="93">
        <f t="shared" si="3"/>
        <v>20.673999999999999</v>
      </c>
      <c r="AF54" s="16">
        <v>15.19</v>
      </c>
      <c r="AG54" s="103">
        <f t="shared" si="1"/>
        <v>14</v>
      </c>
      <c r="AH54" s="37">
        <f t="shared" si="2"/>
        <v>20.673999999999999</v>
      </c>
      <c r="AJ54" s="97">
        <v>45937</v>
      </c>
      <c r="AK54" t="s">
        <v>2408</v>
      </c>
      <c r="AL54" t="s">
        <v>5</v>
      </c>
      <c r="AN54" t="s">
        <v>2468</v>
      </c>
      <c r="AO54" t="s">
        <v>2468</v>
      </c>
      <c r="AP54" s="37">
        <v>1380</v>
      </c>
      <c r="AR54" s="97"/>
      <c r="AS54" s="88"/>
      <c r="AU54" s="97"/>
      <c r="BA54" s="37"/>
      <c r="BC54" s="97"/>
      <c r="BD54" s="88"/>
    </row>
    <row r="55" spans="2:56" ht="16" x14ac:dyDescent="0.4">
      <c r="V55" s="97">
        <v>45935</v>
      </c>
      <c r="W55" s="16">
        <v>204471</v>
      </c>
      <c r="X55" s="101" t="s">
        <v>36</v>
      </c>
      <c r="Y55" s="105"/>
      <c r="Z55" s="102">
        <v>9.2361111111111116E-2</v>
      </c>
      <c r="AA55" s="102">
        <v>0.22500000000000001</v>
      </c>
      <c r="AB55" s="16"/>
      <c r="AC55" s="16"/>
      <c r="AD55" s="93">
        <v>20030</v>
      </c>
      <c r="AE55" s="93">
        <f t="shared" si="3"/>
        <v>20.03</v>
      </c>
      <c r="AF55" s="16">
        <v>14.74</v>
      </c>
      <c r="AG55" s="103">
        <f t="shared" si="1"/>
        <v>14</v>
      </c>
      <c r="AH55" s="37">
        <f t="shared" si="2"/>
        <v>20.03</v>
      </c>
      <c r="AJ55" s="97">
        <v>45937</v>
      </c>
      <c r="AK55" t="s">
        <v>2409</v>
      </c>
      <c r="AL55" t="s">
        <v>5</v>
      </c>
      <c r="AN55" s="81" t="s">
        <v>2469</v>
      </c>
      <c r="AO55" s="81" t="s">
        <v>2469</v>
      </c>
      <c r="AP55" s="37">
        <v>3350</v>
      </c>
      <c r="AR55" s="97"/>
      <c r="AS55" s="38"/>
      <c r="AU55" s="97"/>
      <c r="AY55" s="81"/>
      <c r="AZ55" s="81"/>
      <c r="BA55" s="37"/>
      <c r="BC55" s="97"/>
      <c r="BD55" s="38"/>
    </row>
    <row r="56" spans="2:56" ht="16" x14ac:dyDescent="0.4">
      <c r="V56" s="97"/>
      <c r="W56" s="16"/>
      <c r="X56" s="101"/>
      <c r="Y56" s="105"/>
      <c r="Z56" s="102"/>
      <c r="AA56" s="102"/>
      <c r="AB56" s="16"/>
      <c r="AC56" s="16"/>
      <c r="AD56" s="93"/>
      <c r="AE56" s="93"/>
      <c r="AF56" s="16">
        <v>0</v>
      </c>
      <c r="AG56" s="103">
        <f t="shared" si="1"/>
        <v>0</v>
      </c>
      <c r="AH56" s="37">
        <f t="shared" si="2"/>
        <v>0</v>
      </c>
      <c r="AJ56" s="97">
        <v>45937</v>
      </c>
      <c r="AK56" t="s">
        <v>2410</v>
      </c>
      <c r="AL56" t="s">
        <v>5</v>
      </c>
      <c r="AN56" s="81" t="s">
        <v>2470</v>
      </c>
      <c r="AO56" s="81" t="s">
        <v>2471</v>
      </c>
      <c r="AP56" s="37">
        <v>5390</v>
      </c>
      <c r="AR56" s="97"/>
      <c r="AS56" s="38"/>
      <c r="AU56" s="97"/>
      <c r="AY56" s="81"/>
      <c r="AZ56" s="81"/>
      <c r="BA56" s="37"/>
      <c r="BC56" s="97"/>
      <c r="BD56" s="38"/>
    </row>
    <row r="57" spans="2:56" ht="16" x14ac:dyDescent="0.4">
      <c r="V57" s="97"/>
      <c r="W57" s="16"/>
      <c r="X57" s="101"/>
      <c r="Y57" s="105"/>
      <c r="Z57" s="102"/>
      <c r="AA57" s="102"/>
      <c r="AB57" s="16"/>
      <c r="AC57" s="16"/>
      <c r="AD57" s="93"/>
      <c r="AE57" s="93"/>
      <c r="AF57" s="16">
        <v>0</v>
      </c>
      <c r="AG57" s="103">
        <f t="shared" si="1"/>
        <v>0</v>
      </c>
      <c r="AH57" s="37">
        <f t="shared" si="2"/>
        <v>0</v>
      </c>
      <c r="AJ57" s="97">
        <v>45938</v>
      </c>
      <c r="AK57" t="s">
        <v>2411</v>
      </c>
      <c r="AL57" t="s">
        <v>5</v>
      </c>
      <c r="AN57" s="81" t="s">
        <v>2472</v>
      </c>
      <c r="AO57" s="81" t="s">
        <v>2472</v>
      </c>
      <c r="AP57" s="37">
        <v>2820</v>
      </c>
      <c r="AR57" s="97"/>
      <c r="AS57" s="38"/>
      <c r="AU57" s="97"/>
      <c r="AY57" s="81"/>
      <c r="AZ57" s="81"/>
      <c r="BA57" s="37"/>
      <c r="BC57" s="97"/>
      <c r="BD57" s="38"/>
    </row>
    <row r="58" spans="2:56" ht="16" x14ac:dyDescent="0.4">
      <c r="V58" s="97">
        <v>45936</v>
      </c>
      <c r="W58" s="16">
        <v>204990</v>
      </c>
      <c r="X58" s="101" t="s">
        <v>36</v>
      </c>
      <c r="Y58" s="105"/>
      <c r="Z58" s="102">
        <v>9.2997685185185183E-2</v>
      </c>
      <c r="AA58" s="102">
        <v>0.84827546296296286</v>
      </c>
      <c r="AB58" s="16"/>
      <c r="AC58" s="16"/>
      <c r="AD58" s="93">
        <v>20770</v>
      </c>
      <c r="AE58" s="93">
        <f t="shared" si="3"/>
        <v>20.77</v>
      </c>
      <c r="AF58" s="16">
        <v>15.56</v>
      </c>
      <c r="AG58" s="103">
        <f t="shared" si="1"/>
        <v>14</v>
      </c>
      <c r="AH58" s="37">
        <f t="shared" si="2"/>
        <v>20.77</v>
      </c>
      <c r="AJ58" s="97">
        <v>45938</v>
      </c>
      <c r="AK58" t="s">
        <v>2412</v>
      </c>
      <c r="AL58" t="s">
        <v>5</v>
      </c>
      <c r="AN58" s="81" t="s">
        <v>2473</v>
      </c>
      <c r="AO58" s="81" t="s">
        <v>2473</v>
      </c>
      <c r="AP58" s="37">
        <v>3490</v>
      </c>
      <c r="AR58" s="97"/>
      <c r="AS58" s="38"/>
      <c r="AU58" s="97"/>
      <c r="AY58" s="81"/>
      <c r="AZ58" s="81"/>
      <c r="BA58" s="37"/>
      <c r="BC58" s="97"/>
      <c r="BD58" s="38"/>
    </row>
    <row r="59" spans="2:56" ht="16" x14ac:dyDescent="0.4">
      <c r="V59" s="97">
        <v>45936</v>
      </c>
      <c r="W59" s="16">
        <v>205016</v>
      </c>
      <c r="X59" s="101" t="s">
        <v>36</v>
      </c>
      <c r="Y59" s="105"/>
      <c r="Z59" s="102">
        <v>3.9432870370370368E-2</v>
      </c>
      <c r="AA59" s="102">
        <v>0.90923611111111102</v>
      </c>
      <c r="AB59" s="16"/>
      <c r="AC59" s="16"/>
      <c r="AD59" s="93">
        <v>19798</v>
      </c>
      <c r="AE59" s="93">
        <f t="shared" si="3"/>
        <v>19.797999999999998</v>
      </c>
      <c r="AF59" s="16">
        <v>15.06</v>
      </c>
      <c r="AG59" s="103">
        <f t="shared" si="1"/>
        <v>14</v>
      </c>
      <c r="AH59" s="37">
        <f t="shared" si="2"/>
        <v>19.797999999999998</v>
      </c>
      <c r="AJ59" s="97">
        <v>45938</v>
      </c>
      <c r="AK59" t="s">
        <v>2413</v>
      </c>
      <c r="AL59" t="s">
        <v>5</v>
      </c>
      <c r="AN59" s="81" t="s">
        <v>2474</v>
      </c>
      <c r="AO59" s="81" t="s">
        <v>2474</v>
      </c>
      <c r="AP59" s="37">
        <v>2260</v>
      </c>
      <c r="AR59" s="97"/>
      <c r="AS59" s="38"/>
      <c r="AU59" s="97"/>
      <c r="AY59" s="81"/>
      <c r="AZ59" s="81"/>
      <c r="BA59" s="37"/>
      <c r="BC59" s="97"/>
      <c r="BD59" s="38"/>
    </row>
    <row r="60" spans="2:56" ht="16" x14ac:dyDescent="0.4">
      <c r="V60" s="97">
        <v>45936</v>
      </c>
      <c r="W60" s="16">
        <v>205044</v>
      </c>
      <c r="X60" s="101" t="s">
        <v>36</v>
      </c>
      <c r="Y60" s="105"/>
      <c r="Z60" s="102">
        <v>9.2627314814814801E-2</v>
      </c>
      <c r="AA60" s="102">
        <v>0.99932870370370364</v>
      </c>
      <c r="AB60" s="16"/>
      <c r="AC60" s="16"/>
      <c r="AD60" s="93">
        <v>22350</v>
      </c>
      <c r="AE60" s="93">
        <f t="shared" si="3"/>
        <v>22.35</v>
      </c>
      <c r="AF60" s="16">
        <v>13.74</v>
      </c>
      <c r="AG60" s="103">
        <f t="shared" si="1"/>
        <v>13.74</v>
      </c>
      <c r="AH60" s="37">
        <f t="shared" si="2"/>
        <v>21.934928571428571</v>
      </c>
      <c r="AJ60" s="97">
        <v>45938</v>
      </c>
      <c r="AK60" t="s">
        <v>2414</v>
      </c>
      <c r="AL60" t="s">
        <v>5</v>
      </c>
      <c r="AN60" s="81" t="s">
        <v>2475</v>
      </c>
      <c r="AO60" s="81" t="s">
        <v>2475</v>
      </c>
      <c r="AP60" s="37">
        <v>4140</v>
      </c>
      <c r="AR60" s="97"/>
      <c r="AS60" s="38"/>
      <c r="AU60" s="97"/>
      <c r="AY60" s="81"/>
      <c r="AZ60" s="81"/>
      <c r="BA60" s="37"/>
      <c r="BC60" s="97"/>
      <c r="BD60" s="38"/>
    </row>
    <row r="61" spans="2:56" ht="16" x14ac:dyDescent="0.4">
      <c r="V61" s="97">
        <v>45937</v>
      </c>
      <c r="W61" s="16">
        <v>205054</v>
      </c>
      <c r="X61" s="101" t="s">
        <v>36</v>
      </c>
      <c r="Y61" s="105"/>
      <c r="Z61" s="102">
        <v>0.71236111111111111</v>
      </c>
      <c r="AA61" s="102">
        <v>5.9629629629629623E-2</v>
      </c>
      <c r="AB61" s="16"/>
      <c r="AC61" s="16"/>
      <c r="AD61" s="93">
        <v>20930</v>
      </c>
      <c r="AE61" s="93">
        <f t="shared" si="3"/>
        <v>20.93</v>
      </c>
      <c r="AF61" s="16">
        <v>15.09</v>
      </c>
      <c r="AG61" s="103">
        <f t="shared" si="1"/>
        <v>14</v>
      </c>
      <c r="AH61" s="37">
        <f t="shared" si="2"/>
        <v>20.93</v>
      </c>
      <c r="AJ61" s="97">
        <v>45939</v>
      </c>
      <c r="AK61" t="s">
        <v>2415</v>
      </c>
      <c r="AL61" t="s">
        <v>5</v>
      </c>
      <c r="AN61" s="81" t="s">
        <v>2476</v>
      </c>
      <c r="AO61" s="81" t="s">
        <v>2476</v>
      </c>
      <c r="AP61" s="37">
        <v>2890</v>
      </c>
      <c r="AR61" s="97"/>
      <c r="AS61" s="38"/>
      <c r="AU61" s="97"/>
      <c r="AY61" s="81"/>
      <c r="AZ61" s="81"/>
      <c r="BA61" s="37"/>
      <c r="BC61" s="97"/>
      <c r="BD61" s="38"/>
    </row>
    <row r="62" spans="2:56" ht="16" x14ac:dyDescent="0.4">
      <c r="V62" s="97">
        <v>45937</v>
      </c>
      <c r="W62" s="16">
        <v>205065</v>
      </c>
      <c r="X62" s="101" t="s">
        <v>36</v>
      </c>
      <c r="Y62" s="105"/>
      <c r="Z62" s="102">
        <v>0.71174768518518527</v>
      </c>
      <c r="AA62" s="102">
        <v>0.12815972222222222</v>
      </c>
      <c r="AB62" s="16"/>
      <c r="AC62" s="16"/>
      <c r="AD62" s="93">
        <v>21228</v>
      </c>
      <c r="AE62" s="93">
        <f t="shared" si="3"/>
        <v>21.228000000000002</v>
      </c>
      <c r="AF62" s="16">
        <v>14.59</v>
      </c>
      <c r="AG62" s="103">
        <f t="shared" si="1"/>
        <v>14</v>
      </c>
      <c r="AH62" s="37">
        <f t="shared" si="2"/>
        <v>21.228000000000002</v>
      </c>
      <c r="AJ62" s="97">
        <v>45939</v>
      </c>
      <c r="AK62" t="s">
        <v>2416</v>
      </c>
      <c r="AL62" t="s">
        <v>5</v>
      </c>
      <c r="AN62" s="81" t="s">
        <v>2477</v>
      </c>
      <c r="AO62" s="81" t="s">
        <v>2477</v>
      </c>
      <c r="AP62" s="37">
        <v>2910</v>
      </c>
      <c r="AR62" s="97"/>
      <c r="AS62" s="38"/>
      <c r="AU62" s="97"/>
      <c r="AY62" s="81"/>
      <c r="AZ62" s="81"/>
      <c r="BA62" s="37"/>
      <c r="BC62" s="97"/>
      <c r="BD62" s="38"/>
    </row>
    <row r="63" spans="2:56" ht="16" x14ac:dyDescent="0.4">
      <c r="V63" s="97">
        <v>45937</v>
      </c>
      <c r="W63" s="16">
        <v>205072</v>
      </c>
      <c r="X63" s="101" t="s">
        <v>36</v>
      </c>
      <c r="Y63" s="105"/>
      <c r="Z63" s="102">
        <v>0.71247685185185183</v>
      </c>
      <c r="AA63" s="102">
        <v>0.18748842592592593</v>
      </c>
      <c r="AB63" s="16"/>
      <c r="AC63" s="16"/>
      <c r="AD63" s="93">
        <v>19480</v>
      </c>
      <c r="AE63" s="93">
        <f t="shared" si="3"/>
        <v>19.48</v>
      </c>
      <c r="AF63" s="16">
        <v>15.7</v>
      </c>
      <c r="AG63" s="103">
        <f t="shared" si="1"/>
        <v>14</v>
      </c>
      <c r="AH63" s="37">
        <f t="shared" si="2"/>
        <v>19.48</v>
      </c>
      <c r="AJ63" s="97">
        <v>45939</v>
      </c>
      <c r="AK63" t="s">
        <v>2417</v>
      </c>
      <c r="AL63" t="s">
        <v>5</v>
      </c>
      <c r="AN63" s="81" t="s">
        <v>2478</v>
      </c>
      <c r="AO63" s="81" t="s">
        <v>2478</v>
      </c>
      <c r="AP63" s="37">
        <v>3250</v>
      </c>
      <c r="AR63" s="97"/>
      <c r="AS63" s="38"/>
      <c r="AU63" s="97"/>
      <c r="AY63" s="81"/>
      <c r="AZ63" s="81"/>
      <c r="BA63" s="37"/>
      <c r="BC63" s="97"/>
      <c r="BD63" s="38"/>
    </row>
    <row r="64" spans="2:56" ht="16" x14ac:dyDescent="0.4">
      <c r="V64" s="97">
        <v>45937</v>
      </c>
      <c r="W64" s="16">
        <v>205112</v>
      </c>
      <c r="X64" s="101" t="s">
        <v>36</v>
      </c>
      <c r="Y64" s="105"/>
      <c r="Z64" s="102">
        <v>0.18611111111111112</v>
      </c>
      <c r="AA64" s="102">
        <v>0.3215277777777778</v>
      </c>
      <c r="AB64" s="16"/>
      <c r="AC64" s="16"/>
      <c r="AD64" s="93">
        <v>21894</v>
      </c>
      <c r="AE64" s="93">
        <f t="shared" si="3"/>
        <v>21.893999999999998</v>
      </c>
      <c r="AF64" s="16">
        <v>14.84</v>
      </c>
      <c r="AG64" s="103">
        <f t="shared" si="1"/>
        <v>14</v>
      </c>
      <c r="AH64" s="37">
        <f t="shared" si="2"/>
        <v>21.893999999999998</v>
      </c>
      <c r="AJ64" s="97">
        <v>45939</v>
      </c>
      <c r="AK64" t="s">
        <v>2418</v>
      </c>
      <c r="AL64" t="s">
        <v>5</v>
      </c>
      <c r="AN64" s="81" t="s">
        <v>2479</v>
      </c>
      <c r="AO64" s="81" t="s">
        <v>2479</v>
      </c>
      <c r="AP64" s="37">
        <v>830</v>
      </c>
      <c r="AR64" s="97"/>
      <c r="AS64" s="38"/>
      <c r="AU64" s="97"/>
      <c r="AY64" s="81"/>
      <c r="AZ64" s="81"/>
      <c r="BA64" s="37"/>
      <c r="BC64" s="97"/>
      <c r="BD64" s="38"/>
    </row>
    <row r="65" spans="22:56" ht="16" x14ac:dyDescent="0.4">
      <c r="V65" s="97">
        <v>45937</v>
      </c>
      <c r="W65" s="16">
        <v>205198</v>
      </c>
      <c r="X65" s="101" t="s">
        <v>36</v>
      </c>
      <c r="Y65" s="105"/>
      <c r="Z65" s="102">
        <v>0.23194444444444443</v>
      </c>
      <c r="AA65" s="102">
        <v>0.38472222222222219</v>
      </c>
      <c r="AB65" s="16"/>
      <c r="AC65" s="16"/>
      <c r="AD65" s="93">
        <v>21290</v>
      </c>
      <c r="AE65" s="93">
        <f t="shared" si="3"/>
        <v>21.29</v>
      </c>
      <c r="AF65" s="16">
        <v>15.59</v>
      </c>
      <c r="AG65" s="103">
        <f t="shared" si="1"/>
        <v>14</v>
      </c>
      <c r="AH65" s="37">
        <f t="shared" si="2"/>
        <v>21.29</v>
      </c>
      <c r="AJ65" s="97">
        <v>45939</v>
      </c>
      <c r="AK65" t="s">
        <v>2419</v>
      </c>
      <c r="AL65" t="s">
        <v>5</v>
      </c>
      <c r="AN65" s="81" t="s">
        <v>2480</v>
      </c>
      <c r="AO65" s="81" t="s">
        <v>2480</v>
      </c>
      <c r="AP65" s="37">
        <v>2990</v>
      </c>
      <c r="AR65" s="97"/>
      <c r="AS65" s="38"/>
      <c r="AU65" s="97"/>
      <c r="AY65" s="81"/>
      <c r="AZ65" s="81"/>
      <c r="BA65" s="37"/>
      <c r="BC65" s="97"/>
      <c r="BD65" s="38"/>
    </row>
    <row r="66" spans="22:56" ht="16" x14ac:dyDescent="0.4">
      <c r="V66" s="97">
        <v>45937</v>
      </c>
      <c r="W66" s="16">
        <v>205268</v>
      </c>
      <c r="X66" s="101" t="s">
        <v>36</v>
      </c>
      <c r="Y66" s="105"/>
      <c r="Z66" s="102">
        <v>0.18611111111111112</v>
      </c>
      <c r="AA66" s="102">
        <v>0.45763888888888887</v>
      </c>
      <c r="AB66" s="16"/>
      <c r="AC66" s="16"/>
      <c r="AD66" s="93">
        <v>21800</v>
      </c>
      <c r="AE66" s="93">
        <f t="shared" ref="AE66:AE129" si="26">AD66/1000</f>
        <v>21.8</v>
      </c>
      <c r="AF66" s="16">
        <v>14.02</v>
      </c>
      <c r="AG66" s="103">
        <f t="shared" si="1"/>
        <v>14</v>
      </c>
      <c r="AH66" s="37">
        <f t="shared" si="2"/>
        <v>21.8</v>
      </c>
      <c r="AJ66" s="97">
        <v>45939</v>
      </c>
      <c r="AK66" t="s">
        <v>2420</v>
      </c>
      <c r="AL66" t="s">
        <v>5</v>
      </c>
      <c r="AN66" s="81" t="s">
        <v>2481</v>
      </c>
      <c r="AO66" s="81" t="s">
        <v>2481</v>
      </c>
      <c r="AP66" s="37">
        <v>3090</v>
      </c>
      <c r="AR66" s="97"/>
      <c r="AS66" s="38"/>
      <c r="AU66" s="97"/>
      <c r="AY66" s="81"/>
      <c r="AZ66" s="81"/>
      <c r="BA66" s="37"/>
      <c r="BC66" s="97"/>
      <c r="BD66" s="38"/>
    </row>
    <row r="67" spans="22:56" ht="16" x14ac:dyDescent="0.4">
      <c r="V67" s="97">
        <v>45937</v>
      </c>
      <c r="W67">
        <v>205309</v>
      </c>
      <c r="X67" s="101" t="s">
        <v>36</v>
      </c>
      <c r="Z67">
        <v>0.23194444444444443</v>
      </c>
      <c r="AA67">
        <v>0.53541666666666665</v>
      </c>
      <c r="AD67" s="93">
        <v>22078</v>
      </c>
      <c r="AE67" s="93">
        <f t="shared" si="26"/>
        <v>22.077999999999999</v>
      </c>
      <c r="AF67" s="16">
        <v>14.13</v>
      </c>
      <c r="AG67" s="103">
        <f t="shared" si="1"/>
        <v>14</v>
      </c>
      <c r="AH67" s="37">
        <f t="shared" si="2"/>
        <v>22.077999999999999</v>
      </c>
      <c r="AJ67" s="97">
        <v>45939</v>
      </c>
      <c r="AK67" t="s">
        <v>2421</v>
      </c>
      <c r="AL67" t="s">
        <v>5</v>
      </c>
      <c r="AN67" s="81" t="s">
        <v>2482</v>
      </c>
      <c r="AO67" s="81" t="s">
        <v>2482</v>
      </c>
      <c r="AP67" s="37">
        <v>3510</v>
      </c>
      <c r="AR67" s="97"/>
      <c r="AS67" s="38"/>
      <c r="AU67" s="97"/>
      <c r="AY67" s="81"/>
      <c r="AZ67" s="81"/>
      <c r="BA67" s="37"/>
      <c r="BC67" s="97"/>
      <c r="BD67" s="38"/>
    </row>
    <row r="68" spans="22:56" ht="16" x14ac:dyDescent="0.4">
      <c r="V68" s="90">
        <v>45937</v>
      </c>
      <c r="W68" s="16">
        <v>205363</v>
      </c>
      <c r="X68" s="101" t="s">
        <v>36</v>
      </c>
      <c r="Y68" s="105"/>
      <c r="Z68" s="50">
        <v>0.7055555555555556</v>
      </c>
      <c r="AA68" s="50">
        <v>0.5854166666666667</v>
      </c>
      <c r="AD68" s="37">
        <v>21818</v>
      </c>
      <c r="AE68" s="93">
        <f t="shared" si="26"/>
        <v>21.818000000000001</v>
      </c>
      <c r="AF68" s="16">
        <v>15.91</v>
      </c>
      <c r="AG68" s="103">
        <f t="shared" si="1"/>
        <v>14</v>
      </c>
      <c r="AH68" s="37">
        <f t="shared" si="2"/>
        <v>21.818000000000001</v>
      </c>
      <c r="AJ68" s="97">
        <v>45939</v>
      </c>
      <c r="AK68" t="s">
        <v>2422</v>
      </c>
      <c r="AL68" t="s">
        <v>5</v>
      </c>
      <c r="AN68" s="81" t="s">
        <v>2483</v>
      </c>
      <c r="AO68" s="81" t="s">
        <v>2483</v>
      </c>
      <c r="AP68" s="37">
        <v>6050</v>
      </c>
      <c r="AR68" s="97"/>
      <c r="AS68" s="38"/>
      <c r="AU68" s="97"/>
      <c r="AY68" s="81"/>
      <c r="AZ68" s="81"/>
      <c r="BA68" s="37"/>
      <c r="BC68" s="97"/>
      <c r="BD68" s="38"/>
    </row>
    <row r="69" spans="22:56" ht="16" x14ac:dyDescent="0.4">
      <c r="V69" s="97">
        <v>45937</v>
      </c>
      <c r="W69" s="16">
        <v>205436</v>
      </c>
      <c r="X69" s="101" t="s">
        <v>36</v>
      </c>
      <c r="Y69" s="105"/>
      <c r="Z69" s="50">
        <v>0.23194444444444443</v>
      </c>
      <c r="AA69" s="50">
        <v>0.65208333333333335</v>
      </c>
      <c r="AD69" s="37">
        <v>20648</v>
      </c>
      <c r="AE69" s="93">
        <f t="shared" si="26"/>
        <v>20.648</v>
      </c>
      <c r="AF69" s="16">
        <v>15.19</v>
      </c>
      <c r="AG69" s="103">
        <f t="shared" ref="AG69:AG132" si="27">IF($AF69&gt;14,14,$AF69)</f>
        <v>14</v>
      </c>
      <c r="AH69" s="37">
        <f t="shared" ref="AH69:AH132" si="28">AE69*AG69/14</f>
        <v>20.648</v>
      </c>
      <c r="AJ69" s="97">
        <v>45940</v>
      </c>
      <c r="AK69" t="s">
        <v>2423</v>
      </c>
      <c r="AL69" t="s">
        <v>5</v>
      </c>
      <c r="AN69" s="81" t="s">
        <v>2484</v>
      </c>
      <c r="AO69" s="81" t="s">
        <v>2484</v>
      </c>
      <c r="AP69" s="37">
        <v>3580</v>
      </c>
      <c r="AR69" s="97"/>
      <c r="AS69" s="38"/>
      <c r="AU69" s="97"/>
      <c r="AY69" s="81"/>
      <c r="AZ69" s="81"/>
      <c r="BA69" s="37"/>
      <c r="BC69" s="97"/>
      <c r="BD69" s="38"/>
    </row>
    <row r="70" spans="22:56" ht="16" x14ac:dyDescent="0.4">
      <c r="V70" s="97">
        <v>45937</v>
      </c>
      <c r="W70" s="16">
        <v>205475</v>
      </c>
      <c r="X70" s="101" t="s">
        <v>36</v>
      </c>
      <c r="Y70" s="105"/>
      <c r="Z70" s="50">
        <v>0.18611111111111112</v>
      </c>
      <c r="AA70" s="50">
        <v>0.71527777777777779</v>
      </c>
      <c r="AD70" s="37">
        <v>21966</v>
      </c>
      <c r="AE70" s="93">
        <f t="shared" si="26"/>
        <v>21.966000000000001</v>
      </c>
      <c r="AF70" s="16">
        <v>14.48</v>
      </c>
      <c r="AG70" s="103">
        <f t="shared" si="27"/>
        <v>14</v>
      </c>
      <c r="AH70" s="37">
        <f t="shared" si="28"/>
        <v>21.966000000000001</v>
      </c>
      <c r="AJ70" s="97">
        <v>45940</v>
      </c>
      <c r="AK70" t="s">
        <v>2424</v>
      </c>
      <c r="AL70" t="s">
        <v>5</v>
      </c>
      <c r="AN70" s="81" t="s">
        <v>2485</v>
      </c>
      <c r="AO70" s="81" t="s">
        <v>2485</v>
      </c>
      <c r="AP70" s="37">
        <v>3000</v>
      </c>
      <c r="AR70" s="97"/>
      <c r="AS70" s="38"/>
      <c r="AU70" s="97"/>
      <c r="AY70" s="81"/>
      <c r="AZ70" s="81"/>
      <c r="BA70" s="37"/>
      <c r="BC70" s="97"/>
      <c r="BD70" s="38"/>
    </row>
    <row r="71" spans="22:56" ht="16" x14ac:dyDescent="0.4">
      <c r="V71" s="97">
        <v>45937</v>
      </c>
      <c r="W71" s="16">
        <v>205488</v>
      </c>
      <c r="X71" s="101" t="s">
        <v>36</v>
      </c>
      <c r="Y71" s="105"/>
      <c r="Z71" s="50">
        <v>0.5814583333333333</v>
      </c>
      <c r="AA71" s="50">
        <v>0.78826388888888888</v>
      </c>
      <c r="AD71" s="37">
        <v>20362</v>
      </c>
      <c r="AE71" s="93">
        <f t="shared" si="26"/>
        <v>20.361999999999998</v>
      </c>
      <c r="AF71" s="16">
        <v>14.23</v>
      </c>
      <c r="AG71" s="103">
        <f t="shared" si="27"/>
        <v>14</v>
      </c>
      <c r="AH71" s="37">
        <f t="shared" si="28"/>
        <v>20.361999999999998</v>
      </c>
      <c r="AJ71" s="97">
        <v>45940</v>
      </c>
      <c r="AK71" t="s">
        <v>2425</v>
      </c>
      <c r="AL71" t="s">
        <v>5</v>
      </c>
      <c r="AN71" s="81" t="s">
        <v>2486</v>
      </c>
      <c r="AO71" s="81" t="s">
        <v>2486</v>
      </c>
      <c r="AP71" s="37">
        <v>2950</v>
      </c>
      <c r="AR71" s="97"/>
      <c r="AS71" s="38"/>
      <c r="AU71" s="97"/>
      <c r="AY71" s="81"/>
      <c r="AZ71" s="81"/>
      <c r="BA71" s="37"/>
      <c r="BC71" s="97"/>
      <c r="BD71" s="38"/>
    </row>
    <row r="72" spans="22:56" ht="16" x14ac:dyDescent="0.4">
      <c r="V72" s="97">
        <v>45937</v>
      </c>
      <c r="W72" s="16">
        <v>205506</v>
      </c>
      <c r="X72" s="101" t="s">
        <v>36</v>
      </c>
      <c r="Y72" s="105"/>
      <c r="Z72" s="50">
        <v>0.7594212962962964</v>
      </c>
      <c r="AA72" s="50">
        <v>0.83369212962962969</v>
      </c>
      <c r="AD72" s="37">
        <v>21580</v>
      </c>
      <c r="AE72" s="93">
        <f t="shared" si="26"/>
        <v>21.58</v>
      </c>
      <c r="AF72" s="16">
        <v>14.66</v>
      </c>
      <c r="AG72" s="103">
        <f t="shared" si="27"/>
        <v>14</v>
      </c>
      <c r="AH72" s="37">
        <f t="shared" si="28"/>
        <v>21.580000000000002</v>
      </c>
      <c r="AJ72" s="97">
        <v>45940</v>
      </c>
      <c r="AK72" t="s">
        <v>2426</v>
      </c>
      <c r="AL72" t="s">
        <v>4</v>
      </c>
      <c r="AN72" s="81" t="s">
        <v>2487</v>
      </c>
      <c r="AO72" s="81" t="s">
        <v>2488</v>
      </c>
      <c r="AP72" s="37">
        <v>7110</v>
      </c>
      <c r="AR72" s="97"/>
      <c r="AS72" s="38"/>
      <c r="AU72" s="97"/>
      <c r="AY72" s="81"/>
      <c r="AZ72" s="81"/>
      <c r="BA72" s="37"/>
      <c r="BC72" s="97"/>
      <c r="BD72" s="38"/>
    </row>
    <row r="73" spans="22:56" ht="16" x14ac:dyDescent="0.4">
      <c r="V73" s="97">
        <v>45937</v>
      </c>
      <c r="W73" s="16">
        <v>205540</v>
      </c>
      <c r="X73" s="101" t="s">
        <v>36</v>
      </c>
      <c r="Y73" s="105"/>
      <c r="Z73" s="50">
        <v>0.58157407407407413</v>
      </c>
      <c r="AA73" s="50">
        <v>0.89958333333333329</v>
      </c>
      <c r="AD73" s="37">
        <v>21056</v>
      </c>
      <c r="AE73" s="93">
        <f t="shared" si="26"/>
        <v>21.056000000000001</v>
      </c>
      <c r="AF73" s="16">
        <v>14.77</v>
      </c>
      <c r="AG73" s="103">
        <f t="shared" si="27"/>
        <v>14</v>
      </c>
      <c r="AH73" s="37">
        <f t="shared" si="28"/>
        <v>21.056000000000001</v>
      </c>
      <c r="AJ73" s="97">
        <v>45940</v>
      </c>
      <c r="AK73" t="s">
        <v>2427</v>
      </c>
      <c r="AL73" t="s">
        <v>5</v>
      </c>
      <c r="AN73" s="81" t="s">
        <v>2489</v>
      </c>
      <c r="AO73" s="81" t="s">
        <v>2489</v>
      </c>
      <c r="AP73" s="37">
        <v>3420</v>
      </c>
      <c r="AR73" s="97"/>
      <c r="AS73" s="38"/>
      <c r="AU73" s="97"/>
      <c r="AY73" s="81"/>
      <c r="AZ73" s="81"/>
      <c r="BA73" s="37"/>
      <c r="BC73" s="97"/>
      <c r="BD73" s="38"/>
    </row>
    <row r="74" spans="22:56" ht="16" x14ac:dyDescent="0.4">
      <c r="V74" s="97">
        <v>45937</v>
      </c>
      <c r="W74" s="16">
        <v>205573</v>
      </c>
      <c r="X74" s="101" t="s">
        <v>36</v>
      </c>
      <c r="Y74" s="105"/>
      <c r="Z74" s="50">
        <v>0.75956018518518509</v>
      </c>
      <c r="AA74" s="50">
        <v>0.98388888888888892</v>
      </c>
      <c r="AD74" s="37">
        <v>21924</v>
      </c>
      <c r="AE74" s="93">
        <f t="shared" si="26"/>
        <v>21.923999999999999</v>
      </c>
      <c r="AF74" s="16">
        <v>15.13</v>
      </c>
      <c r="AG74" s="103">
        <f t="shared" si="27"/>
        <v>14</v>
      </c>
      <c r="AH74" s="37">
        <f t="shared" si="28"/>
        <v>21.923999999999999</v>
      </c>
      <c r="AJ74" s="97">
        <v>45940</v>
      </c>
      <c r="AK74" t="s">
        <v>2428</v>
      </c>
      <c r="AL74" t="s">
        <v>5</v>
      </c>
      <c r="AN74" s="81" t="s">
        <v>2490</v>
      </c>
      <c r="AO74" s="81" t="s">
        <v>2490</v>
      </c>
      <c r="AP74" s="37">
        <v>5250</v>
      </c>
      <c r="AR74" s="97"/>
      <c r="AS74" s="38"/>
      <c r="AU74" s="97"/>
      <c r="AY74" s="81"/>
      <c r="AZ74" s="81"/>
      <c r="BA74" s="37"/>
      <c r="BC74" s="97"/>
      <c r="BD74" s="38"/>
    </row>
    <row r="75" spans="22:56" ht="16" x14ac:dyDescent="0.4">
      <c r="V75" s="97">
        <v>45938</v>
      </c>
      <c r="W75" s="16">
        <v>205585</v>
      </c>
      <c r="X75" s="101" t="s">
        <v>36</v>
      </c>
      <c r="Y75" s="105"/>
      <c r="Z75" s="50">
        <v>0.7064583333333333</v>
      </c>
      <c r="AA75" s="50">
        <v>3.8460648148148147E-2</v>
      </c>
      <c r="AD75" s="37">
        <v>21808</v>
      </c>
      <c r="AE75" s="93">
        <f t="shared" si="26"/>
        <v>21.808</v>
      </c>
      <c r="AF75" s="16">
        <v>16.59</v>
      </c>
      <c r="AG75" s="103">
        <f t="shared" si="27"/>
        <v>14</v>
      </c>
      <c r="AH75" s="37">
        <f t="shared" si="28"/>
        <v>21.808</v>
      </c>
      <c r="AJ75" s="97">
        <v>45940</v>
      </c>
      <c r="AK75" t="s">
        <v>2429</v>
      </c>
      <c r="AL75" t="s">
        <v>5</v>
      </c>
      <c r="AN75" s="81" t="s">
        <v>2491</v>
      </c>
      <c r="AO75" s="81" t="s">
        <v>2491</v>
      </c>
      <c r="AP75" s="37">
        <v>2960</v>
      </c>
      <c r="AR75" s="97"/>
      <c r="AS75" s="38"/>
      <c r="AU75" s="97"/>
      <c r="AY75" s="81"/>
      <c r="AZ75" s="81"/>
      <c r="BA75" s="37"/>
      <c r="BC75" s="97"/>
      <c r="BD75" s="38"/>
    </row>
    <row r="76" spans="22:56" ht="16" x14ac:dyDescent="0.4">
      <c r="V76" s="97">
        <v>45938</v>
      </c>
      <c r="W76" s="16">
        <v>205595</v>
      </c>
      <c r="X76" s="101" t="s">
        <v>36</v>
      </c>
      <c r="Y76" s="105"/>
      <c r="Z76" s="50">
        <v>0.75968750000000007</v>
      </c>
      <c r="AA76" s="50">
        <v>9.7870370370370371E-2</v>
      </c>
      <c r="AD76" s="37">
        <v>21096</v>
      </c>
      <c r="AE76" s="93">
        <f t="shared" si="26"/>
        <v>21.096</v>
      </c>
      <c r="AF76" s="16">
        <v>13.74</v>
      </c>
      <c r="AG76" s="103">
        <f t="shared" si="27"/>
        <v>13.74</v>
      </c>
      <c r="AH76" s="37">
        <f t="shared" si="28"/>
        <v>20.704217142857143</v>
      </c>
      <c r="AJ76" s="97">
        <v>45940</v>
      </c>
      <c r="AK76" t="s">
        <v>2430</v>
      </c>
      <c r="AL76" t="s">
        <v>5</v>
      </c>
      <c r="AN76" s="81" t="s">
        <v>2492</v>
      </c>
      <c r="AO76" s="81" t="s">
        <v>2492</v>
      </c>
      <c r="AP76" s="37">
        <v>3320</v>
      </c>
      <c r="AR76" s="97"/>
      <c r="AS76" s="38"/>
      <c r="AU76" s="97"/>
      <c r="AY76" s="81"/>
      <c r="AZ76" s="81"/>
      <c r="BA76" s="37"/>
      <c r="BC76" s="97"/>
      <c r="BD76" s="38"/>
    </row>
    <row r="77" spans="22:56" ht="16" x14ac:dyDescent="0.4">
      <c r="V77" s="97">
        <v>45938</v>
      </c>
      <c r="W77" s="16">
        <v>205608</v>
      </c>
      <c r="X77" s="101" t="s">
        <v>36</v>
      </c>
      <c r="Y77" s="105"/>
      <c r="Z77" s="50">
        <v>0.65335648148148151</v>
      </c>
      <c r="AA77" s="50">
        <v>0.15907407407407406</v>
      </c>
      <c r="AD77" s="37">
        <v>20892</v>
      </c>
      <c r="AE77" s="93">
        <f t="shared" si="26"/>
        <v>20.891999999999999</v>
      </c>
      <c r="AF77" s="16">
        <v>15.51</v>
      </c>
      <c r="AG77" s="103">
        <f t="shared" si="27"/>
        <v>14</v>
      </c>
      <c r="AH77" s="37">
        <f t="shared" si="28"/>
        <v>20.891999999999999</v>
      </c>
      <c r="AJ77" s="97">
        <v>45940</v>
      </c>
      <c r="AK77" t="s">
        <v>2431</v>
      </c>
      <c r="AL77" t="s">
        <v>5</v>
      </c>
      <c r="AN77" s="81" t="s">
        <v>2493</v>
      </c>
      <c r="AO77" s="81" t="s">
        <v>2493</v>
      </c>
      <c r="AP77" s="37">
        <v>2830</v>
      </c>
      <c r="AR77" s="97"/>
      <c r="AS77" s="38"/>
      <c r="AU77" s="97"/>
      <c r="AY77" s="81"/>
      <c r="AZ77" s="81"/>
      <c r="BA77" s="37"/>
      <c r="BC77" s="97"/>
      <c r="BD77" s="38"/>
    </row>
    <row r="78" spans="22:56" ht="16" x14ac:dyDescent="0.4">
      <c r="V78" s="97">
        <v>45938</v>
      </c>
      <c r="W78" s="16">
        <v>205612</v>
      </c>
      <c r="X78" s="101" t="s">
        <v>36</v>
      </c>
      <c r="Y78" s="105"/>
      <c r="Z78" s="50">
        <v>0.13592592592592592</v>
      </c>
      <c r="AA78" s="50">
        <v>0.21304398148148149</v>
      </c>
      <c r="AD78" s="37">
        <v>20112</v>
      </c>
      <c r="AE78" s="93">
        <f t="shared" si="26"/>
        <v>20.111999999999998</v>
      </c>
      <c r="AF78" s="16">
        <v>14.06</v>
      </c>
      <c r="AG78" s="103">
        <f t="shared" si="27"/>
        <v>14</v>
      </c>
      <c r="AH78" s="37">
        <f t="shared" si="28"/>
        <v>20.111999999999998</v>
      </c>
      <c r="AJ78" s="97">
        <v>45940</v>
      </c>
      <c r="AK78" t="s">
        <v>2432</v>
      </c>
      <c r="AL78" t="s">
        <v>5</v>
      </c>
      <c r="AN78" s="81" t="s">
        <v>2494</v>
      </c>
      <c r="AO78" s="81" t="s">
        <v>2494</v>
      </c>
      <c r="AP78" s="37">
        <v>2950</v>
      </c>
      <c r="AR78" s="97"/>
      <c r="AS78" s="38"/>
      <c r="AU78" s="97"/>
      <c r="AY78" s="81"/>
      <c r="AZ78" s="81"/>
      <c r="BA78" s="37"/>
      <c r="BC78" s="97"/>
      <c r="BD78" s="38"/>
    </row>
    <row r="79" spans="22:56" ht="16" x14ac:dyDescent="0.4">
      <c r="V79" s="97">
        <v>45938</v>
      </c>
      <c r="W79" s="16">
        <v>205622</v>
      </c>
      <c r="X79" s="101" t="s">
        <v>36</v>
      </c>
      <c r="Y79" s="105"/>
      <c r="Z79" s="50">
        <v>0.19722222222222222</v>
      </c>
      <c r="AA79" s="50">
        <v>0.28819444444444448</v>
      </c>
      <c r="AD79" s="37">
        <v>20280</v>
      </c>
      <c r="AE79" s="93">
        <f t="shared" si="26"/>
        <v>20.28</v>
      </c>
      <c r="AF79" s="16">
        <v>16.59</v>
      </c>
      <c r="AG79" s="103">
        <f t="shared" si="27"/>
        <v>14</v>
      </c>
      <c r="AH79" s="37">
        <f t="shared" si="28"/>
        <v>20.28</v>
      </c>
      <c r="AJ79" s="97">
        <v>45940</v>
      </c>
      <c r="AK79" t="s">
        <v>2433</v>
      </c>
      <c r="AL79" t="s">
        <v>5</v>
      </c>
      <c r="AN79" s="81" t="s">
        <v>2495</v>
      </c>
      <c r="AO79" s="81" t="s">
        <v>2495</v>
      </c>
      <c r="AP79" s="37">
        <v>5920</v>
      </c>
      <c r="AR79" s="97"/>
      <c r="AS79" s="38"/>
      <c r="AU79" s="97"/>
      <c r="AY79" s="81"/>
      <c r="AZ79" s="81"/>
      <c r="BA79" s="37"/>
      <c r="BC79" s="97"/>
      <c r="BD79" s="38"/>
    </row>
    <row r="80" spans="22:56" ht="16" x14ac:dyDescent="0.4">
      <c r="V80" s="97">
        <v>45938</v>
      </c>
      <c r="W80" s="16">
        <v>205684</v>
      </c>
      <c r="X80" s="101" t="s">
        <v>36</v>
      </c>
      <c r="Y80" s="105"/>
      <c r="Z80" s="50">
        <v>0.1361111111111111</v>
      </c>
      <c r="AA80" s="50">
        <v>0.35694444444444445</v>
      </c>
      <c r="AD80" s="37">
        <v>22406</v>
      </c>
      <c r="AE80" s="93">
        <f t="shared" si="26"/>
        <v>22.405999999999999</v>
      </c>
      <c r="AF80" s="16">
        <v>15.82</v>
      </c>
      <c r="AG80" s="103">
        <f t="shared" si="27"/>
        <v>14</v>
      </c>
      <c r="AH80" s="37">
        <f t="shared" si="28"/>
        <v>22.405999999999999</v>
      </c>
      <c r="AJ80" s="97">
        <v>45941</v>
      </c>
      <c r="AK80" t="s">
        <v>2434</v>
      </c>
      <c r="AL80" t="s">
        <v>5</v>
      </c>
      <c r="AN80" s="81" t="s">
        <v>2496</v>
      </c>
      <c r="AO80" s="81" t="s">
        <v>2496</v>
      </c>
      <c r="AP80" s="37">
        <v>3410</v>
      </c>
      <c r="AR80" s="97"/>
      <c r="AS80" s="38"/>
      <c r="AU80" s="97"/>
      <c r="AY80" s="81"/>
      <c r="AZ80" s="81"/>
      <c r="BA80" s="37"/>
      <c r="BC80" s="97"/>
      <c r="BD80" s="38"/>
    </row>
    <row r="81" spans="22:56" ht="16" x14ac:dyDescent="0.4">
      <c r="V81" s="97">
        <v>45938</v>
      </c>
      <c r="W81" s="16">
        <v>205739</v>
      </c>
      <c r="X81" s="101" t="s">
        <v>36</v>
      </c>
      <c r="Y81" s="105"/>
      <c r="Z81" s="50">
        <v>0.19652777777777777</v>
      </c>
      <c r="AA81" s="50">
        <v>0.40625</v>
      </c>
      <c r="AD81" s="37">
        <v>22474</v>
      </c>
      <c r="AE81" s="93">
        <f t="shared" si="26"/>
        <v>22.474</v>
      </c>
      <c r="AF81" s="16">
        <v>14.27</v>
      </c>
      <c r="AG81" s="103">
        <f t="shared" si="27"/>
        <v>14</v>
      </c>
      <c r="AH81" s="37">
        <f t="shared" si="28"/>
        <v>22.474</v>
      </c>
      <c r="AJ81" s="97">
        <v>45941</v>
      </c>
      <c r="AK81" t="s">
        <v>2435</v>
      </c>
      <c r="AL81" t="s">
        <v>5</v>
      </c>
      <c r="AN81" s="81" t="s">
        <v>2497</v>
      </c>
      <c r="AO81" s="81" t="s">
        <v>2497</v>
      </c>
      <c r="AP81" s="37">
        <v>2520</v>
      </c>
      <c r="AR81" s="97"/>
      <c r="AS81" s="38"/>
      <c r="AU81" s="97"/>
      <c r="AY81" s="81"/>
      <c r="AZ81" s="81"/>
      <c r="BA81" s="37"/>
      <c r="BC81" s="97"/>
      <c r="BD81" s="38"/>
    </row>
    <row r="82" spans="22:56" ht="16" x14ac:dyDescent="0.4">
      <c r="V82" s="97">
        <v>45938</v>
      </c>
      <c r="W82" s="16">
        <v>205803</v>
      </c>
      <c r="X82" s="101" t="s">
        <v>36</v>
      </c>
      <c r="Y82" s="105"/>
      <c r="Z82" s="50">
        <v>0.25416666666666665</v>
      </c>
      <c r="AA82" s="50">
        <v>0.46597222222222223</v>
      </c>
      <c r="AD82" s="37">
        <v>21594</v>
      </c>
      <c r="AE82" s="93">
        <f t="shared" si="26"/>
        <v>21.594000000000001</v>
      </c>
      <c r="AF82" s="16">
        <v>15.39</v>
      </c>
      <c r="AG82" s="103">
        <f t="shared" si="27"/>
        <v>14</v>
      </c>
      <c r="AH82" s="37">
        <f t="shared" si="28"/>
        <v>21.594000000000001</v>
      </c>
      <c r="AJ82" s="97">
        <v>45941</v>
      </c>
      <c r="AK82" t="s">
        <v>2436</v>
      </c>
      <c r="AL82" t="s">
        <v>5</v>
      </c>
      <c r="AN82" s="81" t="s">
        <v>2498</v>
      </c>
      <c r="AO82" s="81" t="s">
        <v>2498</v>
      </c>
      <c r="AP82" s="37">
        <v>2900</v>
      </c>
      <c r="AR82" s="97"/>
      <c r="AS82" s="38"/>
      <c r="AU82" s="97"/>
      <c r="AY82" s="81"/>
      <c r="AZ82" s="81"/>
      <c r="BA82" s="37"/>
      <c r="BC82" s="97"/>
      <c r="BD82" s="38"/>
    </row>
    <row r="83" spans="22:56" ht="16" x14ac:dyDescent="0.4">
      <c r="V83" s="97">
        <v>45938</v>
      </c>
      <c r="W83" s="16">
        <v>205827</v>
      </c>
      <c r="X83" s="101" t="s">
        <v>36</v>
      </c>
      <c r="Y83" s="105"/>
      <c r="Z83" s="50">
        <v>0.19652777777777777</v>
      </c>
      <c r="AA83" s="50">
        <v>0.54375000000000007</v>
      </c>
      <c r="AD83" s="37">
        <v>21526</v>
      </c>
      <c r="AE83" s="93">
        <f t="shared" si="26"/>
        <v>21.526</v>
      </c>
      <c r="AF83" s="16">
        <v>14.84</v>
      </c>
      <c r="AG83" s="103">
        <f t="shared" si="27"/>
        <v>14</v>
      </c>
      <c r="AH83" s="37">
        <f t="shared" si="28"/>
        <v>21.526</v>
      </c>
      <c r="AJ83" s="97">
        <v>45941</v>
      </c>
      <c r="AK83" t="s">
        <v>2437</v>
      </c>
      <c r="AL83" t="s">
        <v>5</v>
      </c>
      <c r="AN83" s="81" t="s">
        <v>2499</v>
      </c>
      <c r="AO83" s="81" t="s">
        <v>2499</v>
      </c>
      <c r="AP83" s="37">
        <v>3170</v>
      </c>
      <c r="AR83" s="97"/>
      <c r="AS83" s="38"/>
      <c r="AU83" s="97"/>
      <c r="AY83" s="81"/>
      <c r="AZ83" s="81"/>
      <c r="BA83" s="37"/>
      <c r="BC83" s="97"/>
      <c r="BD83" s="38"/>
    </row>
    <row r="84" spans="22:56" ht="16" x14ac:dyDescent="0.4">
      <c r="V84" s="97">
        <v>45938</v>
      </c>
      <c r="W84" s="16">
        <v>205898</v>
      </c>
      <c r="X84" s="101" t="s">
        <v>36</v>
      </c>
      <c r="Y84" s="105"/>
      <c r="Z84" s="50">
        <v>0.13541666666666666</v>
      </c>
      <c r="AA84" s="50">
        <v>0.60555555555555551</v>
      </c>
      <c r="AD84" s="37">
        <v>21522</v>
      </c>
      <c r="AE84" s="93">
        <f t="shared" si="26"/>
        <v>21.521999999999998</v>
      </c>
      <c r="AF84" s="16">
        <v>14.77</v>
      </c>
      <c r="AG84" s="103">
        <f t="shared" si="27"/>
        <v>14</v>
      </c>
      <c r="AH84" s="37">
        <f t="shared" si="28"/>
        <v>21.521999999999998</v>
      </c>
      <c r="AJ84" s="97">
        <v>45941</v>
      </c>
      <c r="AK84" t="s">
        <v>2438</v>
      </c>
      <c r="AL84" t="s">
        <v>5</v>
      </c>
      <c r="AN84" s="81" t="s">
        <v>2500</v>
      </c>
      <c r="AO84" s="81" t="s">
        <v>2500</v>
      </c>
      <c r="AP84" s="37">
        <v>2720</v>
      </c>
      <c r="AR84" s="97"/>
      <c r="AS84" s="38"/>
      <c r="AU84" s="97"/>
      <c r="AY84" s="81"/>
      <c r="AZ84" s="81"/>
      <c r="BA84" s="37"/>
      <c r="BC84" s="97"/>
      <c r="BD84" s="38"/>
    </row>
    <row r="85" spans="22:56" ht="16" x14ac:dyDescent="0.4">
      <c r="V85" s="97">
        <v>45938</v>
      </c>
      <c r="W85" s="16">
        <v>205936</v>
      </c>
      <c r="X85" s="101" t="s">
        <v>36</v>
      </c>
      <c r="Y85" s="105"/>
      <c r="Z85" s="50">
        <v>0.45833333333333331</v>
      </c>
      <c r="AA85" s="50">
        <v>0.65972222222222221</v>
      </c>
      <c r="AD85" s="37">
        <v>21324</v>
      </c>
      <c r="AE85" s="93">
        <f t="shared" si="26"/>
        <v>21.324000000000002</v>
      </c>
      <c r="AF85" s="16">
        <v>14.22</v>
      </c>
      <c r="AG85" s="103">
        <f t="shared" si="27"/>
        <v>14</v>
      </c>
      <c r="AH85" s="37">
        <f t="shared" si="28"/>
        <v>21.324000000000002</v>
      </c>
      <c r="AJ85" s="97">
        <v>45941</v>
      </c>
      <c r="AK85" t="s">
        <v>2439</v>
      </c>
      <c r="AL85" t="s">
        <v>5</v>
      </c>
      <c r="AN85" s="81" t="s">
        <v>2501</v>
      </c>
      <c r="AO85" s="81" t="s">
        <v>2501</v>
      </c>
      <c r="AP85" s="37">
        <v>3510</v>
      </c>
      <c r="AR85" s="97"/>
      <c r="AS85" s="38"/>
      <c r="AU85" s="97"/>
      <c r="AY85" s="81"/>
      <c r="AZ85" s="81"/>
      <c r="BA85" s="37"/>
      <c r="BC85" s="97"/>
      <c r="BD85" s="38"/>
    </row>
    <row r="86" spans="22:56" ht="16" x14ac:dyDescent="0.4">
      <c r="V86" s="97">
        <v>45938</v>
      </c>
      <c r="W86" s="16">
        <v>205968</v>
      </c>
      <c r="X86" s="101" t="s">
        <v>36</v>
      </c>
      <c r="Y86" s="105"/>
      <c r="Z86" s="50">
        <v>0.52013888888888882</v>
      </c>
      <c r="AA86" s="50">
        <v>0.71597222222222223</v>
      </c>
      <c r="AD86" s="37">
        <v>22486</v>
      </c>
      <c r="AE86" s="93">
        <f t="shared" si="26"/>
        <v>22.486000000000001</v>
      </c>
      <c r="AF86" s="16">
        <v>15.95</v>
      </c>
      <c r="AG86" s="103">
        <f t="shared" si="27"/>
        <v>14</v>
      </c>
      <c r="AH86" s="37">
        <f t="shared" si="28"/>
        <v>22.486000000000001</v>
      </c>
      <c r="AJ86" s="97">
        <v>45941</v>
      </c>
      <c r="AK86" t="s">
        <v>2440</v>
      </c>
      <c r="AL86" t="s">
        <v>5</v>
      </c>
      <c r="AN86" s="81" t="s">
        <v>2502</v>
      </c>
      <c r="AO86" s="81" t="s">
        <v>2502</v>
      </c>
      <c r="AP86" s="37">
        <v>2770</v>
      </c>
      <c r="AR86" s="97"/>
      <c r="AS86" s="38"/>
      <c r="AU86" s="97"/>
      <c r="AY86" s="81"/>
      <c r="AZ86" s="81"/>
      <c r="BA86" s="37"/>
      <c r="BC86" s="97"/>
      <c r="BD86" s="38"/>
    </row>
    <row r="87" spans="22:56" ht="16" x14ac:dyDescent="0.4">
      <c r="V87" s="97">
        <v>45938</v>
      </c>
      <c r="W87" s="16">
        <v>205986</v>
      </c>
      <c r="X87" s="101" t="s">
        <v>36</v>
      </c>
      <c r="Y87" s="105"/>
      <c r="Z87" s="50">
        <v>0.33716435185185184</v>
      </c>
      <c r="AA87" s="50">
        <v>0.75916666666666666</v>
      </c>
      <c r="AD87" s="37">
        <v>21136</v>
      </c>
      <c r="AE87" s="93">
        <f t="shared" si="26"/>
        <v>21.135999999999999</v>
      </c>
      <c r="AF87" s="16">
        <v>14.81</v>
      </c>
      <c r="AG87" s="103">
        <f t="shared" si="27"/>
        <v>14</v>
      </c>
      <c r="AH87" s="37">
        <f t="shared" si="28"/>
        <v>21.135999999999999</v>
      </c>
      <c r="AJ87" s="97">
        <v>45941</v>
      </c>
      <c r="AK87" t="s">
        <v>2441</v>
      </c>
      <c r="AL87" t="s">
        <v>5</v>
      </c>
      <c r="AN87" s="81" t="s">
        <v>2503</v>
      </c>
      <c r="AO87" s="81" t="s">
        <v>2503</v>
      </c>
      <c r="AP87" s="37">
        <v>2950</v>
      </c>
      <c r="AR87" s="97"/>
      <c r="AS87" s="38"/>
      <c r="AU87" s="97"/>
      <c r="AY87" s="81"/>
      <c r="AZ87" s="81"/>
      <c r="BA87" s="37"/>
      <c r="BC87" s="97"/>
      <c r="BD87" s="38"/>
    </row>
    <row r="88" spans="22:56" ht="16" x14ac:dyDescent="0.4">
      <c r="V88" s="90">
        <v>45938</v>
      </c>
      <c r="W88" s="17">
        <v>206006</v>
      </c>
      <c r="X88" s="101" t="s">
        <v>36</v>
      </c>
      <c r="Y88" s="110"/>
      <c r="Z88" s="91">
        <v>0.75717592592592586</v>
      </c>
      <c r="AA88" s="91">
        <v>0.81241898148148151</v>
      </c>
      <c r="AB88" s="17"/>
      <c r="AC88" s="17"/>
      <c r="AD88" s="110">
        <v>19204</v>
      </c>
      <c r="AE88" s="93">
        <f t="shared" si="26"/>
        <v>19.204000000000001</v>
      </c>
      <c r="AF88" s="16">
        <v>15.27</v>
      </c>
      <c r="AG88" s="103">
        <f t="shared" si="27"/>
        <v>14</v>
      </c>
      <c r="AH88" s="37">
        <f t="shared" si="28"/>
        <v>19.204000000000001</v>
      </c>
      <c r="AJ88" s="97">
        <v>45941</v>
      </c>
      <c r="AK88" t="s">
        <v>2442</v>
      </c>
      <c r="AL88" t="s">
        <v>5</v>
      </c>
      <c r="AN88" s="81" t="s">
        <v>2504</v>
      </c>
      <c r="AO88" s="81" t="s">
        <v>2504</v>
      </c>
      <c r="AP88" s="37">
        <v>2880</v>
      </c>
      <c r="AR88" s="97"/>
      <c r="AS88" s="38"/>
      <c r="AU88" s="97"/>
      <c r="AY88" s="81"/>
      <c r="AZ88" s="81"/>
      <c r="BA88" s="37"/>
      <c r="BC88" s="97"/>
      <c r="BD88" s="38"/>
    </row>
    <row r="89" spans="22:56" ht="16" x14ac:dyDescent="0.4">
      <c r="V89" s="97">
        <v>45938</v>
      </c>
      <c r="W89" s="16">
        <v>206038</v>
      </c>
      <c r="X89" s="101" t="s">
        <v>36</v>
      </c>
      <c r="Y89" s="105"/>
      <c r="Z89" s="50">
        <v>0.79732638888888896</v>
      </c>
      <c r="AA89" s="50">
        <v>0.8693981481481482</v>
      </c>
      <c r="AD89" s="37">
        <v>20704</v>
      </c>
      <c r="AE89" s="93">
        <f t="shared" si="26"/>
        <v>20.704000000000001</v>
      </c>
      <c r="AF89" s="16">
        <v>15.56</v>
      </c>
      <c r="AG89" s="103">
        <f t="shared" si="27"/>
        <v>14</v>
      </c>
      <c r="AH89" s="37">
        <f t="shared" si="28"/>
        <v>20.704000000000001</v>
      </c>
      <c r="AJ89" s="97">
        <v>45941</v>
      </c>
      <c r="AK89" t="s">
        <v>2443</v>
      </c>
      <c r="AL89" t="s">
        <v>5</v>
      </c>
      <c r="AN89" s="81" t="s">
        <v>2505</v>
      </c>
      <c r="AO89" s="81" t="s">
        <v>2505</v>
      </c>
      <c r="AP89" s="37">
        <v>2030</v>
      </c>
      <c r="AR89" s="97"/>
      <c r="AS89" s="38"/>
      <c r="AU89" s="97"/>
      <c r="AY89" s="81"/>
      <c r="AZ89" s="81"/>
      <c r="BA89" s="37"/>
      <c r="BC89" s="97"/>
      <c r="BD89" s="38"/>
    </row>
    <row r="90" spans="22:56" ht="16" x14ac:dyDescent="0.4">
      <c r="V90" s="97">
        <v>45938</v>
      </c>
      <c r="W90" s="16">
        <v>206070</v>
      </c>
      <c r="X90" s="101" t="s">
        <v>36</v>
      </c>
      <c r="Y90" s="105"/>
      <c r="Z90" s="50">
        <v>0.84381944444444434</v>
      </c>
      <c r="AA90" s="50">
        <v>0.94038194444444445</v>
      </c>
      <c r="AD90" s="37">
        <v>22014</v>
      </c>
      <c r="AE90" s="93">
        <f t="shared" si="26"/>
        <v>22.013999999999999</v>
      </c>
      <c r="AF90" s="16">
        <v>13.91</v>
      </c>
      <c r="AG90" s="103">
        <f t="shared" si="27"/>
        <v>13.91</v>
      </c>
      <c r="AH90" s="37">
        <f t="shared" si="28"/>
        <v>21.87248142857143</v>
      </c>
      <c r="AJ90" s="97">
        <v>45943</v>
      </c>
      <c r="AK90" t="s">
        <v>2444</v>
      </c>
      <c r="AL90" t="s">
        <v>5</v>
      </c>
      <c r="AN90" s="81" t="s">
        <v>2506</v>
      </c>
      <c r="AO90" s="81" t="s">
        <v>2506</v>
      </c>
      <c r="AP90" s="37">
        <v>3340</v>
      </c>
      <c r="AR90" s="97"/>
      <c r="AS90" s="38"/>
      <c r="AU90" s="97"/>
      <c r="AY90" s="81"/>
      <c r="AZ90" s="81"/>
      <c r="BA90" s="37"/>
      <c r="BC90" s="97"/>
      <c r="BD90" s="38"/>
    </row>
    <row r="91" spans="22:56" ht="16" x14ac:dyDescent="0.4">
      <c r="V91" s="97">
        <v>45939</v>
      </c>
      <c r="W91" s="16">
        <v>206089</v>
      </c>
      <c r="X91" s="101" t="s">
        <v>36</v>
      </c>
      <c r="Y91" s="105"/>
      <c r="Z91" s="50">
        <v>0.89803240740740742</v>
      </c>
      <c r="AA91" s="50">
        <v>0.99920138888888888</v>
      </c>
      <c r="AD91" s="37">
        <v>19356</v>
      </c>
      <c r="AE91" s="93">
        <f t="shared" si="26"/>
        <v>19.356000000000002</v>
      </c>
      <c r="AF91" s="16">
        <v>16.62</v>
      </c>
      <c r="AG91" s="103">
        <f t="shared" si="27"/>
        <v>14</v>
      </c>
      <c r="AH91" s="37">
        <f t="shared" si="28"/>
        <v>19.356000000000002</v>
      </c>
      <c r="AJ91" s="97">
        <v>45943</v>
      </c>
      <c r="AK91" t="s">
        <v>2445</v>
      </c>
      <c r="AL91" t="s">
        <v>5</v>
      </c>
      <c r="AN91" s="39" t="s">
        <v>2507</v>
      </c>
      <c r="AO91" s="39" t="s">
        <v>2507</v>
      </c>
      <c r="AP91" s="37">
        <v>3050</v>
      </c>
      <c r="AR91" s="97"/>
      <c r="AS91" s="38"/>
      <c r="AU91" s="97"/>
      <c r="AY91" s="39"/>
      <c r="AZ91" s="39"/>
      <c r="BA91" s="37"/>
      <c r="BC91" s="97"/>
      <c r="BD91" s="38"/>
    </row>
    <row r="92" spans="22:56" ht="16" x14ac:dyDescent="0.4">
      <c r="V92" s="97">
        <v>45939</v>
      </c>
      <c r="W92" s="16">
        <v>206103</v>
      </c>
      <c r="X92" s="101" t="s">
        <v>36</v>
      </c>
      <c r="Y92" s="105"/>
      <c r="Z92" s="50">
        <v>0.97167824074074083</v>
      </c>
      <c r="AA92" s="50">
        <v>5.5960648148148141E-2</v>
      </c>
      <c r="AD92" s="37">
        <v>19116</v>
      </c>
      <c r="AE92" s="93">
        <f t="shared" si="26"/>
        <v>19.116</v>
      </c>
      <c r="AF92" s="16">
        <v>16.05</v>
      </c>
      <c r="AG92" s="103">
        <f t="shared" si="27"/>
        <v>14</v>
      </c>
      <c r="AH92" s="37">
        <f t="shared" si="28"/>
        <v>19.116000000000003</v>
      </c>
      <c r="AJ92" s="97">
        <v>45943</v>
      </c>
      <c r="AK92" t="s">
        <v>2446</v>
      </c>
      <c r="AL92" t="s">
        <v>5</v>
      </c>
      <c r="AN92" s="39" t="s">
        <v>2508</v>
      </c>
      <c r="AO92" s="39" t="s">
        <v>2508</v>
      </c>
      <c r="AP92" s="37">
        <v>2600</v>
      </c>
      <c r="AR92" s="97"/>
      <c r="AS92" s="38"/>
      <c r="AU92" s="97"/>
      <c r="AY92" s="39"/>
      <c r="AZ92" s="39"/>
      <c r="BA92" s="37"/>
      <c r="BC92" s="97"/>
      <c r="BD92" s="38"/>
    </row>
    <row r="93" spans="22:56" ht="16" x14ac:dyDescent="0.4">
      <c r="V93" s="97">
        <v>45939</v>
      </c>
      <c r="W93" s="16">
        <v>206114</v>
      </c>
      <c r="X93" s="101" t="s">
        <v>36</v>
      </c>
      <c r="Y93" s="105"/>
      <c r="Z93" s="50">
        <v>3.3240740740740744E-2</v>
      </c>
      <c r="AA93" s="50">
        <v>0.10914351851851851</v>
      </c>
      <c r="AD93" s="37">
        <v>18844</v>
      </c>
      <c r="AE93" s="93">
        <f t="shared" si="26"/>
        <v>18.844000000000001</v>
      </c>
      <c r="AF93" s="16">
        <v>16.91</v>
      </c>
      <c r="AG93" s="103">
        <f t="shared" si="27"/>
        <v>14</v>
      </c>
      <c r="AH93" s="37">
        <f t="shared" si="28"/>
        <v>18.844000000000001</v>
      </c>
      <c r="AJ93" s="97">
        <v>45943</v>
      </c>
      <c r="AK93" t="s">
        <v>2447</v>
      </c>
      <c r="AL93" t="s">
        <v>5</v>
      </c>
      <c r="AN93" s="81" t="s">
        <v>2509</v>
      </c>
      <c r="AO93" s="81" t="s">
        <v>2509</v>
      </c>
      <c r="AP93" s="37">
        <v>5800</v>
      </c>
      <c r="AR93" s="97"/>
      <c r="AS93" s="38"/>
      <c r="AU93" s="97"/>
      <c r="AY93" s="39"/>
      <c r="AZ93" s="39"/>
      <c r="BA93" s="37"/>
      <c r="BC93" s="97"/>
      <c r="BD93" s="38"/>
    </row>
    <row r="94" spans="22:56" ht="16" x14ac:dyDescent="0.4">
      <c r="V94" s="97">
        <v>45939</v>
      </c>
      <c r="W94" s="16">
        <v>206123</v>
      </c>
      <c r="X94" s="101" t="s">
        <v>36</v>
      </c>
      <c r="Y94" s="105"/>
      <c r="Z94" s="50">
        <v>0.15065972222222221</v>
      </c>
      <c r="AA94" s="50">
        <v>0.15810185185185185</v>
      </c>
      <c r="AD94" s="37">
        <v>18158</v>
      </c>
      <c r="AE94" s="93">
        <f t="shared" si="26"/>
        <v>18.158000000000001</v>
      </c>
      <c r="AF94" s="16">
        <v>15.7</v>
      </c>
      <c r="AG94" s="103">
        <f t="shared" si="27"/>
        <v>14</v>
      </c>
      <c r="AH94" s="37">
        <f t="shared" si="28"/>
        <v>18.158000000000001</v>
      </c>
      <c r="AJ94" s="97">
        <v>45943</v>
      </c>
      <c r="AK94" t="s">
        <v>2448</v>
      </c>
      <c r="AL94" t="s">
        <v>5</v>
      </c>
      <c r="AN94" s="81" t="s">
        <v>2510</v>
      </c>
      <c r="AO94" s="81" t="s">
        <v>2510</v>
      </c>
      <c r="AP94" s="37">
        <v>2480</v>
      </c>
      <c r="AR94" s="97"/>
      <c r="AS94" s="38"/>
      <c r="AU94" s="97"/>
      <c r="AY94" s="39"/>
      <c r="AZ94" s="39"/>
      <c r="BA94" s="37"/>
      <c r="BC94" s="97"/>
      <c r="BD94" s="38"/>
    </row>
    <row r="95" spans="22:56" ht="16" x14ac:dyDescent="0.4">
      <c r="V95" s="97"/>
      <c r="W95" s="16"/>
      <c r="X95" s="101"/>
      <c r="Y95" s="105"/>
      <c r="Z95" s="50"/>
      <c r="AA95" s="50"/>
      <c r="AD95" s="37"/>
      <c r="AE95" s="93"/>
      <c r="AF95" s="16">
        <v>0</v>
      </c>
      <c r="AG95" s="103">
        <f t="shared" si="27"/>
        <v>0</v>
      </c>
      <c r="AH95" s="37">
        <f t="shared" si="28"/>
        <v>0</v>
      </c>
      <c r="AJ95" s="97">
        <v>45943</v>
      </c>
      <c r="AK95" t="s">
        <v>2449</v>
      </c>
      <c r="AL95" t="s">
        <v>5</v>
      </c>
      <c r="AN95" s="81" t="s">
        <v>2511</v>
      </c>
      <c r="AO95" s="81" t="s">
        <v>2511</v>
      </c>
      <c r="AP95" s="37">
        <v>3380</v>
      </c>
      <c r="AR95" s="97"/>
      <c r="AS95" s="38"/>
      <c r="AU95" s="97"/>
      <c r="AY95" s="39"/>
      <c r="AZ95" s="39"/>
      <c r="BA95" s="37"/>
      <c r="BC95" s="97"/>
      <c r="BD95" s="38"/>
    </row>
    <row r="96" spans="22:56" ht="16" x14ac:dyDescent="0.4">
      <c r="V96" s="97">
        <v>45939</v>
      </c>
      <c r="W96" s="16">
        <v>206230</v>
      </c>
      <c r="X96" s="101" t="s">
        <v>36</v>
      </c>
      <c r="Y96" s="105"/>
      <c r="Z96" s="50">
        <v>0.52013888888888882</v>
      </c>
      <c r="AA96" s="50">
        <v>0.37916666666666665</v>
      </c>
      <c r="AD96" s="37">
        <v>10426</v>
      </c>
      <c r="AE96" s="93">
        <f t="shared" si="26"/>
        <v>10.426</v>
      </c>
      <c r="AF96" s="16">
        <v>6.82</v>
      </c>
      <c r="AG96" s="103">
        <f t="shared" si="27"/>
        <v>6.82</v>
      </c>
      <c r="AH96" s="37">
        <f t="shared" si="28"/>
        <v>5.078951428571429</v>
      </c>
      <c r="AJ96" s="97">
        <v>45943</v>
      </c>
      <c r="AK96" t="s">
        <v>2450</v>
      </c>
      <c r="AL96" t="s">
        <v>5</v>
      </c>
      <c r="AN96" s="81" t="s">
        <v>2512</v>
      </c>
      <c r="AO96" s="81" t="s">
        <v>2512</v>
      </c>
      <c r="AP96" s="37">
        <v>3480</v>
      </c>
      <c r="AR96" s="97"/>
      <c r="AS96" s="38"/>
      <c r="AU96" s="97"/>
      <c r="AY96" s="39"/>
      <c r="AZ96" s="39"/>
      <c r="BA96" s="37"/>
      <c r="BC96" s="97"/>
      <c r="BD96" s="38"/>
    </row>
    <row r="97" spans="22:56" ht="16" x14ac:dyDescent="0.4">
      <c r="V97" s="97">
        <v>45939</v>
      </c>
      <c r="W97" s="16">
        <v>206275</v>
      </c>
      <c r="X97" s="101" t="s">
        <v>36</v>
      </c>
      <c r="Y97" s="105"/>
      <c r="Z97" s="50">
        <v>0.45833333333333331</v>
      </c>
      <c r="AA97" s="50">
        <v>0.44027777777777777</v>
      </c>
      <c r="AD97" s="37">
        <v>20078</v>
      </c>
      <c r="AE97" s="93">
        <f t="shared" si="26"/>
        <v>20.077999999999999</v>
      </c>
      <c r="AF97" s="16">
        <v>15.13</v>
      </c>
      <c r="AG97" s="103">
        <f t="shared" si="27"/>
        <v>14</v>
      </c>
      <c r="AH97" s="37">
        <f t="shared" si="28"/>
        <v>20.077999999999999</v>
      </c>
      <c r="AJ97" s="97">
        <v>45943</v>
      </c>
      <c r="AK97" t="s">
        <v>2513</v>
      </c>
      <c r="AL97" t="s">
        <v>5</v>
      </c>
      <c r="AN97" s="81" t="s">
        <v>2547</v>
      </c>
      <c r="AO97" s="81" t="s">
        <v>2547</v>
      </c>
      <c r="AP97" s="37">
        <v>2650</v>
      </c>
      <c r="AR97" s="97"/>
      <c r="AS97" s="38"/>
      <c r="AU97" s="97"/>
      <c r="AY97" s="39"/>
      <c r="AZ97" s="39"/>
      <c r="BA97" s="37"/>
      <c r="BC97" s="97"/>
      <c r="BD97" s="38"/>
    </row>
    <row r="98" spans="22:56" ht="16" x14ac:dyDescent="0.4">
      <c r="V98" s="97">
        <v>45939</v>
      </c>
      <c r="W98" s="16">
        <v>206319</v>
      </c>
      <c r="X98" s="101" t="s">
        <v>36</v>
      </c>
      <c r="Y98" s="105"/>
      <c r="Z98" s="50">
        <v>0.4680555555555555</v>
      </c>
      <c r="AA98" s="50">
        <v>0.51041666666666663</v>
      </c>
      <c r="AD98" s="37">
        <v>22182</v>
      </c>
      <c r="AE98" s="93">
        <f t="shared" si="26"/>
        <v>22.181999999999999</v>
      </c>
      <c r="AF98" s="16">
        <v>15.22</v>
      </c>
      <c r="AG98" s="103">
        <f t="shared" si="27"/>
        <v>14</v>
      </c>
      <c r="AH98" s="37">
        <f t="shared" si="28"/>
        <v>22.181999999999999</v>
      </c>
      <c r="AJ98" s="97">
        <v>45943</v>
      </c>
      <c r="AK98" t="s">
        <v>2514</v>
      </c>
      <c r="AL98" t="s">
        <v>5</v>
      </c>
      <c r="AN98" s="81" t="s">
        <v>2548</v>
      </c>
      <c r="AO98" s="81" t="s">
        <v>2548</v>
      </c>
      <c r="AP98" s="37">
        <v>3170</v>
      </c>
      <c r="AR98" s="97"/>
      <c r="AS98" s="38"/>
      <c r="AU98" s="97"/>
      <c r="AY98" s="39"/>
      <c r="AZ98" s="39"/>
      <c r="BA98" s="37"/>
      <c r="BC98" s="97"/>
      <c r="BD98" s="38"/>
    </row>
    <row r="99" spans="22:56" ht="16" x14ac:dyDescent="0.4">
      <c r="V99" s="97">
        <v>45939</v>
      </c>
      <c r="W99" s="16">
        <v>206361</v>
      </c>
      <c r="X99" s="101" t="s">
        <v>36</v>
      </c>
      <c r="Y99" s="105"/>
      <c r="Z99" s="50">
        <v>0.47638888888888892</v>
      </c>
      <c r="AA99" s="50">
        <v>0.58194444444444449</v>
      </c>
      <c r="AD99" s="37">
        <v>21730</v>
      </c>
      <c r="AE99" s="93">
        <f t="shared" si="26"/>
        <v>21.73</v>
      </c>
      <c r="AF99" s="16">
        <v>14.91</v>
      </c>
      <c r="AG99" s="103">
        <f t="shared" si="27"/>
        <v>14</v>
      </c>
      <c r="AH99" s="37">
        <f t="shared" si="28"/>
        <v>21.73</v>
      </c>
      <c r="AJ99" s="97">
        <v>45944</v>
      </c>
      <c r="AK99" t="s">
        <v>2515</v>
      </c>
      <c r="AL99" t="s">
        <v>5</v>
      </c>
      <c r="AN99" s="81" t="s">
        <v>2549</v>
      </c>
      <c r="AO99" s="81" t="s">
        <v>2550</v>
      </c>
      <c r="AP99" s="37">
        <v>2510</v>
      </c>
      <c r="AR99" s="97"/>
      <c r="AS99" s="38"/>
      <c r="AU99" s="97"/>
      <c r="AY99" s="39"/>
      <c r="AZ99" s="39"/>
      <c r="BA99" s="37"/>
      <c r="BC99" s="97"/>
      <c r="BD99" s="38"/>
    </row>
    <row r="100" spans="22:56" ht="16" x14ac:dyDescent="0.4">
      <c r="V100" s="97">
        <v>45939</v>
      </c>
      <c r="W100" s="16">
        <v>206438</v>
      </c>
      <c r="X100" s="101" t="s">
        <v>36</v>
      </c>
      <c r="Y100" s="105"/>
      <c r="Z100" s="50">
        <v>0.4680555555555555</v>
      </c>
      <c r="AA100" s="50">
        <v>0.65069444444444446</v>
      </c>
      <c r="AD100" s="37">
        <v>22150</v>
      </c>
      <c r="AE100" s="93">
        <f t="shared" si="26"/>
        <v>22.15</v>
      </c>
      <c r="AF100" s="16">
        <v>14.84</v>
      </c>
      <c r="AG100" s="103">
        <f t="shared" si="27"/>
        <v>14</v>
      </c>
      <c r="AH100" s="37">
        <f t="shared" si="28"/>
        <v>22.15</v>
      </c>
      <c r="AJ100" s="97">
        <v>45944</v>
      </c>
      <c r="AK100" t="s">
        <v>2516</v>
      </c>
      <c r="AL100" t="s">
        <v>5</v>
      </c>
      <c r="AN100" s="81" t="s">
        <v>2551</v>
      </c>
      <c r="AO100" s="81" t="s">
        <v>2551</v>
      </c>
      <c r="AP100" s="37">
        <v>3120</v>
      </c>
      <c r="AR100" s="97"/>
      <c r="AS100" s="38"/>
      <c r="AU100" s="97"/>
      <c r="AY100" s="39"/>
      <c r="AZ100" s="39"/>
      <c r="BA100" s="37"/>
      <c r="BC100" s="97"/>
      <c r="BD100" s="38"/>
    </row>
    <row r="101" spans="22:56" ht="16" x14ac:dyDescent="0.4">
      <c r="V101" s="97">
        <v>45939</v>
      </c>
      <c r="W101" s="16">
        <v>206466</v>
      </c>
      <c r="X101" s="101" t="s">
        <v>36</v>
      </c>
      <c r="Y101" s="105"/>
      <c r="Z101" s="50">
        <v>0.47638888888888892</v>
      </c>
      <c r="AA101" s="50">
        <v>0.7104166666666667</v>
      </c>
      <c r="AD101" s="37">
        <v>19148</v>
      </c>
      <c r="AE101" s="93">
        <f t="shared" si="26"/>
        <v>19.148</v>
      </c>
      <c r="AF101" s="16">
        <v>14.66</v>
      </c>
      <c r="AG101" s="103">
        <f t="shared" si="27"/>
        <v>14</v>
      </c>
      <c r="AH101" s="37">
        <f t="shared" si="28"/>
        <v>19.148</v>
      </c>
      <c r="AJ101" s="97">
        <v>45944</v>
      </c>
      <c r="AK101" t="s">
        <v>2517</v>
      </c>
      <c r="AL101" t="s">
        <v>5</v>
      </c>
      <c r="AN101" s="81" t="s">
        <v>2552</v>
      </c>
      <c r="AO101" s="81" t="s">
        <v>2552</v>
      </c>
      <c r="AP101" s="37">
        <v>3230</v>
      </c>
      <c r="AR101" s="97"/>
      <c r="AS101" s="38"/>
      <c r="AU101" s="97"/>
      <c r="AY101" s="81"/>
      <c r="AZ101" s="81"/>
      <c r="BA101" s="37"/>
      <c r="BC101" s="97"/>
      <c r="BD101" s="38"/>
    </row>
    <row r="102" spans="22:56" ht="16" x14ac:dyDescent="0.4">
      <c r="V102" s="97">
        <v>45939</v>
      </c>
      <c r="W102" s="16">
        <v>206489</v>
      </c>
      <c r="X102" s="101" t="s">
        <v>36</v>
      </c>
      <c r="Y102" s="105"/>
      <c r="Z102" s="50">
        <v>0.46828703703703706</v>
      </c>
      <c r="AA102" s="50">
        <v>0.76828703703703705</v>
      </c>
      <c r="AD102" s="37">
        <v>14658</v>
      </c>
      <c r="AE102" s="93">
        <f t="shared" si="26"/>
        <v>14.657999999999999</v>
      </c>
      <c r="AF102" s="16">
        <v>16.13</v>
      </c>
      <c r="AG102" s="103">
        <f t="shared" si="27"/>
        <v>14</v>
      </c>
      <c r="AH102" s="37">
        <f t="shared" si="28"/>
        <v>14.657999999999999</v>
      </c>
      <c r="AJ102" s="97">
        <v>45944</v>
      </c>
      <c r="AK102" t="s">
        <v>2518</v>
      </c>
      <c r="AL102" t="s">
        <v>5</v>
      </c>
      <c r="AN102" s="81" t="s">
        <v>2553</v>
      </c>
      <c r="AO102" s="81" t="s">
        <v>2553</v>
      </c>
      <c r="AP102" s="37">
        <v>3020</v>
      </c>
      <c r="AR102" s="97"/>
      <c r="AS102" s="38"/>
      <c r="AU102" s="97"/>
      <c r="AY102" s="39"/>
      <c r="AZ102" s="39"/>
      <c r="BA102" s="37"/>
      <c r="BC102" s="97"/>
      <c r="BD102" s="38"/>
    </row>
    <row r="103" spans="22:56" ht="16" x14ac:dyDescent="0.4">
      <c r="V103" s="90">
        <v>45939</v>
      </c>
      <c r="W103" s="17">
        <v>206512</v>
      </c>
      <c r="X103" s="101" t="s">
        <v>36</v>
      </c>
      <c r="Y103" s="110"/>
      <c r="Z103" s="91">
        <v>0.47640046296296296</v>
      </c>
      <c r="AA103" s="91">
        <v>1.0999652777777778</v>
      </c>
      <c r="AB103" s="17"/>
      <c r="AC103" s="17"/>
      <c r="AD103" s="110">
        <v>18540</v>
      </c>
      <c r="AE103" s="93">
        <f t="shared" si="26"/>
        <v>18.54</v>
      </c>
      <c r="AF103" s="16">
        <v>16.84</v>
      </c>
      <c r="AG103" s="103">
        <f t="shared" si="27"/>
        <v>14</v>
      </c>
      <c r="AH103" s="37">
        <f t="shared" si="28"/>
        <v>18.54</v>
      </c>
      <c r="AJ103" s="97">
        <v>45944</v>
      </c>
      <c r="AK103" t="s">
        <v>2519</v>
      </c>
      <c r="AL103" t="s">
        <v>5</v>
      </c>
      <c r="AN103" s="81" t="s">
        <v>2554</v>
      </c>
      <c r="AO103" s="81" t="s">
        <v>2554</v>
      </c>
      <c r="AP103" s="37">
        <v>3680</v>
      </c>
      <c r="AR103" s="97"/>
      <c r="AS103" s="38"/>
      <c r="AU103" s="97"/>
      <c r="AY103" s="39"/>
      <c r="AZ103" s="39"/>
      <c r="BA103" s="37"/>
      <c r="BC103" s="97"/>
      <c r="BD103" s="38"/>
    </row>
    <row r="104" spans="22:56" ht="16" x14ac:dyDescent="0.4">
      <c r="V104" s="90">
        <v>45939</v>
      </c>
      <c r="W104" s="17">
        <v>206549</v>
      </c>
      <c r="X104" s="101" t="s">
        <v>36</v>
      </c>
      <c r="Y104" s="110"/>
      <c r="Z104" s="91">
        <v>0.80479166666666668</v>
      </c>
      <c r="AA104" s="91">
        <v>0.88393518518518521</v>
      </c>
      <c r="AB104" s="17"/>
      <c r="AC104" s="17"/>
      <c r="AD104" s="110">
        <v>18902</v>
      </c>
      <c r="AE104" s="93">
        <f t="shared" si="26"/>
        <v>18.902000000000001</v>
      </c>
      <c r="AF104" s="16">
        <v>15.13</v>
      </c>
      <c r="AG104" s="103">
        <f t="shared" si="27"/>
        <v>14</v>
      </c>
      <c r="AH104" s="37">
        <f t="shared" si="28"/>
        <v>18.902000000000005</v>
      </c>
      <c r="AJ104" s="97">
        <v>45944</v>
      </c>
      <c r="AK104" t="s">
        <v>2520</v>
      </c>
      <c r="AL104" t="s">
        <v>5</v>
      </c>
      <c r="AN104" s="81" t="s">
        <v>2555</v>
      </c>
      <c r="AO104" s="81" t="s">
        <v>2555</v>
      </c>
      <c r="AP104" s="37">
        <v>5070</v>
      </c>
      <c r="AR104" s="97"/>
      <c r="AS104" s="38"/>
      <c r="AU104" s="97"/>
      <c r="AY104" s="39"/>
      <c r="AZ104" s="39"/>
      <c r="BA104" s="37"/>
      <c r="BC104" s="97"/>
      <c r="BD104" s="38"/>
    </row>
    <row r="105" spans="22:56" ht="16" x14ac:dyDescent="0.4">
      <c r="V105" s="97">
        <v>45939</v>
      </c>
      <c r="W105" s="16">
        <v>206570</v>
      </c>
      <c r="X105" s="101" t="s">
        <v>36</v>
      </c>
      <c r="Y105" s="105"/>
      <c r="Z105" s="50">
        <v>0.76673611111111117</v>
      </c>
      <c r="AA105" s="50">
        <v>0.95234953703703706</v>
      </c>
      <c r="AD105" s="37">
        <v>21894</v>
      </c>
      <c r="AE105" s="93">
        <f t="shared" si="26"/>
        <v>21.893999999999998</v>
      </c>
      <c r="AF105" s="16">
        <v>14.22</v>
      </c>
      <c r="AG105" s="103">
        <f t="shared" si="27"/>
        <v>14</v>
      </c>
      <c r="AH105" s="37">
        <f t="shared" si="28"/>
        <v>21.893999999999998</v>
      </c>
      <c r="AJ105" s="97">
        <v>45944</v>
      </c>
      <c r="AK105" t="s">
        <v>2521</v>
      </c>
      <c r="AL105" t="s">
        <v>5</v>
      </c>
      <c r="AN105" s="81" t="s">
        <v>2556</v>
      </c>
      <c r="AO105" s="81" t="s">
        <v>2556</v>
      </c>
      <c r="AP105" s="37">
        <v>2780</v>
      </c>
      <c r="AR105" s="97"/>
      <c r="AS105" s="38"/>
      <c r="AU105" s="97"/>
      <c r="AY105" s="39"/>
      <c r="AZ105" s="39"/>
      <c r="BA105" s="37"/>
      <c r="BC105" s="97"/>
      <c r="BD105" s="38"/>
    </row>
    <row r="106" spans="22:56" ht="16" x14ac:dyDescent="0.4">
      <c r="V106" s="97">
        <v>45940</v>
      </c>
      <c r="W106" s="16">
        <v>206578</v>
      </c>
      <c r="X106" s="101" t="s">
        <v>36</v>
      </c>
      <c r="Y106" s="105"/>
      <c r="Z106" s="50">
        <v>0.80491898148148155</v>
      </c>
      <c r="AA106" s="50">
        <v>1.8715277777777779E-2</v>
      </c>
      <c r="AD106" s="37">
        <v>22020</v>
      </c>
      <c r="AE106" s="93">
        <f t="shared" si="26"/>
        <v>22.02</v>
      </c>
      <c r="AF106" s="16">
        <v>14.59</v>
      </c>
      <c r="AG106" s="103">
        <f t="shared" si="27"/>
        <v>14</v>
      </c>
      <c r="AH106" s="37">
        <f t="shared" si="28"/>
        <v>22.02</v>
      </c>
      <c r="AJ106" s="97">
        <v>45944</v>
      </c>
      <c r="AK106" t="s">
        <v>2522</v>
      </c>
      <c r="AL106" t="s">
        <v>5</v>
      </c>
      <c r="AN106" s="81" t="s">
        <v>2557</v>
      </c>
      <c r="AO106" s="81" t="s">
        <v>2557</v>
      </c>
      <c r="AP106" s="37">
        <v>2840</v>
      </c>
      <c r="AR106" s="97"/>
      <c r="AS106" s="38"/>
      <c r="AU106" s="97"/>
      <c r="AY106" s="39"/>
      <c r="AZ106" s="39"/>
      <c r="BA106" s="37"/>
      <c r="BC106" s="97"/>
      <c r="BD106" s="38"/>
    </row>
    <row r="107" spans="22:56" ht="16" x14ac:dyDescent="0.4">
      <c r="V107" s="97">
        <v>45940</v>
      </c>
      <c r="W107" s="16">
        <v>206595</v>
      </c>
      <c r="X107" s="101" t="s">
        <v>36</v>
      </c>
      <c r="Y107" s="105"/>
      <c r="Z107" s="50">
        <v>0.76658564814814811</v>
      </c>
      <c r="AA107" s="50">
        <v>8.0138888888888885E-2</v>
      </c>
      <c r="AD107" s="37">
        <v>20590</v>
      </c>
      <c r="AE107" s="93">
        <f t="shared" si="26"/>
        <v>20.59</v>
      </c>
      <c r="AF107" s="16">
        <v>15.09</v>
      </c>
      <c r="AG107" s="103">
        <f t="shared" si="27"/>
        <v>14</v>
      </c>
      <c r="AH107" s="37">
        <f t="shared" si="28"/>
        <v>20.59</v>
      </c>
      <c r="AJ107" s="97">
        <v>45944</v>
      </c>
      <c r="AK107" t="s">
        <v>2523</v>
      </c>
      <c r="AL107" t="s">
        <v>5</v>
      </c>
      <c r="AN107" s="81" t="s">
        <v>2558</v>
      </c>
      <c r="AO107" s="81" t="s">
        <v>2558</v>
      </c>
      <c r="AP107" s="37">
        <v>3620</v>
      </c>
      <c r="AR107" s="97"/>
      <c r="AS107" s="38"/>
      <c r="AU107" s="97"/>
      <c r="AY107" s="39"/>
      <c r="AZ107" s="39"/>
      <c r="BA107" s="37"/>
      <c r="BC107" s="97"/>
      <c r="BD107" s="38"/>
    </row>
    <row r="108" spans="22:56" ht="16" x14ac:dyDescent="0.4">
      <c r="V108" s="97">
        <v>45940</v>
      </c>
      <c r="W108" s="16">
        <v>206608</v>
      </c>
      <c r="X108" s="101" t="s">
        <v>36</v>
      </c>
      <c r="Y108" s="105"/>
      <c r="Z108" s="50">
        <v>0.80509259259259258</v>
      </c>
      <c r="AA108" s="50">
        <v>0.13282407407407407</v>
      </c>
      <c r="AD108" s="37">
        <v>18672</v>
      </c>
      <c r="AE108" s="93">
        <f t="shared" si="26"/>
        <v>18.672000000000001</v>
      </c>
      <c r="AF108" s="16">
        <v>16.309999999999999</v>
      </c>
      <c r="AG108" s="103">
        <f t="shared" si="27"/>
        <v>14</v>
      </c>
      <c r="AH108" s="37">
        <f t="shared" si="28"/>
        <v>18.672000000000001</v>
      </c>
      <c r="AJ108" s="97">
        <v>45944</v>
      </c>
      <c r="AK108" t="s">
        <v>2524</v>
      </c>
      <c r="AL108" t="s">
        <v>5</v>
      </c>
      <c r="AN108" s="81" t="s">
        <v>2559</v>
      </c>
      <c r="AO108" s="81" t="s">
        <v>2559</v>
      </c>
      <c r="AP108" s="37">
        <v>2080</v>
      </c>
      <c r="AR108" s="97"/>
      <c r="AU108" s="97"/>
      <c r="AY108" s="81"/>
      <c r="AZ108" s="81"/>
      <c r="BA108" s="37"/>
      <c r="BC108" s="97"/>
    </row>
    <row r="109" spans="22:56" ht="16" x14ac:dyDescent="0.4">
      <c r="V109" s="97">
        <v>45940</v>
      </c>
      <c r="W109" s="16">
        <v>206617</v>
      </c>
      <c r="X109" s="101" t="s">
        <v>36</v>
      </c>
      <c r="Y109" s="105"/>
      <c r="Z109" s="50">
        <v>0.12865740740740741</v>
      </c>
      <c r="AA109" s="50">
        <v>0.1870023148148148</v>
      </c>
      <c r="AD109" s="37">
        <v>20740</v>
      </c>
      <c r="AE109" s="93">
        <f t="shared" si="26"/>
        <v>20.74</v>
      </c>
      <c r="AF109" s="16">
        <v>15.98</v>
      </c>
      <c r="AG109" s="103">
        <f t="shared" si="27"/>
        <v>14</v>
      </c>
      <c r="AH109" s="37">
        <f t="shared" si="28"/>
        <v>20.74</v>
      </c>
      <c r="AJ109" s="97">
        <v>45944</v>
      </c>
      <c r="AK109" t="s">
        <v>2525</v>
      </c>
      <c r="AL109" t="s">
        <v>5</v>
      </c>
      <c r="AN109" s="39" t="s">
        <v>2560</v>
      </c>
      <c r="AO109" s="39" t="s">
        <v>2561</v>
      </c>
      <c r="AP109" s="37">
        <v>3420</v>
      </c>
      <c r="AR109" s="97"/>
      <c r="AU109" s="97"/>
      <c r="AY109" s="81"/>
      <c r="AZ109" s="81"/>
      <c r="BA109" s="37"/>
      <c r="BC109" s="97"/>
    </row>
    <row r="110" spans="22:56" ht="16" x14ac:dyDescent="0.4">
      <c r="V110" s="97">
        <v>45940</v>
      </c>
      <c r="W110" s="16">
        <v>206620</v>
      </c>
      <c r="X110" s="101" t="s">
        <v>36</v>
      </c>
      <c r="Y110" s="105"/>
      <c r="Z110" s="50">
        <v>0.16283564814814813</v>
      </c>
      <c r="AA110" s="50">
        <v>0.2391550925925926</v>
      </c>
      <c r="AD110" s="37">
        <v>16274</v>
      </c>
      <c r="AE110" s="93">
        <f t="shared" si="26"/>
        <v>16.274000000000001</v>
      </c>
      <c r="AF110" s="16">
        <v>16.38</v>
      </c>
      <c r="AG110" s="103">
        <f t="shared" si="27"/>
        <v>14</v>
      </c>
      <c r="AH110" s="37">
        <f t="shared" si="28"/>
        <v>16.274000000000001</v>
      </c>
      <c r="AJ110" s="97">
        <v>45944</v>
      </c>
      <c r="AK110" s="98" t="s">
        <v>2526</v>
      </c>
      <c r="AL110" t="s">
        <v>5</v>
      </c>
      <c r="AN110" s="81" t="s">
        <v>2562</v>
      </c>
      <c r="AO110" s="81" t="s">
        <v>2562</v>
      </c>
      <c r="AP110" s="37">
        <v>2360</v>
      </c>
      <c r="AR110" s="38"/>
      <c r="AU110" s="97"/>
      <c r="AY110" s="81"/>
      <c r="AZ110" s="81"/>
      <c r="BA110" s="37"/>
      <c r="BC110" s="97"/>
    </row>
    <row r="111" spans="22:56" ht="16" x14ac:dyDescent="0.4">
      <c r="V111" s="97">
        <v>45940</v>
      </c>
      <c r="W111" s="16">
        <v>206644</v>
      </c>
      <c r="X111" s="101" t="s">
        <v>36</v>
      </c>
      <c r="Y111" s="105"/>
      <c r="Z111" s="50">
        <v>0.12847222222222224</v>
      </c>
      <c r="AA111" s="50">
        <v>0.3125</v>
      </c>
      <c r="AD111" s="37">
        <v>22402</v>
      </c>
      <c r="AE111" s="93">
        <f t="shared" si="26"/>
        <v>22.402000000000001</v>
      </c>
      <c r="AF111" s="16">
        <v>14.59</v>
      </c>
      <c r="AG111" s="103">
        <f t="shared" si="27"/>
        <v>14</v>
      </c>
      <c r="AH111" s="37">
        <f t="shared" si="28"/>
        <v>22.402000000000005</v>
      </c>
      <c r="AJ111" s="97">
        <v>45944</v>
      </c>
      <c r="AK111" s="16" t="s">
        <v>2527</v>
      </c>
      <c r="AL111" t="s">
        <v>5</v>
      </c>
      <c r="AN111" s="81" t="s">
        <v>2563</v>
      </c>
      <c r="AO111" s="81" t="s">
        <v>2563</v>
      </c>
      <c r="AP111" s="37">
        <v>4580</v>
      </c>
      <c r="AR111" s="38"/>
      <c r="AU111" s="97"/>
      <c r="AY111" s="39"/>
      <c r="AZ111" s="39"/>
      <c r="BA111" s="37"/>
      <c r="BC111" s="97"/>
    </row>
    <row r="112" spans="22:56" ht="16" x14ac:dyDescent="0.4">
      <c r="V112" s="97">
        <v>45940</v>
      </c>
      <c r="W112" s="16">
        <v>206709</v>
      </c>
      <c r="X112" s="101" t="s">
        <v>36</v>
      </c>
      <c r="Y112" s="105"/>
      <c r="Z112" s="50">
        <v>0.16319444444444445</v>
      </c>
      <c r="AA112" s="50">
        <v>0.37083333333333335</v>
      </c>
      <c r="AD112" s="37">
        <v>21740</v>
      </c>
      <c r="AE112" s="93">
        <f t="shared" si="26"/>
        <v>21.74</v>
      </c>
      <c r="AF112" s="16">
        <v>15.67</v>
      </c>
      <c r="AG112" s="103">
        <f t="shared" si="27"/>
        <v>14</v>
      </c>
      <c r="AH112" s="37">
        <f t="shared" si="28"/>
        <v>21.74</v>
      </c>
      <c r="AJ112" s="97">
        <v>45945</v>
      </c>
      <c r="AK112" s="16" t="s">
        <v>2528</v>
      </c>
      <c r="AL112" t="s">
        <v>5</v>
      </c>
      <c r="AN112" s="81" t="s">
        <v>2564</v>
      </c>
      <c r="AO112" s="81" t="s">
        <v>2564</v>
      </c>
      <c r="AP112" s="37">
        <v>3000</v>
      </c>
      <c r="AR112" s="38"/>
      <c r="AU112" s="97"/>
      <c r="AY112" s="39"/>
      <c r="AZ112" s="39"/>
      <c r="BA112" s="37"/>
      <c r="BC112" s="97"/>
    </row>
    <row r="113" spans="22:55" ht="16" x14ac:dyDescent="0.4">
      <c r="V113" s="97">
        <v>45940</v>
      </c>
      <c r="W113">
        <v>206775</v>
      </c>
      <c r="X113" s="101" t="s">
        <v>36</v>
      </c>
      <c r="Z113">
        <v>0.12847222222222224</v>
      </c>
      <c r="AA113">
        <v>0.43958333333333338</v>
      </c>
      <c r="AD113" s="37">
        <v>21702</v>
      </c>
      <c r="AE113" s="93">
        <f t="shared" si="26"/>
        <v>21.702000000000002</v>
      </c>
      <c r="AF113" s="16">
        <v>14.08</v>
      </c>
      <c r="AG113" s="103">
        <f t="shared" si="27"/>
        <v>14</v>
      </c>
      <c r="AH113" s="37">
        <f t="shared" si="28"/>
        <v>21.702000000000002</v>
      </c>
      <c r="AJ113" s="97">
        <v>45945</v>
      </c>
      <c r="AK113" s="16" t="s">
        <v>2529</v>
      </c>
      <c r="AL113" t="s">
        <v>5</v>
      </c>
      <c r="AN113" s="81" t="s">
        <v>2565</v>
      </c>
      <c r="AO113" s="81" t="s">
        <v>2565</v>
      </c>
      <c r="AP113" s="37">
        <v>2900</v>
      </c>
      <c r="AR113" s="38"/>
      <c r="AU113" s="97"/>
      <c r="AY113" s="39"/>
      <c r="AZ113" s="39"/>
      <c r="BA113" s="37"/>
      <c r="BC113" s="97"/>
    </row>
    <row r="114" spans="22:55" ht="16" x14ac:dyDescent="0.4">
      <c r="V114" s="97">
        <v>45940</v>
      </c>
      <c r="W114" s="16">
        <v>206830</v>
      </c>
      <c r="X114" s="101" t="s">
        <v>36</v>
      </c>
      <c r="Y114" s="105"/>
      <c r="Z114" s="50">
        <v>0.16250000000000001</v>
      </c>
      <c r="AA114" s="50">
        <v>0.5395833333333333</v>
      </c>
      <c r="AD114" s="37">
        <v>22342</v>
      </c>
      <c r="AE114" s="93">
        <f t="shared" si="26"/>
        <v>22.341999999999999</v>
      </c>
      <c r="AF114" s="16">
        <v>15.98</v>
      </c>
      <c r="AG114" s="103">
        <f t="shared" si="27"/>
        <v>14</v>
      </c>
      <c r="AH114" s="37">
        <f t="shared" si="28"/>
        <v>22.342000000000002</v>
      </c>
      <c r="AJ114" s="97">
        <v>45945</v>
      </c>
      <c r="AK114" s="16" t="s">
        <v>2530</v>
      </c>
      <c r="AL114" t="s">
        <v>5</v>
      </c>
      <c r="AN114" s="81" t="s">
        <v>2566</v>
      </c>
      <c r="AO114" s="81" t="s">
        <v>2566</v>
      </c>
      <c r="AP114" s="37">
        <v>3700</v>
      </c>
      <c r="AR114" s="38"/>
      <c r="AU114" s="97"/>
      <c r="AY114" s="39"/>
      <c r="AZ114" s="39"/>
      <c r="BA114" s="37"/>
      <c r="BC114" s="97"/>
    </row>
    <row r="115" spans="22:55" ht="16" x14ac:dyDescent="0.4">
      <c r="V115" s="97">
        <v>45940</v>
      </c>
      <c r="W115" s="16">
        <v>206892</v>
      </c>
      <c r="X115" s="101" t="s">
        <v>36</v>
      </c>
      <c r="Y115" s="105"/>
      <c r="Z115" s="50">
        <v>0.5</v>
      </c>
      <c r="AA115" s="50">
        <v>0.60416666666666663</v>
      </c>
      <c r="AD115" s="37">
        <v>20906</v>
      </c>
      <c r="AE115" s="93">
        <f t="shared" si="26"/>
        <v>20.905999999999999</v>
      </c>
      <c r="AF115" s="16">
        <v>15.09</v>
      </c>
      <c r="AG115" s="103">
        <f t="shared" si="27"/>
        <v>14</v>
      </c>
      <c r="AH115" s="37">
        <f t="shared" si="28"/>
        <v>20.905999999999999</v>
      </c>
      <c r="AJ115" s="97">
        <v>45945</v>
      </c>
      <c r="AK115" s="16" t="s">
        <v>2531</v>
      </c>
      <c r="AL115" t="s">
        <v>5</v>
      </c>
      <c r="AN115" s="81" t="s">
        <v>2567</v>
      </c>
      <c r="AO115" s="81" t="s">
        <v>2568</v>
      </c>
      <c r="AP115" s="37">
        <v>2620</v>
      </c>
      <c r="AR115" s="38"/>
      <c r="AU115" s="97"/>
      <c r="AY115" s="39"/>
      <c r="AZ115" s="39"/>
      <c r="BA115" s="37"/>
      <c r="BC115" s="97"/>
    </row>
    <row r="116" spans="22:55" ht="16" x14ac:dyDescent="0.4">
      <c r="V116" s="97">
        <v>45940</v>
      </c>
      <c r="W116" s="16">
        <v>206951</v>
      </c>
      <c r="X116" s="101" t="s">
        <v>36</v>
      </c>
      <c r="Y116" s="105"/>
      <c r="Z116" s="50">
        <v>0.58611111111111114</v>
      </c>
      <c r="AA116" s="50">
        <v>0.65902777777777777</v>
      </c>
      <c r="AD116" s="37">
        <v>21366</v>
      </c>
      <c r="AE116" s="93">
        <f t="shared" si="26"/>
        <v>21.366</v>
      </c>
      <c r="AF116" s="16">
        <v>14.95</v>
      </c>
      <c r="AG116" s="103">
        <f t="shared" si="27"/>
        <v>14</v>
      </c>
      <c r="AH116" s="37">
        <f t="shared" si="28"/>
        <v>21.366000000000003</v>
      </c>
      <c r="AJ116" s="97">
        <v>45945</v>
      </c>
      <c r="AK116" s="16" t="s">
        <v>2532</v>
      </c>
      <c r="AL116" t="s">
        <v>5</v>
      </c>
      <c r="AN116" s="81" t="s">
        <v>2569</v>
      </c>
      <c r="AO116" s="81" t="s">
        <v>2569</v>
      </c>
      <c r="AP116" s="37">
        <v>5430</v>
      </c>
      <c r="AR116" s="38"/>
      <c r="AU116" s="97"/>
      <c r="AY116" s="39"/>
      <c r="AZ116" s="39"/>
      <c r="BA116" s="37"/>
      <c r="BC116" s="97"/>
    </row>
    <row r="117" spans="22:55" ht="16" x14ac:dyDescent="0.4">
      <c r="V117" s="97">
        <v>45940</v>
      </c>
      <c r="W117" s="16">
        <v>206975</v>
      </c>
      <c r="X117" s="101" t="s">
        <v>36</v>
      </c>
      <c r="Y117" s="105"/>
      <c r="Z117" s="50">
        <v>0.65208333333333335</v>
      </c>
      <c r="AA117" s="50">
        <v>0.70763888888888893</v>
      </c>
      <c r="AD117" s="37">
        <v>21296</v>
      </c>
      <c r="AE117" s="93">
        <f t="shared" si="26"/>
        <v>21.295999999999999</v>
      </c>
      <c r="AF117" s="16">
        <v>15.23</v>
      </c>
      <c r="AG117" s="103">
        <f t="shared" si="27"/>
        <v>14</v>
      </c>
      <c r="AH117" s="37">
        <f t="shared" si="28"/>
        <v>21.295999999999999</v>
      </c>
      <c r="AJ117" s="97">
        <v>45945</v>
      </c>
      <c r="AK117" s="16" t="s">
        <v>2533</v>
      </c>
      <c r="AL117" t="s">
        <v>5</v>
      </c>
      <c r="AN117" s="81" t="s">
        <v>2570</v>
      </c>
      <c r="AO117" s="81" t="s">
        <v>2571</v>
      </c>
      <c r="AP117" s="37">
        <v>3130</v>
      </c>
      <c r="AR117" s="38"/>
      <c r="AU117" s="97"/>
      <c r="AY117" s="39"/>
      <c r="AZ117" s="39"/>
      <c r="BA117" s="100"/>
      <c r="BC117" s="97"/>
    </row>
    <row r="118" spans="22:55" ht="16" x14ac:dyDescent="0.4">
      <c r="V118" s="97">
        <v>45940</v>
      </c>
      <c r="W118" s="16">
        <v>206990</v>
      </c>
      <c r="X118" s="101" t="s">
        <v>36</v>
      </c>
      <c r="Y118" s="105"/>
      <c r="Z118" s="50">
        <v>0.58653935185185191</v>
      </c>
      <c r="AA118" s="50">
        <v>0.76040509259259259</v>
      </c>
      <c r="AD118" s="37">
        <v>21438</v>
      </c>
      <c r="AE118" s="93">
        <f t="shared" si="26"/>
        <v>21.437999999999999</v>
      </c>
      <c r="AF118" s="16">
        <v>14.06</v>
      </c>
      <c r="AG118" s="103">
        <f t="shared" si="27"/>
        <v>14</v>
      </c>
      <c r="AH118" s="37">
        <f t="shared" si="28"/>
        <v>21.437999999999999</v>
      </c>
      <c r="AJ118" s="97">
        <v>45945</v>
      </c>
      <c r="AK118" s="16" t="s">
        <v>2534</v>
      </c>
      <c r="AL118" t="s">
        <v>5</v>
      </c>
      <c r="AN118" s="81" t="s">
        <v>2572</v>
      </c>
      <c r="AO118" s="81" t="s">
        <v>2572</v>
      </c>
      <c r="AP118" s="37">
        <v>740</v>
      </c>
      <c r="AR118" s="38"/>
      <c r="AU118" s="97"/>
      <c r="AV118" s="16"/>
      <c r="AY118" s="39"/>
      <c r="AZ118" s="39"/>
      <c r="BA118" s="100"/>
      <c r="BC118" s="97"/>
    </row>
    <row r="119" spans="22:55" ht="16" x14ac:dyDescent="0.4">
      <c r="V119" s="97">
        <v>45940</v>
      </c>
      <c r="W119" s="16">
        <v>207010</v>
      </c>
      <c r="X119" s="101" t="s">
        <v>36</v>
      </c>
      <c r="Y119" s="105"/>
      <c r="Z119" s="50">
        <v>0.65187499999999998</v>
      </c>
      <c r="AA119" s="50">
        <v>0.82508101851851856</v>
      </c>
      <c r="AD119" s="37">
        <v>20616</v>
      </c>
      <c r="AE119" s="93">
        <f t="shared" si="26"/>
        <v>20.616</v>
      </c>
      <c r="AF119" s="16">
        <v>15.34</v>
      </c>
      <c r="AG119" s="103">
        <f t="shared" si="27"/>
        <v>14</v>
      </c>
      <c r="AH119" s="37">
        <f t="shared" si="28"/>
        <v>20.616000000000003</v>
      </c>
      <c r="AJ119" s="97">
        <v>45945</v>
      </c>
      <c r="AK119" s="16" t="s">
        <v>2535</v>
      </c>
      <c r="AL119" t="s">
        <v>5</v>
      </c>
      <c r="AN119" s="81" t="s">
        <v>2573</v>
      </c>
      <c r="AO119" s="81" t="s">
        <v>2573</v>
      </c>
      <c r="AP119" s="37">
        <v>2300</v>
      </c>
      <c r="AR119" s="38"/>
      <c r="AU119" s="97"/>
      <c r="AV119" s="16"/>
      <c r="AY119" s="81"/>
      <c r="AZ119" s="81"/>
      <c r="BA119" s="37"/>
      <c r="BC119" s="97"/>
    </row>
    <row r="120" spans="22:55" ht="16" x14ac:dyDescent="0.4">
      <c r="V120" s="97">
        <v>45940</v>
      </c>
      <c r="W120" s="16">
        <v>207054</v>
      </c>
      <c r="X120" s="101" t="s">
        <v>36</v>
      </c>
      <c r="Y120" s="105"/>
      <c r="Z120" s="50">
        <v>0.586400462962963</v>
      </c>
      <c r="AA120" s="50">
        <v>0.92042824074074081</v>
      </c>
      <c r="AD120" s="37">
        <v>22352</v>
      </c>
      <c r="AE120" s="93">
        <f t="shared" si="26"/>
        <v>22.352</v>
      </c>
      <c r="AF120" s="16">
        <v>13.95</v>
      </c>
      <c r="AG120" s="103">
        <f t="shared" si="27"/>
        <v>13.95</v>
      </c>
      <c r="AH120" s="37">
        <f t="shared" si="28"/>
        <v>22.272171428571429</v>
      </c>
      <c r="AJ120" s="97">
        <v>45945</v>
      </c>
      <c r="AK120" s="16" t="s">
        <v>2536</v>
      </c>
      <c r="AL120" t="s">
        <v>5</v>
      </c>
      <c r="AN120" s="81" t="s">
        <v>2574</v>
      </c>
      <c r="AO120" s="81" t="s">
        <v>2574</v>
      </c>
      <c r="AP120" s="37">
        <v>3040</v>
      </c>
      <c r="AR120" s="38"/>
      <c r="AU120" s="97"/>
      <c r="AV120" s="16"/>
      <c r="AY120" s="81"/>
      <c r="AZ120" s="81"/>
      <c r="BA120" s="37"/>
      <c r="BC120" s="97"/>
    </row>
    <row r="121" spans="22:55" ht="16" x14ac:dyDescent="0.4">
      <c r="V121" s="97">
        <v>45940</v>
      </c>
      <c r="W121" s="16">
        <v>207074</v>
      </c>
      <c r="X121" s="101" t="s">
        <v>36</v>
      </c>
      <c r="Y121" s="105"/>
      <c r="Z121" s="50">
        <v>0.50028935185185186</v>
      </c>
      <c r="AA121" s="50">
        <v>0.9762615740740741</v>
      </c>
      <c r="AD121" s="37">
        <v>17934</v>
      </c>
      <c r="AE121" s="93">
        <f t="shared" si="26"/>
        <v>17.934000000000001</v>
      </c>
      <c r="AF121" s="16">
        <v>15.39</v>
      </c>
      <c r="AG121" s="103">
        <f t="shared" si="27"/>
        <v>14</v>
      </c>
      <c r="AH121" s="37">
        <f t="shared" si="28"/>
        <v>17.934000000000001</v>
      </c>
      <c r="AJ121" s="97">
        <v>45945</v>
      </c>
      <c r="AK121" t="s">
        <v>2537</v>
      </c>
      <c r="AL121" t="s">
        <v>5</v>
      </c>
      <c r="AN121" s="81" t="s">
        <v>2575</v>
      </c>
      <c r="AO121" s="81" t="s">
        <v>2575</v>
      </c>
      <c r="AP121" s="37">
        <v>5570</v>
      </c>
      <c r="AR121" s="38"/>
      <c r="AU121" s="97"/>
      <c r="AY121" s="81"/>
      <c r="AZ121" s="81"/>
      <c r="BA121" s="37"/>
      <c r="BC121" s="97"/>
    </row>
    <row r="122" spans="22:55" ht="16" x14ac:dyDescent="0.4">
      <c r="V122" s="97">
        <v>45941</v>
      </c>
      <c r="W122" s="16">
        <v>207082</v>
      </c>
      <c r="X122" s="101" t="s">
        <v>36</v>
      </c>
      <c r="Y122" s="105"/>
      <c r="Z122" s="50">
        <v>0.95081018518518512</v>
      </c>
      <c r="AA122" s="50">
        <v>3.1921296296296302E-2</v>
      </c>
      <c r="AD122" s="37">
        <v>18560</v>
      </c>
      <c r="AE122" s="93">
        <f t="shared" si="26"/>
        <v>18.559999999999999</v>
      </c>
      <c r="AF122" s="16">
        <v>14.31</v>
      </c>
      <c r="AG122" s="103">
        <f t="shared" si="27"/>
        <v>14</v>
      </c>
      <c r="AH122" s="37">
        <f t="shared" si="28"/>
        <v>18.559999999999999</v>
      </c>
      <c r="AJ122" s="97">
        <v>45946</v>
      </c>
      <c r="AK122" t="s">
        <v>2538</v>
      </c>
      <c r="AL122" t="s">
        <v>5</v>
      </c>
      <c r="AN122" s="81" t="s">
        <v>2576</v>
      </c>
      <c r="AO122" s="81" t="s">
        <v>2576</v>
      </c>
      <c r="AP122" s="37">
        <v>5390</v>
      </c>
      <c r="AR122" s="38"/>
      <c r="AU122" s="97"/>
      <c r="AY122" s="81"/>
      <c r="AZ122" s="81"/>
      <c r="BA122" s="37"/>
      <c r="BC122" s="97"/>
    </row>
    <row r="123" spans="22:55" ht="16" x14ac:dyDescent="0.4">
      <c r="V123" s="97">
        <v>45941</v>
      </c>
      <c r="W123" s="16">
        <v>207091</v>
      </c>
      <c r="X123" s="101" t="s">
        <v>36</v>
      </c>
      <c r="Y123" s="105"/>
      <c r="Z123" s="50">
        <v>1.2453703703703703E-2</v>
      </c>
      <c r="AA123" s="50">
        <v>8.3888888888888888E-2</v>
      </c>
      <c r="AD123" s="37">
        <v>17024</v>
      </c>
      <c r="AE123" s="93">
        <f t="shared" si="26"/>
        <v>17.024000000000001</v>
      </c>
      <c r="AF123" s="16">
        <v>15.55</v>
      </c>
      <c r="AG123" s="103">
        <f t="shared" si="27"/>
        <v>14</v>
      </c>
      <c r="AH123" s="37">
        <f t="shared" si="28"/>
        <v>17.024000000000001</v>
      </c>
      <c r="AJ123" s="97">
        <v>45946</v>
      </c>
      <c r="AK123" t="s">
        <v>2539</v>
      </c>
      <c r="AL123" t="s">
        <v>5</v>
      </c>
      <c r="AN123" s="81" t="s">
        <v>2577</v>
      </c>
      <c r="AO123" s="81" t="s">
        <v>2578</v>
      </c>
      <c r="AP123" s="37">
        <v>3170</v>
      </c>
      <c r="AR123" s="38"/>
      <c r="AU123" s="97"/>
      <c r="AY123" s="81"/>
      <c r="AZ123" s="81"/>
      <c r="BA123" s="37"/>
      <c r="BC123" s="97"/>
    </row>
    <row r="124" spans="22:55" ht="16" x14ac:dyDescent="0.4">
      <c r="V124" s="97">
        <v>45941</v>
      </c>
      <c r="W124" s="16">
        <v>207110</v>
      </c>
      <c r="X124" s="101" t="s">
        <v>36</v>
      </c>
      <c r="Y124" s="105"/>
      <c r="Z124" s="50">
        <v>0.9509143518518518</v>
      </c>
      <c r="AA124" s="50">
        <v>0.13775462962962962</v>
      </c>
      <c r="AD124" s="37">
        <v>18236</v>
      </c>
      <c r="AE124" s="93">
        <f t="shared" si="26"/>
        <v>18.236000000000001</v>
      </c>
      <c r="AF124" s="16">
        <v>14.56</v>
      </c>
      <c r="AG124" s="103">
        <f t="shared" si="27"/>
        <v>14</v>
      </c>
      <c r="AH124" s="37">
        <f t="shared" si="28"/>
        <v>18.236000000000001</v>
      </c>
      <c r="AJ124" s="97">
        <v>45946</v>
      </c>
      <c r="AK124" t="s">
        <v>2540</v>
      </c>
      <c r="AL124" t="s">
        <v>5</v>
      </c>
      <c r="AN124" s="81" t="s">
        <v>2579</v>
      </c>
      <c r="AO124" s="81" t="s">
        <v>2580</v>
      </c>
      <c r="AP124" s="37">
        <v>2630</v>
      </c>
      <c r="AR124" s="38"/>
      <c r="AU124" s="97"/>
      <c r="AY124" s="81"/>
      <c r="AZ124" s="81"/>
      <c r="BA124" s="37"/>
      <c r="BC124" s="97"/>
    </row>
    <row r="125" spans="22:55" ht="16" x14ac:dyDescent="0.4">
      <c r="V125" s="97">
        <v>45941</v>
      </c>
      <c r="W125" s="16">
        <v>207118</v>
      </c>
      <c r="X125" s="101" t="s">
        <v>36</v>
      </c>
      <c r="Y125" s="105"/>
      <c r="Z125" s="50">
        <v>1.2581018518518519E-2</v>
      </c>
      <c r="AA125" s="50">
        <v>0.18756944444444446</v>
      </c>
      <c r="AD125" s="37">
        <v>18474</v>
      </c>
      <c r="AE125" s="93">
        <f t="shared" si="26"/>
        <v>18.474</v>
      </c>
      <c r="AF125" s="16">
        <v>14.59</v>
      </c>
      <c r="AG125" s="103">
        <f t="shared" si="27"/>
        <v>14</v>
      </c>
      <c r="AH125" s="37">
        <f t="shared" si="28"/>
        <v>18.474</v>
      </c>
      <c r="AJ125" s="97">
        <v>45946</v>
      </c>
      <c r="AK125" t="s">
        <v>2541</v>
      </c>
      <c r="AL125" t="s">
        <v>5</v>
      </c>
      <c r="AN125" s="81" t="s">
        <v>2581</v>
      </c>
      <c r="AO125" s="81" t="s">
        <v>2581</v>
      </c>
      <c r="AP125" s="37">
        <v>3740</v>
      </c>
      <c r="AR125" s="38"/>
      <c r="AU125" s="97"/>
      <c r="AY125" s="81"/>
      <c r="AZ125" s="81"/>
      <c r="BA125" s="37"/>
      <c r="BC125" s="97"/>
    </row>
    <row r="126" spans="22:55" ht="16" x14ac:dyDescent="0.4">
      <c r="V126" s="97">
        <v>45941</v>
      </c>
      <c r="W126" s="16">
        <v>207129</v>
      </c>
      <c r="X126" s="101" t="s">
        <v>36</v>
      </c>
      <c r="Y126" s="105"/>
      <c r="Z126" s="50">
        <v>0.9506944444444444</v>
      </c>
      <c r="AA126" s="50">
        <v>0.23402777777777781</v>
      </c>
      <c r="AD126" s="37">
        <v>19120</v>
      </c>
      <c r="AE126" s="93">
        <f t="shared" si="26"/>
        <v>19.12</v>
      </c>
      <c r="AF126" s="16">
        <v>14.03</v>
      </c>
      <c r="AG126" s="103">
        <f t="shared" si="27"/>
        <v>14</v>
      </c>
      <c r="AH126" s="37">
        <f t="shared" si="28"/>
        <v>19.12</v>
      </c>
      <c r="AJ126" s="97">
        <v>45946</v>
      </c>
      <c r="AK126" t="s">
        <v>2542</v>
      </c>
      <c r="AL126" t="s">
        <v>5</v>
      </c>
      <c r="AN126" s="81" t="s">
        <v>2582</v>
      </c>
      <c r="AO126" s="81" t="s">
        <v>2582</v>
      </c>
      <c r="AP126" s="37">
        <v>2670</v>
      </c>
      <c r="AR126" s="38"/>
      <c r="AU126" s="97"/>
      <c r="AY126" s="81"/>
      <c r="AZ126" s="81"/>
      <c r="BA126" s="37"/>
      <c r="BC126" s="97"/>
    </row>
    <row r="127" spans="22:55" ht="16" x14ac:dyDescent="0.4">
      <c r="V127" s="97">
        <v>45941</v>
      </c>
      <c r="W127" s="16">
        <v>207152</v>
      </c>
      <c r="X127" s="101" t="s">
        <v>36</v>
      </c>
      <c r="Y127" s="105"/>
      <c r="Z127" s="50">
        <v>0.22083333333333333</v>
      </c>
      <c r="AA127" s="50">
        <v>0.31875000000000003</v>
      </c>
      <c r="AD127" s="37">
        <v>18884</v>
      </c>
      <c r="AE127" s="93">
        <f t="shared" si="26"/>
        <v>18.884</v>
      </c>
      <c r="AF127" s="16">
        <v>15.88</v>
      </c>
      <c r="AG127" s="103">
        <f t="shared" si="27"/>
        <v>14</v>
      </c>
      <c r="AH127" s="37">
        <f t="shared" si="28"/>
        <v>18.883999999999997</v>
      </c>
      <c r="AJ127" s="97">
        <v>45946</v>
      </c>
      <c r="AK127" t="s">
        <v>2543</v>
      </c>
      <c r="AL127" t="s">
        <v>5</v>
      </c>
      <c r="AN127" s="81" t="s">
        <v>2583</v>
      </c>
      <c r="AO127" s="81" t="s">
        <v>2583</v>
      </c>
      <c r="AP127" s="37">
        <v>5500</v>
      </c>
      <c r="AR127" s="38"/>
      <c r="AU127" s="97"/>
      <c r="AY127" s="81"/>
      <c r="AZ127" s="81"/>
      <c r="BA127" s="37"/>
      <c r="BC127" s="97"/>
    </row>
    <row r="128" spans="22:55" ht="16" x14ac:dyDescent="0.4">
      <c r="V128" s="97">
        <v>45941</v>
      </c>
      <c r="W128" s="16">
        <v>207218</v>
      </c>
      <c r="X128" s="101" t="s">
        <v>36</v>
      </c>
      <c r="Y128" s="105"/>
      <c r="Z128" s="50">
        <v>0.38194444444444442</v>
      </c>
      <c r="AA128" s="50"/>
      <c r="AD128" s="37">
        <v>18352</v>
      </c>
      <c r="AE128" s="93">
        <f t="shared" si="26"/>
        <v>18.352</v>
      </c>
      <c r="AF128" s="16">
        <v>15.91</v>
      </c>
      <c r="AG128" s="103">
        <f t="shared" si="27"/>
        <v>14</v>
      </c>
      <c r="AH128" s="37">
        <f t="shared" si="28"/>
        <v>18.352</v>
      </c>
      <c r="AJ128" s="97">
        <v>45946</v>
      </c>
      <c r="AK128" t="s">
        <v>2544</v>
      </c>
      <c r="AL128" t="s">
        <v>5</v>
      </c>
      <c r="AN128" s="81" t="s">
        <v>2584</v>
      </c>
      <c r="AO128" s="81" t="s">
        <v>2585</v>
      </c>
      <c r="AP128" s="37">
        <v>3990</v>
      </c>
      <c r="AR128" s="38"/>
      <c r="AU128" s="97"/>
      <c r="AY128" s="81"/>
      <c r="AZ128" s="81"/>
      <c r="BA128" s="37"/>
      <c r="BC128" s="97"/>
    </row>
    <row r="129" spans="22:55" ht="16" x14ac:dyDescent="0.4">
      <c r="V129" s="90">
        <v>45941</v>
      </c>
      <c r="W129" s="17">
        <v>207297</v>
      </c>
      <c r="X129" s="101" t="s">
        <v>36</v>
      </c>
      <c r="Y129" s="110"/>
      <c r="Z129" s="91">
        <v>0.22083333333333333</v>
      </c>
      <c r="AA129" s="91">
        <v>0.45763888888888887</v>
      </c>
      <c r="AB129" s="17"/>
      <c r="AC129" s="17"/>
      <c r="AD129" s="110">
        <v>19726</v>
      </c>
      <c r="AE129" s="93">
        <f t="shared" si="26"/>
        <v>19.725999999999999</v>
      </c>
      <c r="AF129" s="16">
        <v>16.989999999999998</v>
      </c>
      <c r="AG129" s="103">
        <f t="shared" si="27"/>
        <v>14</v>
      </c>
      <c r="AH129" s="37">
        <f t="shared" si="28"/>
        <v>19.725999999999999</v>
      </c>
      <c r="AJ129" s="97">
        <v>45946</v>
      </c>
      <c r="AK129" t="s">
        <v>2545</v>
      </c>
      <c r="AL129" t="s">
        <v>5</v>
      </c>
      <c r="AN129" s="81" t="s">
        <v>2586</v>
      </c>
      <c r="AO129" s="81" t="s">
        <v>2586</v>
      </c>
      <c r="AP129" s="37">
        <v>6530</v>
      </c>
      <c r="AR129" s="38"/>
      <c r="AU129" s="97"/>
      <c r="AY129" s="81"/>
      <c r="AZ129" s="81"/>
      <c r="BA129" s="37"/>
      <c r="BC129" s="97"/>
    </row>
    <row r="130" spans="22:55" ht="16" x14ac:dyDescent="0.4">
      <c r="V130" s="97">
        <v>45941</v>
      </c>
      <c r="W130" s="16">
        <v>207325</v>
      </c>
      <c r="X130" s="101" t="s">
        <v>36</v>
      </c>
      <c r="Y130" s="105"/>
      <c r="Z130" s="50">
        <v>0.27986111111111112</v>
      </c>
      <c r="AA130" s="50">
        <v>0.53888888888888886</v>
      </c>
      <c r="AD130" s="37">
        <v>17386</v>
      </c>
      <c r="AE130" s="93">
        <f t="shared" ref="AE130:AE193" si="29">AD130/1000</f>
        <v>17.385999999999999</v>
      </c>
      <c r="AF130" s="16">
        <v>15.63</v>
      </c>
      <c r="AG130" s="103">
        <f t="shared" si="27"/>
        <v>14</v>
      </c>
      <c r="AH130" s="37">
        <f t="shared" si="28"/>
        <v>17.385999999999999</v>
      </c>
      <c r="AJ130" s="97">
        <v>45947</v>
      </c>
      <c r="AK130" t="s">
        <v>2546</v>
      </c>
      <c r="AL130" t="s">
        <v>5</v>
      </c>
      <c r="AN130" s="81" t="s">
        <v>2587</v>
      </c>
      <c r="AO130" s="81" t="s">
        <v>2587</v>
      </c>
      <c r="AP130" s="37">
        <v>3700</v>
      </c>
      <c r="AR130" s="38"/>
      <c r="AU130" s="97"/>
      <c r="AY130" s="81"/>
      <c r="AZ130" s="81"/>
      <c r="BA130" s="37"/>
      <c r="BC130" s="97"/>
    </row>
    <row r="131" spans="22:55" ht="16" x14ac:dyDescent="0.4">
      <c r="V131" s="97">
        <v>45941</v>
      </c>
      <c r="W131" s="16">
        <v>207373</v>
      </c>
      <c r="X131" s="101" t="s">
        <v>36</v>
      </c>
      <c r="Y131" s="105"/>
      <c r="Z131" s="50">
        <v>0.50069444444444444</v>
      </c>
      <c r="AA131" s="50">
        <v>0.60972222222222217</v>
      </c>
      <c r="AD131" s="37">
        <v>16240</v>
      </c>
      <c r="AE131" s="93">
        <f t="shared" si="29"/>
        <v>16.239999999999998</v>
      </c>
      <c r="AF131" s="16">
        <v>14.95</v>
      </c>
      <c r="AG131" s="103">
        <f t="shared" si="27"/>
        <v>14</v>
      </c>
      <c r="AH131" s="37">
        <f t="shared" si="28"/>
        <v>16.239999999999998</v>
      </c>
      <c r="AJ131" s="97">
        <v>45953</v>
      </c>
      <c r="AK131" t="s">
        <v>2589</v>
      </c>
      <c r="AL131" t="s">
        <v>5</v>
      </c>
      <c r="AN131" s="81" t="s">
        <v>2605</v>
      </c>
      <c r="AO131" s="81" t="s">
        <v>2605</v>
      </c>
      <c r="AP131" s="37">
        <v>3210</v>
      </c>
      <c r="AR131" s="38"/>
      <c r="AU131" s="97"/>
      <c r="AY131" s="81"/>
      <c r="AZ131" s="81"/>
      <c r="BA131" s="37"/>
      <c r="BC131" s="97"/>
    </row>
    <row r="132" spans="22:55" ht="16" x14ac:dyDescent="0.4">
      <c r="V132" s="97">
        <v>45941</v>
      </c>
      <c r="W132" s="16">
        <v>207401</v>
      </c>
      <c r="X132" s="101" t="s">
        <v>36</v>
      </c>
      <c r="Y132" s="105"/>
      <c r="Z132" s="50">
        <v>0.43124999999999997</v>
      </c>
      <c r="AA132" s="50">
        <v>0.66180555555555554</v>
      </c>
      <c r="AD132" s="37">
        <v>16586</v>
      </c>
      <c r="AE132" s="93">
        <f t="shared" si="29"/>
        <v>16.585999999999999</v>
      </c>
      <c r="AF132" s="16">
        <v>14.88</v>
      </c>
      <c r="AG132" s="103">
        <f t="shared" si="27"/>
        <v>14</v>
      </c>
      <c r="AH132" s="37">
        <f t="shared" si="28"/>
        <v>16.585999999999999</v>
      </c>
      <c r="AJ132" s="97">
        <v>45953</v>
      </c>
      <c r="AK132" t="s">
        <v>2590</v>
      </c>
      <c r="AL132" t="s">
        <v>5</v>
      </c>
      <c r="AN132" s="81" t="s">
        <v>2606</v>
      </c>
      <c r="AO132" s="81" t="s">
        <v>2606</v>
      </c>
      <c r="AP132" s="37">
        <v>2840</v>
      </c>
      <c r="AR132" s="38"/>
      <c r="AU132" s="97"/>
      <c r="AY132" s="81"/>
      <c r="AZ132" s="81"/>
      <c r="BA132" s="37"/>
      <c r="BC132" s="97"/>
    </row>
    <row r="133" spans="22:55" ht="16" x14ac:dyDescent="0.4">
      <c r="V133" s="97">
        <v>45941</v>
      </c>
      <c r="W133" s="16">
        <v>207424</v>
      </c>
      <c r="X133" s="101" t="s">
        <v>36</v>
      </c>
      <c r="Y133" s="105"/>
      <c r="Z133" s="50">
        <v>0.6479166666666667</v>
      </c>
      <c r="AA133" s="50">
        <v>0.71944444444444444</v>
      </c>
      <c r="AD133" s="37">
        <v>16560</v>
      </c>
      <c r="AE133" s="93">
        <f t="shared" si="29"/>
        <v>16.559999999999999</v>
      </c>
      <c r="AF133" s="16">
        <v>15.09</v>
      </c>
      <c r="AG133" s="103">
        <f t="shared" ref="AG133:AG196" si="30">IF($AF133&gt;14,14,$AF133)</f>
        <v>14</v>
      </c>
      <c r="AH133" s="37">
        <f t="shared" ref="AH133:AH193" si="31">AE133*AG133/14</f>
        <v>16.559999999999999</v>
      </c>
      <c r="AJ133" s="97">
        <v>45953</v>
      </c>
      <c r="AK133" t="s">
        <v>2591</v>
      </c>
      <c r="AL133" t="s">
        <v>5</v>
      </c>
      <c r="AN133" s="81" t="s">
        <v>2607</v>
      </c>
      <c r="AO133" s="81" t="s">
        <v>2607</v>
      </c>
      <c r="AP133" s="37">
        <v>3220</v>
      </c>
      <c r="AR133" s="38"/>
      <c r="AU133" s="97"/>
      <c r="AY133" s="81"/>
      <c r="AZ133" s="81"/>
      <c r="BA133" s="37"/>
      <c r="BC133" s="97"/>
    </row>
    <row r="134" spans="22:55" ht="16" x14ac:dyDescent="0.4">
      <c r="V134" s="97">
        <v>45941</v>
      </c>
      <c r="W134" s="16">
        <v>207439</v>
      </c>
      <c r="X134" s="101" t="s">
        <v>36</v>
      </c>
      <c r="Y134" s="105"/>
      <c r="Z134" s="50">
        <v>0.28015046296296298</v>
      </c>
      <c r="AA134" s="50">
        <v>0.7828356481481481</v>
      </c>
      <c r="AD134" s="37">
        <v>19064</v>
      </c>
      <c r="AE134" s="93">
        <f t="shared" si="29"/>
        <v>19.064</v>
      </c>
      <c r="AF134" s="16">
        <v>16.62</v>
      </c>
      <c r="AG134" s="103">
        <f t="shared" si="30"/>
        <v>14</v>
      </c>
      <c r="AH134" s="37">
        <f t="shared" si="31"/>
        <v>19.064</v>
      </c>
      <c r="AJ134" s="97">
        <v>45953</v>
      </c>
      <c r="AK134" t="s">
        <v>2592</v>
      </c>
      <c r="AL134" t="s">
        <v>5</v>
      </c>
      <c r="AN134" s="81" t="s">
        <v>2608</v>
      </c>
      <c r="AO134" s="81" t="s">
        <v>2608</v>
      </c>
      <c r="AP134" s="37">
        <v>2860</v>
      </c>
      <c r="AR134" s="38"/>
      <c r="AU134" s="97"/>
      <c r="AY134" s="81"/>
      <c r="AZ134" s="81"/>
      <c r="BA134" s="37"/>
      <c r="BC134" s="97"/>
    </row>
    <row r="135" spans="22:55" ht="16" x14ac:dyDescent="0.4">
      <c r="V135" s="97">
        <v>45941</v>
      </c>
      <c r="W135" s="16">
        <v>207472</v>
      </c>
      <c r="X135" s="101" t="s">
        <v>36</v>
      </c>
      <c r="Y135" s="105"/>
      <c r="Z135" s="50">
        <v>0.64806712962962965</v>
      </c>
      <c r="AA135" s="50">
        <v>0.84957175925925921</v>
      </c>
      <c r="AD135" s="37">
        <v>17406</v>
      </c>
      <c r="AE135" s="93">
        <f t="shared" si="29"/>
        <v>17.405999999999999</v>
      </c>
      <c r="AF135" s="16">
        <v>18.41</v>
      </c>
      <c r="AG135" s="103">
        <f t="shared" si="30"/>
        <v>14</v>
      </c>
      <c r="AH135" s="37">
        <f t="shared" si="31"/>
        <v>17.405999999999999</v>
      </c>
      <c r="AJ135" s="97">
        <v>45953</v>
      </c>
      <c r="AK135" t="s">
        <v>2593</v>
      </c>
      <c r="AL135" t="s">
        <v>5</v>
      </c>
      <c r="AN135" s="81" t="s">
        <v>2609</v>
      </c>
      <c r="AO135" s="81" t="s">
        <v>2609</v>
      </c>
      <c r="AP135" s="37">
        <v>3740</v>
      </c>
      <c r="AR135" s="38"/>
      <c r="AU135" s="97"/>
      <c r="AY135" s="81"/>
      <c r="AZ135" s="81"/>
      <c r="BA135" s="37"/>
      <c r="BC135" s="97"/>
    </row>
    <row r="136" spans="22:55" ht="16" x14ac:dyDescent="0.4">
      <c r="V136" s="97">
        <v>45941</v>
      </c>
      <c r="W136" s="16">
        <v>207495</v>
      </c>
      <c r="X136" s="101" t="s">
        <v>36</v>
      </c>
      <c r="Y136" s="105"/>
      <c r="Z136" s="50">
        <v>0.28031250000000002</v>
      </c>
      <c r="AA136" s="50">
        <v>0.90712962962962962</v>
      </c>
      <c r="AD136" s="37">
        <v>20152</v>
      </c>
      <c r="AE136" s="93">
        <f t="shared" si="29"/>
        <v>20.152000000000001</v>
      </c>
      <c r="AF136" s="16">
        <v>15.41</v>
      </c>
      <c r="AG136" s="103">
        <f t="shared" si="30"/>
        <v>14</v>
      </c>
      <c r="AH136" s="37">
        <f t="shared" si="31"/>
        <v>20.152000000000005</v>
      </c>
      <c r="AJ136" s="97">
        <v>45953</v>
      </c>
      <c r="AK136" t="s">
        <v>2594</v>
      </c>
      <c r="AL136" t="s">
        <v>5</v>
      </c>
      <c r="AN136" s="81" t="s">
        <v>2610</v>
      </c>
      <c r="AO136" s="81" t="s">
        <v>2610</v>
      </c>
      <c r="AP136" s="37">
        <v>5580</v>
      </c>
      <c r="AR136" s="38"/>
      <c r="AU136" s="97"/>
      <c r="AY136" s="81"/>
      <c r="AZ136" s="81"/>
      <c r="BA136" s="37"/>
      <c r="BC136" s="97"/>
    </row>
    <row r="137" spans="22:55" ht="16" x14ac:dyDescent="0.4">
      <c r="V137" s="97">
        <v>45941</v>
      </c>
      <c r="W137" s="16">
        <v>207516</v>
      </c>
      <c r="X137" s="101" t="s">
        <v>36</v>
      </c>
      <c r="Y137" s="105"/>
      <c r="Z137" s="50">
        <v>1.2719907407407407E-2</v>
      </c>
      <c r="AA137" s="50">
        <v>3.2407407407407406E-4</v>
      </c>
      <c r="AD137" s="37">
        <v>22032</v>
      </c>
      <c r="AE137" s="93">
        <f t="shared" si="29"/>
        <v>22.032</v>
      </c>
      <c r="AF137" s="16">
        <v>13.7</v>
      </c>
      <c r="AG137" s="103">
        <f t="shared" si="30"/>
        <v>13.7</v>
      </c>
      <c r="AH137" s="37">
        <f t="shared" si="31"/>
        <v>21.559885714285713</v>
      </c>
      <c r="AJ137" s="97">
        <v>45954</v>
      </c>
      <c r="AK137" t="s">
        <v>2595</v>
      </c>
      <c r="AL137" t="s">
        <v>5</v>
      </c>
      <c r="AN137" s="81" t="s">
        <v>2611</v>
      </c>
      <c r="AO137" s="81" t="s">
        <v>2611</v>
      </c>
      <c r="AP137" s="37">
        <v>3190</v>
      </c>
      <c r="AR137" s="38"/>
      <c r="AU137" s="97"/>
      <c r="AY137" s="81"/>
      <c r="AZ137" s="81"/>
      <c r="BA137" s="37"/>
      <c r="BC137" s="97"/>
    </row>
    <row r="138" spans="22:55" ht="16" x14ac:dyDescent="0.4">
      <c r="V138" s="97">
        <v>45942</v>
      </c>
      <c r="W138" s="16">
        <v>207525</v>
      </c>
      <c r="X138" s="101" t="s">
        <v>36</v>
      </c>
      <c r="Y138" s="105"/>
      <c r="Z138" s="102">
        <v>0.94396990740740738</v>
      </c>
      <c r="AA138" s="102">
        <v>5.4953703703703706E-2</v>
      </c>
      <c r="AB138" s="16"/>
      <c r="AC138" s="16"/>
      <c r="AD138" s="93">
        <v>20832</v>
      </c>
      <c r="AE138" s="93">
        <f t="shared" si="29"/>
        <v>20.832000000000001</v>
      </c>
      <c r="AF138" s="16">
        <v>14.77</v>
      </c>
      <c r="AG138" s="103">
        <f t="shared" si="30"/>
        <v>14</v>
      </c>
      <c r="AH138" s="37">
        <f t="shared" si="31"/>
        <v>20.832000000000001</v>
      </c>
      <c r="AJ138" s="97">
        <v>45954</v>
      </c>
      <c r="AK138" t="s">
        <v>2596</v>
      </c>
      <c r="AL138" t="s">
        <v>5</v>
      </c>
      <c r="AN138" s="81" t="s">
        <v>2612</v>
      </c>
      <c r="AO138" s="81" t="s">
        <v>2612</v>
      </c>
      <c r="AP138" s="37">
        <v>3140</v>
      </c>
      <c r="AR138" s="38"/>
      <c r="AU138" s="97"/>
      <c r="AY138" s="81"/>
      <c r="AZ138" s="81"/>
      <c r="BA138" s="37"/>
      <c r="BC138" s="97"/>
    </row>
    <row r="139" spans="22:55" ht="16" x14ac:dyDescent="0.4">
      <c r="V139" s="97">
        <v>45942</v>
      </c>
      <c r="W139" s="16">
        <v>207535</v>
      </c>
      <c r="X139" s="101" t="s">
        <v>36</v>
      </c>
      <c r="Y139" s="105"/>
      <c r="Z139" s="102">
        <v>3.7349537037037035E-2</v>
      </c>
      <c r="AA139" s="102">
        <v>0.10825231481481483</v>
      </c>
      <c r="AB139" s="16"/>
      <c r="AC139" s="16"/>
      <c r="AD139" s="93">
        <v>19762</v>
      </c>
      <c r="AE139" s="93">
        <f t="shared" si="29"/>
        <v>19.762</v>
      </c>
      <c r="AF139" s="16">
        <v>15.49</v>
      </c>
      <c r="AG139" s="103">
        <f t="shared" si="30"/>
        <v>14</v>
      </c>
      <c r="AH139" s="37">
        <f t="shared" si="31"/>
        <v>19.762</v>
      </c>
      <c r="AJ139" s="97">
        <v>45954</v>
      </c>
      <c r="AK139" t="s">
        <v>2597</v>
      </c>
      <c r="AL139" t="s">
        <v>5</v>
      </c>
      <c r="AN139" s="81" t="s">
        <v>2613</v>
      </c>
      <c r="AO139" s="81" t="s">
        <v>2614</v>
      </c>
      <c r="AP139" s="37">
        <v>3760</v>
      </c>
      <c r="AR139" s="38"/>
      <c r="AU139" s="97"/>
      <c r="AY139" s="81"/>
      <c r="AZ139" s="81"/>
      <c r="BA139" s="37"/>
      <c r="BC139" s="97"/>
    </row>
    <row r="140" spans="22:55" ht="16" x14ac:dyDescent="0.4">
      <c r="V140" s="97">
        <v>45942</v>
      </c>
      <c r="W140" s="16">
        <v>207540</v>
      </c>
      <c r="X140" s="101" t="s">
        <v>36</v>
      </c>
      <c r="Y140" s="105"/>
      <c r="Z140" s="102">
        <v>0.94428240740740732</v>
      </c>
      <c r="AA140" s="102">
        <v>0.15309027777777778</v>
      </c>
      <c r="AB140" s="16"/>
      <c r="AC140" s="16"/>
      <c r="AD140" s="93">
        <v>20142</v>
      </c>
      <c r="AE140" s="93">
        <f t="shared" si="29"/>
        <v>20.141999999999999</v>
      </c>
      <c r="AF140" s="16">
        <v>15.13</v>
      </c>
      <c r="AG140" s="103">
        <f t="shared" si="30"/>
        <v>14</v>
      </c>
      <c r="AH140" s="37">
        <f t="shared" si="31"/>
        <v>20.141999999999999</v>
      </c>
      <c r="AJ140" s="97">
        <v>45955</v>
      </c>
      <c r="AK140" t="s">
        <v>2598</v>
      </c>
      <c r="AL140" t="s">
        <v>5</v>
      </c>
      <c r="AN140" s="81" t="s">
        <v>2615</v>
      </c>
      <c r="AO140" s="81" t="s">
        <v>2615</v>
      </c>
      <c r="AP140" s="37">
        <v>1890</v>
      </c>
      <c r="AR140" s="38"/>
      <c r="AU140" s="97"/>
      <c r="AY140" s="81"/>
      <c r="AZ140" s="81"/>
      <c r="BA140" s="37"/>
      <c r="BC140" s="97"/>
    </row>
    <row r="141" spans="22:55" ht="16" x14ac:dyDescent="0.4">
      <c r="V141" s="97">
        <v>45942</v>
      </c>
      <c r="W141" s="16">
        <v>207542</v>
      </c>
      <c r="X141" s="101" t="s">
        <v>36</v>
      </c>
      <c r="Y141" s="105"/>
      <c r="Z141" s="102">
        <v>0.20788194444444444</v>
      </c>
      <c r="AA141" s="102"/>
      <c r="AB141" s="16"/>
      <c r="AC141" s="16"/>
      <c r="AD141" s="93">
        <v>19818</v>
      </c>
      <c r="AE141" s="93">
        <f t="shared" si="29"/>
        <v>19.818000000000001</v>
      </c>
      <c r="AF141" s="16">
        <v>14.52</v>
      </c>
      <c r="AG141" s="103">
        <f t="shared" si="30"/>
        <v>14</v>
      </c>
      <c r="AH141" s="37">
        <f t="shared" si="31"/>
        <v>19.818000000000001</v>
      </c>
      <c r="AJ141" s="97">
        <v>45955</v>
      </c>
      <c r="AK141" t="s">
        <v>2599</v>
      </c>
      <c r="AL141" t="s">
        <v>5</v>
      </c>
      <c r="AN141" s="81" t="s">
        <v>2616</v>
      </c>
      <c r="AO141" s="81" t="s">
        <v>2616</v>
      </c>
      <c r="AP141" s="48">
        <v>3280</v>
      </c>
      <c r="AR141" s="38"/>
      <c r="AU141" s="97"/>
      <c r="AY141" s="81"/>
      <c r="AZ141" s="81"/>
      <c r="BA141" s="48"/>
      <c r="BC141" s="97"/>
    </row>
    <row r="142" spans="22:55" ht="16" x14ac:dyDescent="0.4">
      <c r="V142" s="97">
        <v>45942</v>
      </c>
      <c r="W142" s="16">
        <v>207547</v>
      </c>
      <c r="X142" s="101" t="s">
        <v>36</v>
      </c>
      <c r="Y142" s="105"/>
      <c r="Z142" s="102">
        <v>0.69791666666666663</v>
      </c>
      <c r="AA142" s="102">
        <v>0.31180555555555556</v>
      </c>
      <c r="AB142" s="16"/>
      <c r="AC142" s="16"/>
      <c r="AD142" s="93">
        <v>11856</v>
      </c>
      <c r="AE142" s="93">
        <f t="shared" si="29"/>
        <v>11.856</v>
      </c>
      <c r="AF142" s="16">
        <v>14.88</v>
      </c>
      <c r="AG142" s="103">
        <f t="shared" si="30"/>
        <v>14</v>
      </c>
      <c r="AH142" s="37">
        <f t="shared" si="31"/>
        <v>11.856</v>
      </c>
      <c r="AJ142" s="97">
        <v>45955</v>
      </c>
      <c r="AK142" t="s">
        <v>2600</v>
      </c>
      <c r="AL142" t="s">
        <v>5</v>
      </c>
      <c r="AN142" s="81" t="s">
        <v>2617</v>
      </c>
      <c r="AO142" s="81" t="s">
        <v>2617</v>
      </c>
      <c r="AP142" s="48">
        <v>3360</v>
      </c>
      <c r="AR142" s="38"/>
      <c r="AU142" s="97"/>
      <c r="AY142" s="81"/>
      <c r="AZ142" s="81"/>
      <c r="BA142" s="48"/>
      <c r="BC142" s="97"/>
    </row>
    <row r="143" spans="22:55" ht="16" x14ac:dyDescent="0.4">
      <c r="V143" s="97">
        <v>45945</v>
      </c>
      <c r="W143">
        <v>208567</v>
      </c>
      <c r="X143" s="101" t="s">
        <v>36</v>
      </c>
      <c r="Y143" s="105"/>
      <c r="Z143" s="50">
        <v>0.94374999999999998</v>
      </c>
      <c r="AA143" s="50">
        <v>0.36319444444444443</v>
      </c>
      <c r="AB143" s="16"/>
      <c r="AC143" s="16"/>
      <c r="AD143" s="37">
        <v>22266</v>
      </c>
      <c r="AE143" s="93">
        <f t="shared" si="29"/>
        <v>22.265999999999998</v>
      </c>
      <c r="AF143" s="16">
        <v>15.91</v>
      </c>
      <c r="AG143" s="103">
        <f t="shared" si="30"/>
        <v>14</v>
      </c>
      <c r="AH143" s="37">
        <f t="shared" si="31"/>
        <v>22.265999999999998</v>
      </c>
      <c r="AJ143" s="97">
        <v>45955</v>
      </c>
      <c r="AK143" t="s">
        <v>2601</v>
      </c>
      <c r="AL143" t="s">
        <v>5</v>
      </c>
      <c r="AN143" s="81" t="s">
        <v>2618</v>
      </c>
      <c r="AO143" s="81" t="s">
        <v>2618</v>
      </c>
      <c r="AP143" s="48">
        <v>5470</v>
      </c>
      <c r="AR143" s="38"/>
      <c r="AU143" s="97"/>
      <c r="AY143" s="81"/>
      <c r="AZ143" s="81"/>
      <c r="BA143" s="48"/>
      <c r="BC143" s="97"/>
    </row>
    <row r="144" spans="22:55" ht="16" x14ac:dyDescent="0.4">
      <c r="V144" s="97">
        <v>45945</v>
      </c>
      <c r="W144">
        <v>208640</v>
      </c>
      <c r="X144" s="101" t="s">
        <v>36</v>
      </c>
      <c r="Y144" s="105"/>
      <c r="Z144" s="50">
        <v>3.7499999999999999E-2</v>
      </c>
      <c r="AA144" s="50">
        <v>0.43263888888888885</v>
      </c>
      <c r="AB144" s="16"/>
      <c r="AC144" s="16"/>
      <c r="AD144" s="37">
        <v>21910</v>
      </c>
      <c r="AE144" s="93">
        <f t="shared" si="29"/>
        <v>21.91</v>
      </c>
      <c r="AF144" s="16">
        <v>14.34</v>
      </c>
      <c r="AG144" s="103">
        <f t="shared" si="30"/>
        <v>14</v>
      </c>
      <c r="AH144" s="37">
        <f t="shared" si="31"/>
        <v>21.91</v>
      </c>
      <c r="AJ144" s="97">
        <v>45955</v>
      </c>
      <c r="AK144" t="s">
        <v>2602</v>
      </c>
      <c r="AL144" t="s">
        <v>5</v>
      </c>
      <c r="AN144" s="81" t="s">
        <v>2619</v>
      </c>
      <c r="AO144" s="81" t="s">
        <v>2619</v>
      </c>
      <c r="AP144" s="48">
        <v>2870</v>
      </c>
      <c r="AR144" s="38"/>
      <c r="AU144" s="97"/>
      <c r="AY144" s="81"/>
      <c r="AZ144" s="81"/>
      <c r="BA144" s="48"/>
      <c r="BC144" s="97"/>
    </row>
    <row r="145" spans="22:55" ht="16" x14ac:dyDescent="0.4">
      <c r="V145" s="97">
        <v>45945</v>
      </c>
      <c r="W145">
        <v>208691</v>
      </c>
      <c r="X145" s="101" t="s">
        <v>36</v>
      </c>
      <c r="Y145" s="105"/>
      <c r="Z145" s="50">
        <v>0.41875000000000001</v>
      </c>
      <c r="AA145" s="50">
        <v>0.51736111111111105</v>
      </c>
      <c r="AB145" s="16"/>
      <c r="AC145" s="16"/>
      <c r="AD145" s="37">
        <v>21008</v>
      </c>
      <c r="AE145" s="93">
        <f t="shared" si="29"/>
        <v>21.007999999999999</v>
      </c>
      <c r="AF145" s="16">
        <v>15.31</v>
      </c>
      <c r="AG145" s="103">
        <f t="shared" si="30"/>
        <v>14</v>
      </c>
      <c r="AH145" s="37">
        <f t="shared" si="31"/>
        <v>21.007999999999999</v>
      </c>
      <c r="AJ145" s="97">
        <v>45955</v>
      </c>
      <c r="AK145" t="s">
        <v>2603</v>
      </c>
      <c r="AL145" t="s">
        <v>5</v>
      </c>
      <c r="AN145" s="81" t="s">
        <v>2620</v>
      </c>
      <c r="AO145" s="81" t="s">
        <v>2620</v>
      </c>
      <c r="AP145" s="48">
        <v>2870</v>
      </c>
      <c r="AR145" s="38"/>
      <c r="AU145" s="97"/>
      <c r="AY145" s="81"/>
      <c r="AZ145" s="81"/>
      <c r="BA145" s="48"/>
      <c r="BC145" s="97"/>
    </row>
    <row r="146" spans="22:55" ht="16" x14ac:dyDescent="0.4">
      <c r="V146" s="97">
        <v>45945</v>
      </c>
      <c r="W146">
        <v>208726</v>
      </c>
      <c r="X146" s="101" t="s">
        <v>36</v>
      </c>
      <c r="Y146" s="105"/>
      <c r="Z146" s="50">
        <v>3.6805555555555557E-2</v>
      </c>
      <c r="AA146" s="50">
        <v>0.57500000000000007</v>
      </c>
      <c r="AB146" s="16"/>
      <c r="AC146" s="16"/>
      <c r="AD146" s="37">
        <v>19708</v>
      </c>
      <c r="AE146" s="93">
        <f t="shared" si="29"/>
        <v>19.707999999999998</v>
      </c>
      <c r="AF146" s="16">
        <v>15.04</v>
      </c>
      <c r="AG146" s="103">
        <f t="shared" si="30"/>
        <v>14</v>
      </c>
      <c r="AH146" s="37">
        <f t="shared" si="31"/>
        <v>19.707999999999998</v>
      </c>
      <c r="AJ146" s="97">
        <v>45955</v>
      </c>
      <c r="AK146" t="s">
        <v>2604</v>
      </c>
      <c r="AL146" t="s">
        <v>5</v>
      </c>
      <c r="AN146" s="81" t="s">
        <v>2621</v>
      </c>
      <c r="AO146" s="81" t="s">
        <v>2621</v>
      </c>
      <c r="AP146" s="48">
        <v>4740</v>
      </c>
      <c r="AR146" s="38"/>
      <c r="AU146" s="97"/>
      <c r="AY146" s="81"/>
      <c r="AZ146" s="81"/>
      <c r="BA146" s="48"/>
      <c r="BC146" s="97"/>
    </row>
    <row r="147" spans="22:55" ht="16" x14ac:dyDescent="0.4">
      <c r="V147" s="97">
        <v>45945</v>
      </c>
      <c r="W147">
        <v>208791</v>
      </c>
      <c r="X147" s="101" t="s">
        <v>36</v>
      </c>
      <c r="Y147" s="105"/>
      <c r="Z147" s="50">
        <v>0.41875000000000001</v>
      </c>
      <c r="AA147" s="50">
        <v>0.63888888888888895</v>
      </c>
      <c r="AB147" s="16"/>
      <c r="AC147" s="16"/>
      <c r="AD147" s="37">
        <v>21836</v>
      </c>
      <c r="AE147" s="93">
        <f t="shared" si="29"/>
        <v>21.835999999999999</v>
      </c>
      <c r="AF147" s="16">
        <v>14.52</v>
      </c>
      <c r="AG147" s="103">
        <f t="shared" si="30"/>
        <v>14</v>
      </c>
      <c r="AH147" s="37">
        <f t="shared" si="31"/>
        <v>21.835999999999995</v>
      </c>
      <c r="AJ147" s="97">
        <v>45957</v>
      </c>
      <c r="AK147" t="s">
        <v>2622</v>
      </c>
      <c r="AL147" t="s">
        <v>5</v>
      </c>
      <c r="AN147" t="s">
        <v>2656</v>
      </c>
      <c r="AO147" t="s">
        <v>2656</v>
      </c>
      <c r="AP147" s="56">
        <v>3220</v>
      </c>
      <c r="AR147" s="38"/>
      <c r="AU147" s="97"/>
      <c r="AY147" s="81"/>
      <c r="AZ147" s="81"/>
      <c r="BA147" s="48"/>
      <c r="BC147" s="97"/>
    </row>
    <row r="148" spans="22:55" ht="16" x14ac:dyDescent="0.4">
      <c r="V148" s="97">
        <v>45945</v>
      </c>
      <c r="W148">
        <v>208829</v>
      </c>
      <c r="X148" s="101" t="s">
        <v>36</v>
      </c>
      <c r="Y148" s="105"/>
      <c r="Z148" s="50">
        <v>0.62569444444444444</v>
      </c>
      <c r="AA148" s="50">
        <v>0.69791666666666663</v>
      </c>
      <c r="AB148" s="16"/>
      <c r="AC148" s="16"/>
      <c r="AD148" s="37">
        <v>19800</v>
      </c>
      <c r="AE148" s="93">
        <f t="shared" si="29"/>
        <v>19.8</v>
      </c>
      <c r="AF148" s="16">
        <v>14.69</v>
      </c>
      <c r="AG148" s="103">
        <f t="shared" si="30"/>
        <v>14</v>
      </c>
      <c r="AH148" s="37">
        <f t="shared" si="31"/>
        <v>19.8</v>
      </c>
      <c r="AJ148" s="97">
        <v>45957</v>
      </c>
      <c r="AK148" t="s">
        <v>2623</v>
      </c>
      <c r="AL148" t="s">
        <v>5</v>
      </c>
      <c r="AN148" t="s">
        <v>2657</v>
      </c>
      <c r="AO148" t="s">
        <v>2657</v>
      </c>
      <c r="AP148" s="56">
        <v>2900</v>
      </c>
      <c r="AR148" s="38"/>
      <c r="AU148" s="97"/>
      <c r="AY148" s="81"/>
      <c r="AZ148" s="81"/>
      <c r="BA148" s="48"/>
      <c r="BC148" s="97"/>
    </row>
    <row r="149" spans="22:55" ht="16" x14ac:dyDescent="0.4">
      <c r="V149" s="97">
        <v>45945</v>
      </c>
      <c r="W149">
        <v>208855</v>
      </c>
      <c r="X149" s="101" t="s">
        <v>36</v>
      </c>
      <c r="Y149" s="105"/>
      <c r="Z149" s="50">
        <v>0.41940972222222223</v>
      </c>
      <c r="AA149" s="50">
        <v>0.77003472222222225</v>
      </c>
      <c r="AB149" s="16"/>
      <c r="AC149" s="16"/>
      <c r="AD149" s="37">
        <v>19122</v>
      </c>
      <c r="AE149" s="93">
        <f t="shared" si="29"/>
        <v>19.122</v>
      </c>
      <c r="AF149" s="16">
        <v>16.91</v>
      </c>
      <c r="AG149" s="103">
        <f t="shared" si="30"/>
        <v>14</v>
      </c>
      <c r="AH149" s="37">
        <f t="shared" si="31"/>
        <v>19.121999999999996</v>
      </c>
      <c r="AJ149" s="97">
        <v>45957</v>
      </c>
      <c r="AK149" t="s">
        <v>2624</v>
      </c>
      <c r="AL149" t="s">
        <v>5</v>
      </c>
      <c r="AN149" t="s">
        <v>2658</v>
      </c>
      <c r="AO149" t="s">
        <v>2658</v>
      </c>
      <c r="AP149" s="56">
        <v>2760</v>
      </c>
      <c r="AR149" s="38"/>
      <c r="AU149" s="97"/>
      <c r="AY149" s="81"/>
      <c r="AZ149" s="81"/>
      <c r="BA149" s="48"/>
      <c r="BC149" s="97"/>
    </row>
    <row r="150" spans="22:55" ht="16" x14ac:dyDescent="0.4">
      <c r="V150" s="97">
        <v>45945</v>
      </c>
      <c r="W150">
        <v>208880</v>
      </c>
      <c r="X150" s="101" t="s">
        <v>36</v>
      </c>
      <c r="Y150" s="105"/>
      <c r="Z150" s="50">
        <v>0.25703703703703701</v>
      </c>
      <c r="AA150" s="50">
        <v>0.8230439814814815</v>
      </c>
      <c r="AB150" s="16"/>
      <c r="AC150" s="16"/>
      <c r="AD150" s="37">
        <v>20450</v>
      </c>
      <c r="AE150" s="93">
        <f t="shared" si="29"/>
        <v>20.45</v>
      </c>
      <c r="AF150" s="16">
        <v>15.38</v>
      </c>
      <c r="AG150" s="103">
        <f t="shared" si="30"/>
        <v>14</v>
      </c>
      <c r="AH150" s="37">
        <f t="shared" si="31"/>
        <v>20.45</v>
      </c>
      <c r="AJ150" s="97">
        <v>45957</v>
      </c>
      <c r="AK150" t="s">
        <v>2625</v>
      </c>
      <c r="AL150" t="s">
        <v>5</v>
      </c>
      <c r="AN150" t="s">
        <v>2659</v>
      </c>
      <c r="AO150" t="s">
        <v>2659</v>
      </c>
      <c r="AP150" s="56">
        <v>2980</v>
      </c>
      <c r="AR150" s="38"/>
      <c r="AU150" s="97"/>
      <c r="AY150" s="81"/>
      <c r="AZ150" s="81"/>
      <c r="BA150" s="48"/>
      <c r="BC150" s="97"/>
    </row>
    <row r="151" spans="22:55" ht="16" x14ac:dyDescent="0.4">
      <c r="V151" s="97">
        <v>45945</v>
      </c>
      <c r="W151">
        <v>208916</v>
      </c>
      <c r="X151" s="101" t="s">
        <v>36</v>
      </c>
      <c r="Y151" s="105"/>
      <c r="Z151" s="50">
        <v>0.24258101851851852</v>
      </c>
      <c r="AA151" s="50">
        <v>0.87887731481481479</v>
      </c>
      <c r="AB151" s="16"/>
      <c r="AC151" s="16"/>
      <c r="AD151" s="37">
        <v>18834</v>
      </c>
      <c r="AE151" s="93">
        <f t="shared" si="29"/>
        <v>18.834</v>
      </c>
      <c r="AF151" s="16">
        <v>17.13</v>
      </c>
      <c r="AG151" s="103">
        <f t="shared" si="30"/>
        <v>14</v>
      </c>
      <c r="AH151" s="37">
        <f t="shared" si="31"/>
        <v>18.834</v>
      </c>
      <c r="AJ151" s="97">
        <v>45957</v>
      </c>
      <c r="AK151" t="s">
        <v>2626</v>
      </c>
      <c r="AL151" t="s">
        <v>5</v>
      </c>
      <c r="AN151" t="s">
        <v>2660</v>
      </c>
      <c r="AO151" t="s">
        <v>2660</v>
      </c>
      <c r="AP151" s="56">
        <v>5220</v>
      </c>
      <c r="AR151" s="38"/>
      <c r="AU151" s="97"/>
      <c r="AY151" s="81"/>
      <c r="AZ151" s="81"/>
      <c r="BA151" s="48"/>
      <c r="BC151" s="97"/>
    </row>
    <row r="152" spans="22:55" ht="16" x14ac:dyDescent="0.4">
      <c r="V152" s="97">
        <v>45945</v>
      </c>
      <c r="W152">
        <v>208944</v>
      </c>
      <c r="X152" s="101" t="s">
        <v>36</v>
      </c>
      <c r="Y152" s="105"/>
      <c r="Z152" s="50">
        <v>0.8558217592592593</v>
      </c>
      <c r="AA152" s="50">
        <v>0.96907407407407409</v>
      </c>
      <c r="AB152" s="16"/>
      <c r="AC152" s="16"/>
      <c r="AD152" s="37">
        <v>19434</v>
      </c>
      <c r="AE152" s="93">
        <f t="shared" si="29"/>
        <v>19.434000000000001</v>
      </c>
      <c r="AF152" s="16">
        <v>15.49</v>
      </c>
      <c r="AG152" s="103">
        <f t="shared" si="30"/>
        <v>14</v>
      </c>
      <c r="AH152" s="37">
        <f t="shared" si="31"/>
        <v>19.434000000000001</v>
      </c>
      <c r="AJ152" s="97">
        <v>45957</v>
      </c>
      <c r="AK152" t="s">
        <v>2627</v>
      </c>
      <c r="AL152" t="s">
        <v>5</v>
      </c>
      <c r="AN152" t="s">
        <v>2661</v>
      </c>
      <c r="AO152" t="s">
        <v>2662</v>
      </c>
      <c r="AP152" s="56">
        <v>3420</v>
      </c>
      <c r="AR152" s="38"/>
      <c r="AU152" s="97"/>
      <c r="AY152" s="81"/>
      <c r="AZ152" s="81"/>
      <c r="BA152" s="48"/>
      <c r="BC152" s="97"/>
    </row>
    <row r="153" spans="22:55" ht="16" x14ac:dyDescent="0.4">
      <c r="V153" s="97">
        <v>45946</v>
      </c>
      <c r="W153">
        <v>208953</v>
      </c>
      <c r="X153" s="101" t="s">
        <v>36</v>
      </c>
      <c r="Y153" s="105"/>
      <c r="Z153" s="50">
        <v>0.90893518518518512</v>
      </c>
      <c r="AA153" s="50">
        <v>2.9305555555555557E-2</v>
      </c>
      <c r="AB153" s="16"/>
      <c r="AC153" s="16"/>
      <c r="AD153" s="37">
        <v>18892</v>
      </c>
      <c r="AE153" s="93">
        <f t="shared" si="29"/>
        <v>18.891999999999999</v>
      </c>
      <c r="AF153" s="16">
        <v>16.16</v>
      </c>
      <c r="AG153" s="103">
        <f t="shared" si="30"/>
        <v>14</v>
      </c>
      <c r="AH153" s="37">
        <f t="shared" si="31"/>
        <v>18.891999999999999</v>
      </c>
      <c r="AJ153" s="97">
        <v>45957</v>
      </c>
      <c r="AK153" t="s">
        <v>2628</v>
      </c>
      <c r="AL153" t="s">
        <v>5</v>
      </c>
      <c r="AN153" t="s">
        <v>2663</v>
      </c>
      <c r="AO153" t="s">
        <v>2663</v>
      </c>
      <c r="AP153" s="56">
        <v>3170</v>
      </c>
      <c r="AR153" s="38"/>
      <c r="AU153" s="97"/>
      <c r="AY153" s="81"/>
      <c r="AZ153" s="81"/>
      <c r="BA153" s="48"/>
      <c r="BC153" s="97"/>
    </row>
    <row r="154" spans="22:55" ht="16" x14ac:dyDescent="0.4">
      <c r="V154" s="97">
        <v>45946</v>
      </c>
      <c r="W154">
        <v>208967</v>
      </c>
      <c r="X154" s="101" t="s">
        <v>36</v>
      </c>
      <c r="Y154" s="105"/>
      <c r="Z154" s="50">
        <v>0.99866898148148142</v>
      </c>
      <c r="AA154" s="50">
        <v>8.0810185185185179E-2</v>
      </c>
      <c r="AB154" s="16"/>
      <c r="AC154" s="16"/>
      <c r="AD154" s="37">
        <v>18230</v>
      </c>
      <c r="AE154" s="93">
        <f t="shared" si="29"/>
        <v>18.23</v>
      </c>
      <c r="AF154" s="16">
        <v>15.27</v>
      </c>
      <c r="AG154" s="103">
        <f t="shared" si="30"/>
        <v>14</v>
      </c>
      <c r="AH154" s="37">
        <f t="shared" si="31"/>
        <v>18.23</v>
      </c>
      <c r="AJ154" s="97">
        <v>45957</v>
      </c>
      <c r="AK154" t="s">
        <v>2629</v>
      </c>
      <c r="AL154" t="s">
        <v>5</v>
      </c>
      <c r="AN154" t="s">
        <v>2664</v>
      </c>
      <c r="AO154" t="s">
        <v>2664</v>
      </c>
      <c r="AP154" s="56">
        <v>2940</v>
      </c>
      <c r="AR154" s="38"/>
      <c r="AU154" s="38"/>
      <c r="AY154" s="81"/>
      <c r="AZ154" s="81"/>
      <c r="BA154" s="48"/>
      <c r="BC154" s="38"/>
    </row>
    <row r="155" spans="22:55" ht="16" x14ac:dyDescent="0.4">
      <c r="V155" s="97">
        <v>45946</v>
      </c>
      <c r="W155">
        <v>208974</v>
      </c>
      <c r="X155" s="101" t="s">
        <v>36</v>
      </c>
      <c r="Y155" s="110"/>
      <c r="Z155" s="50">
        <v>5.7939814814814812E-2</v>
      </c>
      <c r="AA155" s="50">
        <v>0.14607638888888888</v>
      </c>
      <c r="AB155" s="17"/>
      <c r="AC155" s="17"/>
      <c r="AD155" s="37">
        <v>18850</v>
      </c>
      <c r="AE155" s="93">
        <f t="shared" si="29"/>
        <v>18.850000000000001</v>
      </c>
      <c r="AF155" s="16">
        <v>16.809999999999999</v>
      </c>
      <c r="AG155" s="103">
        <f t="shared" si="30"/>
        <v>14</v>
      </c>
      <c r="AH155" s="37">
        <f t="shared" si="31"/>
        <v>18.850000000000001</v>
      </c>
      <c r="AJ155" s="97">
        <v>45958</v>
      </c>
      <c r="AK155" t="s">
        <v>2630</v>
      </c>
      <c r="AL155" t="s">
        <v>5</v>
      </c>
      <c r="AN155" t="s">
        <v>2665</v>
      </c>
      <c r="AO155" t="s">
        <v>2665</v>
      </c>
      <c r="AP155" s="56">
        <v>4830</v>
      </c>
      <c r="AR155" s="38"/>
      <c r="AU155" s="38"/>
      <c r="AY155" s="81"/>
      <c r="AZ155" s="81"/>
      <c r="BA155" s="48"/>
      <c r="BC155" s="38"/>
    </row>
    <row r="156" spans="22:55" ht="16" x14ac:dyDescent="0.4">
      <c r="V156" s="97">
        <v>45946</v>
      </c>
      <c r="W156">
        <v>208984</v>
      </c>
      <c r="X156" s="101" t="s">
        <v>36</v>
      </c>
      <c r="Y156" s="105"/>
      <c r="Z156" s="50">
        <v>0.10910879629629629</v>
      </c>
      <c r="AA156" s="50">
        <v>0.20675925925925928</v>
      </c>
      <c r="AB156" s="16"/>
      <c r="AC156" s="16"/>
      <c r="AD156" s="37">
        <v>17600</v>
      </c>
      <c r="AE156" s="93">
        <f t="shared" si="29"/>
        <v>17.600000000000001</v>
      </c>
      <c r="AF156" s="16">
        <v>15.2</v>
      </c>
      <c r="AG156" s="103">
        <f t="shared" si="30"/>
        <v>14</v>
      </c>
      <c r="AH156" s="37">
        <f t="shared" si="31"/>
        <v>17.600000000000001</v>
      </c>
      <c r="AJ156" s="97">
        <v>45958</v>
      </c>
      <c r="AK156" t="s">
        <v>2631</v>
      </c>
      <c r="AL156" t="s">
        <v>5</v>
      </c>
      <c r="AN156" t="s">
        <v>2666</v>
      </c>
      <c r="AO156" t="s">
        <v>2666</v>
      </c>
      <c r="AP156" s="56">
        <v>2920</v>
      </c>
      <c r="AR156" s="38"/>
      <c r="AU156" s="38"/>
      <c r="AY156" s="81"/>
      <c r="AZ156" s="81"/>
      <c r="BA156" s="48"/>
      <c r="BC156" s="38"/>
    </row>
    <row r="157" spans="22:55" ht="16" x14ac:dyDescent="0.4">
      <c r="V157" s="97">
        <v>45946</v>
      </c>
      <c r="W157">
        <v>209012</v>
      </c>
      <c r="X157" s="101" t="s">
        <v>36</v>
      </c>
      <c r="Y157" s="105"/>
      <c r="Z157" s="50">
        <v>0.27777777777777779</v>
      </c>
      <c r="AA157" s="50">
        <v>0.31597222222222221</v>
      </c>
      <c r="AB157" s="16"/>
      <c r="AC157" s="16"/>
      <c r="AD157" s="37">
        <v>21702</v>
      </c>
      <c r="AE157" s="93">
        <f t="shared" si="29"/>
        <v>21.702000000000002</v>
      </c>
      <c r="AF157" s="16">
        <v>14.66</v>
      </c>
      <c r="AG157" s="103">
        <f t="shared" si="30"/>
        <v>14</v>
      </c>
      <c r="AH157" s="37">
        <f t="shared" si="31"/>
        <v>21.702000000000002</v>
      </c>
      <c r="AJ157" s="97">
        <v>45958</v>
      </c>
      <c r="AK157" t="s">
        <v>2632</v>
      </c>
      <c r="AL157" t="s">
        <v>5</v>
      </c>
      <c r="AN157" t="s">
        <v>2667</v>
      </c>
      <c r="AO157" t="s">
        <v>2667</v>
      </c>
      <c r="AP157" s="56">
        <v>2740</v>
      </c>
      <c r="AR157" s="38"/>
      <c r="AU157" s="38"/>
      <c r="AY157" s="81"/>
      <c r="AZ157" s="81"/>
      <c r="BA157" s="48"/>
      <c r="BC157" s="38"/>
    </row>
    <row r="158" spans="22:55" ht="16" x14ac:dyDescent="0.4">
      <c r="V158" s="97">
        <v>45946</v>
      </c>
      <c r="W158">
        <v>209078</v>
      </c>
      <c r="X158" s="101" t="s">
        <v>36</v>
      </c>
      <c r="Y158" s="105"/>
      <c r="Z158" s="50">
        <v>0.26041666666666669</v>
      </c>
      <c r="AA158" s="50">
        <v>0.37847222222222227</v>
      </c>
      <c r="AB158" s="16"/>
      <c r="AC158" s="16"/>
      <c r="AD158" s="37">
        <v>17134</v>
      </c>
      <c r="AE158" s="93">
        <f t="shared" si="29"/>
        <v>17.134</v>
      </c>
      <c r="AF158" s="16">
        <v>16.86</v>
      </c>
      <c r="AG158" s="103">
        <f t="shared" si="30"/>
        <v>14</v>
      </c>
      <c r="AH158" s="37">
        <f t="shared" si="31"/>
        <v>17.134</v>
      </c>
      <c r="AJ158" s="97">
        <v>45958</v>
      </c>
      <c r="AK158" t="s">
        <v>2633</v>
      </c>
      <c r="AL158" t="s">
        <v>5</v>
      </c>
      <c r="AN158" t="s">
        <v>2668</v>
      </c>
      <c r="AO158" t="s">
        <v>2668</v>
      </c>
      <c r="AP158" s="56">
        <v>3340</v>
      </c>
      <c r="AR158" s="38"/>
      <c r="AU158" s="38"/>
      <c r="AY158" s="81"/>
      <c r="AZ158" s="81"/>
      <c r="BA158" s="48"/>
      <c r="BC158" s="38"/>
    </row>
    <row r="159" spans="22:55" ht="16" x14ac:dyDescent="0.4">
      <c r="V159" s="97">
        <v>45946</v>
      </c>
      <c r="W159">
        <v>209139</v>
      </c>
      <c r="X159" s="101" t="s">
        <v>36</v>
      </c>
      <c r="Y159" s="105"/>
      <c r="Z159" s="50">
        <v>0.36805555555555558</v>
      </c>
      <c r="AA159" s="50">
        <v>0.46666666666666662</v>
      </c>
      <c r="AB159" s="16"/>
      <c r="AC159" s="16"/>
      <c r="AD159" s="37">
        <v>21214</v>
      </c>
      <c r="AE159" s="93">
        <f t="shared" si="29"/>
        <v>21.213999999999999</v>
      </c>
      <c r="AF159" s="16">
        <v>15.52</v>
      </c>
      <c r="AG159" s="103">
        <f t="shared" si="30"/>
        <v>14</v>
      </c>
      <c r="AH159" s="37">
        <f t="shared" si="31"/>
        <v>21.213999999999999</v>
      </c>
      <c r="AJ159" s="38">
        <v>45958</v>
      </c>
      <c r="AK159" t="s">
        <v>2634</v>
      </c>
      <c r="AL159" t="s">
        <v>5</v>
      </c>
      <c r="AN159" t="s">
        <v>2669</v>
      </c>
      <c r="AO159" t="s">
        <v>2670</v>
      </c>
      <c r="AP159" s="56">
        <v>3080</v>
      </c>
      <c r="AQ159" s="39"/>
      <c r="AR159" s="38"/>
      <c r="AU159" s="38"/>
      <c r="AY159" s="81"/>
      <c r="AZ159" s="81"/>
      <c r="BA159" s="48"/>
      <c r="BB159" s="39"/>
      <c r="BC159" s="38"/>
    </row>
    <row r="160" spans="22:55" ht="16" x14ac:dyDescent="0.4">
      <c r="V160" s="97">
        <v>45946</v>
      </c>
      <c r="W160">
        <v>209163</v>
      </c>
      <c r="X160" s="101" t="s">
        <v>36</v>
      </c>
      <c r="Y160" s="105"/>
      <c r="Z160" s="50">
        <v>0.43472222222222223</v>
      </c>
      <c r="AA160" s="50">
        <v>0.53472222222222221</v>
      </c>
      <c r="AB160" s="16"/>
      <c r="AC160" s="16"/>
      <c r="AD160" s="37">
        <v>20016</v>
      </c>
      <c r="AE160" s="93">
        <f t="shared" si="29"/>
        <v>20.015999999999998</v>
      </c>
      <c r="AF160" s="16">
        <v>14.27</v>
      </c>
      <c r="AG160" s="103">
        <f t="shared" si="30"/>
        <v>14</v>
      </c>
      <c r="AH160" s="37">
        <f t="shared" si="31"/>
        <v>20.015999999999998</v>
      </c>
      <c r="AJ160" s="38">
        <v>45958</v>
      </c>
      <c r="AK160" t="s">
        <v>2635</v>
      </c>
      <c r="AL160" t="s">
        <v>5</v>
      </c>
      <c r="AN160" t="s">
        <v>2671</v>
      </c>
      <c r="AO160" t="s">
        <v>2671</v>
      </c>
      <c r="AP160" s="56">
        <v>2610</v>
      </c>
      <c r="AR160" s="38"/>
      <c r="AU160" s="38"/>
      <c r="AY160" s="81"/>
      <c r="AZ160" s="81"/>
      <c r="BA160" s="48"/>
      <c r="BC160" s="38"/>
    </row>
    <row r="161" spans="22:55" ht="16" x14ac:dyDescent="0.4">
      <c r="V161" s="97">
        <v>45946</v>
      </c>
      <c r="W161">
        <v>209225</v>
      </c>
      <c r="X161" s="101" t="s">
        <v>36</v>
      </c>
      <c r="Y161" s="105"/>
      <c r="Z161" s="50">
        <v>0.36249999999999999</v>
      </c>
      <c r="AA161" s="50">
        <v>0.60069444444444442</v>
      </c>
      <c r="AB161" s="16"/>
      <c r="AC161" s="16"/>
      <c r="AD161" s="37">
        <v>20204</v>
      </c>
      <c r="AE161" s="93">
        <f t="shared" si="29"/>
        <v>20.204000000000001</v>
      </c>
      <c r="AF161" s="16">
        <v>14.02</v>
      </c>
      <c r="AG161" s="103">
        <f t="shared" si="30"/>
        <v>14</v>
      </c>
      <c r="AH161" s="37">
        <f t="shared" si="31"/>
        <v>20.204000000000001</v>
      </c>
      <c r="AJ161" s="38">
        <v>45958</v>
      </c>
      <c r="AK161" t="s">
        <v>2636</v>
      </c>
      <c r="AL161" t="s">
        <v>5</v>
      </c>
      <c r="AN161" t="s">
        <v>2672</v>
      </c>
      <c r="AO161" t="s">
        <v>2673</v>
      </c>
      <c r="AP161" s="56">
        <v>4680</v>
      </c>
      <c r="AR161" s="38"/>
      <c r="AU161" s="38"/>
      <c r="AY161" s="81"/>
      <c r="AZ161" s="81"/>
      <c r="BA161" s="48"/>
      <c r="BC161" s="38"/>
    </row>
    <row r="162" spans="22:55" ht="16" x14ac:dyDescent="0.4">
      <c r="V162" s="97">
        <v>45946</v>
      </c>
      <c r="W162">
        <v>209273</v>
      </c>
      <c r="X162" s="101" t="s">
        <v>36</v>
      </c>
      <c r="Y162" s="105"/>
      <c r="Z162" s="50">
        <v>0.43055555555555558</v>
      </c>
      <c r="AA162" s="50">
        <v>0.65763888888888888</v>
      </c>
      <c r="AB162" s="16"/>
      <c r="AC162" s="16"/>
      <c r="AD162" s="37">
        <v>20112</v>
      </c>
      <c r="AE162" s="93">
        <f t="shared" si="29"/>
        <v>20.111999999999998</v>
      </c>
      <c r="AF162" s="16">
        <v>14.09</v>
      </c>
      <c r="AG162" s="103">
        <f t="shared" si="30"/>
        <v>14</v>
      </c>
      <c r="AH162" s="37">
        <f t="shared" si="31"/>
        <v>20.111999999999998</v>
      </c>
      <c r="AJ162" s="38">
        <v>45959</v>
      </c>
      <c r="AK162" t="s">
        <v>2637</v>
      </c>
      <c r="AL162" t="s">
        <v>5</v>
      </c>
      <c r="AN162" t="s">
        <v>2674</v>
      </c>
      <c r="AO162" t="s">
        <v>2674</v>
      </c>
      <c r="AP162" s="56">
        <v>3190</v>
      </c>
      <c r="AR162" s="38"/>
      <c r="AU162" s="38"/>
      <c r="AY162" s="81"/>
      <c r="AZ162" s="81"/>
      <c r="BA162" s="48"/>
      <c r="BC162" s="38"/>
    </row>
    <row r="163" spans="22:55" ht="16" x14ac:dyDescent="0.4">
      <c r="V163" s="97">
        <v>45946</v>
      </c>
      <c r="W163">
        <v>209299</v>
      </c>
      <c r="X163" s="101" t="s">
        <v>36</v>
      </c>
      <c r="Y163" s="105"/>
      <c r="Z163" s="50">
        <v>0.36805555555555558</v>
      </c>
      <c r="AA163" s="50">
        <v>0.72222222222222221</v>
      </c>
      <c r="AB163" s="16"/>
      <c r="AC163" s="16"/>
      <c r="AD163" s="37">
        <v>17164</v>
      </c>
      <c r="AE163" s="93">
        <f t="shared" si="29"/>
        <v>17.164000000000001</v>
      </c>
      <c r="AF163" s="16">
        <v>16.34</v>
      </c>
      <c r="AG163" s="103">
        <f t="shared" si="30"/>
        <v>14</v>
      </c>
      <c r="AH163" s="37">
        <f t="shared" si="31"/>
        <v>17.164000000000001</v>
      </c>
      <c r="AJ163" s="38">
        <v>45959</v>
      </c>
      <c r="AK163" t="s">
        <v>2638</v>
      </c>
      <c r="AL163" t="s">
        <v>4</v>
      </c>
      <c r="AN163" t="s">
        <v>2675</v>
      </c>
      <c r="AO163" t="s">
        <v>2676</v>
      </c>
      <c r="AP163" s="56">
        <v>6430</v>
      </c>
      <c r="AR163" s="38"/>
      <c r="AU163" s="38"/>
      <c r="AY163" s="81"/>
      <c r="AZ163" s="81"/>
      <c r="BA163" s="48"/>
      <c r="BC163" s="38"/>
    </row>
    <row r="164" spans="22:55" ht="16" x14ac:dyDescent="0.4">
      <c r="V164" s="97">
        <v>45946</v>
      </c>
      <c r="W164">
        <v>209313</v>
      </c>
      <c r="X164" s="101" t="s">
        <v>36</v>
      </c>
      <c r="Y164" s="105"/>
      <c r="Z164" s="50">
        <v>0.70494212962962965</v>
      </c>
      <c r="AA164" s="50">
        <v>0.78167824074074066</v>
      </c>
      <c r="AB164" s="16"/>
      <c r="AC164" s="16"/>
      <c r="AD164" s="37">
        <v>20896</v>
      </c>
      <c r="AE164" s="93">
        <f t="shared" si="29"/>
        <v>20.896000000000001</v>
      </c>
      <c r="AF164" s="16">
        <v>14.56</v>
      </c>
      <c r="AG164" s="103">
        <f t="shared" si="30"/>
        <v>14</v>
      </c>
      <c r="AH164" s="37">
        <f t="shared" si="31"/>
        <v>20.895999999999997</v>
      </c>
      <c r="AJ164" s="38">
        <v>45959</v>
      </c>
      <c r="AK164" t="s">
        <v>2639</v>
      </c>
      <c r="AL164" t="s">
        <v>5</v>
      </c>
      <c r="AN164" t="s">
        <v>2677</v>
      </c>
      <c r="AO164" t="s">
        <v>2677</v>
      </c>
      <c r="AP164" s="56">
        <v>3330</v>
      </c>
      <c r="AR164" s="38"/>
      <c r="AU164" s="38"/>
      <c r="AY164" s="39"/>
      <c r="AZ164" s="39"/>
      <c r="BA164" s="48"/>
      <c r="BC164" s="38"/>
    </row>
    <row r="165" spans="22:55" ht="16" x14ac:dyDescent="0.4">
      <c r="V165" s="97">
        <v>45946</v>
      </c>
      <c r="W165">
        <v>209326</v>
      </c>
      <c r="X165" s="101" t="s">
        <v>36</v>
      </c>
      <c r="Y165" s="105"/>
      <c r="Z165" s="50">
        <v>0.75912037037037028</v>
      </c>
      <c r="AA165" s="50">
        <v>0.83652777777777787</v>
      </c>
      <c r="AB165" s="16"/>
      <c r="AC165" s="16"/>
      <c r="AD165" s="37">
        <v>20420</v>
      </c>
      <c r="AE165" s="93">
        <f t="shared" si="29"/>
        <v>20.420000000000002</v>
      </c>
      <c r="AF165" s="16">
        <v>14.24</v>
      </c>
      <c r="AG165" s="103">
        <f t="shared" si="30"/>
        <v>14</v>
      </c>
      <c r="AH165" s="37">
        <f t="shared" si="31"/>
        <v>20.419999999999998</v>
      </c>
      <c r="AJ165" s="38">
        <v>45959</v>
      </c>
      <c r="AK165" t="s">
        <v>2640</v>
      </c>
      <c r="AL165" t="s">
        <v>5</v>
      </c>
      <c r="AN165" t="s">
        <v>2678</v>
      </c>
      <c r="AO165" t="s">
        <v>2678</v>
      </c>
      <c r="AP165" s="56">
        <v>2730</v>
      </c>
      <c r="AR165" s="38"/>
      <c r="AU165" s="38"/>
      <c r="AY165" s="39"/>
      <c r="AZ165" s="39"/>
      <c r="BA165" s="48"/>
      <c r="BC165" s="38"/>
    </row>
    <row r="166" spans="22:55" ht="16" x14ac:dyDescent="0.4">
      <c r="V166" s="97">
        <v>45946</v>
      </c>
      <c r="W166">
        <v>209355</v>
      </c>
      <c r="X166" s="101" t="s">
        <v>36</v>
      </c>
      <c r="Y166" s="105"/>
      <c r="Z166" s="50">
        <v>0.8125</v>
      </c>
      <c r="AA166" s="50">
        <v>0.9184606481481481</v>
      </c>
      <c r="AB166" s="16"/>
      <c r="AC166" s="16"/>
      <c r="AD166" s="37">
        <v>19644</v>
      </c>
      <c r="AE166" s="93">
        <f t="shared" si="29"/>
        <v>19.643999999999998</v>
      </c>
      <c r="AF166" s="16">
        <v>16.91</v>
      </c>
      <c r="AG166" s="103">
        <f t="shared" si="30"/>
        <v>14</v>
      </c>
      <c r="AH166" s="37">
        <f t="shared" si="31"/>
        <v>19.643999999999998</v>
      </c>
      <c r="AJ166" s="38">
        <v>45959</v>
      </c>
      <c r="AK166" t="s">
        <v>2641</v>
      </c>
      <c r="AL166" t="s">
        <v>5</v>
      </c>
      <c r="AN166" t="s">
        <v>2679</v>
      </c>
      <c r="AO166" t="s">
        <v>2679</v>
      </c>
      <c r="AP166" s="56">
        <v>1890</v>
      </c>
      <c r="AR166" s="38"/>
      <c r="AU166" s="38"/>
      <c r="AY166" s="39"/>
      <c r="AZ166" s="39"/>
      <c r="BA166" s="48"/>
      <c r="BC166" s="38"/>
    </row>
    <row r="167" spans="22:55" ht="16" x14ac:dyDescent="0.4">
      <c r="V167" s="97">
        <v>45946</v>
      </c>
      <c r="W167">
        <v>209366</v>
      </c>
      <c r="X167" s="101" t="s">
        <v>36</v>
      </c>
      <c r="Y167" s="105"/>
      <c r="Z167" s="50">
        <v>0.75900462962962967</v>
      </c>
      <c r="AA167" s="50">
        <v>0.98056712962962955</v>
      </c>
      <c r="AB167" s="16"/>
      <c r="AC167" s="16"/>
      <c r="AD167" s="37">
        <v>19328</v>
      </c>
      <c r="AE167" s="93">
        <f t="shared" si="29"/>
        <v>19.327999999999999</v>
      </c>
      <c r="AF167" s="16">
        <v>16.559999999999999</v>
      </c>
      <c r="AG167" s="103">
        <f t="shared" si="30"/>
        <v>14</v>
      </c>
      <c r="AH167" s="37">
        <f t="shared" si="31"/>
        <v>19.327999999999999</v>
      </c>
      <c r="AJ167" s="38">
        <v>45959</v>
      </c>
      <c r="AK167" t="s">
        <v>2642</v>
      </c>
      <c r="AL167" t="s">
        <v>5</v>
      </c>
      <c r="AN167" t="s">
        <v>2680</v>
      </c>
      <c r="AO167" t="s">
        <v>2680</v>
      </c>
      <c r="AP167" s="56">
        <v>2230</v>
      </c>
      <c r="AR167" s="38"/>
      <c r="AU167" s="38"/>
      <c r="AY167" s="39"/>
      <c r="AZ167" s="39"/>
      <c r="BA167" s="48"/>
      <c r="BC167" s="38"/>
    </row>
    <row r="168" spans="22:55" ht="16" x14ac:dyDescent="0.4">
      <c r="V168" s="97">
        <v>45947</v>
      </c>
      <c r="W168">
        <v>209378</v>
      </c>
      <c r="X168" s="101" t="s">
        <v>36</v>
      </c>
      <c r="Y168" s="105"/>
      <c r="Z168" s="50">
        <v>0.70479166666666659</v>
      </c>
      <c r="AA168" s="50">
        <v>4.221064814814815E-2</v>
      </c>
      <c r="AB168" s="16"/>
      <c r="AC168" s="16"/>
      <c r="AD168" s="37">
        <v>19446</v>
      </c>
      <c r="AE168" s="93">
        <f t="shared" si="29"/>
        <v>19.446000000000002</v>
      </c>
      <c r="AF168" s="16">
        <v>16.16</v>
      </c>
      <c r="AG168" s="103">
        <f t="shared" si="30"/>
        <v>14</v>
      </c>
      <c r="AH168" s="37">
        <f t="shared" si="31"/>
        <v>19.446000000000002</v>
      </c>
      <c r="AJ168" s="38">
        <v>45960</v>
      </c>
      <c r="AK168" t="s">
        <v>2643</v>
      </c>
      <c r="AL168" t="s">
        <v>5</v>
      </c>
      <c r="AN168" t="s">
        <v>2681</v>
      </c>
      <c r="AO168" t="s">
        <v>2681</v>
      </c>
      <c r="AP168" s="56">
        <v>3010</v>
      </c>
      <c r="AR168" s="38"/>
      <c r="AU168" s="38"/>
      <c r="AY168" s="39"/>
      <c r="AZ168" s="39"/>
      <c r="BA168" s="48"/>
      <c r="BC168" s="38"/>
    </row>
    <row r="169" spans="22:55" ht="16" x14ac:dyDescent="0.4">
      <c r="V169" s="97">
        <v>45947</v>
      </c>
      <c r="W169">
        <v>209386</v>
      </c>
      <c r="X169" s="101" t="s">
        <v>36</v>
      </c>
      <c r="Y169" s="105"/>
      <c r="Z169" s="50">
        <v>0.75922453703703707</v>
      </c>
      <c r="AA169" s="50">
        <v>8.7638888888888891E-2</v>
      </c>
      <c r="AB169" s="16"/>
      <c r="AC169" s="16"/>
      <c r="AD169" s="37">
        <v>17980</v>
      </c>
      <c r="AE169" s="93">
        <f t="shared" si="29"/>
        <v>17.98</v>
      </c>
      <c r="AF169" s="16">
        <v>17.13</v>
      </c>
      <c r="AG169" s="103">
        <f t="shared" si="30"/>
        <v>14</v>
      </c>
      <c r="AH169" s="37">
        <f t="shared" si="31"/>
        <v>17.98</v>
      </c>
      <c r="AJ169" s="38">
        <v>45960</v>
      </c>
      <c r="AK169" t="s">
        <v>2644</v>
      </c>
      <c r="AL169" t="s">
        <v>5</v>
      </c>
      <c r="AN169" t="s">
        <v>2682</v>
      </c>
      <c r="AO169" t="s">
        <v>2683</v>
      </c>
      <c r="AP169" s="56">
        <v>5160</v>
      </c>
      <c r="AR169" s="38"/>
      <c r="AU169" s="38"/>
      <c r="AY169" s="39"/>
      <c r="AZ169" s="39"/>
      <c r="BA169" s="48"/>
      <c r="BC169" s="38"/>
    </row>
    <row r="170" spans="22:55" ht="16" x14ac:dyDescent="0.4">
      <c r="V170" s="97">
        <v>45947</v>
      </c>
      <c r="W170">
        <v>209388</v>
      </c>
      <c r="X170" s="101" t="s">
        <v>36</v>
      </c>
      <c r="Y170" s="105"/>
      <c r="Z170" s="50">
        <v>0.81258101851851849</v>
      </c>
      <c r="AA170" s="50">
        <v>0.13394675925925925</v>
      </c>
      <c r="AB170" s="16"/>
      <c r="AC170" s="16"/>
      <c r="AD170" s="37">
        <v>17100</v>
      </c>
      <c r="AE170" s="93">
        <f t="shared" si="29"/>
        <v>17.100000000000001</v>
      </c>
      <c r="AF170" s="16">
        <v>17.88</v>
      </c>
      <c r="AG170" s="103">
        <f t="shared" si="30"/>
        <v>14</v>
      </c>
      <c r="AH170" s="37">
        <f t="shared" si="31"/>
        <v>17.100000000000001</v>
      </c>
      <c r="AJ170" s="38">
        <v>45960</v>
      </c>
      <c r="AK170" t="s">
        <v>2645</v>
      </c>
      <c r="AL170" t="s">
        <v>5</v>
      </c>
      <c r="AN170" t="s">
        <v>2684</v>
      </c>
      <c r="AO170" t="s">
        <v>2684</v>
      </c>
      <c r="AP170" s="56">
        <v>3010</v>
      </c>
      <c r="AR170" s="38"/>
      <c r="AU170" s="38"/>
      <c r="AY170" s="39"/>
      <c r="AZ170" s="39"/>
      <c r="BA170" s="48"/>
      <c r="BC170" s="38"/>
    </row>
    <row r="171" spans="22:55" ht="16" x14ac:dyDescent="0.4">
      <c r="V171" s="97">
        <v>45947</v>
      </c>
      <c r="W171">
        <v>209427</v>
      </c>
      <c r="X171" s="101" t="s">
        <v>36</v>
      </c>
      <c r="Y171" s="105"/>
      <c r="Z171" s="50">
        <v>0.11597222222222221</v>
      </c>
      <c r="AA171" s="50">
        <v>0.33124999999999999</v>
      </c>
      <c r="AB171" s="16"/>
      <c r="AC171" s="16"/>
      <c r="AD171" s="37">
        <v>10664</v>
      </c>
      <c r="AE171" s="93">
        <f t="shared" si="29"/>
        <v>10.664</v>
      </c>
      <c r="AF171" s="16">
        <v>6.71</v>
      </c>
      <c r="AG171" s="103">
        <f t="shared" si="30"/>
        <v>6.71</v>
      </c>
      <c r="AH171" s="37">
        <f t="shared" si="31"/>
        <v>5.1111028571428578</v>
      </c>
      <c r="AJ171" s="38">
        <v>45960</v>
      </c>
      <c r="AK171" t="s">
        <v>2646</v>
      </c>
      <c r="AL171" t="s">
        <v>5</v>
      </c>
      <c r="AN171" t="s">
        <v>2685</v>
      </c>
      <c r="AO171" t="s">
        <v>2685</v>
      </c>
      <c r="AP171" s="56">
        <v>2170</v>
      </c>
      <c r="AR171" s="38"/>
      <c r="AU171" s="38"/>
      <c r="AY171" s="39"/>
      <c r="AZ171" s="39"/>
      <c r="BA171" s="48"/>
      <c r="BC171" s="38"/>
    </row>
    <row r="172" spans="22:55" ht="16" x14ac:dyDescent="0.4">
      <c r="V172" s="97">
        <v>45947</v>
      </c>
      <c r="W172">
        <v>209493</v>
      </c>
      <c r="X172" s="101" t="s">
        <v>36</v>
      </c>
      <c r="Y172" s="105"/>
      <c r="Z172" s="50">
        <v>0.17222222222222225</v>
      </c>
      <c r="AA172" s="50">
        <v>0.40208333333333335</v>
      </c>
      <c r="AB172" s="16"/>
      <c r="AC172" s="16"/>
      <c r="AD172" s="37">
        <v>19656</v>
      </c>
      <c r="AE172" s="93">
        <f t="shared" si="29"/>
        <v>19.655999999999999</v>
      </c>
      <c r="AF172" s="16">
        <v>15.09</v>
      </c>
      <c r="AG172" s="103">
        <f t="shared" si="30"/>
        <v>14</v>
      </c>
      <c r="AH172" s="37">
        <f t="shared" si="31"/>
        <v>19.655999999999999</v>
      </c>
      <c r="AJ172" s="38">
        <v>45960</v>
      </c>
      <c r="AK172" t="s">
        <v>2647</v>
      </c>
      <c r="AL172" t="s">
        <v>5</v>
      </c>
      <c r="AN172" t="s">
        <v>2686</v>
      </c>
      <c r="AO172" t="s">
        <v>2687</v>
      </c>
      <c r="AP172" s="56">
        <v>1850</v>
      </c>
      <c r="AR172" s="38"/>
      <c r="AU172" s="38"/>
      <c r="AY172" s="39"/>
      <c r="AZ172" s="39"/>
      <c r="BA172" s="48"/>
      <c r="BC172" s="38"/>
    </row>
    <row r="173" spans="22:55" ht="16" x14ac:dyDescent="0.4">
      <c r="V173" s="97">
        <v>45947</v>
      </c>
      <c r="W173">
        <v>209534</v>
      </c>
      <c r="X173" s="101" t="s">
        <v>36</v>
      </c>
      <c r="Y173" s="105"/>
      <c r="Z173" s="50">
        <v>0.64652777777777781</v>
      </c>
      <c r="AA173" s="50">
        <v>0.46736111111111112</v>
      </c>
      <c r="AB173" s="16"/>
      <c r="AC173" s="16"/>
      <c r="AD173" s="37">
        <v>19078</v>
      </c>
      <c r="AE173" s="93">
        <f t="shared" si="29"/>
        <v>19.077999999999999</v>
      </c>
      <c r="AF173" s="16">
        <v>16.989999999999998</v>
      </c>
      <c r="AG173" s="103">
        <f t="shared" si="30"/>
        <v>14</v>
      </c>
      <c r="AH173" s="37">
        <f t="shared" si="31"/>
        <v>19.077999999999999</v>
      </c>
      <c r="AJ173" s="38">
        <v>45960</v>
      </c>
      <c r="AK173" t="s">
        <v>2648</v>
      </c>
      <c r="AL173" t="s">
        <v>5</v>
      </c>
      <c r="AN173" t="s">
        <v>2688</v>
      </c>
      <c r="AO173" t="s">
        <v>2688</v>
      </c>
      <c r="AP173" s="56">
        <v>2660</v>
      </c>
      <c r="AR173" s="38"/>
      <c r="AU173" s="38"/>
      <c r="AY173" s="39"/>
      <c r="AZ173" s="39"/>
      <c r="BA173" s="48"/>
      <c r="BC173" s="38"/>
    </row>
    <row r="174" spans="22:55" ht="16" x14ac:dyDescent="0.4">
      <c r="V174" s="97">
        <v>45947</v>
      </c>
      <c r="W174">
        <v>209568</v>
      </c>
      <c r="X174" s="101" t="s">
        <v>36</v>
      </c>
      <c r="Y174" s="105"/>
      <c r="Z174" s="50">
        <v>0.4368055555555555</v>
      </c>
      <c r="AA174" s="50">
        <v>0.55277777777777781</v>
      </c>
      <c r="AB174" s="16"/>
      <c r="AC174" s="16"/>
      <c r="AD174" s="37">
        <v>19090</v>
      </c>
      <c r="AE174" s="93">
        <f t="shared" si="29"/>
        <v>19.09</v>
      </c>
      <c r="AF174" s="16">
        <v>15.06</v>
      </c>
      <c r="AG174" s="103">
        <f t="shared" si="30"/>
        <v>14</v>
      </c>
      <c r="AH174" s="37">
        <f t="shared" si="31"/>
        <v>19.09</v>
      </c>
      <c r="AJ174" s="38">
        <v>45960</v>
      </c>
      <c r="AK174" t="s">
        <v>2649</v>
      </c>
      <c r="AL174" t="s">
        <v>5</v>
      </c>
      <c r="AN174" t="s">
        <v>2689</v>
      </c>
      <c r="AO174" t="s">
        <v>2689</v>
      </c>
      <c r="AP174" s="56">
        <v>2970</v>
      </c>
      <c r="AR174" s="38"/>
      <c r="AU174" s="38"/>
      <c r="AY174" s="39"/>
      <c r="AZ174" s="39"/>
      <c r="BA174" s="48"/>
      <c r="BC174" s="38"/>
    </row>
    <row r="175" spans="22:55" ht="16" x14ac:dyDescent="0.4">
      <c r="V175" s="97">
        <v>45947</v>
      </c>
      <c r="W175">
        <v>209638</v>
      </c>
      <c r="X175" s="101" t="s">
        <v>36</v>
      </c>
      <c r="Y175" s="105"/>
      <c r="Z175" s="50">
        <v>0.11597222222222221</v>
      </c>
      <c r="AA175" s="50">
        <v>0.62916666666666665</v>
      </c>
      <c r="AB175" s="16"/>
      <c r="AC175" s="16"/>
      <c r="AD175" s="37">
        <v>18826</v>
      </c>
      <c r="AE175" s="93">
        <f t="shared" si="29"/>
        <v>18.826000000000001</v>
      </c>
      <c r="AF175" s="16">
        <v>16.09</v>
      </c>
      <c r="AG175" s="103">
        <f t="shared" si="30"/>
        <v>14</v>
      </c>
      <c r="AH175" s="37">
        <f t="shared" si="31"/>
        <v>18.826000000000001</v>
      </c>
      <c r="AJ175" s="38">
        <v>45960</v>
      </c>
      <c r="AK175" t="s">
        <v>2650</v>
      </c>
      <c r="AL175" t="s">
        <v>5</v>
      </c>
      <c r="AN175" t="s">
        <v>2690</v>
      </c>
      <c r="AO175" t="s">
        <v>2691</v>
      </c>
      <c r="AP175" s="56">
        <v>1070</v>
      </c>
      <c r="AR175" s="38"/>
      <c r="AU175" s="38"/>
      <c r="AY175" s="39"/>
      <c r="AZ175" s="39"/>
      <c r="BA175" s="48"/>
      <c r="BC175" s="38"/>
    </row>
    <row r="176" spans="22:55" ht="16" x14ac:dyDescent="0.4">
      <c r="V176" s="97">
        <v>45947</v>
      </c>
      <c r="W176">
        <v>209672</v>
      </c>
      <c r="X176" s="101" t="s">
        <v>36</v>
      </c>
      <c r="Y176" s="105"/>
      <c r="Z176" s="50">
        <v>0.17222222222222225</v>
      </c>
      <c r="AA176" s="50">
        <v>0.69513888888888886</v>
      </c>
      <c r="AB176" s="16"/>
      <c r="AC176" s="16"/>
      <c r="AD176" s="37">
        <v>20088</v>
      </c>
      <c r="AE176" s="93">
        <f t="shared" si="29"/>
        <v>20.088000000000001</v>
      </c>
      <c r="AF176" s="16">
        <v>15.37</v>
      </c>
      <c r="AG176" s="103">
        <f t="shared" si="30"/>
        <v>14</v>
      </c>
      <c r="AH176" s="37">
        <f t="shared" si="31"/>
        <v>20.088000000000001</v>
      </c>
      <c r="AJ176" s="38">
        <v>45961</v>
      </c>
      <c r="AK176" t="s">
        <v>2651</v>
      </c>
      <c r="AL176" t="s">
        <v>5</v>
      </c>
      <c r="AN176" t="s">
        <v>2692</v>
      </c>
      <c r="AO176" t="s">
        <v>2693</v>
      </c>
      <c r="AP176" s="56">
        <v>3540</v>
      </c>
      <c r="AR176" s="38"/>
      <c r="AU176" s="38"/>
      <c r="AY176" s="39"/>
      <c r="AZ176" s="39"/>
      <c r="BA176" s="48"/>
      <c r="BC176" s="38"/>
    </row>
    <row r="177" spans="22:56" ht="16" x14ac:dyDescent="0.4">
      <c r="V177" s="97">
        <v>45947</v>
      </c>
      <c r="W177">
        <v>209686</v>
      </c>
      <c r="X177" s="101" t="s">
        <v>36</v>
      </c>
      <c r="Y177" s="105"/>
      <c r="Z177" s="50">
        <v>0.11597222222222221</v>
      </c>
      <c r="AA177" s="50">
        <v>0.7368055555555556</v>
      </c>
      <c r="AB177" s="16"/>
      <c r="AC177" s="16"/>
      <c r="AD177" s="37">
        <v>13524</v>
      </c>
      <c r="AE177" s="93">
        <f t="shared" si="29"/>
        <v>13.523999999999999</v>
      </c>
      <c r="AF177" s="16">
        <v>16.52</v>
      </c>
      <c r="AG177" s="103">
        <f t="shared" si="30"/>
        <v>14</v>
      </c>
      <c r="AH177" s="37">
        <f t="shared" si="31"/>
        <v>13.523999999999999</v>
      </c>
      <c r="AJ177" s="38">
        <v>45961</v>
      </c>
      <c r="AK177" t="s">
        <v>2652</v>
      </c>
      <c r="AL177" t="s">
        <v>5</v>
      </c>
      <c r="AN177" t="s">
        <v>2694</v>
      </c>
      <c r="AO177" t="s">
        <v>2694</v>
      </c>
      <c r="AP177" s="56">
        <v>2880</v>
      </c>
      <c r="AR177" s="38"/>
      <c r="AU177" s="38"/>
      <c r="AY177" s="39"/>
      <c r="AZ177" s="39"/>
      <c r="BA177" s="48"/>
      <c r="BC177" s="38"/>
    </row>
    <row r="178" spans="22:56" ht="16" x14ac:dyDescent="0.4">
      <c r="V178" s="97">
        <v>45953</v>
      </c>
      <c r="W178" s="16">
        <v>211649</v>
      </c>
      <c r="X178" s="101" t="s">
        <v>36</v>
      </c>
      <c r="Y178" s="105"/>
      <c r="Z178" s="50">
        <v>0.20510416666666667</v>
      </c>
      <c r="AA178" s="50">
        <v>0.45346064814814818</v>
      </c>
      <c r="AD178" s="37">
        <v>21434</v>
      </c>
      <c r="AE178" s="93">
        <f t="shared" si="29"/>
        <v>21.434000000000001</v>
      </c>
      <c r="AF178">
        <v>14.88</v>
      </c>
      <c r="AG178" s="103">
        <f t="shared" si="30"/>
        <v>14</v>
      </c>
      <c r="AH178" s="37">
        <f t="shared" si="31"/>
        <v>21.434000000000001</v>
      </c>
      <c r="AJ178" s="38">
        <v>45961</v>
      </c>
      <c r="AK178" t="s">
        <v>2653</v>
      </c>
      <c r="AL178" t="s">
        <v>5</v>
      </c>
      <c r="AN178" t="s">
        <v>2695</v>
      </c>
      <c r="AO178" t="s">
        <v>2695</v>
      </c>
      <c r="AP178" s="56">
        <v>3520</v>
      </c>
      <c r="AR178" s="38"/>
      <c r="AU178" s="38"/>
      <c r="AY178" s="39"/>
      <c r="AZ178" s="39"/>
      <c r="BA178" s="48"/>
      <c r="BC178" s="38"/>
    </row>
    <row r="179" spans="22:56" ht="16" x14ac:dyDescent="0.4">
      <c r="V179" s="97">
        <v>45953</v>
      </c>
      <c r="W179" s="16">
        <v>211678</v>
      </c>
      <c r="X179" s="101" t="s">
        <v>36</v>
      </c>
      <c r="Y179" s="105"/>
      <c r="Z179" s="50">
        <v>0.43872685185185184</v>
      </c>
      <c r="AA179" s="50">
        <v>0.53597222222222218</v>
      </c>
      <c r="AD179" s="37">
        <v>20886</v>
      </c>
      <c r="AE179" s="93">
        <f t="shared" si="29"/>
        <v>20.885999999999999</v>
      </c>
      <c r="AF179">
        <v>15.52</v>
      </c>
      <c r="AG179" s="103">
        <f t="shared" si="30"/>
        <v>14</v>
      </c>
      <c r="AH179" s="37">
        <f t="shared" si="31"/>
        <v>20.885999999999999</v>
      </c>
      <c r="AJ179" s="38">
        <v>45961</v>
      </c>
      <c r="AK179" t="s">
        <v>2654</v>
      </c>
      <c r="AL179" t="s">
        <v>5</v>
      </c>
      <c r="AN179" t="s">
        <v>2696</v>
      </c>
      <c r="AO179" t="s">
        <v>2696</v>
      </c>
      <c r="AP179" s="56">
        <v>2080</v>
      </c>
      <c r="AR179" s="38"/>
      <c r="AU179" s="38"/>
      <c r="AW179" s="16"/>
      <c r="AY179" s="39"/>
      <c r="AZ179" s="39"/>
      <c r="BA179" s="48"/>
      <c r="BC179" s="38"/>
    </row>
    <row r="180" spans="22:56" ht="16" x14ac:dyDescent="0.4">
      <c r="V180" s="97"/>
      <c r="W180" s="16"/>
      <c r="X180" s="101"/>
      <c r="Y180" s="105"/>
      <c r="Z180" s="50"/>
      <c r="AA180" s="50"/>
      <c r="AD180" s="37"/>
      <c r="AE180" s="93"/>
      <c r="AG180" s="103"/>
      <c r="AH180" s="37"/>
      <c r="AJ180" s="38">
        <v>45961</v>
      </c>
      <c r="AK180" t="s">
        <v>2655</v>
      </c>
      <c r="AL180" t="s">
        <v>5</v>
      </c>
      <c r="AN180" t="s">
        <v>2697</v>
      </c>
      <c r="AO180" t="s">
        <v>2698</v>
      </c>
      <c r="AP180" s="56">
        <v>2850</v>
      </c>
      <c r="AR180" s="38"/>
      <c r="AU180" s="38"/>
      <c r="AW180" s="16"/>
      <c r="AY180" s="39"/>
      <c r="AZ180" s="39"/>
      <c r="BA180" s="48"/>
      <c r="BC180" s="38"/>
    </row>
    <row r="181" spans="22:56" ht="16" x14ac:dyDescent="0.4">
      <c r="V181" s="97">
        <v>45953</v>
      </c>
      <c r="W181" s="16">
        <v>211731</v>
      </c>
      <c r="X181" s="101" t="s">
        <v>36</v>
      </c>
      <c r="Y181" s="105"/>
      <c r="Z181" s="50">
        <v>0.48758101851851854</v>
      </c>
      <c r="AA181" s="50">
        <v>0.60834490740740743</v>
      </c>
      <c r="AD181" s="37">
        <v>21280</v>
      </c>
      <c r="AE181" s="93">
        <f t="shared" si="29"/>
        <v>21.28</v>
      </c>
      <c r="AF181">
        <v>13.99</v>
      </c>
      <c r="AG181" s="103">
        <f t="shared" si="30"/>
        <v>13.99</v>
      </c>
      <c r="AH181" s="37">
        <f t="shared" si="31"/>
        <v>21.264800000000001</v>
      </c>
      <c r="AJ181" s="38"/>
      <c r="AL181" s="16"/>
      <c r="AN181" s="39"/>
      <c r="AO181" s="39"/>
      <c r="AP181" s="48"/>
      <c r="AR181" s="38"/>
      <c r="AU181" s="38"/>
      <c r="AW181" s="16"/>
      <c r="AY181" s="39"/>
      <c r="AZ181" s="39"/>
      <c r="BA181" s="48"/>
      <c r="BC181" s="38"/>
    </row>
    <row r="182" spans="22:56" ht="16" x14ac:dyDescent="0.4">
      <c r="V182" s="97">
        <v>45953</v>
      </c>
      <c r="W182" s="16">
        <v>211781</v>
      </c>
      <c r="X182" s="101" t="s">
        <v>36</v>
      </c>
      <c r="Y182" s="105"/>
      <c r="Z182" s="50">
        <v>0.58939814814814817</v>
      </c>
      <c r="AA182" s="50">
        <v>0.68204861111111104</v>
      </c>
      <c r="AD182" s="37">
        <v>21586</v>
      </c>
      <c r="AE182" s="93">
        <f t="shared" si="29"/>
        <v>21.585999999999999</v>
      </c>
      <c r="AF182">
        <v>13.91</v>
      </c>
      <c r="AG182" s="103">
        <f t="shared" si="30"/>
        <v>13.91</v>
      </c>
      <c r="AH182" s="37">
        <f t="shared" si="31"/>
        <v>21.447232857142858</v>
      </c>
      <c r="AJ182" s="38"/>
      <c r="AL182" s="16"/>
      <c r="AN182" s="39"/>
      <c r="AO182" s="39"/>
      <c r="AP182" s="48"/>
      <c r="AR182" s="38"/>
      <c r="AU182" s="38"/>
      <c r="AW182" s="16"/>
      <c r="AY182" s="39"/>
      <c r="AZ182" s="39"/>
      <c r="BA182" s="48"/>
      <c r="BC182" s="38"/>
    </row>
    <row r="183" spans="22:56" ht="16" x14ac:dyDescent="0.4">
      <c r="V183" s="97">
        <v>45953</v>
      </c>
      <c r="W183" s="16">
        <v>211821</v>
      </c>
      <c r="X183" s="101" t="s">
        <v>36</v>
      </c>
      <c r="Y183" s="105"/>
      <c r="Z183" s="50">
        <v>0.64583333333333337</v>
      </c>
      <c r="AA183" s="50">
        <v>0.75902777777777775</v>
      </c>
      <c r="AD183" s="37">
        <v>20490</v>
      </c>
      <c r="AE183" s="93">
        <f t="shared" si="29"/>
        <v>20.49</v>
      </c>
      <c r="AF183">
        <v>14.98</v>
      </c>
      <c r="AG183" s="103">
        <f t="shared" si="30"/>
        <v>14</v>
      </c>
      <c r="AH183" s="37">
        <f t="shared" si="31"/>
        <v>20.49</v>
      </c>
      <c r="AJ183" s="38"/>
      <c r="AL183" s="16"/>
      <c r="AN183" s="39"/>
      <c r="AO183" s="39"/>
      <c r="AP183" s="48"/>
      <c r="AR183" s="38"/>
      <c r="AU183" s="38"/>
      <c r="AW183" s="16"/>
      <c r="AY183" s="39"/>
      <c r="AZ183" s="39"/>
      <c r="BA183" s="48"/>
      <c r="BC183" s="38"/>
    </row>
    <row r="184" spans="22:56" ht="16" x14ac:dyDescent="0.4">
      <c r="V184" s="97">
        <v>45953</v>
      </c>
      <c r="W184" s="16">
        <v>211857</v>
      </c>
      <c r="X184" s="101" t="s">
        <v>36</v>
      </c>
      <c r="Y184" s="105"/>
      <c r="Z184" s="50">
        <v>0.71180555555555547</v>
      </c>
      <c r="AA184" s="50">
        <v>0.86944444444444446</v>
      </c>
      <c r="AD184" s="37">
        <v>17822</v>
      </c>
      <c r="AE184" s="93">
        <f t="shared" si="29"/>
        <v>17.821999999999999</v>
      </c>
      <c r="AF184">
        <v>15.42</v>
      </c>
      <c r="AG184" s="103">
        <f t="shared" si="30"/>
        <v>14</v>
      </c>
      <c r="AH184" s="37">
        <f t="shared" si="31"/>
        <v>17.821999999999999</v>
      </c>
      <c r="AJ184" s="38"/>
      <c r="AL184" s="16"/>
      <c r="AN184" s="39"/>
      <c r="AO184" s="39"/>
      <c r="AP184" s="48"/>
      <c r="AR184" s="38"/>
      <c r="AS184" s="49"/>
      <c r="AU184" s="38"/>
      <c r="AW184" s="16"/>
      <c r="AY184" s="39"/>
      <c r="AZ184" s="39"/>
      <c r="BA184" s="48"/>
      <c r="BC184" s="38"/>
      <c r="BD184" s="49"/>
    </row>
    <row r="185" spans="22:56" ht="16" x14ac:dyDescent="0.4">
      <c r="V185" s="97">
        <v>45953</v>
      </c>
      <c r="W185" s="16">
        <v>211881</v>
      </c>
      <c r="X185" s="101" t="s">
        <v>36</v>
      </c>
      <c r="Y185" s="105"/>
      <c r="Z185" s="50">
        <v>0.7993055555555556</v>
      </c>
      <c r="AA185" s="50">
        <v>0.93333333333333324</v>
      </c>
      <c r="AD185" s="37">
        <v>21910</v>
      </c>
      <c r="AE185" s="93">
        <f t="shared" si="29"/>
        <v>21.91</v>
      </c>
      <c r="AF185">
        <v>15.27</v>
      </c>
      <c r="AG185" s="103">
        <f t="shared" si="30"/>
        <v>14</v>
      </c>
      <c r="AH185" s="37">
        <f t="shared" si="31"/>
        <v>21.91</v>
      </c>
      <c r="AJ185" s="38"/>
      <c r="AL185" s="16"/>
      <c r="AN185" s="39"/>
      <c r="AO185" s="39"/>
      <c r="AP185" s="48"/>
      <c r="AR185" s="38"/>
      <c r="AS185" s="49"/>
      <c r="AU185" s="38"/>
      <c r="AW185" s="16"/>
      <c r="AY185" s="39"/>
      <c r="AZ185" s="39"/>
      <c r="BA185" s="48"/>
      <c r="BC185" s="38"/>
      <c r="BD185" s="49"/>
    </row>
    <row r="186" spans="22:56" ht="16" x14ac:dyDescent="0.4">
      <c r="V186" s="97">
        <v>45954</v>
      </c>
      <c r="W186" s="16">
        <v>211895</v>
      </c>
      <c r="X186" s="101" t="s">
        <v>36</v>
      </c>
      <c r="Y186" s="105"/>
      <c r="Z186" s="50">
        <v>0.92222222222222217</v>
      </c>
      <c r="AA186" s="50">
        <v>0.99930555555555556</v>
      </c>
      <c r="AD186" s="37">
        <v>21444</v>
      </c>
      <c r="AE186" s="93">
        <f t="shared" si="29"/>
        <v>21.443999999999999</v>
      </c>
      <c r="AF186">
        <v>14.24</v>
      </c>
      <c r="AG186" s="103">
        <f t="shared" si="30"/>
        <v>14</v>
      </c>
      <c r="AH186" s="37">
        <f t="shared" si="31"/>
        <v>21.443999999999999</v>
      </c>
      <c r="AJ186" s="38"/>
      <c r="AL186" s="16"/>
      <c r="AN186" s="39"/>
      <c r="AO186" s="39"/>
      <c r="AP186" s="48"/>
      <c r="AR186" s="38"/>
      <c r="AS186" s="49"/>
      <c r="AU186" s="38"/>
      <c r="AW186" s="16"/>
      <c r="AY186" s="39"/>
      <c r="AZ186" s="39"/>
      <c r="BA186" s="48"/>
      <c r="BC186" s="38"/>
      <c r="BD186" s="49"/>
    </row>
    <row r="187" spans="22:56" ht="16" x14ac:dyDescent="0.4">
      <c r="V187" s="97">
        <v>45954</v>
      </c>
      <c r="W187" s="16">
        <v>211904</v>
      </c>
      <c r="X187" s="101" t="s">
        <v>36</v>
      </c>
      <c r="Y187" s="105"/>
      <c r="Z187" s="50">
        <v>0.97152777777777777</v>
      </c>
      <c r="AA187" s="50">
        <v>5.6250000000000001E-2</v>
      </c>
      <c r="AD187" s="37">
        <v>21356</v>
      </c>
      <c r="AE187" s="93">
        <f t="shared" si="29"/>
        <v>21.356000000000002</v>
      </c>
      <c r="AF187">
        <v>14.56</v>
      </c>
      <c r="AG187" s="103">
        <f t="shared" si="30"/>
        <v>14</v>
      </c>
      <c r="AH187" s="37">
        <f t="shared" si="31"/>
        <v>21.356000000000002</v>
      </c>
      <c r="AJ187" s="38"/>
      <c r="AL187" s="16"/>
      <c r="AN187" s="39"/>
      <c r="AO187" s="39"/>
      <c r="AP187" s="48"/>
      <c r="AR187" s="38"/>
      <c r="AS187" s="49"/>
      <c r="AU187" s="38"/>
      <c r="AW187" s="16"/>
      <c r="AY187" s="39"/>
      <c r="AZ187" s="39"/>
      <c r="BA187" s="48"/>
      <c r="BC187" s="38"/>
      <c r="BD187" s="49"/>
    </row>
    <row r="188" spans="22:56" ht="16" x14ac:dyDescent="0.4">
      <c r="V188" s="97">
        <v>45954</v>
      </c>
      <c r="W188" s="16">
        <v>211912</v>
      </c>
      <c r="X188" s="101" t="s">
        <v>36</v>
      </c>
      <c r="Y188" s="105"/>
      <c r="Z188" s="50">
        <v>3.888888888888889E-2</v>
      </c>
      <c r="AA188" s="50">
        <v>0.12361111111111112</v>
      </c>
      <c r="AD188" s="37">
        <v>21904</v>
      </c>
      <c r="AE188" s="93">
        <f t="shared" si="29"/>
        <v>21.904</v>
      </c>
      <c r="AF188">
        <v>15.88</v>
      </c>
      <c r="AG188" s="103">
        <f t="shared" si="30"/>
        <v>14</v>
      </c>
      <c r="AH188" s="37">
        <f t="shared" si="31"/>
        <v>21.904</v>
      </c>
      <c r="AJ188" s="38"/>
      <c r="AL188" s="16"/>
      <c r="AN188" s="39"/>
      <c r="AO188" s="39"/>
      <c r="AP188" s="48"/>
      <c r="AR188" s="38"/>
      <c r="AS188" s="49"/>
      <c r="AU188" s="38"/>
      <c r="AW188" s="16"/>
      <c r="AY188" s="39"/>
      <c r="AZ188" s="39"/>
      <c r="BA188" s="48"/>
      <c r="BC188" s="38"/>
      <c r="BD188" s="49"/>
    </row>
    <row r="189" spans="22:56" ht="16" x14ac:dyDescent="0.4">
      <c r="V189" s="97">
        <v>45954</v>
      </c>
      <c r="W189" s="16">
        <v>211920</v>
      </c>
      <c r="X189" s="101" t="s">
        <v>36</v>
      </c>
      <c r="Y189" s="105"/>
      <c r="Z189" s="50">
        <v>9.2361111111111116E-2</v>
      </c>
      <c r="AA189" s="50">
        <v>0.18124999999999999</v>
      </c>
      <c r="AD189" s="37">
        <v>22820</v>
      </c>
      <c r="AE189" s="93">
        <f t="shared" si="29"/>
        <v>22.82</v>
      </c>
      <c r="AF189">
        <v>14.7</v>
      </c>
      <c r="AG189" s="103">
        <f t="shared" si="30"/>
        <v>14</v>
      </c>
      <c r="AH189" s="37">
        <f t="shared" si="31"/>
        <v>22.82</v>
      </c>
      <c r="AJ189" s="38"/>
      <c r="AL189" s="16"/>
      <c r="AN189" s="39"/>
      <c r="AO189" s="39"/>
      <c r="AP189" s="48"/>
      <c r="AR189" s="38"/>
      <c r="AS189" s="49"/>
      <c r="AU189" s="38"/>
      <c r="AW189" s="16"/>
      <c r="AY189" s="39"/>
      <c r="AZ189" s="39"/>
      <c r="BA189" s="48"/>
      <c r="BC189" s="38"/>
      <c r="BD189" s="49"/>
    </row>
    <row r="190" spans="22:56" ht="16" x14ac:dyDescent="0.4">
      <c r="V190" s="97">
        <v>45954</v>
      </c>
      <c r="W190" s="16">
        <v>211933</v>
      </c>
      <c r="X190" s="101" t="s">
        <v>36</v>
      </c>
      <c r="Y190" s="105"/>
      <c r="Z190" s="50">
        <v>0.16215277777777778</v>
      </c>
      <c r="AA190" s="50">
        <v>0.27760416666666665</v>
      </c>
      <c r="AD190" s="37">
        <v>21994</v>
      </c>
      <c r="AE190" s="93">
        <f t="shared" si="29"/>
        <v>21.994</v>
      </c>
      <c r="AF190">
        <v>13.73</v>
      </c>
      <c r="AG190" s="103">
        <f t="shared" si="30"/>
        <v>13.73</v>
      </c>
      <c r="AH190" s="37">
        <f t="shared" si="31"/>
        <v>21.56983</v>
      </c>
      <c r="AJ190" s="38"/>
      <c r="AL190" s="16"/>
      <c r="AN190" s="39"/>
      <c r="AO190" s="39"/>
      <c r="AP190" s="48"/>
      <c r="AR190" s="38"/>
      <c r="AS190" s="49"/>
      <c r="AU190" s="38"/>
      <c r="AW190" s="16"/>
      <c r="AY190" s="39"/>
      <c r="AZ190" s="39"/>
      <c r="BA190" s="48"/>
      <c r="BC190" s="38"/>
      <c r="BD190" s="49"/>
    </row>
    <row r="191" spans="22:56" ht="16" x14ac:dyDescent="0.4">
      <c r="V191" s="97">
        <v>45954</v>
      </c>
      <c r="W191" s="16">
        <v>211997</v>
      </c>
      <c r="X191" s="101" t="s">
        <v>36</v>
      </c>
      <c r="Y191" s="105"/>
      <c r="Z191" s="50">
        <v>0.32995370370370369</v>
      </c>
      <c r="AA191" s="50">
        <v>0.36090277777777779</v>
      </c>
      <c r="AD191" s="37">
        <v>18658</v>
      </c>
      <c r="AE191" s="93">
        <f t="shared" si="29"/>
        <v>18.658000000000001</v>
      </c>
      <c r="AF191">
        <v>15.16</v>
      </c>
      <c r="AG191" s="103">
        <f t="shared" si="30"/>
        <v>14</v>
      </c>
      <c r="AH191" s="37">
        <f t="shared" si="31"/>
        <v>18.657999999999998</v>
      </c>
      <c r="AJ191" s="38"/>
      <c r="AL191" s="16"/>
      <c r="AN191" s="39"/>
      <c r="AO191" s="39"/>
      <c r="AP191" s="48"/>
      <c r="AR191" s="38"/>
      <c r="AS191" s="49"/>
      <c r="AU191" s="38"/>
      <c r="AW191" s="16"/>
      <c r="AY191" s="39"/>
      <c r="AZ191" s="39"/>
      <c r="BA191" s="48"/>
      <c r="BC191" s="38"/>
      <c r="BD191" s="49"/>
    </row>
    <row r="192" spans="22:56" ht="16" x14ac:dyDescent="0.4">
      <c r="V192" s="97">
        <v>45954</v>
      </c>
      <c r="W192" s="16">
        <v>212082</v>
      </c>
      <c r="X192" s="101" t="s">
        <v>36</v>
      </c>
      <c r="Y192" s="105"/>
      <c r="Z192" s="50">
        <v>0.46228009259259256</v>
      </c>
      <c r="AA192" s="50"/>
      <c r="AD192" s="37">
        <v>19344</v>
      </c>
      <c r="AE192" s="93">
        <f t="shared" si="29"/>
        <v>19.344000000000001</v>
      </c>
      <c r="AF192">
        <v>14.45</v>
      </c>
      <c r="AG192" s="103">
        <f t="shared" si="30"/>
        <v>14</v>
      </c>
      <c r="AH192" s="37">
        <f t="shared" si="31"/>
        <v>19.344000000000001</v>
      </c>
      <c r="AJ192" s="38"/>
      <c r="AL192" s="16"/>
      <c r="AN192" s="39"/>
      <c r="AO192" s="39"/>
      <c r="AP192" s="48"/>
      <c r="AR192" s="38"/>
      <c r="AS192" s="49"/>
      <c r="AU192" s="38"/>
      <c r="AW192" s="16"/>
      <c r="AY192" s="39"/>
      <c r="AZ192" s="39"/>
      <c r="BA192" s="48"/>
      <c r="BC192" s="38"/>
      <c r="BD192" s="49"/>
    </row>
    <row r="193" spans="22:56" ht="16" x14ac:dyDescent="0.4">
      <c r="V193" s="97">
        <v>45954</v>
      </c>
      <c r="W193" s="16">
        <v>212106</v>
      </c>
      <c r="X193" s="101" t="s">
        <v>36</v>
      </c>
      <c r="Y193" s="105"/>
      <c r="Z193" s="50">
        <v>0.40307870370370374</v>
      </c>
      <c r="AA193" s="50">
        <v>0.53658564814814813</v>
      </c>
      <c r="AD193" s="37">
        <v>19706</v>
      </c>
      <c r="AE193" s="93">
        <f t="shared" si="29"/>
        <v>19.706</v>
      </c>
      <c r="AF193">
        <v>15.41</v>
      </c>
      <c r="AG193" s="103">
        <f t="shared" si="30"/>
        <v>14</v>
      </c>
      <c r="AH193" s="37">
        <f t="shared" si="31"/>
        <v>19.706</v>
      </c>
      <c r="AJ193" s="38"/>
      <c r="AL193" s="16"/>
      <c r="AN193" s="39"/>
      <c r="AO193" s="39"/>
      <c r="AP193" s="48"/>
      <c r="AR193" s="38"/>
      <c r="AS193" s="49"/>
      <c r="AU193" s="38"/>
      <c r="AW193" s="16"/>
      <c r="AY193" s="39"/>
      <c r="AZ193" s="39"/>
      <c r="BA193" s="48"/>
      <c r="BC193" s="38"/>
      <c r="BD193" s="49"/>
    </row>
    <row r="194" spans="22:56" ht="16" x14ac:dyDescent="0.4">
      <c r="V194" s="97">
        <v>45954</v>
      </c>
      <c r="W194" s="16">
        <v>212180</v>
      </c>
      <c r="X194" s="101" t="s">
        <v>36</v>
      </c>
      <c r="Y194" s="105"/>
      <c r="Z194" s="50">
        <v>0.50828703703703704</v>
      </c>
      <c r="AA194" s="50">
        <v>0.6149189814814815</v>
      </c>
      <c r="AD194" s="37">
        <v>17968</v>
      </c>
      <c r="AE194" s="93">
        <f t="shared" ref="AE194:AE257" si="32">AD194/1000</f>
        <v>17.968</v>
      </c>
      <c r="AF194">
        <v>17.809999999999999</v>
      </c>
      <c r="AG194" s="103">
        <f t="shared" si="30"/>
        <v>14</v>
      </c>
      <c r="AH194" s="37">
        <f t="shared" ref="AH194:AH257" si="33">AE194*AG194/14</f>
        <v>17.968</v>
      </c>
      <c r="AJ194" s="38"/>
      <c r="AL194" s="16"/>
      <c r="AN194" s="39"/>
      <c r="AO194" s="39"/>
      <c r="AP194" s="48"/>
      <c r="AR194" s="38"/>
      <c r="AS194" s="49"/>
      <c r="AU194" s="38"/>
      <c r="AW194" s="16"/>
      <c r="AY194" s="39"/>
      <c r="AZ194" s="39"/>
      <c r="BA194" s="48"/>
      <c r="BC194" s="38"/>
      <c r="BD194" s="49"/>
    </row>
    <row r="195" spans="22:56" ht="16" x14ac:dyDescent="0.4">
      <c r="V195" s="97">
        <v>45954</v>
      </c>
      <c r="W195" s="16">
        <v>212227</v>
      </c>
      <c r="X195" s="101" t="s">
        <v>36</v>
      </c>
      <c r="Y195" s="105"/>
      <c r="Z195" s="50">
        <v>0.5708333333333333</v>
      </c>
      <c r="AA195" s="50">
        <v>0.69097222222222221</v>
      </c>
      <c r="AD195" s="37">
        <v>19510</v>
      </c>
      <c r="AE195" s="93">
        <f t="shared" si="32"/>
        <v>19.510000000000002</v>
      </c>
      <c r="AF195">
        <v>16.88</v>
      </c>
      <c r="AG195" s="103">
        <f t="shared" si="30"/>
        <v>14</v>
      </c>
      <c r="AH195" s="37">
        <f t="shared" si="33"/>
        <v>19.510000000000002</v>
      </c>
      <c r="AJ195" s="38"/>
      <c r="AL195" s="16"/>
      <c r="AN195" s="39"/>
      <c r="AO195" s="39"/>
      <c r="AP195" s="48"/>
      <c r="AQ195" s="16"/>
      <c r="AR195" s="38"/>
      <c r="AS195" s="49"/>
      <c r="AU195" s="38"/>
      <c r="AW195" s="16"/>
      <c r="AY195" s="39"/>
      <c r="AZ195" s="39"/>
      <c r="BA195" s="48"/>
      <c r="BB195" s="16"/>
      <c r="BC195" s="38"/>
      <c r="BD195" s="49"/>
    </row>
    <row r="196" spans="22:56" ht="16" x14ac:dyDescent="0.4">
      <c r="V196" s="97">
        <v>45954</v>
      </c>
      <c r="W196" s="16">
        <v>212257</v>
      </c>
      <c r="X196" s="101" t="s">
        <v>36</v>
      </c>
      <c r="Y196" s="105"/>
      <c r="Z196" s="50">
        <v>0.65902777777777777</v>
      </c>
      <c r="AA196" s="50">
        <v>0.77777777777777779</v>
      </c>
      <c r="AD196" s="37">
        <v>21460</v>
      </c>
      <c r="AE196" s="93">
        <f t="shared" si="32"/>
        <v>21.46</v>
      </c>
      <c r="AF196">
        <v>14.27</v>
      </c>
      <c r="AG196" s="103">
        <f t="shared" si="30"/>
        <v>14</v>
      </c>
      <c r="AH196" s="37">
        <f t="shared" si="33"/>
        <v>21.46</v>
      </c>
      <c r="AJ196" s="38"/>
      <c r="AL196" s="16"/>
      <c r="AM196" s="17"/>
      <c r="AN196" s="81"/>
      <c r="AO196" s="39"/>
      <c r="AP196" s="48"/>
      <c r="AR196" s="38"/>
      <c r="AS196" s="49"/>
      <c r="AU196" s="38"/>
      <c r="AW196" s="16"/>
      <c r="AX196" s="17"/>
      <c r="AY196" s="81"/>
      <c r="AZ196" s="39"/>
      <c r="BA196" s="48"/>
      <c r="BC196" s="38"/>
      <c r="BD196" s="49"/>
    </row>
    <row r="197" spans="22:56" ht="16" x14ac:dyDescent="0.4">
      <c r="V197" s="97">
        <v>45954</v>
      </c>
      <c r="W197" s="16">
        <v>212293</v>
      </c>
      <c r="X197" s="101" t="s">
        <v>36</v>
      </c>
      <c r="Y197" s="105"/>
      <c r="Z197" s="50">
        <v>0.74513888888888891</v>
      </c>
      <c r="AA197" s="50">
        <v>0.84444444444444444</v>
      </c>
      <c r="AD197" s="37">
        <v>22116</v>
      </c>
      <c r="AE197" s="93">
        <f t="shared" si="32"/>
        <v>22.116</v>
      </c>
      <c r="AF197">
        <v>15.42</v>
      </c>
      <c r="AG197" s="103">
        <f t="shared" ref="AG197:AG260" si="34">IF($AF197&gt;14,14,$AF197)</f>
        <v>14</v>
      </c>
      <c r="AH197" s="37">
        <f t="shared" si="33"/>
        <v>22.116000000000003</v>
      </c>
      <c r="AJ197" s="38"/>
      <c r="AL197" s="16"/>
      <c r="AN197" s="81"/>
      <c r="AO197" s="39"/>
      <c r="AP197" s="48"/>
      <c r="AR197" s="38"/>
      <c r="AS197" s="16"/>
      <c r="AU197" s="38"/>
      <c r="AW197" s="16"/>
      <c r="AY197" s="81"/>
      <c r="AZ197" s="39"/>
      <c r="BA197" s="48"/>
      <c r="BC197" s="38"/>
      <c r="BD197" s="16"/>
    </row>
    <row r="198" spans="22:56" ht="16" x14ac:dyDescent="0.4">
      <c r="V198" s="97">
        <v>45954</v>
      </c>
      <c r="W198" s="16">
        <v>212331</v>
      </c>
      <c r="X198" s="101" t="s">
        <v>36</v>
      </c>
      <c r="Y198" s="105"/>
      <c r="Z198" s="50">
        <v>0.81874999999999998</v>
      </c>
      <c r="AA198" s="50">
        <v>0.9145833333333333</v>
      </c>
      <c r="AD198" s="37">
        <v>22496</v>
      </c>
      <c r="AE198" s="93">
        <f t="shared" si="32"/>
        <v>22.495999999999999</v>
      </c>
      <c r="AF198">
        <v>15.24</v>
      </c>
      <c r="AG198" s="103">
        <f t="shared" si="34"/>
        <v>14</v>
      </c>
      <c r="AH198" s="37">
        <f t="shared" si="33"/>
        <v>22.495999999999999</v>
      </c>
      <c r="AJ198" s="38"/>
      <c r="AL198" s="16"/>
      <c r="AN198" s="81"/>
      <c r="AO198" s="39"/>
      <c r="AP198" s="48"/>
      <c r="AR198" s="38"/>
      <c r="AS198" s="16"/>
      <c r="AU198" s="38"/>
      <c r="AW198" s="16"/>
      <c r="AY198" s="81"/>
      <c r="AZ198" s="39"/>
      <c r="BA198" s="48"/>
      <c r="BC198" s="38"/>
      <c r="BD198" s="16"/>
    </row>
    <row r="199" spans="22:56" ht="16" x14ac:dyDescent="0.4">
      <c r="V199" s="97">
        <v>45955</v>
      </c>
      <c r="W199" s="16">
        <v>212352</v>
      </c>
      <c r="X199" s="101" t="s">
        <v>36</v>
      </c>
      <c r="Y199" s="105"/>
      <c r="Z199" s="50">
        <v>0.87569444444444444</v>
      </c>
      <c r="AA199" s="50">
        <v>0.99444444444444446</v>
      </c>
      <c r="AD199" s="37">
        <v>23078</v>
      </c>
      <c r="AE199" s="93">
        <f t="shared" si="32"/>
        <v>23.077999999999999</v>
      </c>
      <c r="AF199">
        <v>14.26</v>
      </c>
      <c r="AG199" s="103">
        <f t="shared" si="34"/>
        <v>14</v>
      </c>
      <c r="AH199" s="37">
        <f t="shared" si="33"/>
        <v>23.077999999999999</v>
      </c>
      <c r="AJ199" s="38"/>
      <c r="AL199" s="16"/>
      <c r="AN199" s="81"/>
      <c r="AO199" s="39"/>
      <c r="AP199" s="48"/>
      <c r="AR199" s="38"/>
      <c r="AS199" s="16"/>
      <c r="AU199" s="38"/>
      <c r="AW199" s="16"/>
      <c r="AY199" s="81"/>
      <c r="AZ199" s="39"/>
      <c r="BA199" s="48"/>
      <c r="BC199" s="38"/>
      <c r="BD199" s="16"/>
    </row>
    <row r="200" spans="22:56" ht="16" x14ac:dyDescent="0.4">
      <c r="V200" s="97">
        <v>45955</v>
      </c>
      <c r="W200" s="16">
        <v>212366</v>
      </c>
      <c r="X200" s="101" t="s">
        <v>36</v>
      </c>
      <c r="Y200" s="105"/>
      <c r="Z200" s="50">
        <v>0.95208333333333339</v>
      </c>
      <c r="AA200" s="50">
        <v>6.458333333333334E-2</v>
      </c>
      <c r="AD200" s="37">
        <v>21144</v>
      </c>
      <c r="AE200" s="93">
        <f t="shared" si="32"/>
        <v>21.143999999999998</v>
      </c>
      <c r="AF200">
        <v>15.88</v>
      </c>
      <c r="AG200" s="103">
        <f t="shared" si="34"/>
        <v>14</v>
      </c>
      <c r="AH200" s="37">
        <f t="shared" si="33"/>
        <v>21.143999999999998</v>
      </c>
      <c r="AJ200" s="38"/>
      <c r="AL200" s="16"/>
      <c r="AN200" s="81"/>
      <c r="AO200" s="39"/>
      <c r="AP200" s="48"/>
      <c r="AR200" s="38"/>
      <c r="AS200" s="16"/>
      <c r="AU200" s="38"/>
      <c r="AW200" s="16"/>
      <c r="AY200" s="81"/>
      <c r="AZ200" s="39"/>
      <c r="BA200" s="48"/>
      <c r="BC200" s="38"/>
      <c r="BD200" s="16"/>
    </row>
    <row r="201" spans="22:56" ht="16" x14ac:dyDescent="0.4">
      <c r="V201" s="97">
        <v>45955</v>
      </c>
      <c r="W201" s="16">
        <v>212373</v>
      </c>
      <c r="X201" s="101" t="s">
        <v>36</v>
      </c>
      <c r="Y201" s="105"/>
      <c r="Z201" s="50">
        <v>3.6805555555555557E-2</v>
      </c>
      <c r="AA201" s="50">
        <v>0.11597222222222221</v>
      </c>
      <c r="AD201" s="37">
        <v>22244</v>
      </c>
      <c r="AE201" s="93">
        <f t="shared" si="32"/>
        <v>22.244</v>
      </c>
      <c r="AF201">
        <v>14.98</v>
      </c>
      <c r="AG201" s="103">
        <f t="shared" si="34"/>
        <v>14</v>
      </c>
      <c r="AH201" s="37">
        <f t="shared" si="33"/>
        <v>22.244</v>
      </c>
      <c r="AJ201" s="38"/>
      <c r="AL201" s="16"/>
      <c r="AN201" s="81"/>
      <c r="AO201" s="39"/>
      <c r="AP201" s="48"/>
      <c r="AR201" s="38"/>
      <c r="AS201" s="16"/>
      <c r="AU201" s="38"/>
      <c r="AW201" s="16"/>
      <c r="AY201" s="81"/>
      <c r="AZ201" s="39"/>
      <c r="BA201" s="48"/>
      <c r="BC201" s="38"/>
      <c r="BD201" s="16"/>
    </row>
    <row r="202" spans="22:56" ht="16" x14ac:dyDescent="0.4">
      <c r="V202" s="97">
        <v>45955</v>
      </c>
      <c r="W202" s="16">
        <v>212382</v>
      </c>
      <c r="X202" s="101" t="s">
        <v>36</v>
      </c>
      <c r="Y202" s="105"/>
      <c r="Z202" s="50">
        <v>0.11944444444444445</v>
      </c>
      <c r="AA202" s="50">
        <v>0.1763888888888889</v>
      </c>
      <c r="AD202" s="37">
        <v>20936</v>
      </c>
      <c r="AE202" s="93">
        <f t="shared" si="32"/>
        <v>20.936</v>
      </c>
      <c r="AF202">
        <v>14.11</v>
      </c>
      <c r="AG202" s="103">
        <f t="shared" si="34"/>
        <v>14</v>
      </c>
      <c r="AH202" s="37">
        <f t="shared" si="33"/>
        <v>20.936</v>
      </c>
      <c r="AJ202" s="38"/>
      <c r="AL202" s="16"/>
      <c r="AN202" s="81"/>
      <c r="AO202" s="39"/>
      <c r="AP202" s="48"/>
      <c r="AR202" s="38"/>
      <c r="AS202" s="16"/>
      <c r="AU202" s="38"/>
      <c r="AW202" s="16"/>
      <c r="AY202" s="81"/>
      <c r="AZ202" s="39"/>
      <c r="BA202" s="48"/>
      <c r="BC202" s="38"/>
      <c r="BD202" s="16"/>
    </row>
    <row r="203" spans="22:56" ht="16" x14ac:dyDescent="0.4">
      <c r="V203" s="97">
        <v>45955</v>
      </c>
      <c r="W203" s="16">
        <v>212388</v>
      </c>
      <c r="X203" s="101" t="s">
        <v>36</v>
      </c>
      <c r="Y203" s="105"/>
      <c r="Z203" s="50">
        <v>0.14667824074074073</v>
      </c>
      <c r="AA203" s="50">
        <v>0.22862268518518516</v>
      </c>
      <c r="AD203" s="37">
        <v>17442</v>
      </c>
      <c r="AE203" s="93">
        <f t="shared" si="32"/>
        <v>17.442</v>
      </c>
      <c r="AF203">
        <v>14.59</v>
      </c>
      <c r="AG203" s="103">
        <f t="shared" si="34"/>
        <v>14</v>
      </c>
      <c r="AH203" s="37">
        <f t="shared" si="33"/>
        <v>17.442</v>
      </c>
      <c r="AJ203" s="38"/>
      <c r="AL203" s="16"/>
      <c r="AN203" s="81"/>
      <c r="AO203" s="39"/>
      <c r="AP203" s="48"/>
      <c r="AR203" s="38"/>
      <c r="AS203" s="16"/>
      <c r="AU203" s="38"/>
      <c r="AW203" s="16"/>
      <c r="AY203" s="81"/>
      <c r="AZ203" s="39"/>
      <c r="BA203" s="48"/>
      <c r="BC203" s="38"/>
      <c r="BD203" s="16"/>
    </row>
    <row r="204" spans="22:56" ht="16" x14ac:dyDescent="0.4">
      <c r="V204" s="97">
        <v>45955</v>
      </c>
      <c r="W204" s="16">
        <v>212426</v>
      </c>
      <c r="X204" s="101" t="s">
        <v>36</v>
      </c>
      <c r="Y204" s="105"/>
      <c r="Z204" s="50">
        <v>0.21634259259259259</v>
      </c>
      <c r="AA204" s="50">
        <v>0.33296296296296296</v>
      </c>
      <c r="AD204" s="37">
        <v>20569</v>
      </c>
      <c r="AE204" s="93">
        <f t="shared" si="32"/>
        <v>20.568999999999999</v>
      </c>
      <c r="AF204">
        <v>14.49</v>
      </c>
      <c r="AG204" s="103">
        <f t="shared" si="34"/>
        <v>14</v>
      </c>
      <c r="AH204" s="37">
        <f t="shared" si="33"/>
        <v>20.568999999999999</v>
      </c>
      <c r="AJ204" s="38"/>
      <c r="AL204" s="16"/>
      <c r="AN204" s="81"/>
      <c r="AO204" s="39"/>
      <c r="AP204" s="48"/>
      <c r="AR204" s="38"/>
      <c r="AS204" s="16"/>
      <c r="AU204" s="38"/>
      <c r="AW204" s="16"/>
      <c r="AY204" s="81"/>
      <c r="AZ204" s="39"/>
      <c r="BA204" s="48"/>
      <c r="BC204" s="38"/>
      <c r="BD204" s="16"/>
    </row>
    <row r="205" spans="22:56" ht="16" x14ac:dyDescent="0.4">
      <c r="V205" s="97">
        <v>45955</v>
      </c>
      <c r="W205" s="16">
        <v>212476</v>
      </c>
      <c r="X205" s="101" t="s">
        <v>36</v>
      </c>
      <c r="Y205" s="105"/>
      <c r="Z205" s="50">
        <v>0.26503472222222219</v>
      </c>
      <c r="AA205" s="50">
        <v>0.39662037037037035</v>
      </c>
      <c r="AD205" s="37">
        <v>18348</v>
      </c>
      <c r="AE205" s="93">
        <f t="shared" si="32"/>
        <v>18.347999999999999</v>
      </c>
      <c r="AF205">
        <v>16.059999999999999</v>
      </c>
      <c r="AG205" s="103">
        <f t="shared" si="34"/>
        <v>14</v>
      </c>
      <c r="AH205" s="37">
        <f t="shared" si="33"/>
        <v>18.347999999999995</v>
      </c>
      <c r="AJ205" s="38"/>
      <c r="AL205" s="16"/>
      <c r="AN205" s="81"/>
      <c r="AO205" s="39"/>
      <c r="AP205" s="48"/>
      <c r="AR205" s="38"/>
      <c r="AS205" s="16"/>
      <c r="AU205" s="38"/>
      <c r="AW205" s="16"/>
      <c r="AY205" s="81"/>
      <c r="AZ205" s="39"/>
      <c r="BA205" s="48"/>
      <c r="BC205" s="38"/>
      <c r="BD205" s="16"/>
    </row>
    <row r="206" spans="22:56" ht="16" x14ac:dyDescent="0.4">
      <c r="V206" s="97">
        <v>45955</v>
      </c>
      <c r="W206" s="16">
        <v>212518</v>
      </c>
      <c r="X206" s="101" t="s">
        <v>36</v>
      </c>
      <c r="Y206" s="105"/>
      <c r="Z206" s="50">
        <v>0.4914351851851852</v>
      </c>
      <c r="AA206" s="50"/>
      <c r="AD206" s="37">
        <v>20350</v>
      </c>
      <c r="AE206" s="93">
        <f t="shared" si="32"/>
        <v>20.350000000000001</v>
      </c>
      <c r="AF206">
        <v>15.59</v>
      </c>
      <c r="AG206" s="103">
        <f t="shared" si="34"/>
        <v>14</v>
      </c>
      <c r="AH206" s="37">
        <f t="shared" si="33"/>
        <v>20.350000000000001</v>
      </c>
      <c r="AJ206" s="38"/>
      <c r="AL206" s="16"/>
      <c r="AN206" s="81"/>
      <c r="AO206" s="39"/>
      <c r="AP206" s="48"/>
      <c r="AR206" s="38"/>
      <c r="AS206" s="16"/>
      <c r="AU206" s="38"/>
      <c r="AW206" s="16"/>
      <c r="AY206" s="81"/>
      <c r="AZ206" s="39"/>
      <c r="BA206" s="48"/>
      <c r="BC206" s="38"/>
      <c r="BD206" s="16"/>
    </row>
    <row r="207" spans="22:56" ht="16" x14ac:dyDescent="0.4">
      <c r="V207" s="97">
        <v>45955</v>
      </c>
      <c r="W207" s="16">
        <v>212539</v>
      </c>
      <c r="X207" s="101" t="s">
        <v>36</v>
      </c>
      <c r="Y207" s="105"/>
      <c r="Z207" s="50">
        <v>0.56761574074074073</v>
      </c>
      <c r="AA207" s="50"/>
      <c r="AD207" s="37">
        <v>19390</v>
      </c>
      <c r="AE207" s="93">
        <f t="shared" si="32"/>
        <v>19.39</v>
      </c>
      <c r="AF207">
        <v>16.16</v>
      </c>
      <c r="AG207" s="103">
        <f t="shared" si="34"/>
        <v>14</v>
      </c>
      <c r="AH207" s="37">
        <f t="shared" si="33"/>
        <v>19.390000000000004</v>
      </c>
      <c r="AJ207" s="38"/>
      <c r="AL207" s="16"/>
      <c r="AN207" s="81"/>
      <c r="AO207" s="39"/>
      <c r="AP207" s="48"/>
      <c r="AR207" s="38"/>
      <c r="AS207" s="16"/>
      <c r="AU207" s="38"/>
      <c r="AW207" s="16"/>
      <c r="AY207" s="81"/>
      <c r="AZ207" s="39"/>
      <c r="BA207" s="48"/>
      <c r="BC207" s="38"/>
      <c r="BD207" s="16"/>
    </row>
    <row r="208" spans="22:56" ht="16" x14ac:dyDescent="0.4">
      <c r="V208" s="97">
        <v>45955</v>
      </c>
      <c r="W208" s="16">
        <v>212568</v>
      </c>
      <c r="X208" s="101" t="s">
        <v>36</v>
      </c>
      <c r="Y208" s="105"/>
      <c r="Z208" s="50">
        <v>0.52914351851851849</v>
      </c>
      <c r="AA208" s="50">
        <v>0.65175925925925926</v>
      </c>
      <c r="AD208" s="37">
        <v>17562</v>
      </c>
      <c r="AE208" s="93">
        <f t="shared" si="32"/>
        <v>17.562000000000001</v>
      </c>
      <c r="AF208">
        <v>16.3</v>
      </c>
      <c r="AG208" s="103">
        <f t="shared" si="34"/>
        <v>14</v>
      </c>
      <c r="AH208" s="37">
        <f t="shared" si="33"/>
        <v>17.562000000000001</v>
      </c>
      <c r="AJ208" s="38"/>
      <c r="AL208" s="16"/>
      <c r="AN208" s="81"/>
      <c r="AO208" s="39"/>
      <c r="AP208" s="48"/>
      <c r="AR208" s="38"/>
      <c r="AS208" s="16"/>
      <c r="AU208" s="38"/>
      <c r="AW208" s="16"/>
      <c r="AY208" s="81"/>
      <c r="AZ208" s="39"/>
      <c r="BA208" s="48"/>
      <c r="BC208" s="38"/>
      <c r="BD208" s="16"/>
    </row>
    <row r="209" spans="18:56" ht="16" x14ac:dyDescent="0.4">
      <c r="V209" s="90">
        <v>45955</v>
      </c>
      <c r="W209" s="17">
        <v>212581</v>
      </c>
      <c r="X209" s="101" t="s">
        <v>36</v>
      </c>
      <c r="Y209" s="110"/>
      <c r="Z209" s="50">
        <v>0.60197916666666662</v>
      </c>
      <c r="AA209" s="50">
        <v>0.71557870370370369</v>
      </c>
      <c r="AD209" s="37">
        <v>18658</v>
      </c>
      <c r="AE209" s="93">
        <f t="shared" si="32"/>
        <v>18.658000000000001</v>
      </c>
      <c r="AF209">
        <v>16.7</v>
      </c>
      <c r="AG209" s="103">
        <f t="shared" si="34"/>
        <v>14</v>
      </c>
      <c r="AH209" s="37">
        <f t="shared" si="33"/>
        <v>18.657999999999998</v>
      </c>
      <c r="AJ209" s="38"/>
      <c r="AL209" s="16"/>
      <c r="AN209" s="81"/>
      <c r="AO209" s="81"/>
      <c r="AP209" s="48"/>
      <c r="AR209" s="38"/>
      <c r="AS209" s="16"/>
      <c r="AU209" s="38"/>
      <c r="AW209" s="16"/>
      <c r="AY209" s="81"/>
      <c r="AZ209" s="81"/>
      <c r="BA209" s="48"/>
      <c r="BC209" s="38"/>
      <c r="BD209" s="16"/>
    </row>
    <row r="210" spans="18:56" ht="16" x14ac:dyDescent="0.4">
      <c r="V210" s="97">
        <v>45955</v>
      </c>
      <c r="W210" s="16">
        <v>212605</v>
      </c>
      <c r="X210" s="101" t="s">
        <v>36</v>
      </c>
      <c r="Y210" s="105"/>
      <c r="Z210" s="50">
        <v>0.68541666666666667</v>
      </c>
      <c r="AA210" s="50">
        <v>0.77222222222222225</v>
      </c>
      <c r="AD210" s="37">
        <v>20270</v>
      </c>
      <c r="AE210" s="93">
        <f t="shared" si="32"/>
        <v>20.27</v>
      </c>
      <c r="AF210">
        <v>14.24</v>
      </c>
      <c r="AG210" s="103">
        <f t="shared" si="34"/>
        <v>14</v>
      </c>
      <c r="AH210" s="37">
        <f t="shared" si="33"/>
        <v>20.27</v>
      </c>
      <c r="AJ210" s="38"/>
      <c r="AL210" s="16"/>
      <c r="AN210" s="81"/>
      <c r="AO210" s="81"/>
      <c r="AP210" s="48"/>
      <c r="AR210" s="38"/>
      <c r="AS210" s="16"/>
      <c r="AU210" s="38"/>
      <c r="AW210" s="16"/>
      <c r="AY210" s="81"/>
      <c r="AZ210" s="81"/>
      <c r="BA210" s="48"/>
      <c r="BC210" s="38"/>
      <c r="BD210" s="16"/>
    </row>
    <row r="211" spans="18:56" ht="16" x14ac:dyDescent="0.4">
      <c r="V211" s="97">
        <v>45955</v>
      </c>
      <c r="W211" s="16">
        <v>212640</v>
      </c>
      <c r="X211" s="101" t="s">
        <v>36</v>
      </c>
      <c r="Y211" s="105"/>
      <c r="Z211" s="50">
        <v>0.75416666666666676</v>
      </c>
      <c r="AA211" s="50">
        <v>0.83958333333333324</v>
      </c>
      <c r="AD211" s="37">
        <v>23166</v>
      </c>
      <c r="AE211" s="93">
        <f t="shared" si="32"/>
        <v>23.166</v>
      </c>
      <c r="AF211">
        <v>15.18</v>
      </c>
      <c r="AG211" s="103">
        <f t="shared" si="34"/>
        <v>14</v>
      </c>
      <c r="AH211" s="37">
        <f t="shared" si="33"/>
        <v>23.166</v>
      </c>
      <c r="AJ211" s="38"/>
      <c r="AL211" s="16"/>
      <c r="AN211" s="81"/>
      <c r="AO211" s="81"/>
      <c r="AP211" s="48"/>
      <c r="AR211" s="38"/>
      <c r="AS211" s="16"/>
      <c r="AU211" s="38"/>
      <c r="AW211" s="16"/>
      <c r="AY211" s="81"/>
      <c r="AZ211" s="81"/>
      <c r="BA211" s="48"/>
      <c r="BC211" s="38"/>
      <c r="BD211" s="16"/>
    </row>
    <row r="212" spans="18:56" ht="16" x14ac:dyDescent="0.4">
      <c r="V212" s="97">
        <v>45955</v>
      </c>
      <c r="W212" s="16">
        <v>212657</v>
      </c>
      <c r="X212" s="101" t="s">
        <v>36</v>
      </c>
      <c r="Y212" s="105"/>
      <c r="Z212" s="50">
        <v>0.81319444444444444</v>
      </c>
      <c r="AA212" s="50">
        <v>0.91319444444444453</v>
      </c>
      <c r="AD212" s="37">
        <v>22424</v>
      </c>
      <c r="AE212" s="93">
        <f t="shared" si="32"/>
        <v>22.423999999999999</v>
      </c>
      <c r="AF212">
        <v>14.95</v>
      </c>
      <c r="AG212" s="103">
        <f t="shared" si="34"/>
        <v>14</v>
      </c>
      <c r="AH212" s="37">
        <f t="shared" si="33"/>
        <v>22.423999999999999</v>
      </c>
      <c r="AJ212" s="38"/>
      <c r="AL212" s="16"/>
      <c r="AN212" s="81"/>
      <c r="AO212" s="81"/>
      <c r="AP212" s="48"/>
      <c r="AR212" s="38"/>
      <c r="AS212" s="16"/>
      <c r="AU212" s="38"/>
      <c r="AW212" s="16"/>
      <c r="AY212" s="81"/>
      <c r="AZ212" s="81"/>
      <c r="BA212" s="48"/>
      <c r="BC212" s="38"/>
      <c r="BD212" s="16"/>
    </row>
    <row r="213" spans="18:56" ht="16" x14ac:dyDescent="0.4">
      <c r="V213" s="97">
        <v>45956</v>
      </c>
      <c r="W213" s="16">
        <v>212671</v>
      </c>
      <c r="X213" s="101" t="s">
        <v>36</v>
      </c>
      <c r="Y213" s="105"/>
      <c r="Z213" s="50">
        <v>0.88194444444444453</v>
      </c>
      <c r="AA213" s="50">
        <v>7.6388888888888886E-3</v>
      </c>
      <c r="AD213" s="37">
        <v>20442</v>
      </c>
      <c r="AE213" s="93">
        <f t="shared" si="32"/>
        <v>20.442</v>
      </c>
      <c r="AF213">
        <v>14.05</v>
      </c>
      <c r="AG213" s="103">
        <f t="shared" si="34"/>
        <v>14</v>
      </c>
      <c r="AH213" s="37">
        <f t="shared" si="33"/>
        <v>20.442</v>
      </c>
      <c r="AJ213" s="38"/>
      <c r="AL213" s="16"/>
      <c r="AN213" s="81"/>
      <c r="AO213" s="81"/>
      <c r="AP213" s="48"/>
      <c r="AR213" s="38"/>
      <c r="AS213" s="16"/>
      <c r="AU213" s="38"/>
      <c r="AW213" s="16"/>
      <c r="AY213" s="81"/>
      <c r="AZ213" s="81"/>
      <c r="BA213" s="48"/>
      <c r="BC213" s="38"/>
      <c r="BD213" s="16"/>
    </row>
    <row r="214" spans="18:56" ht="16" x14ac:dyDescent="0.4">
      <c r="V214" s="97">
        <v>45956</v>
      </c>
      <c r="W214" s="16">
        <v>212674</v>
      </c>
      <c r="X214" s="101" t="s">
        <v>36</v>
      </c>
      <c r="Y214" s="105"/>
      <c r="Z214" s="50">
        <v>0.94374999999999998</v>
      </c>
      <c r="AA214" s="50">
        <v>6.5972222222222224E-2</v>
      </c>
      <c r="AD214" s="37">
        <v>20384</v>
      </c>
      <c r="AE214" s="93">
        <f t="shared" si="32"/>
        <v>20.384</v>
      </c>
      <c r="AF214">
        <v>15.56</v>
      </c>
      <c r="AG214" s="103">
        <f t="shared" si="34"/>
        <v>14</v>
      </c>
      <c r="AH214" s="37">
        <f t="shared" si="33"/>
        <v>20.383999999999997</v>
      </c>
      <c r="AJ214" s="38"/>
      <c r="AL214" s="16"/>
      <c r="AN214" s="81"/>
      <c r="AO214" s="81"/>
      <c r="AP214" s="48"/>
      <c r="AR214" s="38"/>
      <c r="AS214" s="16"/>
      <c r="AU214" s="38"/>
      <c r="AW214" s="16"/>
      <c r="AY214" s="81"/>
      <c r="AZ214" s="81"/>
      <c r="BA214" s="48"/>
      <c r="BC214" s="38"/>
      <c r="BD214" s="16"/>
    </row>
    <row r="215" spans="18:56" ht="16" x14ac:dyDescent="0.4">
      <c r="V215" s="97">
        <v>45956</v>
      </c>
      <c r="W215" s="16">
        <v>212677</v>
      </c>
      <c r="X215" s="101" t="s">
        <v>36</v>
      </c>
      <c r="Y215" s="105"/>
      <c r="Z215" s="50">
        <v>4.7916666666666663E-2</v>
      </c>
      <c r="AA215" s="50">
        <v>0.13125000000000001</v>
      </c>
      <c r="AD215" s="37">
        <v>21302</v>
      </c>
      <c r="AE215" s="93">
        <f t="shared" si="32"/>
        <v>21.302</v>
      </c>
      <c r="AF215">
        <v>14.22</v>
      </c>
      <c r="AG215" s="103">
        <f t="shared" si="34"/>
        <v>14</v>
      </c>
      <c r="AH215" s="37">
        <f t="shared" si="33"/>
        <v>21.302</v>
      </c>
      <c r="AJ215" s="38"/>
      <c r="AL215" s="16"/>
      <c r="AN215" s="81"/>
      <c r="AO215" s="81"/>
      <c r="AP215" s="48"/>
      <c r="AR215" s="38"/>
      <c r="AS215" s="16"/>
      <c r="AU215" s="38"/>
      <c r="AW215" s="16"/>
      <c r="AY215" s="81"/>
      <c r="AZ215" s="81"/>
      <c r="BA215" s="48"/>
      <c r="BC215" s="38"/>
      <c r="BD215" s="16"/>
    </row>
    <row r="216" spans="18:56" ht="16" x14ac:dyDescent="0.4">
      <c r="V216" s="97">
        <v>45956</v>
      </c>
      <c r="W216" s="16">
        <v>212682</v>
      </c>
      <c r="X216" s="101" t="s">
        <v>36</v>
      </c>
      <c r="Y216" s="105"/>
      <c r="Z216" s="50">
        <v>0.11388888888888889</v>
      </c>
      <c r="AA216" s="50">
        <v>0.18263888888888891</v>
      </c>
      <c r="AD216" s="37">
        <v>20468</v>
      </c>
      <c r="AE216" s="93">
        <f t="shared" si="32"/>
        <v>20.468</v>
      </c>
      <c r="AF216">
        <v>15.75</v>
      </c>
      <c r="AG216" s="103">
        <f t="shared" si="34"/>
        <v>14</v>
      </c>
      <c r="AH216" s="37">
        <f t="shared" si="33"/>
        <v>20.468</v>
      </c>
      <c r="AJ216" s="38"/>
      <c r="AL216" s="16"/>
      <c r="AN216" s="81"/>
      <c r="AO216" s="81"/>
      <c r="AP216" s="48"/>
      <c r="AR216" s="38"/>
      <c r="AS216" s="16"/>
      <c r="AU216" s="38"/>
      <c r="AW216" s="16"/>
      <c r="AY216" s="81"/>
      <c r="AZ216" s="81"/>
      <c r="BA216" s="48"/>
      <c r="BC216" s="38"/>
      <c r="BD216" s="16"/>
    </row>
    <row r="217" spans="18:56" ht="16" x14ac:dyDescent="0.4">
      <c r="V217" s="97">
        <v>45956</v>
      </c>
      <c r="W217" s="16">
        <v>212685</v>
      </c>
      <c r="X217" s="101" t="s">
        <v>36</v>
      </c>
      <c r="Y217" s="105"/>
      <c r="Z217" s="50">
        <v>0.16319444444444445</v>
      </c>
      <c r="AA217" s="50">
        <v>0.22847222222222222</v>
      </c>
      <c r="AD217" s="37">
        <v>18912</v>
      </c>
      <c r="AE217" s="93">
        <f t="shared" si="32"/>
        <v>18.911999999999999</v>
      </c>
      <c r="AF217">
        <v>14.59</v>
      </c>
      <c r="AG217" s="103">
        <f t="shared" si="34"/>
        <v>14</v>
      </c>
      <c r="AH217" s="37">
        <f t="shared" si="33"/>
        <v>18.911999999999999</v>
      </c>
      <c r="AJ217" s="38"/>
      <c r="AL217" s="16"/>
      <c r="AN217" s="81"/>
      <c r="AO217" s="81"/>
      <c r="AP217" s="48"/>
      <c r="AR217" s="38"/>
      <c r="AS217" s="16"/>
      <c r="AU217" s="38"/>
      <c r="AW217" s="16"/>
      <c r="AY217" s="81"/>
      <c r="AZ217" s="81"/>
      <c r="BA217" s="48"/>
      <c r="BC217" s="38"/>
      <c r="BD217" s="16"/>
    </row>
    <row r="218" spans="18:56" ht="16" x14ac:dyDescent="0.4">
      <c r="V218" s="90">
        <v>45956</v>
      </c>
      <c r="W218" s="17">
        <v>212687</v>
      </c>
      <c r="X218" s="101" t="s">
        <v>36</v>
      </c>
      <c r="Y218" s="110"/>
      <c r="Z218" s="50">
        <v>0.2142361111111111</v>
      </c>
      <c r="AA218" s="50">
        <v>0.27803240740740742</v>
      </c>
      <c r="AD218" s="37">
        <v>20770</v>
      </c>
      <c r="AE218" s="93">
        <f t="shared" si="32"/>
        <v>20.77</v>
      </c>
      <c r="AF218">
        <v>14.74</v>
      </c>
      <c r="AG218" s="103">
        <f t="shared" si="34"/>
        <v>14</v>
      </c>
      <c r="AH218" s="37">
        <f t="shared" si="33"/>
        <v>20.77</v>
      </c>
      <c r="AJ218" s="38"/>
      <c r="AL218" s="16"/>
      <c r="AN218" s="81"/>
      <c r="AO218" s="81"/>
      <c r="AP218" s="48"/>
      <c r="AR218" s="38"/>
      <c r="AS218" s="16"/>
      <c r="AU218" s="38"/>
      <c r="AW218" s="16"/>
      <c r="AY218" s="81"/>
      <c r="AZ218" s="81"/>
      <c r="BA218" s="48"/>
      <c r="BC218" s="38"/>
      <c r="BD218" s="16"/>
    </row>
    <row r="219" spans="18:56" ht="16" x14ac:dyDescent="0.4">
      <c r="R219" s="33"/>
      <c r="V219" s="97">
        <v>45958</v>
      </c>
      <c r="W219">
        <v>213198</v>
      </c>
      <c r="X219" s="101" t="s">
        <v>36</v>
      </c>
      <c r="Y219" s="105"/>
      <c r="Z219" s="50">
        <v>0.26340277777777776</v>
      </c>
      <c r="AA219" s="50">
        <v>0.34582175925925923</v>
      </c>
      <c r="AD219" s="37">
        <v>18894</v>
      </c>
      <c r="AE219" s="93">
        <f t="shared" si="32"/>
        <v>18.893999999999998</v>
      </c>
      <c r="AF219">
        <v>15.45</v>
      </c>
      <c r="AG219" s="103">
        <f t="shared" si="34"/>
        <v>14</v>
      </c>
      <c r="AH219" s="37">
        <f t="shared" si="33"/>
        <v>18.893999999999998</v>
      </c>
      <c r="AJ219" s="38"/>
      <c r="AL219" s="16"/>
      <c r="AN219" s="81"/>
      <c r="AO219" s="81"/>
      <c r="AP219" s="48"/>
      <c r="AR219" s="38"/>
      <c r="AU219" s="38"/>
      <c r="AW219" s="16"/>
      <c r="AY219" s="81"/>
      <c r="AZ219" s="81"/>
      <c r="BA219" s="48"/>
      <c r="BC219" s="38"/>
    </row>
    <row r="220" spans="18:56" ht="16" x14ac:dyDescent="0.4">
      <c r="R220" s="33"/>
      <c r="V220" s="97">
        <v>45958</v>
      </c>
      <c r="W220">
        <v>213319</v>
      </c>
      <c r="X220" s="101" t="s">
        <v>36</v>
      </c>
      <c r="Y220" s="105"/>
      <c r="Z220" s="50">
        <v>0.41258101851851853</v>
      </c>
      <c r="AA220" s="50">
        <v>0.51150462962962961</v>
      </c>
      <c r="AD220" s="37">
        <v>20500</v>
      </c>
      <c r="AE220" s="93">
        <f t="shared" si="32"/>
        <v>20.5</v>
      </c>
      <c r="AF220">
        <v>14.99</v>
      </c>
      <c r="AG220" s="103">
        <f t="shared" si="34"/>
        <v>14</v>
      </c>
      <c r="AH220" s="37">
        <f t="shared" si="33"/>
        <v>20.5</v>
      </c>
      <c r="AJ220" s="38"/>
      <c r="AL220" s="16"/>
      <c r="AN220" s="81"/>
      <c r="AO220" s="81"/>
      <c r="AP220" s="48"/>
      <c r="AR220" s="38"/>
      <c r="AU220" s="38"/>
      <c r="AW220" s="16"/>
      <c r="AY220" s="81"/>
      <c r="AZ220" s="81"/>
      <c r="BA220" s="48"/>
      <c r="BC220" s="38"/>
    </row>
    <row r="221" spans="18:56" ht="16" x14ac:dyDescent="0.4">
      <c r="V221" s="97">
        <v>45958</v>
      </c>
      <c r="W221">
        <v>213261</v>
      </c>
      <c r="X221" s="101" t="s">
        <v>36</v>
      </c>
      <c r="Y221" s="105"/>
      <c r="Z221" s="50"/>
      <c r="AA221" s="50"/>
      <c r="AD221" s="37">
        <v>19292</v>
      </c>
      <c r="AE221" s="93">
        <f t="shared" si="32"/>
        <v>19.292000000000002</v>
      </c>
      <c r="AF221">
        <v>15.48</v>
      </c>
      <c r="AG221" s="103">
        <f t="shared" si="34"/>
        <v>14</v>
      </c>
      <c r="AH221" s="37">
        <f t="shared" si="33"/>
        <v>19.292000000000002</v>
      </c>
      <c r="AJ221" s="38"/>
      <c r="AL221" s="16"/>
      <c r="AN221" s="81"/>
      <c r="AO221" s="81"/>
      <c r="AP221" s="48"/>
      <c r="AR221" s="38"/>
      <c r="AU221" s="38"/>
      <c r="AW221" s="16"/>
      <c r="AY221" s="81"/>
      <c r="AZ221" s="81"/>
      <c r="BA221" s="48"/>
      <c r="BC221" s="38"/>
    </row>
    <row r="222" spans="18:56" ht="16" x14ac:dyDescent="0.4">
      <c r="V222" s="97">
        <v>45958</v>
      </c>
      <c r="W222">
        <v>213361</v>
      </c>
      <c r="X222" s="101" t="s">
        <v>36</v>
      </c>
      <c r="Y222" s="105"/>
      <c r="Z222" s="50">
        <v>0.46394675925925927</v>
      </c>
      <c r="AA222" s="50">
        <v>0.58086805555555554</v>
      </c>
      <c r="AD222" s="37">
        <v>18812</v>
      </c>
      <c r="AE222" s="93">
        <f t="shared" si="32"/>
        <v>18.812000000000001</v>
      </c>
      <c r="AF222">
        <v>17.7</v>
      </c>
      <c r="AG222" s="103">
        <f t="shared" si="34"/>
        <v>14</v>
      </c>
      <c r="AH222" s="37">
        <f t="shared" si="33"/>
        <v>18.812000000000001</v>
      </c>
      <c r="AJ222" s="38"/>
      <c r="AL222" s="16"/>
      <c r="AN222" s="81"/>
      <c r="AO222" s="81"/>
      <c r="AP222" s="48"/>
      <c r="AR222" s="38"/>
      <c r="AU222" s="38"/>
      <c r="AW222" s="16"/>
      <c r="AY222" s="81"/>
      <c r="AZ222" s="81"/>
      <c r="BA222" s="48"/>
      <c r="BC222" s="38"/>
    </row>
    <row r="223" spans="18:56" ht="16" x14ac:dyDescent="0.4">
      <c r="V223" s="97">
        <v>45958</v>
      </c>
      <c r="W223">
        <v>213414</v>
      </c>
      <c r="X223" s="101" t="s">
        <v>36</v>
      </c>
      <c r="Y223" s="105"/>
      <c r="Z223" s="50">
        <v>0.41288194444444443</v>
      </c>
      <c r="AA223" s="50">
        <v>0.6404629629629629</v>
      </c>
      <c r="AD223" s="37">
        <v>18674</v>
      </c>
      <c r="AE223" s="93">
        <f t="shared" si="32"/>
        <v>18.673999999999999</v>
      </c>
      <c r="AF223">
        <v>17.059999999999999</v>
      </c>
      <c r="AG223" s="103">
        <f t="shared" si="34"/>
        <v>14</v>
      </c>
      <c r="AH223" s="37">
        <f t="shared" si="33"/>
        <v>18.673999999999999</v>
      </c>
      <c r="AJ223" s="38"/>
      <c r="AL223" s="16"/>
      <c r="AN223" s="81"/>
      <c r="AO223" s="81"/>
      <c r="AP223" s="48"/>
      <c r="AR223" s="38"/>
      <c r="AU223" s="38"/>
      <c r="AW223" s="16"/>
      <c r="AY223" s="81"/>
      <c r="AZ223" s="81"/>
      <c r="BA223" s="48"/>
      <c r="BC223" s="38"/>
    </row>
    <row r="224" spans="18:56" ht="16" x14ac:dyDescent="0.4">
      <c r="V224" s="97">
        <v>45958</v>
      </c>
      <c r="W224">
        <v>213436</v>
      </c>
      <c r="X224" s="101" t="s">
        <v>36</v>
      </c>
      <c r="Y224" s="105"/>
      <c r="Z224" s="50">
        <v>0.46421296296296299</v>
      </c>
      <c r="AA224" s="50">
        <v>0.70892361111111113</v>
      </c>
      <c r="AD224" s="37">
        <v>18536</v>
      </c>
      <c r="AE224" s="93">
        <f t="shared" si="32"/>
        <v>18.536000000000001</v>
      </c>
      <c r="AF224">
        <v>17.55</v>
      </c>
      <c r="AG224" s="103">
        <f t="shared" si="34"/>
        <v>14</v>
      </c>
      <c r="AH224" s="37">
        <f t="shared" si="33"/>
        <v>18.536000000000001</v>
      </c>
      <c r="AJ224" s="38"/>
      <c r="AL224" s="16"/>
      <c r="AN224" s="81"/>
      <c r="AO224" s="81"/>
      <c r="AP224" s="48"/>
      <c r="AR224" s="38"/>
      <c r="AU224" s="38"/>
      <c r="AW224" s="16"/>
      <c r="AY224" s="81"/>
      <c r="AZ224" s="81"/>
      <c r="BA224" s="48"/>
      <c r="BC224" s="38"/>
    </row>
    <row r="225" spans="22:56" ht="16" x14ac:dyDescent="0.4">
      <c r="V225" s="97">
        <v>45958</v>
      </c>
      <c r="W225">
        <v>213447</v>
      </c>
      <c r="X225" s="101" t="s">
        <v>36</v>
      </c>
      <c r="Y225" s="105"/>
      <c r="Z225" s="50">
        <v>0.4069444444444445</v>
      </c>
      <c r="AA225" s="50">
        <v>0.73055555555555562</v>
      </c>
      <c r="AD225" s="37">
        <v>13464</v>
      </c>
      <c r="AE225" s="93">
        <f t="shared" si="32"/>
        <v>13.464</v>
      </c>
      <c r="AF225">
        <v>17.2</v>
      </c>
      <c r="AG225" s="103">
        <f t="shared" si="34"/>
        <v>14</v>
      </c>
      <c r="AH225" s="37">
        <f t="shared" si="33"/>
        <v>13.464</v>
      </c>
      <c r="AJ225" s="38"/>
      <c r="AL225" s="16"/>
      <c r="AN225" s="39"/>
      <c r="AO225" s="39"/>
      <c r="AP225" s="48"/>
      <c r="AR225" s="38"/>
      <c r="AU225" s="38"/>
      <c r="AW225" s="16"/>
      <c r="AY225" s="39"/>
      <c r="AZ225" s="39"/>
      <c r="BA225" s="48"/>
      <c r="BC225" s="38"/>
    </row>
    <row r="226" spans="22:56" ht="16" x14ac:dyDescent="0.4">
      <c r="V226" s="97">
        <v>45958</v>
      </c>
      <c r="W226">
        <v>213472</v>
      </c>
      <c r="X226" s="101" t="s">
        <v>36</v>
      </c>
      <c r="Y226" s="105"/>
      <c r="Z226" s="50">
        <v>0.46388888888888885</v>
      </c>
      <c r="AA226" s="50">
        <v>0.81527777777777777</v>
      </c>
      <c r="AD226" s="37">
        <v>21356</v>
      </c>
      <c r="AE226" s="93">
        <f t="shared" si="32"/>
        <v>21.356000000000002</v>
      </c>
      <c r="AF226">
        <v>15.56</v>
      </c>
      <c r="AG226" s="103">
        <f t="shared" si="34"/>
        <v>14</v>
      </c>
      <c r="AH226" s="37">
        <f t="shared" si="33"/>
        <v>21.356000000000002</v>
      </c>
      <c r="AJ226" s="38"/>
      <c r="AL226" s="16"/>
      <c r="AN226" s="39"/>
      <c r="AO226" s="39"/>
      <c r="AP226" s="48"/>
      <c r="AR226" s="38"/>
      <c r="AU226" s="38"/>
      <c r="AW226" s="16"/>
      <c r="AY226" s="39"/>
      <c r="AZ226" s="39"/>
      <c r="BA226" s="48"/>
      <c r="BC226" s="38"/>
    </row>
    <row r="227" spans="22:56" ht="16" x14ac:dyDescent="0.4">
      <c r="V227" s="97">
        <v>45958</v>
      </c>
      <c r="W227">
        <v>213506</v>
      </c>
      <c r="X227" s="101" t="s">
        <v>36</v>
      </c>
      <c r="Y227" s="105"/>
      <c r="Z227" s="50">
        <v>0.75694444444444453</v>
      </c>
      <c r="AA227" s="50">
        <v>0.87152777777777779</v>
      </c>
      <c r="AD227" s="37">
        <v>20860</v>
      </c>
      <c r="AE227" s="93">
        <f t="shared" si="32"/>
        <v>20.86</v>
      </c>
      <c r="AF227">
        <v>16.57</v>
      </c>
      <c r="AG227" s="103">
        <f t="shared" si="34"/>
        <v>14</v>
      </c>
      <c r="AH227" s="37">
        <f t="shared" si="33"/>
        <v>20.859999999999996</v>
      </c>
      <c r="AJ227" s="38"/>
      <c r="AL227" s="16"/>
      <c r="AN227" s="39"/>
      <c r="AO227" s="39"/>
      <c r="AP227" s="48"/>
      <c r="AR227" s="38"/>
      <c r="AU227" s="38"/>
      <c r="AW227" s="16"/>
      <c r="AY227" s="39"/>
      <c r="AZ227" s="39"/>
      <c r="BA227" s="48"/>
      <c r="BC227" s="38"/>
    </row>
    <row r="228" spans="22:56" ht="16" x14ac:dyDescent="0.4">
      <c r="V228" s="97">
        <v>45958</v>
      </c>
      <c r="W228">
        <v>213521</v>
      </c>
      <c r="X228" s="101" t="s">
        <v>36</v>
      </c>
      <c r="Y228" s="105"/>
      <c r="Z228" s="50">
        <v>0.60902777777777783</v>
      </c>
      <c r="AA228" s="50">
        <v>0.9291666666666667</v>
      </c>
      <c r="AD228" s="37">
        <v>22104</v>
      </c>
      <c r="AE228" s="93">
        <f t="shared" si="32"/>
        <v>22.103999999999999</v>
      </c>
      <c r="AF228">
        <v>14.84</v>
      </c>
      <c r="AG228" s="103">
        <f t="shared" si="34"/>
        <v>14</v>
      </c>
      <c r="AH228" s="37">
        <f t="shared" si="33"/>
        <v>22.104000000000003</v>
      </c>
      <c r="AJ228" s="38"/>
      <c r="AL228" s="16"/>
      <c r="AM228" s="16"/>
      <c r="AN228" s="81"/>
      <c r="AO228" s="81"/>
      <c r="AP228" s="48"/>
      <c r="AR228" s="38"/>
      <c r="AU228" s="38"/>
      <c r="AW228" s="16"/>
      <c r="AX228" s="16"/>
      <c r="AY228" s="81"/>
      <c r="AZ228" s="81"/>
      <c r="BA228" s="48"/>
      <c r="BC228" s="38"/>
    </row>
    <row r="229" spans="22:56" ht="16" x14ac:dyDescent="0.4">
      <c r="V229" s="97">
        <v>45959</v>
      </c>
      <c r="W229">
        <v>213547</v>
      </c>
      <c r="X229" s="101" t="s">
        <v>36</v>
      </c>
      <c r="Y229" s="105"/>
      <c r="Z229" s="50">
        <v>0.90555555555555556</v>
      </c>
      <c r="AA229" s="50">
        <v>6.2499999999999995E-3</v>
      </c>
      <c r="AD229" s="37">
        <v>22494</v>
      </c>
      <c r="AE229" s="93">
        <f t="shared" si="32"/>
        <v>22.494</v>
      </c>
      <c r="AF229">
        <v>15.34</v>
      </c>
      <c r="AG229" s="103">
        <f t="shared" si="34"/>
        <v>14</v>
      </c>
      <c r="AH229" s="37">
        <f t="shared" si="33"/>
        <v>22.494</v>
      </c>
      <c r="AJ229" s="38"/>
      <c r="AL229" s="16"/>
      <c r="AM229" s="16"/>
      <c r="AN229" s="81"/>
      <c r="AP229" s="48"/>
      <c r="AR229" s="38"/>
      <c r="AU229" s="38"/>
      <c r="AW229" s="16"/>
      <c r="AX229" s="16"/>
      <c r="AY229" s="81"/>
      <c r="BA229" s="48"/>
      <c r="BC229" s="38"/>
    </row>
    <row r="230" spans="22:56" ht="16" x14ac:dyDescent="0.4">
      <c r="V230" s="97">
        <v>45959</v>
      </c>
      <c r="W230">
        <v>213553</v>
      </c>
      <c r="X230" s="101" t="s">
        <v>36</v>
      </c>
      <c r="Y230" s="105"/>
      <c r="Z230" s="50">
        <v>0.8569444444444444</v>
      </c>
      <c r="AA230" s="50">
        <v>6.0416666666666667E-2</v>
      </c>
      <c r="AD230" s="37">
        <v>20342</v>
      </c>
      <c r="AE230" s="93">
        <f t="shared" si="32"/>
        <v>20.341999999999999</v>
      </c>
      <c r="AF230">
        <v>14.95</v>
      </c>
      <c r="AG230" s="103">
        <f t="shared" si="34"/>
        <v>14</v>
      </c>
      <c r="AH230" s="37">
        <f t="shared" si="33"/>
        <v>20.342000000000002</v>
      </c>
      <c r="AJ230" s="38"/>
      <c r="AL230" s="16"/>
      <c r="AM230" s="16"/>
      <c r="AN230" s="81"/>
      <c r="AO230" s="81"/>
      <c r="AP230" s="48"/>
      <c r="AR230" s="38"/>
      <c r="AS230" s="49"/>
      <c r="AU230" s="38"/>
      <c r="AW230" s="16"/>
      <c r="AX230" s="16"/>
      <c r="AY230" s="81"/>
      <c r="AZ230" s="81"/>
      <c r="BA230" s="48"/>
      <c r="BC230" s="38"/>
      <c r="BD230" s="49"/>
    </row>
    <row r="231" spans="22:56" ht="16" x14ac:dyDescent="0.4">
      <c r="V231" s="97">
        <v>45959</v>
      </c>
      <c r="W231">
        <v>213560</v>
      </c>
      <c r="X231" s="101" t="s">
        <v>36</v>
      </c>
      <c r="Y231" s="105"/>
      <c r="Z231" s="50">
        <v>4.5138888888888888E-2</v>
      </c>
      <c r="AA231" s="50">
        <v>0.10208333333333335</v>
      </c>
      <c r="AD231" s="37">
        <v>20612</v>
      </c>
      <c r="AE231" s="93">
        <f t="shared" si="32"/>
        <v>20.611999999999998</v>
      </c>
      <c r="AF231">
        <v>14.12</v>
      </c>
      <c r="AG231" s="103">
        <f t="shared" si="34"/>
        <v>14</v>
      </c>
      <c r="AH231" s="37">
        <f t="shared" si="33"/>
        <v>20.611999999999998</v>
      </c>
      <c r="AJ231" s="38"/>
      <c r="AL231" s="16"/>
      <c r="AM231" s="16"/>
      <c r="AN231" s="81"/>
      <c r="AO231" s="81"/>
      <c r="AP231" s="48"/>
      <c r="AR231" s="38"/>
      <c r="AS231" s="49"/>
      <c r="AU231" s="38"/>
      <c r="AW231" s="16"/>
      <c r="AX231" s="16"/>
      <c r="AY231" s="81"/>
      <c r="AZ231" s="81"/>
      <c r="BA231" s="48"/>
      <c r="BC231" s="38"/>
      <c r="BD231" s="49"/>
    </row>
    <row r="232" spans="22:56" ht="16" x14ac:dyDescent="0.4">
      <c r="V232" s="97">
        <v>45959</v>
      </c>
      <c r="W232">
        <v>213570</v>
      </c>
      <c r="X232" s="101" t="s">
        <v>36</v>
      </c>
      <c r="Y232" s="105"/>
      <c r="Z232" s="50">
        <v>0.8569444444444444</v>
      </c>
      <c r="AA232" s="50">
        <v>0.15833333333333333</v>
      </c>
      <c r="AD232" s="37">
        <v>20692</v>
      </c>
      <c r="AE232" s="93">
        <f t="shared" si="32"/>
        <v>20.692</v>
      </c>
      <c r="AF232">
        <v>15.38</v>
      </c>
      <c r="AG232" s="103">
        <f t="shared" si="34"/>
        <v>14</v>
      </c>
      <c r="AH232" s="37">
        <f t="shared" si="33"/>
        <v>20.692</v>
      </c>
      <c r="AJ232" s="38"/>
      <c r="AL232" s="16"/>
      <c r="AM232" s="16"/>
      <c r="AN232" s="81"/>
      <c r="AO232" s="81"/>
      <c r="AP232" s="48"/>
      <c r="AR232" s="38"/>
      <c r="AS232" s="49"/>
      <c r="AU232" s="38"/>
      <c r="AW232" s="16"/>
      <c r="AX232" s="16"/>
      <c r="AY232" s="81"/>
      <c r="AZ232" s="81"/>
      <c r="BA232" s="48"/>
      <c r="BC232" s="38"/>
      <c r="BD232" s="49"/>
    </row>
    <row r="233" spans="22:56" ht="16" x14ac:dyDescent="0.4">
      <c r="V233" s="97">
        <v>45959</v>
      </c>
      <c r="W233">
        <v>213592</v>
      </c>
      <c r="X233" s="101" t="s">
        <v>36</v>
      </c>
      <c r="Y233" s="105"/>
      <c r="Z233" s="50">
        <v>0.13140046296296296</v>
      </c>
      <c r="AA233" s="50">
        <v>0.26468750000000002</v>
      </c>
      <c r="AD233" s="37">
        <v>18012</v>
      </c>
      <c r="AE233" s="93">
        <f t="shared" si="32"/>
        <v>18.012</v>
      </c>
      <c r="AF233">
        <v>13.98</v>
      </c>
      <c r="AG233" s="103">
        <f t="shared" si="34"/>
        <v>13.98</v>
      </c>
      <c r="AH233" s="37">
        <f t="shared" si="33"/>
        <v>17.986268571428571</v>
      </c>
      <c r="AJ233" s="38"/>
      <c r="AL233" s="16"/>
      <c r="AN233" s="81"/>
      <c r="AO233" s="81"/>
      <c r="AP233" s="48"/>
      <c r="AR233" s="38"/>
      <c r="AS233" s="49"/>
      <c r="AU233" s="38"/>
      <c r="AW233" s="16"/>
      <c r="AY233" s="81"/>
      <c r="AZ233" s="81"/>
      <c r="BA233" s="48"/>
      <c r="BC233" s="38"/>
      <c r="BD233" s="49"/>
    </row>
    <row r="234" spans="22:56" ht="16" x14ac:dyDescent="0.4">
      <c r="V234" s="97">
        <v>45959</v>
      </c>
      <c r="W234">
        <v>213624</v>
      </c>
      <c r="X234" s="101" t="s">
        <v>36</v>
      </c>
      <c r="Y234" s="105"/>
      <c r="Z234" s="50">
        <v>0.97016203703703707</v>
      </c>
      <c r="AA234" s="50">
        <v>0.33590277777777783</v>
      </c>
      <c r="AD234" s="37">
        <v>20582</v>
      </c>
      <c r="AE234" s="93">
        <f t="shared" si="32"/>
        <v>20.582000000000001</v>
      </c>
      <c r="AF234">
        <v>14.45</v>
      </c>
      <c r="AG234" s="103">
        <f t="shared" si="34"/>
        <v>14</v>
      </c>
      <c r="AH234" s="37">
        <f t="shared" si="33"/>
        <v>20.582000000000001</v>
      </c>
      <c r="AJ234" s="38"/>
      <c r="AL234" s="16"/>
      <c r="AN234" s="81"/>
      <c r="AO234" s="81"/>
      <c r="AP234" s="48"/>
      <c r="AR234" s="38"/>
      <c r="AS234" s="49"/>
      <c r="AU234" s="38"/>
      <c r="AW234" s="16"/>
      <c r="AY234" s="81"/>
      <c r="AZ234" s="81"/>
      <c r="BA234" s="48"/>
      <c r="BC234" s="38"/>
      <c r="BD234" s="49"/>
    </row>
    <row r="235" spans="22:56" ht="16" x14ac:dyDescent="0.4">
      <c r="V235" s="97">
        <v>45959</v>
      </c>
      <c r="W235">
        <v>213665</v>
      </c>
      <c r="X235" s="101" t="s">
        <v>36</v>
      </c>
      <c r="Y235" s="105"/>
      <c r="Z235" s="50">
        <v>0.68634259259259256</v>
      </c>
      <c r="AA235" s="50">
        <v>0.39374999999999999</v>
      </c>
      <c r="AD235" s="37">
        <v>20694</v>
      </c>
      <c r="AE235" s="93">
        <f t="shared" si="32"/>
        <v>20.693999999999999</v>
      </c>
      <c r="AF235">
        <v>14.41</v>
      </c>
      <c r="AG235" s="103">
        <f t="shared" si="34"/>
        <v>14</v>
      </c>
      <c r="AH235" s="37">
        <f t="shared" si="33"/>
        <v>20.693999999999999</v>
      </c>
      <c r="AJ235" s="38"/>
      <c r="AL235" s="16"/>
      <c r="AN235" s="81"/>
      <c r="AO235" s="81"/>
      <c r="AP235" s="48"/>
      <c r="AR235" s="38"/>
      <c r="AS235" s="49"/>
      <c r="AU235" s="38"/>
      <c r="AW235" s="16"/>
      <c r="AY235" s="81"/>
      <c r="AZ235" s="81"/>
      <c r="BA235" s="48"/>
      <c r="BC235" s="38"/>
      <c r="BD235" s="49"/>
    </row>
    <row r="236" spans="22:56" ht="16" x14ac:dyDescent="0.4">
      <c r="V236" s="97">
        <v>45959</v>
      </c>
      <c r="W236">
        <v>213726</v>
      </c>
      <c r="X236" s="101" t="s">
        <v>36</v>
      </c>
      <c r="Y236" s="105"/>
      <c r="Z236" s="50">
        <v>0.38037037037037041</v>
      </c>
      <c r="AA236" s="50">
        <v>0.48386574074074074</v>
      </c>
      <c r="AD236" s="37">
        <v>22434</v>
      </c>
      <c r="AE236" s="93">
        <f t="shared" si="32"/>
        <v>22.434000000000001</v>
      </c>
      <c r="AF236">
        <v>15.24</v>
      </c>
      <c r="AG236" s="103">
        <f t="shared" si="34"/>
        <v>14</v>
      </c>
      <c r="AH236" s="37">
        <f t="shared" si="33"/>
        <v>22.434000000000001</v>
      </c>
      <c r="AJ236" s="38"/>
      <c r="AL236" s="16"/>
      <c r="AN236" s="81"/>
      <c r="AP236" s="48"/>
      <c r="AR236" s="38"/>
      <c r="AS236" s="49"/>
      <c r="AU236" s="38"/>
      <c r="AW236" s="16"/>
      <c r="AY236" s="81"/>
      <c r="BA236" s="48"/>
      <c r="BC236" s="38"/>
      <c r="BD236" s="49"/>
    </row>
    <row r="237" spans="22:56" ht="16" x14ac:dyDescent="0.4">
      <c r="V237" s="97">
        <v>45959</v>
      </c>
      <c r="W237">
        <v>213762</v>
      </c>
      <c r="X237" s="101" t="s">
        <v>36</v>
      </c>
      <c r="Y237" s="105"/>
      <c r="Z237" s="50">
        <v>0.31258101851851855</v>
      </c>
      <c r="AA237" s="50">
        <v>0.53114583333333332</v>
      </c>
      <c r="AD237" s="37">
        <v>20928</v>
      </c>
      <c r="AE237" s="93">
        <f t="shared" si="32"/>
        <v>20.928000000000001</v>
      </c>
      <c r="AF237">
        <v>13.2</v>
      </c>
      <c r="AG237" s="103">
        <f t="shared" si="34"/>
        <v>13.2</v>
      </c>
      <c r="AH237" s="37">
        <f t="shared" si="33"/>
        <v>19.732114285714285</v>
      </c>
      <c r="AJ237" s="38"/>
      <c r="AL237" s="16"/>
      <c r="AN237" s="81"/>
      <c r="AO237" s="81"/>
      <c r="AP237" s="48"/>
      <c r="AR237" s="38"/>
      <c r="AS237" s="49"/>
      <c r="AU237" s="38"/>
      <c r="AW237" s="16"/>
      <c r="AY237" s="81"/>
      <c r="AZ237" s="81"/>
      <c r="BA237" s="48"/>
      <c r="BC237" s="38"/>
      <c r="BD237" s="49"/>
    </row>
    <row r="238" spans="22:56" ht="16" x14ac:dyDescent="0.4">
      <c r="V238" s="97">
        <v>45959</v>
      </c>
      <c r="W238">
        <v>213825</v>
      </c>
      <c r="X238" s="101" t="s">
        <v>36</v>
      </c>
      <c r="Y238" s="105"/>
      <c r="Z238" s="50">
        <v>0.85762731481481491</v>
      </c>
      <c r="AA238" s="50">
        <v>0.60304398148148153</v>
      </c>
      <c r="AD238" s="37">
        <v>22018</v>
      </c>
      <c r="AE238" s="93">
        <f t="shared" si="32"/>
        <v>22.018000000000001</v>
      </c>
      <c r="AF238">
        <v>13.63</v>
      </c>
      <c r="AG238" s="103">
        <f t="shared" si="34"/>
        <v>13.63</v>
      </c>
      <c r="AH238" s="37">
        <f t="shared" si="33"/>
        <v>21.436095714285717</v>
      </c>
      <c r="AJ238" s="38"/>
      <c r="AL238" s="16"/>
      <c r="AN238" s="81"/>
      <c r="AO238" s="81"/>
      <c r="AP238" s="48"/>
      <c r="AR238" s="38"/>
      <c r="AS238" s="49"/>
      <c r="AU238" s="38"/>
      <c r="AW238" s="16"/>
      <c r="AY238" s="81"/>
      <c r="AZ238" s="81"/>
      <c r="BA238" s="48"/>
      <c r="BC238" s="38"/>
      <c r="BD238" s="49"/>
    </row>
    <row r="239" spans="22:56" ht="16" x14ac:dyDescent="0.4">
      <c r="V239" s="97">
        <v>45959</v>
      </c>
      <c r="W239">
        <v>213860</v>
      </c>
      <c r="X239" s="101" t="s">
        <v>36</v>
      </c>
      <c r="Y239" s="105"/>
      <c r="Z239" s="50">
        <v>0.68649305555555562</v>
      </c>
      <c r="AA239" s="50">
        <v>0.65620370370370373</v>
      </c>
      <c r="AD239" s="37">
        <v>20786</v>
      </c>
      <c r="AE239" s="93">
        <f t="shared" si="32"/>
        <v>20.786000000000001</v>
      </c>
      <c r="AF239">
        <v>14.49</v>
      </c>
      <c r="AG239" s="103">
        <f t="shared" si="34"/>
        <v>14</v>
      </c>
      <c r="AH239" s="37">
        <f t="shared" si="33"/>
        <v>20.786000000000001</v>
      </c>
      <c r="AJ239" s="38"/>
      <c r="AL239" s="16"/>
      <c r="AP239" s="48"/>
      <c r="AR239" s="38"/>
      <c r="AS239" s="49"/>
      <c r="AU239" s="38"/>
      <c r="AW239" s="16"/>
      <c r="BA239" s="48"/>
      <c r="BC239" s="38"/>
      <c r="BD239" s="49"/>
    </row>
    <row r="240" spans="22:56" ht="16" x14ac:dyDescent="0.4">
      <c r="V240" s="97">
        <v>45959</v>
      </c>
      <c r="W240">
        <v>213890</v>
      </c>
      <c r="X240" s="101" t="s">
        <v>36</v>
      </c>
      <c r="Y240" s="105"/>
      <c r="Z240" s="50">
        <v>0.38050925925925921</v>
      </c>
      <c r="AA240" s="50">
        <v>0.71457175925925931</v>
      </c>
      <c r="AD240" s="37">
        <v>20824</v>
      </c>
      <c r="AE240" s="93">
        <f t="shared" si="32"/>
        <v>20.824000000000002</v>
      </c>
      <c r="AF240">
        <v>14.59</v>
      </c>
      <c r="AG240" s="103">
        <f t="shared" si="34"/>
        <v>14</v>
      </c>
      <c r="AH240" s="37">
        <f t="shared" si="33"/>
        <v>20.824000000000002</v>
      </c>
      <c r="AJ240" s="38"/>
      <c r="AL240" s="16"/>
      <c r="AN240" s="81"/>
      <c r="AO240" s="81"/>
      <c r="AP240" s="48"/>
      <c r="AR240" s="38"/>
      <c r="AS240" s="49"/>
      <c r="AU240" s="38"/>
      <c r="AW240" s="16"/>
      <c r="AY240" s="81"/>
      <c r="AZ240" s="81"/>
      <c r="BA240" s="48"/>
      <c r="BC240" s="38"/>
      <c r="BD240" s="49"/>
    </row>
    <row r="241" spans="22:56" ht="16" x14ac:dyDescent="0.4">
      <c r="V241" s="97">
        <v>45959</v>
      </c>
      <c r="W241">
        <v>213910</v>
      </c>
      <c r="X241" s="101" t="s">
        <v>36</v>
      </c>
      <c r="Y241" s="105"/>
      <c r="Z241" s="50">
        <v>0.70000000000000007</v>
      </c>
      <c r="AA241" s="50">
        <v>0.77500000000000002</v>
      </c>
      <c r="AD241" s="37">
        <v>20928</v>
      </c>
      <c r="AE241" s="93">
        <f t="shared" si="32"/>
        <v>20.928000000000001</v>
      </c>
      <c r="AF241">
        <v>15.21</v>
      </c>
      <c r="AG241" s="103">
        <f t="shared" si="34"/>
        <v>14</v>
      </c>
      <c r="AH241" s="37">
        <f t="shared" si="33"/>
        <v>20.928000000000001</v>
      </c>
      <c r="AJ241" s="38"/>
      <c r="AL241" s="16"/>
      <c r="AN241" s="81"/>
      <c r="AO241" s="81"/>
      <c r="AP241" s="48"/>
      <c r="AR241" s="38"/>
      <c r="AS241" s="49"/>
      <c r="AU241" s="38"/>
      <c r="AW241" s="16"/>
      <c r="AY241" s="81"/>
      <c r="AZ241" s="81"/>
      <c r="BA241" s="48"/>
      <c r="BC241" s="38"/>
      <c r="BD241" s="49"/>
    </row>
    <row r="242" spans="22:56" ht="16" x14ac:dyDescent="0.4">
      <c r="V242" s="97">
        <v>45959</v>
      </c>
      <c r="W242">
        <v>213940</v>
      </c>
      <c r="X242" s="101" t="s">
        <v>36</v>
      </c>
      <c r="Y242" s="105"/>
      <c r="Z242" s="50">
        <v>0.76736111111111116</v>
      </c>
      <c r="AA242" s="50">
        <v>0.82430555555555562</v>
      </c>
      <c r="AD242" s="37">
        <v>21590</v>
      </c>
      <c r="AE242" s="93">
        <f t="shared" si="32"/>
        <v>21.59</v>
      </c>
      <c r="AF242">
        <v>14.63</v>
      </c>
      <c r="AG242" s="103">
        <f t="shared" si="34"/>
        <v>14</v>
      </c>
      <c r="AH242" s="37">
        <f t="shared" si="33"/>
        <v>21.59</v>
      </c>
      <c r="AJ242" s="38"/>
      <c r="AL242" s="16"/>
      <c r="AN242" s="81"/>
      <c r="AO242" s="81"/>
      <c r="AP242" s="48"/>
      <c r="AR242" s="38"/>
      <c r="AS242" s="49"/>
      <c r="AU242" s="38"/>
      <c r="AW242" s="16"/>
      <c r="AY242" s="81"/>
      <c r="AZ242" s="81"/>
      <c r="BA242" s="48"/>
      <c r="BC242" s="38"/>
      <c r="BD242" s="49"/>
    </row>
    <row r="243" spans="22:56" ht="16" x14ac:dyDescent="0.4">
      <c r="V243" s="97">
        <v>45959</v>
      </c>
      <c r="W243">
        <v>213962</v>
      </c>
      <c r="X243" s="101" t="s">
        <v>36</v>
      </c>
      <c r="Y243" s="105"/>
      <c r="Z243" s="50">
        <v>0.7006944444444444</v>
      </c>
      <c r="AA243" s="50">
        <v>0.88055555555555554</v>
      </c>
      <c r="AD243" s="37">
        <v>21358</v>
      </c>
      <c r="AE243" s="93">
        <f t="shared" si="32"/>
        <v>21.358000000000001</v>
      </c>
      <c r="AF243">
        <v>14.95</v>
      </c>
      <c r="AG243" s="103">
        <f t="shared" si="34"/>
        <v>14</v>
      </c>
      <c r="AH243" s="37">
        <f t="shared" si="33"/>
        <v>21.358000000000001</v>
      </c>
      <c r="AJ243" s="38"/>
      <c r="AL243" s="16"/>
      <c r="AN243" s="39"/>
      <c r="AO243" s="39"/>
      <c r="AP243" s="48"/>
      <c r="AR243" s="38"/>
      <c r="AS243" s="49"/>
      <c r="AU243" s="38"/>
      <c r="AW243" s="16"/>
      <c r="AY243" s="39"/>
      <c r="AZ243" s="39"/>
      <c r="BA243" s="48"/>
      <c r="BC243" s="38"/>
      <c r="BD243" s="49"/>
    </row>
    <row r="244" spans="22:56" ht="16" x14ac:dyDescent="0.4">
      <c r="V244" s="97">
        <v>45959</v>
      </c>
      <c r="W244">
        <v>213976</v>
      </c>
      <c r="X244" s="101" t="s">
        <v>36</v>
      </c>
      <c r="Y244" s="105"/>
      <c r="Z244" s="50">
        <v>0.37986111111111115</v>
      </c>
      <c r="AA244" s="50">
        <v>0.93680555555555556</v>
      </c>
      <c r="AD244" s="37">
        <v>20812</v>
      </c>
      <c r="AE244" s="93">
        <f t="shared" si="32"/>
        <v>20.812000000000001</v>
      </c>
      <c r="AF244">
        <v>15.26</v>
      </c>
      <c r="AG244" s="103">
        <f t="shared" si="34"/>
        <v>14</v>
      </c>
      <c r="AH244" s="37">
        <f t="shared" si="33"/>
        <v>20.812000000000001</v>
      </c>
      <c r="AJ244" s="38"/>
      <c r="AL244" s="16"/>
      <c r="AN244" s="81"/>
      <c r="AO244" s="81"/>
      <c r="AP244" s="48"/>
      <c r="AR244" s="38"/>
      <c r="AS244" s="49"/>
      <c r="AU244" s="38"/>
      <c r="AW244" s="16"/>
      <c r="AY244" s="81"/>
      <c r="AZ244" s="81"/>
      <c r="BA244" s="48"/>
      <c r="BC244" s="38"/>
      <c r="BD244" s="49"/>
    </row>
    <row r="245" spans="22:56" ht="16" x14ac:dyDescent="0.4">
      <c r="V245" s="97">
        <v>45960</v>
      </c>
      <c r="W245">
        <v>213988</v>
      </c>
      <c r="X245" s="101" t="s">
        <v>36</v>
      </c>
      <c r="Y245" s="105"/>
      <c r="Z245" s="50">
        <v>0.82291666666666663</v>
      </c>
      <c r="AA245" s="50">
        <v>4.1666666666666666E-3</v>
      </c>
      <c r="AD245" s="37">
        <v>21892</v>
      </c>
      <c r="AE245" s="93">
        <f t="shared" si="32"/>
        <v>21.891999999999999</v>
      </c>
      <c r="AF245">
        <v>14.73</v>
      </c>
      <c r="AG245" s="103">
        <f t="shared" si="34"/>
        <v>14</v>
      </c>
      <c r="AH245" s="37">
        <f t="shared" si="33"/>
        <v>21.891999999999999</v>
      </c>
      <c r="AJ245" s="38"/>
      <c r="AK245" s="81"/>
      <c r="AL245" s="16"/>
      <c r="AN245" s="81"/>
      <c r="AO245" s="81"/>
      <c r="AP245" s="48"/>
      <c r="AR245" s="38"/>
      <c r="AS245" s="49"/>
      <c r="AU245" s="38"/>
      <c r="AV245" s="81"/>
      <c r="AW245" s="16"/>
      <c r="AY245" s="81"/>
      <c r="AZ245" s="81"/>
      <c r="BA245" s="48"/>
      <c r="BC245" s="38"/>
      <c r="BD245" s="49"/>
    </row>
    <row r="246" spans="22:56" ht="16" x14ac:dyDescent="0.4">
      <c r="V246" s="97">
        <v>45960</v>
      </c>
      <c r="W246">
        <v>214002</v>
      </c>
      <c r="X246" s="101" t="s">
        <v>36</v>
      </c>
      <c r="Y246" s="105"/>
      <c r="Z246" s="50">
        <v>0.77361111111111114</v>
      </c>
      <c r="AA246" s="50">
        <v>5.2083333333333336E-2</v>
      </c>
      <c r="AD246" s="37">
        <v>21222</v>
      </c>
      <c r="AE246" s="93">
        <f t="shared" si="32"/>
        <v>21.222000000000001</v>
      </c>
      <c r="AF246">
        <v>15.34</v>
      </c>
      <c r="AG246" s="103">
        <f t="shared" si="34"/>
        <v>14</v>
      </c>
      <c r="AH246" s="37">
        <f t="shared" si="33"/>
        <v>21.222000000000001</v>
      </c>
      <c r="AJ246" s="38"/>
      <c r="AL246" s="16"/>
      <c r="AN246" s="81"/>
      <c r="AO246" s="81"/>
      <c r="AP246" s="48"/>
      <c r="AR246" s="38"/>
      <c r="AS246" s="49"/>
      <c r="AU246" s="38"/>
      <c r="AW246" s="16"/>
      <c r="AY246" s="81"/>
      <c r="AZ246" s="81"/>
      <c r="BA246" s="48"/>
      <c r="BC246" s="38"/>
      <c r="BD246" s="49"/>
    </row>
    <row r="247" spans="22:56" ht="16" x14ac:dyDescent="0.4">
      <c r="V247" s="97">
        <v>45960</v>
      </c>
      <c r="W247">
        <v>214009</v>
      </c>
      <c r="X247" s="101" t="s">
        <v>36</v>
      </c>
      <c r="Y247" s="105"/>
      <c r="Z247" s="50">
        <v>0.68541666666666667</v>
      </c>
      <c r="AA247" s="50">
        <v>9.8611111111111108E-2</v>
      </c>
      <c r="AD247" s="37">
        <v>21686</v>
      </c>
      <c r="AE247" s="93">
        <f t="shared" si="32"/>
        <v>21.686</v>
      </c>
      <c r="AF247">
        <v>14.16</v>
      </c>
      <c r="AG247" s="103">
        <f t="shared" si="34"/>
        <v>14</v>
      </c>
      <c r="AH247" s="37">
        <f t="shared" si="33"/>
        <v>21.686</v>
      </c>
      <c r="AJ247" s="38"/>
      <c r="AL247" s="16"/>
      <c r="AN247" s="81"/>
      <c r="AO247" s="81"/>
      <c r="AP247" s="48"/>
      <c r="AR247" s="38"/>
      <c r="AS247" s="49"/>
      <c r="AU247" s="38"/>
      <c r="AW247" s="16"/>
      <c r="AY247" s="81"/>
      <c r="AZ247" s="81"/>
      <c r="BA247" s="48"/>
      <c r="BC247" s="38"/>
      <c r="BD247" s="49"/>
    </row>
    <row r="248" spans="22:56" ht="16" x14ac:dyDescent="0.4">
      <c r="V248" s="97">
        <v>45960</v>
      </c>
      <c r="W248">
        <v>214019</v>
      </c>
      <c r="X248" s="101" t="s">
        <v>36</v>
      </c>
      <c r="Y248" s="105"/>
      <c r="Z248" s="50">
        <v>0.77361111111111114</v>
      </c>
      <c r="AA248" s="50">
        <v>0.14861111111111111</v>
      </c>
      <c r="AD248" s="37">
        <v>21238</v>
      </c>
      <c r="AE248" s="93">
        <f t="shared" si="32"/>
        <v>21.238</v>
      </c>
      <c r="AF248">
        <v>14.55</v>
      </c>
      <c r="AG248" s="103">
        <f t="shared" si="34"/>
        <v>14</v>
      </c>
      <c r="AH248" s="37">
        <f t="shared" si="33"/>
        <v>21.238</v>
      </c>
      <c r="AJ248" s="38"/>
      <c r="AL248" s="16"/>
      <c r="AN248" s="81"/>
      <c r="AO248" s="81"/>
      <c r="AP248" s="48"/>
      <c r="AR248" s="38"/>
      <c r="AS248" s="49"/>
      <c r="AU248" s="38"/>
      <c r="AW248" s="16"/>
      <c r="AY248" s="81"/>
      <c r="AZ248" s="81"/>
      <c r="BA248" s="48"/>
      <c r="BC248" s="38"/>
      <c r="BD248" s="49"/>
    </row>
    <row r="249" spans="22:56" ht="16" x14ac:dyDescent="0.4">
      <c r="V249" s="97"/>
      <c r="X249" s="101"/>
      <c r="Y249" s="105"/>
      <c r="Z249" s="50"/>
      <c r="AA249" s="50"/>
      <c r="AD249" s="37"/>
      <c r="AE249" s="93"/>
      <c r="AG249" s="103"/>
      <c r="AH249" s="37"/>
      <c r="AJ249" s="38"/>
      <c r="AN249" s="81"/>
      <c r="AO249" s="81"/>
      <c r="AP249" s="48"/>
      <c r="AR249" s="38"/>
      <c r="AS249" s="49"/>
      <c r="AU249" s="38"/>
      <c r="AY249" s="81"/>
      <c r="AZ249" s="81"/>
      <c r="BA249" s="48"/>
      <c r="BC249" s="38"/>
      <c r="BD249" s="49"/>
    </row>
    <row r="250" spans="22:56" ht="16" x14ac:dyDescent="0.4">
      <c r="V250" s="97">
        <v>45960</v>
      </c>
      <c r="W250">
        <v>214136</v>
      </c>
      <c r="X250" s="101" t="s">
        <v>36</v>
      </c>
      <c r="Y250" s="105"/>
      <c r="Z250" s="50">
        <v>0.20486111111111113</v>
      </c>
      <c r="AA250" s="50">
        <v>0.42569444444444443</v>
      </c>
      <c r="AD250" s="37">
        <v>22582</v>
      </c>
      <c r="AE250" s="93">
        <f t="shared" si="32"/>
        <v>22.582000000000001</v>
      </c>
      <c r="AF250">
        <v>13.02</v>
      </c>
      <c r="AG250" s="103">
        <f t="shared" si="34"/>
        <v>13.02</v>
      </c>
      <c r="AH250" s="37">
        <f t="shared" si="33"/>
        <v>21.001259999999998</v>
      </c>
      <c r="AJ250" s="38"/>
      <c r="AN250" s="81"/>
      <c r="AO250" s="81"/>
      <c r="AP250" s="48"/>
      <c r="AR250" s="38"/>
      <c r="AS250" s="49"/>
      <c r="AU250" s="38"/>
      <c r="AY250" s="81"/>
      <c r="AZ250" s="81"/>
      <c r="BA250" s="48"/>
      <c r="BC250" s="38"/>
      <c r="BD250" s="49"/>
    </row>
    <row r="251" spans="22:56" ht="16" x14ac:dyDescent="0.4">
      <c r="V251" s="97">
        <v>45960</v>
      </c>
      <c r="W251">
        <v>214183</v>
      </c>
      <c r="X251" s="101" t="s">
        <v>36</v>
      </c>
      <c r="Y251" s="105"/>
      <c r="Z251" s="50">
        <v>5.1388888888888894E-2</v>
      </c>
      <c r="AA251" s="50">
        <v>0.5083333333333333</v>
      </c>
      <c r="AD251" s="37">
        <v>21852</v>
      </c>
      <c r="AE251" s="93">
        <f t="shared" si="32"/>
        <v>21.852</v>
      </c>
      <c r="AF251">
        <v>14.23</v>
      </c>
      <c r="AG251" s="103">
        <f t="shared" si="34"/>
        <v>14</v>
      </c>
      <c r="AH251" s="37">
        <f t="shared" si="33"/>
        <v>21.852</v>
      </c>
      <c r="AJ251" s="38"/>
      <c r="AN251" s="81"/>
      <c r="AO251" s="81"/>
      <c r="AP251" s="48"/>
      <c r="AR251" s="38"/>
      <c r="AS251" s="49"/>
      <c r="AU251" s="38"/>
      <c r="AY251" s="81"/>
      <c r="AZ251" s="81"/>
      <c r="BA251" s="48"/>
      <c r="BC251" s="38"/>
      <c r="BD251" s="49"/>
    </row>
    <row r="252" spans="22:56" ht="16" x14ac:dyDescent="0.4">
      <c r="V252" s="97">
        <v>45960</v>
      </c>
      <c r="W252">
        <v>214218</v>
      </c>
      <c r="X252" s="101" t="s">
        <v>36</v>
      </c>
      <c r="Y252" s="105"/>
      <c r="Z252" s="50">
        <v>0.20486111111111113</v>
      </c>
      <c r="AA252" s="50">
        <v>0.57500000000000007</v>
      </c>
      <c r="AD252" s="37">
        <v>20610</v>
      </c>
      <c r="AE252" s="93">
        <f t="shared" si="32"/>
        <v>20.61</v>
      </c>
      <c r="AF252">
        <v>14.73</v>
      </c>
      <c r="AG252" s="103">
        <f t="shared" si="34"/>
        <v>14</v>
      </c>
      <c r="AH252" s="37">
        <f t="shared" si="33"/>
        <v>20.609999999999996</v>
      </c>
      <c r="AJ252" s="38"/>
      <c r="AN252" s="81"/>
      <c r="AO252" s="81"/>
      <c r="AP252" s="48"/>
      <c r="AR252" s="38"/>
      <c r="AS252" s="49"/>
      <c r="AU252" s="38"/>
      <c r="AY252" s="81"/>
      <c r="AZ252" s="81"/>
      <c r="BA252" s="48"/>
      <c r="BC252" s="38"/>
      <c r="BD252" s="49"/>
    </row>
    <row r="253" spans="22:56" ht="16" x14ac:dyDescent="0.4">
      <c r="V253" s="97">
        <v>45960</v>
      </c>
      <c r="W253">
        <v>214266</v>
      </c>
      <c r="X253" s="101" t="s">
        <v>36</v>
      </c>
      <c r="Y253" s="105"/>
      <c r="Z253" s="50">
        <v>0.54652777777777783</v>
      </c>
      <c r="AA253" s="50">
        <v>0.63055555555555554</v>
      </c>
      <c r="AD253" s="37">
        <v>21988</v>
      </c>
      <c r="AE253" s="93">
        <f t="shared" si="32"/>
        <v>21.988</v>
      </c>
      <c r="AF253">
        <v>14.06</v>
      </c>
      <c r="AG253" s="103">
        <f t="shared" si="34"/>
        <v>14</v>
      </c>
      <c r="AH253" s="37">
        <f t="shared" si="33"/>
        <v>21.988</v>
      </c>
      <c r="AJ253" s="38"/>
      <c r="AN253" s="81"/>
      <c r="AO253" s="81"/>
      <c r="AP253" s="48"/>
      <c r="AR253" s="38"/>
      <c r="AS253" s="49"/>
      <c r="AU253" s="38"/>
      <c r="AY253" s="81"/>
      <c r="AZ253" s="81"/>
      <c r="BA253" s="48"/>
      <c r="BC253" s="38"/>
      <c r="BD253" s="49"/>
    </row>
    <row r="254" spans="22:56" ht="16" x14ac:dyDescent="0.4">
      <c r="V254" s="97">
        <v>45960</v>
      </c>
      <c r="W254">
        <v>214298</v>
      </c>
      <c r="X254" s="101" t="s">
        <v>36</v>
      </c>
      <c r="Y254" s="105"/>
      <c r="Z254" s="50">
        <v>0.62708333333333333</v>
      </c>
      <c r="AA254" s="50">
        <v>0.68958333333333333</v>
      </c>
      <c r="AD254" s="37">
        <v>22256</v>
      </c>
      <c r="AE254" s="93">
        <f t="shared" si="32"/>
        <v>22.256</v>
      </c>
      <c r="AF254">
        <v>13.98</v>
      </c>
      <c r="AG254" s="103">
        <f t="shared" si="34"/>
        <v>13.98</v>
      </c>
      <c r="AH254" s="37">
        <f t="shared" si="33"/>
        <v>22.224205714285716</v>
      </c>
      <c r="AJ254" s="38"/>
      <c r="AP254" s="48"/>
      <c r="AR254" s="38"/>
      <c r="AS254" s="49"/>
      <c r="AU254" s="38"/>
      <c r="BA254" s="48"/>
      <c r="BC254" s="38"/>
      <c r="BD254" s="49"/>
    </row>
    <row r="255" spans="22:56" ht="16" x14ac:dyDescent="0.4">
      <c r="V255" s="97">
        <v>45960</v>
      </c>
      <c r="W255">
        <v>214309</v>
      </c>
      <c r="X255" s="101" t="s">
        <v>36</v>
      </c>
      <c r="Y255" s="105"/>
      <c r="Z255" s="50">
        <v>0.54652777777777783</v>
      </c>
      <c r="AA255" s="50">
        <v>0.73749999999999993</v>
      </c>
      <c r="AD255" s="37">
        <v>17718</v>
      </c>
      <c r="AE255" s="93">
        <f t="shared" si="32"/>
        <v>17.718</v>
      </c>
      <c r="AF255">
        <v>14.77</v>
      </c>
      <c r="AG255" s="103">
        <f t="shared" si="34"/>
        <v>14</v>
      </c>
      <c r="AH255" s="37">
        <f t="shared" si="33"/>
        <v>17.718</v>
      </c>
      <c r="AJ255" s="38"/>
      <c r="AN255" s="81"/>
      <c r="AO255" s="81"/>
      <c r="AP255" s="48"/>
      <c r="AR255" s="38"/>
      <c r="AS255" s="71"/>
      <c r="AU255" s="38"/>
      <c r="AY255" s="81"/>
      <c r="AZ255" s="81"/>
      <c r="BA255" s="48"/>
      <c r="BC255" s="38"/>
      <c r="BD255" s="71"/>
    </row>
    <row r="256" spans="22:56" ht="16" x14ac:dyDescent="0.4">
      <c r="V256" s="97">
        <v>45960</v>
      </c>
      <c r="W256">
        <v>214323</v>
      </c>
      <c r="X256" s="101" t="s">
        <v>36</v>
      </c>
      <c r="Y256" s="105"/>
      <c r="Z256" s="50">
        <v>0.73125000000000007</v>
      </c>
      <c r="AA256" s="50">
        <v>0.78333333333333333</v>
      </c>
      <c r="AD256" s="37">
        <v>19178</v>
      </c>
      <c r="AE256" s="93">
        <f t="shared" si="32"/>
        <v>19.178000000000001</v>
      </c>
      <c r="AF256">
        <v>16.489999999999998</v>
      </c>
      <c r="AG256" s="103">
        <f t="shared" si="34"/>
        <v>14</v>
      </c>
      <c r="AH256" s="37">
        <f t="shared" si="33"/>
        <v>19.178000000000001</v>
      </c>
      <c r="AJ256" s="38"/>
      <c r="AN256" s="81"/>
      <c r="AO256" s="81"/>
      <c r="AP256" s="48"/>
      <c r="AR256" s="38"/>
      <c r="AS256" s="49"/>
      <c r="AU256" s="38"/>
      <c r="AY256" s="81"/>
      <c r="AZ256" s="81"/>
      <c r="BA256" s="48"/>
      <c r="BC256" s="38"/>
      <c r="BD256" s="49"/>
    </row>
    <row r="257" spans="22:56" ht="16" x14ac:dyDescent="0.4">
      <c r="V257" s="97">
        <v>45960</v>
      </c>
      <c r="W257">
        <v>214352</v>
      </c>
      <c r="X257" s="101" t="s">
        <v>36</v>
      </c>
      <c r="Y257" s="110"/>
      <c r="Z257" s="50">
        <v>0.77638888888888891</v>
      </c>
      <c r="AA257" s="50">
        <v>0.85</v>
      </c>
      <c r="AD257" s="37">
        <v>21186</v>
      </c>
      <c r="AE257" s="93">
        <f t="shared" si="32"/>
        <v>21.186</v>
      </c>
      <c r="AF257">
        <v>14.91</v>
      </c>
      <c r="AG257" s="103">
        <f t="shared" si="34"/>
        <v>14</v>
      </c>
      <c r="AH257" s="37">
        <f t="shared" si="33"/>
        <v>21.186</v>
      </c>
      <c r="AJ257" s="38"/>
      <c r="AN257" s="81"/>
      <c r="AO257" s="81"/>
      <c r="AP257" s="48"/>
      <c r="AR257" s="38"/>
      <c r="AS257" s="49"/>
      <c r="AU257" s="38"/>
      <c r="AY257" s="81"/>
      <c r="AZ257" s="81"/>
      <c r="BA257" s="48"/>
      <c r="BC257" s="38"/>
      <c r="BD257" s="49"/>
    </row>
    <row r="258" spans="22:56" ht="16" x14ac:dyDescent="0.4">
      <c r="V258" s="97">
        <v>45960</v>
      </c>
      <c r="W258">
        <v>214373</v>
      </c>
      <c r="X258" s="101" t="s">
        <v>36</v>
      </c>
      <c r="Y258" s="105"/>
      <c r="Z258" s="50">
        <v>0.62777777777777777</v>
      </c>
      <c r="AA258" s="50">
        <v>0.90208333333333324</v>
      </c>
      <c r="AD258" s="37">
        <v>21880</v>
      </c>
      <c r="AE258" s="93">
        <f t="shared" ref="AE258:AE321" si="35">AD258/1000</f>
        <v>21.88</v>
      </c>
      <c r="AF258">
        <v>15.89</v>
      </c>
      <c r="AG258" s="103">
        <f t="shared" si="34"/>
        <v>14</v>
      </c>
      <c r="AH258" s="37">
        <f t="shared" ref="AH258:AH321" si="36">AE258*AG258/14</f>
        <v>21.88</v>
      </c>
      <c r="AJ258" s="97"/>
      <c r="AN258" s="39"/>
      <c r="AO258" s="39"/>
      <c r="AP258" s="47"/>
      <c r="AR258" s="38"/>
      <c r="AS258" s="49"/>
      <c r="AU258" s="97"/>
      <c r="AY258" s="39"/>
      <c r="AZ258" s="39"/>
      <c r="BA258" s="47"/>
      <c r="BC258" s="38"/>
      <c r="BD258" s="49"/>
    </row>
    <row r="259" spans="22:56" ht="16" x14ac:dyDescent="0.4">
      <c r="V259" s="97">
        <v>45960</v>
      </c>
      <c r="W259">
        <v>214387</v>
      </c>
      <c r="X259" s="101" t="s">
        <v>36</v>
      </c>
      <c r="Y259" s="105"/>
      <c r="Z259" s="50">
        <v>0.54652777777777783</v>
      </c>
      <c r="AA259" s="50">
        <v>0.96666666666666667</v>
      </c>
      <c r="AD259" s="37">
        <v>22364</v>
      </c>
      <c r="AE259" s="93">
        <f t="shared" si="35"/>
        <v>22.364000000000001</v>
      </c>
      <c r="AF259">
        <v>14.74</v>
      </c>
      <c r="AG259" s="103">
        <f t="shared" si="34"/>
        <v>14</v>
      </c>
      <c r="AH259" s="37">
        <f t="shared" si="36"/>
        <v>22.364000000000001</v>
      </c>
      <c r="AJ259" s="97"/>
      <c r="AP259" s="47"/>
      <c r="AR259" s="38"/>
      <c r="AS259" s="49"/>
      <c r="AU259" s="97"/>
      <c r="BA259" s="47"/>
      <c r="BC259" s="38"/>
      <c r="BD259" s="49"/>
    </row>
    <row r="260" spans="22:56" ht="16" x14ac:dyDescent="0.4">
      <c r="V260" s="97">
        <v>45961</v>
      </c>
      <c r="W260">
        <v>214402</v>
      </c>
      <c r="X260" s="101" t="s">
        <v>36</v>
      </c>
      <c r="Y260" s="105"/>
      <c r="Z260" s="50">
        <v>0.95694444444444438</v>
      </c>
      <c r="AA260" s="50">
        <v>3.2638888888888891E-2</v>
      </c>
      <c r="AD260" s="37">
        <v>22302</v>
      </c>
      <c r="AE260" s="93">
        <f t="shared" si="35"/>
        <v>22.302</v>
      </c>
      <c r="AF260">
        <v>14.16</v>
      </c>
      <c r="AG260" s="103">
        <f t="shared" si="34"/>
        <v>14</v>
      </c>
      <c r="AH260" s="37">
        <f t="shared" si="36"/>
        <v>22.302</v>
      </c>
      <c r="AJ260" s="97"/>
      <c r="AN260" s="39"/>
      <c r="AO260" s="39"/>
      <c r="AP260" s="47"/>
      <c r="AR260" s="38"/>
      <c r="AS260" s="49"/>
      <c r="AU260" s="97"/>
      <c r="AY260" s="39"/>
      <c r="AZ260" s="39"/>
      <c r="BA260" s="47"/>
      <c r="BC260" s="38"/>
      <c r="BD260" s="49"/>
    </row>
    <row r="261" spans="22:56" ht="16" x14ac:dyDescent="0.4">
      <c r="V261" s="97">
        <v>45961</v>
      </c>
      <c r="W261">
        <v>214410</v>
      </c>
      <c r="X261" s="101" t="s">
        <v>36</v>
      </c>
      <c r="Y261" s="105"/>
      <c r="Z261" s="50">
        <v>0.77638888888888891</v>
      </c>
      <c r="AA261" s="50">
        <v>8.6805555555555566E-2</v>
      </c>
      <c r="AD261" s="37">
        <v>21884</v>
      </c>
      <c r="AE261" s="93">
        <f t="shared" si="35"/>
        <v>21.884</v>
      </c>
      <c r="AF261">
        <v>15.28</v>
      </c>
      <c r="AG261" s="103">
        <f t="shared" ref="AG261:AG289" si="37">IF($AF261&gt;14,14,$AF261)</f>
        <v>14</v>
      </c>
      <c r="AH261" s="37">
        <f t="shared" si="36"/>
        <v>21.883999999999997</v>
      </c>
      <c r="AJ261" s="97"/>
      <c r="AN261" s="39"/>
      <c r="AO261" s="39"/>
      <c r="AP261" s="47"/>
      <c r="AR261" s="38"/>
      <c r="AS261" s="49"/>
      <c r="AU261" s="97"/>
      <c r="AY261" s="39"/>
      <c r="AZ261" s="39"/>
      <c r="BA261" s="47"/>
      <c r="BC261" s="38"/>
      <c r="BD261" s="49"/>
    </row>
    <row r="262" spans="22:56" ht="16" x14ac:dyDescent="0.4">
      <c r="V262" s="97">
        <v>45961</v>
      </c>
      <c r="W262">
        <v>214418</v>
      </c>
      <c r="X262" s="101" t="s">
        <v>36</v>
      </c>
      <c r="Y262" s="105"/>
      <c r="Z262" s="50">
        <v>0.83333333333333337</v>
      </c>
      <c r="AA262" s="50">
        <v>0.13680555555555554</v>
      </c>
      <c r="AD262" s="37">
        <v>20998</v>
      </c>
      <c r="AE262" s="93">
        <f t="shared" si="35"/>
        <v>20.998000000000001</v>
      </c>
      <c r="AF262">
        <v>14.98</v>
      </c>
      <c r="AG262" s="103">
        <f t="shared" si="37"/>
        <v>14</v>
      </c>
      <c r="AH262" s="37">
        <f t="shared" si="36"/>
        <v>20.998000000000001</v>
      </c>
      <c r="AJ262" s="97"/>
      <c r="AN262" s="39"/>
      <c r="AO262" s="39"/>
      <c r="AP262" s="94"/>
      <c r="AR262" s="38"/>
      <c r="AS262" s="49"/>
      <c r="AU262" s="97"/>
      <c r="AY262" s="39"/>
      <c r="AZ262" s="39"/>
      <c r="BA262" s="94"/>
      <c r="BC262" s="38"/>
      <c r="BD262" s="49"/>
    </row>
    <row r="263" spans="22:56" ht="16" x14ac:dyDescent="0.4">
      <c r="V263" s="97">
        <v>45961</v>
      </c>
      <c r="W263">
        <v>214423</v>
      </c>
      <c r="X263" s="101" t="s">
        <v>36</v>
      </c>
      <c r="Y263" s="105"/>
      <c r="Z263" s="50">
        <v>5.5555555555555558E-3</v>
      </c>
      <c r="AA263" s="50">
        <v>0.19027777777777777</v>
      </c>
      <c r="AD263" s="37">
        <v>21238</v>
      </c>
      <c r="AE263" s="93">
        <f t="shared" si="35"/>
        <v>21.238</v>
      </c>
      <c r="AF263">
        <v>15.55</v>
      </c>
      <c r="AG263" s="103">
        <f t="shared" si="37"/>
        <v>14</v>
      </c>
      <c r="AH263" s="37">
        <f t="shared" si="36"/>
        <v>21.238</v>
      </c>
      <c r="AJ263" s="97"/>
      <c r="AN263" s="39"/>
      <c r="AO263" s="39"/>
      <c r="AP263" s="94"/>
      <c r="AR263" s="38"/>
      <c r="AS263" s="49"/>
      <c r="AU263" s="97"/>
      <c r="AY263" s="39"/>
      <c r="AZ263" s="39"/>
      <c r="BA263" s="94"/>
      <c r="BC263" s="38"/>
      <c r="BD263" s="49"/>
    </row>
    <row r="264" spans="22:56" ht="16" x14ac:dyDescent="0.4">
      <c r="V264" s="97">
        <v>45961</v>
      </c>
      <c r="W264">
        <v>214426</v>
      </c>
      <c r="X264" s="101" t="s">
        <v>36</v>
      </c>
      <c r="Y264" s="105"/>
      <c r="Z264" s="50">
        <v>0.95694444444444438</v>
      </c>
      <c r="AA264" s="50">
        <v>0.23124999999999998</v>
      </c>
      <c r="AD264" s="37">
        <v>21986</v>
      </c>
      <c r="AE264" s="93">
        <f t="shared" si="35"/>
        <v>21.986000000000001</v>
      </c>
      <c r="AF264">
        <v>14.41</v>
      </c>
      <c r="AG264" s="103">
        <f t="shared" si="37"/>
        <v>14</v>
      </c>
      <c r="AH264" s="37">
        <f t="shared" si="36"/>
        <v>21.986000000000001</v>
      </c>
      <c r="AJ264" s="97"/>
      <c r="AN264" s="39"/>
      <c r="AO264" s="39"/>
      <c r="AP264" s="94"/>
      <c r="AR264" s="38"/>
      <c r="AS264" s="49"/>
      <c r="AU264" s="97"/>
      <c r="AY264" s="39"/>
      <c r="AZ264" s="39"/>
      <c r="BA264" s="94"/>
      <c r="BC264" s="38"/>
      <c r="BD264" s="49"/>
    </row>
    <row r="265" spans="22:56" ht="16" x14ac:dyDescent="0.4">
      <c r="V265" s="97">
        <v>45961</v>
      </c>
      <c r="W265">
        <v>214436</v>
      </c>
      <c r="X265" s="101" t="s">
        <v>36</v>
      </c>
      <c r="Y265" s="105"/>
      <c r="Z265" s="50">
        <v>6.1342592592592594E-3</v>
      </c>
      <c r="AA265" s="50">
        <v>0.27967592592592594</v>
      </c>
      <c r="AD265" s="37">
        <v>22976</v>
      </c>
      <c r="AE265" s="93">
        <f t="shared" si="35"/>
        <v>22.975999999999999</v>
      </c>
      <c r="AF265">
        <v>13.59</v>
      </c>
      <c r="AG265" s="103">
        <f t="shared" si="37"/>
        <v>13.59</v>
      </c>
      <c r="AH265" s="37">
        <f t="shared" si="36"/>
        <v>22.303131428571426</v>
      </c>
      <c r="AJ265" s="97"/>
      <c r="AN265" s="39"/>
      <c r="AO265" s="39"/>
      <c r="AP265" s="94"/>
      <c r="AR265" s="38"/>
      <c r="AS265" s="49"/>
      <c r="AU265" s="97"/>
      <c r="AY265" s="39"/>
      <c r="AZ265" s="39"/>
      <c r="BA265" s="94"/>
      <c r="BC265" s="38"/>
      <c r="BD265" s="49"/>
    </row>
    <row r="266" spans="22:56" ht="16" x14ac:dyDescent="0.4">
      <c r="V266" s="97">
        <v>45961</v>
      </c>
      <c r="W266">
        <v>214488</v>
      </c>
      <c r="X266" s="101" t="s">
        <v>36</v>
      </c>
      <c r="Y266" s="105"/>
      <c r="Z266" s="50">
        <v>0.22928240740740743</v>
      </c>
      <c r="AA266" s="50">
        <v>0.39766203703703701</v>
      </c>
      <c r="AD266" s="37">
        <v>21554</v>
      </c>
      <c r="AE266" s="93">
        <f t="shared" si="35"/>
        <v>21.553999999999998</v>
      </c>
      <c r="AF266">
        <v>15.24</v>
      </c>
      <c r="AG266" s="103">
        <f t="shared" si="37"/>
        <v>14</v>
      </c>
      <c r="AH266" s="37">
        <f t="shared" si="36"/>
        <v>21.553999999999998</v>
      </c>
      <c r="AJ266" s="97"/>
      <c r="AN266" s="39"/>
      <c r="AO266" s="39"/>
      <c r="AP266" s="94"/>
      <c r="AR266" s="38"/>
      <c r="AS266" s="49"/>
      <c r="AU266" s="97"/>
      <c r="AY266" s="39"/>
      <c r="AZ266" s="39"/>
      <c r="BA266" s="94"/>
      <c r="BC266" s="38"/>
      <c r="BD266" s="49"/>
    </row>
    <row r="267" spans="22:56" ht="16" x14ac:dyDescent="0.4">
      <c r="V267" s="97">
        <v>45961</v>
      </c>
      <c r="W267">
        <v>214453</v>
      </c>
      <c r="X267" s="101" t="s">
        <v>36</v>
      </c>
      <c r="Y267" s="105"/>
      <c r="Z267" s="50">
        <v>0.95783564814814814</v>
      </c>
      <c r="AA267" s="50">
        <v>0.33918981481481486</v>
      </c>
      <c r="AD267" s="37">
        <v>20170</v>
      </c>
      <c r="AE267" s="93">
        <f t="shared" si="35"/>
        <v>20.170000000000002</v>
      </c>
      <c r="AF267">
        <v>15.3</v>
      </c>
      <c r="AG267" s="103">
        <f t="shared" si="37"/>
        <v>14</v>
      </c>
      <c r="AH267" s="37">
        <f t="shared" si="36"/>
        <v>20.169999999999998</v>
      </c>
      <c r="AJ267" s="97"/>
      <c r="AN267" s="39"/>
      <c r="AO267" s="39"/>
      <c r="AP267" s="47"/>
      <c r="AR267" s="38"/>
      <c r="AS267" s="49"/>
      <c r="AU267" s="97"/>
      <c r="AY267" s="39"/>
      <c r="AZ267" s="39"/>
      <c r="BA267" s="47"/>
      <c r="BC267" s="38"/>
      <c r="BD267" s="49"/>
    </row>
    <row r="268" spans="22:56" ht="16" x14ac:dyDescent="0.4">
      <c r="V268" s="97">
        <v>45961</v>
      </c>
      <c r="W268">
        <v>214530</v>
      </c>
      <c r="X268" s="101" t="s">
        <v>36</v>
      </c>
      <c r="Y268" s="105"/>
      <c r="Z268" s="50">
        <v>0.3875231481481482</v>
      </c>
      <c r="AA268" s="50">
        <v>0.47293981481481479</v>
      </c>
      <c r="AD268" s="37">
        <v>21628</v>
      </c>
      <c r="AE268" s="93">
        <f t="shared" si="35"/>
        <v>21.628</v>
      </c>
      <c r="AF268">
        <v>16.09</v>
      </c>
      <c r="AG268" s="103">
        <f t="shared" si="37"/>
        <v>14</v>
      </c>
      <c r="AH268" s="37">
        <f t="shared" si="36"/>
        <v>21.628000000000004</v>
      </c>
      <c r="AJ268" s="97"/>
      <c r="AN268" s="39"/>
      <c r="AO268" s="39"/>
      <c r="AP268" s="47"/>
      <c r="AR268" s="38"/>
      <c r="AS268" s="49"/>
      <c r="AU268" s="97"/>
      <c r="AY268" s="39"/>
      <c r="AZ268" s="39"/>
      <c r="BA268" s="47"/>
      <c r="BC268" s="38"/>
      <c r="BD268" s="49"/>
    </row>
    <row r="269" spans="22:56" ht="16" x14ac:dyDescent="0.4">
      <c r="V269" s="97">
        <v>45961</v>
      </c>
      <c r="W269">
        <v>214564</v>
      </c>
      <c r="X269" s="101" t="s">
        <v>36</v>
      </c>
      <c r="Y269" s="105"/>
      <c r="Z269" s="50">
        <v>0.54247685185185179</v>
      </c>
      <c r="AA269" s="50">
        <v>0.52908564814814818</v>
      </c>
      <c r="AD269" s="37">
        <v>22512</v>
      </c>
      <c r="AE269" s="93">
        <f t="shared" si="35"/>
        <v>22.512</v>
      </c>
      <c r="AF269">
        <v>13.8</v>
      </c>
      <c r="AG269" s="103">
        <f t="shared" si="37"/>
        <v>13.8</v>
      </c>
      <c r="AH269" s="37">
        <f t="shared" si="36"/>
        <v>22.190400000000004</v>
      </c>
      <c r="AJ269" s="97"/>
      <c r="AN269" s="39"/>
      <c r="AO269" s="39"/>
      <c r="AP269" s="47"/>
      <c r="AR269" s="38"/>
      <c r="AS269" s="49"/>
      <c r="AU269" s="97"/>
      <c r="AY269" s="39"/>
      <c r="AZ269" s="39"/>
      <c r="BA269" s="47"/>
      <c r="BC269" s="38"/>
      <c r="BD269" s="49"/>
    </row>
    <row r="270" spans="22:56" ht="16" x14ac:dyDescent="0.4">
      <c r="V270" s="97">
        <v>45961</v>
      </c>
      <c r="W270">
        <v>214578</v>
      </c>
      <c r="X270" s="101" t="s">
        <v>36</v>
      </c>
      <c r="Y270" s="105"/>
      <c r="Z270" s="50">
        <v>0.38725694444444447</v>
      </c>
      <c r="AA270" s="50">
        <v>0.5820833333333334</v>
      </c>
      <c r="AD270" s="37">
        <v>20880</v>
      </c>
      <c r="AE270" s="93">
        <f t="shared" si="35"/>
        <v>20.88</v>
      </c>
      <c r="AF270">
        <v>14.16</v>
      </c>
      <c r="AG270" s="103">
        <f t="shared" si="37"/>
        <v>14</v>
      </c>
      <c r="AH270" s="37">
        <f t="shared" si="36"/>
        <v>20.88</v>
      </c>
      <c r="AJ270" s="97"/>
      <c r="AN270" s="39"/>
      <c r="AO270" s="39"/>
      <c r="AP270" s="47"/>
      <c r="AR270" s="38"/>
      <c r="AS270" s="49"/>
      <c r="AU270" s="97"/>
      <c r="AY270" s="39"/>
      <c r="AZ270" s="39"/>
      <c r="BA270" s="47"/>
      <c r="BC270" s="38"/>
      <c r="BD270" s="49"/>
    </row>
    <row r="271" spans="22:56" ht="16" x14ac:dyDescent="0.4">
      <c r="V271" s="97">
        <v>45961</v>
      </c>
      <c r="W271">
        <v>214600</v>
      </c>
      <c r="X271" s="101" t="s">
        <v>36</v>
      </c>
      <c r="Y271" s="105"/>
      <c r="Z271" s="50">
        <v>0.2291087962962963</v>
      </c>
      <c r="AA271" s="50">
        <v>0.63381944444444438</v>
      </c>
      <c r="AD271" s="37">
        <v>21036</v>
      </c>
      <c r="AE271" s="93">
        <f t="shared" si="35"/>
        <v>21.036000000000001</v>
      </c>
      <c r="AF271">
        <v>14.56</v>
      </c>
      <c r="AG271" s="103">
        <f t="shared" si="37"/>
        <v>14</v>
      </c>
      <c r="AH271" s="37">
        <f t="shared" si="36"/>
        <v>21.036000000000001</v>
      </c>
      <c r="AJ271" s="97"/>
      <c r="AN271" s="39"/>
      <c r="AO271" s="39"/>
      <c r="AP271" s="47"/>
      <c r="AR271" s="38"/>
      <c r="AS271" s="49"/>
      <c r="AU271" s="97"/>
      <c r="AY271" s="39"/>
      <c r="AZ271" s="39"/>
      <c r="BA271" s="47"/>
      <c r="BC271" s="38"/>
      <c r="BD271" s="49"/>
    </row>
    <row r="272" spans="22:56" ht="16" x14ac:dyDescent="0.4">
      <c r="V272" s="97">
        <v>45961</v>
      </c>
      <c r="W272">
        <v>214611</v>
      </c>
      <c r="X272" s="101" t="s">
        <v>36</v>
      </c>
      <c r="Y272" s="105"/>
      <c r="Z272" s="50">
        <v>0.38737268518518514</v>
      </c>
      <c r="AA272" s="50">
        <v>0.68927083333333339</v>
      </c>
      <c r="AD272" s="37">
        <v>20240</v>
      </c>
      <c r="AE272" s="93">
        <f t="shared" si="35"/>
        <v>20.239999999999998</v>
      </c>
      <c r="AF272">
        <v>14.59</v>
      </c>
      <c r="AG272" s="103">
        <f t="shared" si="37"/>
        <v>14</v>
      </c>
      <c r="AH272" s="37">
        <f t="shared" si="36"/>
        <v>20.239999999999998</v>
      </c>
      <c r="AJ272" s="97"/>
      <c r="AN272" s="39"/>
      <c r="AO272" s="39"/>
      <c r="AP272" s="47"/>
      <c r="AR272" s="38"/>
      <c r="AS272" s="49"/>
      <c r="AU272" s="97"/>
      <c r="AY272" s="39"/>
      <c r="AZ272" s="39"/>
      <c r="BA272" s="47"/>
      <c r="BC272" s="38"/>
      <c r="BD272" s="49"/>
    </row>
    <row r="273" spans="22:56" ht="16" x14ac:dyDescent="0.4">
      <c r="V273" s="97">
        <v>45961</v>
      </c>
      <c r="W273">
        <v>214618</v>
      </c>
      <c r="X273" s="101" t="s">
        <v>36</v>
      </c>
      <c r="Y273" s="105"/>
      <c r="Z273" s="50">
        <v>0.57979166666666659</v>
      </c>
      <c r="AA273" s="50">
        <v>0.73162037037037031</v>
      </c>
      <c r="AD273" s="37">
        <v>19564</v>
      </c>
      <c r="AE273" s="93">
        <f t="shared" si="35"/>
        <v>19.564</v>
      </c>
      <c r="AF273">
        <v>15.41</v>
      </c>
      <c r="AG273" s="103">
        <f t="shared" si="37"/>
        <v>14</v>
      </c>
      <c r="AH273" s="37">
        <f t="shared" si="36"/>
        <v>19.564</v>
      </c>
      <c r="AJ273" s="97"/>
      <c r="AN273" s="39"/>
      <c r="AO273" s="39"/>
      <c r="AP273" s="47"/>
      <c r="AR273" s="38"/>
      <c r="AS273" s="49"/>
      <c r="AU273" s="97"/>
      <c r="AY273" s="39"/>
      <c r="AZ273" s="39"/>
      <c r="BA273" s="47"/>
      <c r="BC273" s="38"/>
      <c r="BD273" s="49"/>
    </row>
    <row r="274" spans="22:56" ht="16" x14ac:dyDescent="0.4">
      <c r="V274" s="97">
        <v>45961</v>
      </c>
      <c r="W274">
        <v>214643</v>
      </c>
      <c r="X274" s="101" t="s">
        <v>36</v>
      </c>
      <c r="Y274" s="105"/>
      <c r="Z274" s="50">
        <v>0.26874999999999999</v>
      </c>
      <c r="AA274" s="50">
        <v>0.79999999999999993</v>
      </c>
      <c r="AD274" s="37">
        <v>22566</v>
      </c>
      <c r="AE274" s="93">
        <f t="shared" si="35"/>
        <v>22.565999999999999</v>
      </c>
      <c r="AF274">
        <v>15.02</v>
      </c>
      <c r="AG274" s="103">
        <f t="shared" si="37"/>
        <v>14</v>
      </c>
      <c r="AH274" s="37">
        <f t="shared" si="36"/>
        <v>22.565999999999999</v>
      </c>
      <c r="AJ274" s="97"/>
      <c r="AN274" s="39"/>
      <c r="AO274" s="39"/>
      <c r="AP274" s="47"/>
      <c r="AR274" s="38"/>
      <c r="AS274" s="49"/>
      <c r="AU274" s="97"/>
      <c r="AY274" s="39"/>
      <c r="AZ274" s="39"/>
      <c r="BA274" s="47"/>
      <c r="BC274" s="38"/>
      <c r="BD274" s="49"/>
    </row>
    <row r="275" spans="22:56" ht="16" x14ac:dyDescent="0.4">
      <c r="V275" s="97">
        <v>45961</v>
      </c>
      <c r="W275">
        <v>214660</v>
      </c>
      <c r="X275" s="101" t="s">
        <v>36</v>
      </c>
      <c r="Y275" s="105"/>
      <c r="Z275" s="50">
        <v>0.76111111111111107</v>
      </c>
      <c r="AA275" s="50">
        <v>0.86249999999999993</v>
      </c>
      <c r="AD275" s="37">
        <v>22188</v>
      </c>
      <c r="AE275" s="93">
        <f t="shared" si="35"/>
        <v>22.187999999999999</v>
      </c>
      <c r="AF275">
        <v>14.18</v>
      </c>
      <c r="AG275" s="103">
        <f t="shared" si="37"/>
        <v>14</v>
      </c>
      <c r="AH275" s="37">
        <f t="shared" si="36"/>
        <v>22.187999999999999</v>
      </c>
      <c r="AJ275" s="97"/>
      <c r="AN275" s="39"/>
      <c r="AO275" s="39"/>
      <c r="AP275" s="47"/>
      <c r="AR275" s="38"/>
      <c r="AS275" s="49"/>
      <c r="AU275" s="97"/>
      <c r="AY275" s="39"/>
      <c r="AZ275" s="39"/>
      <c r="BA275" s="47"/>
      <c r="BC275" s="38"/>
      <c r="BD275" s="49"/>
    </row>
    <row r="276" spans="22:56" ht="16" x14ac:dyDescent="0.4">
      <c r="V276" s="97">
        <v>45961</v>
      </c>
      <c r="W276">
        <v>214668</v>
      </c>
      <c r="X276" s="101" t="s">
        <v>36</v>
      </c>
      <c r="Y276" s="105"/>
      <c r="Z276" s="50">
        <v>0.72777777777777775</v>
      </c>
      <c r="AA276" s="50">
        <v>0.92013888888888884</v>
      </c>
      <c r="AD276" s="37">
        <v>22436</v>
      </c>
      <c r="AE276" s="93">
        <f t="shared" si="35"/>
        <v>22.436</v>
      </c>
      <c r="AF276">
        <v>14.74</v>
      </c>
      <c r="AG276" s="103">
        <f t="shared" si="37"/>
        <v>14</v>
      </c>
      <c r="AH276" s="37">
        <f t="shared" si="36"/>
        <v>22.436</v>
      </c>
      <c r="AJ276" s="97"/>
      <c r="AN276" s="39"/>
      <c r="AO276" s="39"/>
      <c r="AP276" s="47"/>
      <c r="AR276" s="38"/>
      <c r="AS276" s="49"/>
      <c r="AU276" s="97"/>
      <c r="AY276" s="39"/>
      <c r="AZ276" s="39"/>
      <c r="BA276" s="47"/>
      <c r="BC276" s="38"/>
      <c r="BD276" s="49"/>
    </row>
    <row r="277" spans="22:56" ht="16" x14ac:dyDescent="0.4">
      <c r="V277" s="97"/>
      <c r="W277" s="16"/>
      <c r="X277" s="101"/>
      <c r="Y277" s="105"/>
      <c r="Z277" s="50"/>
      <c r="AA277" s="50"/>
      <c r="AD277" s="37"/>
      <c r="AE277" s="93">
        <f t="shared" si="35"/>
        <v>0</v>
      </c>
      <c r="AF277" s="16"/>
      <c r="AG277" s="103">
        <f t="shared" si="37"/>
        <v>0</v>
      </c>
      <c r="AH277" s="37">
        <f t="shared" si="36"/>
        <v>0</v>
      </c>
      <c r="AJ277" s="97"/>
      <c r="AN277" s="39"/>
      <c r="AO277" s="39"/>
      <c r="AP277" s="47"/>
      <c r="AR277" s="38"/>
      <c r="AS277" s="49"/>
      <c r="AU277" s="97"/>
      <c r="AY277" s="39"/>
      <c r="AZ277" s="39"/>
      <c r="BA277" s="47"/>
      <c r="BC277" s="38"/>
      <c r="BD277" s="49"/>
    </row>
    <row r="278" spans="22:56" ht="16" x14ac:dyDescent="0.4">
      <c r="V278" s="97"/>
      <c r="W278" s="16"/>
      <c r="X278" s="101"/>
      <c r="Y278" s="105"/>
      <c r="Z278" s="50"/>
      <c r="AA278" s="50"/>
      <c r="AD278" s="37"/>
      <c r="AE278" s="93">
        <f t="shared" si="35"/>
        <v>0</v>
      </c>
      <c r="AF278" s="16"/>
      <c r="AG278" s="103">
        <f t="shared" si="37"/>
        <v>0</v>
      </c>
      <c r="AH278" s="37">
        <f t="shared" si="36"/>
        <v>0</v>
      </c>
      <c r="AJ278" s="97"/>
      <c r="AN278" s="39"/>
      <c r="AO278" s="39"/>
      <c r="AP278" s="47"/>
      <c r="AR278" s="38"/>
      <c r="AS278" s="49"/>
      <c r="AU278" s="97"/>
      <c r="AY278" s="39"/>
      <c r="AZ278" s="39"/>
      <c r="BA278" s="47"/>
      <c r="BC278" s="38"/>
      <c r="BD278" s="49"/>
    </row>
    <row r="279" spans="22:56" ht="16" x14ac:dyDescent="0.4">
      <c r="V279" s="97"/>
      <c r="W279" s="16"/>
      <c r="X279" s="101"/>
      <c r="Y279" s="105"/>
      <c r="Z279" s="50"/>
      <c r="AA279" s="50"/>
      <c r="AD279" s="37"/>
      <c r="AE279" s="93">
        <f t="shared" si="35"/>
        <v>0</v>
      </c>
      <c r="AF279" s="16"/>
      <c r="AG279" s="103">
        <f t="shared" si="37"/>
        <v>0</v>
      </c>
      <c r="AH279" s="37">
        <f t="shared" si="36"/>
        <v>0</v>
      </c>
      <c r="AJ279" s="97"/>
      <c r="AN279" s="39"/>
      <c r="AO279" s="39"/>
      <c r="AP279" s="47"/>
      <c r="AR279" s="38"/>
      <c r="AS279" s="49"/>
      <c r="AU279" s="97"/>
      <c r="AY279" s="39"/>
      <c r="AZ279" s="39"/>
      <c r="BA279" s="47"/>
      <c r="BC279" s="38"/>
      <c r="BD279" s="49"/>
    </row>
    <row r="280" spans="22:56" ht="16" x14ac:dyDescent="0.4">
      <c r="V280" s="97"/>
      <c r="W280" s="16"/>
      <c r="X280" s="101"/>
      <c r="Y280" s="105"/>
      <c r="Z280" s="50"/>
      <c r="AA280" s="50"/>
      <c r="AD280" s="37"/>
      <c r="AE280" s="93">
        <f t="shared" si="35"/>
        <v>0</v>
      </c>
      <c r="AF280" s="16"/>
      <c r="AG280" s="103">
        <f t="shared" si="37"/>
        <v>0</v>
      </c>
      <c r="AH280" s="37">
        <f t="shared" si="36"/>
        <v>0</v>
      </c>
      <c r="AJ280" s="97"/>
      <c r="AN280" s="39"/>
      <c r="AO280" s="39"/>
      <c r="AP280" s="47"/>
      <c r="AR280" s="38"/>
      <c r="AS280" s="49"/>
      <c r="AU280" s="97"/>
      <c r="AY280" s="39"/>
      <c r="AZ280" s="39"/>
      <c r="BA280" s="47"/>
      <c r="BC280" s="38"/>
      <c r="BD280" s="49"/>
    </row>
    <row r="281" spans="22:56" ht="16" x14ac:dyDescent="0.4">
      <c r="V281" s="97"/>
      <c r="W281" s="16"/>
      <c r="X281" s="101"/>
      <c r="Y281" s="105"/>
      <c r="Z281" s="50"/>
      <c r="AA281" s="50"/>
      <c r="AD281" s="37"/>
      <c r="AE281" s="93">
        <f t="shared" si="35"/>
        <v>0</v>
      </c>
      <c r="AF281" s="16"/>
      <c r="AG281" s="103">
        <f t="shared" si="37"/>
        <v>0</v>
      </c>
      <c r="AH281" s="37">
        <f t="shared" si="36"/>
        <v>0</v>
      </c>
      <c r="AJ281" s="97"/>
      <c r="AN281" s="39"/>
      <c r="AO281" s="39"/>
      <c r="AP281" s="47"/>
      <c r="AR281" s="38"/>
      <c r="AS281" s="49"/>
      <c r="AU281" s="97"/>
      <c r="AY281" s="39"/>
      <c r="AZ281" s="39"/>
      <c r="BA281" s="47"/>
      <c r="BC281" s="38"/>
      <c r="BD281" s="49"/>
    </row>
    <row r="282" spans="22:56" ht="16" x14ac:dyDescent="0.4">
      <c r="V282" s="97"/>
      <c r="W282" s="16"/>
      <c r="X282" s="101"/>
      <c r="Y282" s="105"/>
      <c r="Z282" s="50"/>
      <c r="AA282" s="50"/>
      <c r="AD282" s="37"/>
      <c r="AE282" s="93">
        <f t="shared" si="35"/>
        <v>0</v>
      </c>
      <c r="AF282" s="16"/>
      <c r="AG282" s="103">
        <f t="shared" si="37"/>
        <v>0</v>
      </c>
      <c r="AH282" s="37">
        <f t="shared" si="36"/>
        <v>0</v>
      </c>
      <c r="AJ282" s="97"/>
      <c r="AN282" s="39"/>
      <c r="AO282" s="39"/>
      <c r="AP282" s="47"/>
      <c r="AR282" s="38"/>
      <c r="AS282" s="49"/>
      <c r="AU282" s="97"/>
      <c r="AY282" s="39"/>
      <c r="AZ282" s="39"/>
      <c r="BA282" s="47"/>
      <c r="BC282" s="38"/>
      <c r="BD282" s="49"/>
    </row>
    <row r="283" spans="22:56" ht="16" x14ac:dyDescent="0.4">
      <c r="V283" s="97"/>
      <c r="W283" s="16"/>
      <c r="X283" s="101"/>
      <c r="Y283" s="105"/>
      <c r="Z283" s="50"/>
      <c r="AA283" s="50"/>
      <c r="AD283" s="37"/>
      <c r="AE283" s="93">
        <f t="shared" si="35"/>
        <v>0</v>
      </c>
      <c r="AF283" s="16"/>
      <c r="AG283" s="103">
        <f t="shared" si="37"/>
        <v>0</v>
      </c>
      <c r="AH283" s="37">
        <f t="shared" si="36"/>
        <v>0</v>
      </c>
      <c r="AJ283" s="97"/>
      <c r="AN283" s="39"/>
      <c r="AO283" s="39"/>
      <c r="AP283" s="47"/>
      <c r="AR283" s="38"/>
      <c r="AS283" s="49"/>
      <c r="AU283" s="97"/>
      <c r="AY283" s="39"/>
      <c r="AZ283" s="39"/>
      <c r="BA283" s="47"/>
      <c r="BC283" s="38"/>
      <c r="BD283" s="49"/>
    </row>
    <row r="284" spans="22:56" ht="16" x14ac:dyDescent="0.4">
      <c r="V284" s="97"/>
      <c r="W284" s="16"/>
      <c r="X284" s="101"/>
      <c r="Y284" s="105"/>
      <c r="Z284" s="50"/>
      <c r="AA284" s="50"/>
      <c r="AD284" s="37"/>
      <c r="AE284" s="93">
        <f t="shared" si="35"/>
        <v>0</v>
      </c>
      <c r="AF284" s="16"/>
      <c r="AG284" s="103">
        <f t="shared" si="37"/>
        <v>0</v>
      </c>
      <c r="AH284" s="37">
        <f t="shared" si="36"/>
        <v>0</v>
      </c>
      <c r="AJ284" s="97"/>
      <c r="AN284" s="39"/>
      <c r="AO284" s="39"/>
      <c r="AP284" s="47"/>
      <c r="AR284" s="38"/>
      <c r="AS284" s="49"/>
      <c r="AU284" s="97"/>
      <c r="AY284" s="39"/>
      <c r="AZ284" s="39"/>
      <c r="BA284" s="47"/>
      <c r="BC284" s="38"/>
      <c r="BD284" s="49"/>
    </row>
    <row r="285" spans="22:56" ht="16" x14ac:dyDescent="0.4">
      <c r="V285" s="97"/>
      <c r="W285" s="16"/>
      <c r="X285" s="101"/>
      <c r="Y285" s="105"/>
      <c r="Z285" s="50"/>
      <c r="AA285" s="50"/>
      <c r="AD285" s="37"/>
      <c r="AE285" s="93">
        <f t="shared" si="35"/>
        <v>0</v>
      </c>
      <c r="AF285" s="16"/>
      <c r="AG285" s="103">
        <f t="shared" si="37"/>
        <v>0</v>
      </c>
      <c r="AH285" s="37">
        <f t="shared" si="36"/>
        <v>0</v>
      </c>
      <c r="AJ285" s="97"/>
      <c r="AN285" s="39"/>
      <c r="AO285" s="39"/>
      <c r="AP285" s="47"/>
      <c r="AR285" s="38"/>
      <c r="AS285" s="49"/>
      <c r="AU285" s="97"/>
      <c r="AY285" s="39"/>
      <c r="AZ285" s="39"/>
      <c r="BA285" s="47"/>
      <c r="BC285" s="38"/>
      <c r="BD285" s="49"/>
    </row>
    <row r="286" spans="22:56" ht="16" x14ac:dyDescent="0.4">
      <c r="V286" s="97"/>
      <c r="W286" s="16"/>
      <c r="X286" s="101"/>
      <c r="Y286" s="105"/>
      <c r="Z286" s="50"/>
      <c r="AA286" s="50"/>
      <c r="AD286" s="37"/>
      <c r="AE286" s="93">
        <f t="shared" si="35"/>
        <v>0</v>
      </c>
      <c r="AF286" s="16"/>
      <c r="AG286" s="103">
        <f t="shared" si="37"/>
        <v>0</v>
      </c>
      <c r="AH286" s="37">
        <f t="shared" si="36"/>
        <v>0</v>
      </c>
      <c r="AJ286" s="97"/>
      <c r="AN286" s="39"/>
      <c r="AP286" s="47"/>
      <c r="AR286" s="38"/>
      <c r="AS286" s="49"/>
      <c r="AU286" s="97"/>
      <c r="AY286" s="39"/>
      <c r="BA286" s="47"/>
      <c r="BC286" s="38"/>
      <c r="BD286" s="49"/>
    </row>
    <row r="287" spans="22:56" ht="16" x14ac:dyDescent="0.4">
      <c r="V287" s="97"/>
      <c r="W287" s="16"/>
      <c r="X287" s="101"/>
      <c r="Y287" s="105"/>
      <c r="Z287" s="102"/>
      <c r="AA287" s="102"/>
      <c r="AB287" s="16"/>
      <c r="AC287" s="16"/>
      <c r="AD287" s="93"/>
      <c r="AE287" s="93">
        <f t="shared" si="35"/>
        <v>0</v>
      </c>
      <c r="AF287" s="16"/>
      <c r="AG287" s="103">
        <f t="shared" si="37"/>
        <v>0</v>
      </c>
      <c r="AH287" s="37">
        <f t="shared" si="36"/>
        <v>0</v>
      </c>
      <c r="AJ287" s="97"/>
      <c r="AN287" s="39"/>
      <c r="AO287" s="39"/>
      <c r="AP287" s="47"/>
      <c r="AR287" s="38"/>
      <c r="AS287" s="49"/>
      <c r="AU287" s="97"/>
      <c r="AY287" s="39"/>
      <c r="AZ287" s="39"/>
      <c r="BA287" s="47"/>
      <c r="BC287" s="38"/>
      <c r="BD287" s="49"/>
    </row>
    <row r="288" spans="22:56" ht="16" x14ac:dyDescent="0.4">
      <c r="V288" s="97"/>
      <c r="W288" s="16"/>
      <c r="X288" s="101"/>
      <c r="Y288" s="105"/>
      <c r="Z288" s="102"/>
      <c r="AA288" s="102"/>
      <c r="AB288" s="16"/>
      <c r="AC288" s="16"/>
      <c r="AD288" s="93"/>
      <c r="AE288" s="93">
        <f t="shared" si="35"/>
        <v>0</v>
      </c>
      <c r="AF288" s="16"/>
      <c r="AG288" s="103">
        <f t="shared" si="37"/>
        <v>0</v>
      </c>
      <c r="AH288" s="37">
        <f t="shared" si="36"/>
        <v>0</v>
      </c>
      <c r="AJ288" s="97"/>
      <c r="AN288" s="39"/>
      <c r="AO288" s="39"/>
      <c r="AP288" s="47"/>
      <c r="AR288" s="38"/>
      <c r="AS288" s="49"/>
      <c r="AU288" s="97"/>
      <c r="AY288" s="39"/>
      <c r="AZ288" s="39"/>
      <c r="BA288" s="47"/>
      <c r="BC288" s="38"/>
      <c r="BD288" s="49"/>
    </row>
    <row r="289" spans="22:56" ht="16" x14ac:dyDescent="0.4">
      <c r="V289" s="97"/>
      <c r="W289" s="16"/>
      <c r="X289" s="101"/>
      <c r="Y289" s="105"/>
      <c r="Z289" s="102"/>
      <c r="AA289" s="102"/>
      <c r="AB289" s="16"/>
      <c r="AC289" s="16"/>
      <c r="AD289" s="93"/>
      <c r="AE289" s="93">
        <f t="shared" si="35"/>
        <v>0</v>
      </c>
      <c r="AF289" s="16"/>
      <c r="AG289" s="103">
        <f t="shared" si="37"/>
        <v>0</v>
      </c>
      <c r="AH289" s="37">
        <f t="shared" si="36"/>
        <v>0</v>
      </c>
      <c r="AJ289" s="97"/>
      <c r="AN289" s="39"/>
      <c r="AO289" s="39"/>
      <c r="AP289" s="47"/>
      <c r="AR289" s="38"/>
      <c r="AS289" s="49"/>
      <c r="AU289" s="97"/>
      <c r="AY289" s="39"/>
      <c r="AZ289" s="39"/>
      <c r="BA289" s="47"/>
      <c r="BC289" s="38"/>
      <c r="BD289" s="49"/>
    </row>
    <row r="290" spans="22:56" ht="16" x14ac:dyDescent="0.4">
      <c r="V290" s="97"/>
      <c r="W290" s="16"/>
      <c r="X290" s="101"/>
      <c r="Y290" s="105"/>
      <c r="Z290" s="102"/>
      <c r="AA290" s="102"/>
      <c r="AB290" s="16"/>
      <c r="AC290" s="16"/>
      <c r="AD290" s="93"/>
      <c r="AE290" s="93">
        <f t="shared" si="35"/>
        <v>0</v>
      </c>
      <c r="AF290" s="16"/>
      <c r="AG290" s="103">
        <f t="shared" ref="AG290:AG320" si="38">IF($AF290&gt;14,14,$AF290)</f>
        <v>0</v>
      </c>
      <c r="AH290" s="37">
        <f t="shared" si="36"/>
        <v>0</v>
      </c>
      <c r="AJ290" s="97"/>
      <c r="AN290" s="39"/>
      <c r="AO290" s="39"/>
      <c r="AP290" s="47"/>
      <c r="AR290" s="38"/>
      <c r="AS290" s="38"/>
      <c r="AU290" s="97"/>
      <c r="AY290" s="39"/>
      <c r="AZ290" s="39"/>
      <c r="BA290" s="47"/>
      <c r="BC290" s="38"/>
      <c r="BD290" s="38"/>
    </row>
    <row r="291" spans="22:56" ht="16" x14ac:dyDescent="0.4">
      <c r="V291" s="97"/>
      <c r="W291" s="16"/>
      <c r="X291" s="101"/>
      <c r="Y291" s="105"/>
      <c r="Z291" s="102"/>
      <c r="AA291" s="102"/>
      <c r="AB291" s="16"/>
      <c r="AC291" s="16"/>
      <c r="AD291" s="93"/>
      <c r="AE291" s="93">
        <f t="shared" si="35"/>
        <v>0</v>
      </c>
      <c r="AF291" s="16"/>
      <c r="AG291" s="103">
        <f t="shared" si="38"/>
        <v>0</v>
      </c>
      <c r="AH291" s="37">
        <f t="shared" si="36"/>
        <v>0</v>
      </c>
      <c r="AJ291" s="97"/>
      <c r="AN291" s="39"/>
      <c r="AO291" s="39"/>
      <c r="AP291" s="47"/>
      <c r="AR291" s="38"/>
      <c r="AS291" s="38"/>
      <c r="AU291" s="97"/>
      <c r="AY291" s="39"/>
      <c r="AZ291" s="39"/>
      <c r="BA291" s="47"/>
      <c r="BC291" s="38"/>
      <c r="BD291" s="38"/>
    </row>
    <row r="292" spans="22:56" ht="16" x14ac:dyDescent="0.4">
      <c r="V292" s="97"/>
      <c r="W292" s="16"/>
      <c r="X292" s="101"/>
      <c r="Y292" s="105"/>
      <c r="Z292" s="102"/>
      <c r="AA292" s="102"/>
      <c r="AB292" s="16"/>
      <c r="AC292" s="16"/>
      <c r="AD292" s="93"/>
      <c r="AE292" s="93">
        <f t="shared" si="35"/>
        <v>0</v>
      </c>
      <c r="AF292" s="16"/>
      <c r="AG292" s="103">
        <f t="shared" si="38"/>
        <v>0</v>
      </c>
      <c r="AH292" s="37">
        <f t="shared" si="36"/>
        <v>0</v>
      </c>
      <c r="AJ292" s="97"/>
      <c r="AN292" s="39"/>
      <c r="AO292" s="39"/>
      <c r="AP292" s="47"/>
      <c r="AR292" s="38"/>
      <c r="AS292" s="38"/>
      <c r="AU292" s="97"/>
      <c r="AY292" s="39"/>
      <c r="AZ292" s="39"/>
      <c r="BA292" s="47"/>
      <c r="BC292" s="38"/>
      <c r="BD292" s="38"/>
    </row>
    <row r="293" spans="22:56" ht="16" x14ac:dyDescent="0.4">
      <c r="V293" s="97"/>
      <c r="W293" s="16"/>
      <c r="X293" s="101"/>
      <c r="Y293" s="105"/>
      <c r="Z293" s="102"/>
      <c r="AA293" s="102"/>
      <c r="AB293" s="16"/>
      <c r="AC293" s="16"/>
      <c r="AD293" s="93"/>
      <c r="AE293" s="93">
        <f t="shared" si="35"/>
        <v>0</v>
      </c>
      <c r="AF293" s="16"/>
      <c r="AG293" s="103">
        <f t="shared" si="38"/>
        <v>0</v>
      </c>
      <c r="AH293" s="37">
        <f t="shared" si="36"/>
        <v>0</v>
      </c>
      <c r="AJ293" s="97"/>
      <c r="AN293" s="39"/>
      <c r="AO293" s="39"/>
      <c r="AP293" s="47"/>
      <c r="AR293" s="38"/>
      <c r="AS293" s="38"/>
      <c r="AU293" s="97"/>
      <c r="AY293" s="39"/>
      <c r="AZ293" s="39"/>
      <c r="BA293" s="47"/>
      <c r="BC293" s="38"/>
      <c r="BD293" s="38"/>
    </row>
    <row r="294" spans="22:56" ht="16" x14ac:dyDescent="0.4">
      <c r="V294" s="97"/>
      <c r="W294" s="16"/>
      <c r="X294" s="101"/>
      <c r="Y294" s="105"/>
      <c r="Z294" s="102"/>
      <c r="AA294" s="102"/>
      <c r="AB294" s="16"/>
      <c r="AC294" s="16"/>
      <c r="AD294" s="93"/>
      <c r="AE294" s="93">
        <f t="shared" si="35"/>
        <v>0</v>
      </c>
      <c r="AF294" s="16"/>
      <c r="AG294" s="103">
        <f t="shared" si="38"/>
        <v>0</v>
      </c>
      <c r="AH294" s="37">
        <f t="shared" si="36"/>
        <v>0</v>
      </c>
      <c r="AJ294" s="97"/>
      <c r="AN294" s="39"/>
      <c r="AO294" s="39"/>
      <c r="AP294" s="47"/>
      <c r="AR294" s="38"/>
      <c r="AS294" s="38"/>
      <c r="AU294" s="97"/>
      <c r="AY294" s="39"/>
      <c r="AZ294" s="39"/>
      <c r="BA294" s="47"/>
      <c r="BC294" s="38"/>
      <c r="BD294" s="38"/>
    </row>
    <row r="295" spans="22:56" ht="16" x14ac:dyDescent="0.4">
      <c r="V295" s="97"/>
      <c r="W295" s="16"/>
      <c r="X295" s="101"/>
      <c r="Y295" s="105"/>
      <c r="Z295" s="102"/>
      <c r="AA295" s="102"/>
      <c r="AB295" s="16"/>
      <c r="AC295" s="16"/>
      <c r="AD295" s="93"/>
      <c r="AE295" s="93">
        <f t="shared" si="35"/>
        <v>0</v>
      </c>
      <c r="AF295" s="16"/>
      <c r="AG295" s="103">
        <f t="shared" si="38"/>
        <v>0</v>
      </c>
      <c r="AH295" s="37">
        <f t="shared" si="36"/>
        <v>0</v>
      </c>
      <c r="AJ295" s="97"/>
      <c r="AN295" s="39"/>
      <c r="AP295" s="47"/>
      <c r="AR295" s="38"/>
      <c r="AS295" s="38"/>
      <c r="AU295" s="97"/>
      <c r="AY295" s="39"/>
      <c r="BA295" s="47"/>
      <c r="BC295" s="38"/>
      <c r="BD295" s="38"/>
    </row>
    <row r="296" spans="22:56" ht="16" x14ac:dyDescent="0.4">
      <c r="V296" s="97"/>
      <c r="W296" s="16"/>
      <c r="X296" s="101"/>
      <c r="Y296" s="105"/>
      <c r="Z296" s="102"/>
      <c r="AA296" s="102"/>
      <c r="AB296" s="16"/>
      <c r="AC296" s="16"/>
      <c r="AD296" s="93"/>
      <c r="AE296" s="93">
        <f t="shared" si="35"/>
        <v>0</v>
      </c>
      <c r="AF296" s="16"/>
      <c r="AG296" s="103">
        <f t="shared" si="38"/>
        <v>0</v>
      </c>
      <c r="AH296" s="37">
        <f t="shared" si="36"/>
        <v>0</v>
      </c>
      <c r="AJ296" s="97"/>
      <c r="AN296" s="39"/>
      <c r="AO296" s="39"/>
      <c r="AP296" s="47"/>
      <c r="AR296" s="38"/>
      <c r="AS296" s="38"/>
      <c r="AU296" s="97"/>
      <c r="AY296" s="39"/>
      <c r="AZ296" s="39"/>
      <c r="BA296" s="47"/>
      <c r="BC296" s="38"/>
      <c r="BD296" s="38"/>
    </row>
    <row r="297" spans="22:56" ht="16" x14ac:dyDescent="0.4">
      <c r="V297" s="97"/>
      <c r="W297" s="16"/>
      <c r="X297" s="101"/>
      <c r="Y297" s="105"/>
      <c r="Z297" s="102"/>
      <c r="AA297" s="102"/>
      <c r="AB297" s="16"/>
      <c r="AC297" s="16"/>
      <c r="AD297" s="93"/>
      <c r="AE297" s="93">
        <f t="shared" si="35"/>
        <v>0</v>
      </c>
      <c r="AF297" s="16"/>
      <c r="AG297" s="103">
        <f t="shared" si="38"/>
        <v>0</v>
      </c>
      <c r="AH297" s="37">
        <f t="shared" si="36"/>
        <v>0</v>
      </c>
      <c r="AJ297" s="97"/>
      <c r="AN297" s="39"/>
      <c r="AO297" s="39"/>
      <c r="AP297" s="47"/>
      <c r="AR297" s="38"/>
      <c r="AS297" s="38"/>
      <c r="AU297" s="97"/>
      <c r="AY297" s="39"/>
      <c r="AZ297" s="39"/>
      <c r="BA297" s="47"/>
      <c r="BC297" s="38"/>
      <c r="BD297" s="38"/>
    </row>
    <row r="298" spans="22:56" ht="16" x14ac:dyDescent="0.4">
      <c r="V298" s="97"/>
      <c r="W298" s="16"/>
      <c r="X298" s="101"/>
      <c r="Y298" s="105"/>
      <c r="Z298" s="102"/>
      <c r="AA298" s="102"/>
      <c r="AB298" s="16"/>
      <c r="AC298" s="16"/>
      <c r="AD298" s="105"/>
      <c r="AE298" s="93">
        <f t="shared" si="35"/>
        <v>0</v>
      </c>
      <c r="AF298" s="16"/>
      <c r="AG298" s="103">
        <f t="shared" si="38"/>
        <v>0</v>
      </c>
      <c r="AH298" s="37">
        <f t="shared" si="36"/>
        <v>0</v>
      </c>
      <c r="AJ298" s="97"/>
      <c r="AN298" s="39"/>
      <c r="AO298" s="39"/>
      <c r="AP298" s="47"/>
      <c r="AR298" s="38"/>
      <c r="AS298" s="38"/>
      <c r="AU298" s="97"/>
      <c r="AY298" s="39"/>
      <c r="AZ298" s="39"/>
      <c r="BA298" s="47"/>
      <c r="BC298" s="38"/>
      <c r="BD298" s="38"/>
    </row>
    <row r="299" spans="22:56" ht="16" x14ac:dyDescent="0.4">
      <c r="V299" s="97"/>
      <c r="W299" s="16"/>
      <c r="X299" s="101"/>
      <c r="Y299" s="107"/>
      <c r="Z299" s="102"/>
      <c r="AA299" s="102"/>
      <c r="AB299" s="16"/>
      <c r="AC299" s="16"/>
      <c r="AD299" s="105"/>
      <c r="AE299" s="93">
        <f t="shared" si="35"/>
        <v>0</v>
      </c>
      <c r="AF299" s="16"/>
      <c r="AG299" s="103">
        <f t="shared" si="38"/>
        <v>0</v>
      </c>
      <c r="AH299" s="37">
        <f t="shared" si="36"/>
        <v>0</v>
      </c>
      <c r="AJ299" s="97"/>
      <c r="AO299" s="39"/>
      <c r="AP299" s="47"/>
      <c r="AR299" s="38"/>
      <c r="AS299" s="38"/>
      <c r="AU299" s="97"/>
      <c r="AZ299" s="39"/>
      <c r="BA299" s="47"/>
      <c r="BC299" s="38"/>
      <c r="BD299" s="38"/>
    </row>
    <row r="300" spans="22:56" ht="16" x14ac:dyDescent="0.4">
      <c r="V300" s="97"/>
      <c r="W300" s="16"/>
      <c r="X300" s="101"/>
      <c r="Y300" s="107"/>
      <c r="Z300" s="102"/>
      <c r="AA300" s="102"/>
      <c r="AB300" s="16"/>
      <c r="AC300" s="16"/>
      <c r="AD300" s="105"/>
      <c r="AE300" s="93">
        <f t="shared" si="35"/>
        <v>0</v>
      </c>
      <c r="AF300" s="16"/>
      <c r="AG300" s="103">
        <f t="shared" si="38"/>
        <v>0</v>
      </c>
      <c r="AH300" s="37">
        <f t="shared" si="36"/>
        <v>0</v>
      </c>
      <c r="AJ300" s="97"/>
      <c r="AN300" s="39"/>
      <c r="AO300" s="39"/>
      <c r="AP300" s="47"/>
      <c r="AR300" s="38"/>
      <c r="AS300" s="38"/>
      <c r="AU300" s="97"/>
      <c r="AY300" s="39"/>
      <c r="AZ300" s="39"/>
      <c r="BA300" s="47"/>
      <c r="BC300" s="38"/>
      <c r="BD300" s="38"/>
    </row>
    <row r="301" spans="22:56" ht="16" x14ac:dyDescent="0.4">
      <c r="V301" s="97"/>
      <c r="W301" s="16"/>
      <c r="X301" s="101"/>
      <c r="Y301" s="107"/>
      <c r="Z301" s="102"/>
      <c r="AA301" s="102"/>
      <c r="AB301" s="16"/>
      <c r="AC301" s="16"/>
      <c r="AD301" s="105"/>
      <c r="AE301" s="93">
        <f t="shared" si="35"/>
        <v>0</v>
      </c>
      <c r="AF301" s="16"/>
      <c r="AG301" s="103">
        <f t="shared" si="38"/>
        <v>0</v>
      </c>
      <c r="AH301" s="37">
        <f t="shared" si="36"/>
        <v>0</v>
      </c>
      <c r="AJ301" s="97"/>
      <c r="AN301" s="39"/>
      <c r="AO301" s="39"/>
      <c r="AP301" s="47"/>
      <c r="AR301" s="38"/>
      <c r="AS301" s="38"/>
      <c r="AU301" s="97"/>
      <c r="AY301" s="39"/>
      <c r="AZ301" s="39"/>
      <c r="BA301" s="47"/>
      <c r="BC301" s="38"/>
      <c r="BD301" s="38"/>
    </row>
    <row r="302" spans="22:56" ht="16" x14ac:dyDescent="0.4">
      <c r="V302" s="97"/>
      <c r="W302" s="16"/>
      <c r="X302" s="101"/>
      <c r="Y302" s="107"/>
      <c r="Z302" s="102"/>
      <c r="AA302" s="102"/>
      <c r="AB302" s="16"/>
      <c r="AC302" s="16"/>
      <c r="AD302" s="105"/>
      <c r="AE302" s="93">
        <f t="shared" si="35"/>
        <v>0</v>
      </c>
      <c r="AF302" s="16"/>
      <c r="AG302" s="103">
        <f t="shared" si="38"/>
        <v>0</v>
      </c>
      <c r="AH302" s="37">
        <f t="shared" si="36"/>
        <v>0</v>
      </c>
      <c r="AJ302" s="97"/>
      <c r="AN302" s="39"/>
      <c r="AO302" s="39"/>
      <c r="AP302" s="47"/>
      <c r="AR302" s="38"/>
      <c r="AS302" s="38"/>
      <c r="AU302" s="97"/>
      <c r="AY302" s="39"/>
      <c r="AZ302" s="39"/>
      <c r="BA302" s="47"/>
      <c r="BC302" s="38"/>
      <c r="BD302" s="38"/>
    </row>
    <row r="303" spans="22:56" ht="16" x14ac:dyDescent="0.4">
      <c r="V303" s="97"/>
      <c r="W303" s="16"/>
      <c r="X303" s="101"/>
      <c r="Y303" s="107"/>
      <c r="Z303" s="102"/>
      <c r="AA303" s="102"/>
      <c r="AB303" s="16"/>
      <c r="AC303" s="16"/>
      <c r="AD303" s="105"/>
      <c r="AE303" s="93">
        <f t="shared" si="35"/>
        <v>0</v>
      </c>
      <c r="AF303" s="16"/>
      <c r="AG303" s="103">
        <f t="shared" si="38"/>
        <v>0</v>
      </c>
      <c r="AH303" s="37">
        <f t="shared" si="36"/>
        <v>0</v>
      </c>
      <c r="AJ303" s="97"/>
      <c r="AK303" s="34"/>
      <c r="AN303" s="39"/>
      <c r="AO303" s="39"/>
      <c r="AP303" s="47"/>
      <c r="AR303" s="38"/>
      <c r="AS303" s="38"/>
      <c r="AU303" s="97"/>
      <c r="AV303" s="34"/>
      <c r="AY303" s="39"/>
      <c r="AZ303" s="39"/>
      <c r="BA303" s="47"/>
      <c r="BC303" s="38"/>
      <c r="BD303" s="38"/>
    </row>
    <row r="304" spans="22:56" ht="16" x14ac:dyDescent="0.4">
      <c r="V304" s="97"/>
      <c r="W304" s="16"/>
      <c r="X304" s="101"/>
      <c r="Y304" s="107"/>
      <c r="Z304" s="102"/>
      <c r="AA304" s="102"/>
      <c r="AB304" s="16"/>
      <c r="AC304" s="16"/>
      <c r="AD304" s="105"/>
      <c r="AE304" s="93">
        <f t="shared" si="35"/>
        <v>0</v>
      </c>
      <c r="AF304" s="16"/>
      <c r="AG304" s="103">
        <f t="shared" si="38"/>
        <v>0</v>
      </c>
      <c r="AH304" s="37">
        <f t="shared" si="36"/>
        <v>0</v>
      </c>
      <c r="AJ304" s="97"/>
      <c r="AK304" s="34"/>
      <c r="AN304" s="39"/>
      <c r="AP304" s="47"/>
      <c r="AR304" s="38"/>
      <c r="AS304" s="38"/>
      <c r="AU304" s="97"/>
      <c r="AV304" s="34"/>
      <c r="AY304" s="39"/>
      <c r="BA304" s="47"/>
      <c r="BC304" s="38"/>
      <c r="BD304" s="38"/>
    </row>
    <row r="305" spans="22:56" ht="16" x14ac:dyDescent="0.4">
      <c r="V305" s="97"/>
      <c r="W305" s="16"/>
      <c r="X305" s="101"/>
      <c r="Y305" s="107"/>
      <c r="Z305" s="102"/>
      <c r="AA305" s="102"/>
      <c r="AB305" s="16"/>
      <c r="AC305" s="16"/>
      <c r="AD305" s="105"/>
      <c r="AE305" s="93">
        <f t="shared" si="35"/>
        <v>0</v>
      </c>
      <c r="AF305" s="16"/>
      <c r="AG305" s="103">
        <f t="shared" si="38"/>
        <v>0</v>
      </c>
      <c r="AH305" s="37">
        <f t="shared" si="36"/>
        <v>0</v>
      </c>
      <c r="AJ305" s="97"/>
      <c r="AK305" s="34"/>
      <c r="AN305" s="39"/>
      <c r="AO305" s="39"/>
      <c r="AP305" s="47"/>
      <c r="AR305" s="38"/>
      <c r="AS305" s="84"/>
      <c r="AU305" s="97"/>
      <c r="AV305" s="34"/>
      <c r="AY305" s="39"/>
      <c r="AZ305" s="39"/>
      <c r="BA305" s="47"/>
      <c r="BC305" s="38"/>
      <c r="BD305" s="84"/>
    </row>
    <row r="306" spans="22:56" ht="16" x14ac:dyDescent="0.4">
      <c r="V306" s="90"/>
      <c r="W306" s="17"/>
      <c r="X306" s="101"/>
      <c r="Y306" s="115"/>
      <c r="Z306" s="91"/>
      <c r="AA306" s="91"/>
      <c r="AB306" s="17"/>
      <c r="AC306" s="17"/>
      <c r="AD306" s="110"/>
      <c r="AE306" s="93">
        <f t="shared" si="35"/>
        <v>0</v>
      </c>
      <c r="AF306" s="16"/>
      <c r="AG306" s="103">
        <f t="shared" si="38"/>
        <v>0</v>
      </c>
      <c r="AH306" s="37">
        <f t="shared" si="36"/>
        <v>0</v>
      </c>
      <c r="AJ306" s="97"/>
      <c r="AK306" s="34"/>
      <c r="AN306" s="39"/>
      <c r="AO306" s="39"/>
      <c r="AP306" s="47"/>
      <c r="AR306" s="38"/>
      <c r="AS306" s="38"/>
      <c r="AU306" s="97"/>
      <c r="AV306" s="34"/>
      <c r="AY306" s="39"/>
      <c r="AZ306" s="39"/>
      <c r="BA306" s="47"/>
      <c r="BC306" s="38"/>
      <c r="BD306" s="38"/>
    </row>
    <row r="307" spans="22:56" ht="16" x14ac:dyDescent="0.4">
      <c r="V307" s="97"/>
      <c r="W307" s="16"/>
      <c r="X307" s="101"/>
      <c r="Y307" s="107"/>
      <c r="Z307" s="102"/>
      <c r="AA307" s="102"/>
      <c r="AB307" s="16"/>
      <c r="AC307" s="16"/>
      <c r="AD307" s="105"/>
      <c r="AE307" s="93">
        <f t="shared" si="35"/>
        <v>0</v>
      </c>
      <c r="AF307" s="16"/>
      <c r="AG307" s="103">
        <f t="shared" si="38"/>
        <v>0</v>
      </c>
      <c r="AH307" s="37">
        <f t="shared" si="36"/>
        <v>0</v>
      </c>
      <c r="AJ307" s="38"/>
      <c r="AK307" s="34"/>
      <c r="AL307" s="16"/>
      <c r="AN307" s="39"/>
      <c r="AO307" s="39"/>
      <c r="AP307" s="47"/>
      <c r="AR307" s="38"/>
      <c r="AS307" s="38"/>
      <c r="AU307" s="38"/>
      <c r="AV307" s="34"/>
      <c r="AW307" s="16"/>
      <c r="AY307" s="39"/>
      <c r="AZ307" s="39"/>
      <c r="BA307" s="47"/>
      <c r="BC307" s="38"/>
      <c r="BD307" s="38"/>
    </row>
    <row r="308" spans="22:56" ht="16" x14ac:dyDescent="0.4">
      <c r="V308" s="97"/>
      <c r="W308" s="16"/>
      <c r="X308" s="101"/>
      <c r="Y308" s="107"/>
      <c r="Z308" s="102"/>
      <c r="AA308" s="102"/>
      <c r="AB308" s="16"/>
      <c r="AC308" s="16"/>
      <c r="AD308" s="105"/>
      <c r="AE308" s="93">
        <f t="shared" si="35"/>
        <v>0</v>
      </c>
      <c r="AF308" s="16"/>
      <c r="AG308" s="103">
        <f t="shared" si="38"/>
        <v>0</v>
      </c>
      <c r="AH308" s="37">
        <f t="shared" si="36"/>
        <v>0</v>
      </c>
      <c r="AJ308" s="38"/>
      <c r="AK308" s="34"/>
      <c r="AL308" s="16"/>
      <c r="AN308" s="39"/>
      <c r="AO308" s="39"/>
      <c r="AP308" s="47"/>
      <c r="AR308" s="38"/>
      <c r="AS308" s="38"/>
      <c r="AU308" s="38"/>
      <c r="AV308" s="34"/>
      <c r="AW308" s="16"/>
      <c r="AY308" s="39"/>
      <c r="AZ308" s="39"/>
      <c r="BA308" s="47"/>
      <c r="BC308" s="38"/>
      <c r="BD308" s="38"/>
    </row>
    <row r="309" spans="22:56" ht="16" x14ac:dyDescent="0.4">
      <c r="V309" s="97"/>
      <c r="W309" s="16"/>
      <c r="X309" s="101"/>
      <c r="Y309" s="107"/>
      <c r="Z309" s="102"/>
      <c r="AA309" s="102"/>
      <c r="AB309" s="16"/>
      <c r="AC309" s="16"/>
      <c r="AD309" s="105"/>
      <c r="AE309" s="93">
        <f t="shared" si="35"/>
        <v>0</v>
      </c>
      <c r="AF309" s="16"/>
      <c r="AG309" s="103">
        <f t="shared" si="38"/>
        <v>0</v>
      </c>
      <c r="AH309" s="37">
        <f t="shared" si="36"/>
        <v>0</v>
      </c>
      <c r="AJ309" s="38"/>
      <c r="AK309" s="34"/>
      <c r="AL309" s="16"/>
      <c r="AN309" s="39"/>
      <c r="AO309" s="39"/>
      <c r="AP309" s="47"/>
      <c r="AR309" s="38"/>
      <c r="AS309" s="38"/>
      <c r="AU309" s="38"/>
      <c r="AV309" s="34"/>
      <c r="AW309" s="16"/>
      <c r="AY309" s="39"/>
      <c r="AZ309" s="39"/>
      <c r="BA309" s="47"/>
      <c r="BC309" s="38"/>
      <c r="BD309" s="38"/>
    </row>
    <row r="310" spans="22:56" ht="16" x14ac:dyDescent="0.4">
      <c r="V310" s="97"/>
      <c r="W310" s="16"/>
      <c r="X310" s="101"/>
      <c r="Y310" s="107"/>
      <c r="Z310" s="102"/>
      <c r="AA310" s="102"/>
      <c r="AB310" s="16"/>
      <c r="AC310" s="16"/>
      <c r="AD310" s="105"/>
      <c r="AE310" s="93">
        <f t="shared" si="35"/>
        <v>0</v>
      </c>
      <c r="AF310" s="16"/>
      <c r="AG310" s="103">
        <f t="shared" si="38"/>
        <v>0</v>
      </c>
      <c r="AH310" s="37">
        <f t="shared" si="36"/>
        <v>0</v>
      </c>
      <c r="AJ310" s="38"/>
      <c r="AK310" s="34"/>
      <c r="AL310" s="16"/>
      <c r="AN310" s="39"/>
      <c r="AO310" s="39"/>
      <c r="AP310" s="47"/>
      <c r="AR310" s="38"/>
      <c r="AS310" s="38"/>
      <c r="AU310" s="38"/>
      <c r="AV310" s="34"/>
      <c r="AW310" s="16"/>
      <c r="AY310" s="39"/>
      <c r="AZ310" s="39"/>
      <c r="BA310" s="47"/>
      <c r="BC310" s="38"/>
      <c r="BD310" s="38"/>
    </row>
    <row r="311" spans="22:56" ht="16" x14ac:dyDescent="0.4">
      <c r="V311" s="97"/>
      <c r="W311" s="16"/>
      <c r="X311" s="101"/>
      <c r="Y311" s="107"/>
      <c r="Z311" s="102"/>
      <c r="AA311" s="102"/>
      <c r="AB311" s="16"/>
      <c r="AC311" s="16"/>
      <c r="AD311" s="105"/>
      <c r="AE311" s="93">
        <f t="shared" si="35"/>
        <v>0</v>
      </c>
      <c r="AF311" s="16"/>
      <c r="AG311" s="103">
        <f t="shared" si="38"/>
        <v>0</v>
      </c>
      <c r="AH311" s="37">
        <f t="shared" si="36"/>
        <v>0</v>
      </c>
      <c r="AJ311" s="38"/>
      <c r="AK311" s="34"/>
      <c r="AL311" s="16"/>
      <c r="AN311" s="39"/>
      <c r="AO311" s="39"/>
      <c r="AP311" s="47"/>
      <c r="AR311" s="38"/>
      <c r="AS311" s="38"/>
      <c r="AU311" s="38"/>
      <c r="AV311" s="34"/>
      <c r="AW311" s="16"/>
      <c r="AY311" s="39"/>
      <c r="AZ311" s="39"/>
      <c r="BA311" s="47"/>
      <c r="BC311" s="38"/>
      <c r="BD311" s="38"/>
    </row>
    <row r="312" spans="22:56" ht="16" x14ac:dyDescent="0.4">
      <c r="V312" s="97"/>
      <c r="W312" s="16"/>
      <c r="X312" s="101"/>
      <c r="Y312" s="107"/>
      <c r="Z312" s="102"/>
      <c r="AA312" s="102"/>
      <c r="AB312" s="16"/>
      <c r="AC312" s="16"/>
      <c r="AD312" s="105"/>
      <c r="AE312" s="93">
        <f t="shared" si="35"/>
        <v>0</v>
      </c>
      <c r="AF312" s="16"/>
      <c r="AG312" s="103">
        <f t="shared" si="38"/>
        <v>0</v>
      </c>
      <c r="AH312" s="37">
        <f t="shared" si="36"/>
        <v>0</v>
      </c>
      <c r="AJ312" s="38"/>
      <c r="AK312" s="34"/>
      <c r="AL312" s="16"/>
      <c r="AN312" s="39"/>
      <c r="AO312" s="39"/>
      <c r="AP312" s="47"/>
      <c r="AR312" s="38"/>
      <c r="AS312" s="38"/>
      <c r="AU312" s="38"/>
      <c r="AV312" s="34"/>
      <c r="AW312" s="16"/>
      <c r="AY312" s="39"/>
      <c r="AZ312" s="39"/>
      <c r="BA312" s="47"/>
      <c r="BC312" s="38"/>
      <c r="BD312" s="38"/>
    </row>
    <row r="313" spans="22:56" ht="16" x14ac:dyDescent="0.4">
      <c r="V313" s="97"/>
      <c r="W313" s="16"/>
      <c r="X313" s="101"/>
      <c r="Y313" s="107"/>
      <c r="Z313" s="102"/>
      <c r="AA313" s="102"/>
      <c r="AB313" s="16"/>
      <c r="AC313" s="16"/>
      <c r="AD313" s="105"/>
      <c r="AE313" s="93">
        <f t="shared" si="35"/>
        <v>0</v>
      </c>
      <c r="AF313" s="16"/>
      <c r="AG313" s="103">
        <f t="shared" si="38"/>
        <v>0</v>
      </c>
      <c r="AH313" s="37">
        <f t="shared" si="36"/>
        <v>0</v>
      </c>
      <c r="AJ313" s="38"/>
      <c r="AK313" s="34"/>
      <c r="AL313" s="16"/>
      <c r="AN313" s="39"/>
      <c r="AO313" s="39"/>
      <c r="AP313" s="47"/>
      <c r="AR313" s="38"/>
      <c r="AS313" s="38"/>
      <c r="AU313" s="38"/>
      <c r="AV313" s="34"/>
      <c r="AW313" s="16"/>
      <c r="AY313" s="39"/>
      <c r="AZ313" s="39"/>
      <c r="BA313" s="47"/>
      <c r="BC313" s="38"/>
      <c r="BD313" s="38"/>
    </row>
    <row r="314" spans="22:56" ht="16" x14ac:dyDescent="0.4">
      <c r="V314" s="97"/>
      <c r="W314" s="16"/>
      <c r="X314" s="101"/>
      <c r="Y314" s="107"/>
      <c r="Z314" s="102"/>
      <c r="AA314" s="102"/>
      <c r="AB314" s="16"/>
      <c r="AC314" s="16"/>
      <c r="AD314" s="105"/>
      <c r="AE314" s="93">
        <f t="shared" si="35"/>
        <v>0</v>
      </c>
      <c r="AF314" s="16"/>
      <c r="AG314" s="103">
        <f t="shared" si="38"/>
        <v>0</v>
      </c>
      <c r="AH314" s="37">
        <f t="shared" si="36"/>
        <v>0</v>
      </c>
      <c r="AJ314" s="38"/>
      <c r="AK314" s="34"/>
      <c r="AL314" s="16"/>
      <c r="AN314" s="39"/>
      <c r="AO314" s="39"/>
      <c r="AP314" s="47"/>
      <c r="AR314" s="38"/>
      <c r="AS314" s="38"/>
      <c r="AU314" s="38"/>
      <c r="AV314" s="34"/>
      <c r="AW314" s="16"/>
      <c r="AY314" s="39"/>
      <c r="AZ314" s="39"/>
      <c r="BA314" s="47"/>
      <c r="BC314" s="38"/>
      <c r="BD314" s="38"/>
    </row>
    <row r="315" spans="22:56" ht="16" x14ac:dyDescent="0.4">
      <c r="V315" s="97"/>
      <c r="W315" s="16"/>
      <c r="X315" s="101"/>
      <c r="Y315" s="107"/>
      <c r="Z315" s="102"/>
      <c r="AA315" s="102"/>
      <c r="AB315" s="16"/>
      <c r="AC315" s="16"/>
      <c r="AD315" s="105"/>
      <c r="AE315" s="93">
        <f t="shared" si="35"/>
        <v>0</v>
      </c>
      <c r="AF315" s="16"/>
      <c r="AG315" s="103">
        <f t="shared" si="38"/>
        <v>0</v>
      </c>
      <c r="AH315" s="37">
        <f t="shared" si="36"/>
        <v>0</v>
      </c>
      <c r="AJ315" s="38"/>
      <c r="AK315" s="34"/>
      <c r="AL315" s="16"/>
      <c r="AN315" s="39"/>
      <c r="AO315" s="39"/>
      <c r="AP315" s="47"/>
      <c r="AR315" s="38"/>
      <c r="AS315" s="38"/>
      <c r="AU315" s="38"/>
      <c r="AV315" s="34"/>
      <c r="AW315" s="16"/>
      <c r="AY315" s="39"/>
      <c r="AZ315" s="39"/>
      <c r="BA315" s="47"/>
      <c r="BC315" s="38"/>
      <c r="BD315" s="38"/>
    </row>
    <row r="316" spans="22:56" ht="16" x14ac:dyDescent="0.4">
      <c r="V316" s="97"/>
      <c r="W316" s="16"/>
      <c r="X316" s="101"/>
      <c r="Y316" s="107"/>
      <c r="Z316" s="102"/>
      <c r="AA316" s="102"/>
      <c r="AB316" s="16"/>
      <c r="AC316" s="16"/>
      <c r="AD316" s="105"/>
      <c r="AE316" s="93">
        <f t="shared" si="35"/>
        <v>0</v>
      </c>
      <c r="AF316" s="16"/>
      <c r="AG316" s="103">
        <f t="shared" si="38"/>
        <v>0</v>
      </c>
      <c r="AH316" s="37">
        <f t="shared" si="36"/>
        <v>0</v>
      </c>
      <c r="AJ316" s="38"/>
      <c r="AK316" s="34"/>
      <c r="AL316" s="16"/>
      <c r="AN316" s="39"/>
      <c r="AP316" s="47"/>
      <c r="AR316" s="38"/>
      <c r="AS316" s="38"/>
      <c r="AU316" s="38"/>
      <c r="AV316" s="34"/>
      <c r="AW316" s="16"/>
      <c r="AY316" s="39"/>
      <c r="BA316" s="47"/>
      <c r="BC316" s="38"/>
      <c r="BD316" s="38"/>
    </row>
    <row r="317" spans="22:56" ht="16" x14ac:dyDescent="0.4">
      <c r="V317" s="97"/>
      <c r="W317" s="16"/>
      <c r="X317" s="101"/>
      <c r="Y317" s="107"/>
      <c r="Z317" s="102"/>
      <c r="AA317" s="102"/>
      <c r="AB317" s="16"/>
      <c r="AC317" s="16"/>
      <c r="AD317" s="105"/>
      <c r="AE317" s="93">
        <f t="shared" si="35"/>
        <v>0</v>
      </c>
      <c r="AF317" s="16"/>
      <c r="AG317" s="103">
        <f t="shared" si="38"/>
        <v>0</v>
      </c>
      <c r="AH317" s="37">
        <f t="shared" si="36"/>
        <v>0</v>
      </c>
      <c r="AJ317" s="38"/>
      <c r="AK317" s="34"/>
      <c r="AL317" s="16"/>
      <c r="AN317" s="39"/>
      <c r="AO317" s="39"/>
      <c r="AP317" s="47"/>
      <c r="AR317" s="38"/>
      <c r="AS317" s="38"/>
      <c r="AU317" s="38"/>
      <c r="AV317" s="34"/>
      <c r="AW317" s="16"/>
      <c r="AY317" s="39"/>
      <c r="AZ317" s="39"/>
      <c r="BA317" s="47"/>
      <c r="BC317" s="38"/>
      <c r="BD317" s="38"/>
    </row>
    <row r="318" spans="22:56" ht="16" x14ac:dyDescent="0.4">
      <c r="V318" s="97"/>
      <c r="W318" s="16"/>
      <c r="X318" s="101"/>
      <c r="Y318" s="107"/>
      <c r="Z318" s="102"/>
      <c r="AA318" s="102"/>
      <c r="AB318" s="16"/>
      <c r="AC318" s="16"/>
      <c r="AD318" s="105"/>
      <c r="AE318" s="93">
        <f t="shared" si="35"/>
        <v>0</v>
      </c>
      <c r="AF318" s="16"/>
      <c r="AG318" s="103">
        <f t="shared" si="38"/>
        <v>0</v>
      </c>
      <c r="AH318" s="37">
        <f t="shared" si="36"/>
        <v>0</v>
      </c>
      <c r="AJ318" s="38"/>
      <c r="AK318" s="34"/>
      <c r="AL318" s="16"/>
      <c r="AN318" s="39"/>
      <c r="AO318" s="39"/>
      <c r="AP318" s="47"/>
      <c r="AR318" s="38"/>
      <c r="AS318" s="38"/>
      <c r="AU318" s="38"/>
      <c r="AV318" s="34"/>
      <c r="AW318" s="16"/>
      <c r="AY318" s="39"/>
      <c r="AZ318" s="39"/>
      <c r="BA318" s="47"/>
      <c r="BC318" s="38"/>
      <c r="BD318" s="38"/>
    </row>
    <row r="319" spans="22:56" ht="16" x14ac:dyDescent="0.4">
      <c r="V319" s="97"/>
      <c r="W319" s="16"/>
      <c r="X319" s="101"/>
      <c r="Y319" s="107"/>
      <c r="Z319" s="102"/>
      <c r="AA319" s="102"/>
      <c r="AB319" s="16"/>
      <c r="AC319" s="16"/>
      <c r="AD319" s="105"/>
      <c r="AE319" s="93">
        <f t="shared" si="35"/>
        <v>0</v>
      </c>
      <c r="AF319" s="16"/>
      <c r="AG319" s="103">
        <f t="shared" si="38"/>
        <v>0</v>
      </c>
      <c r="AH319" s="37">
        <f t="shared" si="36"/>
        <v>0</v>
      </c>
      <c r="AJ319" s="38"/>
      <c r="AK319" s="34"/>
      <c r="AL319" s="16"/>
      <c r="AN319" s="39"/>
      <c r="AP319" s="47"/>
      <c r="AR319" s="38"/>
      <c r="AS319" s="38"/>
      <c r="AU319" s="38"/>
      <c r="AV319" s="34"/>
      <c r="AW319" s="16"/>
      <c r="AY319" s="39"/>
      <c r="BA319" s="47"/>
      <c r="BC319" s="38"/>
      <c r="BD319" s="38"/>
    </row>
    <row r="320" spans="22:56" ht="16" x14ac:dyDescent="0.4">
      <c r="V320" s="97"/>
      <c r="W320" s="16"/>
      <c r="X320" s="101"/>
      <c r="Y320" s="107"/>
      <c r="Z320" s="102"/>
      <c r="AA320" s="102"/>
      <c r="AB320" s="16"/>
      <c r="AC320" s="16"/>
      <c r="AD320" s="105"/>
      <c r="AE320" s="93">
        <f t="shared" si="35"/>
        <v>0</v>
      </c>
      <c r="AF320" s="16"/>
      <c r="AG320" s="103">
        <f t="shared" si="38"/>
        <v>0</v>
      </c>
      <c r="AH320" s="37">
        <f t="shared" si="36"/>
        <v>0</v>
      </c>
      <c r="AJ320" s="38"/>
      <c r="AK320" s="34"/>
      <c r="AL320" s="16"/>
      <c r="AN320" s="39"/>
      <c r="AO320" s="39"/>
      <c r="AP320" s="47"/>
      <c r="AR320" s="38"/>
      <c r="AS320" s="38"/>
      <c r="AU320" s="38"/>
      <c r="AV320" s="34"/>
      <c r="AW320" s="16"/>
      <c r="AY320" s="39"/>
      <c r="AZ320" s="39"/>
      <c r="BA320" s="47"/>
      <c r="BC320" s="38"/>
      <c r="BD320" s="38"/>
    </row>
    <row r="321" spans="22:56" ht="16" x14ac:dyDescent="0.4">
      <c r="V321" s="97"/>
      <c r="W321" s="16"/>
      <c r="X321" s="101"/>
      <c r="Y321" s="107"/>
      <c r="Z321" s="102"/>
      <c r="AA321" s="102"/>
      <c r="AB321" s="16"/>
      <c r="AC321" s="16"/>
      <c r="AD321" s="105"/>
      <c r="AE321" s="93">
        <f t="shared" si="35"/>
        <v>0</v>
      </c>
      <c r="AF321" s="16"/>
      <c r="AG321" s="103">
        <f t="shared" ref="AG321:AG384" si="39">IF($AF321&gt;14,14,$AF321)</f>
        <v>0</v>
      </c>
      <c r="AH321" s="37">
        <f t="shared" si="36"/>
        <v>0</v>
      </c>
      <c r="AJ321" s="34"/>
      <c r="AK321" s="34"/>
      <c r="AL321" s="82"/>
      <c r="AN321" s="83"/>
      <c r="AO321" s="83"/>
      <c r="AP321" s="82"/>
      <c r="AQ321" s="84"/>
      <c r="AR321" s="84"/>
      <c r="AS321" s="38"/>
      <c r="AU321" s="34"/>
      <c r="AV321" s="34"/>
      <c r="AW321" s="82"/>
      <c r="AY321" s="83"/>
      <c r="AZ321" s="83"/>
      <c r="BA321" s="82"/>
      <c r="BB321" s="84"/>
      <c r="BC321" s="84"/>
      <c r="BD321" s="38"/>
    </row>
    <row r="322" spans="22:56" ht="16" x14ac:dyDescent="0.4">
      <c r="V322" s="97"/>
      <c r="W322" s="16"/>
      <c r="X322" s="101"/>
      <c r="Y322" s="107"/>
      <c r="Z322" s="102"/>
      <c r="AA322" s="102"/>
      <c r="AB322" s="16"/>
      <c r="AC322" s="16"/>
      <c r="AD322" s="105"/>
      <c r="AE322" s="93">
        <f t="shared" ref="AE322:AE385" si="40">AD322/1000</f>
        <v>0</v>
      </c>
      <c r="AF322" s="16"/>
      <c r="AG322" s="103">
        <f t="shared" si="39"/>
        <v>0</v>
      </c>
      <c r="AH322" s="37">
        <f t="shared" ref="AH322:AH385" si="41">AE322*AG322/14</f>
        <v>0</v>
      </c>
      <c r="AJ322" s="34"/>
      <c r="AK322" s="34"/>
      <c r="AL322" s="82"/>
      <c r="AN322" s="83"/>
      <c r="AO322" s="83"/>
      <c r="AP322" s="82"/>
      <c r="AQ322" s="84"/>
      <c r="AR322" s="84"/>
      <c r="AS322" s="38"/>
      <c r="AU322" s="34"/>
      <c r="AV322" s="34"/>
      <c r="AW322" s="82"/>
      <c r="AY322" s="83"/>
      <c r="AZ322" s="83"/>
      <c r="BA322" s="82"/>
      <c r="BB322" s="84"/>
      <c r="BC322" s="84"/>
      <c r="BD322" s="38"/>
    </row>
    <row r="323" spans="22:56" ht="16" x14ac:dyDescent="0.4">
      <c r="V323" s="97"/>
      <c r="W323" s="16"/>
      <c r="X323" s="101"/>
      <c r="Y323" s="107"/>
      <c r="Z323" s="102"/>
      <c r="AA323" s="102"/>
      <c r="AB323" s="16"/>
      <c r="AC323" s="16"/>
      <c r="AD323" s="105"/>
      <c r="AE323" s="93">
        <f t="shared" si="40"/>
        <v>0</v>
      </c>
      <c r="AF323" s="16"/>
      <c r="AG323" s="103">
        <f t="shared" si="39"/>
        <v>0</v>
      </c>
      <c r="AH323" s="37">
        <f t="shared" si="41"/>
        <v>0</v>
      </c>
      <c r="AJ323" s="34"/>
      <c r="AK323" s="34"/>
      <c r="AL323" s="82"/>
      <c r="AN323" s="83"/>
      <c r="AO323" s="83"/>
      <c r="AP323" s="82"/>
      <c r="AQ323" s="84"/>
      <c r="AR323" s="84"/>
      <c r="AS323" s="84"/>
      <c r="AU323" s="34"/>
      <c r="AV323" s="34"/>
      <c r="AW323" s="82"/>
      <c r="AY323" s="83"/>
      <c r="AZ323" s="83"/>
      <c r="BA323" s="82"/>
      <c r="BB323" s="84"/>
      <c r="BC323" s="84"/>
      <c r="BD323" s="84"/>
    </row>
    <row r="324" spans="22:56" ht="16" x14ac:dyDescent="0.4">
      <c r="V324" s="97"/>
      <c r="W324" s="16"/>
      <c r="X324" s="101"/>
      <c r="Y324" s="107"/>
      <c r="Z324" s="102"/>
      <c r="AA324" s="102"/>
      <c r="AB324" s="16"/>
      <c r="AC324" s="16"/>
      <c r="AD324" s="105"/>
      <c r="AE324" s="93">
        <f t="shared" si="40"/>
        <v>0</v>
      </c>
      <c r="AF324" s="16"/>
      <c r="AG324" s="103">
        <f t="shared" si="39"/>
        <v>0</v>
      </c>
      <c r="AH324" s="37">
        <f t="shared" si="41"/>
        <v>0</v>
      </c>
      <c r="AJ324" s="34"/>
      <c r="AK324" s="34"/>
      <c r="AL324" s="82"/>
      <c r="AN324" s="83"/>
      <c r="AO324" s="83"/>
      <c r="AP324" s="82"/>
      <c r="AQ324" s="84"/>
      <c r="AR324" s="84"/>
      <c r="AS324" s="84"/>
      <c r="AU324" s="34"/>
      <c r="AV324" s="34"/>
      <c r="AW324" s="82"/>
      <c r="AY324" s="83"/>
      <c r="AZ324" s="83"/>
      <c r="BA324" s="82"/>
      <c r="BB324" s="84"/>
      <c r="BC324" s="84"/>
      <c r="BD324" s="84"/>
    </row>
    <row r="325" spans="22:56" ht="16" x14ac:dyDescent="0.4">
      <c r="V325" s="97"/>
      <c r="W325" s="16"/>
      <c r="X325" s="101"/>
      <c r="Y325" s="107"/>
      <c r="Z325" s="102"/>
      <c r="AA325" s="102"/>
      <c r="AB325" s="16"/>
      <c r="AC325" s="16"/>
      <c r="AD325" s="105"/>
      <c r="AE325" s="93">
        <f t="shared" si="40"/>
        <v>0</v>
      </c>
      <c r="AF325" s="16"/>
      <c r="AG325" s="103">
        <f t="shared" si="39"/>
        <v>0</v>
      </c>
      <c r="AH325" s="37">
        <f t="shared" si="41"/>
        <v>0</v>
      </c>
      <c r="AJ325" s="34"/>
      <c r="AK325" s="34"/>
      <c r="AL325" s="82"/>
      <c r="AN325" s="83"/>
      <c r="AO325" s="83"/>
      <c r="AP325" s="82"/>
      <c r="AQ325" s="84"/>
      <c r="AR325" s="84"/>
      <c r="AS325" s="84"/>
      <c r="AU325" s="34"/>
      <c r="AV325" s="34"/>
      <c r="AW325" s="82"/>
      <c r="AY325" s="83"/>
      <c r="AZ325" s="83"/>
      <c r="BA325" s="82"/>
      <c r="BB325" s="84"/>
      <c r="BC325" s="84"/>
      <c r="BD325" s="84"/>
    </row>
    <row r="326" spans="22:56" ht="16" x14ac:dyDescent="0.4">
      <c r="V326" s="97"/>
      <c r="W326" s="16"/>
      <c r="X326" s="101"/>
      <c r="Y326" s="107"/>
      <c r="Z326" s="102"/>
      <c r="AA326" s="102"/>
      <c r="AB326" s="16"/>
      <c r="AC326" s="16"/>
      <c r="AD326" s="105"/>
      <c r="AE326" s="93">
        <f t="shared" si="40"/>
        <v>0</v>
      </c>
      <c r="AF326" s="16"/>
      <c r="AG326" s="103">
        <f t="shared" si="39"/>
        <v>0</v>
      </c>
      <c r="AH326" s="37">
        <f t="shared" si="41"/>
        <v>0</v>
      </c>
      <c r="AJ326" s="34"/>
      <c r="AK326" s="34"/>
      <c r="AL326" s="82"/>
      <c r="AN326" s="83"/>
      <c r="AO326" s="83"/>
      <c r="AP326" s="82"/>
      <c r="AQ326" s="84"/>
      <c r="AR326" s="84"/>
      <c r="AS326" s="84"/>
      <c r="AU326" s="34"/>
      <c r="AV326" s="34"/>
      <c r="AW326" s="82"/>
      <c r="AY326" s="83"/>
      <c r="AZ326" s="83"/>
      <c r="BA326" s="82"/>
      <c r="BB326" s="84"/>
      <c r="BC326" s="84"/>
      <c r="BD326" s="84"/>
    </row>
    <row r="327" spans="22:56" ht="16" x14ac:dyDescent="0.4">
      <c r="V327" s="97"/>
      <c r="W327" s="16"/>
      <c r="X327" s="101"/>
      <c r="Y327" s="107"/>
      <c r="Z327" s="102"/>
      <c r="AA327" s="102"/>
      <c r="AB327" s="16"/>
      <c r="AC327" s="16"/>
      <c r="AD327" s="105"/>
      <c r="AE327" s="93">
        <f t="shared" si="40"/>
        <v>0</v>
      </c>
      <c r="AF327" s="16"/>
      <c r="AG327" s="103">
        <f t="shared" si="39"/>
        <v>0</v>
      </c>
      <c r="AH327" s="37">
        <f t="shared" si="41"/>
        <v>0</v>
      </c>
      <c r="AJ327" s="34"/>
      <c r="AK327" s="34"/>
      <c r="AL327" s="82"/>
      <c r="AN327" s="83"/>
      <c r="AO327" s="83"/>
      <c r="AP327" s="82"/>
      <c r="AQ327" s="84"/>
      <c r="AR327" s="84"/>
      <c r="AS327" s="84"/>
      <c r="AU327" s="34"/>
      <c r="AV327" s="34"/>
      <c r="AW327" s="82"/>
      <c r="AY327" s="83"/>
      <c r="AZ327" s="83"/>
      <c r="BA327" s="82"/>
      <c r="BB327" s="84"/>
      <c r="BC327" s="84"/>
      <c r="BD327" s="84"/>
    </row>
    <row r="328" spans="22:56" ht="16" x14ac:dyDescent="0.4">
      <c r="V328" s="97"/>
      <c r="W328" s="16"/>
      <c r="X328" s="101"/>
      <c r="Y328" s="107"/>
      <c r="Z328" s="102"/>
      <c r="AA328" s="102"/>
      <c r="AB328" s="16"/>
      <c r="AC328" s="16"/>
      <c r="AD328" s="105"/>
      <c r="AE328" s="93">
        <f t="shared" si="40"/>
        <v>0</v>
      </c>
      <c r="AF328" s="16"/>
      <c r="AG328" s="103">
        <f t="shared" si="39"/>
        <v>0</v>
      </c>
      <c r="AH328" s="37">
        <f t="shared" si="41"/>
        <v>0</v>
      </c>
      <c r="AJ328" s="34"/>
      <c r="AK328" s="34"/>
      <c r="AL328" s="82"/>
      <c r="AN328" s="83"/>
      <c r="AO328" s="83"/>
      <c r="AP328" s="82"/>
      <c r="AQ328" s="84"/>
      <c r="AR328" s="84"/>
      <c r="AS328" s="84"/>
      <c r="AU328" s="34"/>
      <c r="AV328" s="34"/>
      <c r="AW328" s="82"/>
      <c r="AY328" s="83"/>
      <c r="AZ328" s="83"/>
      <c r="BA328" s="82"/>
      <c r="BB328" s="84"/>
      <c r="BC328" s="84"/>
      <c r="BD328" s="84"/>
    </row>
    <row r="329" spans="22:56" ht="16" x14ac:dyDescent="0.4">
      <c r="V329" s="97"/>
      <c r="W329" s="16"/>
      <c r="X329" s="101"/>
      <c r="Y329" s="107"/>
      <c r="Z329" s="102"/>
      <c r="AA329" s="102"/>
      <c r="AB329" s="16"/>
      <c r="AC329" s="16"/>
      <c r="AD329" s="105"/>
      <c r="AE329" s="93">
        <f t="shared" si="40"/>
        <v>0</v>
      </c>
      <c r="AF329" s="16"/>
      <c r="AG329" s="103">
        <f t="shared" si="39"/>
        <v>0</v>
      </c>
      <c r="AH329" s="37">
        <f t="shared" si="41"/>
        <v>0</v>
      </c>
      <c r="AJ329" s="34"/>
      <c r="AK329" s="34"/>
      <c r="AL329" s="82"/>
      <c r="AN329" s="83"/>
      <c r="AO329" s="83"/>
      <c r="AP329" s="82"/>
      <c r="AQ329" s="84"/>
      <c r="AR329" s="84"/>
      <c r="AS329" s="84"/>
      <c r="AU329" s="34"/>
      <c r="AV329" s="34"/>
      <c r="AW329" s="82"/>
      <c r="AY329" s="83"/>
      <c r="AZ329" s="83"/>
      <c r="BA329" s="82"/>
      <c r="BB329" s="84"/>
      <c r="BC329" s="84"/>
      <c r="BD329" s="84"/>
    </row>
    <row r="330" spans="22:56" ht="16" x14ac:dyDescent="0.4">
      <c r="V330" s="97"/>
      <c r="W330" s="16"/>
      <c r="X330" s="101"/>
      <c r="Y330" s="107"/>
      <c r="Z330" s="102"/>
      <c r="AA330" s="102"/>
      <c r="AB330" s="16"/>
      <c r="AC330" s="16"/>
      <c r="AD330" s="105"/>
      <c r="AE330" s="93">
        <f t="shared" si="40"/>
        <v>0</v>
      </c>
      <c r="AF330" s="16"/>
      <c r="AG330" s="103">
        <f t="shared" si="39"/>
        <v>0</v>
      </c>
      <c r="AH330" s="37">
        <f t="shared" si="41"/>
        <v>0</v>
      </c>
      <c r="AJ330" s="34"/>
      <c r="AK330" s="34"/>
      <c r="AL330" s="82"/>
      <c r="AN330" s="83"/>
      <c r="AO330" s="83"/>
      <c r="AP330" s="82"/>
      <c r="AQ330" s="84"/>
      <c r="AR330" s="84"/>
      <c r="AS330" s="84"/>
      <c r="AU330" s="34"/>
      <c r="AV330" s="34"/>
      <c r="AW330" s="82"/>
      <c r="AY330" s="83"/>
      <c r="AZ330" s="83"/>
      <c r="BA330" s="82"/>
      <c r="BB330" s="84"/>
      <c r="BC330" s="84"/>
      <c r="BD330" s="84"/>
    </row>
    <row r="331" spans="22:56" ht="16" x14ac:dyDescent="0.4">
      <c r="V331" s="97"/>
      <c r="W331" s="16"/>
      <c r="X331" s="101"/>
      <c r="Y331" s="107"/>
      <c r="Z331" s="102"/>
      <c r="AA331" s="102"/>
      <c r="AB331" s="16"/>
      <c r="AC331" s="16"/>
      <c r="AD331" s="105"/>
      <c r="AE331" s="93">
        <f t="shared" si="40"/>
        <v>0</v>
      </c>
      <c r="AF331" s="16"/>
      <c r="AG331" s="103">
        <f t="shared" si="39"/>
        <v>0</v>
      </c>
      <c r="AH331" s="37">
        <f t="shared" si="41"/>
        <v>0</v>
      </c>
      <c r="AJ331" s="34"/>
      <c r="AK331" s="34"/>
      <c r="AL331" s="82"/>
      <c r="AN331" s="83"/>
      <c r="AO331" s="83"/>
      <c r="AP331" s="82"/>
      <c r="AQ331" s="84"/>
      <c r="AR331" s="84"/>
      <c r="AS331" s="84"/>
      <c r="AU331" s="34"/>
      <c r="AV331" s="34"/>
      <c r="AW331" s="82"/>
      <c r="AY331" s="83"/>
      <c r="AZ331" s="83"/>
      <c r="BA331" s="82"/>
      <c r="BB331" s="84"/>
      <c r="BC331" s="84"/>
      <c r="BD331" s="84"/>
    </row>
    <row r="332" spans="22:56" ht="16" x14ac:dyDescent="0.4">
      <c r="V332" s="97"/>
      <c r="W332" s="16"/>
      <c r="X332" s="101"/>
      <c r="Y332" s="107"/>
      <c r="Z332" s="102"/>
      <c r="AA332" s="102"/>
      <c r="AB332" s="16"/>
      <c r="AC332" s="16"/>
      <c r="AD332" s="105"/>
      <c r="AE332" s="93">
        <f t="shared" si="40"/>
        <v>0</v>
      </c>
      <c r="AF332" s="16"/>
      <c r="AG332" s="103">
        <f t="shared" si="39"/>
        <v>0</v>
      </c>
      <c r="AH332" s="37">
        <f t="shared" si="41"/>
        <v>0</v>
      </c>
      <c r="AJ332" s="34"/>
      <c r="AK332" s="34"/>
      <c r="AL332" s="82"/>
      <c r="AN332" s="83"/>
      <c r="AO332" s="83"/>
      <c r="AP332" s="82"/>
      <c r="AQ332" s="84"/>
      <c r="AR332" s="84"/>
      <c r="AS332" s="84"/>
      <c r="AU332" s="34"/>
      <c r="AV332" s="34"/>
      <c r="AW332" s="82"/>
      <c r="AY332" s="83"/>
      <c r="AZ332" s="83"/>
      <c r="BA332" s="82"/>
      <c r="BB332" s="84"/>
      <c r="BC332" s="84"/>
      <c r="BD332" s="84"/>
    </row>
    <row r="333" spans="22:56" ht="16" x14ac:dyDescent="0.4">
      <c r="V333" s="97"/>
      <c r="W333" s="16"/>
      <c r="X333" s="101"/>
      <c r="Y333" s="107"/>
      <c r="Z333" s="102"/>
      <c r="AA333" s="102"/>
      <c r="AB333" s="16"/>
      <c r="AC333" s="16"/>
      <c r="AD333" s="105"/>
      <c r="AE333" s="93">
        <f t="shared" si="40"/>
        <v>0</v>
      </c>
      <c r="AF333" s="16"/>
      <c r="AG333" s="103">
        <f t="shared" si="39"/>
        <v>0</v>
      </c>
      <c r="AH333" s="37">
        <f t="shared" si="41"/>
        <v>0</v>
      </c>
      <c r="AJ333" s="34"/>
      <c r="AK333" s="34"/>
      <c r="AL333" s="82"/>
      <c r="AN333" s="83"/>
      <c r="AO333" s="83"/>
      <c r="AP333" s="82"/>
      <c r="AQ333" s="84"/>
      <c r="AR333" s="84"/>
      <c r="AS333" s="84"/>
      <c r="AU333" s="34"/>
      <c r="AV333" s="34"/>
      <c r="AW333" s="82"/>
      <c r="AY333" s="83"/>
      <c r="AZ333" s="83"/>
      <c r="BA333" s="82"/>
      <c r="BB333" s="84"/>
      <c r="BC333" s="84"/>
      <c r="BD333" s="84"/>
    </row>
    <row r="334" spans="22:56" ht="16" x14ac:dyDescent="0.4">
      <c r="V334" s="97"/>
      <c r="W334" s="16"/>
      <c r="X334" s="101"/>
      <c r="Y334" s="107"/>
      <c r="Z334" s="102"/>
      <c r="AA334" s="102"/>
      <c r="AB334" s="16"/>
      <c r="AC334" s="16"/>
      <c r="AD334" s="105"/>
      <c r="AE334" s="93">
        <f t="shared" si="40"/>
        <v>0</v>
      </c>
      <c r="AF334" s="16"/>
      <c r="AG334" s="103">
        <f t="shared" si="39"/>
        <v>0</v>
      </c>
      <c r="AH334" s="37">
        <f t="shared" si="41"/>
        <v>0</v>
      </c>
      <c r="AJ334" s="34"/>
      <c r="AK334" s="34"/>
      <c r="AL334" s="82"/>
      <c r="AN334" s="83"/>
      <c r="AO334" s="83"/>
      <c r="AP334" s="82"/>
      <c r="AQ334" s="84"/>
      <c r="AR334" s="84"/>
      <c r="AS334" s="84"/>
      <c r="AU334" s="34"/>
      <c r="AV334" s="34"/>
      <c r="AW334" s="82"/>
      <c r="AY334" s="83"/>
      <c r="AZ334" s="83"/>
      <c r="BA334" s="82"/>
      <c r="BB334" s="84"/>
      <c r="BC334" s="84"/>
      <c r="BD334" s="84"/>
    </row>
    <row r="335" spans="22:56" ht="16" x14ac:dyDescent="0.4">
      <c r="V335" s="97"/>
      <c r="W335" s="16"/>
      <c r="X335" s="101"/>
      <c r="Y335" s="107"/>
      <c r="Z335" s="102"/>
      <c r="AA335" s="102"/>
      <c r="AB335" s="16"/>
      <c r="AC335" s="16"/>
      <c r="AD335" s="105"/>
      <c r="AE335" s="93">
        <f t="shared" si="40"/>
        <v>0</v>
      </c>
      <c r="AF335" s="16"/>
      <c r="AG335" s="103">
        <f t="shared" si="39"/>
        <v>0</v>
      </c>
      <c r="AH335" s="37">
        <f t="shared" si="41"/>
        <v>0</v>
      </c>
      <c r="AJ335" s="34"/>
      <c r="AK335" s="34"/>
      <c r="AL335" s="82"/>
      <c r="AN335" s="83"/>
      <c r="AO335" s="83"/>
      <c r="AP335" s="82"/>
      <c r="AQ335" s="84"/>
      <c r="AR335" s="84"/>
      <c r="AS335" s="84"/>
      <c r="AU335" s="34"/>
      <c r="AV335" s="34"/>
      <c r="AW335" s="82"/>
      <c r="AY335" s="83"/>
      <c r="AZ335" s="83"/>
      <c r="BA335" s="82"/>
      <c r="BB335" s="84"/>
      <c r="BC335" s="84"/>
      <c r="BD335" s="84"/>
    </row>
    <row r="336" spans="22:56" ht="16" x14ac:dyDescent="0.4">
      <c r="V336" s="97"/>
      <c r="W336" s="16"/>
      <c r="X336" s="101"/>
      <c r="Y336" s="107"/>
      <c r="Z336" s="102"/>
      <c r="AA336" s="102"/>
      <c r="AB336" s="16"/>
      <c r="AC336" s="16"/>
      <c r="AD336" s="105"/>
      <c r="AE336" s="93">
        <f t="shared" si="40"/>
        <v>0</v>
      </c>
      <c r="AF336" s="16"/>
      <c r="AG336" s="103">
        <f t="shared" si="39"/>
        <v>0</v>
      </c>
      <c r="AH336" s="37">
        <f t="shared" si="41"/>
        <v>0</v>
      </c>
      <c r="AJ336" s="34"/>
      <c r="AK336" s="34"/>
      <c r="AL336" s="82"/>
      <c r="AN336" s="83"/>
      <c r="AO336" s="83"/>
      <c r="AP336" s="82"/>
      <c r="AQ336" s="84"/>
      <c r="AR336" s="84"/>
      <c r="AS336" s="84"/>
      <c r="AU336" s="34"/>
      <c r="AV336" s="34"/>
      <c r="AW336" s="82"/>
      <c r="AY336" s="83"/>
      <c r="AZ336" s="83"/>
      <c r="BA336" s="82"/>
      <c r="BB336" s="84"/>
      <c r="BC336" s="84"/>
      <c r="BD336" s="84"/>
    </row>
    <row r="337" spans="22:56" ht="16" x14ac:dyDescent="0.4">
      <c r="V337" s="97"/>
      <c r="W337" s="16"/>
      <c r="X337" s="101"/>
      <c r="Y337" s="107"/>
      <c r="Z337" s="102"/>
      <c r="AA337" s="102"/>
      <c r="AB337" s="16"/>
      <c r="AC337" s="16"/>
      <c r="AD337" s="105"/>
      <c r="AE337" s="93">
        <f t="shared" si="40"/>
        <v>0</v>
      </c>
      <c r="AF337" s="16"/>
      <c r="AG337" s="103">
        <f t="shared" si="39"/>
        <v>0</v>
      </c>
      <c r="AH337" s="37">
        <f t="shared" si="41"/>
        <v>0</v>
      </c>
      <c r="AJ337" s="34"/>
      <c r="AK337" s="34"/>
      <c r="AL337" s="82"/>
      <c r="AN337" s="83"/>
      <c r="AO337" s="83"/>
      <c r="AP337" s="82"/>
      <c r="AQ337" s="84"/>
      <c r="AR337" s="84"/>
      <c r="AS337" s="84"/>
      <c r="AU337" s="34"/>
      <c r="AV337" s="34"/>
      <c r="AW337" s="82"/>
      <c r="AY337" s="83"/>
      <c r="AZ337" s="83"/>
      <c r="BA337" s="82"/>
      <c r="BB337" s="84"/>
      <c r="BC337" s="84"/>
      <c r="BD337" s="84"/>
    </row>
    <row r="338" spans="22:56" ht="16" x14ac:dyDescent="0.4">
      <c r="V338" s="97"/>
      <c r="W338" s="16"/>
      <c r="X338" s="101"/>
      <c r="Y338" s="107"/>
      <c r="Z338" s="102"/>
      <c r="AA338" s="102"/>
      <c r="AB338" s="16"/>
      <c r="AC338" s="16"/>
      <c r="AD338" s="105"/>
      <c r="AE338" s="93">
        <f t="shared" si="40"/>
        <v>0</v>
      </c>
      <c r="AF338" s="16"/>
      <c r="AG338" s="103">
        <f t="shared" si="39"/>
        <v>0</v>
      </c>
      <c r="AH338" s="37">
        <f t="shared" si="41"/>
        <v>0</v>
      </c>
      <c r="AJ338" s="34"/>
      <c r="AK338" s="34"/>
      <c r="AL338" s="82"/>
      <c r="AN338" s="83"/>
      <c r="AO338" s="83"/>
      <c r="AP338" s="82"/>
      <c r="AQ338" s="84"/>
      <c r="AR338" s="84"/>
      <c r="AS338" s="84"/>
      <c r="AU338" s="34"/>
      <c r="AV338" s="34"/>
      <c r="AW338" s="82"/>
      <c r="AY338" s="83"/>
      <c r="AZ338" s="83"/>
      <c r="BA338" s="82"/>
      <c r="BB338" s="84"/>
      <c r="BC338" s="84"/>
      <c r="BD338" s="84"/>
    </row>
    <row r="339" spans="22:56" ht="16" x14ac:dyDescent="0.4">
      <c r="V339" s="97"/>
      <c r="W339" s="16"/>
      <c r="X339" s="101"/>
      <c r="Y339" s="107"/>
      <c r="Z339" s="102"/>
      <c r="AA339" s="102"/>
      <c r="AB339" s="16"/>
      <c r="AC339" s="16"/>
      <c r="AD339" s="105"/>
      <c r="AE339" s="93">
        <f t="shared" si="40"/>
        <v>0</v>
      </c>
      <c r="AF339" s="16"/>
      <c r="AG339" s="103">
        <f t="shared" si="39"/>
        <v>0</v>
      </c>
      <c r="AH339" s="37">
        <f t="shared" si="41"/>
        <v>0</v>
      </c>
      <c r="AJ339" s="34"/>
      <c r="AK339" s="34"/>
      <c r="AL339" s="82"/>
      <c r="AN339" s="83"/>
      <c r="AO339" s="83"/>
      <c r="AP339" s="82"/>
      <c r="AQ339" s="84"/>
      <c r="AR339" s="84"/>
      <c r="AS339" s="84"/>
      <c r="AU339" s="34"/>
      <c r="AV339" s="34"/>
      <c r="AW339" s="82"/>
      <c r="AY339" s="83"/>
      <c r="AZ339" s="83"/>
      <c r="BA339" s="82"/>
      <c r="BB339" s="84"/>
      <c r="BC339" s="84"/>
      <c r="BD339" s="84"/>
    </row>
    <row r="340" spans="22:56" ht="16" x14ac:dyDescent="0.4">
      <c r="V340" s="97"/>
      <c r="W340" s="16"/>
      <c r="X340" s="101"/>
      <c r="Y340" s="105"/>
      <c r="Z340" s="102"/>
      <c r="AA340" s="102"/>
      <c r="AB340" s="16"/>
      <c r="AC340" s="16"/>
      <c r="AD340" s="105"/>
      <c r="AE340" s="93">
        <f t="shared" si="40"/>
        <v>0</v>
      </c>
      <c r="AF340" s="16"/>
      <c r="AG340" s="103">
        <f t="shared" si="39"/>
        <v>0</v>
      </c>
      <c r="AH340" s="37">
        <f t="shared" si="41"/>
        <v>0</v>
      </c>
      <c r="AJ340" s="34"/>
      <c r="AK340" s="34"/>
      <c r="AL340" s="82"/>
      <c r="AN340" s="83"/>
      <c r="AO340" s="83"/>
      <c r="AP340" s="82"/>
      <c r="AQ340" s="84"/>
      <c r="AR340" s="84"/>
      <c r="AS340" s="84"/>
      <c r="AU340" s="34"/>
      <c r="AV340" s="34"/>
      <c r="AW340" s="82"/>
      <c r="AY340" s="83"/>
      <c r="AZ340" s="83"/>
      <c r="BA340" s="82"/>
      <c r="BB340" s="84"/>
      <c r="BC340" s="84"/>
      <c r="BD340" s="84"/>
    </row>
    <row r="341" spans="22:56" ht="16" x14ac:dyDescent="0.4">
      <c r="V341" s="97"/>
      <c r="W341" s="16"/>
      <c r="X341" s="101"/>
      <c r="Z341" s="50"/>
      <c r="AA341" s="50"/>
      <c r="AD341" s="37"/>
      <c r="AE341" s="93">
        <f t="shared" si="40"/>
        <v>0</v>
      </c>
      <c r="AF341" s="16"/>
      <c r="AG341" s="103">
        <f t="shared" si="39"/>
        <v>0</v>
      </c>
      <c r="AH341" s="37">
        <f t="shared" si="41"/>
        <v>0</v>
      </c>
      <c r="AJ341" s="34"/>
      <c r="AK341" s="34"/>
      <c r="AL341" s="82"/>
      <c r="AN341" s="83"/>
      <c r="AO341" s="83"/>
      <c r="AP341" s="82"/>
      <c r="AQ341" s="84"/>
      <c r="AR341" s="84"/>
      <c r="AS341" s="84"/>
      <c r="AU341" s="34"/>
      <c r="AV341" s="34"/>
      <c r="AW341" s="82"/>
      <c r="AY341" s="83"/>
      <c r="AZ341" s="83"/>
      <c r="BA341" s="82"/>
      <c r="BB341" s="84"/>
      <c r="BC341" s="84"/>
      <c r="BD341" s="84"/>
    </row>
    <row r="342" spans="22:56" ht="16" x14ac:dyDescent="0.4">
      <c r="V342" s="97"/>
      <c r="W342" s="16"/>
      <c r="X342" s="101"/>
      <c r="Z342" s="50"/>
      <c r="AA342" s="50"/>
      <c r="AD342" s="37"/>
      <c r="AE342" s="93">
        <f t="shared" si="40"/>
        <v>0</v>
      </c>
      <c r="AF342" s="16"/>
      <c r="AG342" s="103">
        <f t="shared" si="39"/>
        <v>0</v>
      </c>
      <c r="AH342" s="37">
        <f t="shared" si="41"/>
        <v>0</v>
      </c>
      <c r="AJ342" s="34"/>
      <c r="AK342" s="34"/>
      <c r="AL342" s="82"/>
      <c r="AN342" s="83"/>
      <c r="AO342" s="83"/>
      <c r="AP342" s="82"/>
      <c r="AQ342" s="84"/>
      <c r="AR342" s="84"/>
      <c r="AS342" s="84"/>
      <c r="AU342" s="34"/>
      <c r="AV342" s="34"/>
      <c r="AW342" s="82"/>
      <c r="AY342" s="83"/>
      <c r="AZ342" s="83"/>
      <c r="BA342" s="82"/>
      <c r="BB342" s="84"/>
      <c r="BC342" s="84"/>
      <c r="BD342" s="84"/>
    </row>
    <row r="343" spans="22:56" ht="16" x14ac:dyDescent="0.4">
      <c r="V343" s="97"/>
      <c r="W343" s="16"/>
      <c r="X343" s="101"/>
      <c r="Z343" s="50"/>
      <c r="AA343" s="50"/>
      <c r="AD343" s="37"/>
      <c r="AE343" s="93">
        <f t="shared" si="40"/>
        <v>0</v>
      </c>
      <c r="AF343" s="16"/>
      <c r="AG343" s="103">
        <f t="shared" si="39"/>
        <v>0</v>
      </c>
      <c r="AH343" s="37">
        <f t="shared" si="41"/>
        <v>0</v>
      </c>
      <c r="AJ343" s="34"/>
      <c r="AK343" s="34"/>
      <c r="AL343" s="82"/>
      <c r="AN343" s="83"/>
      <c r="AO343" s="83"/>
      <c r="AP343" s="82"/>
      <c r="AQ343" s="84"/>
      <c r="AR343" s="84"/>
      <c r="AS343" s="84"/>
      <c r="AU343" s="34"/>
      <c r="AV343" s="34"/>
      <c r="AW343" s="82"/>
      <c r="AY343" s="83"/>
      <c r="AZ343" s="83"/>
      <c r="BA343" s="82"/>
      <c r="BB343" s="84"/>
      <c r="BC343" s="84"/>
      <c r="BD343" s="84"/>
    </row>
    <row r="344" spans="22:56" ht="16" x14ac:dyDescent="0.4">
      <c r="V344" s="97"/>
      <c r="W344" s="16"/>
      <c r="X344" s="101"/>
      <c r="Z344" s="50"/>
      <c r="AA344" s="50"/>
      <c r="AD344" s="100"/>
      <c r="AE344" s="93">
        <f t="shared" si="40"/>
        <v>0</v>
      </c>
      <c r="AF344" s="16"/>
      <c r="AG344" s="103">
        <f t="shared" si="39"/>
        <v>0</v>
      </c>
      <c r="AH344" s="37">
        <f t="shared" si="41"/>
        <v>0</v>
      </c>
      <c r="AJ344" s="34"/>
      <c r="AK344" s="34"/>
      <c r="AL344" s="82"/>
      <c r="AN344" s="83"/>
      <c r="AO344" s="83"/>
      <c r="AP344" s="82"/>
      <c r="AQ344" s="84"/>
      <c r="AR344" s="84"/>
      <c r="AS344" s="84"/>
      <c r="AU344" s="34"/>
      <c r="AV344" s="34"/>
      <c r="AW344" s="82"/>
      <c r="AY344" s="83"/>
      <c r="AZ344" s="83"/>
      <c r="BA344" s="82"/>
      <c r="BB344" s="84"/>
      <c r="BC344" s="84"/>
      <c r="BD344" s="84"/>
    </row>
    <row r="345" spans="22:56" ht="16" x14ac:dyDescent="0.4">
      <c r="V345" s="97"/>
      <c r="W345" s="16"/>
      <c r="X345" s="101"/>
      <c r="Z345" s="50"/>
      <c r="AA345" s="50"/>
      <c r="AD345" s="100"/>
      <c r="AE345" s="93">
        <f t="shared" si="40"/>
        <v>0</v>
      </c>
      <c r="AF345" s="16"/>
      <c r="AG345" s="103">
        <f t="shared" si="39"/>
        <v>0</v>
      </c>
      <c r="AH345" s="37">
        <f t="shared" si="41"/>
        <v>0</v>
      </c>
      <c r="AJ345" s="34"/>
      <c r="AK345" s="34"/>
      <c r="AL345" s="82"/>
      <c r="AN345" s="83"/>
      <c r="AO345" s="83"/>
      <c r="AP345" s="82"/>
      <c r="AQ345" s="84"/>
      <c r="AR345" s="84"/>
      <c r="AS345" s="84"/>
      <c r="AU345" s="34"/>
      <c r="AV345" s="34"/>
      <c r="AW345" s="82"/>
      <c r="AY345" s="83"/>
      <c r="AZ345" s="83"/>
      <c r="BA345" s="82"/>
      <c r="BB345" s="84"/>
      <c r="BC345" s="84"/>
      <c r="BD345" s="84"/>
    </row>
    <row r="346" spans="22:56" ht="16" x14ac:dyDescent="0.4">
      <c r="V346" s="97"/>
      <c r="W346" s="16"/>
      <c r="X346" s="101"/>
      <c r="Z346" s="50"/>
      <c r="AA346" s="50"/>
      <c r="AD346" s="100"/>
      <c r="AE346" s="93">
        <f t="shared" si="40"/>
        <v>0</v>
      </c>
      <c r="AF346" s="16"/>
      <c r="AG346" s="103">
        <f t="shared" si="39"/>
        <v>0</v>
      </c>
      <c r="AH346" s="37">
        <f t="shared" si="41"/>
        <v>0</v>
      </c>
      <c r="AJ346" s="34"/>
      <c r="AK346" s="34"/>
      <c r="AL346" s="82"/>
      <c r="AN346" s="83"/>
      <c r="AO346" s="83"/>
      <c r="AP346" s="82"/>
      <c r="AQ346" s="84"/>
      <c r="AR346" s="84"/>
      <c r="AS346" s="84"/>
      <c r="AU346" s="34"/>
      <c r="AV346" s="34"/>
      <c r="AW346" s="82"/>
      <c r="AY346" s="83"/>
      <c r="AZ346" s="83"/>
      <c r="BA346" s="82"/>
      <c r="BB346" s="84"/>
      <c r="BC346" s="84"/>
      <c r="BD346" s="84"/>
    </row>
    <row r="347" spans="22:56" ht="16" x14ac:dyDescent="0.4">
      <c r="V347" s="97"/>
      <c r="W347" s="16"/>
      <c r="X347" s="101"/>
      <c r="Z347" s="50"/>
      <c r="AA347" s="50"/>
      <c r="AD347" s="100"/>
      <c r="AE347" s="93">
        <f t="shared" si="40"/>
        <v>0</v>
      </c>
      <c r="AF347" s="16"/>
      <c r="AG347" s="103">
        <f t="shared" si="39"/>
        <v>0</v>
      </c>
      <c r="AH347" s="37">
        <f t="shared" si="41"/>
        <v>0</v>
      </c>
      <c r="AJ347" s="34"/>
      <c r="AK347" s="34"/>
      <c r="AL347" s="82"/>
      <c r="AN347" s="83"/>
      <c r="AO347" s="83"/>
      <c r="AP347" s="82"/>
      <c r="AQ347" s="84"/>
      <c r="AR347" s="84"/>
      <c r="AS347" s="84"/>
      <c r="AU347" s="34"/>
      <c r="AV347" s="34"/>
      <c r="AW347" s="82"/>
      <c r="AY347" s="83"/>
      <c r="AZ347" s="83"/>
      <c r="BA347" s="82"/>
      <c r="BB347" s="84"/>
      <c r="BC347" s="84"/>
      <c r="BD347" s="84"/>
    </row>
    <row r="348" spans="22:56" ht="16" x14ac:dyDescent="0.4">
      <c r="V348" s="97"/>
      <c r="W348" s="16"/>
      <c r="X348" s="101"/>
      <c r="Z348" s="50"/>
      <c r="AA348" s="50"/>
      <c r="AD348" s="100"/>
      <c r="AE348" s="93">
        <f t="shared" si="40"/>
        <v>0</v>
      </c>
      <c r="AF348" s="16"/>
      <c r="AG348" s="103">
        <f t="shared" si="39"/>
        <v>0</v>
      </c>
      <c r="AH348" s="37">
        <f t="shared" si="41"/>
        <v>0</v>
      </c>
      <c r="AJ348" s="34"/>
      <c r="AK348" s="34"/>
      <c r="AL348" s="82"/>
      <c r="AN348" s="83"/>
      <c r="AO348" s="83"/>
      <c r="AP348" s="82"/>
      <c r="AQ348" s="84"/>
      <c r="AR348" s="84"/>
      <c r="AS348" s="84"/>
      <c r="AU348" s="34"/>
      <c r="AV348" s="34"/>
      <c r="AW348" s="82"/>
      <c r="AY348" s="83"/>
      <c r="AZ348" s="83"/>
      <c r="BA348" s="82"/>
      <c r="BB348" s="84"/>
      <c r="BC348" s="84"/>
      <c r="BD348" s="84"/>
    </row>
    <row r="349" spans="22:56" ht="16" x14ac:dyDescent="0.4">
      <c r="V349" s="97"/>
      <c r="W349" s="16"/>
      <c r="X349" s="101"/>
      <c r="Z349" s="50"/>
      <c r="AA349" s="50"/>
      <c r="AD349" s="100"/>
      <c r="AE349" s="93">
        <f t="shared" si="40"/>
        <v>0</v>
      </c>
      <c r="AF349" s="16"/>
      <c r="AG349" s="103">
        <f t="shared" si="39"/>
        <v>0</v>
      </c>
      <c r="AH349" s="37">
        <f t="shared" si="41"/>
        <v>0</v>
      </c>
      <c r="AJ349" s="34"/>
      <c r="AK349" s="34"/>
      <c r="AL349" s="82"/>
      <c r="AN349" s="83"/>
      <c r="AO349" s="83"/>
      <c r="AP349" s="82"/>
      <c r="AQ349" s="84"/>
      <c r="AR349" s="84"/>
      <c r="AS349" s="84"/>
      <c r="AU349" s="34"/>
      <c r="AV349" s="34"/>
      <c r="AW349" s="82"/>
      <c r="AY349" s="83"/>
      <c r="AZ349" s="83"/>
      <c r="BA349" s="82"/>
      <c r="BB349" s="84"/>
      <c r="BC349" s="84"/>
      <c r="BD349" s="84"/>
    </row>
    <row r="350" spans="22:56" ht="16" x14ac:dyDescent="0.4">
      <c r="V350" s="97"/>
      <c r="W350" s="16"/>
      <c r="X350" s="101"/>
      <c r="Z350" s="50"/>
      <c r="AA350" s="50"/>
      <c r="AD350" s="100"/>
      <c r="AE350" s="93">
        <f t="shared" si="40"/>
        <v>0</v>
      </c>
      <c r="AF350" s="16"/>
      <c r="AG350" s="103">
        <f t="shared" si="39"/>
        <v>0</v>
      </c>
      <c r="AH350" s="37">
        <f t="shared" si="41"/>
        <v>0</v>
      </c>
      <c r="AJ350" s="34"/>
      <c r="AK350" s="34"/>
      <c r="AL350" s="82"/>
      <c r="AN350" s="83"/>
      <c r="AO350" s="83"/>
      <c r="AP350" s="82"/>
      <c r="AQ350" s="84"/>
      <c r="AR350" s="84"/>
      <c r="AS350" s="84"/>
      <c r="AU350" s="34"/>
      <c r="AV350" s="34"/>
      <c r="AW350" s="82"/>
      <c r="AY350" s="83"/>
      <c r="AZ350" s="83"/>
      <c r="BA350" s="82"/>
      <c r="BB350" s="84"/>
      <c r="BC350" s="84"/>
      <c r="BD350" s="84"/>
    </row>
    <row r="351" spans="22:56" ht="16" x14ac:dyDescent="0.4">
      <c r="V351" s="97"/>
      <c r="W351" s="16"/>
      <c r="X351" s="101"/>
      <c r="Z351" s="50"/>
      <c r="AA351" s="50"/>
      <c r="AD351" s="100"/>
      <c r="AE351" s="93">
        <f t="shared" si="40"/>
        <v>0</v>
      </c>
      <c r="AF351" s="16"/>
      <c r="AG351" s="103">
        <f t="shared" si="39"/>
        <v>0</v>
      </c>
      <c r="AH351" s="37">
        <f t="shared" si="41"/>
        <v>0</v>
      </c>
      <c r="AJ351" s="34"/>
      <c r="AK351" s="34"/>
      <c r="AL351" s="82"/>
      <c r="AN351" s="83"/>
      <c r="AO351" s="83"/>
      <c r="AP351" s="82"/>
      <c r="AQ351" s="84"/>
      <c r="AR351" s="84"/>
      <c r="AS351" s="84"/>
      <c r="AU351" s="34"/>
      <c r="AV351" s="34"/>
      <c r="AW351" s="82"/>
      <c r="AY351" s="83"/>
      <c r="AZ351" s="83"/>
      <c r="BA351" s="82"/>
      <c r="BB351" s="84"/>
      <c r="BC351" s="84"/>
      <c r="BD351" s="84"/>
    </row>
    <row r="352" spans="22:56" ht="16" x14ac:dyDescent="0.4">
      <c r="V352" s="97"/>
      <c r="W352" s="16"/>
      <c r="X352" s="101"/>
      <c r="Z352" s="50"/>
      <c r="AA352" s="50"/>
      <c r="AD352" s="100"/>
      <c r="AE352" s="93">
        <f t="shared" si="40"/>
        <v>0</v>
      </c>
      <c r="AF352" s="16"/>
      <c r="AG352" s="103">
        <f t="shared" si="39"/>
        <v>0</v>
      </c>
      <c r="AH352" s="37">
        <f t="shared" si="41"/>
        <v>0</v>
      </c>
      <c r="AJ352" s="34"/>
      <c r="AK352" s="34"/>
      <c r="AL352" s="82"/>
      <c r="AN352" s="83"/>
      <c r="AO352" s="83"/>
      <c r="AP352" s="82"/>
      <c r="AQ352" s="84"/>
      <c r="AR352" s="84"/>
      <c r="AS352" s="84"/>
      <c r="AU352" s="34"/>
      <c r="AV352" s="34"/>
      <c r="AW352" s="82"/>
      <c r="AY352" s="83"/>
      <c r="AZ352" s="83"/>
      <c r="BA352" s="82"/>
      <c r="BB352" s="84"/>
      <c r="BC352" s="84"/>
      <c r="BD352" s="84"/>
    </row>
    <row r="353" spans="22:56" ht="16" x14ac:dyDescent="0.4">
      <c r="V353" s="97"/>
      <c r="W353" s="16"/>
      <c r="X353" s="101"/>
      <c r="Z353" s="50"/>
      <c r="AA353" s="50"/>
      <c r="AD353" s="100"/>
      <c r="AE353" s="93">
        <f t="shared" si="40"/>
        <v>0</v>
      </c>
      <c r="AF353" s="16"/>
      <c r="AG353" s="103">
        <f t="shared" si="39"/>
        <v>0</v>
      </c>
      <c r="AH353" s="37">
        <f t="shared" si="41"/>
        <v>0</v>
      </c>
      <c r="AJ353" s="34"/>
      <c r="AK353" s="34"/>
      <c r="AL353" s="82"/>
      <c r="AN353" s="83"/>
      <c r="AO353" s="83"/>
      <c r="AP353" s="82"/>
      <c r="AQ353" s="84"/>
      <c r="AR353" s="84"/>
      <c r="AS353" s="84"/>
      <c r="AU353" s="34"/>
      <c r="AV353" s="34"/>
      <c r="AW353" s="82"/>
      <c r="AY353" s="83"/>
      <c r="AZ353" s="83"/>
      <c r="BA353" s="82"/>
      <c r="BB353" s="84"/>
      <c r="BC353" s="84"/>
      <c r="BD353" s="84"/>
    </row>
    <row r="354" spans="22:56" ht="16" x14ac:dyDescent="0.4">
      <c r="V354" s="97"/>
      <c r="W354" s="16"/>
      <c r="X354" s="101"/>
      <c r="Z354" s="50"/>
      <c r="AA354" s="50"/>
      <c r="AD354" s="100"/>
      <c r="AE354" s="93">
        <f t="shared" si="40"/>
        <v>0</v>
      </c>
      <c r="AF354" s="16"/>
      <c r="AG354" s="103">
        <f t="shared" si="39"/>
        <v>0</v>
      </c>
      <c r="AH354" s="37">
        <f t="shared" si="41"/>
        <v>0</v>
      </c>
      <c r="AJ354" s="34"/>
      <c r="AK354" s="34"/>
      <c r="AL354" s="82"/>
      <c r="AN354" s="83"/>
      <c r="AO354" s="83"/>
      <c r="AP354" s="82"/>
      <c r="AQ354" s="84"/>
      <c r="AR354" s="84"/>
      <c r="AS354" s="84"/>
      <c r="AU354" s="34"/>
      <c r="AV354" s="34"/>
      <c r="AW354" s="82"/>
      <c r="AY354" s="83"/>
      <c r="AZ354" s="83"/>
      <c r="BA354" s="82"/>
      <c r="BB354" s="84"/>
      <c r="BC354" s="84"/>
      <c r="BD354" s="84"/>
    </row>
    <row r="355" spans="22:56" ht="16" x14ac:dyDescent="0.4">
      <c r="V355" s="97"/>
      <c r="W355" s="16"/>
      <c r="X355" s="101"/>
      <c r="Z355" s="50"/>
      <c r="AA355" s="50"/>
      <c r="AD355" s="100"/>
      <c r="AE355" s="93">
        <f t="shared" si="40"/>
        <v>0</v>
      </c>
      <c r="AF355" s="16"/>
      <c r="AG355" s="103">
        <f t="shared" si="39"/>
        <v>0</v>
      </c>
      <c r="AH355" s="37">
        <f t="shared" si="41"/>
        <v>0</v>
      </c>
      <c r="AJ355" s="34"/>
      <c r="AK355" s="34"/>
      <c r="AL355" s="82"/>
      <c r="AN355" s="83"/>
      <c r="AO355" s="83"/>
      <c r="AP355" s="82"/>
      <c r="AQ355" s="84"/>
      <c r="AR355" s="84"/>
      <c r="AS355" s="84"/>
      <c r="AU355" s="34"/>
      <c r="AV355" s="34"/>
      <c r="AW355" s="82"/>
      <c r="AY355" s="83"/>
      <c r="AZ355" s="83"/>
      <c r="BA355" s="82"/>
      <c r="BB355" s="84"/>
      <c r="BC355" s="84"/>
      <c r="BD355" s="84"/>
    </row>
    <row r="356" spans="22:56" ht="16" x14ac:dyDescent="0.4">
      <c r="V356" s="97"/>
      <c r="W356" s="16"/>
      <c r="X356" s="101"/>
      <c r="Z356" s="50"/>
      <c r="AA356" s="50"/>
      <c r="AD356" s="100"/>
      <c r="AE356" s="93">
        <f t="shared" si="40"/>
        <v>0</v>
      </c>
      <c r="AF356" s="16"/>
      <c r="AG356" s="103">
        <f t="shared" si="39"/>
        <v>0</v>
      </c>
      <c r="AH356" s="37">
        <f t="shared" si="41"/>
        <v>0</v>
      </c>
      <c r="AJ356" s="34"/>
      <c r="AK356" s="34"/>
      <c r="AL356" s="82"/>
      <c r="AN356" s="83"/>
      <c r="AO356" s="83"/>
      <c r="AP356" s="82"/>
      <c r="AQ356" s="84"/>
      <c r="AR356" s="84"/>
      <c r="AS356" s="84"/>
      <c r="AU356" s="34"/>
      <c r="AV356" s="34"/>
      <c r="AW356" s="82"/>
      <c r="AY356" s="83"/>
      <c r="AZ356" s="83"/>
      <c r="BA356" s="82"/>
      <c r="BB356" s="84"/>
      <c r="BC356" s="84"/>
      <c r="BD356" s="84"/>
    </row>
    <row r="357" spans="22:56" ht="16" x14ac:dyDescent="0.4">
      <c r="V357" s="97"/>
      <c r="W357" s="16"/>
      <c r="X357" s="101"/>
      <c r="Z357" s="50"/>
      <c r="AA357" s="50"/>
      <c r="AD357" s="100"/>
      <c r="AE357" s="93">
        <f t="shared" si="40"/>
        <v>0</v>
      </c>
      <c r="AF357" s="16"/>
      <c r="AG357" s="103">
        <f t="shared" si="39"/>
        <v>0</v>
      </c>
      <c r="AH357" s="37">
        <f t="shared" si="41"/>
        <v>0</v>
      </c>
      <c r="AJ357" s="34"/>
      <c r="AK357" s="34"/>
      <c r="AL357" s="82"/>
      <c r="AN357" s="83"/>
      <c r="AO357" s="83"/>
      <c r="AP357" s="82"/>
      <c r="AQ357" s="84"/>
      <c r="AR357" s="84"/>
      <c r="AS357" s="84"/>
      <c r="AU357" s="34"/>
      <c r="AV357" s="34"/>
      <c r="AW357" s="82"/>
      <c r="AY357" s="83"/>
      <c r="AZ357" s="83"/>
      <c r="BA357" s="82"/>
      <c r="BB357" s="84"/>
      <c r="BC357" s="84"/>
      <c r="BD357" s="84"/>
    </row>
    <row r="358" spans="22:56" ht="16" x14ac:dyDescent="0.4">
      <c r="V358" s="97"/>
      <c r="W358" s="16"/>
      <c r="X358" s="101"/>
      <c r="Z358" s="50"/>
      <c r="AA358" s="50"/>
      <c r="AD358" s="100"/>
      <c r="AE358" s="93">
        <f t="shared" si="40"/>
        <v>0</v>
      </c>
      <c r="AF358" s="16"/>
      <c r="AG358" s="103">
        <f t="shared" si="39"/>
        <v>0</v>
      </c>
      <c r="AH358" s="37">
        <f t="shared" si="41"/>
        <v>0</v>
      </c>
      <c r="AJ358" s="34"/>
      <c r="AK358" s="34"/>
      <c r="AL358" s="82"/>
      <c r="AN358" s="83"/>
      <c r="AO358" s="83"/>
      <c r="AP358" s="82"/>
      <c r="AQ358" s="84"/>
      <c r="AR358" s="84"/>
      <c r="AS358" s="84"/>
      <c r="AU358" s="34"/>
      <c r="AV358" s="34"/>
      <c r="AW358" s="82"/>
      <c r="AY358" s="83"/>
      <c r="AZ358" s="83"/>
      <c r="BA358" s="82"/>
      <c r="BB358" s="84"/>
      <c r="BC358" s="84"/>
      <c r="BD358" s="84"/>
    </row>
    <row r="359" spans="22:56" ht="16" x14ac:dyDescent="0.4">
      <c r="V359" s="97"/>
      <c r="W359" s="16"/>
      <c r="X359" s="101"/>
      <c r="Z359" s="50"/>
      <c r="AA359" s="50"/>
      <c r="AD359" s="100"/>
      <c r="AE359" s="93">
        <f t="shared" si="40"/>
        <v>0</v>
      </c>
      <c r="AF359" s="16"/>
      <c r="AG359" s="103">
        <f t="shared" si="39"/>
        <v>0</v>
      </c>
      <c r="AH359" s="37">
        <f t="shared" si="41"/>
        <v>0</v>
      </c>
      <c r="AJ359" s="34"/>
      <c r="AK359" s="34"/>
      <c r="AL359" s="82"/>
      <c r="AN359" s="83"/>
      <c r="AO359" s="83"/>
      <c r="AP359" s="82"/>
      <c r="AQ359" s="84"/>
      <c r="AR359" s="84"/>
      <c r="AS359" s="84"/>
      <c r="AU359" s="34"/>
      <c r="AV359" s="34"/>
      <c r="AW359" s="82"/>
      <c r="AY359" s="83"/>
      <c r="AZ359" s="83"/>
      <c r="BA359" s="82"/>
      <c r="BB359" s="84"/>
      <c r="BC359" s="84"/>
      <c r="BD359" s="84"/>
    </row>
    <row r="360" spans="22:56" ht="16" x14ac:dyDescent="0.4">
      <c r="V360" s="97"/>
      <c r="W360" s="16"/>
      <c r="X360" s="101"/>
      <c r="Z360" s="50"/>
      <c r="AA360" s="50"/>
      <c r="AD360" s="100"/>
      <c r="AE360" s="93">
        <f t="shared" si="40"/>
        <v>0</v>
      </c>
      <c r="AF360" s="16"/>
      <c r="AG360" s="103">
        <f t="shared" si="39"/>
        <v>0</v>
      </c>
      <c r="AH360" s="37">
        <f t="shared" si="41"/>
        <v>0</v>
      </c>
      <c r="AJ360" s="34"/>
      <c r="AK360" s="34"/>
      <c r="AL360" s="82"/>
      <c r="AN360" s="83"/>
      <c r="AO360" s="83"/>
      <c r="AP360" s="82"/>
      <c r="AQ360" s="84"/>
      <c r="AR360" s="84"/>
      <c r="AS360" s="84"/>
      <c r="AU360" s="34"/>
      <c r="AV360" s="34"/>
      <c r="AW360" s="82"/>
      <c r="AY360" s="83"/>
      <c r="AZ360" s="83"/>
      <c r="BA360" s="82"/>
      <c r="BB360" s="84"/>
      <c r="BC360" s="84"/>
      <c r="BD360" s="84"/>
    </row>
    <row r="361" spans="22:56" ht="16" x14ac:dyDescent="0.4">
      <c r="V361" s="97"/>
      <c r="W361" s="16"/>
      <c r="X361" s="101"/>
      <c r="Z361" s="50"/>
      <c r="AA361" s="50"/>
      <c r="AD361" s="100"/>
      <c r="AE361" s="93">
        <f t="shared" si="40"/>
        <v>0</v>
      </c>
      <c r="AF361" s="16"/>
      <c r="AG361" s="103">
        <f t="shared" si="39"/>
        <v>0</v>
      </c>
      <c r="AH361" s="37">
        <f t="shared" si="41"/>
        <v>0</v>
      </c>
      <c r="AJ361" s="34"/>
      <c r="AK361" s="34"/>
      <c r="AL361" s="82"/>
      <c r="AN361" s="83"/>
      <c r="AO361" s="83"/>
      <c r="AP361" s="82"/>
      <c r="AQ361" s="84"/>
      <c r="AR361" s="84"/>
      <c r="AS361" s="84"/>
      <c r="AU361" s="34"/>
      <c r="AV361" s="34"/>
      <c r="AW361" s="82"/>
      <c r="AY361" s="83"/>
      <c r="AZ361" s="83"/>
      <c r="BA361" s="82"/>
      <c r="BB361" s="84"/>
      <c r="BC361" s="84"/>
      <c r="BD361" s="84"/>
    </row>
    <row r="362" spans="22:56" ht="16" x14ac:dyDescent="0.4">
      <c r="V362" s="97"/>
      <c r="W362" s="16"/>
      <c r="X362" s="101"/>
      <c r="Z362" s="50"/>
      <c r="AA362" s="50"/>
      <c r="AD362" s="100"/>
      <c r="AE362" s="93">
        <f t="shared" si="40"/>
        <v>0</v>
      </c>
      <c r="AF362" s="16"/>
      <c r="AG362" s="103">
        <f t="shared" si="39"/>
        <v>0</v>
      </c>
      <c r="AH362" s="37">
        <f t="shared" si="41"/>
        <v>0</v>
      </c>
      <c r="AJ362" s="34"/>
      <c r="AK362" s="34"/>
      <c r="AL362" s="82"/>
      <c r="AN362" s="83"/>
      <c r="AO362" s="83"/>
      <c r="AP362" s="82"/>
      <c r="AQ362" s="84"/>
      <c r="AR362" s="84"/>
      <c r="AS362" s="84"/>
      <c r="AU362" s="34"/>
      <c r="AV362" s="34"/>
      <c r="AW362" s="82"/>
      <c r="AY362" s="83"/>
      <c r="AZ362" s="83"/>
      <c r="BA362" s="82"/>
      <c r="BB362" s="84"/>
      <c r="BC362" s="84"/>
      <c r="BD362" s="84"/>
    </row>
    <row r="363" spans="22:56" ht="16" x14ac:dyDescent="0.4">
      <c r="V363" s="97"/>
      <c r="W363" s="16"/>
      <c r="X363" s="101"/>
      <c r="Z363" s="50"/>
      <c r="AA363" s="50"/>
      <c r="AD363" s="100"/>
      <c r="AE363" s="93">
        <f t="shared" si="40"/>
        <v>0</v>
      </c>
      <c r="AF363" s="16"/>
      <c r="AG363" s="103">
        <f t="shared" si="39"/>
        <v>0</v>
      </c>
      <c r="AH363" s="37">
        <f t="shared" si="41"/>
        <v>0</v>
      </c>
      <c r="AJ363" s="34"/>
      <c r="AK363" s="34"/>
      <c r="AL363" s="82"/>
      <c r="AN363" s="83"/>
      <c r="AO363" s="83"/>
      <c r="AP363" s="82"/>
      <c r="AQ363" s="84"/>
      <c r="AR363" s="84"/>
      <c r="AS363" s="84"/>
      <c r="AU363" s="34"/>
      <c r="AV363" s="34"/>
      <c r="AW363" s="82"/>
      <c r="AY363" s="83"/>
      <c r="AZ363" s="83"/>
      <c r="BA363" s="82"/>
      <c r="BB363" s="84"/>
      <c r="BC363" s="84"/>
      <c r="BD363" s="84"/>
    </row>
    <row r="364" spans="22:56" ht="16" x14ac:dyDescent="0.4">
      <c r="V364" s="97"/>
      <c r="W364" s="16"/>
      <c r="X364" s="101"/>
      <c r="Z364" s="50"/>
      <c r="AA364" s="50"/>
      <c r="AD364" s="100"/>
      <c r="AE364" s="93">
        <f t="shared" si="40"/>
        <v>0</v>
      </c>
      <c r="AF364" s="16"/>
      <c r="AG364" s="103">
        <f t="shared" si="39"/>
        <v>0</v>
      </c>
      <c r="AH364" s="37">
        <f t="shared" si="41"/>
        <v>0</v>
      </c>
      <c r="AJ364" s="34"/>
      <c r="AK364" s="34"/>
      <c r="AL364" s="82"/>
      <c r="AN364" s="83"/>
      <c r="AO364" s="83"/>
      <c r="AP364" s="82"/>
      <c r="AQ364" s="84"/>
      <c r="AR364" s="84"/>
      <c r="AS364" s="84"/>
      <c r="AU364" s="34"/>
      <c r="AV364" s="34"/>
      <c r="AW364" s="82"/>
      <c r="AY364" s="83"/>
      <c r="AZ364" s="83"/>
      <c r="BA364" s="82"/>
      <c r="BB364" s="84"/>
      <c r="BC364" s="84"/>
      <c r="BD364" s="84"/>
    </row>
    <row r="365" spans="22:56" ht="16" x14ac:dyDescent="0.4">
      <c r="V365" s="97"/>
      <c r="W365" s="16"/>
      <c r="X365" s="101"/>
      <c r="Z365" s="50"/>
      <c r="AA365" s="50"/>
      <c r="AD365" s="100"/>
      <c r="AE365" s="93">
        <f t="shared" si="40"/>
        <v>0</v>
      </c>
      <c r="AF365" s="16"/>
      <c r="AG365" s="103">
        <f t="shared" si="39"/>
        <v>0</v>
      </c>
      <c r="AH365" s="37">
        <f t="shared" si="41"/>
        <v>0</v>
      </c>
      <c r="AJ365" s="34"/>
      <c r="AK365" s="34"/>
      <c r="AL365" s="82"/>
      <c r="AN365" s="83"/>
      <c r="AO365" s="83"/>
      <c r="AP365" s="82"/>
      <c r="AQ365" s="84"/>
      <c r="AR365" s="84"/>
      <c r="AS365" s="84"/>
      <c r="AU365" s="34"/>
      <c r="AV365" s="34"/>
      <c r="AW365" s="82"/>
      <c r="AY365" s="83"/>
      <c r="AZ365" s="83"/>
      <c r="BA365" s="82"/>
      <c r="BB365" s="84"/>
      <c r="BC365" s="84"/>
      <c r="BD365" s="84"/>
    </row>
    <row r="366" spans="22:56" ht="16" x14ac:dyDescent="0.4">
      <c r="V366" s="97"/>
      <c r="W366" s="16"/>
      <c r="X366" s="101"/>
      <c r="Z366" s="50"/>
      <c r="AA366" s="50"/>
      <c r="AD366" s="100"/>
      <c r="AE366" s="93">
        <f t="shared" si="40"/>
        <v>0</v>
      </c>
      <c r="AF366" s="16"/>
      <c r="AG366" s="103">
        <f t="shared" si="39"/>
        <v>0</v>
      </c>
      <c r="AH366" s="37">
        <f t="shared" si="41"/>
        <v>0</v>
      </c>
      <c r="AJ366" s="34"/>
      <c r="AK366" s="34"/>
      <c r="AL366" s="82"/>
      <c r="AN366" s="83"/>
      <c r="AO366" s="83"/>
      <c r="AP366" s="82"/>
      <c r="AQ366" s="84"/>
      <c r="AR366" s="84"/>
      <c r="AS366" s="84"/>
      <c r="AU366" s="34"/>
      <c r="AV366" s="34"/>
      <c r="AW366" s="82"/>
      <c r="AY366" s="83"/>
      <c r="AZ366" s="83"/>
      <c r="BA366" s="82"/>
      <c r="BB366" s="84"/>
      <c r="BC366" s="84"/>
      <c r="BD366" s="84"/>
    </row>
    <row r="367" spans="22:56" ht="16" x14ac:dyDescent="0.4">
      <c r="V367" s="97"/>
      <c r="W367" s="16"/>
      <c r="X367" s="101"/>
      <c r="Z367" s="50"/>
      <c r="AA367" s="50"/>
      <c r="AD367" s="100"/>
      <c r="AE367" s="93">
        <f t="shared" si="40"/>
        <v>0</v>
      </c>
      <c r="AF367" s="16"/>
      <c r="AG367" s="103">
        <f t="shared" si="39"/>
        <v>0</v>
      </c>
      <c r="AH367" s="37">
        <f t="shared" si="41"/>
        <v>0</v>
      </c>
      <c r="AJ367" s="34"/>
      <c r="AK367" s="34"/>
      <c r="AL367" s="82"/>
      <c r="AN367" s="83"/>
      <c r="AO367" s="83"/>
      <c r="AP367" s="82"/>
      <c r="AQ367" s="84"/>
      <c r="AR367" s="84"/>
      <c r="AS367" s="84"/>
      <c r="AU367" s="34"/>
      <c r="AV367" s="34"/>
      <c r="AW367" s="82"/>
      <c r="AY367" s="83"/>
      <c r="AZ367" s="83"/>
      <c r="BA367" s="82"/>
      <c r="BB367" s="84"/>
      <c r="BC367" s="84"/>
      <c r="BD367" s="84"/>
    </row>
    <row r="368" spans="22:56" ht="16" x14ac:dyDescent="0.4">
      <c r="V368" s="97"/>
      <c r="W368" s="16"/>
      <c r="X368" s="101"/>
      <c r="Z368" s="50"/>
      <c r="AA368" s="50"/>
      <c r="AD368" s="100"/>
      <c r="AE368" s="93">
        <f t="shared" si="40"/>
        <v>0</v>
      </c>
      <c r="AF368" s="16"/>
      <c r="AG368" s="103">
        <f t="shared" si="39"/>
        <v>0</v>
      </c>
      <c r="AH368" s="37">
        <f t="shared" si="41"/>
        <v>0</v>
      </c>
      <c r="AJ368" s="34"/>
      <c r="AK368" s="34"/>
      <c r="AL368" s="82"/>
      <c r="AN368" s="83"/>
      <c r="AO368" s="83"/>
      <c r="AP368" s="82"/>
      <c r="AQ368" s="84"/>
      <c r="AR368" s="84"/>
      <c r="AS368" s="84"/>
      <c r="AU368" s="34"/>
      <c r="AV368" s="34"/>
      <c r="AW368" s="82"/>
      <c r="AY368" s="83"/>
      <c r="AZ368" s="83"/>
      <c r="BA368" s="82"/>
      <c r="BB368" s="84"/>
      <c r="BC368" s="84"/>
      <c r="BD368" s="84"/>
    </row>
    <row r="369" spans="22:56" ht="16" x14ac:dyDescent="0.4">
      <c r="V369" s="97"/>
      <c r="W369" s="16"/>
      <c r="X369" s="89"/>
      <c r="Z369" s="50"/>
      <c r="AA369" s="50"/>
      <c r="AD369" s="100"/>
      <c r="AE369" s="93">
        <f t="shared" si="40"/>
        <v>0</v>
      </c>
      <c r="AF369" s="16"/>
      <c r="AG369" s="103">
        <f t="shared" si="39"/>
        <v>0</v>
      </c>
      <c r="AH369" s="37">
        <f t="shared" si="41"/>
        <v>0</v>
      </c>
      <c r="AJ369" s="34"/>
      <c r="AK369" s="34"/>
      <c r="AL369" s="82"/>
      <c r="AN369" s="83"/>
      <c r="AO369" s="83"/>
      <c r="AP369" s="82"/>
      <c r="AQ369" s="84"/>
      <c r="AR369" s="84"/>
      <c r="AS369" s="84"/>
      <c r="AU369" s="34"/>
      <c r="AV369" s="34"/>
      <c r="AW369" s="82"/>
      <c r="AY369" s="83"/>
      <c r="AZ369" s="83"/>
      <c r="BA369" s="82"/>
      <c r="BB369" s="84"/>
      <c r="BC369" s="84"/>
      <c r="BD369" s="84"/>
    </row>
    <row r="370" spans="22:56" ht="16" x14ac:dyDescent="0.4">
      <c r="V370" s="97"/>
      <c r="W370" s="16"/>
      <c r="X370" s="89"/>
      <c r="Z370" s="50"/>
      <c r="AA370" s="50"/>
      <c r="AD370" s="100"/>
      <c r="AE370" s="93">
        <f t="shared" si="40"/>
        <v>0</v>
      </c>
      <c r="AF370" s="16"/>
      <c r="AG370" s="103">
        <f t="shared" si="39"/>
        <v>0</v>
      </c>
      <c r="AH370" s="37">
        <f t="shared" si="41"/>
        <v>0</v>
      </c>
      <c r="AJ370" s="34"/>
      <c r="AK370" s="34"/>
      <c r="AL370" s="82"/>
      <c r="AN370" s="83"/>
      <c r="AO370" s="83"/>
      <c r="AP370" s="82"/>
      <c r="AQ370" s="84"/>
      <c r="AR370" s="84"/>
      <c r="AS370" s="84"/>
      <c r="AU370" s="34"/>
      <c r="AV370" s="34"/>
      <c r="AW370" s="82"/>
      <c r="AY370" s="83"/>
      <c r="AZ370" s="83"/>
      <c r="BA370" s="82"/>
      <c r="BB370" s="84"/>
      <c r="BC370" s="84"/>
      <c r="BD370" s="84"/>
    </row>
    <row r="371" spans="22:56" ht="16" x14ac:dyDescent="0.4">
      <c r="V371" s="97"/>
      <c r="W371" s="16"/>
      <c r="X371" s="89"/>
      <c r="Z371" s="50"/>
      <c r="AA371" s="50"/>
      <c r="AD371" s="100"/>
      <c r="AE371" s="93">
        <f t="shared" si="40"/>
        <v>0</v>
      </c>
      <c r="AF371" s="16"/>
      <c r="AG371" s="103">
        <f t="shared" si="39"/>
        <v>0</v>
      </c>
      <c r="AH371" s="37">
        <f t="shared" si="41"/>
        <v>0</v>
      </c>
      <c r="AJ371" s="34"/>
      <c r="AK371" s="34"/>
      <c r="AL371" s="82"/>
      <c r="AN371" s="83"/>
      <c r="AO371" s="83"/>
      <c r="AP371" s="82"/>
      <c r="AQ371" s="84"/>
      <c r="AR371" s="84"/>
      <c r="AS371" s="84"/>
      <c r="AU371" s="34"/>
      <c r="AV371" s="34"/>
      <c r="AW371" s="82"/>
      <c r="AY371" s="83"/>
      <c r="AZ371" s="83"/>
      <c r="BA371" s="82"/>
      <c r="BB371" s="84"/>
      <c r="BC371" s="84"/>
      <c r="BD371" s="84"/>
    </row>
    <row r="372" spans="22:56" ht="16" x14ac:dyDescent="0.4">
      <c r="V372" s="97"/>
      <c r="W372" s="16"/>
      <c r="X372" s="89"/>
      <c r="Z372" s="50"/>
      <c r="AA372" s="50"/>
      <c r="AD372" s="100"/>
      <c r="AE372" s="93">
        <f t="shared" si="40"/>
        <v>0</v>
      </c>
      <c r="AF372" s="16"/>
      <c r="AG372" s="103">
        <f t="shared" si="39"/>
        <v>0</v>
      </c>
      <c r="AH372" s="37">
        <f t="shared" si="41"/>
        <v>0</v>
      </c>
      <c r="AJ372" s="34"/>
      <c r="AK372" s="34"/>
      <c r="AL372" s="82"/>
      <c r="AN372" s="83"/>
      <c r="AO372" s="83"/>
      <c r="AP372" s="82"/>
      <c r="AQ372" s="84"/>
      <c r="AR372" s="84"/>
      <c r="AS372" s="84"/>
      <c r="AU372" s="34"/>
      <c r="AV372" s="34"/>
      <c r="AW372" s="82"/>
      <c r="AY372" s="83"/>
      <c r="AZ372" s="83"/>
      <c r="BA372" s="82"/>
      <c r="BB372" s="84"/>
      <c r="BC372" s="84"/>
      <c r="BD372" s="84"/>
    </row>
    <row r="373" spans="22:56" ht="16" x14ac:dyDescent="0.4">
      <c r="V373" s="97"/>
      <c r="W373" s="16"/>
      <c r="X373" s="89"/>
      <c r="Z373" s="50"/>
      <c r="AA373" s="50"/>
      <c r="AD373" s="100"/>
      <c r="AE373" s="93">
        <f t="shared" si="40"/>
        <v>0</v>
      </c>
      <c r="AF373" s="16"/>
      <c r="AG373" s="103">
        <f t="shared" si="39"/>
        <v>0</v>
      </c>
      <c r="AH373" s="37">
        <f t="shared" si="41"/>
        <v>0</v>
      </c>
      <c r="AJ373" s="34"/>
      <c r="AK373" s="34"/>
      <c r="AL373" s="82"/>
      <c r="AN373" s="83"/>
      <c r="AO373" s="83"/>
      <c r="AP373" s="82"/>
      <c r="AQ373" s="84"/>
      <c r="AR373" s="84"/>
      <c r="AS373" s="84"/>
      <c r="AU373" s="34"/>
      <c r="AV373" s="34"/>
      <c r="AW373" s="82"/>
      <c r="AY373" s="83"/>
      <c r="AZ373" s="83"/>
      <c r="BA373" s="82"/>
      <c r="BB373" s="84"/>
      <c r="BC373" s="84"/>
      <c r="BD373" s="84"/>
    </row>
    <row r="374" spans="22:56" ht="16" x14ac:dyDescent="0.4">
      <c r="V374" s="97"/>
      <c r="W374" s="16"/>
      <c r="X374" s="89"/>
      <c r="Z374" s="50"/>
      <c r="AA374" s="50"/>
      <c r="AD374" s="100"/>
      <c r="AE374" s="93">
        <f t="shared" si="40"/>
        <v>0</v>
      </c>
      <c r="AF374" s="16"/>
      <c r="AG374" s="103">
        <f t="shared" si="39"/>
        <v>0</v>
      </c>
      <c r="AH374" s="37">
        <f t="shared" si="41"/>
        <v>0</v>
      </c>
      <c r="AJ374" s="34"/>
      <c r="AK374" s="34"/>
      <c r="AL374" s="82"/>
      <c r="AN374" s="83"/>
      <c r="AO374" s="83"/>
      <c r="AP374" s="82"/>
      <c r="AQ374" s="84"/>
      <c r="AR374" s="84"/>
      <c r="AS374" s="84"/>
      <c r="AU374" s="34"/>
      <c r="AV374" s="34"/>
      <c r="AW374" s="82"/>
      <c r="AY374" s="83"/>
      <c r="AZ374" s="83"/>
      <c r="BA374" s="82"/>
      <c r="BB374" s="84"/>
      <c r="BC374" s="84"/>
      <c r="BD374" s="84"/>
    </row>
    <row r="375" spans="22:56" ht="16" x14ac:dyDescent="0.4">
      <c r="V375" s="97"/>
      <c r="W375" s="16"/>
      <c r="X375" s="89"/>
      <c r="Z375" s="50"/>
      <c r="AA375" s="50"/>
      <c r="AD375" s="100"/>
      <c r="AE375" s="93">
        <f t="shared" si="40"/>
        <v>0</v>
      </c>
      <c r="AF375" s="16"/>
      <c r="AG375" s="103">
        <f t="shared" si="39"/>
        <v>0</v>
      </c>
      <c r="AH375" s="37">
        <f t="shared" si="41"/>
        <v>0</v>
      </c>
      <c r="AJ375" s="34"/>
      <c r="AK375" s="34"/>
      <c r="AL375" s="82"/>
      <c r="AN375" s="83"/>
      <c r="AO375" s="83"/>
      <c r="AP375" s="82"/>
      <c r="AQ375" s="84"/>
      <c r="AR375" s="84"/>
      <c r="AS375" s="84"/>
      <c r="AU375" s="34"/>
      <c r="AV375" s="34"/>
      <c r="AW375" s="82"/>
      <c r="AY375" s="83"/>
      <c r="AZ375" s="83"/>
      <c r="BA375" s="82"/>
      <c r="BB375" s="84"/>
      <c r="BC375" s="84"/>
      <c r="BD375" s="84"/>
    </row>
    <row r="376" spans="22:56" ht="16" x14ac:dyDescent="0.4">
      <c r="V376" s="97"/>
      <c r="W376" s="16"/>
      <c r="X376" s="89"/>
      <c r="Z376" s="50"/>
      <c r="AA376" s="50"/>
      <c r="AD376" s="100"/>
      <c r="AE376" s="93">
        <f t="shared" si="40"/>
        <v>0</v>
      </c>
      <c r="AF376" s="16"/>
      <c r="AG376" s="103">
        <f t="shared" si="39"/>
        <v>0</v>
      </c>
      <c r="AH376" s="37">
        <f t="shared" si="41"/>
        <v>0</v>
      </c>
      <c r="AJ376" s="34"/>
      <c r="AK376" s="34"/>
      <c r="AL376" s="82"/>
      <c r="AN376" s="83"/>
      <c r="AO376" s="83"/>
      <c r="AP376" s="82"/>
      <c r="AQ376" s="84"/>
      <c r="AR376" s="84"/>
      <c r="AS376" s="84"/>
      <c r="AU376" s="34"/>
      <c r="AV376" s="34"/>
      <c r="AW376" s="82"/>
      <c r="AY376" s="83"/>
      <c r="AZ376" s="83"/>
      <c r="BA376" s="82"/>
      <c r="BB376" s="84"/>
      <c r="BC376" s="84"/>
      <c r="BD376" s="84"/>
    </row>
    <row r="377" spans="22:56" ht="16" x14ac:dyDescent="0.4">
      <c r="V377" s="97"/>
      <c r="W377" s="16"/>
      <c r="X377" s="89"/>
      <c r="Z377" s="50"/>
      <c r="AA377" s="50"/>
      <c r="AD377" s="100"/>
      <c r="AE377" s="93">
        <f t="shared" si="40"/>
        <v>0</v>
      </c>
      <c r="AF377" s="16"/>
      <c r="AG377" s="103">
        <f t="shared" si="39"/>
        <v>0</v>
      </c>
      <c r="AH377" s="37">
        <f t="shared" si="41"/>
        <v>0</v>
      </c>
      <c r="AJ377" s="34"/>
      <c r="AK377" s="34"/>
      <c r="AL377" s="82"/>
      <c r="AN377" s="83"/>
      <c r="AO377" s="83"/>
      <c r="AP377" s="82"/>
      <c r="AQ377" s="84"/>
      <c r="AR377" s="84"/>
      <c r="AS377" s="84"/>
      <c r="AU377" s="34"/>
      <c r="AV377" s="34"/>
      <c r="AW377" s="82"/>
      <c r="AY377" s="83"/>
      <c r="AZ377" s="83"/>
      <c r="BA377" s="82"/>
      <c r="BB377" s="84"/>
      <c r="BC377" s="84"/>
      <c r="BD377" s="84"/>
    </row>
    <row r="378" spans="22:56" ht="16" x14ac:dyDescent="0.4">
      <c r="V378" s="97"/>
      <c r="W378" s="16"/>
      <c r="X378" s="89"/>
      <c r="Z378" s="50"/>
      <c r="AA378" s="50"/>
      <c r="AD378" s="100"/>
      <c r="AE378" s="93">
        <f t="shared" si="40"/>
        <v>0</v>
      </c>
      <c r="AF378" s="16"/>
      <c r="AG378" s="103">
        <f t="shared" si="39"/>
        <v>0</v>
      </c>
      <c r="AH378" s="37">
        <f t="shared" si="41"/>
        <v>0</v>
      </c>
      <c r="AJ378" s="34"/>
      <c r="AK378" s="34"/>
      <c r="AL378" s="82"/>
      <c r="AN378" s="83"/>
      <c r="AO378" s="83"/>
      <c r="AP378" s="82"/>
      <c r="AQ378" s="84"/>
      <c r="AR378" s="84"/>
      <c r="AS378" s="84"/>
      <c r="AU378" s="34"/>
      <c r="AV378" s="34"/>
      <c r="AW378" s="82"/>
      <c r="AY378" s="83"/>
      <c r="AZ378" s="83"/>
      <c r="BA378" s="82"/>
      <c r="BB378" s="84"/>
      <c r="BC378" s="84"/>
      <c r="BD378" s="84"/>
    </row>
    <row r="379" spans="22:56" ht="16" x14ac:dyDescent="0.4">
      <c r="V379" s="97"/>
      <c r="W379" s="16"/>
      <c r="X379" s="89"/>
      <c r="Z379" s="50"/>
      <c r="AA379" s="50"/>
      <c r="AD379" s="100"/>
      <c r="AE379" s="93">
        <f t="shared" si="40"/>
        <v>0</v>
      </c>
      <c r="AF379" s="16"/>
      <c r="AG379" s="103">
        <f t="shared" si="39"/>
        <v>0</v>
      </c>
      <c r="AH379" s="37">
        <f t="shared" si="41"/>
        <v>0</v>
      </c>
      <c r="AJ379" s="34"/>
      <c r="AK379" s="34"/>
      <c r="AL379" s="82"/>
      <c r="AN379" s="83"/>
      <c r="AO379" s="83"/>
      <c r="AP379" s="82"/>
      <c r="AQ379" s="84"/>
      <c r="AR379" s="84"/>
      <c r="AS379" s="84"/>
      <c r="AU379" s="34"/>
      <c r="AV379" s="34"/>
      <c r="AW379" s="82"/>
      <c r="AY379" s="83"/>
      <c r="AZ379" s="83"/>
      <c r="BA379" s="82"/>
      <c r="BB379" s="84"/>
      <c r="BC379" s="84"/>
      <c r="BD379" s="84"/>
    </row>
    <row r="380" spans="22:56" ht="16" x14ac:dyDescent="0.4">
      <c r="V380" s="97"/>
      <c r="W380" s="16"/>
      <c r="X380" s="89"/>
      <c r="Z380" s="50"/>
      <c r="AA380" s="50"/>
      <c r="AD380" s="100"/>
      <c r="AE380" s="93">
        <f t="shared" si="40"/>
        <v>0</v>
      </c>
      <c r="AF380" s="16"/>
      <c r="AG380" s="103">
        <f t="shared" si="39"/>
        <v>0</v>
      </c>
      <c r="AH380" s="37">
        <f t="shared" si="41"/>
        <v>0</v>
      </c>
      <c r="AJ380" s="34"/>
      <c r="AK380" s="34"/>
      <c r="AL380" s="82"/>
      <c r="AN380" s="83"/>
      <c r="AO380" s="83"/>
      <c r="AP380" s="82"/>
      <c r="AQ380" s="84"/>
      <c r="AR380" s="84"/>
      <c r="AS380" s="84"/>
      <c r="AU380" s="34"/>
      <c r="AV380" s="34"/>
      <c r="AW380" s="82"/>
      <c r="AY380" s="83"/>
      <c r="AZ380" s="83"/>
      <c r="BA380" s="82"/>
      <c r="BB380" s="84"/>
      <c r="BC380" s="84"/>
      <c r="BD380" s="84"/>
    </row>
    <row r="381" spans="22:56" ht="16" x14ac:dyDescent="0.4">
      <c r="V381" s="97"/>
      <c r="W381" s="16"/>
      <c r="X381" s="89"/>
      <c r="Z381" s="50"/>
      <c r="AA381" s="50"/>
      <c r="AD381" s="100"/>
      <c r="AE381" s="93">
        <f t="shared" si="40"/>
        <v>0</v>
      </c>
      <c r="AF381" s="16"/>
      <c r="AG381" s="103">
        <f t="shared" si="39"/>
        <v>0</v>
      </c>
      <c r="AH381" s="37">
        <f t="shared" si="41"/>
        <v>0</v>
      </c>
      <c r="AJ381" s="34"/>
      <c r="AK381" s="34"/>
      <c r="AL381" s="82"/>
      <c r="AN381" s="83"/>
      <c r="AO381" s="83"/>
      <c r="AP381" s="82"/>
      <c r="AQ381" s="84"/>
      <c r="AR381" s="84"/>
      <c r="AS381" s="84"/>
      <c r="AU381" s="34"/>
      <c r="AV381" s="34"/>
      <c r="AW381" s="82"/>
      <c r="AY381" s="83"/>
      <c r="AZ381" s="83"/>
      <c r="BA381" s="82"/>
      <c r="BB381" s="84"/>
      <c r="BC381" s="84"/>
      <c r="BD381" s="84"/>
    </row>
    <row r="382" spans="22:56" ht="16" x14ac:dyDescent="0.4">
      <c r="V382" s="97"/>
      <c r="W382" s="16"/>
      <c r="X382" s="89"/>
      <c r="Z382" s="50"/>
      <c r="AA382" s="50"/>
      <c r="AD382" s="100"/>
      <c r="AE382" s="93">
        <f t="shared" si="40"/>
        <v>0</v>
      </c>
      <c r="AF382" s="16"/>
      <c r="AG382" s="103">
        <f t="shared" si="39"/>
        <v>0</v>
      </c>
      <c r="AH382" s="37">
        <f t="shared" si="41"/>
        <v>0</v>
      </c>
      <c r="AJ382" s="34"/>
      <c r="AK382" s="34"/>
      <c r="AL382" s="82"/>
      <c r="AN382" s="83"/>
      <c r="AO382" s="83"/>
      <c r="AP382" s="82"/>
      <c r="AQ382" s="84"/>
      <c r="AR382" s="84"/>
      <c r="AS382" s="84"/>
      <c r="AU382" s="34"/>
      <c r="AV382" s="34"/>
      <c r="AW382" s="82"/>
      <c r="AY382" s="83"/>
      <c r="AZ382" s="83"/>
      <c r="BA382" s="82"/>
      <c r="BB382" s="84"/>
      <c r="BC382" s="84"/>
      <c r="BD382" s="84"/>
    </row>
    <row r="383" spans="22:56" ht="16" x14ac:dyDescent="0.4">
      <c r="V383" s="97"/>
      <c r="W383" s="16"/>
      <c r="X383" s="89"/>
      <c r="Z383" s="50"/>
      <c r="AA383" s="50"/>
      <c r="AD383" s="100"/>
      <c r="AE383" s="93">
        <f t="shared" si="40"/>
        <v>0</v>
      </c>
      <c r="AF383" s="16"/>
      <c r="AG383" s="103">
        <f t="shared" si="39"/>
        <v>0</v>
      </c>
      <c r="AH383" s="37">
        <f t="shared" si="41"/>
        <v>0</v>
      </c>
      <c r="AJ383" s="34"/>
      <c r="AK383" s="34"/>
      <c r="AL383" s="82"/>
      <c r="AN383" s="83"/>
      <c r="AO383" s="83"/>
      <c r="AP383" s="82"/>
      <c r="AQ383" s="84"/>
      <c r="AR383" s="84"/>
      <c r="AS383" s="84"/>
      <c r="AU383" s="34"/>
      <c r="AV383" s="34"/>
      <c r="AW383" s="82"/>
      <c r="AY383" s="83"/>
      <c r="AZ383" s="83"/>
      <c r="BA383" s="82"/>
      <c r="BB383" s="84"/>
      <c r="BC383" s="84"/>
      <c r="BD383" s="84"/>
    </row>
    <row r="384" spans="22:56" ht="16" x14ac:dyDescent="0.4">
      <c r="V384" s="97"/>
      <c r="W384" s="16"/>
      <c r="X384" s="89"/>
      <c r="Z384" s="50"/>
      <c r="AA384" s="50"/>
      <c r="AD384" s="100"/>
      <c r="AE384" s="93">
        <f t="shared" si="40"/>
        <v>0</v>
      </c>
      <c r="AF384" s="16"/>
      <c r="AG384" s="103">
        <f t="shared" si="39"/>
        <v>0</v>
      </c>
      <c r="AH384" s="37">
        <f t="shared" si="41"/>
        <v>0</v>
      </c>
      <c r="AJ384" s="34"/>
      <c r="AK384" s="34"/>
      <c r="AL384" s="82"/>
      <c r="AN384" s="83"/>
      <c r="AO384" s="83"/>
      <c r="AP384" s="82"/>
      <c r="AQ384" s="84"/>
      <c r="AR384" s="84"/>
      <c r="AS384" s="84"/>
      <c r="AU384" s="34"/>
      <c r="AV384" s="34"/>
      <c r="AW384" s="82"/>
      <c r="AY384" s="83"/>
      <c r="AZ384" s="83"/>
      <c r="BA384" s="82"/>
      <c r="BB384" s="84"/>
      <c r="BC384" s="84"/>
      <c r="BD384" s="84"/>
    </row>
    <row r="385" spans="22:56" ht="16" x14ac:dyDescent="0.4">
      <c r="V385" s="97"/>
      <c r="W385" s="16"/>
      <c r="X385" s="89"/>
      <c r="Z385" s="50"/>
      <c r="AA385" s="50"/>
      <c r="AD385" s="100"/>
      <c r="AE385" s="93">
        <f t="shared" si="40"/>
        <v>0</v>
      </c>
      <c r="AF385" s="16"/>
      <c r="AG385" s="103">
        <f t="shared" ref="AG385:AG448" si="42">IF($AF385&gt;14,14,$AF385)</f>
        <v>0</v>
      </c>
      <c r="AH385" s="37">
        <f t="shared" si="41"/>
        <v>0</v>
      </c>
      <c r="AJ385" s="34"/>
      <c r="AK385" s="34"/>
      <c r="AL385" s="82"/>
      <c r="AN385" s="83"/>
      <c r="AO385" s="83"/>
      <c r="AP385" s="82"/>
      <c r="AQ385" s="84"/>
      <c r="AR385" s="84"/>
      <c r="AS385" s="84"/>
      <c r="AU385" s="34"/>
      <c r="AV385" s="34"/>
      <c r="AW385" s="82"/>
      <c r="AY385" s="83"/>
      <c r="AZ385" s="83"/>
      <c r="BA385" s="82"/>
      <c r="BB385" s="84"/>
      <c r="BC385" s="84"/>
      <c r="BD385" s="84"/>
    </row>
    <row r="386" spans="22:56" ht="16" x14ac:dyDescent="0.4">
      <c r="V386" s="97"/>
      <c r="W386" s="16"/>
      <c r="X386" s="89"/>
      <c r="Z386" s="50"/>
      <c r="AA386" s="50"/>
      <c r="AD386" s="100"/>
      <c r="AE386" s="93">
        <f t="shared" ref="AE386:AE449" si="43">AD386/1000</f>
        <v>0</v>
      </c>
      <c r="AF386" s="16"/>
      <c r="AG386" s="103">
        <f t="shared" si="42"/>
        <v>0</v>
      </c>
      <c r="AH386" s="37">
        <f t="shared" ref="AH386:AH449" si="44">AE386*AG386/14</f>
        <v>0</v>
      </c>
      <c r="AJ386" s="34"/>
      <c r="AK386" s="34"/>
      <c r="AL386" s="82"/>
      <c r="AN386" s="83"/>
      <c r="AO386" s="83"/>
      <c r="AP386" s="82"/>
      <c r="AQ386" s="84"/>
      <c r="AR386" s="84"/>
      <c r="AS386" s="84"/>
      <c r="AU386" s="34"/>
      <c r="AV386" s="34"/>
      <c r="AW386" s="82"/>
      <c r="AY386" s="83"/>
      <c r="AZ386" s="83"/>
      <c r="BA386" s="82"/>
      <c r="BB386" s="84"/>
      <c r="BC386" s="84"/>
      <c r="BD386" s="84"/>
    </row>
    <row r="387" spans="22:56" ht="16" x14ac:dyDescent="0.4">
      <c r="V387" s="97"/>
      <c r="W387" s="16"/>
      <c r="X387" s="89"/>
      <c r="Z387" s="50"/>
      <c r="AA387" s="50"/>
      <c r="AD387" s="100"/>
      <c r="AE387" s="93">
        <f t="shared" si="43"/>
        <v>0</v>
      </c>
      <c r="AF387" s="16"/>
      <c r="AG387" s="103">
        <f t="shared" si="42"/>
        <v>0</v>
      </c>
      <c r="AH387" s="37">
        <f t="shared" si="44"/>
        <v>0</v>
      </c>
      <c r="AJ387" s="34"/>
      <c r="AK387" s="34"/>
      <c r="AL387" s="82"/>
      <c r="AN387" s="83"/>
      <c r="AO387" s="83"/>
      <c r="AP387" s="82"/>
      <c r="AQ387" s="84"/>
      <c r="AR387" s="84"/>
      <c r="AS387" s="84"/>
      <c r="AU387" s="34"/>
      <c r="AV387" s="34"/>
      <c r="AW387" s="82"/>
      <c r="AY387" s="83"/>
      <c r="AZ387" s="83"/>
      <c r="BA387" s="82"/>
      <c r="BB387" s="84"/>
      <c r="BC387" s="84"/>
      <c r="BD387" s="84"/>
    </row>
    <row r="388" spans="22:56" ht="16" x14ac:dyDescent="0.4">
      <c r="V388" s="97"/>
      <c r="W388" s="16"/>
      <c r="X388" s="89"/>
      <c r="Z388" s="50"/>
      <c r="AA388" s="50"/>
      <c r="AD388" s="100"/>
      <c r="AE388" s="93">
        <f t="shared" si="43"/>
        <v>0</v>
      </c>
      <c r="AF388" s="16"/>
      <c r="AG388" s="103">
        <f t="shared" si="42"/>
        <v>0</v>
      </c>
      <c r="AH388" s="37">
        <f t="shared" si="44"/>
        <v>0</v>
      </c>
      <c r="AJ388" s="34"/>
      <c r="AK388" s="34"/>
      <c r="AL388" s="82"/>
      <c r="AN388" s="83"/>
      <c r="AO388" s="83"/>
      <c r="AP388" s="82"/>
      <c r="AQ388" s="84"/>
      <c r="AR388" s="84"/>
      <c r="AS388" s="84"/>
      <c r="AU388" s="34"/>
      <c r="AV388" s="34"/>
      <c r="AW388" s="82"/>
      <c r="AY388" s="83"/>
      <c r="AZ388" s="83"/>
      <c r="BA388" s="82"/>
      <c r="BB388" s="84"/>
      <c r="BC388" s="84"/>
      <c r="BD388" s="84"/>
    </row>
    <row r="389" spans="22:56" ht="16" x14ac:dyDescent="0.4">
      <c r="V389" s="97"/>
      <c r="W389" s="16"/>
      <c r="X389" s="89"/>
      <c r="Z389" s="50"/>
      <c r="AA389" s="50"/>
      <c r="AD389" s="100"/>
      <c r="AE389" s="93">
        <f t="shared" si="43"/>
        <v>0</v>
      </c>
      <c r="AF389" s="16"/>
      <c r="AG389" s="103">
        <f t="shared" si="42"/>
        <v>0</v>
      </c>
      <c r="AH389" s="37">
        <f t="shared" si="44"/>
        <v>0</v>
      </c>
      <c r="AJ389" s="34"/>
      <c r="AK389" s="34"/>
      <c r="AL389" s="82"/>
      <c r="AN389" s="83"/>
      <c r="AO389" s="83"/>
      <c r="AP389" s="82"/>
      <c r="AQ389" s="84"/>
      <c r="AR389" s="84"/>
      <c r="AS389" s="84"/>
      <c r="AU389" s="34"/>
      <c r="AV389" s="34"/>
      <c r="AW389" s="82"/>
      <c r="AY389" s="83"/>
      <c r="AZ389" s="83"/>
      <c r="BA389" s="82"/>
      <c r="BB389" s="84"/>
      <c r="BC389" s="84"/>
      <c r="BD389" s="84"/>
    </row>
    <row r="390" spans="22:56" ht="16" x14ac:dyDescent="0.4">
      <c r="V390" s="97"/>
      <c r="W390" s="16"/>
      <c r="X390" s="89"/>
      <c r="Z390" s="50"/>
      <c r="AA390" s="50"/>
      <c r="AD390" s="100"/>
      <c r="AE390" s="93">
        <f t="shared" si="43"/>
        <v>0</v>
      </c>
      <c r="AF390" s="16"/>
      <c r="AG390" s="103">
        <f t="shared" si="42"/>
        <v>0</v>
      </c>
      <c r="AH390" s="37">
        <f t="shared" si="44"/>
        <v>0</v>
      </c>
      <c r="AJ390" s="34"/>
      <c r="AK390" s="34"/>
      <c r="AL390" s="82"/>
      <c r="AN390" s="83"/>
      <c r="AO390" s="83"/>
      <c r="AP390" s="82"/>
      <c r="AQ390" s="84"/>
      <c r="AR390" s="84"/>
      <c r="AS390" s="84"/>
      <c r="AU390" s="34"/>
      <c r="AV390" s="34"/>
      <c r="AW390" s="82"/>
      <c r="AY390" s="83"/>
      <c r="AZ390" s="83"/>
      <c r="BA390" s="82"/>
      <c r="BB390" s="84"/>
      <c r="BC390" s="84"/>
      <c r="BD390" s="84"/>
    </row>
    <row r="391" spans="22:56" ht="16" x14ac:dyDescent="0.4">
      <c r="V391" s="97"/>
      <c r="W391" s="16"/>
      <c r="X391" s="89"/>
      <c r="Z391" s="50"/>
      <c r="AA391" s="50"/>
      <c r="AD391" s="100"/>
      <c r="AE391" s="93">
        <f t="shared" si="43"/>
        <v>0</v>
      </c>
      <c r="AF391" s="16"/>
      <c r="AG391" s="103">
        <f t="shared" si="42"/>
        <v>0</v>
      </c>
      <c r="AH391" s="37">
        <f t="shared" si="44"/>
        <v>0</v>
      </c>
      <c r="AJ391" s="34"/>
      <c r="AK391" s="34"/>
      <c r="AL391" s="82"/>
      <c r="AN391" s="83"/>
      <c r="AO391" s="83"/>
      <c r="AP391" s="82"/>
      <c r="AQ391" s="84"/>
      <c r="AR391" s="84"/>
      <c r="AS391" s="84"/>
      <c r="AU391" s="34"/>
      <c r="AV391" s="34"/>
      <c r="AW391" s="82"/>
      <c r="AY391" s="83"/>
      <c r="AZ391" s="83"/>
      <c r="BA391" s="82"/>
      <c r="BB391" s="84"/>
      <c r="BC391" s="84"/>
      <c r="BD391" s="84"/>
    </row>
    <row r="392" spans="22:56" ht="16" x14ac:dyDescent="0.4">
      <c r="V392" s="97"/>
      <c r="W392" s="16"/>
      <c r="X392" s="89"/>
      <c r="Z392" s="50"/>
      <c r="AA392" s="50"/>
      <c r="AD392" s="100"/>
      <c r="AE392" s="93">
        <f t="shared" si="43"/>
        <v>0</v>
      </c>
      <c r="AF392" s="16"/>
      <c r="AG392" s="103">
        <f t="shared" si="42"/>
        <v>0</v>
      </c>
      <c r="AH392" s="37">
        <f t="shared" si="44"/>
        <v>0</v>
      </c>
      <c r="AJ392" s="34"/>
      <c r="AK392" s="34"/>
      <c r="AL392" s="82"/>
      <c r="AN392" s="83"/>
      <c r="AO392" s="83"/>
      <c r="AP392" s="82"/>
      <c r="AQ392" s="84"/>
      <c r="AR392" s="84"/>
      <c r="AS392" s="84"/>
      <c r="AU392" s="34"/>
      <c r="AV392" s="34"/>
      <c r="AW392" s="82"/>
      <c r="AY392" s="83"/>
      <c r="AZ392" s="83"/>
      <c r="BA392" s="82"/>
      <c r="BB392" s="84"/>
      <c r="BC392" s="84"/>
      <c r="BD392" s="84"/>
    </row>
    <row r="393" spans="22:56" ht="16" x14ac:dyDescent="0.4">
      <c r="V393" s="97"/>
      <c r="W393" s="16"/>
      <c r="X393" s="89"/>
      <c r="Z393" s="50"/>
      <c r="AA393" s="50"/>
      <c r="AD393" s="48"/>
      <c r="AE393" s="93">
        <f t="shared" si="43"/>
        <v>0</v>
      </c>
      <c r="AF393" s="16"/>
      <c r="AG393" s="103">
        <f t="shared" si="42"/>
        <v>0</v>
      </c>
      <c r="AH393" s="37">
        <f t="shared" si="44"/>
        <v>0</v>
      </c>
      <c r="AJ393" s="34"/>
      <c r="AK393" s="34"/>
      <c r="AL393" s="82"/>
      <c r="AN393" s="83"/>
      <c r="AO393" s="83"/>
      <c r="AP393" s="82"/>
      <c r="AQ393" s="84"/>
      <c r="AR393" s="84"/>
      <c r="AS393" s="84"/>
      <c r="AU393" s="34"/>
      <c r="AV393" s="34"/>
      <c r="AW393" s="82"/>
      <c r="AY393" s="83"/>
      <c r="AZ393" s="83"/>
      <c r="BA393" s="82"/>
      <c r="BB393" s="84"/>
      <c r="BC393" s="84"/>
      <c r="BD393" s="84"/>
    </row>
    <row r="394" spans="22:56" ht="16" x14ac:dyDescent="0.4">
      <c r="V394" s="97"/>
      <c r="W394" s="16"/>
      <c r="X394" s="89"/>
      <c r="Z394" s="50"/>
      <c r="AA394" s="50"/>
      <c r="AD394" s="48"/>
      <c r="AE394" s="93">
        <f t="shared" si="43"/>
        <v>0</v>
      </c>
      <c r="AF394" s="16"/>
      <c r="AG394" s="103">
        <f t="shared" si="42"/>
        <v>0</v>
      </c>
      <c r="AH394" s="37">
        <f t="shared" si="44"/>
        <v>0</v>
      </c>
      <c r="AJ394" s="34"/>
      <c r="AK394" s="34"/>
      <c r="AL394" s="82"/>
      <c r="AN394" s="83"/>
      <c r="AO394" s="83"/>
      <c r="AP394" s="82"/>
      <c r="AQ394" s="84"/>
      <c r="AR394" s="84"/>
      <c r="AS394" s="84"/>
      <c r="AU394" s="34"/>
      <c r="AV394" s="34"/>
      <c r="AW394" s="82"/>
      <c r="AY394" s="83"/>
      <c r="AZ394" s="83"/>
      <c r="BA394" s="82"/>
      <c r="BB394" s="84"/>
      <c r="BC394" s="84"/>
      <c r="BD394" s="84"/>
    </row>
    <row r="395" spans="22:56" ht="16" x14ac:dyDescent="0.4">
      <c r="V395" s="97"/>
      <c r="W395" s="16"/>
      <c r="X395" s="89"/>
      <c r="Z395" s="50"/>
      <c r="AA395" s="50"/>
      <c r="AD395" s="48"/>
      <c r="AE395" s="93">
        <f t="shared" si="43"/>
        <v>0</v>
      </c>
      <c r="AF395" s="16"/>
      <c r="AG395" s="103">
        <f t="shared" si="42"/>
        <v>0</v>
      </c>
      <c r="AH395" s="37">
        <f t="shared" si="44"/>
        <v>0</v>
      </c>
      <c r="AJ395" s="34"/>
      <c r="AK395" s="34"/>
      <c r="AL395" s="82"/>
      <c r="AN395" s="83"/>
      <c r="AO395" s="83"/>
      <c r="AP395" s="82"/>
      <c r="AQ395" s="84"/>
      <c r="AR395" s="84"/>
      <c r="AS395" s="84"/>
      <c r="AU395" s="34"/>
      <c r="AV395" s="34"/>
      <c r="AW395" s="82"/>
      <c r="AY395" s="83"/>
      <c r="AZ395" s="83"/>
      <c r="BA395" s="82"/>
      <c r="BB395" s="84"/>
      <c r="BC395" s="84"/>
      <c r="BD395" s="84"/>
    </row>
    <row r="396" spans="22:56" ht="16" x14ac:dyDescent="0.4">
      <c r="V396" s="97"/>
      <c r="W396" s="16"/>
      <c r="X396" s="89"/>
      <c r="Z396" s="50"/>
      <c r="AA396" s="50"/>
      <c r="AD396" s="48"/>
      <c r="AE396" s="93">
        <f t="shared" si="43"/>
        <v>0</v>
      </c>
      <c r="AF396" s="16"/>
      <c r="AG396" s="103">
        <f t="shared" si="42"/>
        <v>0</v>
      </c>
      <c r="AH396" s="37">
        <f t="shared" si="44"/>
        <v>0</v>
      </c>
      <c r="AJ396" s="34"/>
      <c r="AK396" s="34"/>
      <c r="AL396" s="82"/>
      <c r="AN396" s="83"/>
      <c r="AO396" s="83"/>
      <c r="AP396" s="82"/>
      <c r="AQ396" s="84"/>
      <c r="AR396" s="84"/>
      <c r="AS396" s="84"/>
      <c r="AU396" s="34"/>
      <c r="AV396" s="34"/>
      <c r="AW396" s="82"/>
      <c r="AY396" s="83"/>
      <c r="AZ396" s="83"/>
      <c r="BA396" s="82"/>
      <c r="BB396" s="84"/>
      <c r="BC396" s="84"/>
      <c r="BD396" s="84"/>
    </row>
    <row r="397" spans="22:56" ht="16" x14ac:dyDescent="0.4">
      <c r="V397" s="97"/>
      <c r="W397" s="16"/>
      <c r="X397" s="89"/>
      <c r="Z397" s="50"/>
      <c r="AA397" s="50"/>
      <c r="AD397" s="48"/>
      <c r="AE397" s="93">
        <f t="shared" si="43"/>
        <v>0</v>
      </c>
      <c r="AF397" s="16"/>
      <c r="AG397" s="103">
        <f t="shared" si="42"/>
        <v>0</v>
      </c>
      <c r="AH397" s="37">
        <f t="shared" si="44"/>
        <v>0</v>
      </c>
      <c r="AJ397" s="34"/>
      <c r="AK397" s="34"/>
      <c r="AL397" s="82"/>
      <c r="AN397" s="83"/>
      <c r="AO397" s="83"/>
      <c r="AP397" s="82"/>
      <c r="AQ397" s="84"/>
      <c r="AR397" s="84"/>
      <c r="AS397" s="84"/>
      <c r="AU397" s="34"/>
      <c r="AV397" s="34"/>
      <c r="AW397" s="82"/>
      <c r="AY397" s="83"/>
      <c r="AZ397" s="83"/>
      <c r="BA397" s="82"/>
      <c r="BB397" s="84"/>
      <c r="BC397" s="84"/>
      <c r="BD397" s="84"/>
    </row>
    <row r="398" spans="22:56" ht="16" x14ac:dyDescent="0.4">
      <c r="V398" s="97"/>
      <c r="W398" s="16"/>
      <c r="X398" s="89"/>
      <c r="Z398" s="50"/>
      <c r="AA398" s="50"/>
      <c r="AD398" s="48"/>
      <c r="AE398" s="93">
        <f t="shared" si="43"/>
        <v>0</v>
      </c>
      <c r="AF398" s="16"/>
      <c r="AG398" s="103">
        <f t="shared" si="42"/>
        <v>0</v>
      </c>
      <c r="AH398" s="37">
        <f t="shared" si="44"/>
        <v>0</v>
      </c>
      <c r="AJ398" s="85"/>
      <c r="AK398" s="86"/>
      <c r="AL398" s="82"/>
      <c r="AP398" s="86"/>
      <c r="AS398" s="84"/>
      <c r="AU398" s="85"/>
      <c r="AV398" s="86"/>
      <c r="AW398" s="82"/>
      <c r="BA398" s="86"/>
      <c r="BD398" s="84"/>
    </row>
    <row r="399" spans="22:56" ht="16" x14ac:dyDescent="0.4">
      <c r="V399" s="97"/>
      <c r="W399" s="16"/>
      <c r="X399" s="89"/>
      <c r="Z399" s="50"/>
      <c r="AA399" s="50"/>
      <c r="AD399" s="48"/>
      <c r="AE399" s="93">
        <f t="shared" si="43"/>
        <v>0</v>
      </c>
      <c r="AF399" s="16"/>
      <c r="AG399" s="103">
        <f t="shared" si="42"/>
        <v>0</v>
      </c>
      <c r="AH399" s="37">
        <f t="shared" si="44"/>
        <v>0</v>
      </c>
      <c r="AJ399" s="85"/>
      <c r="AK399" s="86"/>
      <c r="AL399" s="82"/>
      <c r="AP399" s="86"/>
      <c r="AS399" s="84"/>
      <c r="AU399" s="85"/>
      <c r="AV399" s="86"/>
      <c r="AW399" s="82"/>
      <c r="BA399" s="86"/>
      <c r="BD399" s="84"/>
    </row>
    <row r="400" spans="22:56" ht="16" x14ac:dyDescent="0.4">
      <c r="V400" s="97"/>
      <c r="W400" s="16"/>
      <c r="X400" s="89"/>
      <c r="Z400" s="50"/>
      <c r="AA400" s="50"/>
      <c r="AD400" s="48"/>
      <c r="AE400" s="93">
        <f t="shared" si="43"/>
        <v>0</v>
      </c>
      <c r="AF400" s="16"/>
      <c r="AG400" s="103">
        <f t="shared" si="42"/>
        <v>0</v>
      </c>
      <c r="AH400" s="37">
        <f t="shared" si="44"/>
        <v>0</v>
      </c>
      <c r="AJ400" s="85"/>
      <c r="AK400" s="86"/>
      <c r="AL400" s="82"/>
      <c r="AP400" s="86"/>
      <c r="AU400" s="85"/>
      <c r="AV400" s="86"/>
      <c r="AW400" s="82"/>
      <c r="BA400" s="86"/>
    </row>
    <row r="401" spans="22:53" ht="16" x14ac:dyDescent="0.4">
      <c r="V401" s="97"/>
      <c r="W401" s="16"/>
      <c r="X401" s="89"/>
      <c r="Z401" s="50"/>
      <c r="AA401" s="50"/>
      <c r="AD401" s="48"/>
      <c r="AE401" s="93">
        <f t="shared" si="43"/>
        <v>0</v>
      </c>
      <c r="AF401" s="16"/>
      <c r="AG401" s="103">
        <f t="shared" si="42"/>
        <v>0</v>
      </c>
      <c r="AH401" s="37">
        <f t="shared" si="44"/>
        <v>0</v>
      </c>
      <c r="AJ401" s="85"/>
      <c r="AK401" s="86"/>
      <c r="AL401" s="82"/>
      <c r="AP401" s="86"/>
      <c r="AU401" s="85"/>
      <c r="AV401" s="86"/>
      <c r="AW401" s="82"/>
      <c r="BA401" s="86"/>
    </row>
    <row r="402" spans="22:53" ht="16" x14ac:dyDescent="0.4">
      <c r="V402" s="97"/>
      <c r="W402" s="16"/>
      <c r="X402" s="89"/>
      <c r="Z402" s="50"/>
      <c r="AA402" s="50"/>
      <c r="AD402" s="48"/>
      <c r="AE402" s="93">
        <f t="shared" si="43"/>
        <v>0</v>
      </c>
      <c r="AF402" s="16"/>
      <c r="AG402" s="103">
        <f t="shared" si="42"/>
        <v>0</v>
      </c>
      <c r="AH402" s="37">
        <f t="shared" si="44"/>
        <v>0</v>
      </c>
      <c r="AJ402" s="87"/>
      <c r="AK402" s="82"/>
      <c r="AL402" s="82"/>
      <c r="AP402" s="82"/>
      <c r="AU402" s="87"/>
      <c r="AV402" s="82"/>
      <c r="AW402" s="82"/>
      <c r="BA402" s="82"/>
    </row>
    <row r="403" spans="22:53" ht="16" x14ac:dyDescent="0.4">
      <c r="V403" s="97"/>
      <c r="W403" s="16"/>
      <c r="X403" s="89"/>
      <c r="Z403" s="50"/>
      <c r="AA403" s="50"/>
      <c r="AD403" s="48"/>
      <c r="AE403" s="93">
        <f t="shared" si="43"/>
        <v>0</v>
      </c>
      <c r="AF403" s="16"/>
      <c r="AG403" s="103">
        <f t="shared" si="42"/>
        <v>0</v>
      </c>
      <c r="AH403" s="37">
        <f t="shared" si="44"/>
        <v>0</v>
      </c>
    </row>
    <row r="404" spans="22:53" ht="16" x14ac:dyDescent="0.4">
      <c r="V404" s="97"/>
      <c r="W404" s="16"/>
      <c r="X404" s="89"/>
      <c r="Z404" s="50"/>
      <c r="AA404" s="50"/>
      <c r="AD404" s="48"/>
      <c r="AE404" s="93">
        <f t="shared" si="43"/>
        <v>0</v>
      </c>
      <c r="AF404" s="16"/>
      <c r="AG404" s="103">
        <f t="shared" si="42"/>
        <v>0</v>
      </c>
      <c r="AH404" s="37">
        <f t="shared" si="44"/>
        <v>0</v>
      </c>
    </row>
    <row r="405" spans="22:53" ht="16" x14ac:dyDescent="0.4">
      <c r="V405" s="97"/>
      <c r="W405" s="16"/>
      <c r="X405" s="89"/>
      <c r="Z405" s="50"/>
      <c r="AA405" s="50"/>
      <c r="AD405" s="48"/>
      <c r="AE405" s="93">
        <f t="shared" si="43"/>
        <v>0</v>
      </c>
      <c r="AF405" s="16"/>
      <c r="AG405" s="103">
        <f t="shared" si="42"/>
        <v>0</v>
      </c>
      <c r="AH405" s="37">
        <f t="shared" si="44"/>
        <v>0</v>
      </c>
    </row>
    <row r="406" spans="22:53" ht="16" x14ac:dyDescent="0.4">
      <c r="V406" s="97"/>
      <c r="W406" s="16"/>
      <c r="X406" s="89"/>
      <c r="Z406" s="50"/>
      <c r="AA406" s="50"/>
      <c r="AD406" s="48"/>
      <c r="AE406" s="93">
        <f t="shared" si="43"/>
        <v>0</v>
      </c>
      <c r="AF406" s="16"/>
      <c r="AG406" s="103">
        <f t="shared" si="42"/>
        <v>0</v>
      </c>
      <c r="AH406" s="37">
        <f t="shared" si="44"/>
        <v>0</v>
      </c>
    </row>
    <row r="407" spans="22:53" ht="16" x14ac:dyDescent="0.4">
      <c r="V407" s="97"/>
      <c r="W407" s="16"/>
      <c r="X407" s="89"/>
      <c r="Z407" s="50"/>
      <c r="AA407" s="50"/>
      <c r="AD407" s="48"/>
      <c r="AE407" s="93">
        <f t="shared" si="43"/>
        <v>0</v>
      </c>
      <c r="AF407" s="16"/>
      <c r="AG407" s="103">
        <f t="shared" si="42"/>
        <v>0</v>
      </c>
      <c r="AH407" s="37">
        <f t="shared" si="44"/>
        <v>0</v>
      </c>
      <c r="AJ407" s="34"/>
      <c r="AK407" s="34"/>
      <c r="AU407" s="34"/>
      <c r="AV407" s="34"/>
    </row>
    <row r="408" spans="22:53" ht="16" x14ac:dyDescent="0.4">
      <c r="V408" s="97"/>
      <c r="W408" s="16"/>
      <c r="X408" s="89"/>
      <c r="Z408" s="50"/>
      <c r="AA408" s="50"/>
      <c r="AD408" s="48"/>
      <c r="AE408" s="93">
        <f t="shared" si="43"/>
        <v>0</v>
      </c>
      <c r="AF408" s="16"/>
      <c r="AG408" s="103">
        <f t="shared" si="42"/>
        <v>0</v>
      </c>
      <c r="AH408" s="37">
        <f t="shared" si="44"/>
        <v>0</v>
      </c>
      <c r="AJ408" s="34"/>
      <c r="AK408" s="34"/>
      <c r="AU408" s="34"/>
      <c r="AV408" s="34"/>
    </row>
    <row r="409" spans="22:53" ht="16" x14ac:dyDescent="0.4">
      <c r="V409" s="97"/>
      <c r="W409" s="16"/>
      <c r="X409" s="89"/>
      <c r="Z409" s="50"/>
      <c r="AA409" s="50"/>
      <c r="AD409" s="48"/>
      <c r="AE409" s="93">
        <f t="shared" si="43"/>
        <v>0</v>
      </c>
      <c r="AF409" s="16"/>
      <c r="AG409" s="103">
        <f t="shared" si="42"/>
        <v>0</v>
      </c>
      <c r="AH409" s="37">
        <f t="shared" si="44"/>
        <v>0</v>
      </c>
      <c r="AJ409" s="34"/>
      <c r="AK409" s="34"/>
      <c r="AU409" s="34"/>
      <c r="AV409" s="34"/>
    </row>
    <row r="410" spans="22:53" ht="16" x14ac:dyDescent="0.4">
      <c r="V410" s="97"/>
      <c r="W410" s="16"/>
      <c r="X410" s="89"/>
      <c r="Z410" s="50"/>
      <c r="AA410" s="50"/>
      <c r="AD410" s="48"/>
      <c r="AE410" s="93">
        <f t="shared" si="43"/>
        <v>0</v>
      </c>
      <c r="AF410" s="16"/>
      <c r="AG410" s="103">
        <f t="shared" si="42"/>
        <v>0</v>
      </c>
      <c r="AH410" s="37">
        <f t="shared" si="44"/>
        <v>0</v>
      </c>
      <c r="AJ410" s="34"/>
      <c r="AK410" s="34"/>
      <c r="AU410" s="34"/>
      <c r="AV410" s="34"/>
    </row>
    <row r="411" spans="22:53" ht="16" x14ac:dyDescent="0.4">
      <c r="V411" s="97"/>
      <c r="W411" s="16"/>
      <c r="X411" s="89"/>
      <c r="Z411" s="50"/>
      <c r="AA411" s="50"/>
      <c r="AD411" s="48"/>
      <c r="AE411" s="93">
        <f t="shared" si="43"/>
        <v>0</v>
      </c>
      <c r="AF411" s="16"/>
      <c r="AG411" s="103">
        <f t="shared" si="42"/>
        <v>0</v>
      </c>
      <c r="AH411" s="37">
        <f t="shared" si="44"/>
        <v>0</v>
      </c>
      <c r="AJ411" s="34"/>
      <c r="AK411" s="34"/>
      <c r="AU411" s="34"/>
      <c r="AV411" s="34"/>
    </row>
    <row r="412" spans="22:53" ht="16" x14ac:dyDescent="0.4">
      <c r="V412" s="97"/>
      <c r="W412" s="16"/>
      <c r="X412" s="89"/>
      <c r="Z412" s="50"/>
      <c r="AA412" s="50"/>
      <c r="AD412" s="48"/>
      <c r="AE412" s="93">
        <f t="shared" si="43"/>
        <v>0</v>
      </c>
      <c r="AF412" s="16"/>
      <c r="AG412" s="103">
        <f t="shared" si="42"/>
        <v>0</v>
      </c>
      <c r="AH412" s="37">
        <f t="shared" si="44"/>
        <v>0</v>
      </c>
      <c r="AJ412" s="34"/>
      <c r="AK412" s="34"/>
      <c r="AU412" s="34"/>
      <c r="AV412" s="34"/>
    </row>
    <row r="413" spans="22:53" ht="16" x14ac:dyDescent="0.4">
      <c r="V413" s="97"/>
      <c r="W413" s="16"/>
      <c r="X413" s="89"/>
      <c r="Z413" s="50"/>
      <c r="AA413" s="50"/>
      <c r="AD413" s="48"/>
      <c r="AE413" s="93">
        <f t="shared" si="43"/>
        <v>0</v>
      </c>
      <c r="AF413" s="16"/>
      <c r="AG413" s="103">
        <f t="shared" si="42"/>
        <v>0</v>
      </c>
      <c r="AH413" s="37">
        <f t="shared" si="44"/>
        <v>0</v>
      </c>
      <c r="AJ413" s="34"/>
      <c r="AK413" s="34"/>
      <c r="AU413" s="34"/>
      <c r="AV413" s="34"/>
    </row>
    <row r="414" spans="22:53" ht="16" x14ac:dyDescent="0.4">
      <c r="V414" s="97"/>
      <c r="W414" s="16"/>
      <c r="X414" s="89"/>
      <c r="Z414" s="50"/>
      <c r="AA414" s="50"/>
      <c r="AD414" s="48"/>
      <c r="AE414" s="93">
        <f t="shared" si="43"/>
        <v>0</v>
      </c>
      <c r="AF414" s="16"/>
      <c r="AG414" s="103">
        <f t="shared" si="42"/>
        <v>0</v>
      </c>
      <c r="AH414" s="37">
        <f t="shared" si="44"/>
        <v>0</v>
      </c>
      <c r="AJ414" s="34"/>
      <c r="AK414" s="34"/>
      <c r="AU414" s="34"/>
      <c r="AV414" s="34"/>
    </row>
    <row r="415" spans="22:53" ht="16" x14ac:dyDescent="0.4">
      <c r="V415" s="97"/>
      <c r="W415" s="16"/>
      <c r="X415" s="89"/>
      <c r="Z415" s="50"/>
      <c r="AA415" s="50"/>
      <c r="AD415" s="48"/>
      <c r="AE415" s="93">
        <f t="shared" si="43"/>
        <v>0</v>
      </c>
      <c r="AF415" s="16"/>
      <c r="AG415" s="103">
        <f t="shared" si="42"/>
        <v>0</v>
      </c>
      <c r="AH415" s="37">
        <f t="shared" si="44"/>
        <v>0</v>
      </c>
      <c r="AJ415" s="34"/>
      <c r="AK415" s="34"/>
      <c r="AU415" s="34"/>
      <c r="AV415" s="34"/>
    </row>
    <row r="416" spans="22:53" ht="16" x14ac:dyDescent="0.4">
      <c r="V416" s="97"/>
      <c r="W416" s="16"/>
      <c r="X416" s="89"/>
      <c r="Z416" s="50"/>
      <c r="AA416" s="50"/>
      <c r="AD416" s="48"/>
      <c r="AE416" s="93">
        <f t="shared" si="43"/>
        <v>0</v>
      </c>
      <c r="AF416" s="16"/>
      <c r="AG416" s="103">
        <f t="shared" si="42"/>
        <v>0</v>
      </c>
      <c r="AH416" s="37">
        <f t="shared" si="44"/>
        <v>0</v>
      </c>
      <c r="AJ416" s="34"/>
      <c r="AK416" s="34"/>
      <c r="AU416" s="34"/>
      <c r="AV416" s="34"/>
    </row>
    <row r="417" spans="22:48" ht="16" x14ac:dyDescent="0.4">
      <c r="V417" s="97"/>
      <c r="W417" s="16"/>
      <c r="X417" s="89"/>
      <c r="Z417" s="50"/>
      <c r="AA417" s="50"/>
      <c r="AD417" s="48"/>
      <c r="AE417" s="93">
        <f t="shared" si="43"/>
        <v>0</v>
      </c>
      <c r="AF417" s="16"/>
      <c r="AG417" s="103">
        <f t="shared" si="42"/>
        <v>0</v>
      </c>
      <c r="AH417" s="37">
        <f t="shared" si="44"/>
        <v>0</v>
      </c>
      <c r="AJ417" s="34"/>
      <c r="AK417" s="34"/>
      <c r="AU417" s="34"/>
      <c r="AV417" s="34"/>
    </row>
    <row r="418" spans="22:48" ht="16" x14ac:dyDescent="0.4">
      <c r="V418" s="97"/>
      <c r="W418" s="16"/>
      <c r="X418" s="89"/>
      <c r="Z418" s="50"/>
      <c r="AA418" s="50"/>
      <c r="AD418" s="48"/>
      <c r="AE418" s="93">
        <f t="shared" si="43"/>
        <v>0</v>
      </c>
      <c r="AF418" s="16"/>
      <c r="AG418" s="103">
        <f t="shared" si="42"/>
        <v>0</v>
      </c>
      <c r="AH418" s="37">
        <f t="shared" si="44"/>
        <v>0</v>
      </c>
      <c r="AJ418" s="34"/>
      <c r="AK418" s="34"/>
      <c r="AU418" s="34"/>
      <c r="AV418" s="34"/>
    </row>
    <row r="419" spans="22:48" ht="16" x14ac:dyDescent="0.4">
      <c r="V419" s="97"/>
      <c r="W419" s="16"/>
      <c r="X419" s="89"/>
      <c r="Z419" s="50"/>
      <c r="AA419" s="50"/>
      <c r="AD419" s="48"/>
      <c r="AE419" s="93">
        <f t="shared" si="43"/>
        <v>0</v>
      </c>
      <c r="AF419" s="16"/>
      <c r="AG419" s="103">
        <f t="shared" si="42"/>
        <v>0</v>
      </c>
      <c r="AH419" s="37">
        <f t="shared" si="44"/>
        <v>0</v>
      </c>
      <c r="AJ419" s="34"/>
      <c r="AK419" s="34"/>
      <c r="AU419" s="34"/>
      <c r="AV419" s="34"/>
    </row>
    <row r="420" spans="22:48" ht="16" x14ac:dyDescent="0.4">
      <c r="V420" s="97"/>
      <c r="W420" s="16"/>
      <c r="X420" s="89"/>
      <c r="Z420" s="50"/>
      <c r="AA420" s="50"/>
      <c r="AD420" s="48"/>
      <c r="AE420" s="93">
        <f t="shared" si="43"/>
        <v>0</v>
      </c>
      <c r="AF420" s="16"/>
      <c r="AG420" s="103">
        <f t="shared" si="42"/>
        <v>0</v>
      </c>
      <c r="AH420" s="37">
        <f t="shared" si="44"/>
        <v>0</v>
      </c>
      <c r="AJ420" s="34"/>
      <c r="AK420" s="34"/>
      <c r="AU420" s="34"/>
      <c r="AV420" s="34"/>
    </row>
    <row r="421" spans="22:48" ht="16" x14ac:dyDescent="0.4">
      <c r="V421" s="97"/>
      <c r="W421" s="16"/>
      <c r="X421" s="89"/>
      <c r="Z421" s="50"/>
      <c r="AA421" s="50"/>
      <c r="AD421" s="48"/>
      <c r="AE421" s="93">
        <f t="shared" si="43"/>
        <v>0</v>
      </c>
      <c r="AF421" s="16"/>
      <c r="AG421" s="103">
        <f t="shared" si="42"/>
        <v>0</v>
      </c>
      <c r="AH421" s="37">
        <f t="shared" si="44"/>
        <v>0</v>
      </c>
      <c r="AJ421" s="34"/>
      <c r="AK421" s="34"/>
      <c r="AU421" s="34"/>
      <c r="AV421" s="34"/>
    </row>
    <row r="422" spans="22:48" ht="16" x14ac:dyDescent="0.4">
      <c r="V422" s="97"/>
      <c r="W422" s="16"/>
      <c r="X422" s="89"/>
      <c r="Z422" s="50"/>
      <c r="AA422" s="50"/>
      <c r="AD422" s="48"/>
      <c r="AE422" s="93">
        <f t="shared" si="43"/>
        <v>0</v>
      </c>
      <c r="AF422" s="16"/>
      <c r="AG422" s="103">
        <f t="shared" si="42"/>
        <v>0</v>
      </c>
      <c r="AH422" s="37">
        <f t="shared" si="44"/>
        <v>0</v>
      </c>
      <c r="AJ422" s="34"/>
      <c r="AK422" s="34"/>
      <c r="AU422" s="34"/>
      <c r="AV422" s="34"/>
    </row>
    <row r="423" spans="22:48" ht="16" x14ac:dyDescent="0.4">
      <c r="V423" s="97"/>
      <c r="W423" s="16"/>
      <c r="X423" s="89"/>
      <c r="Z423" s="50"/>
      <c r="AA423" s="50"/>
      <c r="AD423" s="48"/>
      <c r="AE423" s="93">
        <f t="shared" si="43"/>
        <v>0</v>
      </c>
      <c r="AF423" s="16"/>
      <c r="AG423" s="103">
        <f t="shared" si="42"/>
        <v>0</v>
      </c>
      <c r="AH423" s="37">
        <f t="shared" si="44"/>
        <v>0</v>
      </c>
      <c r="AJ423" s="34"/>
      <c r="AK423" s="34"/>
      <c r="AU423" s="34"/>
      <c r="AV423" s="34"/>
    </row>
    <row r="424" spans="22:48" ht="16" x14ac:dyDescent="0.4">
      <c r="V424" s="97"/>
      <c r="W424" s="16"/>
      <c r="X424" s="89"/>
      <c r="Z424" s="50"/>
      <c r="AA424" s="50"/>
      <c r="AD424" s="48"/>
      <c r="AE424" s="93">
        <f t="shared" si="43"/>
        <v>0</v>
      </c>
      <c r="AF424" s="16"/>
      <c r="AG424" s="103">
        <f t="shared" si="42"/>
        <v>0</v>
      </c>
      <c r="AH424" s="37">
        <f t="shared" si="44"/>
        <v>0</v>
      </c>
      <c r="AJ424" s="34"/>
      <c r="AK424" s="34"/>
      <c r="AU424" s="34"/>
      <c r="AV424" s="34"/>
    </row>
    <row r="425" spans="22:48" ht="16" x14ac:dyDescent="0.4">
      <c r="V425" s="97"/>
      <c r="W425" s="16"/>
      <c r="X425" s="89"/>
      <c r="Z425" s="50"/>
      <c r="AA425" s="50"/>
      <c r="AD425" s="48"/>
      <c r="AE425" s="93">
        <f t="shared" si="43"/>
        <v>0</v>
      </c>
      <c r="AF425" s="16"/>
      <c r="AG425" s="103">
        <f t="shared" si="42"/>
        <v>0</v>
      </c>
      <c r="AH425" s="37">
        <f t="shared" si="44"/>
        <v>0</v>
      </c>
      <c r="AJ425" s="34"/>
      <c r="AK425" s="34"/>
      <c r="AU425" s="34"/>
      <c r="AV425" s="34"/>
    </row>
    <row r="426" spans="22:48" ht="16" x14ac:dyDescent="0.4">
      <c r="V426" s="97"/>
      <c r="W426" s="16"/>
      <c r="X426" s="89"/>
      <c r="Z426" s="50"/>
      <c r="AA426" s="50"/>
      <c r="AD426" s="48"/>
      <c r="AE426" s="93">
        <f t="shared" si="43"/>
        <v>0</v>
      </c>
      <c r="AF426" s="16"/>
      <c r="AG426" s="103">
        <f t="shared" si="42"/>
        <v>0</v>
      </c>
      <c r="AH426" s="37">
        <f t="shared" si="44"/>
        <v>0</v>
      </c>
      <c r="AJ426" s="34"/>
      <c r="AK426" s="34"/>
      <c r="AU426" s="34"/>
      <c r="AV426" s="34"/>
    </row>
    <row r="427" spans="22:48" ht="16" x14ac:dyDescent="0.4">
      <c r="V427" s="97"/>
      <c r="W427" s="16"/>
      <c r="X427" s="89"/>
      <c r="Z427" s="50"/>
      <c r="AA427" s="50"/>
      <c r="AD427" s="48"/>
      <c r="AE427" s="93">
        <f t="shared" si="43"/>
        <v>0</v>
      </c>
      <c r="AF427" s="16"/>
      <c r="AG427" s="103">
        <f t="shared" si="42"/>
        <v>0</v>
      </c>
      <c r="AH427" s="37">
        <f t="shared" si="44"/>
        <v>0</v>
      </c>
      <c r="AJ427" s="34"/>
      <c r="AK427" s="34"/>
      <c r="AU427" s="34"/>
      <c r="AV427" s="34"/>
    </row>
    <row r="428" spans="22:48" ht="16" x14ac:dyDescent="0.4">
      <c r="V428" s="97"/>
      <c r="W428" s="16"/>
      <c r="X428" s="89"/>
      <c r="Z428" s="50"/>
      <c r="AA428" s="50"/>
      <c r="AD428" s="48"/>
      <c r="AE428" s="93">
        <f t="shared" si="43"/>
        <v>0</v>
      </c>
      <c r="AF428" s="16"/>
      <c r="AG428" s="103">
        <f t="shared" si="42"/>
        <v>0</v>
      </c>
      <c r="AH428" s="37">
        <f t="shared" si="44"/>
        <v>0</v>
      </c>
      <c r="AJ428" s="34"/>
      <c r="AK428" s="34"/>
      <c r="AU428" s="34"/>
      <c r="AV428" s="34"/>
    </row>
    <row r="429" spans="22:48" ht="16" x14ac:dyDescent="0.4">
      <c r="V429" s="97"/>
      <c r="W429" s="16"/>
      <c r="X429" s="89"/>
      <c r="Z429" s="50"/>
      <c r="AA429" s="50"/>
      <c r="AD429" s="48"/>
      <c r="AE429" s="93">
        <f t="shared" si="43"/>
        <v>0</v>
      </c>
      <c r="AF429" s="16"/>
      <c r="AG429" s="103">
        <f t="shared" si="42"/>
        <v>0</v>
      </c>
      <c r="AH429" s="37">
        <f t="shared" si="44"/>
        <v>0</v>
      </c>
      <c r="AJ429" s="34"/>
      <c r="AK429" s="34"/>
      <c r="AU429" s="34"/>
      <c r="AV429" s="34"/>
    </row>
    <row r="430" spans="22:48" ht="16" x14ac:dyDescent="0.4">
      <c r="V430" s="97"/>
      <c r="W430" s="16"/>
      <c r="X430" s="89"/>
      <c r="Z430" s="50"/>
      <c r="AA430" s="50"/>
      <c r="AD430" s="48"/>
      <c r="AE430" s="93">
        <f t="shared" si="43"/>
        <v>0</v>
      </c>
      <c r="AF430" s="16"/>
      <c r="AG430" s="103">
        <f t="shared" si="42"/>
        <v>0</v>
      </c>
      <c r="AH430" s="37">
        <f t="shared" si="44"/>
        <v>0</v>
      </c>
      <c r="AJ430" s="34"/>
      <c r="AK430" s="34"/>
      <c r="AU430" s="34"/>
      <c r="AV430" s="34"/>
    </row>
    <row r="431" spans="22:48" ht="16" x14ac:dyDescent="0.4">
      <c r="V431" s="97"/>
      <c r="W431" s="16"/>
      <c r="X431" s="89"/>
      <c r="Z431" s="50"/>
      <c r="AA431" s="50"/>
      <c r="AD431" s="48"/>
      <c r="AE431" s="93">
        <f t="shared" si="43"/>
        <v>0</v>
      </c>
      <c r="AF431" s="16"/>
      <c r="AG431" s="103">
        <f t="shared" si="42"/>
        <v>0</v>
      </c>
      <c r="AH431" s="37">
        <f t="shared" si="44"/>
        <v>0</v>
      </c>
      <c r="AJ431" s="34"/>
      <c r="AK431" s="34"/>
      <c r="AU431" s="34"/>
      <c r="AV431" s="34"/>
    </row>
    <row r="432" spans="22:48" ht="16" x14ac:dyDescent="0.4">
      <c r="V432" s="97"/>
      <c r="W432" s="16"/>
      <c r="X432" s="89"/>
      <c r="Z432" s="50"/>
      <c r="AA432" s="50"/>
      <c r="AD432" s="48"/>
      <c r="AE432" s="93">
        <f t="shared" si="43"/>
        <v>0</v>
      </c>
      <c r="AF432" s="16"/>
      <c r="AG432" s="103">
        <f t="shared" si="42"/>
        <v>0</v>
      </c>
      <c r="AH432" s="37">
        <f t="shared" si="44"/>
        <v>0</v>
      </c>
      <c r="AJ432" s="34"/>
      <c r="AK432" s="34"/>
      <c r="AU432" s="34"/>
      <c r="AV432" s="34"/>
    </row>
    <row r="433" spans="22:48" ht="16" x14ac:dyDescent="0.4">
      <c r="V433" s="97"/>
      <c r="W433" s="16"/>
      <c r="X433" s="89"/>
      <c r="Z433" s="50"/>
      <c r="AA433" s="50"/>
      <c r="AD433" s="48"/>
      <c r="AE433" s="93">
        <f t="shared" si="43"/>
        <v>0</v>
      </c>
      <c r="AF433" s="16"/>
      <c r="AG433" s="103">
        <f t="shared" si="42"/>
        <v>0</v>
      </c>
      <c r="AH433" s="37">
        <f t="shared" si="44"/>
        <v>0</v>
      </c>
      <c r="AJ433" s="34"/>
      <c r="AK433" s="34"/>
      <c r="AU433" s="34"/>
      <c r="AV433" s="34"/>
    </row>
    <row r="434" spans="22:48" ht="16" x14ac:dyDescent="0.4">
      <c r="V434" s="97"/>
      <c r="W434" s="16"/>
      <c r="X434" s="89"/>
      <c r="Z434" s="50"/>
      <c r="AA434" s="50"/>
      <c r="AD434" s="48"/>
      <c r="AE434" s="93">
        <f t="shared" si="43"/>
        <v>0</v>
      </c>
      <c r="AF434" s="16"/>
      <c r="AG434" s="103">
        <f t="shared" si="42"/>
        <v>0</v>
      </c>
      <c r="AH434" s="37">
        <f t="shared" si="44"/>
        <v>0</v>
      </c>
      <c r="AJ434" s="34"/>
      <c r="AK434" s="34"/>
      <c r="AU434" s="34"/>
      <c r="AV434" s="34"/>
    </row>
    <row r="435" spans="22:48" ht="16" x14ac:dyDescent="0.4">
      <c r="V435" s="97"/>
      <c r="W435" s="16"/>
      <c r="X435" s="89"/>
      <c r="Z435" s="50"/>
      <c r="AA435" s="50"/>
      <c r="AD435" s="48"/>
      <c r="AE435" s="93">
        <f t="shared" si="43"/>
        <v>0</v>
      </c>
      <c r="AF435" s="16"/>
      <c r="AG435" s="103">
        <f t="shared" si="42"/>
        <v>0</v>
      </c>
      <c r="AH435" s="37">
        <f t="shared" si="44"/>
        <v>0</v>
      </c>
      <c r="AJ435" s="34"/>
      <c r="AK435" s="34"/>
      <c r="AU435" s="34"/>
      <c r="AV435" s="34"/>
    </row>
    <row r="436" spans="22:48" ht="16" x14ac:dyDescent="0.4">
      <c r="V436" s="97"/>
      <c r="W436" s="16"/>
      <c r="X436" s="89"/>
      <c r="Z436" s="50"/>
      <c r="AA436" s="50"/>
      <c r="AD436" s="48"/>
      <c r="AE436" s="93">
        <f t="shared" si="43"/>
        <v>0</v>
      </c>
      <c r="AF436" s="16"/>
      <c r="AG436" s="103">
        <f t="shared" si="42"/>
        <v>0</v>
      </c>
      <c r="AH436" s="37">
        <f t="shared" si="44"/>
        <v>0</v>
      </c>
      <c r="AJ436" s="34"/>
      <c r="AK436" s="34"/>
      <c r="AU436" s="34"/>
      <c r="AV436" s="34"/>
    </row>
    <row r="437" spans="22:48" ht="16" x14ac:dyDescent="0.4">
      <c r="V437" s="97"/>
      <c r="W437" s="16"/>
      <c r="X437" s="89"/>
      <c r="Z437" s="50"/>
      <c r="AA437" s="50"/>
      <c r="AD437" s="48"/>
      <c r="AE437" s="93">
        <f t="shared" si="43"/>
        <v>0</v>
      </c>
      <c r="AF437" s="16"/>
      <c r="AG437" s="103">
        <f t="shared" si="42"/>
        <v>0</v>
      </c>
      <c r="AH437" s="37">
        <f t="shared" si="44"/>
        <v>0</v>
      </c>
      <c r="AJ437" s="34"/>
      <c r="AK437" s="34"/>
      <c r="AU437" s="34"/>
      <c r="AV437" s="34"/>
    </row>
    <row r="438" spans="22:48" ht="16" x14ac:dyDescent="0.4">
      <c r="V438" s="97"/>
      <c r="W438" s="16"/>
      <c r="X438" s="89"/>
      <c r="Z438" s="50"/>
      <c r="AA438" s="50"/>
      <c r="AD438" s="48"/>
      <c r="AE438" s="93">
        <f t="shared" si="43"/>
        <v>0</v>
      </c>
      <c r="AF438" s="16"/>
      <c r="AG438" s="103">
        <f t="shared" si="42"/>
        <v>0</v>
      </c>
      <c r="AH438" s="37">
        <f t="shared" si="44"/>
        <v>0</v>
      </c>
      <c r="AJ438" s="34"/>
      <c r="AK438" s="34"/>
      <c r="AU438" s="34"/>
      <c r="AV438" s="34"/>
    </row>
    <row r="439" spans="22:48" ht="16" x14ac:dyDescent="0.4">
      <c r="V439" s="97"/>
      <c r="W439" s="16"/>
      <c r="X439" s="89"/>
      <c r="Z439" s="50"/>
      <c r="AA439" s="50"/>
      <c r="AD439" s="48"/>
      <c r="AE439" s="93">
        <f t="shared" si="43"/>
        <v>0</v>
      </c>
      <c r="AF439" s="16"/>
      <c r="AG439" s="103">
        <f t="shared" si="42"/>
        <v>0</v>
      </c>
      <c r="AH439" s="37">
        <f t="shared" si="44"/>
        <v>0</v>
      </c>
      <c r="AJ439" s="34"/>
      <c r="AK439" s="34"/>
      <c r="AU439" s="34"/>
      <c r="AV439" s="34"/>
    </row>
    <row r="440" spans="22:48" ht="16" x14ac:dyDescent="0.4">
      <c r="V440" s="97"/>
      <c r="W440" s="16"/>
      <c r="X440" s="89"/>
      <c r="Z440" s="50"/>
      <c r="AA440" s="50"/>
      <c r="AD440" s="48"/>
      <c r="AE440" s="93">
        <f t="shared" si="43"/>
        <v>0</v>
      </c>
      <c r="AF440" s="16"/>
      <c r="AG440" s="103">
        <f t="shared" si="42"/>
        <v>0</v>
      </c>
      <c r="AH440" s="37">
        <f t="shared" si="44"/>
        <v>0</v>
      </c>
      <c r="AJ440" s="34"/>
      <c r="AK440" s="34"/>
      <c r="AU440" s="34"/>
      <c r="AV440" s="34"/>
    </row>
    <row r="441" spans="22:48" ht="16" x14ac:dyDescent="0.4">
      <c r="V441" s="97"/>
      <c r="W441" s="16"/>
      <c r="X441" s="89"/>
      <c r="Z441" s="50"/>
      <c r="AA441" s="50"/>
      <c r="AD441" s="48"/>
      <c r="AE441" s="93">
        <f t="shared" si="43"/>
        <v>0</v>
      </c>
      <c r="AF441" s="16"/>
      <c r="AG441" s="103">
        <f t="shared" si="42"/>
        <v>0</v>
      </c>
      <c r="AH441" s="37">
        <f t="shared" si="44"/>
        <v>0</v>
      </c>
      <c r="AJ441" s="34"/>
      <c r="AK441" s="34"/>
      <c r="AU441" s="34"/>
      <c r="AV441" s="34"/>
    </row>
    <row r="442" spans="22:48" ht="16" x14ac:dyDescent="0.4">
      <c r="V442" s="97"/>
      <c r="W442" s="16"/>
      <c r="X442" s="89"/>
      <c r="Z442" s="50"/>
      <c r="AA442" s="50"/>
      <c r="AD442" s="48"/>
      <c r="AE442" s="93">
        <f t="shared" si="43"/>
        <v>0</v>
      </c>
      <c r="AF442" s="16"/>
      <c r="AG442" s="103">
        <f t="shared" si="42"/>
        <v>0</v>
      </c>
      <c r="AH442" s="37">
        <f t="shared" si="44"/>
        <v>0</v>
      </c>
      <c r="AJ442" s="34"/>
      <c r="AK442" s="34"/>
      <c r="AU442" s="34"/>
      <c r="AV442" s="34"/>
    </row>
    <row r="443" spans="22:48" ht="16" x14ac:dyDescent="0.4">
      <c r="V443" s="97"/>
      <c r="W443" s="16"/>
      <c r="X443" s="89"/>
      <c r="Z443" s="50"/>
      <c r="AA443" s="50"/>
      <c r="AD443" s="48"/>
      <c r="AE443" s="93">
        <f t="shared" si="43"/>
        <v>0</v>
      </c>
      <c r="AF443" s="16"/>
      <c r="AG443" s="103">
        <f t="shared" si="42"/>
        <v>0</v>
      </c>
      <c r="AH443" s="37">
        <f t="shared" si="44"/>
        <v>0</v>
      </c>
      <c r="AJ443" s="34"/>
      <c r="AK443" s="34"/>
      <c r="AU443" s="34"/>
      <c r="AV443" s="34"/>
    </row>
    <row r="444" spans="22:48" ht="16" x14ac:dyDescent="0.4">
      <c r="V444" s="97"/>
      <c r="W444" s="16"/>
      <c r="X444" s="89"/>
      <c r="Z444" s="50"/>
      <c r="AA444" s="50"/>
      <c r="AD444" s="48"/>
      <c r="AE444" s="93">
        <f t="shared" si="43"/>
        <v>0</v>
      </c>
      <c r="AF444" s="16"/>
      <c r="AG444" s="103">
        <f t="shared" si="42"/>
        <v>0</v>
      </c>
      <c r="AH444" s="37">
        <f t="shared" si="44"/>
        <v>0</v>
      </c>
      <c r="AJ444" s="34"/>
      <c r="AK444" s="34"/>
      <c r="AU444" s="34"/>
      <c r="AV444" s="34"/>
    </row>
    <row r="445" spans="22:48" ht="16" x14ac:dyDescent="0.4">
      <c r="V445" s="97"/>
      <c r="W445" s="16"/>
      <c r="X445" s="89"/>
      <c r="Z445" s="50"/>
      <c r="AA445" s="50"/>
      <c r="AD445" s="48"/>
      <c r="AE445" s="93">
        <f t="shared" si="43"/>
        <v>0</v>
      </c>
      <c r="AF445" s="16"/>
      <c r="AG445" s="103">
        <f t="shared" si="42"/>
        <v>0</v>
      </c>
      <c r="AH445" s="37">
        <f t="shared" si="44"/>
        <v>0</v>
      </c>
      <c r="AJ445" s="34"/>
      <c r="AK445" s="34"/>
      <c r="AU445" s="34"/>
      <c r="AV445" s="34"/>
    </row>
    <row r="446" spans="22:48" ht="16" x14ac:dyDescent="0.4">
      <c r="V446" s="97"/>
      <c r="W446" s="16"/>
      <c r="X446" s="89"/>
      <c r="Z446" s="50"/>
      <c r="AA446" s="50"/>
      <c r="AD446" s="48"/>
      <c r="AE446" s="93">
        <f t="shared" si="43"/>
        <v>0</v>
      </c>
      <c r="AF446" s="16"/>
      <c r="AG446" s="103">
        <f t="shared" si="42"/>
        <v>0</v>
      </c>
      <c r="AH446" s="37">
        <f t="shared" si="44"/>
        <v>0</v>
      </c>
      <c r="AJ446" s="34"/>
      <c r="AK446" s="34"/>
      <c r="AU446" s="34"/>
      <c r="AV446" s="34"/>
    </row>
    <row r="447" spans="22:48" ht="16" x14ac:dyDescent="0.4">
      <c r="V447" s="97"/>
      <c r="W447" s="16"/>
      <c r="X447" s="89"/>
      <c r="Z447" s="50"/>
      <c r="AA447" s="50"/>
      <c r="AD447" s="48"/>
      <c r="AE447" s="93">
        <f t="shared" si="43"/>
        <v>0</v>
      </c>
      <c r="AF447" s="16"/>
      <c r="AG447" s="103">
        <f t="shared" si="42"/>
        <v>0</v>
      </c>
      <c r="AH447" s="37">
        <f t="shared" si="44"/>
        <v>0</v>
      </c>
      <c r="AJ447" s="34"/>
      <c r="AK447" s="34"/>
      <c r="AU447" s="34"/>
      <c r="AV447" s="34"/>
    </row>
    <row r="448" spans="22:48" ht="16" x14ac:dyDescent="0.4">
      <c r="V448" s="97"/>
      <c r="W448" s="16"/>
      <c r="X448" s="89"/>
      <c r="Z448" s="50"/>
      <c r="AA448" s="50"/>
      <c r="AD448" s="48"/>
      <c r="AE448" s="93">
        <f t="shared" si="43"/>
        <v>0</v>
      </c>
      <c r="AF448" s="16"/>
      <c r="AG448" s="103">
        <f t="shared" si="42"/>
        <v>0</v>
      </c>
      <c r="AH448" s="37">
        <f t="shared" si="44"/>
        <v>0</v>
      </c>
      <c r="AJ448" s="34"/>
      <c r="AK448" s="34"/>
      <c r="AU448" s="34"/>
      <c r="AV448" s="34"/>
    </row>
    <row r="449" spans="22:48" ht="16" x14ac:dyDescent="0.4">
      <c r="V449" s="97"/>
      <c r="W449" s="16"/>
      <c r="X449" s="89"/>
      <c r="Z449" s="50"/>
      <c r="AA449" s="50"/>
      <c r="AD449" s="48"/>
      <c r="AE449" s="93">
        <f t="shared" si="43"/>
        <v>0</v>
      </c>
      <c r="AF449" s="16"/>
      <c r="AG449" s="103">
        <f t="shared" ref="AG449:AG512" si="45">IF($AF449&gt;14,14,$AF449)</f>
        <v>0</v>
      </c>
      <c r="AH449" s="37">
        <f t="shared" si="44"/>
        <v>0</v>
      </c>
      <c r="AJ449" s="34"/>
      <c r="AK449" s="34"/>
      <c r="AU449" s="34"/>
      <c r="AV449" s="34"/>
    </row>
    <row r="450" spans="22:48" ht="16" x14ac:dyDescent="0.4">
      <c r="V450" s="97"/>
      <c r="W450" s="16"/>
      <c r="X450" s="89"/>
      <c r="Z450" s="50"/>
      <c r="AA450" s="50"/>
      <c r="AD450" s="48"/>
      <c r="AE450" s="93">
        <f t="shared" ref="AE450:AE513" si="46">AD450/1000</f>
        <v>0</v>
      </c>
      <c r="AF450" s="16"/>
      <c r="AG450" s="103">
        <f t="shared" si="45"/>
        <v>0</v>
      </c>
      <c r="AH450" s="37">
        <f t="shared" ref="AH450:AH513" si="47">AE450*AG450/14</f>
        <v>0</v>
      </c>
      <c r="AJ450" s="34"/>
      <c r="AK450" s="34"/>
      <c r="AU450" s="34"/>
      <c r="AV450" s="34"/>
    </row>
    <row r="451" spans="22:48" ht="16" x14ac:dyDescent="0.4">
      <c r="V451" s="97"/>
      <c r="X451" s="89"/>
      <c r="Z451" s="50"/>
      <c r="AA451" s="50"/>
      <c r="AD451" s="37"/>
      <c r="AE451" s="93">
        <f t="shared" si="46"/>
        <v>0</v>
      </c>
      <c r="AF451" s="16"/>
      <c r="AG451" s="103">
        <f t="shared" si="45"/>
        <v>0</v>
      </c>
      <c r="AH451" s="37">
        <f t="shared" si="47"/>
        <v>0</v>
      </c>
      <c r="AJ451" s="34"/>
      <c r="AK451" s="34"/>
      <c r="AU451" s="34"/>
      <c r="AV451" s="34"/>
    </row>
    <row r="452" spans="22:48" ht="16" x14ac:dyDescent="0.4">
      <c r="AE452" s="93">
        <f t="shared" si="46"/>
        <v>0</v>
      </c>
      <c r="AF452" s="16"/>
      <c r="AG452" s="103">
        <f t="shared" si="45"/>
        <v>0</v>
      </c>
      <c r="AH452" s="37">
        <f t="shared" si="47"/>
        <v>0</v>
      </c>
      <c r="AJ452" s="34"/>
      <c r="AK452" s="34"/>
      <c r="AU452" s="34"/>
      <c r="AV452" s="34"/>
    </row>
    <row r="453" spans="22:48" ht="16" x14ac:dyDescent="0.4">
      <c r="AE453" s="93">
        <f t="shared" si="46"/>
        <v>0</v>
      </c>
      <c r="AF453" s="16"/>
      <c r="AG453" s="103">
        <f t="shared" si="45"/>
        <v>0</v>
      </c>
      <c r="AH453" s="37">
        <f t="shared" si="47"/>
        <v>0</v>
      </c>
      <c r="AJ453" s="34"/>
      <c r="AK453" s="34"/>
      <c r="AU453" s="34"/>
      <c r="AV453" s="34"/>
    </row>
    <row r="454" spans="22:48" ht="16" x14ac:dyDescent="0.4">
      <c r="AE454" s="93">
        <f t="shared" si="46"/>
        <v>0</v>
      </c>
      <c r="AF454" s="16"/>
      <c r="AG454" s="103">
        <f t="shared" si="45"/>
        <v>0</v>
      </c>
      <c r="AH454" s="37">
        <f t="shared" si="47"/>
        <v>0</v>
      </c>
      <c r="AJ454" s="34"/>
      <c r="AK454" s="34"/>
      <c r="AU454" s="34"/>
      <c r="AV454" s="34"/>
    </row>
    <row r="455" spans="22:48" ht="16" x14ac:dyDescent="0.4">
      <c r="AE455" s="93">
        <f t="shared" si="46"/>
        <v>0</v>
      </c>
      <c r="AF455" s="16"/>
      <c r="AG455" s="103">
        <f t="shared" si="45"/>
        <v>0</v>
      </c>
      <c r="AH455" s="37">
        <f t="shared" si="47"/>
        <v>0</v>
      </c>
      <c r="AJ455" s="34"/>
      <c r="AK455" s="34"/>
      <c r="AU455" s="34"/>
      <c r="AV455" s="34"/>
    </row>
    <row r="456" spans="22:48" ht="16" x14ac:dyDescent="0.4">
      <c r="AE456" s="93">
        <f t="shared" si="46"/>
        <v>0</v>
      </c>
      <c r="AF456" s="16"/>
      <c r="AG456" s="103">
        <f t="shared" si="45"/>
        <v>0</v>
      </c>
      <c r="AH456" s="37">
        <f t="shared" si="47"/>
        <v>0</v>
      </c>
      <c r="AJ456" s="34"/>
      <c r="AK456" s="34"/>
      <c r="AU456" s="34"/>
      <c r="AV456" s="34"/>
    </row>
    <row r="457" spans="22:48" ht="16" x14ac:dyDescent="0.4">
      <c r="AE457" s="93">
        <f t="shared" si="46"/>
        <v>0</v>
      </c>
      <c r="AF457" s="16"/>
      <c r="AG457" s="103">
        <f t="shared" si="45"/>
        <v>0</v>
      </c>
      <c r="AH457" s="37">
        <f t="shared" si="47"/>
        <v>0</v>
      </c>
      <c r="AJ457" s="34"/>
      <c r="AK457" s="34"/>
      <c r="AU457" s="34"/>
      <c r="AV457" s="34"/>
    </row>
    <row r="458" spans="22:48" ht="16" x14ac:dyDescent="0.4">
      <c r="AE458" s="93">
        <f t="shared" si="46"/>
        <v>0</v>
      </c>
      <c r="AF458" s="16"/>
      <c r="AG458" s="103">
        <f t="shared" si="45"/>
        <v>0</v>
      </c>
      <c r="AH458" s="37">
        <f t="shared" si="47"/>
        <v>0</v>
      </c>
      <c r="AJ458" s="34"/>
      <c r="AK458" s="34"/>
      <c r="AU458" s="34"/>
      <c r="AV458" s="34"/>
    </row>
    <row r="459" spans="22:48" ht="16" x14ac:dyDescent="0.4">
      <c r="AE459" s="93">
        <f t="shared" si="46"/>
        <v>0</v>
      </c>
      <c r="AF459" s="16"/>
      <c r="AG459" s="103">
        <f t="shared" si="45"/>
        <v>0</v>
      </c>
      <c r="AH459" s="37">
        <f t="shared" si="47"/>
        <v>0</v>
      </c>
      <c r="AJ459" s="34"/>
      <c r="AK459" s="34"/>
      <c r="AU459" s="34"/>
      <c r="AV459" s="34"/>
    </row>
    <row r="460" spans="22:48" ht="16" x14ac:dyDescent="0.4">
      <c r="AE460" s="93">
        <f t="shared" si="46"/>
        <v>0</v>
      </c>
      <c r="AF460" s="16"/>
      <c r="AG460" s="103">
        <f t="shared" si="45"/>
        <v>0</v>
      </c>
      <c r="AH460" s="37">
        <f t="shared" si="47"/>
        <v>0</v>
      </c>
      <c r="AJ460" s="34"/>
      <c r="AK460" s="34"/>
      <c r="AU460" s="34"/>
      <c r="AV460" s="34"/>
    </row>
    <row r="461" spans="22:48" ht="16" x14ac:dyDescent="0.4">
      <c r="AE461" s="93">
        <f t="shared" si="46"/>
        <v>0</v>
      </c>
      <c r="AF461" s="16"/>
      <c r="AG461" s="103">
        <f t="shared" si="45"/>
        <v>0</v>
      </c>
      <c r="AH461" s="37">
        <f t="shared" si="47"/>
        <v>0</v>
      </c>
      <c r="AJ461" s="34"/>
      <c r="AK461" s="34"/>
      <c r="AU461" s="34"/>
      <c r="AV461" s="34"/>
    </row>
    <row r="462" spans="22:48" ht="16" x14ac:dyDescent="0.4">
      <c r="AE462" s="93">
        <f t="shared" si="46"/>
        <v>0</v>
      </c>
      <c r="AF462" s="16"/>
      <c r="AG462" s="103">
        <f t="shared" si="45"/>
        <v>0</v>
      </c>
      <c r="AH462" s="37">
        <f t="shared" si="47"/>
        <v>0</v>
      </c>
      <c r="AJ462" s="34"/>
      <c r="AK462" s="34"/>
      <c r="AU462" s="34"/>
      <c r="AV462" s="34"/>
    </row>
    <row r="463" spans="22:48" ht="16" x14ac:dyDescent="0.4">
      <c r="AE463" s="93">
        <f t="shared" si="46"/>
        <v>0</v>
      </c>
      <c r="AF463" s="16"/>
      <c r="AG463" s="103">
        <f t="shared" si="45"/>
        <v>0</v>
      </c>
      <c r="AH463" s="37">
        <f t="shared" si="47"/>
        <v>0</v>
      </c>
      <c r="AJ463" s="34"/>
      <c r="AK463" s="34"/>
      <c r="AU463" s="34"/>
      <c r="AV463" s="34"/>
    </row>
    <row r="464" spans="22:48" ht="16" x14ac:dyDescent="0.4">
      <c r="AE464" s="93">
        <f t="shared" si="46"/>
        <v>0</v>
      </c>
      <c r="AF464" s="16"/>
      <c r="AG464" s="103">
        <f t="shared" si="45"/>
        <v>0</v>
      </c>
      <c r="AH464" s="37">
        <f t="shared" si="47"/>
        <v>0</v>
      </c>
      <c r="AJ464" s="34"/>
      <c r="AK464" s="34"/>
      <c r="AU464" s="34"/>
      <c r="AV464" s="34"/>
    </row>
    <row r="465" spans="31:48" ht="16" x14ac:dyDescent="0.4">
      <c r="AE465" s="93">
        <f t="shared" si="46"/>
        <v>0</v>
      </c>
      <c r="AF465" s="16"/>
      <c r="AG465" s="103">
        <f t="shared" si="45"/>
        <v>0</v>
      </c>
      <c r="AH465" s="37">
        <f t="shared" si="47"/>
        <v>0</v>
      </c>
      <c r="AJ465" s="34"/>
      <c r="AK465" s="34"/>
      <c r="AU465" s="34"/>
      <c r="AV465" s="34"/>
    </row>
    <row r="466" spans="31:48" ht="16" x14ac:dyDescent="0.4">
      <c r="AE466" s="93">
        <f t="shared" si="46"/>
        <v>0</v>
      </c>
      <c r="AF466" s="16"/>
      <c r="AG466" s="103">
        <f t="shared" si="45"/>
        <v>0</v>
      </c>
      <c r="AH466" s="37">
        <f t="shared" si="47"/>
        <v>0</v>
      </c>
      <c r="AJ466" s="34"/>
      <c r="AK466" s="34"/>
      <c r="AU466" s="34"/>
      <c r="AV466" s="34"/>
    </row>
    <row r="467" spans="31:48" ht="16" x14ac:dyDescent="0.4">
      <c r="AE467" s="93">
        <f t="shared" si="46"/>
        <v>0</v>
      </c>
      <c r="AF467" s="16"/>
      <c r="AG467" s="103">
        <f t="shared" si="45"/>
        <v>0</v>
      </c>
      <c r="AH467" s="37">
        <f t="shared" si="47"/>
        <v>0</v>
      </c>
      <c r="AJ467" s="34"/>
      <c r="AK467" s="34"/>
      <c r="AU467" s="34"/>
      <c r="AV467" s="34"/>
    </row>
    <row r="468" spans="31:48" ht="16" x14ac:dyDescent="0.4">
      <c r="AE468" s="93">
        <f t="shared" si="46"/>
        <v>0</v>
      </c>
      <c r="AF468" s="16"/>
      <c r="AG468" s="103">
        <f t="shared" si="45"/>
        <v>0</v>
      </c>
      <c r="AH468" s="37">
        <f t="shared" si="47"/>
        <v>0</v>
      </c>
      <c r="AJ468" s="34"/>
      <c r="AK468" s="34"/>
      <c r="AU468" s="34"/>
      <c r="AV468" s="34"/>
    </row>
    <row r="469" spans="31:48" ht="16" x14ac:dyDescent="0.4">
      <c r="AE469" s="93">
        <f t="shared" si="46"/>
        <v>0</v>
      </c>
      <c r="AF469" s="16"/>
      <c r="AG469" s="103">
        <f t="shared" si="45"/>
        <v>0</v>
      </c>
      <c r="AH469" s="37">
        <f t="shared" si="47"/>
        <v>0</v>
      </c>
      <c r="AJ469" s="34"/>
      <c r="AK469" s="34"/>
      <c r="AU469" s="34"/>
      <c r="AV469" s="34"/>
    </row>
    <row r="470" spans="31:48" ht="16" x14ac:dyDescent="0.4">
      <c r="AE470" s="93">
        <f t="shared" si="46"/>
        <v>0</v>
      </c>
      <c r="AF470" s="16"/>
      <c r="AG470" s="103">
        <f t="shared" si="45"/>
        <v>0</v>
      </c>
      <c r="AH470" s="37">
        <f t="shared" si="47"/>
        <v>0</v>
      </c>
      <c r="AJ470" s="34"/>
      <c r="AK470" s="34"/>
      <c r="AU470" s="34"/>
      <c r="AV470" s="34"/>
    </row>
    <row r="471" spans="31:48" ht="16" x14ac:dyDescent="0.4">
      <c r="AE471" s="93">
        <f t="shared" si="46"/>
        <v>0</v>
      </c>
      <c r="AF471" s="16"/>
      <c r="AG471" s="103">
        <f t="shared" si="45"/>
        <v>0</v>
      </c>
      <c r="AH471" s="37">
        <f t="shared" si="47"/>
        <v>0</v>
      </c>
      <c r="AJ471" s="34"/>
      <c r="AK471" s="34"/>
      <c r="AU471" s="34"/>
      <c r="AV471" s="34"/>
    </row>
    <row r="472" spans="31:48" ht="16" x14ac:dyDescent="0.4">
      <c r="AE472" s="93">
        <f t="shared" si="46"/>
        <v>0</v>
      </c>
      <c r="AF472" s="16"/>
      <c r="AG472" s="103">
        <f t="shared" si="45"/>
        <v>0</v>
      </c>
      <c r="AH472" s="37">
        <f t="shared" si="47"/>
        <v>0</v>
      </c>
      <c r="AJ472" s="34"/>
      <c r="AK472" s="34"/>
      <c r="AU472" s="34"/>
      <c r="AV472" s="34"/>
    </row>
    <row r="473" spans="31:48" ht="16" x14ac:dyDescent="0.4">
      <c r="AE473" s="93">
        <f t="shared" si="46"/>
        <v>0</v>
      </c>
      <c r="AF473" s="16"/>
      <c r="AG473" s="103">
        <f t="shared" si="45"/>
        <v>0</v>
      </c>
      <c r="AH473" s="37">
        <f t="shared" si="47"/>
        <v>0</v>
      </c>
      <c r="AJ473" s="34"/>
      <c r="AK473" s="34"/>
      <c r="AU473" s="34"/>
      <c r="AV473" s="34"/>
    </row>
    <row r="474" spans="31:48" ht="16" x14ac:dyDescent="0.4">
      <c r="AE474" s="93">
        <f t="shared" si="46"/>
        <v>0</v>
      </c>
      <c r="AF474" s="16"/>
      <c r="AG474" s="103">
        <f t="shared" si="45"/>
        <v>0</v>
      </c>
      <c r="AH474" s="37">
        <f t="shared" si="47"/>
        <v>0</v>
      </c>
      <c r="AJ474" s="34"/>
      <c r="AK474" s="34"/>
      <c r="AU474" s="34"/>
      <c r="AV474" s="34"/>
    </row>
    <row r="475" spans="31:48" ht="16" x14ac:dyDescent="0.4">
      <c r="AE475" s="93">
        <f t="shared" si="46"/>
        <v>0</v>
      </c>
      <c r="AF475" s="16"/>
      <c r="AG475" s="103">
        <f t="shared" si="45"/>
        <v>0</v>
      </c>
      <c r="AH475" s="37">
        <f t="shared" si="47"/>
        <v>0</v>
      </c>
      <c r="AJ475" s="34"/>
      <c r="AK475" s="34"/>
      <c r="AU475" s="34"/>
      <c r="AV475" s="34"/>
    </row>
    <row r="476" spans="31:48" ht="16" x14ac:dyDescent="0.4">
      <c r="AE476" s="93">
        <f t="shared" si="46"/>
        <v>0</v>
      </c>
      <c r="AF476" s="16"/>
      <c r="AG476" s="103">
        <f t="shared" si="45"/>
        <v>0</v>
      </c>
      <c r="AH476" s="37">
        <f t="shared" si="47"/>
        <v>0</v>
      </c>
      <c r="AJ476" s="34"/>
      <c r="AK476" s="34"/>
      <c r="AU476" s="34"/>
      <c r="AV476" s="34"/>
    </row>
    <row r="477" spans="31:48" ht="16" x14ac:dyDescent="0.4">
      <c r="AE477" s="93">
        <f t="shared" si="46"/>
        <v>0</v>
      </c>
      <c r="AF477" s="16"/>
      <c r="AG477" s="103">
        <f t="shared" si="45"/>
        <v>0</v>
      </c>
      <c r="AH477" s="37">
        <f t="shared" si="47"/>
        <v>0</v>
      </c>
      <c r="AJ477" s="34"/>
      <c r="AK477" s="34"/>
      <c r="AU477" s="34"/>
      <c r="AV477" s="34"/>
    </row>
    <row r="478" spans="31:48" ht="16" x14ac:dyDescent="0.4">
      <c r="AE478" s="93">
        <f t="shared" si="46"/>
        <v>0</v>
      </c>
      <c r="AF478" s="16"/>
      <c r="AG478" s="103">
        <f t="shared" si="45"/>
        <v>0</v>
      </c>
      <c r="AH478" s="37">
        <f t="shared" si="47"/>
        <v>0</v>
      </c>
      <c r="AJ478" s="34"/>
      <c r="AK478" s="34"/>
      <c r="AU478" s="34"/>
      <c r="AV478" s="34"/>
    </row>
    <row r="479" spans="31:48" ht="16" x14ac:dyDescent="0.4">
      <c r="AE479" s="93">
        <f t="shared" si="46"/>
        <v>0</v>
      </c>
      <c r="AF479" s="16"/>
      <c r="AG479" s="103">
        <f t="shared" si="45"/>
        <v>0</v>
      </c>
      <c r="AH479" s="37">
        <f t="shared" si="47"/>
        <v>0</v>
      </c>
      <c r="AJ479" s="34"/>
      <c r="AK479" s="34"/>
      <c r="AU479" s="34"/>
      <c r="AV479" s="34"/>
    </row>
    <row r="480" spans="31:48" ht="16" x14ac:dyDescent="0.4">
      <c r="AE480" s="93">
        <f t="shared" si="46"/>
        <v>0</v>
      </c>
      <c r="AF480" s="16"/>
      <c r="AG480" s="103">
        <f t="shared" si="45"/>
        <v>0</v>
      </c>
      <c r="AH480" s="37">
        <f t="shared" si="47"/>
        <v>0</v>
      </c>
      <c r="AJ480" s="34"/>
      <c r="AK480" s="34"/>
      <c r="AU480" s="34"/>
      <c r="AV480" s="34"/>
    </row>
    <row r="481" spans="31:48" ht="16" x14ac:dyDescent="0.4">
      <c r="AE481" s="93">
        <f t="shared" si="46"/>
        <v>0</v>
      </c>
      <c r="AF481" s="16"/>
      <c r="AG481" s="103">
        <f t="shared" si="45"/>
        <v>0</v>
      </c>
      <c r="AH481" s="37">
        <f t="shared" si="47"/>
        <v>0</v>
      </c>
      <c r="AJ481" s="34"/>
      <c r="AK481" s="34"/>
      <c r="AU481" s="34"/>
      <c r="AV481" s="34"/>
    </row>
    <row r="482" spans="31:48" ht="16" x14ac:dyDescent="0.4">
      <c r="AE482" s="93">
        <f t="shared" si="46"/>
        <v>0</v>
      </c>
      <c r="AF482" s="16"/>
      <c r="AG482" s="103">
        <f t="shared" si="45"/>
        <v>0</v>
      </c>
      <c r="AH482" s="37">
        <f t="shared" si="47"/>
        <v>0</v>
      </c>
      <c r="AJ482" s="34"/>
      <c r="AK482" s="34"/>
      <c r="AU482" s="34"/>
      <c r="AV482" s="34"/>
    </row>
    <row r="483" spans="31:48" ht="16" x14ac:dyDescent="0.4">
      <c r="AE483" s="93">
        <f t="shared" si="46"/>
        <v>0</v>
      </c>
      <c r="AF483" s="16"/>
      <c r="AG483" s="103">
        <f t="shared" si="45"/>
        <v>0</v>
      </c>
      <c r="AH483" s="37">
        <f t="shared" si="47"/>
        <v>0</v>
      </c>
      <c r="AJ483" s="34"/>
      <c r="AK483" s="34"/>
      <c r="AU483" s="34"/>
      <c r="AV483" s="34"/>
    </row>
    <row r="484" spans="31:48" ht="16" x14ac:dyDescent="0.4">
      <c r="AE484" s="93">
        <f t="shared" si="46"/>
        <v>0</v>
      </c>
      <c r="AF484" s="16"/>
      <c r="AG484" s="103">
        <f t="shared" si="45"/>
        <v>0</v>
      </c>
      <c r="AH484" s="37">
        <f t="shared" si="47"/>
        <v>0</v>
      </c>
      <c r="AJ484" s="34"/>
      <c r="AK484" s="34"/>
      <c r="AU484" s="34"/>
      <c r="AV484" s="34"/>
    </row>
    <row r="485" spans="31:48" ht="16" x14ac:dyDescent="0.4">
      <c r="AE485" s="93">
        <f t="shared" si="46"/>
        <v>0</v>
      </c>
      <c r="AF485" s="16"/>
      <c r="AG485" s="103">
        <f t="shared" si="45"/>
        <v>0</v>
      </c>
      <c r="AH485" s="37">
        <f t="shared" si="47"/>
        <v>0</v>
      </c>
      <c r="AJ485" s="34"/>
      <c r="AK485" s="34"/>
      <c r="AU485" s="34"/>
      <c r="AV485" s="34"/>
    </row>
    <row r="486" spans="31:48" ht="16" x14ac:dyDescent="0.4">
      <c r="AE486" s="93">
        <f t="shared" si="46"/>
        <v>0</v>
      </c>
      <c r="AF486" s="16"/>
      <c r="AG486" s="103">
        <f t="shared" si="45"/>
        <v>0</v>
      </c>
      <c r="AH486" s="37">
        <f t="shared" si="47"/>
        <v>0</v>
      </c>
      <c r="AJ486" s="34"/>
      <c r="AK486" s="34"/>
      <c r="AU486" s="34"/>
      <c r="AV486" s="34"/>
    </row>
    <row r="487" spans="31:48" ht="16" x14ac:dyDescent="0.4">
      <c r="AE487" s="93">
        <f t="shared" si="46"/>
        <v>0</v>
      </c>
      <c r="AF487" s="16"/>
      <c r="AG487" s="103">
        <f t="shared" si="45"/>
        <v>0</v>
      </c>
      <c r="AH487" s="37">
        <f t="shared" si="47"/>
        <v>0</v>
      </c>
      <c r="AJ487" s="34"/>
      <c r="AK487" s="34"/>
      <c r="AU487" s="34"/>
      <c r="AV487" s="34"/>
    </row>
    <row r="488" spans="31:48" ht="16" x14ac:dyDescent="0.4">
      <c r="AE488" s="93">
        <f t="shared" si="46"/>
        <v>0</v>
      </c>
      <c r="AF488" s="16"/>
      <c r="AG488" s="103">
        <f t="shared" si="45"/>
        <v>0</v>
      </c>
      <c r="AH488" s="37">
        <f t="shared" si="47"/>
        <v>0</v>
      </c>
      <c r="AJ488" s="34"/>
      <c r="AK488" s="34"/>
      <c r="AU488" s="34"/>
      <c r="AV488" s="34"/>
    </row>
    <row r="489" spans="31:48" ht="16" x14ac:dyDescent="0.4">
      <c r="AE489" s="93">
        <f t="shared" si="46"/>
        <v>0</v>
      </c>
      <c r="AF489" s="16"/>
      <c r="AG489" s="103">
        <f t="shared" si="45"/>
        <v>0</v>
      </c>
      <c r="AH489" s="37">
        <f t="shared" si="47"/>
        <v>0</v>
      </c>
      <c r="AJ489" s="34"/>
      <c r="AK489" s="34"/>
      <c r="AU489" s="34"/>
      <c r="AV489" s="34"/>
    </row>
    <row r="490" spans="31:48" ht="16" x14ac:dyDescent="0.4">
      <c r="AE490" s="93">
        <f t="shared" si="46"/>
        <v>0</v>
      </c>
      <c r="AF490" s="16"/>
      <c r="AG490" s="103">
        <f t="shared" si="45"/>
        <v>0</v>
      </c>
      <c r="AH490" s="37">
        <f t="shared" si="47"/>
        <v>0</v>
      </c>
      <c r="AJ490" s="34"/>
      <c r="AK490" s="34"/>
      <c r="AU490" s="34"/>
      <c r="AV490" s="34"/>
    </row>
    <row r="491" spans="31:48" ht="16" x14ac:dyDescent="0.4">
      <c r="AE491" s="93">
        <f t="shared" si="46"/>
        <v>0</v>
      </c>
      <c r="AF491" s="16"/>
      <c r="AG491" s="103">
        <f t="shared" si="45"/>
        <v>0</v>
      </c>
      <c r="AH491" s="37">
        <f t="shared" si="47"/>
        <v>0</v>
      </c>
      <c r="AJ491" s="34"/>
      <c r="AK491" s="34"/>
      <c r="AU491" s="34"/>
      <c r="AV491" s="34"/>
    </row>
    <row r="492" spans="31:48" ht="16" x14ac:dyDescent="0.4">
      <c r="AE492" s="93">
        <f t="shared" si="46"/>
        <v>0</v>
      </c>
      <c r="AF492" s="16"/>
      <c r="AG492" s="103">
        <f t="shared" si="45"/>
        <v>0</v>
      </c>
      <c r="AH492" s="37">
        <f t="shared" si="47"/>
        <v>0</v>
      </c>
      <c r="AJ492" s="34"/>
      <c r="AK492" s="34"/>
      <c r="AU492" s="34"/>
      <c r="AV492" s="34"/>
    </row>
    <row r="493" spans="31:48" ht="16" x14ac:dyDescent="0.4">
      <c r="AE493" s="93">
        <f t="shared" si="46"/>
        <v>0</v>
      </c>
      <c r="AF493" s="16"/>
      <c r="AG493" s="103">
        <f t="shared" si="45"/>
        <v>0</v>
      </c>
      <c r="AH493" s="37">
        <f t="shared" si="47"/>
        <v>0</v>
      </c>
      <c r="AJ493" s="34"/>
      <c r="AK493" s="34"/>
      <c r="AU493" s="34"/>
      <c r="AV493" s="34"/>
    </row>
    <row r="494" spans="31:48" ht="16" x14ac:dyDescent="0.4">
      <c r="AE494" s="93">
        <f t="shared" si="46"/>
        <v>0</v>
      </c>
      <c r="AF494" s="16"/>
      <c r="AG494" s="103">
        <f t="shared" si="45"/>
        <v>0</v>
      </c>
      <c r="AH494" s="37">
        <f t="shared" si="47"/>
        <v>0</v>
      </c>
      <c r="AJ494" s="34"/>
      <c r="AK494" s="34"/>
      <c r="AU494" s="34"/>
      <c r="AV494" s="34"/>
    </row>
    <row r="495" spans="31:48" ht="16" x14ac:dyDescent="0.4">
      <c r="AE495" s="93">
        <f t="shared" si="46"/>
        <v>0</v>
      </c>
      <c r="AF495" s="16"/>
      <c r="AG495" s="103">
        <f t="shared" si="45"/>
        <v>0</v>
      </c>
      <c r="AH495" s="37">
        <f t="shared" si="47"/>
        <v>0</v>
      </c>
      <c r="AJ495" s="34"/>
      <c r="AK495" s="34"/>
      <c r="AU495" s="34"/>
      <c r="AV495" s="34"/>
    </row>
    <row r="496" spans="31:48" ht="16" x14ac:dyDescent="0.4">
      <c r="AE496" s="93">
        <f t="shared" si="46"/>
        <v>0</v>
      </c>
      <c r="AF496" s="16"/>
      <c r="AG496" s="103">
        <f t="shared" si="45"/>
        <v>0</v>
      </c>
      <c r="AH496" s="37">
        <f t="shared" si="47"/>
        <v>0</v>
      </c>
      <c r="AJ496" s="34"/>
      <c r="AK496" s="34"/>
      <c r="AU496" s="34"/>
      <c r="AV496" s="34"/>
    </row>
    <row r="497" spans="31:48" ht="16" x14ac:dyDescent="0.4">
      <c r="AE497" s="93">
        <f t="shared" si="46"/>
        <v>0</v>
      </c>
      <c r="AF497" s="16"/>
      <c r="AG497" s="103">
        <f t="shared" si="45"/>
        <v>0</v>
      </c>
      <c r="AH497" s="37">
        <f t="shared" si="47"/>
        <v>0</v>
      </c>
      <c r="AJ497" s="34"/>
      <c r="AK497" s="34"/>
      <c r="AU497" s="34"/>
      <c r="AV497" s="34"/>
    </row>
    <row r="498" spans="31:48" ht="16" x14ac:dyDescent="0.4">
      <c r="AE498" s="93">
        <f t="shared" si="46"/>
        <v>0</v>
      </c>
      <c r="AF498" s="16"/>
      <c r="AG498" s="103">
        <f t="shared" si="45"/>
        <v>0</v>
      </c>
      <c r="AH498" s="37">
        <f t="shared" si="47"/>
        <v>0</v>
      </c>
      <c r="AJ498" s="34"/>
      <c r="AK498" s="34"/>
      <c r="AU498" s="34"/>
      <c r="AV498" s="34"/>
    </row>
    <row r="499" spans="31:48" ht="16" x14ac:dyDescent="0.4">
      <c r="AE499" s="93">
        <f t="shared" si="46"/>
        <v>0</v>
      </c>
      <c r="AF499" s="16"/>
      <c r="AG499" s="103">
        <f t="shared" si="45"/>
        <v>0</v>
      </c>
      <c r="AH499" s="37">
        <f t="shared" si="47"/>
        <v>0</v>
      </c>
      <c r="AJ499" s="34"/>
      <c r="AK499" s="34"/>
      <c r="AU499" s="34"/>
      <c r="AV499" s="34"/>
    </row>
    <row r="500" spans="31:48" ht="16" x14ac:dyDescent="0.4">
      <c r="AE500" s="93">
        <f t="shared" si="46"/>
        <v>0</v>
      </c>
      <c r="AF500" s="16"/>
      <c r="AG500" s="103">
        <f t="shared" si="45"/>
        <v>0</v>
      </c>
      <c r="AH500" s="37">
        <f t="shared" si="47"/>
        <v>0</v>
      </c>
      <c r="AJ500" s="34"/>
      <c r="AK500" s="34"/>
      <c r="AU500" s="34"/>
      <c r="AV500" s="34"/>
    </row>
    <row r="501" spans="31:48" ht="16" x14ac:dyDescent="0.4">
      <c r="AE501" s="93">
        <f t="shared" si="46"/>
        <v>0</v>
      </c>
      <c r="AF501" s="16"/>
      <c r="AG501" s="103">
        <f t="shared" si="45"/>
        <v>0</v>
      </c>
      <c r="AH501" s="37">
        <f t="shared" si="47"/>
        <v>0</v>
      </c>
      <c r="AJ501" s="34"/>
      <c r="AK501" s="34"/>
      <c r="AU501" s="34"/>
      <c r="AV501" s="34"/>
    </row>
    <row r="502" spans="31:48" ht="16" x14ac:dyDescent="0.4">
      <c r="AE502" s="93">
        <f t="shared" si="46"/>
        <v>0</v>
      </c>
      <c r="AF502" s="16"/>
      <c r="AG502" s="103">
        <f t="shared" si="45"/>
        <v>0</v>
      </c>
      <c r="AH502" s="37">
        <f t="shared" si="47"/>
        <v>0</v>
      </c>
      <c r="AJ502" s="34"/>
      <c r="AK502" s="34"/>
      <c r="AU502" s="34"/>
      <c r="AV502" s="34"/>
    </row>
    <row r="503" spans="31:48" ht="16" x14ac:dyDescent="0.4">
      <c r="AE503" s="93">
        <f t="shared" si="46"/>
        <v>0</v>
      </c>
      <c r="AF503" s="16"/>
      <c r="AG503" s="103">
        <f t="shared" si="45"/>
        <v>0</v>
      </c>
      <c r="AH503" s="37">
        <f t="shared" si="47"/>
        <v>0</v>
      </c>
      <c r="AJ503" s="34"/>
      <c r="AK503" s="34"/>
      <c r="AU503" s="34"/>
      <c r="AV503" s="34"/>
    </row>
    <row r="504" spans="31:48" ht="16" x14ac:dyDescent="0.4">
      <c r="AE504" s="93">
        <f t="shared" si="46"/>
        <v>0</v>
      </c>
      <c r="AF504" s="16"/>
      <c r="AG504" s="103">
        <f t="shared" si="45"/>
        <v>0</v>
      </c>
      <c r="AH504" s="37">
        <f t="shared" si="47"/>
        <v>0</v>
      </c>
      <c r="AJ504" s="34"/>
      <c r="AK504" s="34"/>
      <c r="AU504" s="34"/>
      <c r="AV504" s="34"/>
    </row>
    <row r="505" spans="31:48" ht="16" x14ac:dyDescent="0.4">
      <c r="AE505" s="93">
        <f t="shared" si="46"/>
        <v>0</v>
      </c>
      <c r="AF505" s="16"/>
      <c r="AG505" s="103">
        <f t="shared" si="45"/>
        <v>0</v>
      </c>
      <c r="AH505" s="37">
        <f t="shared" si="47"/>
        <v>0</v>
      </c>
      <c r="AJ505" s="34"/>
      <c r="AK505" s="34"/>
      <c r="AU505" s="34"/>
      <c r="AV505" s="34"/>
    </row>
    <row r="506" spans="31:48" ht="16" x14ac:dyDescent="0.4">
      <c r="AE506" s="93">
        <f t="shared" si="46"/>
        <v>0</v>
      </c>
      <c r="AF506" s="16"/>
      <c r="AG506" s="103">
        <f t="shared" si="45"/>
        <v>0</v>
      </c>
      <c r="AH506" s="37">
        <f t="shared" si="47"/>
        <v>0</v>
      </c>
      <c r="AJ506" s="34"/>
      <c r="AK506" s="34"/>
      <c r="AU506" s="34"/>
      <c r="AV506" s="34"/>
    </row>
    <row r="507" spans="31:48" ht="16" x14ac:dyDescent="0.4">
      <c r="AE507" s="93">
        <f t="shared" si="46"/>
        <v>0</v>
      </c>
      <c r="AF507" s="16"/>
      <c r="AG507" s="103">
        <f t="shared" si="45"/>
        <v>0</v>
      </c>
      <c r="AH507" s="37">
        <f t="shared" si="47"/>
        <v>0</v>
      </c>
      <c r="AJ507" s="34"/>
      <c r="AK507" s="34"/>
      <c r="AU507" s="34"/>
      <c r="AV507" s="34"/>
    </row>
    <row r="508" spans="31:48" ht="16" x14ac:dyDescent="0.4">
      <c r="AE508" s="93">
        <f t="shared" si="46"/>
        <v>0</v>
      </c>
      <c r="AF508" s="16"/>
      <c r="AG508" s="103">
        <f t="shared" si="45"/>
        <v>0</v>
      </c>
      <c r="AH508" s="37">
        <f t="shared" si="47"/>
        <v>0</v>
      </c>
      <c r="AJ508" s="34"/>
      <c r="AK508" s="34"/>
      <c r="AU508" s="34"/>
      <c r="AV508" s="34"/>
    </row>
    <row r="509" spans="31:48" ht="16" x14ac:dyDescent="0.4">
      <c r="AE509" s="93">
        <f t="shared" si="46"/>
        <v>0</v>
      </c>
      <c r="AF509" s="16"/>
      <c r="AG509" s="103">
        <f t="shared" si="45"/>
        <v>0</v>
      </c>
      <c r="AH509" s="37">
        <f t="shared" si="47"/>
        <v>0</v>
      </c>
      <c r="AJ509" s="34"/>
      <c r="AK509" s="34"/>
      <c r="AU509" s="34"/>
      <c r="AV509" s="34"/>
    </row>
    <row r="510" spans="31:48" ht="16" x14ac:dyDescent="0.4">
      <c r="AE510" s="93">
        <f t="shared" si="46"/>
        <v>0</v>
      </c>
      <c r="AF510" s="16"/>
      <c r="AG510" s="103">
        <f t="shared" si="45"/>
        <v>0</v>
      </c>
      <c r="AH510" s="37">
        <f t="shared" si="47"/>
        <v>0</v>
      </c>
      <c r="AJ510" s="34"/>
      <c r="AK510" s="34"/>
      <c r="AU510" s="34"/>
      <c r="AV510" s="34"/>
    </row>
    <row r="511" spans="31:48" ht="16" x14ac:dyDescent="0.4">
      <c r="AE511" s="93">
        <f t="shared" si="46"/>
        <v>0</v>
      </c>
      <c r="AF511" s="16"/>
      <c r="AG511" s="103">
        <f t="shared" si="45"/>
        <v>0</v>
      </c>
      <c r="AH511" s="37">
        <f t="shared" si="47"/>
        <v>0</v>
      </c>
      <c r="AJ511" s="34"/>
      <c r="AK511" s="34"/>
      <c r="AU511" s="34"/>
      <c r="AV511" s="34"/>
    </row>
    <row r="512" spans="31:48" ht="16" x14ac:dyDescent="0.4">
      <c r="AE512" s="93">
        <f t="shared" si="46"/>
        <v>0</v>
      </c>
      <c r="AF512" s="16"/>
      <c r="AG512" s="103">
        <f t="shared" si="45"/>
        <v>0</v>
      </c>
      <c r="AH512" s="37">
        <f t="shared" si="47"/>
        <v>0</v>
      </c>
      <c r="AJ512" s="34"/>
      <c r="AK512" s="34"/>
      <c r="AU512" s="34"/>
      <c r="AV512" s="34"/>
    </row>
    <row r="513" spans="31:48" ht="16" x14ac:dyDescent="0.4">
      <c r="AE513" s="93">
        <f t="shared" si="46"/>
        <v>0</v>
      </c>
      <c r="AF513" s="16"/>
      <c r="AG513" s="103">
        <f t="shared" ref="AG513:AG576" si="48">IF($AF513&gt;14,14,$AF513)</f>
        <v>0</v>
      </c>
      <c r="AH513" s="37">
        <f t="shared" si="47"/>
        <v>0</v>
      </c>
      <c r="AJ513" s="34"/>
      <c r="AK513" s="34"/>
      <c r="AU513" s="34"/>
      <c r="AV513" s="34"/>
    </row>
    <row r="514" spans="31:48" ht="16" x14ac:dyDescent="0.4">
      <c r="AE514" s="93">
        <f t="shared" ref="AE514:AE577" si="49">AD514/1000</f>
        <v>0</v>
      </c>
      <c r="AF514" s="16"/>
      <c r="AG514" s="103">
        <f t="shared" si="48"/>
        <v>0</v>
      </c>
      <c r="AH514" s="37">
        <f t="shared" ref="AH514:AH577" si="50">AE514*AG514/14</f>
        <v>0</v>
      </c>
      <c r="AJ514" s="34"/>
      <c r="AK514" s="34"/>
      <c r="AU514" s="34"/>
      <c r="AV514" s="34"/>
    </row>
    <row r="515" spans="31:48" ht="16" x14ac:dyDescent="0.4">
      <c r="AE515" s="93">
        <f t="shared" si="49"/>
        <v>0</v>
      </c>
      <c r="AF515" s="16"/>
      <c r="AG515" s="103">
        <f t="shared" si="48"/>
        <v>0</v>
      </c>
      <c r="AH515" s="37">
        <f t="shared" si="50"/>
        <v>0</v>
      </c>
      <c r="AJ515" s="34"/>
      <c r="AK515" s="34"/>
      <c r="AU515" s="34"/>
      <c r="AV515" s="34"/>
    </row>
    <row r="516" spans="31:48" ht="16" x14ac:dyDescent="0.4">
      <c r="AE516" s="93">
        <f t="shared" si="49"/>
        <v>0</v>
      </c>
      <c r="AF516" s="16"/>
      <c r="AG516" s="103">
        <f t="shared" si="48"/>
        <v>0</v>
      </c>
      <c r="AH516" s="37">
        <f t="shared" si="50"/>
        <v>0</v>
      </c>
      <c r="AJ516" s="34"/>
      <c r="AK516" s="34"/>
      <c r="AU516" s="34"/>
      <c r="AV516" s="34"/>
    </row>
    <row r="517" spans="31:48" ht="16" x14ac:dyDescent="0.4">
      <c r="AE517" s="93">
        <f t="shared" si="49"/>
        <v>0</v>
      </c>
      <c r="AF517" s="16"/>
      <c r="AG517" s="103">
        <f t="shared" si="48"/>
        <v>0</v>
      </c>
      <c r="AH517" s="37">
        <f t="shared" si="50"/>
        <v>0</v>
      </c>
      <c r="AJ517" s="34"/>
      <c r="AK517" s="34"/>
      <c r="AU517" s="34"/>
      <c r="AV517" s="34"/>
    </row>
    <row r="518" spans="31:48" ht="16" x14ac:dyDescent="0.4">
      <c r="AE518" s="93">
        <f t="shared" si="49"/>
        <v>0</v>
      </c>
      <c r="AF518" s="16"/>
      <c r="AG518" s="103">
        <f t="shared" si="48"/>
        <v>0</v>
      </c>
      <c r="AH518" s="37">
        <f t="shared" si="50"/>
        <v>0</v>
      </c>
      <c r="AJ518" s="34"/>
      <c r="AK518" s="34"/>
      <c r="AU518" s="34"/>
      <c r="AV518" s="34"/>
    </row>
    <row r="519" spans="31:48" ht="16" x14ac:dyDescent="0.4">
      <c r="AE519" s="93">
        <f t="shared" si="49"/>
        <v>0</v>
      </c>
      <c r="AF519" s="16"/>
      <c r="AG519" s="103">
        <f t="shared" si="48"/>
        <v>0</v>
      </c>
      <c r="AH519" s="37">
        <f t="shared" si="50"/>
        <v>0</v>
      </c>
      <c r="AJ519" s="34"/>
      <c r="AK519" s="34"/>
      <c r="AU519" s="34"/>
      <c r="AV519" s="34"/>
    </row>
    <row r="520" spans="31:48" ht="16" x14ac:dyDescent="0.4">
      <c r="AE520" s="93">
        <f t="shared" si="49"/>
        <v>0</v>
      </c>
      <c r="AF520" s="16"/>
      <c r="AG520" s="103">
        <f t="shared" si="48"/>
        <v>0</v>
      </c>
      <c r="AH520" s="37">
        <f t="shared" si="50"/>
        <v>0</v>
      </c>
      <c r="AJ520" s="34"/>
      <c r="AK520" s="34"/>
      <c r="AU520" s="34"/>
      <c r="AV520" s="34"/>
    </row>
    <row r="521" spans="31:48" ht="16" x14ac:dyDescent="0.4">
      <c r="AE521" s="93">
        <f t="shared" si="49"/>
        <v>0</v>
      </c>
      <c r="AF521" s="16"/>
      <c r="AG521" s="103">
        <f t="shared" si="48"/>
        <v>0</v>
      </c>
      <c r="AH521" s="37">
        <f t="shared" si="50"/>
        <v>0</v>
      </c>
      <c r="AJ521" s="34"/>
      <c r="AK521" s="34"/>
      <c r="AU521" s="34"/>
      <c r="AV521" s="34"/>
    </row>
    <row r="522" spans="31:48" ht="16" x14ac:dyDescent="0.4">
      <c r="AE522" s="93">
        <f t="shared" si="49"/>
        <v>0</v>
      </c>
      <c r="AF522" s="16"/>
      <c r="AG522" s="103">
        <f t="shared" si="48"/>
        <v>0</v>
      </c>
      <c r="AH522" s="37">
        <f t="shared" si="50"/>
        <v>0</v>
      </c>
      <c r="AJ522" s="34"/>
      <c r="AK522" s="34"/>
      <c r="AU522" s="34"/>
      <c r="AV522" s="34"/>
    </row>
    <row r="523" spans="31:48" ht="16" x14ac:dyDescent="0.4">
      <c r="AE523" s="93">
        <f t="shared" si="49"/>
        <v>0</v>
      </c>
      <c r="AF523" s="16"/>
      <c r="AG523" s="103">
        <f t="shared" si="48"/>
        <v>0</v>
      </c>
      <c r="AH523" s="37">
        <f t="shared" si="50"/>
        <v>0</v>
      </c>
      <c r="AJ523" s="34"/>
      <c r="AK523" s="34"/>
      <c r="AU523" s="34"/>
      <c r="AV523" s="34"/>
    </row>
    <row r="524" spans="31:48" ht="16" x14ac:dyDescent="0.4">
      <c r="AE524" s="93">
        <f t="shared" si="49"/>
        <v>0</v>
      </c>
      <c r="AF524" s="16"/>
      <c r="AG524" s="103">
        <f t="shared" si="48"/>
        <v>0</v>
      </c>
      <c r="AH524" s="37">
        <f t="shared" si="50"/>
        <v>0</v>
      </c>
      <c r="AJ524" s="34"/>
      <c r="AK524" s="34"/>
      <c r="AU524" s="34"/>
      <c r="AV524" s="34"/>
    </row>
    <row r="525" spans="31:48" ht="16" x14ac:dyDescent="0.4">
      <c r="AE525" s="93">
        <f t="shared" si="49"/>
        <v>0</v>
      </c>
      <c r="AF525" s="16"/>
      <c r="AG525" s="103">
        <f t="shared" si="48"/>
        <v>0</v>
      </c>
      <c r="AH525" s="37">
        <f t="shared" si="50"/>
        <v>0</v>
      </c>
      <c r="AJ525" s="34"/>
      <c r="AK525" s="34"/>
      <c r="AU525" s="34"/>
      <c r="AV525" s="34"/>
    </row>
    <row r="526" spans="31:48" ht="16" x14ac:dyDescent="0.4">
      <c r="AE526" s="93">
        <f t="shared" si="49"/>
        <v>0</v>
      </c>
      <c r="AF526" s="16"/>
      <c r="AG526" s="103">
        <f t="shared" si="48"/>
        <v>0</v>
      </c>
      <c r="AH526" s="37">
        <f t="shared" si="50"/>
        <v>0</v>
      </c>
      <c r="AJ526" s="34"/>
      <c r="AK526" s="34"/>
      <c r="AU526" s="34"/>
      <c r="AV526" s="34"/>
    </row>
    <row r="527" spans="31:48" ht="16" x14ac:dyDescent="0.4">
      <c r="AE527" s="93">
        <f t="shared" si="49"/>
        <v>0</v>
      </c>
      <c r="AF527" s="16"/>
      <c r="AG527" s="103">
        <f t="shared" si="48"/>
        <v>0</v>
      </c>
      <c r="AH527" s="37">
        <f t="shared" si="50"/>
        <v>0</v>
      </c>
      <c r="AJ527" s="34"/>
      <c r="AK527" s="34"/>
      <c r="AU527" s="34"/>
      <c r="AV527" s="34"/>
    </row>
    <row r="528" spans="31:48" ht="16" x14ac:dyDescent="0.4">
      <c r="AE528" s="93">
        <f t="shared" si="49"/>
        <v>0</v>
      </c>
      <c r="AF528" s="16"/>
      <c r="AG528" s="103">
        <f t="shared" si="48"/>
        <v>0</v>
      </c>
      <c r="AH528" s="37">
        <f t="shared" si="50"/>
        <v>0</v>
      </c>
      <c r="AJ528" s="34"/>
      <c r="AK528" s="34"/>
      <c r="AU528" s="34"/>
      <c r="AV528" s="34"/>
    </row>
    <row r="529" spans="31:48" ht="16" x14ac:dyDescent="0.4">
      <c r="AE529" s="93">
        <f t="shared" si="49"/>
        <v>0</v>
      </c>
      <c r="AF529" s="16"/>
      <c r="AG529" s="103">
        <f t="shared" si="48"/>
        <v>0</v>
      </c>
      <c r="AH529" s="37">
        <f t="shared" si="50"/>
        <v>0</v>
      </c>
      <c r="AJ529" s="34"/>
      <c r="AK529" s="34"/>
      <c r="AU529" s="34"/>
      <c r="AV529" s="34"/>
    </row>
    <row r="530" spans="31:48" ht="16" x14ac:dyDescent="0.4">
      <c r="AE530" s="93">
        <f t="shared" si="49"/>
        <v>0</v>
      </c>
      <c r="AF530" s="16"/>
      <c r="AG530" s="103">
        <f t="shared" si="48"/>
        <v>0</v>
      </c>
      <c r="AH530" s="37">
        <f t="shared" si="50"/>
        <v>0</v>
      </c>
      <c r="AJ530" s="34"/>
      <c r="AK530" s="34"/>
      <c r="AU530" s="34"/>
      <c r="AV530" s="34"/>
    </row>
    <row r="531" spans="31:48" ht="16" x14ac:dyDescent="0.4">
      <c r="AE531" s="93">
        <f t="shared" si="49"/>
        <v>0</v>
      </c>
      <c r="AF531" s="16"/>
      <c r="AG531" s="103">
        <f t="shared" si="48"/>
        <v>0</v>
      </c>
      <c r="AH531" s="37">
        <f t="shared" si="50"/>
        <v>0</v>
      </c>
      <c r="AJ531" s="34"/>
      <c r="AK531" s="34"/>
      <c r="AU531" s="34"/>
      <c r="AV531" s="34"/>
    </row>
    <row r="532" spans="31:48" ht="16" x14ac:dyDescent="0.4">
      <c r="AE532" s="93">
        <f t="shared" si="49"/>
        <v>0</v>
      </c>
      <c r="AF532" s="16"/>
      <c r="AG532" s="103">
        <f t="shared" si="48"/>
        <v>0</v>
      </c>
      <c r="AH532" s="37">
        <f t="shared" si="50"/>
        <v>0</v>
      </c>
      <c r="AJ532" s="34"/>
      <c r="AK532" s="34"/>
      <c r="AU532" s="34"/>
      <c r="AV532" s="34"/>
    </row>
    <row r="533" spans="31:48" ht="16" x14ac:dyDescent="0.4">
      <c r="AE533" s="93">
        <f t="shared" si="49"/>
        <v>0</v>
      </c>
      <c r="AF533" s="16"/>
      <c r="AG533" s="103">
        <f t="shared" si="48"/>
        <v>0</v>
      </c>
      <c r="AH533" s="37">
        <f t="shared" si="50"/>
        <v>0</v>
      </c>
      <c r="AJ533" s="34"/>
      <c r="AK533" s="34"/>
      <c r="AU533" s="34"/>
      <c r="AV533" s="34"/>
    </row>
    <row r="534" spans="31:48" ht="16" x14ac:dyDescent="0.4">
      <c r="AE534" s="93">
        <f t="shared" si="49"/>
        <v>0</v>
      </c>
      <c r="AF534" s="16"/>
      <c r="AG534" s="103">
        <f t="shared" si="48"/>
        <v>0</v>
      </c>
      <c r="AH534" s="37">
        <f t="shared" si="50"/>
        <v>0</v>
      </c>
      <c r="AJ534" s="34"/>
      <c r="AK534" s="34"/>
      <c r="AU534" s="34"/>
      <c r="AV534" s="34"/>
    </row>
    <row r="535" spans="31:48" ht="16" x14ac:dyDescent="0.4">
      <c r="AE535" s="93">
        <f t="shared" si="49"/>
        <v>0</v>
      </c>
      <c r="AF535" s="16"/>
      <c r="AG535" s="103">
        <f t="shared" si="48"/>
        <v>0</v>
      </c>
      <c r="AH535" s="37">
        <f t="shared" si="50"/>
        <v>0</v>
      </c>
      <c r="AJ535" s="34"/>
      <c r="AK535" s="34"/>
      <c r="AU535" s="34"/>
      <c r="AV535" s="34"/>
    </row>
    <row r="536" spans="31:48" ht="16" x14ac:dyDescent="0.4">
      <c r="AE536" s="93">
        <f t="shared" si="49"/>
        <v>0</v>
      </c>
      <c r="AF536" s="16"/>
      <c r="AG536" s="103">
        <f t="shared" si="48"/>
        <v>0</v>
      </c>
      <c r="AH536" s="37">
        <f t="shared" si="50"/>
        <v>0</v>
      </c>
      <c r="AJ536" s="34"/>
      <c r="AK536" s="34"/>
      <c r="AU536" s="34"/>
      <c r="AV536" s="34"/>
    </row>
    <row r="537" spans="31:48" ht="16" x14ac:dyDescent="0.4">
      <c r="AE537" s="93">
        <f t="shared" si="49"/>
        <v>0</v>
      </c>
      <c r="AF537" s="16"/>
      <c r="AG537" s="103">
        <f t="shared" si="48"/>
        <v>0</v>
      </c>
      <c r="AH537" s="37">
        <f t="shared" si="50"/>
        <v>0</v>
      </c>
      <c r="AJ537" s="34"/>
      <c r="AK537" s="34"/>
      <c r="AU537" s="34"/>
      <c r="AV537" s="34"/>
    </row>
    <row r="538" spans="31:48" ht="16" x14ac:dyDescent="0.4">
      <c r="AE538" s="93">
        <f t="shared" si="49"/>
        <v>0</v>
      </c>
      <c r="AF538" s="16"/>
      <c r="AG538" s="103">
        <f t="shared" si="48"/>
        <v>0</v>
      </c>
      <c r="AH538" s="37">
        <f t="shared" si="50"/>
        <v>0</v>
      </c>
      <c r="AJ538" s="34"/>
      <c r="AK538" s="34"/>
      <c r="AU538" s="34"/>
      <c r="AV538" s="34"/>
    </row>
    <row r="539" spans="31:48" ht="16" x14ac:dyDescent="0.4">
      <c r="AE539" s="93">
        <f t="shared" si="49"/>
        <v>0</v>
      </c>
      <c r="AF539" s="16"/>
      <c r="AG539" s="103">
        <f t="shared" si="48"/>
        <v>0</v>
      </c>
      <c r="AH539" s="37">
        <f t="shared" si="50"/>
        <v>0</v>
      </c>
      <c r="AJ539" s="34"/>
      <c r="AK539" s="34"/>
      <c r="AU539" s="34"/>
      <c r="AV539" s="34"/>
    </row>
    <row r="540" spans="31:48" ht="16" x14ac:dyDescent="0.4">
      <c r="AE540" s="93">
        <f t="shared" si="49"/>
        <v>0</v>
      </c>
      <c r="AF540" s="16"/>
      <c r="AG540" s="103">
        <f t="shared" si="48"/>
        <v>0</v>
      </c>
      <c r="AH540" s="37">
        <f t="shared" si="50"/>
        <v>0</v>
      </c>
      <c r="AJ540" s="34"/>
      <c r="AK540" s="34"/>
      <c r="AU540" s="34"/>
      <c r="AV540" s="34"/>
    </row>
    <row r="541" spans="31:48" ht="16" x14ac:dyDescent="0.4">
      <c r="AE541" s="93">
        <f t="shared" si="49"/>
        <v>0</v>
      </c>
      <c r="AF541" s="16"/>
      <c r="AG541" s="103">
        <f t="shared" si="48"/>
        <v>0</v>
      </c>
      <c r="AH541" s="37">
        <f t="shared" si="50"/>
        <v>0</v>
      </c>
      <c r="AJ541" s="34"/>
      <c r="AK541" s="34"/>
      <c r="AU541" s="34"/>
      <c r="AV541" s="34"/>
    </row>
    <row r="542" spans="31:48" ht="16" x14ac:dyDescent="0.4">
      <c r="AE542" s="93">
        <f t="shared" si="49"/>
        <v>0</v>
      </c>
      <c r="AF542" s="16"/>
      <c r="AG542" s="103">
        <f t="shared" si="48"/>
        <v>0</v>
      </c>
      <c r="AH542" s="37">
        <f t="shared" si="50"/>
        <v>0</v>
      </c>
      <c r="AJ542" s="34"/>
      <c r="AK542" s="34"/>
      <c r="AU542" s="34"/>
      <c r="AV542" s="34"/>
    </row>
    <row r="543" spans="31:48" ht="16" x14ac:dyDescent="0.4">
      <c r="AE543" s="93">
        <f t="shared" si="49"/>
        <v>0</v>
      </c>
      <c r="AF543" s="16"/>
      <c r="AG543" s="103">
        <f t="shared" si="48"/>
        <v>0</v>
      </c>
      <c r="AH543" s="37">
        <f t="shared" si="50"/>
        <v>0</v>
      </c>
      <c r="AJ543" s="34"/>
      <c r="AK543" s="34"/>
      <c r="AU543" s="34"/>
      <c r="AV543" s="34"/>
    </row>
    <row r="544" spans="31:48" ht="16" x14ac:dyDescent="0.4">
      <c r="AE544" s="93">
        <f t="shared" si="49"/>
        <v>0</v>
      </c>
      <c r="AF544" s="16"/>
      <c r="AG544" s="103">
        <f t="shared" si="48"/>
        <v>0</v>
      </c>
      <c r="AH544" s="37">
        <f t="shared" si="50"/>
        <v>0</v>
      </c>
      <c r="AJ544" s="34"/>
      <c r="AK544" s="34"/>
      <c r="AU544" s="34"/>
      <c r="AV544" s="34"/>
    </row>
    <row r="545" spans="31:48" ht="16" x14ac:dyDescent="0.4">
      <c r="AE545" s="93">
        <f t="shared" si="49"/>
        <v>0</v>
      </c>
      <c r="AF545" s="16"/>
      <c r="AG545" s="103">
        <f t="shared" si="48"/>
        <v>0</v>
      </c>
      <c r="AH545" s="37">
        <f t="shared" si="50"/>
        <v>0</v>
      </c>
      <c r="AJ545" s="34"/>
      <c r="AK545" s="34"/>
      <c r="AU545" s="34"/>
      <c r="AV545" s="34"/>
    </row>
    <row r="546" spans="31:48" ht="16" x14ac:dyDescent="0.4">
      <c r="AE546" s="93">
        <f t="shared" si="49"/>
        <v>0</v>
      </c>
      <c r="AF546" s="16"/>
      <c r="AG546" s="103">
        <f t="shared" si="48"/>
        <v>0</v>
      </c>
      <c r="AH546" s="37">
        <f t="shared" si="50"/>
        <v>0</v>
      </c>
      <c r="AJ546" s="34"/>
      <c r="AK546" s="34"/>
      <c r="AU546" s="34"/>
      <c r="AV546" s="34"/>
    </row>
    <row r="547" spans="31:48" ht="16" x14ac:dyDescent="0.4">
      <c r="AE547" s="93">
        <f t="shared" si="49"/>
        <v>0</v>
      </c>
      <c r="AF547" s="16"/>
      <c r="AG547" s="103">
        <f t="shared" si="48"/>
        <v>0</v>
      </c>
      <c r="AH547" s="37">
        <f t="shared" si="50"/>
        <v>0</v>
      </c>
      <c r="AJ547" s="34"/>
      <c r="AK547" s="34"/>
      <c r="AU547" s="34"/>
      <c r="AV547" s="34"/>
    </row>
    <row r="548" spans="31:48" ht="16" x14ac:dyDescent="0.4">
      <c r="AE548" s="93">
        <f t="shared" si="49"/>
        <v>0</v>
      </c>
      <c r="AF548" s="16"/>
      <c r="AG548" s="103">
        <f t="shared" si="48"/>
        <v>0</v>
      </c>
      <c r="AH548" s="37">
        <f t="shared" si="50"/>
        <v>0</v>
      </c>
      <c r="AJ548" s="34"/>
      <c r="AK548" s="34"/>
      <c r="AU548" s="34"/>
      <c r="AV548" s="34"/>
    </row>
    <row r="549" spans="31:48" ht="16" x14ac:dyDescent="0.4">
      <c r="AE549" s="93">
        <f t="shared" si="49"/>
        <v>0</v>
      </c>
      <c r="AF549" s="16"/>
      <c r="AG549" s="103">
        <f t="shared" si="48"/>
        <v>0</v>
      </c>
      <c r="AH549" s="37">
        <f t="shared" si="50"/>
        <v>0</v>
      </c>
      <c r="AJ549" s="34"/>
      <c r="AK549" s="34"/>
      <c r="AU549" s="34"/>
      <c r="AV549" s="34"/>
    </row>
    <row r="550" spans="31:48" ht="16" x14ac:dyDescent="0.4">
      <c r="AE550" s="93">
        <f t="shared" si="49"/>
        <v>0</v>
      </c>
      <c r="AF550" s="16"/>
      <c r="AG550" s="103">
        <f t="shared" si="48"/>
        <v>0</v>
      </c>
      <c r="AH550" s="37">
        <f t="shared" si="50"/>
        <v>0</v>
      </c>
      <c r="AJ550" s="34"/>
      <c r="AK550" s="34"/>
      <c r="AU550" s="34"/>
      <c r="AV550" s="34"/>
    </row>
    <row r="551" spans="31:48" ht="16" x14ac:dyDescent="0.4">
      <c r="AE551" s="93">
        <f t="shared" si="49"/>
        <v>0</v>
      </c>
      <c r="AF551" s="16"/>
      <c r="AG551" s="103">
        <f t="shared" si="48"/>
        <v>0</v>
      </c>
      <c r="AH551" s="37">
        <f t="shared" si="50"/>
        <v>0</v>
      </c>
      <c r="AJ551" s="34"/>
      <c r="AK551" s="34"/>
      <c r="AU551" s="34"/>
      <c r="AV551" s="34"/>
    </row>
    <row r="552" spans="31:48" ht="16" x14ac:dyDescent="0.4">
      <c r="AE552" s="93">
        <f t="shared" si="49"/>
        <v>0</v>
      </c>
      <c r="AF552" s="16"/>
      <c r="AG552" s="103">
        <f t="shared" si="48"/>
        <v>0</v>
      </c>
      <c r="AH552" s="37">
        <f t="shared" si="50"/>
        <v>0</v>
      </c>
      <c r="AJ552" s="34"/>
      <c r="AK552" s="34"/>
      <c r="AU552" s="34"/>
      <c r="AV552" s="34"/>
    </row>
    <row r="553" spans="31:48" ht="16" x14ac:dyDescent="0.4">
      <c r="AE553" s="93">
        <f t="shared" si="49"/>
        <v>0</v>
      </c>
      <c r="AF553" s="16"/>
      <c r="AG553" s="103">
        <f t="shared" si="48"/>
        <v>0</v>
      </c>
      <c r="AH553" s="37">
        <f t="shared" si="50"/>
        <v>0</v>
      </c>
      <c r="AJ553" s="34"/>
      <c r="AK553" s="34"/>
      <c r="AU553" s="34"/>
      <c r="AV553" s="34"/>
    </row>
    <row r="554" spans="31:48" ht="16" x14ac:dyDescent="0.4">
      <c r="AE554" s="93">
        <f t="shared" si="49"/>
        <v>0</v>
      </c>
      <c r="AF554" s="16"/>
      <c r="AG554" s="103">
        <f t="shared" si="48"/>
        <v>0</v>
      </c>
      <c r="AH554" s="37">
        <f t="shared" si="50"/>
        <v>0</v>
      </c>
      <c r="AJ554" s="34"/>
      <c r="AK554" s="34"/>
      <c r="AU554" s="34"/>
      <c r="AV554" s="34"/>
    </row>
    <row r="555" spans="31:48" ht="16" x14ac:dyDescent="0.4">
      <c r="AE555" s="93">
        <f t="shared" si="49"/>
        <v>0</v>
      </c>
      <c r="AF555" s="16"/>
      <c r="AG555" s="103">
        <f t="shared" si="48"/>
        <v>0</v>
      </c>
      <c r="AH555" s="37">
        <f t="shared" si="50"/>
        <v>0</v>
      </c>
      <c r="AJ555" s="34"/>
      <c r="AK555" s="34"/>
      <c r="AU555" s="34"/>
      <c r="AV555" s="34"/>
    </row>
    <row r="556" spans="31:48" ht="16" x14ac:dyDescent="0.4">
      <c r="AE556" s="93">
        <f t="shared" si="49"/>
        <v>0</v>
      </c>
      <c r="AF556" s="16"/>
      <c r="AG556" s="103">
        <f t="shared" si="48"/>
        <v>0</v>
      </c>
      <c r="AH556" s="37">
        <f t="shared" si="50"/>
        <v>0</v>
      </c>
      <c r="AJ556" s="34"/>
      <c r="AK556" s="34"/>
      <c r="AU556" s="34"/>
      <c r="AV556" s="34"/>
    </row>
    <row r="557" spans="31:48" ht="16" x14ac:dyDescent="0.4">
      <c r="AE557" s="93">
        <f t="shared" si="49"/>
        <v>0</v>
      </c>
      <c r="AF557" s="16"/>
      <c r="AG557" s="103">
        <f t="shared" si="48"/>
        <v>0</v>
      </c>
      <c r="AH557" s="37">
        <f t="shared" si="50"/>
        <v>0</v>
      </c>
      <c r="AJ557" s="34"/>
      <c r="AK557" s="34"/>
      <c r="AU557" s="34"/>
      <c r="AV557" s="34"/>
    </row>
    <row r="558" spans="31:48" ht="16" x14ac:dyDescent="0.4">
      <c r="AE558" s="93">
        <f t="shared" si="49"/>
        <v>0</v>
      </c>
      <c r="AF558" s="16"/>
      <c r="AG558" s="103">
        <f t="shared" si="48"/>
        <v>0</v>
      </c>
      <c r="AH558" s="37">
        <f t="shared" si="50"/>
        <v>0</v>
      </c>
      <c r="AJ558" s="34"/>
      <c r="AK558" s="34"/>
      <c r="AU558" s="34"/>
      <c r="AV558" s="34"/>
    </row>
    <row r="559" spans="31:48" ht="16" x14ac:dyDescent="0.4">
      <c r="AE559" s="93">
        <f t="shared" si="49"/>
        <v>0</v>
      </c>
      <c r="AF559" s="16"/>
      <c r="AG559" s="103">
        <f t="shared" si="48"/>
        <v>0</v>
      </c>
      <c r="AH559" s="37">
        <f t="shared" si="50"/>
        <v>0</v>
      </c>
      <c r="AJ559" s="34"/>
      <c r="AK559" s="34"/>
      <c r="AU559" s="34"/>
      <c r="AV559" s="34"/>
    </row>
    <row r="560" spans="31:48" ht="16" x14ac:dyDescent="0.4">
      <c r="AE560" s="93">
        <f t="shared" si="49"/>
        <v>0</v>
      </c>
      <c r="AF560" s="16"/>
      <c r="AG560" s="103">
        <f t="shared" si="48"/>
        <v>0</v>
      </c>
      <c r="AH560" s="37">
        <f t="shared" si="50"/>
        <v>0</v>
      </c>
      <c r="AJ560" s="34"/>
      <c r="AK560" s="34"/>
      <c r="AU560" s="34"/>
      <c r="AV560" s="34"/>
    </row>
    <row r="561" spans="31:48" ht="16" x14ac:dyDescent="0.4">
      <c r="AE561" s="93">
        <f t="shared" si="49"/>
        <v>0</v>
      </c>
      <c r="AF561" s="16"/>
      <c r="AG561" s="103">
        <f t="shared" si="48"/>
        <v>0</v>
      </c>
      <c r="AH561" s="37">
        <f t="shared" si="50"/>
        <v>0</v>
      </c>
      <c r="AJ561" s="34"/>
      <c r="AK561" s="34"/>
      <c r="AU561" s="34"/>
      <c r="AV561" s="34"/>
    </row>
    <row r="562" spans="31:48" ht="16" x14ac:dyDescent="0.4">
      <c r="AE562" s="93">
        <f t="shared" si="49"/>
        <v>0</v>
      </c>
      <c r="AF562" s="16"/>
      <c r="AG562" s="103">
        <f t="shared" si="48"/>
        <v>0</v>
      </c>
      <c r="AH562" s="37">
        <f t="shared" si="50"/>
        <v>0</v>
      </c>
      <c r="AJ562" s="34"/>
      <c r="AK562" s="34"/>
      <c r="AU562" s="34"/>
      <c r="AV562" s="34"/>
    </row>
    <row r="563" spans="31:48" ht="16" x14ac:dyDescent="0.4">
      <c r="AE563" s="93">
        <f t="shared" si="49"/>
        <v>0</v>
      </c>
      <c r="AF563" s="16"/>
      <c r="AG563" s="103">
        <f t="shared" si="48"/>
        <v>0</v>
      </c>
      <c r="AH563" s="37">
        <f t="shared" si="50"/>
        <v>0</v>
      </c>
      <c r="AJ563" s="34"/>
      <c r="AK563" s="34"/>
      <c r="AU563" s="34"/>
      <c r="AV563" s="34"/>
    </row>
    <row r="564" spans="31:48" ht="16" x14ac:dyDescent="0.4">
      <c r="AE564" s="93">
        <f t="shared" si="49"/>
        <v>0</v>
      </c>
      <c r="AF564" s="16"/>
      <c r="AG564" s="103">
        <f t="shared" si="48"/>
        <v>0</v>
      </c>
      <c r="AH564" s="37">
        <f t="shared" si="50"/>
        <v>0</v>
      </c>
      <c r="AJ564" s="34"/>
      <c r="AK564" s="34"/>
      <c r="AU564" s="34"/>
      <c r="AV564" s="34"/>
    </row>
    <row r="565" spans="31:48" ht="16" x14ac:dyDescent="0.4">
      <c r="AE565" s="93">
        <f t="shared" si="49"/>
        <v>0</v>
      </c>
      <c r="AF565" s="16"/>
      <c r="AG565" s="103">
        <f t="shared" si="48"/>
        <v>0</v>
      </c>
      <c r="AH565" s="37">
        <f t="shared" si="50"/>
        <v>0</v>
      </c>
      <c r="AJ565" s="34"/>
      <c r="AK565" s="34"/>
      <c r="AU565" s="34"/>
      <c r="AV565" s="34"/>
    </row>
    <row r="566" spans="31:48" ht="16" x14ac:dyDescent="0.4">
      <c r="AE566" s="93">
        <f t="shared" si="49"/>
        <v>0</v>
      </c>
      <c r="AF566" s="16"/>
      <c r="AG566" s="103">
        <f t="shared" si="48"/>
        <v>0</v>
      </c>
      <c r="AH566" s="37">
        <f t="shared" si="50"/>
        <v>0</v>
      </c>
      <c r="AJ566" s="34"/>
      <c r="AK566" s="34"/>
      <c r="AU566" s="34"/>
      <c r="AV566" s="34"/>
    </row>
    <row r="567" spans="31:48" ht="16" x14ac:dyDescent="0.4">
      <c r="AE567" s="93">
        <f t="shared" si="49"/>
        <v>0</v>
      </c>
      <c r="AF567" s="16"/>
      <c r="AG567" s="103">
        <f t="shared" si="48"/>
        <v>0</v>
      </c>
      <c r="AH567" s="37">
        <f t="shared" si="50"/>
        <v>0</v>
      </c>
      <c r="AJ567" s="34"/>
      <c r="AK567" s="34"/>
      <c r="AU567" s="34"/>
      <c r="AV567" s="34"/>
    </row>
    <row r="568" spans="31:48" ht="16" x14ac:dyDescent="0.4">
      <c r="AE568" s="93">
        <f t="shared" si="49"/>
        <v>0</v>
      </c>
      <c r="AF568" s="16"/>
      <c r="AG568" s="103">
        <f t="shared" si="48"/>
        <v>0</v>
      </c>
      <c r="AH568" s="37">
        <f t="shared" si="50"/>
        <v>0</v>
      </c>
      <c r="AJ568" s="34"/>
      <c r="AK568" s="34"/>
      <c r="AU568" s="34"/>
      <c r="AV568" s="34"/>
    </row>
    <row r="569" spans="31:48" ht="16" x14ac:dyDescent="0.4">
      <c r="AE569" s="93">
        <f t="shared" si="49"/>
        <v>0</v>
      </c>
      <c r="AF569" s="16"/>
      <c r="AG569" s="103">
        <f t="shared" si="48"/>
        <v>0</v>
      </c>
      <c r="AH569" s="37">
        <f t="shared" si="50"/>
        <v>0</v>
      </c>
      <c r="AJ569" s="34"/>
      <c r="AK569" s="34"/>
      <c r="AU569" s="34"/>
      <c r="AV569" s="34"/>
    </row>
    <row r="570" spans="31:48" ht="16" x14ac:dyDescent="0.4">
      <c r="AE570" s="93">
        <f t="shared" si="49"/>
        <v>0</v>
      </c>
      <c r="AF570" s="16"/>
      <c r="AG570" s="103">
        <f t="shared" si="48"/>
        <v>0</v>
      </c>
      <c r="AH570" s="37">
        <f t="shared" si="50"/>
        <v>0</v>
      </c>
      <c r="AJ570" s="34"/>
      <c r="AK570" s="34"/>
      <c r="AU570" s="34"/>
      <c r="AV570" s="34"/>
    </row>
    <row r="571" spans="31:48" ht="16" x14ac:dyDescent="0.4">
      <c r="AE571" s="93">
        <f t="shared" si="49"/>
        <v>0</v>
      </c>
      <c r="AF571" s="16"/>
      <c r="AG571" s="103">
        <f t="shared" si="48"/>
        <v>0</v>
      </c>
      <c r="AH571" s="37">
        <f t="shared" si="50"/>
        <v>0</v>
      </c>
      <c r="AJ571" s="34"/>
      <c r="AK571" s="34"/>
      <c r="AU571" s="34"/>
      <c r="AV571" s="34"/>
    </row>
    <row r="572" spans="31:48" ht="16" x14ac:dyDescent="0.4">
      <c r="AE572" s="93">
        <f t="shared" si="49"/>
        <v>0</v>
      </c>
      <c r="AF572" s="16"/>
      <c r="AG572" s="103">
        <f t="shared" si="48"/>
        <v>0</v>
      </c>
      <c r="AH572" s="37">
        <f t="shared" si="50"/>
        <v>0</v>
      </c>
      <c r="AJ572" s="34"/>
      <c r="AK572" s="34"/>
      <c r="AU572" s="34"/>
      <c r="AV572" s="34"/>
    </row>
    <row r="573" spans="31:48" ht="16" x14ac:dyDescent="0.4">
      <c r="AE573" s="93">
        <f t="shared" si="49"/>
        <v>0</v>
      </c>
      <c r="AF573" s="16"/>
      <c r="AG573" s="103">
        <f t="shared" si="48"/>
        <v>0</v>
      </c>
      <c r="AH573" s="37">
        <f t="shared" si="50"/>
        <v>0</v>
      </c>
      <c r="AJ573" s="34"/>
      <c r="AK573" s="34"/>
      <c r="AU573" s="34"/>
      <c r="AV573" s="34"/>
    </row>
    <row r="574" spans="31:48" ht="16" x14ac:dyDescent="0.4">
      <c r="AE574" s="93">
        <f t="shared" si="49"/>
        <v>0</v>
      </c>
      <c r="AF574" s="16"/>
      <c r="AG574" s="103">
        <f t="shared" si="48"/>
        <v>0</v>
      </c>
      <c r="AH574" s="37">
        <f t="shared" si="50"/>
        <v>0</v>
      </c>
      <c r="AJ574" s="34"/>
      <c r="AK574" s="34"/>
      <c r="AU574" s="34"/>
      <c r="AV574" s="34"/>
    </row>
    <row r="575" spans="31:48" ht="16" x14ac:dyDescent="0.4">
      <c r="AE575" s="93">
        <f t="shared" si="49"/>
        <v>0</v>
      </c>
      <c r="AF575" s="16"/>
      <c r="AG575" s="103">
        <f t="shared" si="48"/>
        <v>0</v>
      </c>
      <c r="AH575" s="37">
        <f t="shared" si="50"/>
        <v>0</v>
      </c>
      <c r="AJ575" s="34"/>
      <c r="AK575" s="34"/>
      <c r="AU575" s="34"/>
      <c r="AV575" s="34"/>
    </row>
    <row r="576" spans="31:48" ht="16" x14ac:dyDescent="0.4">
      <c r="AE576" s="93">
        <f t="shared" si="49"/>
        <v>0</v>
      </c>
      <c r="AF576" s="16"/>
      <c r="AG576" s="103">
        <f t="shared" si="48"/>
        <v>0</v>
      </c>
      <c r="AH576" s="37">
        <f t="shared" si="50"/>
        <v>0</v>
      </c>
      <c r="AJ576" s="34"/>
      <c r="AK576" s="34"/>
      <c r="AU576" s="34"/>
      <c r="AV576" s="34"/>
    </row>
    <row r="577" spans="31:48" ht="16" x14ac:dyDescent="0.4">
      <c r="AE577" s="93">
        <f t="shared" si="49"/>
        <v>0</v>
      </c>
      <c r="AF577" s="16"/>
      <c r="AG577" s="103">
        <f t="shared" ref="AG577:AG640" si="51">IF($AF577&gt;14,14,$AF577)</f>
        <v>0</v>
      </c>
      <c r="AH577" s="37">
        <f t="shared" si="50"/>
        <v>0</v>
      </c>
      <c r="AJ577" s="34"/>
      <c r="AK577" s="34"/>
      <c r="AU577" s="34"/>
      <c r="AV577" s="34"/>
    </row>
    <row r="578" spans="31:48" ht="16" x14ac:dyDescent="0.4">
      <c r="AE578" s="93">
        <f t="shared" ref="AE578:AE641" si="52">AD578/1000</f>
        <v>0</v>
      </c>
      <c r="AF578" s="16"/>
      <c r="AG578" s="103">
        <f t="shared" si="51"/>
        <v>0</v>
      </c>
      <c r="AH578" s="37">
        <f t="shared" ref="AH578:AH641" si="53">AE578*AG578/14</f>
        <v>0</v>
      </c>
      <c r="AJ578" s="34"/>
      <c r="AK578" s="34"/>
      <c r="AU578" s="34"/>
      <c r="AV578" s="34"/>
    </row>
    <row r="579" spans="31:48" ht="16" x14ac:dyDescent="0.4">
      <c r="AE579" s="93">
        <f t="shared" si="52"/>
        <v>0</v>
      </c>
      <c r="AF579" s="16"/>
      <c r="AG579" s="103">
        <f t="shared" si="51"/>
        <v>0</v>
      </c>
      <c r="AH579" s="37">
        <f t="shared" si="53"/>
        <v>0</v>
      </c>
      <c r="AJ579" s="34"/>
      <c r="AK579" s="34"/>
      <c r="AU579" s="34"/>
      <c r="AV579" s="34"/>
    </row>
    <row r="580" spans="31:48" ht="16" x14ac:dyDescent="0.4">
      <c r="AE580" s="93">
        <f t="shared" si="52"/>
        <v>0</v>
      </c>
      <c r="AF580" s="16"/>
      <c r="AG580" s="103">
        <f t="shared" si="51"/>
        <v>0</v>
      </c>
      <c r="AH580" s="37">
        <f t="shared" si="53"/>
        <v>0</v>
      </c>
      <c r="AJ580" s="34"/>
      <c r="AK580" s="34"/>
      <c r="AU580" s="34"/>
      <c r="AV580" s="34"/>
    </row>
    <row r="581" spans="31:48" ht="16" x14ac:dyDescent="0.4">
      <c r="AE581" s="93">
        <f t="shared" si="52"/>
        <v>0</v>
      </c>
      <c r="AF581" s="16"/>
      <c r="AG581" s="103">
        <f t="shared" si="51"/>
        <v>0</v>
      </c>
      <c r="AH581" s="37">
        <f t="shared" si="53"/>
        <v>0</v>
      </c>
      <c r="AJ581" s="34"/>
      <c r="AK581" s="34"/>
      <c r="AU581" s="34"/>
      <c r="AV581" s="34"/>
    </row>
    <row r="582" spans="31:48" ht="16" x14ac:dyDescent="0.4">
      <c r="AE582" s="93">
        <f t="shared" si="52"/>
        <v>0</v>
      </c>
      <c r="AF582" s="16"/>
      <c r="AG582" s="103">
        <f t="shared" si="51"/>
        <v>0</v>
      </c>
      <c r="AH582" s="37">
        <f t="shared" si="53"/>
        <v>0</v>
      </c>
      <c r="AJ582" s="34"/>
      <c r="AK582" s="34"/>
      <c r="AU582" s="34"/>
      <c r="AV582" s="34"/>
    </row>
    <row r="583" spans="31:48" ht="16" x14ac:dyDescent="0.4">
      <c r="AE583" s="93">
        <f t="shared" si="52"/>
        <v>0</v>
      </c>
      <c r="AF583" s="16"/>
      <c r="AG583" s="103">
        <f t="shared" si="51"/>
        <v>0</v>
      </c>
      <c r="AH583" s="37">
        <f t="shared" si="53"/>
        <v>0</v>
      </c>
      <c r="AJ583" s="34"/>
      <c r="AK583" s="34"/>
      <c r="AU583" s="34"/>
      <c r="AV583" s="34"/>
    </row>
    <row r="584" spans="31:48" ht="16" x14ac:dyDescent="0.4">
      <c r="AE584" s="93">
        <f t="shared" si="52"/>
        <v>0</v>
      </c>
      <c r="AF584" s="16"/>
      <c r="AG584" s="103">
        <f t="shared" si="51"/>
        <v>0</v>
      </c>
      <c r="AH584" s="37">
        <f t="shared" si="53"/>
        <v>0</v>
      </c>
      <c r="AJ584" s="34"/>
      <c r="AK584" s="34"/>
      <c r="AU584" s="34"/>
      <c r="AV584" s="34"/>
    </row>
    <row r="585" spans="31:48" ht="16" x14ac:dyDescent="0.4">
      <c r="AE585" s="93">
        <f t="shared" si="52"/>
        <v>0</v>
      </c>
      <c r="AF585" s="16"/>
      <c r="AG585" s="103">
        <f t="shared" si="51"/>
        <v>0</v>
      </c>
      <c r="AH585" s="37">
        <f t="shared" si="53"/>
        <v>0</v>
      </c>
      <c r="AJ585" s="34"/>
      <c r="AK585" s="34"/>
      <c r="AU585" s="34"/>
      <c r="AV585" s="34"/>
    </row>
    <row r="586" spans="31:48" ht="16" x14ac:dyDescent="0.4">
      <c r="AE586" s="93">
        <f t="shared" si="52"/>
        <v>0</v>
      </c>
      <c r="AF586" s="16"/>
      <c r="AG586" s="103">
        <f t="shared" si="51"/>
        <v>0</v>
      </c>
      <c r="AH586" s="37">
        <f t="shared" si="53"/>
        <v>0</v>
      </c>
      <c r="AJ586" s="34"/>
      <c r="AK586" s="34"/>
      <c r="AU586" s="34"/>
      <c r="AV586" s="34"/>
    </row>
    <row r="587" spans="31:48" ht="16" x14ac:dyDescent="0.4">
      <c r="AE587" s="93">
        <f t="shared" si="52"/>
        <v>0</v>
      </c>
      <c r="AF587" s="16"/>
      <c r="AG587" s="103">
        <f t="shared" si="51"/>
        <v>0</v>
      </c>
      <c r="AH587" s="37">
        <f t="shared" si="53"/>
        <v>0</v>
      </c>
      <c r="AJ587" s="34"/>
      <c r="AK587" s="34"/>
      <c r="AU587" s="34"/>
      <c r="AV587" s="34"/>
    </row>
    <row r="588" spans="31:48" ht="16" x14ac:dyDescent="0.4">
      <c r="AE588" s="93">
        <f t="shared" si="52"/>
        <v>0</v>
      </c>
      <c r="AF588" s="16"/>
      <c r="AG588" s="103">
        <f t="shared" si="51"/>
        <v>0</v>
      </c>
      <c r="AH588" s="37">
        <f t="shared" si="53"/>
        <v>0</v>
      </c>
      <c r="AJ588" s="34"/>
      <c r="AK588" s="34"/>
      <c r="AU588" s="34"/>
      <c r="AV588" s="34"/>
    </row>
    <row r="589" spans="31:48" ht="16" x14ac:dyDescent="0.4">
      <c r="AE589" s="93">
        <f t="shared" si="52"/>
        <v>0</v>
      </c>
      <c r="AF589" s="16"/>
      <c r="AG589" s="103">
        <f t="shared" si="51"/>
        <v>0</v>
      </c>
      <c r="AH589" s="37">
        <f t="shared" si="53"/>
        <v>0</v>
      </c>
      <c r="AJ589" s="34"/>
      <c r="AK589" s="34"/>
      <c r="AU589" s="34"/>
      <c r="AV589" s="34"/>
    </row>
    <row r="590" spans="31:48" ht="16" x14ac:dyDescent="0.4">
      <c r="AE590" s="93">
        <f t="shared" si="52"/>
        <v>0</v>
      </c>
      <c r="AF590" s="16"/>
      <c r="AG590" s="103">
        <f t="shared" si="51"/>
        <v>0</v>
      </c>
      <c r="AH590" s="37">
        <f t="shared" si="53"/>
        <v>0</v>
      </c>
      <c r="AJ590" s="34"/>
      <c r="AK590" s="34"/>
      <c r="AU590" s="34"/>
      <c r="AV590" s="34"/>
    </row>
    <row r="591" spans="31:48" ht="16" x14ac:dyDescent="0.4">
      <c r="AE591" s="93">
        <f t="shared" si="52"/>
        <v>0</v>
      </c>
      <c r="AF591" s="16"/>
      <c r="AG591" s="103">
        <f t="shared" si="51"/>
        <v>0</v>
      </c>
      <c r="AH591" s="37">
        <f t="shared" si="53"/>
        <v>0</v>
      </c>
      <c r="AJ591" s="34"/>
      <c r="AK591" s="34"/>
      <c r="AU591" s="34"/>
      <c r="AV591" s="34"/>
    </row>
    <row r="592" spans="31:48" ht="16" x14ac:dyDescent="0.4">
      <c r="AE592" s="93">
        <f t="shared" si="52"/>
        <v>0</v>
      </c>
      <c r="AF592" s="16"/>
      <c r="AG592" s="103">
        <f t="shared" si="51"/>
        <v>0</v>
      </c>
      <c r="AH592" s="37">
        <f t="shared" si="53"/>
        <v>0</v>
      </c>
      <c r="AJ592" s="34"/>
      <c r="AK592" s="34"/>
      <c r="AU592" s="34"/>
      <c r="AV592" s="34"/>
    </row>
    <row r="593" spans="31:48" ht="16" x14ac:dyDescent="0.4">
      <c r="AE593" s="93">
        <f t="shared" si="52"/>
        <v>0</v>
      </c>
      <c r="AF593" s="16"/>
      <c r="AG593" s="103">
        <f t="shared" si="51"/>
        <v>0</v>
      </c>
      <c r="AH593" s="37">
        <f t="shared" si="53"/>
        <v>0</v>
      </c>
      <c r="AJ593" s="34"/>
      <c r="AK593" s="34"/>
      <c r="AU593" s="34"/>
      <c r="AV593" s="34"/>
    </row>
    <row r="594" spans="31:48" ht="16" x14ac:dyDescent="0.4">
      <c r="AE594" s="93">
        <f t="shared" si="52"/>
        <v>0</v>
      </c>
      <c r="AF594" s="16"/>
      <c r="AG594" s="103">
        <f t="shared" si="51"/>
        <v>0</v>
      </c>
      <c r="AH594" s="37">
        <f t="shared" si="53"/>
        <v>0</v>
      </c>
      <c r="AJ594" s="34"/>
      <c r="AK594" s="34"/>
      <c r="AU594" s="34"/>
      <c r="AV594" s="34"/>
    </row>
    <row r="595" spans="31:48" ht="16" x14ac:dyDescent="0.4">
      <c r="AE595" s="93">
        <f t="shared" si="52"/>
        <v>0</v>
      </c>
      <c r="AF595" s="16"/>
      <c r="AG595" s="103">
        <f t="shared" si="51"/>
        <v>0</v>
      </c>
      <c r="AH595" s="37">
        <f t="shared" si="53"/>
        <v>0</v>
      </c>
      <c r="AJ595" s="34"/>
      <c r="AK595" s="34"/>
      <c r="AU595" s="34"/>
      <c r="AV595" s="34"/>
    </row>
    <row r="596" spans="31:48" ht="16" x14ac:dyDescent="0.4">
      <c r="AE596" s="93">
        <f t="shared" si="52"/>
        <v>0</v>
      </c>
      <c r="AF596" s="16"/>
      <c r="AG596" s="103">
        <f t="shared" si="51"/>
        <v>0</v>
      </c>
      <c r="AH596" s="37">
        <f t="shared" si="53"/>
        <v>0</v>
      </c>
      <c r="AJ596" s="34"/>
      <c r="AK596" s="34"/>
      <c r="AU596" s="34"/>
      <c r="AV596" s="34"/>
    </row>
    <row r="597" spans="31:48" ht="16" x14ac:dyDescent="0.4">
      <c r="AE597" s="93">
        <f t="shared" si="52"/>
        <v>0</v>
      </c>
      <c r="AF597" s="16"/>
      <c r="AG597" s="103">
        <f t="shared" si="51"/>
        <v>0</v>
      </c>
      <c r="AH597" s="37">
        <f t="shared" si="53"/>
        <v>0</v>
      </c>
      <c r="AJ597" s="34"/>
      <c r="AK597" s="34"/>
      <c r="AU597" s="34"/>
      <c r="AV597" s="34"/>
    </row>
    <row r="598" spans="31:48" ht="16" x14ac:dyDescent="0.4">
      <c r="AE598" s="93">
        <f t="shared" si="52"/>
        <v>0</v>
      </c>
      <c r="AF598" s="16"/>
      <c r="AG598" s="103">
        <f t="shared" si="51"/>
        <v>0</v>
      </c>
      <c r="AH598" s="37">
        <f t="shared" si="53"/>
        <v>0</v>
      </c>
      <c r="AJ598" s="34"/>
      <c r="AK598" s="34"/>
      <c r="AU598" s="34"/>
      <c r="AV598" s="34"/>
    </row>
    <row r="599" spans="31:48" ht="16" x14ac:dyDescent="0.4">
      <c r="AE599" s="93">
        <f t="shared" si="52"/>
        <v>0</v>
      </c>
      <c r="AF599" s="16"/>
      <c r="AG599" s="103">
        <f t="shared" si="51"/>
        <v>0</v>
      </c>
      <c r="AH599" s="37">
        <f t="shared" si="53"/>
        <v>0</v>
      </c>
      <c r="AJ599" s="34"/>
      <c r="AK599" s="34"/>
      <c r="AU599" s="34"/>
      <c r="AV599" s="34"/>
    </row>
    <row r="600" spans="31:48" ht="16" x14ac:dyDescent="0.4">
      <c r="AE600" s="93">
        <f t="shared" si="52"/>
        <v>0</v>
      </c>
      <c r="AF600" s="16"/>
      <c r="AG600" s="103">
        <f t="shared" si="51"/>
        <v>0</v>
      </c>
      <c r="AH600" s="37">
        <f t="shared" si="53"/>
        <v>0</v>
      </c>
      <c r="AJ600" s="34"/>
      <c r="AK600" s="34"/>
      <c r="AU600" s="34"/>
      <c r="AV600" s="34"/>
    </row>
    <row r="601" spans="31:48" ht="16" x14ac:dyDescent="0.4">
      <c r="AE601" s="93">
        <f t="shared" si="52"/>
        <v>0</v>
      </c>
      <c r="AF601" s="16"/>
      <c r="AG601" s="103">
        <f t="shared" si="51"/>
        <v>0</v>
      </c>
      <c r="AH601" s="37">
        <f t="shared" si="53"/>
        <v>0</v>
      </c>
      <c r="AJ601" s="34"/>
      <c r="AK601" s="34"/>
      <c r="AU601" s="34"/>
      <c r="AV601" s="34"/>
    </row>
    <row r="602" spans="31:48" ht="16" x14ac:dyDescent="0.4">
      <c r="AE602" s="93">
        <f t="shared" si="52"/>
        <v>0</v>
      </c>
      <c r="AF602" s="16"/>
      <c r="AG602" s="103">
        <f t="shared" si="51"/>
        <v>0</v>
      </c>
      <c r="AH602" s="37">
        <f t="shared" si="53"/>
        <v>0</v>
      </c>
      <c r="AJ602" s="34"/>
      <c r="AK602" s="34"/>
      <c r="AU602" s="34"/>
      <c r="AV602" s="34"/>
    </row>
    <row r="603" spans="31:48" ht="16" x14ac:dyDescent="0.4">
      <c r="AE603" s="93">
        <f t="shared" si="52"/>
        <v>0</v>
      </c>
      <c r="AF603" s="16"/>
      <c r="AG603" s="103">
        <f t="shared" si="51"/>
        <v>0</v>
      </c>
      <c r="AH603" s="37">
        <f t="shared" si="53"/>
        <v>0</v>
      </c>
      <c r="AJ603" s="34"/>
      <c r="AK603" s="34"/>
      <c r="AU603" s="34"/>
      <c r="AV603" s="34"/>
    </row>
    <row r="604" spans="31:48" ht="16" x14ac:dyDescent="0.4">
      <c r="AE604" s="93">
        <f t="shared" si="52"/>
        <v>0</v>
      </c>
      <c r="AF604" s="16"/>
      <c r="AG604" s="103">
        <f t="shared" si="51"/>
        <v>0</v>
      </c>
      <c r="AH604" s="37">
        <f t="shared" si="53"/>
        <v>0</v>
      </c>
      <c r="AJ604" s="34"/>
      <c r="AK604" s="34"/>
      <c r="AU604" s="34"/>
      <c r="AV604" s="34"/>
    </row>
    <row r="605" spans="31:48" ht="16" x14ac:dyDescent="0.4">
      <c r="AE605" s="93">
        <f t="shared" si="52"/>
        <v>0</v>
      </c>
      <c r="AF605" s="16"/>
      <c r="AG605" s="103">
        <f t="shared" si="51"/>
        <v>0</v>
      </c>
      <c r="AH605" s="37">
        <f t="shared" si="53"/>
        <v>0</v>
      </c>
      <c r="AJ605" s="34"/>
      <c r="AK605" s="34"/>
      <c r="AU605" s="34"/>
      <c r="AV605" s="34"/>
    </row>
    <row r="606" spans="31:48" ht="16" x14ac:dyDescent="0.4">
      <c r="AE606" s="93">
        <f t="shared" si="52"/>
        <v>0</v>
      </c>
      <c r="AF606" s="16"/>
      <c r="AG606" s="103">
        <f t="shared" si="51"/>
        <v>0</v>
      </c>
      <c r="AH606" s="37">
        <f t="shared" si="53"/>
        <v>0</v>
      </c>
      <c r="AJ606" s="34"/>
      <c r="AK606" s="34"/>
      <c r="AU606" s="34"/>
      <c r="AV606" s="34"/>
    </row>
    <row r="607" spans="31:48" ht="16" x14ac:dyDescent="0.4">
      <c r="AE607" s="93">
        <f t="shared" si="52"/>
        <v>0</v>
      </c>
      <c r="AF607" s="16"/>
      <c r="AG607" s="103">
        <f t="shared" si="51"/>
        <v>0</v>
      </c>
      <c r="AH607" s="37">
        <f t="shared" si="53"/>
        <v>0</v>
      </c>
      <c r="AJ607" s="34"/>
      <c r="AK607" s="34"/>
      <c r="AU607" s="34"/>
      <c r="AV607" s="34"/>
    </row>
    <row r="608" spans="31:48" ht="16" x14ac:dyDescent="0.4">
      <c r="AE608" s="93">
        <f t="shared" si="52"/>
        <v>0</v>
      </c>
      <c r="AF608" s="16"/>
      <c r="AG608" s="103">
        <f t="shared" si="51"/>
        <v>0</v>
      </c>
      <c r="AH608" s="37">
        <f t="shared" si="53"/>
        <v>0</v>
      </c>
      <c r="AJ608" s="34"/>
      <c r="AK608" s="34"/>
      <c r="AU608" s="34"/>
      <c r="AV608" s="34"/>
    </row>
    <row r="609" spans="31:48" ht="16" x14ac:dyDescent="0.4">
      <c r="AE609" s="93">
        <f t="shared" si="52"/>
        <v>0</v>
      </c>
      <c r="AF609" s="16"/>
      <c r="AG609" s="103">
        <f t="shared" si="51"/>
        <v>0</v>
      </c>
      <c r="AH609" s="37">
        <f t="shared" si="53"/>
        <v>0</v>
      </c>
      <c r="AJ609" s="34"/>
      <c r="AK609" s="34"/>
      <c r="AU609" s="34"/>
      <c r="AV609" s="34"/>
    </row>
    <row r="610" spans="31:48" ht="16" x14ac:dyDescent="0.4">
      <c r="AE610" s="93">
        <f t="shared" si="52"/>
        <v>0</v>
      </c>
      <c r="AF610" s="16"/>
      <c r="AG610" s="103">
        <f t="shared" si="51"/>
        <v>0</v>
      </c>
      <c r="AH610" s="37">
        <f t="shared" si="53"/>
        <v>0</v>
      </c>
      <c r="AJ610" s="34"/>
      <c r="AK610" s="34"/>
      <c r="AU610" s="34"/>
      <c r="AV610" s="34"/>
    </row>
    <row r="611" spans="31:48" ht="16" x14ac:dyDescent="0.4">
      <c r="AE611" s="93">
        <f t="shared" si="52"/>
        <v>0</v>
      </c>
      <c r="AF611" s="16"/>
      <c r="AG611" s="103">
        <f t="shared" si="51"/>
        <v>0</v>
      </c>
      <c r="AH611" s="37">
        <f t="shared" si="53"/>
        <v>0</v>
      </c>
      <c r="AJ611" s="34"/>
      <c r="AK611" s="34"/>
      <c r="AU611" s="34"/>
      <c r="AV611" s="34"/>
    </row>
    <row r="612" spans="31:48" ht="16" x14ac:dyDescent="0.4">
      <c r="AE612" s="93">
        <f t="shared" si="52"/>
        <v>0</v>
      </c>
      <c r="AF612" s="16"/>
      <c r="AG612" s="103">
        <f t="shared" si="51"/>
        <v>0</v>
      </c>
      <c r="AH612" s="37">
        <f t="shared" si="53"/>
        <v>0</v>
      </c>
      <c r="AJ612" s="34"/>
      <c r="AK612" s="34"/>
      <c r="AU612" s="34"/>
      <c r="AV612" s="34"/>
    </row>
    <row r="613" spans="31:48" ht="16" x14ac:dyDescent="0.4">
      <c r="AE613" s="93">
        <f t="shared" si="52"/>
        <v>0</v>
      </c>
      <c r="AF613" s="16"/>
      <c r="AG613" s="103">
        <f t="shared" si="51"/>
        <v>0</v>
      </c>
      <c r="AH613" s="37">
        <f t="shared" si="53"/>
        <v>0</v>
      </c>
      <c r="AJ613" s="34"/>
      <c r="AK613" s="34"/>
      <c r="AU613" s="34"/>
      <c r="AV613" s="34"/>
    </row>
    <row r="614" spans="31:48" ht="16" x14ac:dyDescent="0.4">
      <c r="AE614" s="93">
        <f t="shared" si="52"/>
        <v>0</v>
      </c>
      <c r="AF614" s="16"/>
      <c r="AG614" s="103">
        <f t="shared" si="51"/>
        <v>0</v>
      </c>
      <c r="AH614" s="37">
        <f t="shared" si="53"/>
        <v>0</v>
      </c>
      <c r="AJ614" s="34"/>
      <c r="AK614" s="34"/>
      <c r="AU614" s="34"/>
      <c r="AV614" s="34"/>
    </row>
    <row r="615" spans="31:48" ht="16" x14ac:dyDescent="0.4">
      <c r="AE615" s="93">
        <f t="shared" si="52"/>
        <v>0</v>
      </c>
      <c r="AF615" s="16"/>
      <c r="AG615" s="103">
        <f t="shared" si="51"/>
        <v>0</v>
      </c>
      <c r="AH615" s="37">
        <f t="shared" si="53"/>
        <v>0</v>
      </c>
      <c r="AJ615" s="34"/>
      <c r="AK615" s="34"/>
      <c r="AU615" s="34"/>
      <c r="AV615" s="34"/>
    </row>
    <row r="616" spans="31:48" ht="16" x14ac:dyDescent="0.4">
      <c r="AE616" s="93">
        <f t="shared" si="52"/>
        <v>0</v>
      </c>
      <c r="AF616" s="16"/>
      <c r="AG616" s="103">
        <f t="shared" si="51"/>
        <v>0</v>
      </c>
      <c r="AH616" s="37">
        <f t="shared" si="53"/>
        <v>0</v>
      </c>
      <c r="AJ616" s="34"/>
      <c r="AK616" s="34"/>
      <c r="AU616" s="34"/>
      <c r="AV616" s="34"/>
    </row>
    <row r="617" spans="31:48" ht="16" x14ac:dyDescent="0.4">
      <c r="AE617" s="93">
        <f t="shared" si="52"/>
        <v>0</v>
      </c>
      <c r="AF617" s="16"/>
      <c r="AG617" s="103">
        <f t="shared" si="51"/>
        <v>0</v>
      </c>
      <c r="AH617" s="37">
        <f t="shared" si="53"/>
        <v>0</v>
      </c>
      <c r="AJ617" s="34"/>
      <c r="AK617" s="34"/>
      <c r="AU617" s="34"/>
      <c r="AV617" s="34"/>
    </row>
    <row r="618" spans="31:48" ht="16" x14ac:dyDescent="0.4">
      <c r="AE618" s="93">
        <f t="shared" si="52"/>
        <v>0</v>
      </c>
      <c r="AF618" s="16"/>
      <c r="AG618" s="103">
        <f t="shared" si="51"/>
        <v>0</v>
      </c>
      <c r="AH618" s="37">
        <f t="shared" si="53"/>
        <v>0</v>
      </c>
      <c r="AJ618" s="34"/>
      <c r="AK618" s="34"/>
      <c r="AU618" s="34"/>
      <c r="AV618" s="34"/>
    </row>
    <row r="619" spans="31:48" ht="16" x14ac:dyDescent="0.4">
      <c r="AE619" s="93">
        <f t="shared" si="52"/>
        <v>0</v>
      </c>
      <c r="AF619" s="16"/>
      <c r="AG619" s="103">
        <f t="shared" si="51"/>
        <v>0</v>
      </c>
      <c r="AH619" s="37">
        <f t="shared" si="53"/>
        <v>0</v>
      </c>
      <c r="AJ619" s="34"/>
      <c r="AK619" s="34"/>
      <c r="AU619" s="34"/>
      <c r="AV619" s="34"/>
    </row>
    <row r="620" spans="31:48" ht="16" x14ac:dyDescent="0.4">
      <c r="AE620" s="93">
        <f t="shared" si="52"/>
        <v>0</v>
      </c>
      <c r="AF620" s="16"/>
      <c r="AG620" s="103">
        <f t="shared" si="51"/>
        <v>0</v>
      </c>
      <c r="AH620" s="37">
        <f t="shared" si="53"/>
        <v>0</v>
      </c>
      <c r="AJ620" s="34"/>
      <c r="AK620" s="34"/>
      <c r="AU620" s="34"/>
      <c r="AV620" s="34"/>
    </row>
    <row r="621" spans="31:48" ht="16" x14ac:dyDescent="0.4">
      <c r="AE621" s="93">
        <f t="shared" si="52"/>
        <v>0</v>
      </c>
      <c r="AF621" s="16"/>
      <c r="AG621" s="103">
        <f t="shared" si="51"/>
        <v>0</v>
      </c>
      <c r="AH621" s="37">
        <f t="shared" si="53"/>
        <v>0</v>
      </c>
      <c r="AJ621" s="34"/>
      <c r="AK621" s="34"/>
      <c r="AU621" s="34"/>
      <c r="AV621" s="34"/>
    </row>
    <row r="622" spans="31:48" ht="16" x14ac:dyDescent="0.4">
      <c r="AE622" s="93">
        <f t="shared" si="52"/>
        <v>0</v>
      </c>
      <c r="AF622" s="16"/>
      <c r="AG622" s="103">
        <f t="shared" si="51"/>
        <v>0</v>
      </c>
      <c r="AH622" s="37">
        <f t="shared" si="53"/>
        <v>0</v>
      </c>
      <c r="AJ622" s="34"/>
      <c r="AK622" s="34"/>
      <c r="AU622" s="34"/>
      <c r="AV622" s="34"/>
    </row>
    <row r="623" spans="31:48" ht="16" x14ac:dyDescent="0.4">
      <c r="AE623" s="93">
        <f t="shared" si="52"/>
        <v>0</v>
      </c>
      <c r="AF623" s="16"/>
      <c r="AG623" s="103">
        <f t="shared" si="51"/>
        <v>0</v>
      </c>
      <c r="AH623" s="37">
        <f t="shared" si="53"/>
        <v>0</v>
      </c>
      <c r="AJ623" s="34"/>
      <c r="AK623" s="34"/>
      <c r="AU623" s="34"/>
      <c r="AV623" s="34"/>
    </row>
    <row r="624" spans="31:48" ht="16" x14ac:dyDescent="0.4">
      <c r="AE624" s="93">
        <f t="shared" si="52"/>
        <v>0</v>
      </c>
      <c r="AF624" s="16"/>
      <c r="AG624" s="103">
        <f t="shared" si="51"/>
        <v>0</v>
      </c>
      <c r="AH624" s="37">
        <f t="shared" si="53"/>
        <v>0</v>
      </c>
      <c r="AJ624" s="34"/>
      <c r="AK624" s="34"/>
      <c r="AU624" s="34"/>
      <c r="AV624" s="34"/>
    </row>
    <row r="625" spans="31:48" ht="16" x14ac:dyDescent="0.4">
      <c r="AE625" s="93">
        <f t="shared" si="52"/>
        <v>0</v>
      </c>
      <c r="AF625" s="16"/>
      <c r="AG625" s="103">
        <f t="shared" si="51"/>
        <v>0</v>
      </c>
      <c r="AH625" s="37">
        <f t="shared" si="53"/>
        <v>0</v>
      </c>
      <c r="AJ625" s="34"/>
      <c r="AK625" s="34"/>
      <c r="AU625" s="34"/>
      <c r="AV625" s="34"/>
    </row>
    <row r="626" spans="31:48" ht="16" x14ac:dyDescent="0.4">
      <c r="AE626" s="93">
        <f t="shared" si="52"/>
        <v>0</v>
      </c>
      <c r="AF626" s="16"/>
      <c r="AG626" s="103">
        <f t="shared" si="51"/>
        <v>0</v>
      </c>
      <c r="AH626" s="37">
        <f t="shared" si="53"/>
        <v>0</v>
      </c>
      <c r="AJ626" s="34"/>
      <c r="AK626" s="34"/>
      <c r="AU626" s="34"/>
      <c r="AV626" s="34"/>
    </row>
    <row r="627" spans="31:48" ht="16" x14ac:dyDescent="0.4">
      <c r="AE627" s="93">
        <f t="shared" si="52"/>
        <v>0</v>
      </c>
      <c r="AF627" s="16"/>
      <c r="AG627" s="103">
        <f t="shared" si="51"/>
        <v>0</v>
      </c>
      <c r="AH627" s="37">
        <f t="shared" si="53"/>
        <v>0</v>
      </c>
      <c r="AJ627" s="34"/>
      <c r="AK627" s="34"/>
      <c r="AU627" s="34"/>
      <c r="AV627" s="34"/>
    </row>
    <row r="628" spans="31:48" ht="16" x14ac:dyDescent="0.4">
      <c r="AE628" s="93">
        <f t="shared" si="52"/>
        <v>0</v>
      </c>
      <c r="AF628" s="16"/>
      <c r="AG628" s="103">
        <f t="shared" si="51"/>
        <v>0</v>
      </c>
      <c r="AH628" s="37">
        <f t="shared" si="53"/>
        <v>0</v>
      </c>
      <c r="AJ628" s="34"/>
      <c r="AK628" s="34"/>
      <c r="AU628" s="34"/>
      <c r="AV628" s="34"/>
    </row>
    <row r="629" spans="31:48" ht="16" x14ac:dyDescent="0.4">
      <c r="AE629" s="93">
        <f t="shared" si="52"/>
        <v>0</v>
      </c>
      <c r="AF629" s="16"/>
      <c r="AG629" s="103">
        <f t="shared" si="51"/>
        <v>0</v>
      </c>
      <c r="AH629" s="37">
        <f t="shared" si="53"/>
        <v>0</v>
      </c>
      <c r="AJ629" s="34"/>
      <c r="AK629" s="34"/>
      <c r="AU629" s="34"/>
      <c r="AV629" s="34"/>
    </row>
    <row r="630" spans="31:48" ht="16" x14ac:dyDescent="0.4">
      <c r="AE630" s="93">
        <f t="shared" si="52"/>
        <v>0</v>
      </c>
      <c r="AF630" s="16"/>
      <c r="AG630" s="103">
        <f t="shared" si="51"/>
        <v>0</v>
      </c>
      <c r="AH630" s="37">
        <f t="shared" si="53"/>
        <v>0</v>
      </c>
      <c r="AJ630" s="34"/>
      <c r="AK630" s="34"/>
      <c r="AU630" s="34"/>
      <c r="AV630" s="34"/>
    </row>
    <row r="631" spans="31:48" ht="16" x14ac:dyDescent="0.4">
      <c r="AE631" s="93">
        <f t="shared" si="52"/>
        <v>0</v>
      </c>
      <c r="AF631" s="16"/>
      <c r="AG631" s="103">
        <f t="shared" si="51"/>
        <v>0</v>
      </c>
      <c r="AH631" s="37">
        <f t="shared" si="53"/>
        <v>0</v>
      </c>
      <c r="AJ631" s="34"/>
      <c r="AK631" s="34"/>
      <c r="AU631" s="34"/>
      <c r="AV631" s="34"/>
    </row>
    <row r="632" spans="31:48" ht="16" x14ac:dyDescent="0.4">
      <c r="AE632" s="93">
        <f t="shared" si="52"/>
        <v>0</v>
      </c>
      <c r="AF632" s="16"/>
      <c r="AG632" s="103">
        <f t="shared" si="51"/>
        <v>0</v>
      </c>
      <c r="AH632" s="37">
        <f t="shared" si="53"/>
        <v>0</v>
      </c>
      <c r="AJ632" s="34"/>
      <c r="AK632" s="34"/>
      <c r="AU632" s="34"/>
      <c r="AV632" s="34"/>
    </row>
    <row r="633" spans="31:48" ht="16" x14ac:dyDescent="0.4">
      <c r="AE633" s="93">
        <f t="shared" si="52"/>
        <v>0</v>
      </c>
      <c r="AF633" s="16"/>
      <c r="AG633" s="103">
        <f t="shared" si="51"/>
        <v>0</v>
      </c>
      <c r="AH633" s="37">
        <f t="shared" si="53"/>
        <v>0</v>
      </c>
      <c r="AJ633" s="34"/>
      <c r="AK633" s="34"/>
      <c r="AU633" s="34"/>
      <c r="AV633" s="34"/>
    </row>
    <row r="634" spans="31:48" ht="16" x14ac:dyDescent="0.4">
      <c r="AE634" s="93">
        <f t="shared" si="52"/>
        <v>0</v>
      </c>
      <c r="AF634" s="16"/>
      <c r="AG634" s="103">
        <f t="shared" si="51"/>
        <v>0</v>
      </c>
      <c r="AH634" s="37">
        <f t="shared" si="53"/>
        <v>0</v>
      </c>
      <c r="AJ634" s="34"/>
      <c r="AK634" s="34"/>
      <c r="AU634" s="34"/>
      <c r="AV634" s="34"/>
    </row>
    <row r="635" spans="31:48" ht="16" x14ac:dyDescent="0.4">
      <c r="AE635" s="93">
        <f t="shared" si="52"/>
        <v>0</v>
      </c>
      <c r="AF635" s="16"/>
      <c r="AG635" s="103">
        <f t="shared" si="51"/>
        <v>0</v>
      </c>
      <c r="AH635" s="37">
        <f t="shared" si="53"/>
        <v>0</v>
      </c>
      <c r="AJ635" s="34"/>
      <c r="AK635" s="34"/>
      <c r="AU635" s="34"/>
      <c r="AV635" s="34"/>
    </row>
    <row r="636" spans="31:48" ht="16" x14ac:dyDescent="0.4">
      <c r="AE636" s="93">
        <f t="shared" si="52"/>
        <v>0</v>
      </c>
      <c r="AF636" s="16"/>
      <c r="AG636" s="103">
        <f t="shared" si="51"/>
        <v>0</v>
      </c>
      <c r="AH636" s="37">
        <f t="shared" si="53"/>
        <v>0</v>
      </c>
      <c r="AJ636" s="34"/>
      <c r="AK636" s="34"/>
      <c r="AU636" s="34"/>
      <c r="AV636" s="34"/>
    </row>
    <row r="637" spans="31:48" ht="16" x14ac:dyDescent="0.4">
      <c r="AE637" s="93">
        <f t="shared" si="52"/>
        <v>0</v>
      </c>
      <c r="AF637" s="16"/>
      <c r="AG637" s="103">
        <f t="shared" si="51"/>
        <v>0</v>
      </c>
      <c r="AH637" s="37">
        <f t="shared" si="53"/>
        <v>0</v>
      </c>
      <c r="AJ637" s="34"/>
      <c r="AK637" s="34"/>
      <c r="AU637" s="34"/>
      <c r="AV637" s="34"/>
    </row>
    <row r="638" spans="31:48" ht="16" x14ac:dyDescent="0.4">
      <c r="AE638" s="93">
        <f t="shared" si="52"/>
        <v>0</v>
      </c>
      <c r="AF638" s="16"/>
      <c r="AG638" s="103">
        <f t="shared" si="51"/>
        <v>0</v>
      </c>
      <c r="AH638" s="37">
        <f t="shared" si="53"/>
        <v>0</v>
      </c>
      <c r="AJ638" s="34"/>
      <c r="AK638" s="34"/>
      <c r="AU638" s="34"/>
      <c r="AV638" s="34"/>
    </row>
    <row r="639" spans="31:48" ht="16" x14ac:dyDescent="0.4">
      <c r="AE639" s="93">
        <f t="shared" si="52"/>
        <v>0</v>
      </c>
      <c r="AF639" s="16"/>
      <c r="AG639" s="103">
        <f t="shared" si="51"/>
        <v>0</v>
      </c>
      <c r="AH639" s="37">
        <f t="shared" si="53"/>
        <v>0</v>
      </c>
      <c r="AJ639" s="34"/>
      <c r="AK639" s="34"/>
      <c r="AU639" s="34"/>
      <c r="AV639" s="34"/>
    </row>
    <row r="640" spans="31:48" ht="16" x14ac:dyDescent="0.4">
      <c r="AE640" s="93">
        <f t="shared" si="52"/>
        <v>0</v>
      </c>
      <c r="AF640" s="16"/>
      <c r="AG640" s="103">
        <f t="shared" si="51"/>
        <v>0</v>
      </c>
      <c r="AH640" s="37">
        <f t="shared" si="53"/>
        <v>0</v>
      </c>
      <c r="AJ640" s="34"/>
      <c r="AK640" s="34"/>
      <c r="AU640" s="34"/>
      <c r="AV640" s="34"/>
    </row>
    <row r="641" spans="31:48" ht="16" x14ac:dyDescent="0.4">
      <c r="AE641" s="93">
        <f t="shared" si="52"/>
        <v>0</v>
      </c>
      <c r="AF641" s="16"/>
      <c r="AG641" s="103">
        <f t="shared" ref="AG641:AG704" si="54">IF($AF641&gt;14,14,$AF641)</f>
        <v>0</v>
      </c>
      <c r="AH641" s="37">
        <f t="shared" si="53"/>
        <v>0</v>
      </c>
      <c r="AJ641" s="34"/>
      <c r="AK641" s="34"/>
      <c r="AU641" s="34"/>
      <c r="AV641" s="34"/>
    </row>
    <row r="642" spans="31:48" ht="16" x14ac:dyDescent="0.4">
      <c r="AE642" s="93">
        <f t="shared" ref="AE642:AE705" si="55">AD642/1000</f>
        <v>0</v>
      </c>
      <c r="AF642" s="16"/>
      <c r="AG642" s="103">
        <f t="shared" si="54"/>
        <v>0</v>
      </c>
      <c r="AH642" s="37">
        <f t="shared" ref="AH642:AH705" si="56">AE642*AG642/14</f>
        <v>0</v>
      </c>
      <c r="AJ642" s="34"/>
      <c r="AK642" s="34"/>
      <c r="AU642" s="34"/>
      <c r="AV642" s="34"/>
    </row>
    <row r="643" spans="31:48" ht="16" x14ac:dyDescent="0.4">
      <c r="AE643" s="93">
        <f t="shared" si="55"/>
        <v>0</v>
      </c>
      <c r="AF643" s="16"/>
      <c r="AG643" s="103">
        <f t="shared" si="54"/>
        <v>0</v>
      </c>
      <c r="AH643" s="37">
        <f t="shared" si="56"/>
        <v>0</v>
      </c>
      <c r="AJ643" s="34"/>
      <c r="AK643" s="34"/>
      <c r="AU643" s="34"/>
      <c r="AV643" s="34"/>
    </row>
    <row r="644" spans="31:48" ht="16" x14ac:dyDescent="0.4">
      <c r="AE644" s="93">
        <f t="shared" si="55"/>
        <v>0</v>
      </c>
      <c r="AF644" s="16"/>
      <c r="AG644" s="103">
        <f t="shared" si="54"/>
        <v>0</v>
      </c>
      <c r="AH644" s="37">
        <f t="shared" si="56"/>
        <v>0</v>
      </c>
      <c r="AJ644" s="34"/>
      <c r="AK644" s="34"/>
      <c r="AU644" s="34"/>
      <c r="AV644" s="34"/>
    </row>
    <row r="645" spans="31:48" ht="16" x14ac:dyDescent="0.4">
      <c r="AE645" s="93">
        <f t="shared" si="55"/>
        <v>0</v>
      </c>
      <c r="AF645" s="16"/>
      <c r="AG645" s="103">
        <f t="shared" si="54"/>
        <v>0</v>
      </c>
      <c r="AH645" s="37">
        <f t="shared" si="56"/>
        <v>0</v>
      </c>
      <c r="AJ645" s="34"/>
      <c r="AK645" s="34"/>
      <c r="AU645" s="34"/>
      <c r="AV645" s="34"/>
    </row>
    <row r="646" spans="31:48" ht="16" x14ac:dyDescent="0.4">
      <c r="AE646" s="93">
        <f t="shared" si="55"/>
        <v>0</v>
      </c>
      <c r="AF646" s="16"/>
      <c r="AG646" s="103">
        <f t="shared" si="54"/>
        <v>0</v>
      </c>
      <c r="AH646" s="37">
        <f t="shared" si="56"/>
        <v>0</v>
      </c>
      <c r="AJ646" s="34"/>
      <c r="AK646" s="34"/>
      <c r="AU646" s="34"/>
      <c r="AV646" s="34"/>
    </row>
    <row r="647" spans="31:48" ht="16" x14ac:dyDescent="0.4">
      <c r="AE647" s="93">
        <f t="shared" si="55"/>
        <v>0</v>
      </c>
      <c r="AF647" s="16"/>
      <c r="AG647" s="103">
        <f t="shared" si="54"/>
        <v>0</v>
      </c>
      <c r="AH647" s="37">
        <f t="shared" si="56"/>
        <v>0</v>
      </c>
      <c r="AJ647" s="34"/>
      <c r="AK647" s="34"/>
      <c r="AU647" s="34"/>
      <c r="AV647" s="34"/>
    </row>
    <row r="648" spans="31:48" ht="16" x14ac:dyDescent="0.4">
      <c r="AE648" s="93">
        <f t="shared" si="55"/>
        <v>0</v>
      </c>
      <c r="AF648" s="16"/>
      <c r="AG648" s="103">
        <f t="shared" si="54"/>
        <v>0</v>
      </c>
      <c r="AH648" s="37">
        <f t="shared" si="56"/>
        <v>0</v>
      </c>
      <c r="AJ648" s="34"/>
      <c r="AK648" s="34"/>
      <c r="AU648" s="34"/>
      <c r="AV648" s="34"/>
    </row>
    <row r="649" spans="31:48" ht="16" x14ac:dyDescent="0.4">
      <c r="AE649" s="93">
        <f t="shared" si="55"/>
        <v>0</v>
      </c>
      <c r="AF649" s="16"/>
      <c r="AG649" s="103">
        <f t="shared" si="54"/>
        <v>0</v>
      </c>
      <c r="AH649" s="37">
        <f t="shared" si="56"/>
        <v>0</v>
      </c>
      <c r="AJ649" s="34"/>
      <c r="AK649" s="34"/>
      <c r="AU649" s="34"/>
      <c r="AV649" s="34"/>
    </row>
    <row r="650" spans="31:48" ht="16" x14ac:dyDescent="0.4">
      <c r="AE650" s="93">
        <f t="shared" si="55"/>
        <v>0</v>
      </c>
      <c r="AF650" s="16"/>
      <c r="AG650" s="103">
        <f t="shared" si="54"/>
        <v>0</v>
      </c>
      <c r="AH650" s="37">
        <f t="shared" si="56"/>
        <v>0</v>
      </c>
      <c r="AJ650" s="34"/>
      <c r="AK650" s="34"/>
      <c r="AU650" s="34"/>
      <c r="AV650" s="34"/>
    </row>
    <row r="651" spans="31:48" ht="16" x14ac:dyDescent="0.4">
      <c r="AE651" s="93">
        <f t="shared" si="55"/>
        <v>0</v>
      </c>
      <c r="AF651" s="16"/>
      <c r="AG651" s="103">
        <f t="shared" si="54"/>
        <v>0</v>
      </c>
      <c r="AH651" s="37">
        <f t="shared" si="56"/>
        <v>0</v>
      </c>
      <c r="AJ651" s="34"/>
      <c r="AK651" s="34"/>
      <c r="AU651" s="34"/>
      <c r="AV651" s="34"/>
    </row>
    <row r="652" spans="31:48" ht="16" x14ac:dyDescent="0.4">
      <c r="AE652" s="93">
        <f t="shared" si="55"/>
        <v>0</v>
      </c>
      <c r="AF652" s="16"/>
      <c r="AG652" s="103">
        <f t="shared" si="54"/>
        <v>0</v>
      </c>
      <c r="AH652" s="37">
        <f t="shared" si="56"/>
        <v>0</v>
      </c>
      <c r="AJ652" s="34"/>
      <c r="AK652" s="34"/>
      <c r="AU652" s="34"/>
      <c r="AV652" s="34"/>
    </row>
    <row r="653" spans="31:48" ht="16" x14ac:dyDescent="0.4">
      <c r="AE653" s="93">
        <f t="shared" si="55"/>
        <v>0</v>
      </c>
      <c r="AF653" s="16"/>
      <c r="AG653" s="103">
        <f t="shared" si="54"/>
        <v>0</v>
      </c>
      <c r="AH653" s="37">
        <f t="shared" si="56"/>
        <v>0</v>
      </c>
      <c r="AJ653" s="34"/>
      <c r="AK653" s="34"/>
      <c r="AU653" s="34"/>
      <c r="AV653" s="34"/>
    </row>
    <row r="654" spans="31:48" ht="16" x14ac:dyDescent="0.4">
      <c r="AE654" s="93">
        <f t="shared" si="55"/>
        <v>0</v>
      </c>
      <c r="AF654" s="16"/>
      <c r="AG654" s="103">
        <f t="shared" si="54"/>
        <v>0</v>
      </c>
      <c r="AH654" s="37">
        <f t="shared" si="56"/>
        <v>0</v>
      </c>
      <c r="AJ654" s="34"/>
      <c r="AK654" s="34"/>
      <c r="AU654" s="34"/>
      <c r="AV654" s="34"/>
    </row>
    <row r="655" spans="31:48" ht="16" x14ac:dyDescent="0.4">
      <c r="AE655" s="93">
        <f t="shared" si="55"/>
        <v>0</v>
      </c>
      <c r="AF655" s="16"/>
      <c r="AG655" s="103">
        <f t="shared" si="54"/>
        <v>0</v>
      </c>
      <c r="AH655" s="37">
        <f t="shared" si="56"/>
        <v>0</v>
      </c>
      <c r="AJ655" s="34"/>
      <c r="AK655" s="34"/>
      <c r="AU655" s="34"/>
      <c r="AV655" s="34"/>
    </row>
    <row r="656" spans="31:48" ht="16" x14ac:dyDescent="0.4">
      <c r="AE656" s="93">
        <f t="shared" si="55"/>
        <v>0</v>
      </c>
      <c r="AF656" s="16"/>
      <c r="AG656" s="103">
        <f t="shared" si="54"/>
        <v>0</v>
      </c>
      <c r="AH656" s="37">
        <f t="shared" si="56"/>
        <v>0</v>
      </c>
      <c r="AJ656" s="34"/>
      <c r="AK656" s="34"/>
      <c r="AU656" s="34"/>
      <c r="AV656" s="34"/>
    </row>
    <row r="657" spans="31:48" ht="16" x14ac:dyDescent="0.4">
      <c r="AE657" s="93">
        <f t="shared" si="55"/>
        <v>0</v>
      </c>
      <c r="AF657" s="16"/>
      <c r="AG657" s="103">
        <f t="shared" si="54"/>
        <v>0</v>
      </c>
      <c r="AH657" s="37">
        <f t="shared" si="56"/>
        <v>0</v>
      </c>
      <c r="AJ657" s="34"/>
      <c r="AK657" s="34"/>
      <c r="AU657" s="34"/>
      <c r="AV657" s="34"/>
    </row>
    <row r="658" spans="31:48" ht="16" x14ac:dyDescent="0.4">
      <c r="AE658" s="93">
        <f t="shared" si="55"/>
        <v>0</v>
      </c>
      <c r="AF658" s="16"/>
      <c r="AG658" s="103">
        <f t="shared" si="54"/>
        <v>0</v>
      </c>
      <c r="AH658" s="37">
        <f t="shared" si="56"/>
        <v>0</v>
      </c>
      <c r="AJ658" s="34"/>
      <c r="AK658" s="34"/>
      <c r="AU658" s="34"/>
      <c r="AV658" s="34"/>
    </row>
    <row r="659" spans="31:48" ht="16" x14ac:dyDescent="0.4">
      <c r="AE659" s="93">
        <f t="shared" si="55"/>
        <v>0</v>
      </c>
      <c r="AF659" s="16"/>
      <c r="AG659" s="103">
        <f t="shared" si="54"/>
        <v>0</v>
      </c>
      <c r="AH659" s="37">
        <f t="shared" si="56"/>
        <v>0</v>
      </c>
      <c r="AJ659" s="34"/>
      <c r="AK659" s="34"/>
      <c r="AU659" s="34"/>
      <c r="AV659" s="34"/>
    </row>
    <row r="660" spans="31:48" ht="16" x14ac:dyDescent="0.4">
      <c r="AE660" s="93">
        <f t="shared" si="55"/>
        <v>0</v>
      </c>
      <c r="AF660" s="16"/>
      <c r="AG660" s="103">
        <f t="shared" si="54"/>
        <v>0</v>
      </c>
      <c r="AH660" s="37">
        <f t="shared" si="56"/>
        <v>0</v>
      </c>
      <c r="AJ660" s="34"/>
      <c r="AK660" s="34"/>
      <c r="AU660" s="34"/>
      <c r="AV660" s="34"/>
    </row>
    <row r="661" spans="31:48" ht="16" x14ac:dyDescent="0.4">
      <c r="AE661" s="93">
        <f t="shared" si="55"/>
        <v>0</v>
      </c>
      <c r="AF661" s="16"/>
      <c r="AG661" s="103">
        <f t="shared" si="54"/>
        <v>0</v>
      </c>
      <c r="AH661" s="37">
        <f t="shared" si="56"/>
        <v>0</v>
      </c>
      <c r="AJ661" s="34"/>
      <c r="AK661" s="34"/>
      <c r="AU661" s="34"/>
      <c r="AV661" s="34"/>
    </row>
    <row r="662" spans="31:48" ht="16" x14ac:dyDescent="0.4">
      <c r="AE662" s="93">
        <f t="shared" si="55"/>
        <v>0</v>
      </c>
      <c r="AF662" s="16"/>
      <c r="AG662" s="103">
        <f t="shared" si="54"/>
        <v>0</v>
      </c>
      <c r="AH662" s="37">
        <f t="shared" si="56"/>
        <v>0</v>
      </c>
      <c r="AJ662" s="34"/>
      <c r="AK662" s="34"/>
      <c r="AU662" s="34"/>
      <c r="AV662" s="34"/>
    </row>
    <row r="663" spans="31:48" ht="16" x14ac:dyDescent="0.4">
      <c r="AE663" s="93">
        <f t="shared" si="55"/>
        <v>0</v>
      </c>
      <c r="AF663" s="16"/>
      <c r="AG663" s="103">
        <f t="shared" si="54"/>
        <v>0</v>
      </c>
      <c r="AH663" s="37">
        <f t="shared" si="56"/>
        <v>0</v>
      </c>
      <c r="AJ663" s="34"/>
      <c r="AK663" s="34"/>
      <c r="AU663" s="34"/>
      <c r="AV663" s="34"/>
    </row>
    <row r="664" spans="31:48" ht="16" x14ac:dyDescent="0.4">
      <c r="AE664" s="93">
        <f t="shared" si="55"/>
        <v>0</v>
      </c>
      <c r="AF664" s="16"/>
      <c r="AG664" s="103">
        <f t="shared" si="54"/>
        <v>0</v>
      </c>
      <c r="AH664" s="37">
        <f t="shared" si="56"/>
        <v>0</v>
      </c>
      <c r="AJ664" s="34"/>
      <c r="AK664" s="34"/>
      <c r="AU664" s="34"/>
      <c r="AV664" s="34"/>
    </row>
    <row r="665" spans="31:48" ht="16" x14ac:dyDescent="0.4">
      <c r="AE665" s="93">
        <f t="shared" si="55"/>
        <v>0</v>
      </c>
      <c r="AF665" s="16"/>
      <c r="AG665" s="103">
        <f t="shared" si="54"/>
        <v>0</v>
      </c>
      <c r="AH665" s="37">
        <f t="shared" si="56"/>
        <v>0</v>
      </c>
      <c r="AJ665" s="34"/>
      <c r="AK665" s="34"/>
      <c r="AU665" s="34"/>
      <c r="AV665" s="34"/>
    </row>
    <row r="666" spans="31:48" ht="16" x14ac:dyDescent="0.4">
      <c r="AE666" s="93">
        <f t="shared" si="55"/>
        <v>0</v>
      </c>
      <c r="AF666" s="16"/>
      <c r="AG666" s="103">
        <f t="shared" si="54"/>
        <v>0</v>
      </c>
      <c r="AH666" s="37">
        <f t="shared" si="56"/>
        <v>0</v>
      </c>
      <c r="AJ666" s="34"/>
      <c r="AK666" s="34"/>
      <c r="AU666" s="34"/>
      <c r="AV666" s="34"/>
    </row>
    <row r="667" spans="31:48" ht="16" x14ac:dyDescent="0.4">
      <c r="AE667" s="93">
        <f t="shared" si="55"/>
        <v>0</v>
      </c>
      <c r="AF667" s="16"/>
      <c r="AG667" s="103">
        <f t="shared" si="54"/>
        <v>0</v>
      </c>
      <c r="AH667" s="37">
        <f t="shared" si="56"/>
        <v>0</v>
      </c>
      <c r="AJ667" s="34"/>
      <c r="AK667" s="34"/>
      <c r="AU667" s="34"/>
      <c r="AV667" s="34"/>
    </row>
    <row r="668" spans="31:48" ht="16" x14ac:dyDescent="0.4">
      <c r="AE668" s="93">
        <f t="shared" si="55"/>
        <v>0</v>
      </c>
      <c r="AF668" s="16"/>
      <c r="AG668" s="103">
        <f t="shared" si="54"/>
        <v>0</v>
      </c>
      <c r="AH668" s="37">
        <f t="shared" si="56"/>
        <v>0</v>
      </c>
      <c r="AJ668" s="34"/>
      <c r="AK668" s="34"/>
      <c r="AU668" s="34"/>
      <c r="AV668" s="34"/>
    </row>
    <row r="669" spans="31:48" ht="16" x14ac:dyDescent="0.4">
      <c r="AE669" s="93">
        <f t="shared" si="55"/>
        <v>0</v>
      </c>
      <c r="AF669" s="16"/>
      <c r="AG669" s="103">
        <f t="shared" si="54"/>
        <v>0</v>
      </c>
      <c r="AH669" s="37">
        <f t="shared" si="56"/>
        <v>0</v>
      </c>
      <c r="AJ669" s="34"/>
      <c r="AK669" s="34"/>
      <c r="AU669" s="34"/>
      <c r="AV669" s="34"/>
    </row>
    <row r="670" spans="31:48" ht="16" x14ac:dyDescent="0.4">
      <c r="AE670" s="93">
        <f t="shared" si="55"/>
        <v>0</v>
      </c>
      <c r="AF670" s="16"/>
      <c r="AG670" s="103">
        <f t="shared" si="54"/>
        <v>0</v>
      </c>
      <c r="AH670" s="37">
        <f t="shared" si="56"/>
        <v>0</v>
      </c>
      <c r="AJ670" s="34"/>
      <c r="AK670" s="34"/>
      <c r="AU670" s="34"/>
      <c r="AV670" s="34"/>
    </row>
    <row r="671" spans="31:48" ht="16" x14ac:dyDescent="0.4">
      <c r="AE671" s="93">
        <f t="shared" si="55"/>
        <v>0</v>
      </c>
      <c r="AF671" s="16"/>
      <c r="AG671" s="103">
        <f t="shared" si="54"/>
        <v>0</v>
      </c>
      <c r="AH671" s="37">
        <f t="shared" si="56"/>
        <v>0</v>
      </c>
      <c r="AJ671" s="34"/>
      <c r="AK671" s="34"/>
      <c r="AU671" s="34"/>
      <c r="AV671" s="34"/>
    </row>
    <row r="672" spans="31:48" ht="16" x14ac:dyDescent="0.4">
      <c r="AE672" s="93">
        <f t="shared" si="55"/>
        <v>0</v>
      </c>
      <c r="AF672" s="16"/>
      <c r="AG672" s="103">
        <f t="shared" si="54"/>
        <v>0</v>
      </c>
      <c r="AH672" s="37">
        <f t="shared" si="56"/>
        <v>0</v>
      </c>
      <c r="AJ672" s="34"/>
      <c r="AK672" s="34"/>
      <c r="AU672" s="34"/>
      <c r="AV672" s="34"/>
    </row>
    <row r="673" spans="31:48" ht="16" x14ac:dyDescent="0.4">
      <c r="AE673" s="93">
        <f t="shared" si="55"/>
        <v>0</v>
      </c>
      <c r="AF673" s="16"/>
      <c r="AG673" s="103">
        <f t="shared" si="54"/>
        <v>0</v>
      </c>
      <c r="AH673" s="37">
        <f t="shared" si="56"/>
        <v>0</v>
      </c>
      <c r="AJ673" s="34"/>
      <c r="AK673" s="34"/>
      <c r="AU673" s="34"/>
      <c r="AV673" s="34"/>
    </row>
    <row r="674" spans="31:48" ht="16" x14ac:dyDescent="0.4">
      <c r="AE674" s="93">
        <f t="shared" si="55"/>
        <v>0</v>
      </c>
      <c r="AF674" s="16"/>
      <c r="AG674" s="103">
        <f t="shared" si="54"/>
        <v>0</v>
      </c>
      <c r="AH674" s="37">
        <f t="shared" si="56"/>
        <v>0</v>
      </c>
      <c r="AJ674" s="34"/>
      <c r="AK674" s="34"/>
      <c r="AU674" s="34"/>
      <c r="AV674" s="34"/>
    </row>
    <row r="675" spans="31:48" ht="16" x14ac:dyDescent="0.4">
      <c r="AE675" s="93">
        <f t="shared" si="55"/>
        <v>0</v>
      </c>
      <c r="AF675" s="16"/>
      <c r="AG675" s="103">
        <f t="shared" si="54"/>
        <v>0</v>
      </c>
      <c r="AH675" s="37">
        <f t="shared" si="56"/>
        <v>0</v>
      </c>
      <c r="AJ675" s="34"/>
      <c r="AK675" s="34"/>
      <c r="AU675" s="34"/>
      <c r="AV675" s="34"/>
    </row>
    <row r="676" spans="31:48" ht="16" x14ac:dyDescent="0.4">
      <c r="AE676" s="93">
        <f t="shared" si="55"/>
        <v>0</v>
      </c>
      <c r="AF676" s="16"/>
      <c r="AG676" s="103">
        <f t="shared" si="54"/>
        <v>0</v>
      </c>
      <c r="AH676" s="37">
        <f t="shared" si="56"/>
        <v>0</v>
      </c>
      <c r="AJ676" s="34"/>
      <c r="AK676" s="34"/>
      <c r="AU676" s="34"/>
      <c r="AV676" s="34"/>
    </row>
    <row r="677" spans="31:48" ht="16" x14ac:dyDescent="0.4">
      <c r="AE677" s="93">
        <f t="shared" si="55"/>
        <v>0</v>
      </c>
      <c r="AF677" s="16"/>
      <c r="AG677" s="103">
        <f t="shared" si="54"/>
        <v>0</v>
      </c>
      <c r="AH677" s="37">
        <f t="shared" si="56"/>
        <v>0</v>
      </c>
      <c r="AJ677" s="34"/>
      <c r="AK677" s="34"/>
      <c r="AU677" s="34"/>
      <c r="AV677" s="34"/>
    </row>
    <row r="678" spans="31:48" ht="16" x14ac:dyDescent="0.4">
      <c r="AE678" s="93">
        <f t="shared" si="55"/>
        <v>0</v>
      </c>
      <c r="AF678" s="16"/>
      <c r="AG678" s="103">
        <f t="shared" si="54"/>
        <v>0</v>
      </c>
      <c r="AH678" s="37">
        <f t="shared" si="56"/>
        <v>0</v>
      </c>
      <c r="AJ678" s="34"/>
      <c r="AK678" s="34"/>
      <c r="AU678" s="34"/>
      <c r="AV678" s="34"/>
    </row>
    <row r="679" spans="31:48" ht="16" x14ac:dyDescent="0.4">
      <c r="AE679" s="93">
        <f t="shared" si="55"/>
        <v>0</v>
      </c>
      <c r="AF679" s="16"/>
      <c r="AG679" s="103">
        <f t="shared" si="54"/>
        <v>0</v>
      </c>
      <c r="AH679" s="37">
        <f t="shared" si="56"/>
        <v>0</v>
      </c>
      <c r="AJ679" s="34"/>
      <c r="AK679" s="34"/>
      <c r="AU679" s="34"/>
      <c r="AV679" s="34"/>
    </row>
    <row r="680" spans="31:48" ht="16" x14ac:dyDescent="0.4">
      <c r="AE680" s="93">
        <f t="shared" si="55"/>
        <v>0</v>
      </c>
      <c r="AF680" s="16"/>
      <c r="AG680" s="103">
        <f t="shared" si="54"/>
        <v>0</v>
      </c>
      <c r="AH680" s="37">
        <f t="shared" si="56"/>
        <v>0</v>
      </c>
      <c r="AJ680" s="34"/>
      <c r="AK680" s="34"/>
      <c r="AU680" s="34"/>
      <c r="AV680" s="34"/>
    </row>
    <row r="681" spans="31:48" ht="16" x14ac:dyDescent="0.4">
      <c r="AE681" s="93">
        <f t="shared" si="55"/>
        <v>0</v>
      </c>
      <c r="AF681" s="16"/>
      <c r="AG681" s="103">
        <f t="shared" si="54"/>
        <v>0</v>
      </c>
      <c r="AH681" s="37">
        <f t="shared" si="56"/>
        <v>0</v>
      </c>
      <c r="AJ681" s="34"/>
      <c r="AK681" s="34"/>
      <c r="AU681" s="34"/>
      <c r="AV681" s="34"/>
    </row>
    <row r="682" spans="31:48" ht="16" x14ac:dyDescent="0.4">
      <c r="AE682" s="93">
        <f t="shared" si="55"/>
        <v>0</v>
      </c>
      <c r="AF682" s="16"/>
      <c r="AG682" s="103">
        <f t="shared" si="54"/>
        <v>0</v>
      </c>
      <c r="AH682" s="37">
        <f t="shared" si="56"/>
        <v>0</v>
      </c>
      <c r="AJ682" s="34"/>
      <c r="AK682" s="34"/>
      <c r="AU682" s="34"/>
      <c r="AV682" s="34"/>
    </row>
    <row r="683" spans="31:48" ht="16" x14ac:dyDescent="0.4">
      <c r="AE683" s="93">
        <f t="shared" si="55"/>
        <v>0</v>
      </c>
      <c r="AF683" s="16"/>
      <c r="AG683" s="103">
        <f t="shared" si="54"/>
        <v>0</v>
      </c>
      <c r="AH683" s="37">
        <f t="shared" si="56"/>
        <v>0</v>
      </c>
      <c r="AJ683" s="34"/>
      <c r="AK683" s="34"/>
      <c r="AU683" s="34"/>
      <c r="AV683" s="34"/>
    </row>
    <row r="684" spans="31:48" ht="16" x14ac:dyDescent="0.4">
      <c r="AE684" s="93">
        <f t="shared" si="55"/>
        <v>0</v>
      </c>
      <c r="AF684" s="16"/>
      <c r="AG684" s="103">
        <f t="shared" si="54"/>
        <v>0</v>
      </c>
      <c r="AH684" s="37">
        <f t="shared" si="56"/>
        <v>0</v>
      </c>
      <c r="AJ684" s="34"/>
      <c r="AK684" s="34"/>
      <c r="AU684" s="34"/>
      <c r="AV684" s="34"/>
    </row>
    <row r="685" spans="31:48" ht="16" x14ac:dyDescent="0.4">
      <c r="AE685" s="93">
        <f t="shared" si="55"/>
        <v>0</v>
      </c>
      <c r="AF685" s="16"/>
      <c r="AG685" s="103">
        <f t="shared" si="54"/>
        <v>0</v>
      </c>
      <c r="AH685" s="37">
        <f t="shared" si="56"/>
        <v>0</v>
      </c>
      <c r="AJ685" s="34"/>
      <c r="AK685" s="34"/>
      <c r="AU685" s="34"/>
      <c r="AV685" s="34"/>
    </row>
    <row r="686" spans="31:48" ht="16" x14ac:dyDescent="0.4">
      <c r="AE686" s="93">
        <f t="shared" si="55"/>
        <v>0</v>
      </c>
      <c r="AF686" s="16"/>
      <c r="AG686" s="103">
        <f t="shared" si="54"/>
        <v>0</v>
      </c>
      <c r="AH686" s="37">
        <f t="shared" si="56"/>
        <v>0</v>
      </c>
      <c r="AJ686" s="34"/>
      <c r="AK686" s="34"/>
      <c r="AU686" s="34"/>
      <c r="AV686" s="34"/>
    </row>
    <row r="687" spans="31:48" ht="16" x14ac:dyDescent="0.4">
      <c r="AE687" s="93">
        <f t="shared" si="55"/>
        <v>0</v>
      </c>
      <c r="AF687" s="16"/>
      <c r="AG687" s="103">
        <f t="shared" si="54"/>
        <v>0</v>
      </c>
      <c r="AH687" s="37">
        <f t="shared" si="56"/>
        <v>0</v>
      </c>
      <c r="AJ687" s="34"/>
      <c r="AK687" s="34"/>
      <c r="AU687" s="34"/>
      <c r="AV687" s="34"/>
    </row>
    <row r="688" spans="31:48" ht="16" x14ac:dyDescent="0.4">
      <c r="AE688" s="93">
        <f t="shared" si="55"/>
        <v>0</v>
      </c>
      <c r="AF688" s="16"/>
      <c r="AG688" s="103">
        <f t="shared" si="54"/>
        <v>0</v>
      </c>
      <c r="AH688" s="37">
        <f t="shared" si="56"/>
        <v>0</v>
      </c>
      <c r="AJ688" s="34"/>
      <c r="AK688" s="34"/>
      <c r="AU688" s="34"/>
      <c r="AV688" s="34"/>
    </row>
    <row r="689" spans="31:48" ht="16" x14ac:dyDescent="0.4">
      <c r="AE689" s="93">
        <f t="shared" si="55"/>
        <v>0</v>
      </c>
      <c r="AF689" s="16"/>
      <c r="AG689" s="103">
        <f t="shared" si="54"/>
        <v>0</v>
      </c>
      <c r="AH689" s="37">
        <f t="shared" si="56"/>
        <v>0</v>
      </c>
      <c r="AJ689" s="34"/>
      <c r="AK689" s="34"/>
      <c r="AU689" s="34"/>
      <c r="AV689" s="34"/>
    </row>
    <row r="690" spans="31:48" ht="16" x14ac:dyDescent="0.4">
      <c r="AE690" s="93">
        <f t="shared" si="55"/>
        <v>0</v>
      </c>
      <c r="AF690" s="16"/>
      <c r="AG690" s="103">
        <f t="shared" si="54"/>
        <v>0</v>
      </c>
      <c r="AH690" s="37">
        <f t="shared" si="56"/>
        <v>0</v>
      </c>
      <c r="AJ690" s="34"/>
      <c r="AK690" s="34"/>
      <c r="AU690" s="34"/>
      <c r="AV690" s="34"/>
    </row>
    <row r="691" spans="31:48" ht="16" x14ac:dyDescent="0.4">
      <c r="AE691" s="93">
        <f t="shared" si="55"/>
        <v>0</v>
      </c>
      <c r="AF691" s="16"/>
      <c r="AG691" s="103">
        <f t="shared" si="54"/>
        <v>0</v>
      </c>
      <c r="AH691" s="37">
        <f t="shared" si="56"/>
        <v>0</v>
      </c>
      <c r="AJ691" s="34"/>
      <c r="AK691" s="34"/>
      <c r="AU691" s="34"/>
      <c r="AV691" s="34"/>
    </row>
    <row r="692" spans="31:48" ht="16" x14ac:dyDescent="0.4">
      <c r="AE692" s="93">
        <f t="shared" si="55"/>
        <v>0</v>
      </c>
      <c r="AF692" s="16"/>
      <c r="AG692" s="103">
        <f t="shared" si="54"/>
        <v>0</v>
      </c>
      <c r="AH692" s="37">
        <f t="shared" si="56"/>
        <v>0</v>
      </c>
      <c r="AJ692" s="34"/>
      <c r="AK692" s="34"/>
      <c r="AU692" s="34"/>
      <c r="AV692" s="34"/>
    </row>
    <row r="693" spans="31:48" ht="16" x14ac:dyDescent="0.4">
      <c r="AE693" s="93">
        <f t="shared" si="55"/>
        <v>0</v>
      </c>
      <c r="AF693" s="16"/>
      <c r="AG693" s="103">
        <f t="shared" si="54"/>
        <v>0</v>
      </c>
      <c r="AH693" s="37">
        <f t="shared" si="56"/>
        <v>0</v>
      </c>
      <c r="AJ693" s="34"/>
      <c r="AK693" s="34"/>
      <c r="AU693" s="34"/>
      <c r="AV693" s="34"/>
    </row>
    <row r="694" spans="31:48" ht="16" x14ac:dyDescent="0.4">
      <c r="AE694" s="93">
        <f t="shared" si="55"/>
        <v>0</v>
      </c>
      <c r="AF694" s="16"/>
      <c r="AG694" s="103">
        <f t="shared" si="54"/>
        <v>0</v>
      </c>
      <c r="AH694" s="37">
        <f t="shared" si="56"/>
        <v>0</v>
      </c>
      <c r="AJ694" s="34"/>
      <c r="AK694" s="34"/>
      <c r="AU694" s="34"/>
      <c r="AV694" s="34"/>
    </row>
    <row r="695" spans="31:48" ht="16" x14ac:dyDescent="0.4">
      <c r="AE695" s="93">
        <f t="shared" si="55"/>
        <v>0</v>
      </c>
      <c r="AF695" s="16"/>
      <c r="AG695" s="103">
        <f t="shared" si="54"/>
        <v>0</v>
      </c>
      <c r="AH695" s="37">
        <f t="shared" si="56"/>
        <v>0</v>
      </c>
      <c r="AJ695" s="34"/>
      <c r="AK695" s="34"/>
      <c r="AU695" s="34"/>
      <c r="AV695" s="34"/>
    </row>
    <row r="696" spans="31:48" ht="16" x14ac:dyDescent="0.4">
      <c r="AE696" s="93">
        <f t="shared" si="55"/>
        <v>0</v>
      </c>
      <c r="AF696" s="16"/>
      <c r="AG696" s="103">
        <f t="shared" si="54"/>
        <v>0</v>
      </c>
      <c r="AH696" s="37">
        <f t="shared" si="56"/>
        <v>0</v>
      </c>
      <c r="AJ696" s="34"/>
      <c r="AK696" s="34"/>
      <c r="AU696" s="34"/>
      <c r="AV696" s="34"/>
    </row>
    <row r="697" spans="31:48" ht="16" x14ac:dyDescent="0.4">
      <c r="AE697" s="93">
        <f t="shared" si="55"/>
        <v>0</v>
      </c>
      <c r="AF697" s="16"/>
      <c r="AG697" s="103">
        <f t="shared" si="54"/>
        <v>0</v>
      </c>
      <c r="AH697" s="37">
        <f t="shared" si="56"/>
        <v>0</v>
      </c>
      <c r="AJ697" s="34"/>
      <c r="AK697" s="34"/>
      <c r="AU697" s="34"/>
      <c r="AV697" s="34"/>
    </row>
    <row r="698" spans="31:48" ht="16" x14ac:dyDescent="0.4">
      <c r="AE698" s="93">
        <f t="shared" si="55"/>
        <v>0</v>
      </c>
      <c r="AF698" s="16"/>
      <c r="AG698" s="103">
        <f t="shared" si="54"/>
        <v>0</v>
      </c>
      <c r="AH698" s="37">
        <f t="shared" si="56"/>
        <v>0</v>
      </c>
      <c r="AJ698" s="34"/>
      <c r="AK698" s="34"/>
      <c r="AU698" s="34"/>
      <c r="AV698" s="34"/>
    </row>
    <row r="699" spans="31:48" ht="16" x14ac:dyDescent="0.4">
      <c r="AE699" s="93">
        <f t="shared" si="55"/>
        <v>0</v>
      </c>
      <c r="AF699" s="16"/>
      <c r="AG699" s="103">
        <f t="shared" si="54"/>
        <v>0</v>
      </c>
      <c r="AH699" s="37">
        <f t="shared" si="56"/>
        <v>0</v>
      </c>
      <c r="AJ699" s="34"/>
      <c r="AK699" s="34"/>
      <c r="AU699" s="34"/>
      <c r="AV699" s="34"/>
    </row>
    <row r="700" spans="31:48" ht="16" x14ac:dyDescent="0.4">
      <c r="AE700" s="93">
        <f t="shared" si="55"/>
        <v>0</v>
      </c>
      <c r="AF700" s="16"/>
      <c r="AG700" s="103">
        <f t="shared" si="54"/>
        <v>0</v>
      </c>
      <c r="AH700" s="37">
        <f t="shared" si="56"/>
        <v>0</v>
      </c>
      <c r="AJ700" s="34"/>
      <c r="AK700" s="34"/>
      <c r="AU700" s="34"/>
      <c r="AV700" s="34"/>
    </row>
    <row r="701" spans="31:48" ht="16" x14ac:dyDescent="0.4">
      <c r="AE701" s="93">
        <f t="shared" si="55"/>
        <v>0</v>
      </c>
      <c r="AF701" s="16"/>
      <c r="AG701" s="103">
        <f t="shared" si="54"/>
        <v>0</v>
      </c>
      <c r="AH701" s="37">
        <f t="shared" si="56"/>
        <v>0</v>
      </c>
      <c r="AJ701" s="34"/>
      <c r="AK701" s="34"/>
      <c r="AU701" s="34"/>
      <c r="AV701" s="34"/>
    </row>
    <row r="702" spans="31:48" ht="16" x14ac:dyDescent="0.4">
      <c r="AE702" s="93">
        <f t="shared" si="55"/>
        <v>0</v>
      </c>
      <c r="AF702" s="16"/>
      <c r="AG702" s="103">
        <f t="shared" si="54"/>
        <v>0</v>
      </c>
      <c r="AH702" s="37">
        <f t="shared" si="56"/>
        <v>0</v>
      </c>
      <c r="AJ702" s="34"/>
      <c r="AK702" s="34"/>
      <c r="AU702" s="34"/>
      <c r="AV702" s="34"/>
    </row>
    <row r="703" spans="31:48" ht="16" x14ac:dyDescent="0.4">
      <c r="AE703" s="93">
        <f t="shared" si="55"/>
        <v>0</v>
      </c>
      <c r="AF703" s="16"/>
      <c r="AG703" s="103">
        <f t="shared" si="54"/>
        <v>0</v>
      </c>
      <c r="AH703" s="37">
        <f t="shared" si="56"/>
        <v>0</v>
      </c>
      <c r="AJ703" s="34"/>
      <c r="AK703" s="34"/>
      <c r="AU703" s="34"/>
      <c r="AV703" s="34"/>
    </row>
    <row r="704" spans="31:48" ht="16" x14ac:dyDescent="0.4">
      <c r="AE704" s="93">
        <f t="shared" si="55"/>
        <v>0</v>
      </c>
      <c r="AF704" s="16"/>
      <c r="AG704" s="103">
        <f t="shared" si="54"/>
        <v>0</v>
      </c>
      <c r="AH704" s="37">
        <f t="shared" si="56"/>
        <v>0</v>
      </c>
      <c r="AJ704" s="34"/>
      <c r="AK704" s="34"/>
      <c r="AU704" s="34"/>
      <c r="AV704" s="34"/>
    </row>
    <row r="705" spans="31:48" ht="16" x14ac:dyDescent="0.4">
      <c r="AE705" s="93">
        <f t="shared" si="55"/>
        <v>0</v>
      </c>
      <c r="AF705" s="16"/>
      <c r="AG705" s="103">
        <f t="shared" ref="AG705:AG766" si="57">IF($AF705&gt;14,14,$AF705)</f>
        <v>0</v>
      </c>
      <c r="AH705" s="37">
        <f t="shared" si="56"/>
        <v>0</v>
      </c>
      <c r="AJ705" s="34"/>
      <c r="AK705" s="34"/>
      <c r="AU705" s="34"/>
      <c r="AV705" s="34"/>
    </row>
    <row r="706" spans="31:48" ht="16" x14ac:dyDescent="0.4">
      <c r="AE706" s="93">
        <f t="shared" ref="AE706:AE766" si="58">AD706/1000</f>
        <v>0</v>
      </c>
      <c r="AF706" s="16"/>
      <c r="AG706" s="103">
        <f t="shared" si="57"/>
        <v>0</v>
      </c>
      <c r="AH706" s="37">
        <f t="shared" ref="AH706:AH766" si="59">AE706*AG706/14</f>
        <v>0</v>
      </c>
      <c r="AJ706" s="34"/>
      <c r="AK706" s="34"/>
      <c r="AU706" s="34"/>
      <c r="AV706" s="34"/>
    </row>
    <row r="707" spans="31:48" ht="16" x14ac:dyDescent="0.4">
      <c r="AE707" s="93">
        <f t="shared" si="58"/>
        <v>0</v>
      </c>
      <c r="AF707" s="16"/>
      <c r="AG707" s="103">
        <f t="shared" si="57"/>
        <v>0</v>
      </c>
      <c r="AH707" s="37">
        <f t="shared" si="59"/>
        <v>0</v>
      </c>
      <c r="AJ707" s="34"/>
      <c r="AK707" s="34"/>
      <c r="AU707" s="34"/>
      <c r="AV707" s="34"/>
    </row>
    <row r="708" spans="31:48" ht="16" x14ac:dyDescent="0.4">
      <c r="AE708" s="93">
        <f t="shared" si="58"/>
        <v>0</v>
      </c>
      <c r="AF708" s="16"/>
      <c r="AG708" s="103">
        <f t="shared" si="57"/>
        <v>0</v>
      </c>
      <c r="AH708" s="37">
        <f t="shared" si="59"/>
        <v>0</v>
      </c>
      <c r="AJ708" s="34"/>
      <c r="AK708" s="34"/>
      <c r="AU708" s="34"/>
      <c r="AV708" s="34"/>
    </row>
    <row r="709" spans="31:48" ht="16" x14ac:dyDescent="0.4">
      <c r="AE709" s="93">
        <f t="shared" si="58"/>
        <v>0</v>
      </c>
      <c r="AF709" s="16"/>
      <c r="AG709" s="103">
        <f t="shared" si="57"/>
        <v>0</v>
      </c>
      <c r="AH709" s="37">
        <f t="shared" si="59"/>
        <v>0</v>
      </c>
      <c r="AJ709" s="34"/>
      <c r="AK709" s="34"/>
      <c r="AU709" s="34"/>
      <c r="AV709" s="34"/>
    </row>
    <row r="710" spans="31:48" ht="16" x14ac:dyDescent="0.4">
      <c r="AE710" s="93">
        <f t="shared" si="58"/>
        <v>0</v>
      </c>
      <c r="AF710" s="16"/>
      <c r="AG710" s="103">
        <f t="shared" si="57"/>
        <v>0</v>
      </c>
      <c r="AH710" s="37">
        <f t="shared" si="59"/>
        <v>0</v>
      </c>
      <c r="AJ710" s="34"/>
      <c r="AK710" s="34"/>
      <c r="AU710" s="34"/>
      <c r="AV710" s="34"/>
    </row>
    <row r="711" spans="31:48" ht="16" x14ac:dyDescent="0.4">
      <c r="AE711" s="93">
        <f t="shared" si="58"/>
        <v>0</v>
      </c>
      <c r="AF711" s="16"/>
      <c r="AG711" s="103">
        <f t="shared" si="57"/>
        <v>0</v>
      </c>
      <c r="AH711" s="37">
        <f t="shared" si="59"/>
        <v>0</v>
      </c>
      <c r="AJ711" s="34"/>
      <c r="AK711" s="34"/>
      <c r="AU711" s="34"/>
      <c r="AV711" s="34"/>
    </row>
    <row r="712" spans="31:48" ht="16" x14ac:dyDescent="0.4">
      <c r="AE712" s="93">
        <f t="shared" si="58"/>
        <v>0</v>
      </c>
      <c r="AF712" s="16"/>
      <c r="AG712" s="103">
        <f t="shared" si="57"/>
        <v>0</v>
      </c>
      <c r="AH712" s="37">
        <f t="shared" si="59"/>
        <v>0</v>
      </c>
      <c r="AJ712" s="34"/>
      <c r="AK712" s="34"/>
      <c r="AU712" s="34"/>
      <c r="AV712" s="34"/>
    </row>
    <row r="713" spans="31:48" ht="16" x14ac:dyDescent="0.4">
      <c r="AE713" s="93">
        <f t="shared" si="58"/>
        <v>0</v>
      </c>
      <c r="AF713" s="16"/>
      <c r="AG713" s="103">
        <f t="shared" si="57"/>
        <v>0</v>
      </c>
      <c r="AH713" s="37">
        <f t="shared" si="59"/>
        <v>0</v>
      </c>
      <c r="AJ713" s="34"/>
      <c r="AK713" s="34"/>
      <c r="AU713" s="34"/>
      <c r="AV713" s="34"/>
    </row>
    <row r="714" spans="31:48" ht="16" x14ac:dyDescent="0.4">
      <c r="AE714" s="93">
        <f t="shared" si="58"/>
        <v>0</v>
      </c>
      <c r="AF714" s="16"/>
      <c r="AG714" s="103">
        <f t="shared" si="57"/>
        <v>0</v>
      </c>
      <c r="AH714" s="37">
        <f t="shared" si="59"/>
        <v>0</v>
      </c>
      <c r="AJ714" s="34"/>
      <c r="AK714" s="34"/>
      <c r="AU714" s="34"/>
      <c r="AV714" s="34"/>
    </row>
    <row r="715" spans="31:48" ht="16" x14ac:dyDescent="0.4">
      <c r="AE715" s="93">
        <f t="shared" si="58"/>
        <v>0</v>
      </c>
      <c r="AF715" s="16"/>
      <c r="AG715" s="103">
        <f t="shared" si="57"/>
        <v>0</v>
      </c>
      <c r="AH715" s="37">
        <f t="shared" si="59"/>
        <v>0</v>
      </c>
      <c r="AJ715" s="34"/>
      <c r="AK715" s="34"/>
      <c r="AU715" s="34"/>
      <c r="AV715" s="34"/>
    </row>
    <row r="716" spans="31:48" ht="16" x14ac:dyDescent="0.4">
      <c r="AE716" s="93">
        <f t="shared" si="58"/>
        <v>0</v>
      </c>
      <c r="AF716" s="16"/>
      <c r="AG716" s="103">
        <f t="shared" si="57"/>
        <v>0</v>
      </c>
      <c r="AH716" s="37">
        <f t="shared" si="59"/>
        <v>0</v>
      </c>
      <c r="AJ716" s="34"/>
      <c r="AK716" s="34"/>
      <c r="AU716" s="34"/>
      <c r="AV716" s="34"/>
    </row>
    <row r="717" spans="31:48" ht="16" x14ac:dyDescent="0.4">
      <c r="AE717" s="93">
        <f t="shared" si="58"/>
        <v>0</v>
      </c>
      <c r="AF717" s="16"/>
      <c r="AG717" s="103">
        <f t="shared" si="57"/>
        <v>0</v>
      </c>
      <c r="AH717" s="37">
        <f t="shared" si="59"/>
        <v>0</v>
      </c>
      <c r="AJ717" s="34"/>
      <c r="AK717" s="34"/>
      <c r="AU717" s="34"/>
      <c r="AV717" s="34"/>
    </row>
    <row r="718" spans="31:48" ht="16" x14ac:dyDescent="0.4">
      <c r="AE718" s="93">
        <f t="shared" si="58"/>
        <v>0</v>
      </c>
      <c r="AF718" s="16"/>
      <c r="AG718" s="103">
        <f t="shared" si="57"/>
        <v>0</v>
      </c>
      <c r="AH718" s="37">
        <f t="shared" si="59"/>
        <v>0</v>
      </c>
      <c r="AJ718" s="34"/>
      <c r="AK718" s="34"/>
      <c r="AU718" s="34"/>
      <c r="AV718" s="34"/>
    </row>
    <row r="719" spans="31:48" ht="16" x14ac:dyDescent="0.4">
      <c r="AE719" s="93">
        <f t="shared" si="58"/>
        <v>0</v>
      </c>
      <c r="AF719" s="16"/>
      <c r="AG719" s="103">
        <f t="shared" si="57"/>
        <v>0</v>
      </c>
      <c r="AH719" s="37">
        <f t="shared" si="59"/>
        <v>0</v>
      </c>
      <c r="AJ719" s="34"/>
      <c r="AK719" s="34"/>
      <c r="AU719" s="34"/>
      <c r="AV719" s="34"/>
    </row>
    <row r="720" spans="31:48" ht="16" x14ac:dyDescent="0.4">
      <c r="AE720" s="93">
        <f t="shared" si="58"/>
        <v>0</v>
      </c>
      <c r="AF720" s="16"/>
      <c r="AG720" s="103">
        <f t="shared" si="57"/>
        <v>0</v>
      </c>
      <c r="AH720" s="37">
        <f t="shared" si="59"/>
        <v>0</v>
      </c>
      <c r="AJ720" s="34"/>
      <c r="AK720" s="34"/>
      <c r="AU720" s="34"/>
      <c r="AV720" s="34"/>
    </row>
    <row r="721" spans="31:48" ht="16" x14ac:dyDescent="0.4">
      <c r="AE721" s="93">
        <f t="shared" si="58"/>
        <v>0</v>
      </c>
      <c r="AF721" s="16"/>
      <c r="AG721" s="103">
        <f t="shared" si="57"/>
        <v>0</v>
      </c>
      <c r="AH721" s="37">
        <f t="shared" si="59"/>
        <v>0</v>
      </c>
      <c r="AJ721" s="34"/>
      <c r="AK721" s="34"/>
      <c r="AU721" s="34"/>
      <c r="AV721" s="34"/>
    </row>
    <row r="722" spans="31:48" ht="16" x14ac:dyDescent="0.4">
      <c r="AE722" s="93">
        <f t="shared" si="58"/>
        <v>0</v>
      </c>
      <c r="AF722" s="16"/>
      <c r="AG722" s="103">
        <f t="shared" si="57"/>
        <v>0</v>
      </c>
      <c r="AH722" s="37">
        <f t="shared" si="59"/>
        <v>0</v>
      </c>
      <c r="AJ722" s="34"/>
      <c r="AK722" s="34"/>
      <c r="AU722" s="34"/>
      <c r="AV722" s="34"/>
    </row>
    <row r="723" spans="31:48" ht="16" x14ac:dyDescent="0.4">
      <c r="AE723" s="93">
        <f t="shared" si="58"/>
        <v>0</v>
      </c>
      <c r="AF723" s="16"/>
      <c r="AG723" s="103">
        <f t="shared" si="57"/>
        <v>0</v>
      </c>
      <c r="AH723" s="37">
        <f t="shared" si="59"/>
        <v>0</v>
      </c>
      <c r="AJ723" s="34"/>
      <c r="AK723" s="34"/>
      <c r="AU723" s="34"/>
      <c r="AV723" s="34"/>
    </row>
    <row r="724" spans="31:48" ht="16" x14ac:dyDescent="0.4">
      <c r="AE724" s="93">
        <f t="shared" si="58"/>
        <v>0</v>
      </c>
      <c r="AF724" s="16"/>
      <c r="AG724" s="103">
        <f t="shared" si="57"/>
        <v>0</v>
      </c>
      <c r="AH724" s="37">
        <f t="shared" si="59"/>
        <v>0</v>
      </c>
      <c r="AJ724" s="34"/>
      <c r="AK724" s="34"/>
      <c r="AU724" s="34"/>
      <c r="AV724" s="34"/>
    </row>
    <row r="725" spans="31:48" ht="16" x14ac:dyDescent="0.4">
      <c r="AE725" s="93">
        <f t="shared" si="58"/>
        <v>0</v>
      </c>
      <c r="AF725" s="16"/>
      <c r="AG725" s="103">
        <f t="shared" si="57"/>
        <v>0</v>
      </c>
      <c r="AH725" s="37">
        <f t="shared" si="59"/>
        <v>0</v>
      </c>
      <c r="AJ725" s="34"/>
      <c r="AK725" s="34"/>
      <c r="AU725" s="34"/>
      <c r="AV725" s="34"/>
    </row>
    <row r="726" spans="31:48" ht="16" x14ac:dyDescent="0.4">
      <c r="AE726" s="93">
        <f t="shared" si="58"/>
        <v>0</v>
      </c>
      <c r="AF726" s="16"/>
      <c r="AG726" s="103">
        <f t="shared" si="57"/>
        <v>0</v>
      </c>
      <c r="AH726" s="37">
        <f t="shared" si="59"/>
        <v>0</v>
      </c>
      <c r="AJ726" s="34"/>
      <c r="AK726" s="34"/>
      <c r="AU726" s="34"/>
      <c r="AV726" s="34"/>
    </row>
    <row r="727" spans="31:48" ht="16" x14ac:dyDescent="0.4">
      <c r="AE727" s="93">
        <f t="shared" si="58"/>
        <v>0</v>
      </c>
      <c r="AF727" s="16"/>
      <c r="AG727" s="103">
        <f t="shared" si="57"/>
        <v>0</v>
      </c>
      <c r="AH727" s="37">
        <f t="shared" si="59"/>
        <v>0</v>
      </c>
      <c r="AJ727" s="34"/>
      <c r="AK727" s="34"/>
      <c r="AU727" s="34"/>
      <c r="AV727" s="34"/>
    </row>
    <row r="728" spans="31:48" ht="16" x14ac:dyDescent="0.4">
      <c r="AE728" s="93">
        <f t="shared" si="58"/>
        <v>0</v>
      </c>
      <c r="AF728" s="16"/>
      <c r="AG728" s="103">
        <f t="shared" si="57"/>
        <v>0</v>
      </c>
      <c r="AH728" s="37">
        <f t="shared" si="59"/>
        <v>0</v>
      </c>
      <c r="AJ728" s="34"/>
      <c r="AK728" s="34"/>
      <c r="AU728" s="34"/>
      <c r="AV728" s="34"/>
    </row>
    <row r="729" spans="31:48" ht="16" x14ac:dyDescent="0.4">
      <c r="AE729" s="93">
        <f t="shared" si="58"/>
        <v>0</v>
      </c>
      <c r="AF729" s="16"/>
      <c r="AG729" s="103">
        <f t="shared" si="57"/>
        <v>0</v>
      </c>
      <c r="AH729" s="37">
        <f t="shared" si="59"/>
        <v>0</v>
      </c>
      <c r="AJ729" s="34"/>
      <c r="AK729" s="34"/>
      <c r="AU729" s="34"/>
      <c r="AV729" s="34"/>
    </row>
    <row r="730" spans="31:48" ht="16" x14ac:dyDescent="0.4">
      <c r="AE730" s="93">
        <f t="shared" si="58"/>
        <v>0</v>
      </c>
      <c r="AF730" s="16"/>
      <c r="AG730" s="103">
        <f t="shared" si="57"/>
        <v>0</v>
      </c>
      <c r="AH730" s="37">
        <f t="shared" si="59"/>
        <v>0</v>
      </c>
      <c r="AJ730" s="34"/>
      <c r="AK730" s="34"/>
      <c r="AU730" s="34"/>
      <c r="AV730" s="34"/>
    </row>
    <row r="731" spans="31:48" ht="16" x14ac:dyDescent="0.4">
      <c r="AE731" s="93">
        <f t="shared" si="58"/>
        <v>0</v>
      </c>
      <c r="AF731" s="16"/>
      <c r="AG731" s="103">
        <f t="shared" si="57"/>
        <v>0</v>
      </c>
      <c r="AH731" s="37">
        <f t="shared" si="59"/>
        <v>0</v>
      </c>
      <c r="AJ731" s="34"/>
      <c r="AK731" s="34"/>
      <c r="AU731" s="34"/>
      <c r="AV731" s="34"/>
    </row>
    <row r="732" spans="31:48" ht="16" x14ac:dyDescent="0.4">
      <c r="AE732" s="93">
        <f t="shared" si="58"/>
        <v>0</v>
      </c>
      <c r="AF732" s="16"/>
      <c r="AG732" s="103">
        <f t="shared" si="57"/>
        <v>0</v>
      </c>
      <c r="AH732" s="37">
        <f t="shared" si="59"/>
        <v>0</v>
      </c>
      <c r="AJ732" s="34"/>
      <c r="AK732" s="34"/>
      <c r="AU732" s="34"/>
      <c r="AV732" s="34"/>
    </row>
    <row r="733" spans="31:48" ht="16" x14ac:dyDescent="0.4">
      <c r="AE733" s="93">
        <f t="shared" si="58"/>
        <v>0</v>
      </c>
      <c r="AF733" s="16"/>
      <c r="AG733" s="103">
        <f t="shared" si="57"/>
        <v>0</v>
      </c>
      <c r="AH733" s="37">
        <f t="shared" si="59"/>
        <v>0</v>
      </c>
      <c r="AJ733" s="34"/>
      <c r="AK733" s="34"/>
      <c r="AU733" s="34"/>
      <c r="AV733" s="34"/>
    </row>
    <row r="734" spans="31:48" ht="16" x14ac:dyDescent="0.4">
      <c r="AE734" s="93">
        <f t="shared" si="58"/>
        <v>0</v>
      </c>
      <c r="AF734" s="16"/>
      <c r="AG734" s="103">
        <f t="shared" si="57"/>
        <v>0</v>
      </c>
      <c r="AH734" s="37">
        <f t="shared" si="59"/>
        <v>0</v>
      </c>
      <c r="AJ734" s="34"/>
      <c r="AK734" s="34"/>
      <c r="AU734" s="34"/>
      <c r="AV734" s="34"/>
    </row>
    <row r="735" spans="31:48" ht="16" x14ac:dyDescent="0.4">
      <c r="AE735" s="93">
        <f t="shared" si="58"/>
        <v>0</v>
      </c>
      <c r="AF735" s="16"/>
      <c r="AG735" s="103">
        <f t="shared" si="57"/>
        <v>0</v>
      </c>
      <c r="AH735" s="37">
        <f t="shared" si="59"/>
        <v>0</v>
      </c>
      <c r="AJ735" s="34"/>
      <c r="AK735" s="34"/>
      <c r="AU735" s="34"/>
      <c r="AV735" s="34"/>
    </row>
    <row r="736" spans="31:48" ht="16" x14ac:dyDescent="0.4">
      <c r="AE736" s="93">
        <f t="shared" si="58"/>
        <v>0</v>
      </c>
      <c r="AF736" s="16"/>
      <c r="AG736" s="103">
        <f t="shared" si="57"/>
        <v>0</v>
      </c>
      <c r="AH736" s="37">
        <f t="shared" si="59"/>
        <v>0</v>
      </c>
      <c r="AJ736" s="34"/>
      <c r="AK736" s="34"/>
      <c r="AU736" s="34"/>
      <c r="AV736" s="34"/>
    </row>
    <row r="737" spans="31:48" ht="16" x14ac:dyDescent="0.4">
      <c r="AE737" s="93">
        <f t="shared" si="58"/>
        <v>0</v>
      </c>
      <c r="AF737" s="16"/>
      <c r="AG737" s="103">
        <f t="shared" si="57"/>
        <v>0</v>
      </c>
      <c r="AH737" s="37">
        <f t="shared" si="59"/>
        <v>0</v>
      </c>
      <c r="AJ737" s="34"/>
      <c r="AK737" s="34"/>
      <c r="AU737" s="34"/>
      <c r="AV737" s="34"/>
    </row>
    <row r="738" spans="31:48" ht="16" x14ac:dyDescent="0.4">
      <c r="AE738" s="93">
        <f t="shared" si="58"/>
        <v>0</v>
      </c>
      <c r="AF738" s="16"/>
      <c r="AG738" s="103">
        <f t="shared" si="57"/>
        <v>0</v>
      </c>
      <c r="AH738" s="37">
        <f t="shared" si="59"/>
        <v>0</v>
      </c>
      <c r="AJ738" s="34"/>
      <c r="AK738" s="34"/>
      <c r="AU738" s="34"/>
      <c r="AV738" s="34"/>
    </row>
    <row r="739" spans="31:48" ht="16" x14ac:dyDescent="0.4">
      <c r="AE739" s="93">
        <f t="shared" si="58"/>
        <v>0</v>
      </c>
      <c r="AF739" s="16"/>
      <c r="AG739" s="103">
        <f t="shared" si="57"/>
        <v>0</v>
      </c>
      <c r="AH739" s="37">
        <f t="shared" si="59"/>
        <v>0</v>
      </c>
      <c r="AJ739" s="34"/>
      <c r="AK739" s="34"/>
      <c r="AU739" s="34"/>
      <c r="AV739" s="34"/>
    </row>
    <row r="740" spans="31:48" ht="16" x14ac:dyDescent="0.4">
      <c r="AE740" s="93">
        <f t="shared" si="58"/>
        <v>0</v>
      </c>
      <c r="AF740" s="16"/>
      <c r="AG740" s="103">
        <f t="shared" si="57"/>
        <v>0</v>
      </c>
      <c r="AH740" s="37">
        <f t="shared" si="59"/>
        <v>0</v>
      </c>
      <c r="AJ740" s="34"/>
      <c r="AK740" s="34"/>
      <c r="AU740" s="34"/>
      <c r="AV740" s="34"/>
    </row>
    <row r="741" spans="31:48" ht="16" x14ac:dyDescent="0.4">
      <c r="AE741" s="93">
        <f t="shared" si="58"/>
        <v>0</v>
      </c>
      <c r="AF741" s="16"/>
      <c r="AG741" s="103">
        <f t="shared" si="57"/>
        <v>0</v>
      </c>
      <c r="AH741" s="37">
        <f t="shared" si="59"/>
        <v>0</v>
      </c>
      <c r="AJ741" s="34"/>
      <c r="AK741" s="34"/>
      <c r="AU741" s="34"/>
      <c r="AV741" s="34"/>
    </row>
    <row r="742" spans="31:48" ht="16" x14ac:dyDescent="0.4">
      <c r="AE742" s="93">
        <f t="shared" si="58"/>
        <v>0</v>
      </c>
      <c r="AF742" s="16"/>
      <c r="AG742" s="103">
        <f t="shared" si="57"/>
        <v>0</v>
      </c>
      <c r="AH742" s="37">
        <f t="shared" si="59"/>
        <v>0</v>
      </c>
      <c r="AJ742" s="34"/>
      <c r="AK742" s="34"/>
      <c r="AU742" s="34"/>
      <c r="AV742" s="34"/>
    </row>
    <row r="743" spans="31:48" ht="16" x14ac:dyDescent="0.4">
      <c r="AE743" s="93">
        <f t="shared" si="58"/>
        <v>0</v>
      </c>
      <c r="AF743" s="16"/>
      <c r="AG743" s="103">
        <f t="shared" si="57"/>
        <v>0</v>
      </c>
      <c r="AH743" s="37">
        <f t="shared" si="59"/>
        <v>0</v>
      </c>
      <c r="AJ743" s="34"/>
      <c r="AK743" s="34"/>
      <c r="AU743" s="34"/>
      <c r="AV743" s="34"/>
    </row>
    <row r="744" spans="31:48" ht="16" x14ac:dyDescent="0.4">
      <c r="AE744" s="93">
        <f t="shared" si="58"/>
        <v>0</v>
      </c>
      <c r="AF744" s="16"/>
      <c r="AG744" s="103">
        <f t="shared" si="57"/>
        <v>0</v>
      </c>
      <c r="AH744" s="37">
        <f t="shared" si="59"/>
        <v>0</v>
      </c>
      <c r="AJ744" s="34"/>
      <c r="AK744" s="34"/>
      <c r="AU744" s="34"/>
      <c r="AV744" s="34"/>
    </row>
    <row r="745" spans="31:48" ht="16" x14ac:dyDescent="0.4">
      <c r="AE745" s="93">
        <f t="shared" si="58"/>
        <v>0</v>
      </c>
      <c r="AF745" s="16"/>
      <c r="AG745" s="103">
        <f t="shared" si="57"/>
        <v>0</v>
      </c>
      <c r="AH745" s="37">
        <f t="shared" si="59"/>
        <v>0</v>
      </c>
      <c r="AJ745" s="34"/>
      <c r="AK745" s="34"/>
      <c r="AU745" s="34"/>
      <c r="AV745" s="34"/>
    </row>
    <row r="746" spans="31:48" ht="16" x14ac:dyDescent="0.4">
      <c r="AE746" s="93">
        <f t="shared" si="58"/>
        <v>0</v>
      </c>
      <c r="AF746" s="16"/>
      <c r="AG746" s="103">
        <f t="shared" si="57"/>
        <v>0</v>
      </c>
      <c r="AH746" s="37">
        <f t="shared" si="59"/>
        <v>0</v>
      </c>
      <c r="AJ746" s="34"/>
      <c r="AK746" s="34"/>
      <c r="AU746" s="34"/>
      <c r="AV746" s="34"/>
    </row>
    <row r="747" spans="31:48" ht="16" x14ac:dyDescent="0.4">
      <c r="AE747" s="93">
        <f t="shared" si="58"/>
        <v>0</v>
      </c>
      <c r="AF747" s="16"/>
      <c r="AG747" s="103">
        <f t="shared" si="57"/>
        <v>0</v>
      </c>
      <c r="AH747" s="37">
        <f t="shared" si="59"/>
        <v>0</v>
      </c>
      <c r="AJ747" s="34"/>
      <c r="AK747" s="34"/>
      <c r="AU747" s="34"/>
      <c r="AV747" s="34"/>
    </row>
    <row r="748" spans="31:48" ht="16" x14ac:dyDescent="0.4">
      <c r="AE748" s="93">
        <f t="shared" si="58"/>
        <v>0</v>
      </c>
      <c r="AF748" s="16"/>
      <c r="AG748" s="103">
        <f t="shared" si="57"/>
        <v>0</v>
      </c>
      <c r="AH748" s="37">
        <f t="shared" si="59"/>
        <v>0</v>
      </c>
      <c r="AJ748" s="34"/>
      <c r="AK748" s="34"/>
      <c r="AU748" s="34"/>
      <c r="AV748" s="34"/>
    </row>
    <row r="749" spans="31:48" ht="16" x14ac:dyDescent="0.4">
      <c r="AE749" s="93">
        <f t="shared" si="58"/>
        <v>0</v>
      </c>
      <c r="AF749" s="16"/>
      <c r="AG749" s="103">
        <f t="shared" si="57"/>
        <v>0</v>
      </c>
      <c r="AH749" s="37">
        <f t="shared" si="59"/>
        <v>0</v>
      </c>
      <c r="AJ749" s="34"/>
      <c r="AK749" s="34"/>
      <c r="AU749" s="34"/>
      <c r="AV749" s="34"/>
    </row>
    <row r="750" spans="31:48" ht="16" x14ac:dyDescent="0.4">
      <c r="AE750" s="93">
        <f t="shared" si="58"/>
        <v>0</v>
      </c>
      <c r="AF750" s="16"/>
      <c r="AG750" s="103">
        <f t="shared" si="57"/>
        <v>0</v>
      </c>
      <c r="AH750" s="37">
        <f t="shared" si="59"/>
        <v>0</v>
      </c>
      <c r="AJ750" s="34"/>
      <c r="AK750" s="34"/>
      <c r="AU750" s="34"/>
      <c r="AV750" s="34"/>
    </row>
    <row r="751" spans="31:48" ht="16" x14ac:dyDescent="0.4">
      <c r="AE751" s="93">
        <f t="shared" si="58"/>
        <v>0</v>
      </c>
      <c r="AF751" s="16"/>
      <c r="AG751" s="103">
        <f t="shared" si="57"/>
        <v>0</v>
      </c>
      <c r="AH751" s="37">
        <f t="shared" si="59"/>
        <v>0</v>
      </c>
      <c r="AJ751" s="34"/>
      <c r="AK751" s="34"/>
      <c r="AU751" s="34"/>
      <c r="AV751" s="34"/>
    </row>
    <row r="752" spans="31:48" ht="16" x14ac:dyDescent="0.4">
      <c r="AE752" s="93">
        <f t="shared" si="58"/>
        <v>0</v>
      </c>
      <c r="AF752" s="16"/>
      <c r="AG752" s="103">
        <f t="shared" si="57"/>
        <v>0</v>
      </c>
      <c r="AH752" s="37">
        <f t="shared" si="59"/>
        <v>0</v>
      </c>
      <c r="AJ752" s="34"/>
      <c r="AK752" s="34"/>
      <c r="AU752" s="34"/>
      <c r="AV752" s="34"/>
    </row>
    <row r="753" spans="31:48" ht="16" x14ac:dyDescent="0.4">
      <c r="AE753" s="93">
        <f t="shared" si="58"/>
        <v>0</v>
      </c>
      <c r="AF753" s="16"/>
      <c r="AG753" s="103">
        <f t="shared" si="57"/>
        <v>0</v>
      </c>
      <c r="AH753" s="37">
        <f t="shared" si="59"/>
        <v>0</v>
      </c>
      <c r="AJ753" s="34"/>
      <c r="AK753" s="34"/>
      <c r="AU753" s="34"/>
      <c r="AV753" s="34"/>
    </row>
    <row r="754" spans="31:48" ht="16" x14ac:dyDescent="0.4">
      <c r="AE754" s="93">
        <f t="shared" si="58"/>
        <v>0</v>
      </c>
      <c r="AF754" s="16"/>
      <c r="AG754" s="103">
        <f t="shared" si="57"/>
        <v>0</v>
      </c>
      <c r="AH754" s="37">
        <f t="shared" si="59"/>
        <v>0</v>
      </c>
      <c r="AJ754" s="34"/>
      <c r="AK754" s="34"/>
      <c r="AU754" s="34"/>
      <c r="AV754" s="34"/>
    </row>
    <row r="755" spans="31:48" ht="16" x14ac:dyDescent="0.4">
      <c r="AE755" s="93">
        <f t="shared" si="58"/>
        <v>0</v>
      </c>
      <c r="AF755" s="16"/>
      <c r="AG755" s="103">
        <f t="shared" si="57"/>
        <v>0</v>
      </c>
      <c r="AH755" s="37">
        <f t="shared" si="59"/>
        <v>0</v>
      </c>
      <c r="AJ755" s="34"/>
      <c r="AK755" s="34"/>
      <c r="AU755" s="34"/>
      <c r="AV755" s="34"/>
    </row>
    <row r="756" spans="31:48" ht="16" x14ac:dyDescent="0.4">
      <c r="AE756" s="93">
        <f t="shared" si="58"/>
        <v>0</v>
      </c>
      <c r="AF756" s="16"/>
      <c r="AG756" s="103">
        <f t="shared" si="57"/>
        <v>0</v>
      </c>
      <c r="AH756" s="37">
        <f t="shared" si="59"/>
        <v>0</v>
      </c>
      <c r="AJ756" s="34"/>
      <c r="AK756" s="34"/>
      <c r="AU756" s="34"/>
      <c r="AV756" s="34"/>
    </row>
    <row r="757" spans="31:48" ht="16" x14ac:dyDescent="0.4">
      <c r="AE757" s="93">
        <f t="shared" si="58"/>
        <v>0</v>
      </c>
      <c r="AF757" s="16"/>
      <c r="AG757" s="103">
        <f t="shared" si="57"/>
        <v>0</v>
      </c>
      <c r="AH757" s="37">
        <f t="shared" si="59"/>
        <v>0</v>
      </c>
      <c r="AJ757" s="34"/>
      <c r="AK757" s="34"/>
      <c r="AU757" s="34"/>
      <c r="AV757" s="34"/>
    </row>
    <row r="758" spans="31:48" ht="16" x14ac:dyDescent="0.4">
      <c r="AE758" s="93">
        <f t="shared" si="58"/>
        <v>0</v>
      </c>
      <c r="AF758" s="16"/>
      <c r="AG758" s="103">
        <f t="shared" si="57"/>
        <v>0</v>
      </c>
      <c r="AH758" s="37">
        <f t="shared" si="59"/>
        <v>0</v>
      </c>
      <c r="AJ758" s="34"/>
      <c r="AK758" s="34"/>
      <c r="AU758" s="34"/>
      <c r="AV758" s="34"/>
    </row>
    <row r="759" spans="31:48" ht="16" x14ac:dyDescent="0.4">
      <c r="AE759" s="93">
        <f t="shared" si="58"/>
        <v>0</v>
      </c>
      <c r="AF759" s="16"/>
      <c r="AG759" s="103">
        <f t="shared" si="57"/>
        <v>0</v>
      </c>
      <c r="AH759" s="37">
        <f t="shared" si="59"/>
        <v>0</v>
      </c>
      <c r="AJ759" s="34"/>
      <c r="AK759" s="34"/>
      <c r="AU759" s="34"/>
      <c r="AV759" s="34"/>
    </row>
    <row r="760" spans="31:48" ht="16" x14ac:dyDescent="0.4">
      <c r="AE760" s="93">
        <f t="shared" si="58"/>
        <v>0</v>
      </c>
      <c r="AF760" s="16"/>
      <c r="AG760" s="103">
        <f t="shared" si="57"/>
        <v>0</v>
      </c>
      <c r="AH760" s="37">
        <f t="shared" si="59"/>
        <v>0</v>
      </c>
      <c r="AJ760" s="34"/>
      <c r="AK760" s="34"/>
      <c r="AU760" s="34"/>
      <c r="AV760" s="34"/>
    </row>
    <row r="761" spans="31:48" ht="16" x14ac:dyDescent="0.4">
      <c r="AE761" s="93">
        <f t="shared" si="58"/>
        <v>0</v>
      </c>
      <c r="AF761" s="16"/>
      <c r="AG761" s="103">
        <f t="shared" si="57"/>
        <v>0</v>
      </c>
      <c r="AH761" s="37">
        <f t="shared" si="59"/>
        <v>0</v>
      </c>
      <c r="AJ761" s="34"/>
      <c r="AK761" s="34"/>
      <c r="AU761" s="34"/>
      <c r="AV761" s="34"/>
    </row>
    <row r="762" spans="31:48" ht="16" x14ac:dyDescent="0.4">
      <c r="AE762" s="93">
        <f t="shared" si="58"/>
        <v>0</v>
      </c>
      <c r="AF762" s="16"/>
      <c r="AG762" s="103">
        <f t="shared" si="57"/>
        <v>0</v>
      </c>
      <c r="AH762" s="37">
        <f t="shared" si="59"/>
        <v>0</v>
      </c>
      <c r="AJ762" s="34"/>
      <c r="AK762" s="34"/>
      <c r="AU762" s="34"/>
      <c r="AV762" s="34"/>
    </row>
    <row r="763" spans="31:48" ht="16" x14ac:dyDescent="0.4">
      <c r="AE763" s="93">
        <f t="shared" si="58"/>
        <v>0</v>
      </c>
      <c r="AF763" s="16"/>
      <c r="AG763" s="103">
        <f t="shared" si="57"/>
        <v>0</v>
      </c>
      <c r="AH763" s="37">
        <f t="shared" si="59"/>
        <v>0</v>
      </c>
      <c r="AJ763" s="34"/>
      <c r="AK763" s="34"/>
      <c r="AU763" s="34"/>
      <c r="AV763" s="34"/>
    </row>
    <row r="764" spans="31:48" ht="16" x14ac:dyDescent="0.4">
      <c r="AE764" s="93">
        <f t="shared" si="58"/>
        <v>0</v>
      </c>
      <c r="AF764" s="16"/>
      <c r="AG764" s="103">
        <f t="shared" si="57"/>
        <v>0</v>
      </c>
      <c r="AH764" s="37">
        <f t="shared" si="59"/>
        <v>0</v>
      </c>
      <c r="AJ764" s="34"/>
      <c r="AK764" s="34"/>
      <c r="AU764" s="34"/>
      <c r="AV764" s="34"/>
    </row>
    <row r="765" spans="31:48" ht="16" x14ac:dyDescent="0.4">
      <c r="AE765" s="93">
        <f t="shared" si="58"/>
        <v>0</v>
      </c>
      <c r="AF765" s="16"/>
      <c r="AG765" s="103">
        <f t="shared" si="57"/>
        <v>0</v>
      </c>
      <c r="AH765" s="37">
        <f t="shared" si="59"/>
        <v>0</v>
      </c>
      <c r="AJ765" s="34"/>
      <c r="AK765" s="34"/>
      <c r="AU765" s="34"/>
      <c r="AV765" s="34"/>
    </row>
    <row r="766" spans="31:48" ht="16" x14ac:dyDescent="0.4">
      <c r="AE766" s="93">
        <f t="shared" si="58"/>
        <v>0</v>
      </c>
      <c r="AF766" s="16"/>
      <c r="AG766" s="103">
        <f t="shared" si="57"/>
        <v>0</v>
      </c>
      <c r="AH766" s="37">
        <f t="shared" si="59"/>
        <v>0</v>
      </c>
      <c r="AJ766" s="34"/>
      <c r="AK766" s="34"/>
      <c r="AU766" s="34"/>
      <c r="AV766" s="34"/>
    </row>
    <row r="767" spans="31:48" x14ac:dyDescent="0.35">
      <c r="AJ767" s="34"/>
      <c r="AK767" s="34"/>
      <c r="AU767" s="34"/>
      <c r="AV767" s="34"/>
    </row>
    <row r="768" spans="31:48" x14ac:dyDescent="0.35">
      <c r="AJ768" s="34"/>
      <c r="AK768" s="34"/>
      <c r="AU768" s="34"/>
      <c r="AV768" s="34"/>
    </row>
    <row r="769" spans="36:48" x14ac:dyDescent="0.35">
      <c r="AJ769" s="34"/>
      <c r="AK769" s="34"/>
      <c r="AU769" s="34"/>
      <c r="AV769" s="34"/>
    </row>
    <row r="770" spans="36:48" x14ac:dyDescent="0.35">
      <c r="AJ770" s="34"/>
      <c r="AK770" s="34"/>
      <c r="AU770" s="34"/>
      <c r="AV770" s="34"/>
    </row>
    <row r="771" spans="36:48" x14ac:dyDescent="0.35">
      <c r="AJ771" s="34"/>
      <c r="AK771" s="34"/>
      <c r="AU771" s="34"/>
      <c r="AV771" s="34"/>
    </row>
    <row r="772" spans="36:48" x14ac:dyDescent="0.35">
      <c r="AJ772" s="34"/>
      <c r="AK772" s="34"/>
      <c r="AU772" s="34"/>
      <c r="AV772" s="34"/>
    </row>
    <row r="773" spans="36:48" x14ac:dyDescent="0.35">
      <c r="AJ773" s="34"/>
      <c r="AK773" s="34"/>
      <c r="AU773" s="34"/>
      <c r="AV773" s="34"/>
    </row>
    <row r="774" spans="36:48" x14ac:dyDescent="0.35">
      <c r="AJ774" s="34"/>
      <c r="AK774" s="34"/>
      <c r="AU774" s="34"/>
      <c r="AV774" s="34"/>
    </row>
  </sheetData>
  <autoFilter ref="V4:AT487" xr:uid="{F679762A-47DC-4E46-BA92-6E91B14CCD94}"/>
  <mergeCells count="16">
    <mergeCell ref="K8:K9"/>
    <mergeCell ref="B3:L4"/>
    <mergeCell ref="B5:L5"/>
    <mergeCell ref="B6:B9"/>
    <mergeCell ref="C6:F6"/>
    <mergeCell ref="G6:G9"/>
    <mergeCell ref="H6:I6"/>
    <mergeCell ref="J6:K7"/>
    <mergeCell ref="L6:L9"/>
    <mergeCell ref="C7:C9"/>
    <mergeCell ref="D7:D9"/>
    <mergeCell ref="E7:E9"/>
    <mergeCell ref="F7:F9"/>
    <mergeCell ref="H7:H9"/>
    <mergeCell ref="I7:I9"/>
    <mergeCell ref="J8:J9"/>
  </mergeCells>
  <conditionalFormatting sqref="W68:W95 W36:W66 W5:W34">
    <cfRule type="duplicateValues" dxfId="268" priority="38"/>
  </conditionalFormatting>
  <conditionalFormatting sqref="W96:W112 W114:W142">
    <cfRule type="duplicateValues" dxfId="267" priority="17"/>
  </conditionalFormatting>
  <conditionalFormatting sqref="W143:W177">
    <cfRule type="duplicateValues" dxfId="266" priority="2"/>
  </conditionalFormatting>
  <conditionalFormatting sqref="W178:W189">
    <cfRule type="duplicateValues" dxfId="265" priority="20"/>
  </conditionalFormatting>
  <conditionalFormatting sqref="W190:W218">
    <cfRule type="duplicateValues" dxfId="264" priority="19"/>
  </conditionalFormatting>
  <conditionalFormatting sqref="W219:W276">
    <cfRule type="duplicateValues" dxfId="263" priority="1"/>
  </conditionalFormatting>
  <conditionalFormatting sqref="W277:W296">
    <cfRule type="duplicateValues" dxfId="262" priority="16"/>
  </conditionalFormatting>
  <conditionalFormatting sqref="W297:W343">
    <cfRule type="duplicateValues" dxfId="261" priority="18"/>
  </conditionalFormatting>
  <conditionalFormatting sqref="W344:W392">
    <cfRule type="duplicateValues" dxfId="260" priority="22"/>
  </conditionalFormatting>
  <conditionalFormatting sqref="W393:W450">
    <cfRule type="duplicateValues" dxfId="259" priority="21"/>
  </conditionalFormatting>
  <conditionalFormatting sqref="W451">
    <cfRule type="duplicateValues" dxfId="258" priority="23"/>
  </conditionalFormatting>
  <conditionalFormatting sqref="W452:W1048576 W1:W4">
    <cfRule type="duplicateValues" dxfId="257" priority="24"/>
  </conditionalFormatting>
  <conditionalFormatting sqref="AK193:AK196 AK28:AK38 AK14 AK1:AK4 AK61:AK106 AK254:AK1048576">
    <cfRule type="duplicateValues" dxfId="256" priority="25"/>
  </conditionalFormatting>
  <conditionalFormatting sqref="AK14 AK254 AK193:AK19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33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1048576 AK14 AK1:AK4 AK193:AK196 AK254">
    <cfRule type="duplicateValues" dxfId="255" priority="34"/>
  </conditionalFormatting>
  <conditionalFormatting sqref="AK331:AK397 AK407:AK680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K402">
    <cfRule type="duplicateValues" dxfId="254" priority="28"/>
  </conditionalFormatting>
  <conditionalFormatting sqref="AK681:AK774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L402">
    <cfRule type="expression" dxfId="253" priority="26">
      <formula>MOD(ROW(),2)=0</formula>
    </cfRule>
  </conditionalFormatting>
  <conditionalFormatting sqref="AN16">
    <cfRule type="duplicateValues" dxfId="252" priority="29"/>
  </conditionalFormatting>
  <conditionalFormatting sqref="AP5:AP6 AP9:AP15">
    <cfRule type="duplicateValues" dxfId="251" priority="37"/>
  </conditionalFormatting>
  <conditionalFormatting sqref="AP68:AP142 AP5:AP6 AP17:AP21 AP23:AP63 AP65:AP66 AP145:AP146 AP254:AP330 AP237:AP251 AP9:AP15 AP181:AP229">
    <cfRule type="duplicateValues" dxfId="250" priority="36"/>
  </conditionalFormatting>
  <conditionalFormatting sqref="AP331:AP397">
    <cfRule type="duplicateValues" dxfId="249" priority="30"/>
  </conditionalFormatting>
  <conditionalFormatting sqref="AP398:AP402">
    <cfRule type="expression" dxfId="248" priority="27">
      <formula>MOD(ROW(),2)=0</formula>
    </cfRule>
  </conditionalFormatting>
  <conditionalFormatting sqref="AV193:AV196 AV28:AV38 AV14 AV1:AV4 AV61:AV106 AV254:AV1048576">
    <cfRule type="duplicateValues" dxfId="247" priority="3"/>
  </conditionalFormatting>
  <conditionalFormatting sqref="AV14 AV254 AV193:AV19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3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1048576 AV14 AV1:AV4 AV193:AV196 AV254">
    <cfRule type="duplicateValues" dxfId="246" priority="12"/>
  </conditionalFormatting>
  <conditionalFormatting sqref="AV331:AV397 AV407:AV68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V402">
    <cfRule type="duplicateValues" dxfId="245" priority="6"/>
  </conditionalFormatting>
  <conditionalFormatting sqref="AV681:AV77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W402">
    <cfRule type="expression" dxfId="244" priority="4">
      <formula>MOD(ROW(),2)=0</formula>
    </cfRule>
  </conditionalFormatting>
  <conditionalFormatting sqref="AY16">
    <cfRule type="duplicateValues" dxfId="243" priority="7"/>
  </conditionalFormatting>
  <conditionalFormatting sqref="BA5:BA6 BA9:BA15">
    <cfRule type="duplicateValues" dxfId="242" priority="15"/>
  </conditionalFormatting>
  <conditionalFormatting sqref="BA68:BA142 BA5:BA6 BA17:BA21 BA23:BA63 BA65:BA66 BA145:BA147 BA254:BA330 BA237:BA251 BA9:BA15 BA149:BA229">
    <cfRule type="duplicateValues" dxfId="241" priority="14"/>
  </conditionalFormatting>
  <conditionalFormatting sqref="BA331:BA397">
    <cfRule type="duplicateValues" dxfId="240" priority="8"/>
  </conditionalFormatting>
  <conditionalFormatting sqref="BA398:BA402">
    <cfRule type="expression" dxfId="239" priority="5">
      <formula>MOD(ROW(),2)=0</formula>
    </cfRule>
  </conditionalFormatting>
  <dataValidations count="1">
    <dataValidation type="list" allowBlank="1" showInputMessage="1" showErrorMessage="1" sqref="AC341:AC342 AC75:AC86 AC89:AC101 AC132:AC155 AC157:AC198 AC200:AC339 AC103:AC112 AC114:AC130" xr:uid="{F253F9DC-5EE4-47F2-AE43-AD440BAE745C}">
      <formula1>"N/A,CLEAN UP"</formula1>
    </dataValidation>
  </dataValidations>
  <pageMargins left="0.78740157480314965" right="0" top="0.15748031496062992" bottom="0" header="0.31496062992125984" footer="0.31496062992125984"/>
  <pageSetup paperSize="9" fitToHeight="0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7F25-8845-4468-90CF-6624F294F203}">
  <dimension ref="A1:M41"/>
  <sheetViews>
    <sheetView topLeftCell="A16" workbookViewId="0">
      <selection activeCell="E24" sqref="E24:E26"/>
    </sheetView>
  </sheetViews>
  <sheetFormatPr defaultRowHeight="14.5" x14ac:dyDescent="0.35"/>
  <cols>
    <col min="1" max="1" width="12.90625" bestFit="1" customWidth="1"/>
    <col min="7" max="8" width="10.26953125" bestFit="1" customWidth="1"/>
    <col min="9" max="9" width="10.1796875" bestFit="1" customWidth="1"/>
    <col min="10" max="10" width="8.81640625" bestFit="1" customWidth="1"/>
    <col min="11" max="11" width="12.7265625" bestFit="1" customWidth="1"/>
    <col min="12" max="13" width="8.81640625" bestFit="1" customWidth="1"/>
  </cols>
  <sheetData>
    <row r="1" spans="1:13" x14ac:dyDescent="0.35">
      <c r="D1" s="37"/>
      <c r="F1" s="15" t="s">
        <v>26</v>
      </c>
    </row>
    <row r="2" spans="1:13" x14ac:dyDescent="0.35">
      <c r="A2" s="15" t="s">
        <v>1526</v>
      </c>
      <c r="D2" s="37"/>
    </row>
    <row r="3" spans="1:13" x14ac:dyDescent="0.35">
      <c r="A3" s="15" t="s">
        <v>33</v>
      </c>
      <c r="D3" s="37"/>
    </row>
    <row r="4" spans="1:13" x14ac:dyDescent="0.35">
      <c r="A4" s="29" t="s">
        <v>0</v>
      </c>
      <c r="B4" s="29" t="s">
        <v>15</v>
      </c>
      <c r="C4" s="29" t="s">
        <v>16</v>
      </c>
      <c r="D4" s="53" t="s">
        <v>16</v>
      </c>
      <c r="E4" s="29" t="s">
        <v>17</v>
      </c>
      <c r="F4" s="29" t="s">
        <v>18</v>
      </c>
      <c r="G4" s="29" t="s">
        <v>20</v>
      </c>
      <c r="H4" s="29" t="s">
        <v>21</v>
      </c>
      <c r="I4" s="29" t="s">
        <v>19</v>
      </c>
      <c r="J4" s="29" t="s">
        <v>44</v>
      </c>
      <c r="K4" s="53" t="s">
        <v>43</v>
      </c>
      <c r="L4" s="53" t="s">
        <v>46</v>
      </c>
      <c r="M4" s="53" t="s">
        <v>41</v>
      </c>
    </row>
    <row r="5" spans="1:13" ht="16" x14ac:dyDescent="0.4">
      <c r="A5" s="90">
        <v>45872</v>
      </c>
      <c r="B5" s="17">
        <v>179419</v>
      </c>
      <c r="C5" s="99" t="s">
        <v>36</v>
      </c>
      <c r="D5" s="110"/>
      <c r="E5" s="91">
        <v>0.12984953703703703</v>
      </c>
      <c r="F5" s="91">
        <v>0.39134259259259263</v>
      </c>
      <c r="G5" s="17">
        <v>104</v>
      </c>
      <c r="H5" s="17" t="s">
        <v>667</v>
      </c>
      <c r="I5" s="92">
        <v>15194</v>
      </c>
      <c r="J5" s="92">
        <f>I5/1000</f>
        <v>15.194000000000001</v>
      </c>
      <c r="K5" s="110">
        <v>11.3</v>
      </c>
      <c r="L5" s="114">
        <f>IF($K5&gt;14,14,$K5)</f>
        <v>11.3</v>
      </c>
      <c r="M5" s="110">
        <f>J5*L5/14</f>
        <v>12.263728571428572</v>
      </c>
    </row>
    <row r="6" spans="1:13" ht="16" x14ac:dyDescent="0.4">
      <c r="A6" s="90">
        <v>45876</v>
      </c>
      <c r="B6" s="17">
        <v>180950</v>
      </c>
      <c r="C6" s="99" t="s">
        <v>36</v>
      </c>
      <c r="D6" s="110"/>
      <c r="E6" s="91">
        <v>0.76901620370370372</v>
      </c>
      <c r="F6" s="91">
        <v>0.35407407407407404</v>
      </c>
      <c r="G6" s="17">
        <v>104</v>
      </c>
      <c r="H6" s="17" t="s">
        <v>667</v>
      </c>
      <c r="I6" s="92">
        <v>9402</v>
      </c>
      <c r="J6" s="92">
        <f>I6/1000</f>
        <v>9.4019999999999992</v>
      </c>
      <c r="K6" s="110">
        <v>12.99</v>
      </c>
      <c r="L6" s="114">
        <f>IF($K6&gt;14,14,$K6)</f>
        <v>12.99</v>
      </c>
      <c r="M6" s="110">
        <f>J6*L6/14</f>
        <v>8.723712857142857</v>
      </c>
    </row>
    <row r="7" spans="1:13" ht="16" x14ac:dyDescent="0.4">
      <c r="A7" s="90">
        <v>45879</v>
      </c>
      <c r="B7" s="17">
        <v>182237</v>
      </c>
      <c r="C7" s="99" t="s">
        <v>36</v>
      </c>
      <c r="D7" s="110"/>
      <c r="E7" s="91">
        <v>0.18541666666666667</v>
      </c>
      <c r="F7" s="91">
        <v>0.32500000000000001</v>
      </c>
      <c r="G7" s="17">
        <v>104</v>
      </c>
      <c r="H7" s="17" t="s">
        <v>667</v>
      </c>
      <c r="I7" s="110">
        <v>4544</v>
      </c>
      <c r="J7" s="92">
        <f>I7/1000</f>
        <v>4.5439999999999996</v>
      </c>
      <c r="K7" s="110">
        <v>11.31</v>
      </c>
      <c r="L7" s="114">
        <f>IF($K7&gt;14,14,$K7)</f>
        <v>11.31</v>
      </c>
      <c r="M7" s="110">
        <f>J7*L7/14</f>
        <v>3.670902857142857</v>
      </c>
    </row>
    <row r="8" spans="1:13" x14ac:dyDescent="0.35">
      <c r="A8" s="90">
        <v>45883</v>
      </c>
      <c r="B8">
        <v>183773</v>
      </c>
      <c r="C8" t="s">
        <v>36</v>
      </c>
      <c r="E8" s="91">
        <v>2.7777777777777776E-2</v>
      </c>
      <c r="F8" s="91">
        <v>0.33194444444444443</v>
      </c>
      <c r="G8">
        <v>104</v>
      </c>
      <c r="H8" t="s">
        <v>1544</v>
      </c>
      <c r="I8" s="37">
        <v>8082</v>
      </c>
      <c r="J8" s="37">
        <v>8.0820000000000007</v>
      </c>
      <c r="K8" s="37">
        <v>4.58</v>
      </c>
      <c r="L8" s="37">
        <v>4.58</v>
      </c>
      <c r="M8" s="37">
        <v>2.6439685714285717</v>
      </c>
    </row>
    <row r="9" spans="1:13" x14ac:dyDescent="0.35">
      <c r="A9" s="90">
        <v>45886</v>
      </c>
      <c r="B9">
        <v>185030</v>
      </c>
      <c r="C9" t="s">
        <v>36</v>
      </c>
      <c r="E9" s="91">
        <v>9.0277777777777776E-2</v>
      </c>
      <c r="F9" s="91">
        <v>0.39027777777777778</v>
      </c>
      <c r="G9">
        <v>104</v>
      </c>
      <c r="H9" t="s">
        <v>667</v>
      </c>
      <c r="I9" s="37">
        <v>13706</v>
      </c>
      <c r="J9" s="37">
        <v>13.706</v>
      </c>
      <c r="K9" s="37">
        <v>7.75</v>
      </c>
      <c r="L9" s="37">
        <v>7.75</v>
      </c>
      <c r="M9" s="37">
        <v>7.5872499999999992</v>
      </c>
    </row>
    <row r="10" spans="1:13" x14ac:dyDescent="0.35">
      <c r="A10" s="90">
        <v>45890</v>
      </c>
      <c r="B10">
        <v>186615</v>
      </c>
      <c r="C10" t="s">
        <v>36</v>
      </c>
      <c r="E10" s="91">
        <v>0.11597222222222221</v>
      </c>
      <c r="F10" s="91">
        <v>0.33055555555555555</v>
      </c>
      <c r="G10">
        <v>104</v>
      </c>
      <c r="H10" t="s">
        <v>1544</v>
      </c>
      <c r="I10" s="37">
        <v>8580</v>
      </c>
      <c r="J10" s="37">
        <v>8.58</v>
      </c>
      <c r="K10" s="37">
        <v>5.15</v>
      </c>
      <c r="L10" s="37">
        <v>5.15</v>
      </c>
      <c r="M10" s="37">
        <v>3.1562142857142859</v>
      </c>
    </row>
    <row r="11" spans="1:13" x14ac:dyDescent="0.35">
      <c r="A11" s="90">
        <v>45893</v>
      </c>
      <c r="B11">
        <v>187858</v>
      </c>
      <c r="C11" t="s">
        <v>36</v>
      </c>
      <c r="E11" s="91">
        <v>0.2590277777777778</v>
      </c>
      <c r="F11" s="91">
        <v>0.33888888888888885</v>
      </c>
      <c r="G11">
        <v>104</v>
      </c>
      <c r="H11" t="s">
        <v>667</v>
      </c>
      <c r="I11" s="37">
        <v>6514</v>
      </c>
      <c r="J11" s="37">
        <v>6.5140000000000002</v>
      </c>
      <c r="K11" s="37">
        <v>4.84</v>
      </c>
      <c r="L11" s="37">
        <v>4.84</v>
      </c>
      <c r="M11" s="37">
        <v>2.2519828571428571</v>
      </c>
    </row>
    <row r="12" spans="1:13" x14ac:dyDescent="0.35">
      <c r="A12" s="90">
        <v>45893</v>
      </c>
      <c r="B12">
        <v>187858</v>
      </c>
      <c r="C12" t="s">
        <v>36</v>
      </c>
      <c r="E12" s="91">
        <v>0.2590277777777778</v>
      </c>
      <c r="F12" s="91">
        <v>0.33888888888888885</v>
      </c>
      <c r="G12">
        <v>104</v>
      </c>
      <c r="H12" t="s">
        <v>667</v>
      </c>
      <c r="I12" s="37">
        <v>6514</v>
      </c>
      <c r="J12" s="37">
        <v>6.5140000000000002</v>
      </c>
      <c r="K12" s="37">
        <v>4.84</v>
      </c>
      <c r="L12" s="37">
        <v>4.84</v>
      </c>
      <c r="M12" s="37">
        <v>2.2519828571428571</v>
      </c>
    </row>
    <row r="13" spans="1:13" x14ac:dyDescent="0.35">
      <c r="A13" s="90">
        <v>45898</v>
      </c>
      <c r="B13">
        <v>189607</v>
      </c>
      <c r="C13" t="s">
        <v>36</v>
      </c>
      <c r="E13" s="91">
        <v>6.2499999999999995E-3</v>
      </c>
      <c r="F13" s="91">
        <v>0.16041666666666668</v>
      </c>
      <c r="G13">
        <v>104</v>
      </c>
      <c r="H13" t="s">
        <v>1544</v>
      </c>
      <c r="I13" s="37">
        <v>11398</v>
      </c>
      <c r="J13" s="37">
        <v>11.398</v>
      </c>
      <c r="K13" s="37">
        <v>5.88</v>
      </c>
      <c r="L13" s="37">
        <v>5.88</v>
      </c>
      <c r="M13" s="37">
        <v>4.7871600000000001</v>
      </c>
    </row>
    <row r="14" spans="1:13" x14ac:dyDescent="0.35">
      <c r="A14" s="90">
        <v>45898</v>
      </c>
      <c r="B14">
        <v>189625</v>
      </c>
      <c r="C14" t="s">
        <v>36</v>
      </c>
      <c r="E14" s="91">
        <v>0.15084490740740741</v>
      </c>
      <c r="F14" s="91">
        <v>0.28593750000000001</v>
      </c>
      <c r="G14">
        <v>104</v>
      </c>
      <c r="H14" t="s">
        <v>1544</v>
      </c>
      <c r="I14" s="37">
        <v>1696</v>
      </c>
      <c r="J14" s="37">
        <v>1.696</v>
      </c>
      <c r="K14" s="37">
        <v>12.22</v>
      </c>
      <c r="L14" s="37">
        <v>12.22</v>
      </c>
      <c r="M14" s="37">
        <v>1.4803657142857143</v>
      </c>
    </row>
    <row r="15" spans="1:13" x14ac:dyDescent="0.35">
      <c r="A15" s="90">
        <v>45900</v>
      </c>
      <c r="B15">
        <v>190430</v>
      </c>
      <c r="C15" t="s">
        <v>36</v>
      </c>
      <c r="E15" s="91">
        <v>0.25828703703703704</v>
      </c>
      <c r="F15" s="91">
        <v>0.41756944444444444</v>
      </c>
      <c r="G15">
        <v>104</v>
      </c>
      <c r="H15" t="s">
        <v>667</v>
      </c>
      <c r="I15" s="37">
        <v>11356</v>
      </c>
      <c r="J15" s="37">
        <v>11.356</v>
      </c>
      <c r="K15" s="37">
        <v>10.8</v>
      </c>
      <c r="L15" s="37">
        <v>10.8</v>
      </c>
      <c r="M15" s="37">
        <v>8.7603428571428577</v>
      </c>
    </row>
    <row r="16" spans="1:13" x14ac:dyDescent="0.35">
      <c r="A16" s="90">
        <v>45905</v>
      </c>
      <c r="B16">
        <v>192397</v>
      </c>
      <c r="C16" t="s">
        <v>36</v>
      </c>
      <c r="E16" s="91">
        <v>0.11388888888888889</v>
      </c>
      <c r="F16" s="91">
        <v>0.15694444444444444</v>
      </c>
      <c r="G16">
        <v>104</v>
      </c>
      <c r="H16" t="s">
        <v>593</v>
      </c>
      <c r="I16" s="37">
        <v>12864</v>
      </c>
      <c r="J16" s="37">
        <v>12.864000000000001</v>
      </c>
      <c r="K16" s="37">
        <v>6.88</v>
      </c>
      <c r="L16" s="37">
        <v>6.88</v>
      </c>
      <c r="M16" s="37">
        <v>6.3217371428571436</v>
      </c>
    </row>
    <row r="17" spans="1:13" x14ac:dyDescent="0.35">
      <c r="A17" s="90">
        <v>45905</v>
      </c>
      <c r="B17">
        <v>192444</v>
      </c>
      <c r="C17" t="s">
        <v>36</v>
      </c>
      <c r="E17" s="91">
        <v>0.31875000000000003</v>
      </c>
      <c r="F17" s="91"/>
      <c r="G17">
        <v>104</v>
      </c>
      <c r="H17" t="s">
        <v>593</v>
      </c>
      <c r="I17" s="37">
        <v>7926</v>
      </c>
      <c r="J17" s="37">
        <v>7.9260000000000002</v>
      </c>
      <c r="K17" s="37">
        <v>12.93</v>
      </c>
      <c r="L17" s="37">
        <v>12.93</v>
      </c>
      <c r="M17" s="37">
        <v>7.320227142857143</v>
      </c>
    </row>
    <row r="18" spans="1:13" x14ac:dyDescent="0.35">
      <c r="A18" s="90">
        <v>45907</v>
      </c>
      <c r="B18">
        <v>193129</v>
      </c>
      <c r="C18" t="s">
        <v>36</v>
      </c>
      <c r="E18" s="91">
        <v>0.16469907407407405</v>
      </c>
      <c r="F18" s="91">
        <v>0.53637731481481488</v>
      </c>
      <c r="G18">
        <v>104</v>
      </c>
      <c r="H18" t="s">
        <v>667</v>
      </c>
      <c r="I18" s="37">
        <v>8448</v>
      </c>
      <c r="J18" s="37">
        <v>8.4480000000000004</v>
      </c>
      <c r="K18" s="37">
        <v>8.56</v>
      </c>
      <c r="L18" s="37">
        <v>8.56</v>
      </c>
      <c r="M18" s="37">
        <v>5.1653485714285718</v>
      </c>
    </row>
    <row r="19" spans="1:13" x14ac:dyDescent="0.35">
      <c r="A19" s="90">
        <v>45909</v>
      </c>
      <c r="B19">
        <v>193594</v>
      </c>
      <c r="C19" t="s">
        <v>36</v>
      </c>
      <c r="E19" s="91">
        <v>0.7284722222222223</v>
      </c>
      <c r="F19" s="91">
        <v>0.2951388888888889</v>
      </c>
      <c r="G19">
        <v>104</v>
      </c>
      <c r="I19" s="37">
        <v>13908</v>
      </c>
      <c r="J19" s="37">
        <v>13.907999999999999</v>
      </c>
      <c r="K19" s="37">
        <v>7.55</v>
      </c>
      <c r="L19" s="37">
        <v>7.55</v>
      </c>
      <c r="M19" s="37">
        <v>7.5003857142857138</v>
      </c>
    </row>
    <row r="20" spans="1:13" x14ac:dyDescent="0.35">
      <c r="A20" s="90">
        <v>45910</v>
      </c>
      <c r="B20">
        <v>194167</v>
      </c>
      <c r="C20" t="s">
        <v>36</v>
      </c>
      <c r="E20" s="91">
        <v>9.930555555555555E-2</v>
      </c>
      <c r="F20" s="91">
        <v>0.33333333333333331</v>
      </c>
      <c r="G20">
        <v>104</v>
      </c>
      <c r="H20" t="s">
        <v>667</v>
      </c>
      <c r="I20" s="37">
        <v>13378</v>
      </c>
      <c r="J20" s="37">
        <v>13.378</v>
      </c>
      <c r="K20" s="37">
        <v>7.43</v>
      </c>
      <c r="L20" s="37">
        <v>7.43</v>
      </c>
      <c r="M20" s="37">
        <v>7.0998957142857142</v>
      </c>
    </row>
    <row r="21" spans="1:13" x14ac:dyDescent="0.35">
      <c r="A21" s="90">
        <v>45910</v>
      </c>
      <c r="B21">
        <v>194204</v>
      </c>
      <c r="C21" t="s">
        <v>36</v>
      </c>
      <c r="E21" s="91">
        <v>8.3333333333333332E-3</v>
      </c>
      <c r="F21" s="91">
        <v>0.38819444444444445</v>
      </c>
      <c r="G21">
        <v>104</v>
      </c>
      <c r="H21" t="s">
        <v>667</v>
      </c>
      <c r="I21" s="37">
        <v>12184</v>
      </c>
      <c r="J21" s="37">
        <v>12.183999999999999</v>
      </c>
      <c r="K21" s="37">
        <v>6.35</v>
      </c>
      <c r="L21" s="37">
        <v>6.35</v>
      </c>
      <c r="M21" s="37">
        <v>5.5263142857142853</v>
      </c>
    </row>
    <row r="22" spans="1:13" x14ac:dyDescent="0.35">
      <c r="A22" s="90">
        <v>45912</v>
      </c>
      <c r="B22">
        <v>195038</v>
      </c>
      <c r="C22" t="s">
        <v>36</v>
      </c>
      <c r="E22" s="91">
        <v>0.2638888888888889</v>
      </c>
      <c r="F22" s="91">
        <v>0.375</v>
      </c>
      <c r="G22">
        <v>104</v>
      </c>
      <c r="I22" s="37">
        <v>9428</v>
      </c>
      <c r="J22" s="37">
        <v>9.4280000000000008</v>
      </c>
      <c r="K22" s="37">
        <v>5.28</v>
      </c>
      <c r="L22" s="37">
        <v>5.28</v>
      </c>
      <c r="M22" s="37">
        <v>3.5557028571428577</v>
      </c>
    </row>
    <row r="23" spans="1:13" x14ac:dyDescent="0.35">
      <c r="A23" s="90">
        <v>45914</v>
      </c>
      <c r="B23">
        <v>195812</v>
      </c>
      <c r="C23" t="s">
        <v>36</v>
      </c>
      <c r="E23" s="91">
        <v>0.40972222222222227</v>
      </c>
      <c r="F23" s="91"/>
      <c r="G23">
        <v>104</v>
      </c>
      <c r="H23" t="s">
        <v>667</v>
      </c>
      <c r="I23" s="37">
        <v>4674</v>
      </c>
      <c r="J23" s="37">
        <v>4.6740000000000004</v>
      </c>
      <c r="K23" s="37">
        <v>2.77</v>
      </c>
      <c r="L23" s="37">
        <v>2.77</v>
      </c>
      <c r="M23" s="37">
        <v>0.92478428571428584</v>
      </c>
    </row>
    <row r="24" spans="1:13" x14ac:dyDescent="0.35">
      <c r="A24" s="90">
        <v>45918</v>
      </c>
      <c r="B24">
        <v>197178</v>
      </c>
      <c r="C24" t="s">
        <v>36</v>
      </c>
      <c r="E24" s="91">
        <v>0.44707175925925924</v>
      </c>
      <c r="F24" s="91">
        <v>3.8831018518518515E-2</v>
      </c>
      <c r="G24">
        <v>104</v>
      </c>
      <c r="H24" t="s">
        <v>667</v>
      </c>
      <c r="I24" s="37">
        <v>5628</v>
      </c>
      <c r="J24" s="37">
        <v>5.6280000000000001</v>
      </c>
      <c r="K24" s="37">
        <v>12.52</v>
      </c>
      <c r="L24" s="37">
        <v>12.52</v>
      </c>
      <c r="M24" s="37">
        <v>5.0330399999999997</v>
      </c>
    </row>
    <row r="25" spans="1:13" x14ac:dyDescent="0.35">
      <c r="A25" s="90">
        <v>45921</v>
      </c>
      <c r="B25">
        <v>198612</v>
      </c>
      <c r="C25" t="s">
        <v>36</v>
      </c>
      <c r="E25" s="91">
        <v>0.42167824074074073</v>
      </c>
      <c r="F25" s="91">
        <v>0.4921875</v>
      </c>
      <c r="G25">
        <v>104</v>
      </c>
      <c r="H25" t="s">
        <v>667</v>
      </c>
      <c r="I25" s="37">
        <v>7130</v>
      </c>
      <c r="J25" s="37">
        <v>7.13</v>
      </c>
      <c r="K25" s="37">
        <v>3.29</v>
      </c>
      <c r="L25" s="37">
        <v>3.29</v>
      </c>
      <c r="M25" s="37">
        <v>1.6755499999999999</v>
      </c>
    </row>
    <row r="26" spans="1:13" x14ac:dyDescent="0.35">
      <c r="A26" s="90">
        <v>45924</v>
      </c>
      <c r="B26">
        <v>200132</v>
      </c>
      <c r="C26" t="s">
        <v>36</v>
      </c>
      <c r="E26" s="91">
        <v>0.93333333333333324</v>
      </c>
      <c r="F26" s="91"/>
      <c r="G26">
        <v>104</v>
      </c>
      <c r="H26" t="s">
        <v>667</v>
      </c>
      <c r="I26" s="37">
        <v>13339</v>
      </c>
      <c r="J26" s="37">
        <v>13.339</v>
      </c>
      <c r="K26" s="37">
        <v>7.27</v>
      </c>
      <c r="L26" s="37">
        <v>7.27</v>
      </c>
      <c r="M26" s="37">
        <v>6.9267521428571426</v>
      </c>
    </row>
    <row r="27" spans="1:13" x14ac:dyDescent="0.35">
      <c r="A27" s="90">
        <v>45928</v>
      </c>
      <c r="B27">
        <v>201566</v>
      </c>
      <c r="C27" t="s">
        <v>36</v>
      </c>
      <c r="E27" s="91">
        <v>0.6925810185185185</v>
      </c>
      <c r="F27" s="91">
        <v>0.49346064814814811</v>
      </c>
      <c r="G27">
        <v>104</v>
      </c>
      <c r="H27" t="s">
        <v>667</v>
      </c>
      <c r="I27" s="37">
        <v>13658</v>
      </c>
      <c r="J27" s="37">
        <v>13.657999999999999</v>
      </c>
      <c r="K27" s="37">
        <v>11.66</v>
      </c>
      <c r="L27" s="37">
        <v>11.66</v>
      </c>
      <c r="M27" s="37">
        <v>11.375162857142856</v>
      </c>
    </row>
    <row r="28" spans="1:13" x14ac:dyDescent="0.35">
      <c r="A28" s="90">
        <v>45932</v>
      </c>
      <c r="B28">
        <v>203510</v>
      </c>
      <c r="C28" t="s">
        <v>36</v>
      </c>
      <c r="E28" s="91">
        <v>0.26111111111111113</v>
      </c>
      <c r="F28" s="91">
        <v>0.9159722222222223</v>
      </c>
      <c r="G28">
        <v>104</v>
      </c>
      <c r="H28" t="s">
        <v>667</v>
      </c>
      <c r="I28" s="37">
        <v>11882</v>
      </c>
      <c r="J28" s="37">
        <v>11.882</v>
      </c>
      <c r="K28" s="37">
        <v>8.43</v>
      </c>
      <c r="L28" s="37">
        <v>8.43</v>
      </c>
      <c r="M28" s="37">
        <v>7.1546614285714281</v>
      </c>
    </row>
    <row r="29" spans="1:13" x14ac:dyDescent="0.35">
      <c r="A29" s="90">
        <v>45932</v>
      </c>
      <c r="B29">
        <v>203527</v>
      </c>
      <c r="C29" t="s">
        <v>36</v>
      </c>
      <c r="E29" s="91">
        <v>0.88124999999999998</v>
      </c>
      <c r="F29" s="91">
        <v>4.1666666666666666E-3</v>
      </c>
      <c r="G29">
        <v>104</v>
      </c>
      <c r="H29" t="s">
        <v>667</v>
      </c>
      <c r="I29" s="37">
        <v>8344</v>
      </c>
      <c r="J29" s="37">
        <v>8.3439999999999994</v>
      </c>
      <c r="K29" s="37">
        <v>4.84</v>
      </c>
      <c r="L29" s="37">
        <v>4.84</v>
      </c>
      <c r="M29" s="37">
        <v>2.8846400000000001</v>
      </c>
    </row>
    <row r="30" spans="1:13" x14ac:dyDescent="0.35">
      <c r="A30" s="90">
        <v>45935</v>
      </c>
      <c r="B30">
        <v>204473</v>
      </c>
      <c r="C30" t="s">
        <v>36</v>
      </c>
      <c r="E30" s="91">
        <v>0.3125</v>
      </c>
      <c r="F30" s="91"/>
      <c r="G30">
        <v>104</v>
      </c>
      <c r="H30" t="s">
        <v>667</v>
      </c>
      <c r="I30" s="37">
        <v>17369</v>
      </c>
      <c r="J30" s="37">
        <v>17.369</v>
      </c>
      <c r="K30" s="37">
        <v>11.52</v>
      </c>
      <c r="L30" s="37">
        <v>11.52</v>
      </c>
      <c r="M30" s="37">
        <v>14.292205714285714</v>
      </c>
    </row>
    <row r="31" spans="1:13" x14ac:dyDescent="0.35">
      <c r="A31" s="90">
        <v>45935</v>
      </c>
      <c r="B31">
        <v>204484</v>
      </c>
      <c r="C31" t="s">
        <v>36</v>
      </c>
      <c r="E31" s="91">
        <v>0.755</v>
      </c>
      <c r="F31" s="91">
        <v>0.37710648148148151</v>
      </c>
      <c r="G31">
        <v>104</v>
      </c>
      <c r="H31" t="s">
        <v>667</v>
      </c>
      <c r="I31" s="37">
        <v>8304</v>
      </c>
      <c r="J31" s="37">
        <v>8.3040000000000003</v>
      </c>
      <c r="K31" s="37">
        <v>11.23</v>
      </c>
      <c r="L31" s="37">
        <v>11.23</v>
      </c>
      <c r="M31" s="37">
        <v>6.6609942857142865</v>
      </c>
    </row>
    <row r="32" spans="1:13" x14ac:dyDescent="0.35">
      <c r="A32">
        <v>45935</v>
      </c>
      <c r="B32">
        <v>204473</v>
      </c>
      <c r="C32" t="s">
        <v>36</v>
      </c>
      <c r="E32">
        <v>0.3125</v>
      </c>
      <c r="G32">
        <v>104</v>
      </c>
      <c r="H32" t="s">
        <v>667</v>
      </c>
      <c r="I32">
        <v>17369</v>
      </c>
      <c r="J32">
        <v>17.369</v>
      </c>
      <c r="K32">
        <v>11.52</v>
      </c>
      <c r="L32">
        <v>11.52</v>
      </c>
      <c r="M32">
        <v>14.292205714285714</v>
      </c>
    </row>
    <row r="33" spans="1:13" x14ac:dyDescent="0.35">
      <c r="A33">
        <v>45935</v>
      </c>
      <c r="B33">
        <v>204484</v>
      </c>
      <c r="C33" t="s">
        <v>36</v>
      </c>
      <c r="E33">
        <v>0.755</v>
      </c>
      <c r="F33">
        <v>0.37710648148148151</v>
      </c>
      <c r="G33">
        <v>104</v>
      </c>
      <c r="H33" t="s">
        <v>667</v>
      </c>
      <c r="I33">
        <v>8304</v>
      </c>
      <c r="J33">
        <v>8.3040000000000003</v>
      </c>
      <c r="K33">
        <v>11.23</v>
      </c>
      <c r="L33">
        <v>11.23</v>
      </c>
      <c r="M33">
        <v>6.6609942857142865</v>
      </c>
    </row>
    <row r="34" spans="1:13" x14ac:dyDescent="0.35">
      <c r="A34">
        <v>45939</v>
      </c>
      <c r="B34">
        <v>206126</v>
      </c>
      <c r="C34" t="s">
        <v>36</v>
      </c>
      <c r="E34">
        <v>8.1354166666666672E-2</v>
      </c>
      <c r="F34">
        <v>0.21013888888888888</v>
      </c>
      <c r="G34">
        <v>104</v>
      </c>
      <c r="H34" t="s">
        <v>667</v>
      </c>
      <c r="I34">
        <v>12064</v>
      </c>
      <c r="J34">
        <v>12.064</v>
      </c>
      <c r="K34">
        <v>11.13</v>
      </c>
      <c r="L34">
        <v>11.13</v>
      </c>
      <c r="M34">
        <v>9.5908800000000003</v>
      </c>
    </row>
    <row r="35" spans="1:13" x14ac:dyDescent="0.35">
      <c r="A35">
        <v>45953</v>
      </c>
      <c r="B35">
        <v>211583</v>
      </c>
      <c r="C35" t="s">
        <v>36</v>
      </c>
      <c r="E35">
        <v>0.14141203703703703</v>
      </c>
      <c r="F35">
        <v>0.37274305555555554</v>
      </c>
      <c r="G35">
        <v>104</v>
      </c>
      <c r="H35" t="s">
        <v>667</v>
      </c>
      <c r="I35">
        <v>14714</v>
      </c>
      <c r="J35">
        <v>14.714</v>
      </c>
      <c r="K35">
        <v>8.34</v>
      </c>
      <c r="L35">
        <v>8.34</v>
      </c>
      <c r="M35">
        <v>8.7653400000000001</v>
      </c>
    </row>
    <row r="36" spans="1:13" x14ac:dyDescent="0.35">
      <c r="A36">
        <v>45956</v>
      </c>
      <c r="B36">
        <v>212709</v>
      </c>
      <c r="C36" t="s">
        <v>36</v>
      </c>
      <c r="E36">
        <v>0.32850694444444445</v>
      </c>
      <c r="F36">
        <v>0.40299768518518514</v>
      </c>
      <c r="G36">
        <v>104</v>
      </c>
      <c r="H36" t="s">
        <v>667</v>
      </c>
      <c r="I36">
        <v>8752</v>
      </c>
      <c r="J36">
        <v>8.7520000000000007</v>
      </c>
      <c r="K36">
        <v>8.34</v>
      </c>
      <c r="L36">
        <v>8.34</v>
      </c>
      <c r="M36">
        <v>5.2136914285714289</v>
      </c>
    </row>
    <row r="37" spans="1:13" x14ac:dyDescent="0.35">
      <c r="A37">
        <v>45960</v>
      </c>
      <c r="B37">
        <v>214047</v>
      </c>
      <c r="C37" t="s">
        <v>36</v>
      </c>
      <c r="E37">
        <v>5.0694444444444452E-2</v>
      </c>
      <c r="F37">
        <v>0.28472222222222221</v>
      </c>
      <c r="G37">
        <v>104</v>
      </c>
      <c r="H37" t="s">
        <v>667</v>
      </c>
      <c r="I37">
        <v>14118</v>
      </c>
      <c r="J37">
        <v>14.118</v>
      </c>
      <c r="K37">
        <v>9.09</v>
      </c>
      <c r="L37">
        <v>9.09</v>
      </c>
      <c r="M37">
        <v>9.1666157142857134</v>
      </c>
    </row>
    <row r="38" spans="1:13" x14ac:dyDescent="0.35">
      <c r="A38">
        <v>45962</v>
      </c>
      <c r="B38">
        <v>214717</v>
      </c>
      <c r="C38" t="s">
        <v>36</v>
      </c>
      <c r="E38">
        <v>6.9027777777777785E-2</v>
      </c>
      <c r="F38">
        <v>0.44153935185185184</v>
      </c>
      <c r="G38">
        <v>104</v>
      </c>
      <c r="H38" t="s">
        <v>667</v>
      </c>
      <c r="I38">
        <v>10714</v>
      </c>
      <c r="J38">
        <v>10.714</v>
      </c>
      <c r="K38">
        <v>12.41</v>
      </c>
      <c r="L38">
        <v>12.41</v>
      </c>
      <c r="M38">
        <v>9.4971957142857146</v>
      </c>
    </row>
    <row r="39" spans="1:13" x14ac:dyDescent="0.35">
      <c r="A39">
        <v>45967</v>
      </c>
      <c r="B39">
        <v>216000</v>
      </c>
      <c r="C39" t="s">
        <v>36</v>
      </c>
      <c r="E39">
        <v>9.7222222222222224E-2</v>
      </c>
      <c r="F39">
        <v>0.33124999999999999</v>
      </c>
      <c r="G39">
        <v>104</v>
      </c>
      <c r="H39" t="s">
        <v>667</v>
      </c>
      <c r="I39">
        <v>18090</v>
      </c>
      <c r="J39">
        <v>18.09</v>
      </c>
      <c r="K39">
        <v>10.52</v>
      </c>
      <c r="L39">
        <v>10.52</v>
      </c>
      <c r="M39">
        <v>13.593342857142856</v>
      </c>
    </row>
    <row r="40" spans="1:13" x14ac:dyDescent="0.35">
      <c r="A40">
        <v>45967</v>
      </c>
      <c r="B40">
        <v>216064</v>
      </c>
      <c r="C40" t="s">
        <v>36</v>
      </c>
      <c r="E40">
        <v>0.34722222222222227</v>
      </c>
      <c r="F40">
        <v>0.40486111111111112</v>
      </c>
      <c r="G40">
        <v>104</v>
      </c>
      <c r="H40" t="s">
        <v>667</v>
      </c>
      <c r="I40">
        <v>14090</v>
      </c>
      <c r="J40">
        <v>14.09</v>
      </c>
      <c r="K40">
        <v>7.85</v>
      </c>
      <c r="L40">
        <v>7.85</v>
      </c>
      <c r="M40">
        <v>7.9004642857142855</v>
      </c>
    </row>
    <row r="41" spans="1:13" x14ac:dyDescent="0.35">
      <c r="A41">
        <v>45970</v>
      </c>
      <c r="B41">
        <v>217088</v>
      </c>
      <c r="C41" t="s">
        <v>36</v>
      </c>
      <c r="E41">
        <v>0.22500000000000001</v>
      </c>
      <c r="F41">
        <v>0.36041666666666666</v>
      </c>
      <c r="G41">
        <v>104</v>
      </c>
      <c r="H41" t="s">
        <v>667</v>
      </c>
      <c r="I41">
        <v>17090</v>
      </c>
      <c r="J41">
        <v>17.09</v>
      </c>
      <c r="K41">
        <v>11.55</v>
      </c>
      <c r="L41">
        <v>11.55</v>
      </c>
      <c r="M41">
        <v>14.09925</v>
      </c>
    </row>
  </sheetData>
  <conditionalFormatting sqref="B1:B4">
    <cfRule type="duplicateValues" dxfId="238" priority="4"/>
  </conditionalFormatting>
  <conditionalFormatting sqref="B5">
    <cfRule type="duplicateValues" dxfId="237" priority="3"/>
  </conditionalFormatting>
  <conditionalFormatting sqref="B6">
    <cfRule type="duplicateValues" dxfId="236" priority="2"/>
  </conditionalFormatting>
  <conditionalFormatting sqref="B7">
    <cfRule type="duplicateValues" dxfId="235" priority="1"/>
  </conditionalFormatting>
  <dataValidations count="1">
    <dataValidation type="list" allowBlank="1" showInputMessage="1" showErrorMessage="1" sqref="H7" xr:uid="{1B088590-64D0-406F-AC30-796228276946}">
      <formula1>"N/A,CLEAN UP"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6686-DA12-432B-9CE7-83606F4C22B7}">
  <sheetPr>
    <pageSetUpPr fitToPage="1"/>
  </sheetPr>
  <dimension ref="B1:BE774"/>
  <sheetViews>
    <sheetView showGridLines="0" zoomScale="80" zoomScaleNormal="55" workbookViewId="0">
      <selection activeCell="G17" sqref="G17"/>
    </sheetView>
  </sheetViews>
  <sheetFormatPr defaultRowHeight="14.5" x14ac:dyDescent="0.35"/>
  <cols>
    <col min="2" max="2" width="15.7265625" customWidth="1"/>
    <col min="3" max="3" width="10.26953125" bestFit="1" customWidth="1"/>
    <col min="4" max="4" width="8.6328125" bestFit="1" customWidth="1"/>
    <col min="5" max="5" width="9.7265625" bestFit="1" customWidth="1"/>
    <col min="6" max="6" width="8.1796875" bestFit="1" customWidth="1"/>
    <col min="7" max="7" width="12.453125" bestFit="1" customWidth="1"/>
    <col min="8" max="8" width="12.81640625" customWidth="1"/>
    <col min="9" max="9" width="13" customWidth="1"/>
    <col min="10" max="10" width="17.453125" customWidth="1"/>
    <col min="11" max="11" width="11.7265625" hidden="1" customWidth="1"/>
    <col min="12" max="12" width="12" customWidth="1"/>
    <col min="14" max="14" width="12.81640625" bestFit="1" customWidth="1"/>
    <col min="15" max="16" width="10.36328125" customWidth="1"/>
    <col min="18" max="18" width="10.1796875" bestFit="1" customWidth="1"/>
    <col min="21" max="21" width="2.453125" style="24" customWidth="1"/>
    <col min="22" max="22" width="13.36328125" customWidth="1"/>
    <col min="24" max="24" width="13.453125" customWidth="1"/>
    <col min="25" max="25" width="13.453125" style="37" customWidth="1"/>
    <col min="26" max="27" width="19.7265625" bestFit="1" customWidth="1"/>
    <col min="28" max="29" width="19.7265625" customWidth="1"/>
    <col min="30" max="30" width="11.1796875" bestFit="1" customWidth="1"/>
    <col min="31" max="31" width="10.81640625" customWidth="1"/>
    <col min="32" max="32" width="19.453125" bestFit="1" customWidth="1"/>
    <col min="33" max="33" width="19.453125" customWidth="1"/>
    <col min="34" max="34" width="24.08984375" bestFit="1" customWidth="1"/>
    <col min="35" max="35" width="2.453125" style="24" customWidth="1"/>
    <col min="36" max="36" width="13.6328125" customWidth="1"/>
    <col min="37" max="37" width="20.90625" bestFit="1" customWidth="1"/>
    <col min="38" max="38" width="11.6328125" customWidth="1"/>
    <col min="39" max="39" width="12.81640625" bestFit="1" customWidth="1"/>
    <col min="40" max="40" width="19.7265625" bestFit="1" customWidth="1"/>
    <col min="41" max="41" width="29.7265625" bestFit="1" customWidth="1"/>
    <col min="42" max="42" width="12.453125" bestFit="1" customWidth="1"/>
    <col min="43" max="45" width="13.26953125" customWidth="1"/>
    <col min="46" max="46" width="2.453125" style="24" customWidth="1"/>
    <col min="47" max="47" width="14.1796875" customWidth="1"/>
    <col min="48" max="48" width="11.453125" customWidth="1"/>
    <col min="49" max="49" width="11.6328125" customWidth="1"/>
    <col min="50" max="50" width="12.81640625" bestFit="1" customWidth="1"/>
    <col min="51" max="51" width="19.7265625" bestFit="1" customWidth="1"/>
    <col min="52" max="52" width="23.08984375" bestFit="1" customWidth="1"/>
    <col min="53" max="53" width="12.453125" bestFit="1" customWidth="1"/>
    <col min="54" max="54" width="13.26953125" customWidth="1"/>
    <col min="55" max="55" width="15.7265625" customWidth="1"/>
    <col min="56" max="56" width="13.26953125" customWidth="1"/>
    <col min="57" max="57" width="2.453125" style="24" customWidth="1"/>
  </cols>
  <sheetData>
    <row r="1" spans="2:56" x14ac:dyDescent="0.35">
      <c r="AA1" s="15" t="s">
        <v>26</v>
      </c>
      <c r="AN1" s="15" t="s">
        <v>26</v>
      </c>
      <c r="AY1" s="15" t="s">
        <v>26</v>
      </c>
    </row>
    <row r="2" spans="2:56" x14ac:dyDescent="0.35">
      <c r="V2" s="15" t="s">
        <v>27</v>
      </c>
      <c r="AJ2" s="15" t="s">
        <v>28</v>
      </c>
      <c r="AK2" s="15"/>
      <c r="AU2" s="15" t="s">
        <v>28</v>
      </c>
      <c r="AV2" s="15"/>
    </row>
    <row r="3" spans="2:56" x14ac:dyDescent="0.35">
      <c r="B3" s="120" t="s">
        <v>25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V3" s="15" t="s">
        <v>33</v>
      </c>
      <c r="AJ3" s="15" t="s">
        <v>1545</v>
      </c>
      <c r="AK3" s="15"/>
      <c r="AU3" s="15" t="s">
        <v>33</v>
      </c>
      <c r="AV3" s="15"/>
    </row>
    <row r="4" spans="2:56" x14ac:dyDescent="0.35"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V4" s="29" t="s">
        <v>0</v>
      </c>
      <c r="W4" s="29" t="s">
        <v>15</v>
      </c>
      <c r="X4" s="29" t="s">
        <v>16</v>
      </c>
      <c r="Y4" s="53" t="s">
        <v>16</v>
      </c>
      <c r="Z4" s="29" t="s">
        <v>17</v>
      </c>
      <c r="AA4" s="29" t="s">
        <v>18</v>
      </c>
      <c r="AB4" s="29" t="s">
        <v>20</v>
      </c>
      <c r="AC4" s="29" t="s">
        <v>21</v>
      </c>
      <c r="AD4" s="29" t="s">
        <v>19</v>
      </c>
      <c r="AE4" s="29" t="s">
        <v>44</v>
      </c>
      <c r="AF4" s="53" t="s">
        <v>43</v>
      </c>
      <c r="AG4" s="53" t="s">
        <v>46</v>
      </c>
      <c r="AH4" s="53" t="s">
        <v>41</v>
      </c>
      <c r="AJ4" s="29" t="s">
        <v>0</v>
      </c>
      <c r="AK4" s="29" t="s">
        <v>37</v>
      </c>
      <c r="AL4" s="29" t="s">
        <v>16</v>
      </c>
      <c r="AM4" s="29" t="s">
        <v>16</v>
      </c>
      <c r="AN4" s="29" t="s">
        <v>17</v>
      </c>
      <c r="AO4" s="29" t="s">
        <v>18</v>
      </c>
      <c r="AP4" s="29" t="s">
        <v>19</v>
      </c>
      <c r="AQ4" s="29" t="s">
        <v>34</v>
      </c>
      <c r="AR4" s="29" t="s">
        <v>39</v>
      </c>
      <c r="AS4" s="29" t="s">
        <v>47</v>
      </c>
      <c r="AU4" s="29" t="s">
        <v>0</v>
      </c>
      <c r="AV4" s="29" t="s">
        <v>37</v>
      </c>
      <c r="AW4" s="29" t="s">
        <v>16</v>
      </c>
      <c r="AX4" s="29" t="s">
        <v>16</v>
      </c>
      <c r="AY4" s="29" t="s">
        <v>17</v>
      </c>
      <c r="AZ4" s="29" t="s">
        <v>18</v>
      </c>
      <c r="BA4" s="29" t="s">
        <v>19</v>
      </c>
      <c r="BB4" s="29" t="s">
        <v>34</v>
      </c>
      <c r="BC4" s="29" t="s">
        <v>39</v>
      </c>
      <c r="BD4" s="29" t="s">
        <v>47</v>
      </c>
    </row>
    <row r="5" spans="2:56" ht="24" thickBot="1" x14ac:dyDescent="0.6">
      <c r="B5" s="121" t="s">
        <v>1931</v>
      </c>
      <c r="C5" s="121"/>
      <c r="D5" s="121"/>
      <c r="E5" s="121"/>
      <c r="F5" s="121"/>
      <c r="G5" s="121"/>
      <c r="H5" s="122"/>
      <c r="I5" s="122"/>
      <c r="J5" s="122"/>
      <c r="K5" s="122"/>
      <c r="L5" s="122"/>
      <c r="V5" s="97">
        <v>45902</v>
      </c>
      <c r="W5" s="16">
        <v>190997</v>
      </c>
      <c r="X5" s="101" t="s">
        <v>36</v>
      </c>
      <c r="Y5" s="105"/>
      <c r="Z5" s="102">
        <v>0.13305555555555557</v>
      </c>
      <c r="AA5" s="102">
        <v>0.36159722222222218</v>
      </c>
      <c r="AB5" s="16"/>
      <c r="AC5" s="16"/>
      <c r="AD5" s="93">
        <v>22150</v>
      </c>
      <c r="AE5" s="93">
        <f t="shared" ref="AE5:AE43" si="0">AD5/1000</f>
        <v>22.15</v>
      </c>
      <c r="AF5" s="16">
        <v>14.81</v>
      </c>
      <c r="AG5" s="103">
        <f t="shared" ref="AG5:AG68" si="1">IF($AF5&gt;14,14,$AF5)</f>
        <v>14</v>
      </c>
      <c r="AH5" s="37">
        <f t="shared" ref="AH5:AH68" si="2">AE5*AG5/14</f>
        <v>22.15</v>
      </c>
      <c r="AJ5" s="97">
        <v>45901</v>
      </c>
      <c r="AK5" t="s">
        <v>1932</v>
      </c>
      <c r="AL5" t="s">
        <v>5</v>
      </c>
      <c r="AN5" s="81" t="s">
        <v>1997</v>
      </c>
      <c r="AO5" s="81" t="s">
        <v>1997</v>
      </c>
      <c r="AP5" s="37">
        <v>3240</v>
      </c>
      <c r="AR5" s="97"/>
      <c r="AU5" s="97">
        <v>45901</v>
      </c>
      <c r="AW5" t="s">
        <v>5</v>
      </c>
      <c r="AY5" s="81">
        <v>0.42767361111111107</v>
      </c>
      <c r="AZ5" s="81">
        <v>0.44937500000000002</v>
      </c>
      <c r="BA5" s="37">
        <v>2534</v>
      </c>
      <c r="BC5" s="97">
        <v>45901</v>
      </c>
    </row>
    <row r="6" spans="2:56" ht="28.5" customHeight="1" x14ac:dyDescent="0.4">
      <c r="B6" s="123" t="s">
        <v>0</v>
      </c>
      <c r="C6" s="126" t="s">
        <v>1</v>
      </c>
      <c r="D6" s="127"/>
      <c r="E6" s="127"/>
      <c r="F6" s="128"/>
      <c r="G6" s="129" t="s">
        <v>2</v>
      </c>
      <c r="H6" s="132" t="s">
        <v>40</v>
      </c>
      <c r="I6" s="133"/>
      <c r="J6" s="134" t="s">
        <v>35</v>
      </c>
      <c r="K6" s="135"/>
      <c r="L6" s="138" t="s">
        <v>2</v>
      </c>
      <c r="V6" s="97">
        <v>45902</v>
      </c>
      <c r="W6" s="16">
        <v>191053</v>
      </c>
      <c r="X6" s="101" t="s">
        <v>36</v>
      </c>
      <c r="Y6" s="105"/>
      <c r="Z6" s="102">
        <v>0.26952546296296298</v>
      </c>
      <c r="AA6" s="102">
        <v>0.42784722222222221</v>
      </c>
      <c r="AB6" s="16"/>
      <c r="AC6" s="16"/>
      <c r="AD6" s="93">
        <v>21826</v>
      </c>
      <c r="AE6" s="93">
        <f t="shared" si="0"/>
        <v>21.826000000000001</v>
      </c>
      <c r="AF6" s="16">
        <v>15.45</v>
      </c>
      <c r="AG6" s="103">
        <f t="shared" si="1"/>
        <v>14</v>
      </c>
      <c r="AH6" s="37">
        <f t="shared" si="2"/>
        <v>21.826000000000001</v>
      </c>
      <c r="AJ6" s="97">
        <v>45901</v>
      </c>
      <c r="AK6" t="s">
        <v>1933</v>
      </c>
      <c r="AL6" t="s">
        <v>5</v>
      </c>
      <c r="AN6" s="81" t="s">
        <v>1998</v>
      </c>
      <c r="AO6" t="s">
        <v>1998</v>
      </c>
      <c r="AP6" s="37">
        <v>3390</v>
      </c>
      <c r="AR6" s="97"/>
      <c r="AU6" s="97">
        <v>45901</v>
      </c>
      <c r="AW6" t="s">
        <v>5</v>
      </c>
      <c r="AY6" s="81">
        <v>0.45001157407407405</v>
      </c>
      <c r="AZ6">
        <v>0.55335648148148142</v>
      </c>
      <c r="BA6" s="37">
        <v>2612</v>
      </c>
      <c r="BB6" t="s">
        <v>2078</v>
      </c>
      <c r="BC6" s="97">
        <v>45901</v>
      </c>
    </row>
    <row r="7" spans="2:56" ht="15.5" customHeight="1" x14ac:dyDescent="0.4">
      <c r="B7" s="124"/>
      <c r="C7" s="141" t="s">
        <v>36</v>
      </c>
      <c r="D7" s="143" t="s">
        <v>5</v>
      </c>
      <c r="E7" s="146" t="s">
        <v>4</v>
      </c>
      <c r="F7" s="141">
        <v>104</v>
      </c>
      <c r="G7" s="130"/>
      <c r="H7" s="149" t="s">
        <v>41</v>
      </c>
      <c r="I7" s="152" t="s">
        <v>42</v>
      </c>
      <c r="J7" s="136"/>
      <c r="K7" s="137"/>
      <c r="L7" s="139"/>
      <c r="N7" s="15" t="s">
        <v>32</v>
      </c>
      <c r="V7" s="97">
        <v>45902</v>
      </c>
      <c r="W7" s="16">
        <v>191122</v>
      </c>
      <c r="X7" s="101" t="s">
        <v>36</v>
      </c>
      <c r="Y7" s="105"/>
      <c r="Z7" s="102">
        <v>0.25899305555555557</v>
      </c>
      <c r="AA7" s="102">
        <v>0.51436342592592588</v>
      </c>
      <c r="AB7" s="16"/>
      <c r="AC7" s="16"/>
      <c r="AD7" s="93">
        <v>22448</v>
      </c>
      <c r="AE7" s="93">
        <f t="shared" si="0"/>
        <v>22.448</v>
      </c>
      <c r="AF7" s="16">
        <v>14.98</v>
      </c>
      <c r="AG7" s="103">
        <f t="shared" si="1"/>
        <v>14</v>
      </c>
      <c r="AH7" s="37">
        <f t="shared" si="2"/>
        <v>22.448</v>
      </c>
      <c r="AJ7" s="97">
        <v>45901</v>
      </c>
      <c r="AK7" t="s">
        <v>1934</v>
      </c>
      <c r="AL7" t="s">
        <v>5</v>
      </c>
      <c r="AN7" s="81" t="s">
        <v>1999</v>
      </c>
      <c r="AO7" s="81" t="s">
        <v>1999</v>
      </c>
      <c r="AP7" s="37">
        <v>2930</v>
      </c>
      <c r="AR7" s="97"/>
      <c r="AU7" s="97">
        <v>45901</v>
      </c>
      <c r="AW7" t="s">
        <v>5</v>
      </c>
      <c r="AY7" s="81">
        <v>0.40277777777777773</v>
      </c>
      <c r="AZ7" s="81">
        <v>0.4181597222222222</v>
      </c>
      <c r="BA7" s="37">
        <v>3420</v>
      </c>
      <c r="BB7" t="s">
        <v>2079</v>
      </c>
      <c r="BC7" s="97">
        <v>45901</v>
      </c>
    </row>
    <row r="8" spans="2:56" ht="15" customHeight="1" thickBot="1" x14ac:dyDescent="0.45">
      <c r="B8" s="124"/>
      <c r="C8" s="141"/>
      <c r="D8" s="144"/>
      <c r="E8" s="147"/>
      <c r="F8" s="141"/>
      <c r="G8" s="130"/>
      <c r="H8" s="150"/>
      <c r="I8" s="153"/>
      <c r="J8" s="155" t="s">
        <v>22</v>
      </c>
      <c r="K8" s="118" t="s">
        <v>5</v>
      </c>
      <c r="L8" s="139"/>
      <c r="N8" s="15" t="s">
        <v>38</v>
      </c>
      <c r="V8" s="97">
        <v>45902</v>
      </c>
      <c r="W8" s="16">
        <v>191188</v>
      </c>
      <c r="X8" s="101" t="s">
        <v>36</v>
      </c>
      <c r="Y8" s="105"/>
      <c r="Z8" s="102">
        <v>0.13462962962962963</v>
      </c>
      <c r="AA8" s="102">
        <v>0.26886574074074071</v>
      </c>
      <c r="AB8" s="16"/>
      <c r="AC8" s="16"/>
      <c r="AD8" s="93">
        <v>22342</v>
      </c>
      <c r="AE8" s="93">
        <f t="shared" si="0"/>
        <v>22.341999999999999</v>
      </c>
      <c r="AF8" s="16">
        <v>14.63</v>
      </c>
      <c r="AG8" s="103">
        <f t="shared" si="1"/>
        <v>14</v>
      </c>
      <c r="AH8" s="37">
        <f t="shared" si="2"/>
        <v>22.342000000000002</v>
      </c>
      <c r="AJ8" s="97">
        <v>45901</v>
      </c>
      <c r="AK8" t="s">
        <v>1935</v>
      </c>
      <c r="AL8" t="s">
        <v>5</v>
      </c>
      <c r="AM8" s="16"/>
      <c r="AN8" s="81" t="s">
        <v>2000</v>
      </c>
      <c r="AO8" s="81" t="s">
        <v>2000</v>
      </c>
      <c r="AP8" s="37">
        <v>2430</v>
      </c>
      <c r="AR8" s="97"/>
      <c r="AU8" s="97">
        <v>45901</v>
      </c>
      <c r="AW8" t="s">
        <v>5</v>
      </c>
      <c r="AX8" s="16"/>
      <c r="AY8" s="81">
        <v>0.56636574074074075</v>
      </c>
      <c r="AZ8" s="81">
        <v>0.40725694444444444</v>
      </c>
      <c r="BA8" s="37">
        <v>2846</v>
      </c>
      <c r="BB8" t="s">
        <v>2080</v>
      </c>
      <c r="BC8" s="97">
        <v>45901</v>
      </c>
    </row>
    <row r="9" spans="2:56" ht="16.5" thickBot="1" x14ac:dyDescent="0.45">
      <c r="B9" s="125"/>
      <c r="C9" s="142"/>
      <c r="D9" s="145"/>
      <c r="E9" s="148"/>
      <c r="F9" s="142"/>
      <c r="G9" s="131"/>
      <c r="H9" s="151"/>
      <c r="I9" s="154"/>
      <c r="J9" s="156"/>
      <c r="K9" s="119"/>
      <c r="L9" s="140"/>
      <c r="N9" s="25" t="s">
        <v>36</v>
      </c>
      <c r="O9" s="26" t="s">
        <v>5</v>
      </c>
      <c r="P9" s="35" t="s">
        <v>4</v>
      </c>
      <c r="Q9" s="27" t="s">
        <v>23</v>
      </c>
      <c r="V9" s="97">
        <v>45902</v>
      </c>
      <c r="W9" s="16">
        <v>191243</v>
      </c>
      <c r="X9" s="101" t="s">
        <v>36</v>
      </c>
      <c r="Y9" s="105"/>
      <c r="Z9" s="102">
        <v>0.41320601851851851</v>
      </c>
      <c r="AA9" s="102">
        <v>0.67802083333333341</v>
      </c>
      <c r="AB9" s="16"/>
      <c r="AC9" s="16"/>
      <c r="AD9" s="93">
        <v>20950</v>
      </c>
      <c r="AE9" s="93">
        <f t="shared" si="0"/>
        <v>20.95</v>
      </c>
      <c r="AF9" s="16">
        <v>15.66</v>
      </c>
      <c r="AG9" s="103">
        <f t="shared" si="1"/>
        <v>14</v>
      </c>
      <c r="AH9" s="37">
        <f t="shared" si="2"/>
        <v>20.95</v>
      </c>
      <c r="AJ9" s="97">
        <v>45901</v>
      </c>
      <c r="AK9" t="s">
        <v>1936</v>
      </c>
      <c r="AL9" t="s">
        <v>5</v>
      </c>
      <c r="AM9" s="16"/>
      <c r="AN9" s="39" t="s">
        <v>2001</v>
      </c>
      <c r="AO9" s="39" t="s">
        <v>2001</v>
      </c>
      <c r="AP9" s="37">
        <v>5520</v>
      </c>
      <c r="AR9" s="97"/>
      <c r="AU9" s="97">
        <v>45901</v>
      </c>
      <c r="AW9" t="s">
        <v>5</v>
      </c>
      <c r="AX9" s="16"/>
      <c r="AY9" s="39">
        <v>0.42175925925925922</v>
      </c>
      <c r="AZ9" s="39">
        <v>0.48253472222222221</v>
      </c>
      <c r="BA9" s="37">
        <v>726</v>
      </c>
      <c r="BC9" s="97">
        <v>45901</v>
      </c>
    </row>
    <row r="10" spans="2:56" ht="16" x14ac:dyDescent="0.4">
      <c r="B10" s="60">
        <v>45901</v>
      </c>
      <c r="C10" s="61">
        <f t="shared" ref="C10:C39" si="3">SUMIFS($AE:$AE,$V:$V,$B10,$X:$X,C$7)-$J10</f>
        <v>0</v>
      </c>
      <c r="D10" s="61">
        <f t="shared" ref="D10:E39" si="4">SUMIFS($AP:$AP,$AJ:$AJ,$B10,$AL:$AL,D$7)/1000</f>
        <v>37.35</v>
      </c>
      <c r="E10" s="62">
        <f t="shared" si="4"/>
        <v>0</v>
      </c>
      <c r="F10" s="63">
        <f t="shared" ref="F10:F39" si="5">SUMIFS($AD:$AD,$V:$V,$B10,$AB:$AB,$F$7)/1000</f>
        <v>0</v>
      </c>
      <c r="G10" s="64">
        <f>SUM(C10:E10)</f>
        <v>37.35</v>
      </c>
      <c r="H10" s="65">
        <f t="shared" ref="H10:H39" si="6">SUMIF($V:$V,$B10,$AH:$AH)</f>
        <v>0</v>
      </c>
      <c r="I10" s="66">
        <f>H10+D10+E10</f>
        <v>37.35</v>
      </c>
      <c r="J10" s="70">
        <f t="shared" ref="J10:J39" si="7">SUMIFS($AE:$AE,$V:$V,$B10,$AC:$AC,$J$8)</f>
        <v>0</v>
      </c>
      <c r="K10" s="67"/>
      <c r="L10" s="68">
        <f t="shared" ref="L10:L39" si="8">SUM(J10:K10)</f>
        <v>0</v>
      </c>
      <c r="N10" s="40">
        <f t="shared" ref="N10:N40" si="9">COUNTIFS($V:$V,$B10,$X:$X,N$9)</f>
        <v>0</v>
      </c>
      <c r="O10" s="41">
        <f t="shared" ref="O10:O40" si="10">COUNTIFS($AJ:$AJ,$B10,$AL:$AL,$O$9)</f>
        <v>11</v>
      </c>
      <c r="P10" s="41">
        <f t="shared" ref="P10:P40" si="11">COUNTIFS($AJ:$AJ,$B10,$AL:$AL,P$9)</f>
        <v>0</v>
      </c>
      <c r="Q10" s="42">
        <f>SUM(N10:P10)</f>
        <v>11</v>
      </c>
      <c r="V10" s="97">
        <v>45902</v>
      </c>
      <c r="W10" s="16">
        <v>191268</v>
      </c>
      <c r="X10" s="101" t="s">
        <v>36</v>
      </c>
      <c r="Y10" s="105"/>
      <c r="Z10" s="102">
        <v>0.26072916666666668</v>
      </c>
      <c r="AA10" s="102">
        <v>0.72333333333333327</v>
      </c>
      <c r="AB10" s="16"/>
      <c r="AC10" s="16"/>
      <c r="AD10" s="93">
        <v>20368</v>
      </c>
      <c r="AE10" s="93">
        <f t="shared" si="0"/>
        <v>20.367999999999999</v>
      </c>
      <c r="AF10" s="16">
        <v>15.16</v>
      </c>
      <c r="AG10" s="103">
        <f t="shared" si="1"/>
        <v>14</v>
      </c>
      <c r="AH10" s="37">
        <f t="shared" si="2"/>
        <v>20.367999999999999</v>
      </c>
      <c r="AJ10" s="97">
        <v>45901</v>
      </c>
      <c r="AK10" t="s">
        <v>1937</v>
      </c>
      <c r="AL10" t="s">
        <v>5</v>
      </c>
      <c r="AM10" s="16"/>
      <c r="AN10" s="39" t="s">
        <v>2002</v>
      </c>
      <c r="AO10" s="39" t="s">
        <v>2002</v>
      </c>
      <c r="AP10" s="37">
        <v>790</v>
      </c>
      <c r="AR10" s="97"/>
      <c r="AU10" s="97">
        <v>45901</v>
      </c>
      <c r="AW10" t="s">
        <v>5</v>
      </c>
      <c r="AX10" s="16"/>
      <c r="AY10" s="39">
        <v>0.5511921296296296</v>
      </c>
      <c r="AZ10" s="39">
        <v>0.56616898148148154</v>
      </c>
      <c r="BA10" s="37">
        <v>1538</v>
      </c>
      <c r="BB10" t="s">
        <v>2081</v>
      </c>
      <c r="BC10" s="97">
        <v>45901</v>
      </c>
    </row>
    <row r="11" spans="2:56" ht="16" x14ac:dyDescent="0.4">
      <c r="B11" s="1">
        <v>45902</v>
      </c>
      <c r="C11" s="2">
        <f t="shared" si="3"/>
        <v>207.22599999999997</v>
      </c>
      <c r="D11" s="2">
        <f t="shared" si="4"/>
        <v>21.85</v>
      </c>
      <c r="E11" s="2">
        <f t="shared" si="4"/>
        <v>0</v>
      </c>
      <c r="F11" s="32">
        <f t="shared" si="5"/>
        <v>0</v>
      </c>
      <c r="G11" s="3">
        <f>SUM(C11:E11)</f>
        <v>229.07599999999996</v>
      </c>
      <c r="H11" s="51">
        <f t="shared" si="6"/>
        <v>207.226</v>
      </c>
      <c r="I11" s="52">
        <f>H11+D11+E11</f>
        <v>229.07599999999999</v>
      </c>
      <c r="J11" s="59">
        <f t="shared" si="7"/>
        <v>0</v>
      </c>
      <c r="K11" s="4"/>
      <c r="L11" s="20">
        <f t="shared" si="8"/>
        <v>0</v>
      </c>
      <c r="N11" s="43">
        <f t="shared" si="9"/>
        <v>10</v>
      </c>
      <c r="O11" s="44">
        <f t="shared" si="10"/>
        <v>8</v>
      </c>
      <c r="P11" s="41">
        <f t="shared" si="11"/>
        <v>0</v>
      </c>
      <c r="Q11" s="45">
        <f>SUM(N11:P11)</f>
        <v>18</v>
      </c>
      <c r="V11" s="97">
        <v>45902</v>
      </c>
      <c r="W11" s="16">
        <v>191290</v>
      </c>
      <c r="X11" s="101" t="s">
        <v>36</v>
      </c>
      <c r="Y11" s="105"/>
      <c r="Z11" s="102">
        <v>0.41250000000000003</v>
      </c>
      <c r="AA11" s="102">
        <v>0.78263888888888899</v>
      </c>
      <c r="AB11" s="16"/>
      <c r="AC11" s="16"/>
      <c r="AD11" s="93">
        <v>19128</v>
      </c>
      <c r="AE11" s="93">
        <f t="shared" si="0"/>
        <v>19.128</v>
      </c>
      <c r="AF11" s="16">
        <v>15.81</v>
      </c>
      <c r="AG11" s="103">
        <f t="shared" si="1"/>
        <v>14</v>
      </c>
      <c r="AH11" s="37">
        <f t="shared" si="2"/>
        <v>19.128000000000004</v>
      </c>
      <c r="AJ11" s="97">
        <v>45901</v>
      </c>
      <c r="AK11" t="s">
        <v>1938</v>
      </c>
      <c r="AL11" t="s">
        <v>5</v>
      </c>
      <c r="AM11" s="16"/>
      <c r="AN11" s="39" t="s">
        <v>2003</v>
      </c>
      <c r="AO11" s="39" t="s">
        <v>2003</v>
      </c>
      <c r="AP11" s="37">
        <v>3240</v>
      </c>
      <c r="AR11" s="97"/>
      <c r="AU11" s="97">
        <v>45901</v>
      </c>
      <c r="AW11" t="s">
        <v>5</v>
      </c>
      <c r="AX11" s="16"/>
      <c r="AY11" s="39">
        <v>0.33204861111111111</v>
      </c>
      <c r="AZ11" s="39">
        <v>0.34613425925925928</v>
      </c>
      <c r="BA11" s="37">
        <v>3286</v>
      </c>
      <c r="BB11" t="s">
        <v>2082</v>
      </c>
      <c r="BC11" s="97">
        <v>45901</v>
      </c>
    </row>
    <row r="12" spans="2:56" ht="16" x14ac:dyDescent="0.4">
      <c r="B12" s="1">
        <v>45903</v>
      </c>
      <c r="C12" s="2">
        <f t="shared" si="3"/>
        <v>316.03000000000003</v>
      </c>
      <c r="D12" s="2">
        <f t="shared" si="4"/>
        <v>29.38</v>
      </c>
      <c r="E12" s="2">
        <f t="shared" si="4"/>
        <v>7.81</v>
      </c>
      <c r="F12" s="32">
        <f t="shared" si="5"/>
        <v>0</v>
      </c>
      <c r="G12" s="3">
        <f t="shared" ref="G12:G39" si="12">SUM(C12:E12)</f>
        <v>353.22</v>
      </c>
      <c r="H12" s="51">
        <f t="shared" si="6"/>
        <v>316.03000000000003</v>
      </c>
      <c r="I12" s="52">
        <f t="shared" ref="I12:I39" si="13">H12+D12+E12</f>
        <v>353.22</v>
      </c>
      <c r="J12" s="59">
        <f t="shared" si="7"/>
        <v>0</v>
      </c>
      <c r="K12" s="4"/>
      <c r="L12" s="20">
        <f t="shared" si="8"/>
        <v>0</v>
      </c>
      <c r="N12" s="43">
        <f t="shared" si="9"/>
        <v>16</v>
      </c>
      <c r="O12" s="44">
        <f t="shared" si="10"/>
        <v>9</v>
      </c>
      <c r="P12" s="41">
        <f t="shared" si="11"/>
        <v>1</v>
      </c>
      <c r="Q12" s="45">
        <f t="shared" ref="Q12:Q40" si="14">SUM(N12:P12)</f>
        <v>26</v>
      </c>
      <c r="V12" s="97">
        <v>45902</v>
      </c>
      <c r="W12" s="16">
        <v>191319</v>
      </c>
      <c r="X12" s="101" t="s">
        <v>36</v>
      </c>
      <c r="Y12" s="105"/>
      <c r="Z12" s="102">
        <v>0.7715277777777777</v>
      </c>
      <c r="AA12" s="102">
        <v>0.84097222222222223</v>
      </c>
      <c r="AB12" s="16"/>
      <c r="AC12" s="16"/>
      <c r="AD12" s="93">
        <v>19572</v>
      </c>
      <c r="AE12" s="93">
        <f t="shared" si="0"/>
        <v>19.571999999999999</v>
      </c>
      <c r="AF12" s="16">
        <v>14.05</v>
      </c>
      <c r="AG12" s="103">
        <f t="shared" si="1"/>
        <v>14</v>
      </c>
      <c r="AH12" s="37">
        <f t="shared" si="2"/>
        <v>19.571999999999999</v>
      </c>
      <c r="AJ12" s="97">
        <v>45901</v>
      </c>
      <c r="AK12" t="s">
        <v>1939</v>
      </c>
      <c r="AL12" t="s">
        <v>5</v>
      </c>
      <c r="AM12" s="16"/>
      <c r="AN12" s="39" t="s">
        <v>2004</v>
      </c>
      <c r="AO12" s="39" t="s">
        <v>2005</v>
      </c>
      <c r="AP12" s="37">
        <v>5240</v>
      </c>
      <c r="AR12" s="97"/>
      <c r="AU12" s="97">
        <v>45901</v>
      </c>
      <c r="AW12" t="s">
        <v>5</v>
      </c>
      <c r="AX12" s="16"/>
      <c r="AY12" s="39">
        <v>0.61752314814814813</v>
      </c>
      <c r="AZ12" s="39">
        <v>0.47714120370370372</v>
      </c>
      <c r="BA12" s="37">
        <v>5436</v>
      </c>
      <c r="BB12" t="s">
        <v>1924</v>
      </c>
      <c r="BC12" s="97">
        <v>45901</v>
      </c>
    </row>
    <row r="13" spans="2:56" ht="16" x14ac:dyDescent="0.4">
      <c r="B13" s="1">
        <v>45904</v>
      </c>
      <c r="C13" s="2">
        <f t="shared" si="3"/>
        <v>328.89400000000006</v>
      </c>
      <c r="D13" s="2">
        <f t="shared" si="4"/>
        <v>24.16</v>
      </c>
      <c r="E13" s="2">
        <f t="shared" si="4"/>
        <v>0</v>
      </c>
      <c r="F13" s="32">
        <f t="shared" si="5"/>
        <v>0</v>
      </c>
      <c r="G13" s="3">
        <f t="shared" si="12"/>
        <v>353.05400000000009</v>
      </c>
      <c r="H13" s="51">
        <f t="shared" si="6"/>
        <v>327.75364571428577</v>
      </c>
      <c r="I13" s="52">
        <f t="shared" si="13"/>
        <v>351.91364571428579</v>
      </c>
      <c r="J13" s="59">
        <f t="shared" si="7"/>
        <v>0</v>
      </c>
      <c r="K13" s="4"/>
      <c r="L13" s="20">
        <f t="shared" si="8"/>
        <v>0</v>
      </c>
      <c r="N13" s="43">
        <f t="shared" si="9"/>
        <v>16</v>
      </c>
      <c r="O13" s="44">
        <f t="shared" si="10"/>
        <v>6</v>
      </c>
      <c r="P13" s="41">
        <f t="shared" si="11"/>
        <v>0</v>
      </c>
      <c r="Q13" s="45">
        <f t="shared" si="14"/>
        <v>22</v>
      </c>
      <c r="V13" s="97">
        <v>45902</v>
      </c>
      <c r="W13" s="16">
        <v>191344</v>
      </c>
      <c r="X13" s="101" t="s">
        <v>36</v>
      </c>
      <c r="Y13" s="105"/>
      <c r="Z13" s="102">
        <v>0.41180555555555554</v>
      </c>
      <c r="AA13" s="102">
        <v>0.89166666666666661</v>
      </c>
      <c r="AB13" s="16"/>
      <c r="AC13" s="16"/>
      <c r="AD13" s="93">
        <v>18242</v>
      </c>
      <c r="AE13" s="93">
        <f t="shared" si="0"/>
        <v>18.242000000000001</v>
      </c>
      <c r="AF13" s="16">
        <v>14.27</v>
      </c>
      <c r="AG13" s="103">
        <f t="shared" si="1"/>
        <v>14</v>
      </c>
      <c r="AH13" s="37">
        <f t="shared" si="2"/>
        <v>18.242000000000001</v>
      </c>
      <c r="AJ13" s="97">
        <v>45901</v>
      </c>
      <c r="AK13" t="s">
        <v>1940</v>
      </c>
      <c r="AL13" t="s">
        <v>5</v>
      </c>
      <c r="AM13" s="16"/>
      <c r="AN13" s="39" t="s">
        <v>2006</v>
      </c>
      <c r="AO13" s="39" t="s">
        <v>2006</v>
      </c>
      <c r="AP13" s="37">
        <v>2770</v>
      </c>
      <c r="AR13" s="97"/>
      <c r="AU13" s="97">
        <v>45901</v>
      </c>
      <c r="AW13" t="s">
        <v>5</v>
      </c>
      <c r="AX13" s="16"/>
      <c r="AY13" s="39">
        <v>0.47793981481481485</v>
      </c>
      <c r="AZ13" s="39">
        <v>0.56530092592592596</v>
      </c>
      <c r="BA13" s="37">
        <v>4608</v>
      </c>
      <c r="BB13" t="s">
        <v>2083</v>
      </c>
      <c r="BC13" s="97">
        <v>45901</v>
      </c>
    </row>
    <row r="14" spans="2:56" ht="16" x14ac:dyDescent="0.4">
      <c r="B14" s="1">
        <v>45905</v>
      </c>
      <c r="C14" s="2">
        <f t="shared" si="3"/>
        <v>325.72000000000003</v>
      </c>
      <c r="D14" s="2">
        <f t="shared" si="4"/>
        <v>50.35</v>
      </c>
      <c r="E14" s="2">
        <f t="shared" si="4"/>
        <v>0</v>
      </c>
      <c r="F14" s="32">
        <f t="shared" si="5"/>
        <v>0</v>
      </c>
      <c r="G14" s="3">
        <f t="shared" si="12"/>
        <v>376.07000000000005</v>
      </c>
      <c r="H14" s="51">
        <f t="shared" si="6"/>
        <v>325.60895000000005</v>
      </c>
      <c r="I14" s="52">
        <f t="shared" si="13"/>
        <v>375.95895000000007</v>
      </c>
      <c r="J14" s="59">
        <f t="shared" si="7"/>
        <v>0</v>
      </c>
      <c r="K14" s="4"/>
      <c r="L14" s="20">
        <f t="shared" si="8"/>
        <v>0</v>
      </c>
      <c r="N14" s="43">
        <f t="shared" si="9"/>
        <v>16</v>
      </c>
      <c r="O14" s="44">
        <f t="shared" si="10"/>
        <v>10</v>
      </c>
      <c r="P14" s="41">
        <f t="shared" si="11"/>
        <v>0</v>
      </c>
      <c r="Q14" s="45">
        <f t="shared" si="14"/>
        <v>26</v>
      </c>
      <c r="V14" s="97">
        <v>45902</v>
      </c>
      <c r="W14" s="16">
        <v>191372</v>
      </c>
      <c r="X14" s="101" t="s">
        <v>36</v>
      </c>
      <c r="Y14" s="105"/>
      <c r="Z14" s="102">
        <v>0.7715277777777777</v>
      </c>
      <c r="AA14" s="102">
        <v>0.95624999999999993</v>
      </c>
      <c r="AB14" s="16"/>
      <c r="AC14" s="16"/>
      <c r="AD14" s="93">
        <v>20200</v>
      </c>
      <c r="AE14" s="93">
        <f t="shared" si="0"/>
        <v>20.2</v>
      </c>
      <c r="AF14" s="16">
        <v>15.09</v>
      </c>
      <c r="AG14" s="103">
        <f t="shared" si="1"/>
        <v>14</v>
      </c>
      <c r="AH14" s="37">
        <f t="shared" si="2"/>
        <v>20.2</v>
      </c>
      <c r="AJ14" s="97">
        <v>45901</v>
      </c>
      <c r="AK14" t="s">
        <v>1941</v>
      </c>
      <c r="AL14" t="s">
        <v>5</v>
      </c>
      <c r="AM14" s="16"/>
      <c r="AN14" s="39" t="s">
        <v>2007</v>
      </c>
      <c r="AO14" s="39" t="s">
        <v>2007</v>
      </c>
      <c r="AP14" s="37">
        <v>4630</v>
      </c>
      <c r="AR14" s="97"/>
      <c r="AU14" s="97">
        <v>45901</v>
      </c>
      <c r="AW14" t="s">
        <v>5</v>
      </c>
      <c r="AX14" s="16"/>
      <c r="AY14" s="39">
        <v>0.54104166666666664</v>
      </c>
      <c r="AZ14" s="39">
        <v>0.58478009259259256</v>
      </c>
      <c r="BA14" s="37">
        <v>5100</v>
      </c>
      <c r="BB14" t="s">
        <v>2084</v>
      </c>
      <c r="BC14" s="97">
        <v>45901</v>
      </c>
    </row>
    <row r="15" spans="2:56" ht="16" x14ac:dyDescent="0.4">
      <c r="B15" s="1">
        <v>45906</v>
      </c>
      <c r="C15" s="2">
        <f t="shared" si="3"/>
        <v>374.19</v>
      </c>
      <c r="D15" s="2">
        <f t="shared" si="4"/>
        <v>35.24</v>
      </c>
      <c r="E15" s="2">
        <f t="shared" si="4"/>
        <v>6.15</v>
      </c>
      <c r="F15" s="32">
        <f t="shared" si="5"/>
        <v>0</v>
      </c>
      <c r="G15" s="3">
        <f t="shared" si="12"/>
        <v>415.58</v>
      </c>
      <c r="H15" s="51">
        <f t="shared" si="6"/>
        <v>374.12228571428574</v>
      </c>
      <c r="I15" s="52">
        <f t="shared" si="13"/>
        <v>415.51228571428572</v>
      </c>
      <c r="J15" s="59">
        <f t="shared" si="7"/>
        <v>0</v>
      </c>
      <c r="K15" s="4"/>
      <c r="L15" s="20">
        <f t="shared" si="8"/>
        <v>0</v>
      </c>
      <c r="N15" s="43">
        <f t="shared" si="9"/>
        <v>18</v>
      </c>
      <c r="O15" s="44">
        <f t="shared" si="10"/>
        <v>11</v>
      </c>
      <c r="P15" s="41">
        <f t="shared" si="11"/>
        <v>1</v>
      </c>
      <c r="Q15" s="45">
        <f t="shared" si="14"/>
        <v>30</v>
      </c>
      <c r="V15" s="97">
        <v>45903</v>
      </c>
      <c r="W15" s="16">
        <v>191395</v>
      </c>
      <c r="X15" s="101" t="s">
        <v>36</v>
      </c>
      <c r="Y15" s="105"/>
      <c r="Z15" s="102">
        <v>0.83472222222222225</v>
      </c>
      <c r="AA15" s="102">
        <v>2.7777777777777776E-2</v>
      </c>
      <c r="AB15" s="16"/>
      <c r="AC15" s="16"/>
      <c r="AD15" s="93">
        <v>20346</v>
      </c>
      <c r="AE15" s="93">
        <f t="shared" si="0"/>
        <v>20.346</v>
      </c>
      <c r="AF15" s="16">
        <v>14.66</v>
      </c>
      <c r="AG15" s="103">
        <f t="shared" si="1"/>
        <v>14</v>
      </c>
      <c r="AH15" s="37">
        <f t="shared" si="2"/>
        <v>20.346</v>
      </c>
      <c r="AJ15" s="97">
        <v>45901</v>
      </c>
      <c r="AK15" t="s">
        <v>1942</v>
      </c>
      <c r="AL15" t="s">
        <v>5</v>
      </c>
      <c r="AM15" s="16"/>
      <c r="AN15" s="39" t="s">
        <v>2008</v>
      </c>
      <c r="AO15" s="39" t="s">
        <v>2009</v>
      </c>
      <c r="AP15" s="37">
        <v>3170</v>
      </c>
      <c r="AR15" s="97"/>
      <c r="AU15" s="97">
        <v>45902</v>
      </c>
      <c r="AW15" t="s">
        <v>5</v>
      </c>
      <c r="AX15" s="16"/>
      <c r="AY15" s="39">
        <v>0.58785879629629634</v>
      </c>
      <c r="AZ15" s="39">
        <v>0.63457175925925924</v>
      </c>
      <c r="BA15" s="37">
        <v>4624</v>
      </c>
      <c r="BB15" t="s">
        <v>2085</v>
      </c>
      <c r="BC15" s="97">
        <v>45902</v>
      </c>
    </row>
    <row r="16" spans="2:56" ht="16" x14ac:dyDescent="0.4">
      <c r="B16" s="1">
        <v>45907</v>
      </c>
      <c r="C16" s="2">
        <f t="shared" si="3"/>
        <v>55.752000000000002</v>
      </c>
      <c r="D16" s="2">
        <f t="shared" si="4"/>
        <v>0</v>
      </c>
      <c r="E16" s="2">
        <f t="shared" si="4"/>
        <v>0</v>
      </c>
      <c r="F16" s="32">
        <f t="shared" si="5"/>
        <v>0</v>
      </c>
      <c r="G16" s="3">
        <f t="shared" si="12"/>
        <v>55.752000000000002</v>
      </c>
      <c r="H16" s="51">
        <f t="shared" si="6"/>
        <v>55.752000000000002</v>
      </c>
      <c r="I16" s="52">
        <f t="shared" si="13"/>
        <v>55.752000000000002</v>
      </c>
      <c r="J16" s="59">
        <f t="shared" si="7"/>
        <v>0</v>
      </c>
      <c r="K16" s="4"/>
      <c r="L16" s="20">
        <f t="shared" si="8"/>
        <v>0</v>
      </c>
      <c r="N16" s="43">
        <f t="shared" si="9"/>
        <v>3</v>
      </c>
      <c r="O16" s="44">
        <f t="shared" si="10"/>
        <v>0</v>
      </c>
      <c r="P16" s="41">
        <f t="shared" si="11"/>
        <v>0</v>
      </c>
      <c r="Q16" s="45">
        <f t="shared" si="14"/>
        <v>3</v>
      </c>
      <c r="V16" s="97">
        <v>45903</v>
      </c>
      <c r="W16" s="16">
        <v>191402</v>
      </c>
      <c r="X16" s="101" t="s">
        <v>36</v>
      </c>
      <c r="Y16" s="105"/>
      <c r="Z16" s="102">
        <v>0.7680555555555556</v>
      </c>
      <c r="AA16" s="102">
        <v>7.4999999999999997E-2</v>
      </c>
      <c r="AB16" s="16"/>
      <c r="AC16" s="16"/>
      <c r="AD16" s="93">
        <v>19928</v>
      </c>
      <c r="AE16" s="93">
        <f t="shared" si="0"/>
        <v>19.928000000000001</v>
      </c>
      <c r="AF16" s="16">
        <v>14.75</v>
      </c>
      <c r="AG16" s="103">
        <f t="shared" si="1"/>
        <v>14</v>
      </c>
      <c r="AH16" s="37">
        <f t="shared" si="2"/>
        <v>19.928000000000001</v>
      </c>
      <c r="AJ16" s="97">
        <v>45902</v>
      </c>
      <c r="AK16" t="s">
        <v>1943</v>
      </c>
      <c r="AL16" t="s">
        <v>5</v>
      </c>
      <c r="AM16" s="16"/>
      <c r="AN16" s="81" t="s">
        <v>2010</v>
      </c>
      <c r="AO16" s="81" t="s">
        <v>2010</v>
      </c>
      <c r="AP16" s="37">
        <v>3380</v>
      </c>
      <c r="AR16" s="97"/>
      <c r="AU16" s="97">
        <v>45902</v>
      </c>
      <c r="AW16" t="s">
        <v>5</v>
      </c>
      <c r="AX16" s="16"/>
      <c r="AY16" s="81">
        <v>0.49335648148148148</v>
      </c>
      <c r="AZ16" s="81">
        <v>0.51103009259259258</v>
      </c>
      <c r="BA16" s="37">
        <v>3380</v>
      </c>
      <c r="BB16" t="s">
        <v>2082</v>
      </c>
      <c r="BC16" s="97">
        <v>45902</v>
      </c>
    </row>
    <row r="17" spans="2:55" ht="16" x14ac:dyDescent="0.4">
      <c r="B17" s="1">
        <v>45908</v>
      </c>
      <c r="C17" s="2">
        <f t="shared" si="3"/>
        <v>41.207999999999998</v>
      </c>
      <c r="D17" s="2">
        <f t="shared" si="4"/>
        <v>26.46</v>
      </c>
      <c r="E17" s="2">
        <f t="shared" si="4"/>
        <v>0</v>
      </c>
      <c r="F17" s="32">
        <f t="shared" si="5"/>
        <v>0</v>
      </c>
      <c r="G17" s="3">
        <f t="shared" si="12"/>
        <v>67.668000000000006</v>
      </c>
      <c r="H17" s="51">
        <f t="shared" si="6"/>
        <v>41.207999999999998</v>
      </c>
      <c r="I17" s="52">
        <f t="shared" si="13"/>
        <v>67.668000000000006</v>
      </c>
      <c r="J17" s="59">
        <f t="shared" si="7"/>
        <v>0</v>
      </c>
      <c r="K17" s="4"/>
      <c r="L17" s="20">
        <f t="shared" si="8"/>
        <v>0</v>
      </c>
      <c r="N17" s="43">
        <f t="shared" si="9"/>
        <v>2</v>
      </c>
      <c r="O17" s="44">
        <f t="shared" si="10"/>
        <v>8</v>
      </c>
      <c r="P17" s="41">
        <f t="shared" si="11"/>
        <v>0</v>
      </c>
      <c r="Q17" s="45">
        <f t="shared" si="14"/>
        <v>10</v>
      </c>
      <c r="S17" t="s">
        <v>48</v>
      </c>
      <c r="V17" s="97">
        <v>45903</v>
      </c>
      <c r="W17" s="16">
        <v>191410</v>
      </c>
      <c r="X17" s="101" t="s">
        <v>36</v>
      </c>
      <c r="Y17" s="105"/>
      <c r="Z17" s="102">
        <v>0.9375</v>
      </c>
      <c r="AA17" s="102">
        <v>0.13680555555555554</v>
      </c>
      <c r="AB17" s="16"/>
      <c r="AC17" s="16"/>
      <c r="AD17" s="93">
        <v>19196</v>
      </c>
      <c r="AE17" s="93">
        <f t="shared" si="0"/>
        <v>19.196000000000002</v>
      </c>
      <c r="AF17" s="16">
        <v>14.59</v>
      </c>
      <c r="AG17" s="103">
        <f t="shared" si="1"/>
        <v>14</v>
      </c>
      <c r="AH17" s="37">
        <f t="shared" si="2"/>
        <v>19.196000000000002</v>
      </c>
      <c r="AJ17" s="97">
        <v>45902</v>
      </c>
      <c r="AK17" t="s">
        <v>1944</v>
      </c>
      <c r="AL17" t="s">
        <v>5</v>
      </c>
      <c r="AM17" s="16"/>
      <c r="AN17" s="81" t="s">
        <v>2011</v>
      </c>
      <c r="AO17" s="81" t="s">
        <v>2011</v>
      </c>
      <c r="AP17" s="37">
        <v>3380</v>
      </c>
      <c r="AR17" s="97"/>
      <c r="AU17" s="97">
        <v>45902</v>
      </c>
      <c r="AW17" t="s">
        <v>5</v>
      </c>
      <c r="AX17" s="16"/>
      <c r="AY17" s="81">
        <v>0.33913194444444444</v>
      </c>
      <c r="AZ17" s="81">
        <v>0.44741898148148151</v>
      </c>
      <c r="BA17" s="37">
        <v>3422</v>
      </c>
      <c r="BB17" t="s">
        <v>2082</v>
      </c>
      <c r="BC17" s="97">
        <v>45902</v>
      </c>
    </row>
    <row r="18" spans="2:55" ht="16" x14ac:dyDescent="0.4">
      <c r="B18" s="1">
        <v>45909</v>
      </c>
      <c r="C18" s="2">
        <f t="shared" si="3"/>
        <v>275.47800000000001</v>
      </c>
      <c r="D18" s="2">
        <f t="shared" si="4"/>
        <v>15.41</v>
      </c>
      <c r="E18" s="2">
        <f t="shared" si="4"/>
        <v>0</v>
      </c>
      <c r="F18" s="32">
        <f t="shared" si="5"/>
        <v>0</v>
      </c>
      <c r="G18" s="3">
        <f t="shared" si="12"/>
        <v>290.88800000000003</v>
      </c>
      <c r="H18" s="51">
        <f t="shared" si="6"/>
        <v>273.78904571428575</v>
      </c>
      <c r="I18" s="52">
        <f t="shared" si="13"/>
        <v>289.19904571428577</v>
      </c>
      <c r="J18" s="59">
        <f t="shared" si="7"/>
        <v>0</v>
      </c>
      <c r="K18" s="4"/>
      <c r="L18" s="20">
        <f t="shared" si="8"/>
        <v>0</v>
      </c>
      <c r="N18" s="43">
        <f t="shared" si="9"/>
        <v>13</v>
      </c>
      <c r="O18" s="44">
        <f t="shared" si="10"/>
        <v>5</v>
      </c>
      <c r="P18" s="41">
        <f t="shared" si="11"/>
        <v>0</v>
      </c>
      <c r="Q18" s="45">
        <f t="shared" si="14"/>
        <v>18</v>
      </c>
      <c r="V18" s="97">
        <v>45903</v>
      </c>
      <c r="W18" s="16">
        <v>191421</v>
      </c>
      <c r="X18" s="101" t="s">
        <v>36</v>
      </c>
      <c r="Y18" s="105"/>
      <c r="Z18" s="102">
        <v>0.77222222222222225</v>
      </c>
      <c r="AA18" s="102">
        <v>0.18680555555555556</v>
      </c>
      <c r="AB18" s="16"/>
      <c r="AC18" s="16"/>
      <c r="AD18" s="93">
        <v>18846</v>
      </c>
      <c r="AE18" s="93">
        <f t="shared" si="0"/>
        <v>18.846</v>
      </c>
      <c r="AF18" s="16">
        <v>15.84</v>
      </c>
      <c r="AG18" s="103">
        <f t="shared" si="1"/>
        <v>14</v>
      </c>
      <c r="AH18" s="37">
        <f t="shared" si="2"/>
        <v>18.846</v>
      </c>
      <c r="AJ18" s="97">
        <v>45902</v>
      </c>
      <c r="AK18" t="s">
        <v>1945</v>
      </c>
      <c r="AL18" t="s">
        <v>5</v>
      </c>
      <c r="AM18" s="16"/>
      <c r="AN18" s="81" t="s">
        <v>2012</v>
      </c>
      <c r="AO18" s="81" t="s">
        <v>2013</v>
      </c>
      <c r="AP18" s="37">
        <v>3440</v>
      </c>
      <c r="AR18" s="97"/>
      <c r="AU18" s="97">
        <v>45902</v>
      </c>
      <c r="AW18" t="s">
        <v>5</v>
      </c>
      <c r="AX18" s="16"/>
      <c r="AY18" s="81">
        <v>0.6037731481481482</v>
      </c>
      <c r="AZ18" s="81">
        <v>0.42039351851851853</v>
      </c>
      <c r="BA18" s="37">
        <v>3304</v>
      </c>
      <c r="BB18" t="s">
        <v>1919</v>
      </c>
      <c r="BC18" s="97">
        <v>45902</v>
      </c>
    </row>
    <row r="19" spans="2:55" ht="16" x14ac:dyDescent="0.4">
      <c r="B19" s="1">
        <v>45910</v>
      </c>
      <c r="C19" s="2">
        <f t="shared" si="3"/>
        <v>147.68799999999999</v>
      </c>
      <c r="D19" s="2">
        <f t="shared" si="4"/>
        <v>8.67</v>
      </c>
      <c r="E19" s="2">
        <f t="shared" si="4"/>
        <v>0</v>
      </c>
      <c r="F19" s="32">
        <f t="shared" si="5"/>
        <v>0</v>
      </c>
      <c r="G19" s="3">
        <f t="shared" si="12"/>
        <v>156.35799999999998</v>
      </c>
      <c r="H19" s="51">
        <f t="shared" si="6"/>
        <v>145.00238428571427</v>
      </c>
      <c r="I19" s="52">
        <f t="shared" si="13"/>
        <v>153.67238428571426</v>
      </c>
      <c r="J19" s="59">
        <f t="shared" si="7"/>
        <v>0</v>
      </c>
      <c r="K19" s="4"/>
      <c r="L19" s="20">
        <f t="shared" si="8"/>
        <v>0</v>
      </c>
      <c r="N19" s="43">
        <f t="shared" si="9"/>
        <v>7</v>
      </c>
      <c r="O19" s="44">
        <f t="shared" si="10"/>
        <v>2</v>
      </c>
      <c r="P19" s="41">
        <f t="shared" si="11"/>
        <v>0</v>
      </c>
      <c r="Q19" s="45">
        <f t="shared" si="14"/>
        <v>9</v>
      </c>
      <c r="V19" s="97">
        <v>45903</v>
      </c>
      <c r="W19" s="16">
        <v>191422</v>
      </c>
      <c r="X19" s="101" t="s">
        <v>36</v>
      </c>
      <c r="Y19" s="105"/>
      <c r="Z19" s="102">
        <v>7.5694444444444439E-2</v>
      </c>
      <c r="AA19" s="102">
        <v>0.23680555555555557</v>
      </c>
      <c r="AB19" s="16"/>
      <c r="AC19" s="16"/>
      <c r="AD19" s="93">
        <v>17678</v>
      </c>
      <c r="AE19" s="93">
        <f t="shared" si="0"/>
        <v>17.678000000000001</v>
      </c>
      <c r="AF19" s="16">
        <v>14.88</v>
      </c>
      <c r="AG19" s="103">
        <f t="shared" si="1"/>
        <v>14</v>
      </c>
      <c r="AH19" s="37">
        <f t="shared" si="2"/>
        <v>17.678000000000001</v>
      </c>
      <c r="AJ19" s="97">
        <v>45902</v>
      </c>
      <c r="AK19" t="s">
        <v>1946</v>
      </c>
      <c r="AL19" t="s">
        <v>5</v>
      </c>
      <c r="AM19" s="16"/>
      <c r="AN19" s="39" t="s">
        <v>2014</v>
      </c>
      <c r="AO19" s="39" t="s">
        <v>2014</v>
      </c>
      <c r="AP19" s="37">
        <v>2170</v>
      </c>
      <c r="AR19" s="97"/>
      <c r="AU19" s="97">
        <v>45902</v>
      </c>
      <c r="AW19" t="s">
        <v>5</v>
      </c>
      <c r="AX19" s="16"/>
      <c r="AY19" s="39">
        <v>0.32406249999999998</v>
      </c>
      <c r="AZ19" s="39">
        <v>0.34028935185185188</v>
      </c>
      <c r="BA19" s="37">
        <v>3494</v>
      </c>
      <c r="BB19" t="s">
        <v>2082</v>
      </c>
      <c r="BC19" s="97">
        <v>45902</v>
      </c>
    </row>
    <row r="20" spans="2:55" ht="16" x14ac:dyDescent="0.4">
      <c r="B20" s="1">
        <v>45911</v>
      </c>
      <c r="C20" s="2">
        <f t="shared" si="3"/>
        <v>311.66800000000001</v>
      </c>
      <c r="D20" s="2">
        <f t="shared" si="4"/>
        <v>8.99</v>
      </c>
      <c r="E20" s="2">
        <f t="shared" si="4"/>
        <v>0</v>
      </c>
      <c r="F20" s="32">
        <f t="shared" si="5"/>
        <v>0</v>
      </c>
      <c r="G20" s="3">
        <f t="shared" si="12"/>
        <v>320.65800000000002</v>
      </c>
      <c r="H20" s="51">
        <f t="shared" si="6"/>
        <v>310.94715142857143</v>
      </c>
      <c r="I20" s="52">
        <f t="shared" si="13"/>
        <v>319.93715142857144</v>
      </c>
      <c r="J20" s="59">
        <f t="shared" si="7"/>
        <v>0</v>
      </c>
      <c r="K20" s="4"/>
      <c r="L20" s="20">
        <f t="shared" si="8"/>
        <v>0</v>
      </c>
      <c r="N20" s="43">
        <f t="shared" si="9"/>
        <v>15</v>
      </c>
      <c r="O20" s="44">
        <f t="shared" si="10"/>
        <v>3</v>
      </c>
      <c r="P20" s="41">
        <f t="shared" si="11"/>
        <v>0</v>
      </c>
      <c r="Q20" s="45">
        <f t="shared" si="14"/>
        <v>18</v>
      </c>
      <c r="V20" s="97">
        <v>45903</v>
      </c>
      <c r="W20" s="16">
        <v>191450</v>
      </c>
      <c r="X20" s="101" t="s">
        <v>36</v>
      </c>
      <c r="Y20" s="105"/>
      <c r="Z20" s="102">
        <v>0.32124999999999998</v>
      </c>
      <c r="AA20" s="102"/>
      <c r="AB20" s="16"/>
      <c r="AC20" s="16"/>
      <c r="AD20" s="93">
        <v>21410</v>
      </c>
      <c r="AE20" s="93">
        <f t="shared" si="0"/>
        <v>21.41</v>
      </c>
      <c r="AF20" s="16">
        <v>14.22</v>
      </c>
      <c r="AG20" s="103">
        <f t="shared" si="1"/>
        <v>14</v>
      </c>
      <c r="AH20" s="37">
        <f t="shared" si="2"/>
        <v>21.41</v>
      </c>
      <c r="AJ20" s="97">
        <v>45902</v>
      </c>
      <c r="AK20" t="s">
        <v>1947</v>
      </c>
      <c r="AL20" t="s">
        <v>5</v>
      </c>
      <c r="AM20" s="16"/>
      <c r="AN20" s="81" t="s">
        <v>2015</v>
      </c>
      <c r="AO20">
        <v>0</v>
      </c>
      <c r="AP20" s="37">
        <v>0</v>
      </c>
      <c r="AR20" s="97"/>
      <c r="AU20" s="97">
        <v>45902</v>
      </c>
      <c r="AW20" t="s">
        <v>5</v>
      </c>
      <c r="AX20" s="16"/>
      <c r="AY20" s="81">
        <v>0.60515046296296293</v>
      </c>
      <c r="AZ20">
        <v>0.62299768518518517</v>
      </c>
      <c r="BA20" s="37">
        <v>2934</v>
      </c>
      <c r="BB20" t="s">
        <v>2086</v>
      </c>
      <c r="BC20" s="97">
        <v>45902</v>
      </c>
    </row>
    <row r="21" spans="2:55" ht="16" x14ac:dyDescent="0.4">
      <c r="B21" s="1">
        <v>45912</v>
      </c>
      <c r="C21" s="2">
        <f t="shared" si="3"/>
        <v>186.63200000000001</v>
      </c>
      <c r="D21" s="2">
        <f t="shared" si="4"/>
        <v>26.19</v>
      </c>
      <c r="E21" s="2">
        <f t="shared" si="4"/>
        <v>3.03</v>
      </c>
      <c r="F21" s="32">
        <f t="shared" si="5"/>
        <v>0</v>
      </c>
      <c r="G21" s="3">
        <f t="shared" si="12"/>
        <v>215.852</v>
      </c>
      <c r="H21" s="51">
        <f t="shared" si="6"/>
        <v>182.41523428571429</v>
      </c>
      <c r="I21" s="52">
        <f t="shared" si="13"/>
        <v>211.63523428571429</v>
      </c>
      <c r="J21" s="59">
        <f t="shared" si="7"/>
        <v>0</v>
      </c>
      <c r="K21" s="4"/>
      <c r="L21" s="20">
        <f t="shared" si="8"/>
        <v>0</v>
      </c>
      <c r="N21" s="43">
        <f t="shared" si="9"/>
        <v>9</v>
      </c>
      <c r="O21" s="44">
        <f t="shared" si="10"/>
        <v>7</v>
      </c>
      <c r="P21" s="41">
        <f t="shared" si="11"/>
        <v>2</v>
      </c>
      <c r="Q21" s="45">
        <f t="shared" si="14"/>
        <v>18</v>
      </c>
      <c r="V21" s="97">
        <v>45903</v>
      </c>
      <c r="W21" s="16">
        <v>191516</v>
      </c>
      <c r="X21" s="101" t="s">
        <v>36</v>
      </c>
      <c r="Y21" s="105"/>
      <c r="Z21" s="102">
        <v>0.83464120370370365</v>
      </c>
      <c r="AA21" s="102">
        <v>0.38255787037037042</v>
      </c>
      <c r="AB21" s="16"/>
      <c r="AC21" s="16"/>
      <c r="AD21" s="93">
        <v>20580</v>
      </c>
      <c r="AE21" s="93">
        <f t="shared" si="0"/>
        <v>20.58</v>
      </c>
      <c r="AF21" s="16">
        <v>14.74</v>
      </c>
      <c r="AG21" s="103">
        <f t="shared" si="1"/>
        <v>14</v>
      </c>
      <c r="AH21" s="37">
        <f t="shared" si="2"/>
        <v>20.580000000000002</v>
      </c>
      <c r="AJ21" s="97">
        <v>45902</v>
      </c>
      <c r="AK21" t="s">
        <v>1948</v>
      </c>
      <c r="AL21" t="s">
        <v>5</v>
      </c>
      <c r="AM21" s="16"/>
      <c r="AN21" s="81" t="s">
        <v>2016</v>
      </c>
      <c r="AO21" t="s">
        <v>2016</v>
      </c>
      <c r="AP21" s="37">
        <v>3400</v>
      </c>
      <c r="AR21" s="97"/>
      <c r="AU21" s="97">
        <v>45902</v>
      </c>
      <c r="AW21" t="s">
        <v>5</v>
      </c>
      <c r="AX21" s="16"/>
      <c r="AY21" s="81">
        <v>0.62207175925925928</v>
      </c>
      <c r="AZ21">
        <v>0.46282407407407411</v>
      </c>
      <c r="BA21" s="37">
        <v>1904</v>
      </c>
      <c r="BB21" t="s">
        <v>2087</v>
      </c>
      <c r="BC21" s="97">
        <v>45902</v>
      </c>
    </row>
    <row r="22" spans="2:55" ht="16" x14ac:dyDescent="0.4">
      <c r="B22" s="1">
        <v>45913</v>
      </c>
      <c r="C22" s="2">
        <f t="shared" si="3"/>
        <v>313.41800000000006</v>
      </c>
      <c r="D22" s="2">
        <f t="shared" si="4"/>
        <v>27.75</v>
      </c>
      <c r="E22" s="2">
        <f t="shared" si="4"/>
        <v>6</v>
      </c>
      <c r="F22" s="32">
        <f t="shared" si="5"/>
        <v>0</v>
      </c>
      <c r="G22" s="3">
        <f t="shared" si="12"/>
        <v>347.16800000000006</v>
      </c>
      <c r="H22" s="51">
        <f t="shared" si="6"/>
        <v>311.06760428571437</v>
      </c>
      <c r="I22" s="52">
        <f t="shared" si="13"/>
        <v>344.81760428571437</v>
      </c>
      <c r="J22" s="59">
        <f t="shared" si="7"/>
        <v>0</v>
      </c>
      <c r="K22" s="4"/>
      <c r="L22" s="20">
        <f t="shared" si="8"/>
        <v>0</v>
      </c>
      <c r="N22" s="43">
        <f t="shared" si="9"/>
        <v>15</v>
      </c>
      <c r="O22" s="44">
        <f t="shared" si="10"/>
        <v>8</v>
      </c>
      <c r="P22" s="41">
        <f t="shared" si="11"/>
        <v>1</v>
      </c>
      <c r="Q22" s="45">
        <f t="shared" si="14"/>
        <v>24</v>
      </c>
      <c r="V22" s="97">
        <v>45903</v>
      </c>
      <c r="W22" s="16">
        <v>191595</v>
      </c>
      <c r="X22" s="101" t="s">
        <v>36</v>
      </c>
      <c r="Y22" s="105"/>
      <c r="Z22" s="102">
        <v>0.37744212962962959</v>
      </c>
      <c r="AA22" s="102">
        <v>0.4601041666666667</v>
      </c>
      <c r="AB22" s="16"/>
      <c r="AC22" s="16"/>
      <c r="AD22" s="93">
        <v>20020</v>
      </c>
      <c r="AE22" s="93">
        <f t="shared" si="0"/>
        <v>20.02</v>
      </c>
      <c r="AF22" s="16">
        <v>15.27</v>
      </c>
      <c r="AG22" s="103">
        <f t="shared" si="1"/>
        <v>14</v>
      </c>
      <c r="AH22" s="37">
        <f t="shared" si="2"/>
        <v>20.02</v>
      </c>
      <c r="AJ22" s="97">
        <v>45902</v>
      </c>
      <c r="AK22" t="s">
        <v>1949</v>
      </c>
      <c r="AL22" t="s">
        <v>5</v>
      </c>
      <c r="AN22" t="s">
        <v>2017</v>
      </c>
      <c r="AO22" t="s">
        <v>2017</v>
      </c>
      <c r="AP22" s="37">
        <v>1490</v>
      </c>
      <c r="AR22" s="97"/>
      <c r="AU22" s="97">
        <v>45902</v>
      </c>
      <c r="AW22" t="s">
        <v>5</v>
      </c>
      <c r="AY22">
        <v>0.55181712962962959</v>
      </c>
      <c r="AZ22">
        <v>0.58424768518518522</v>
      </c>
      <c r="BA22" s="37">
        <v>3280</v>
      </c>
      <c r="BB22" t="s">
        <v>1919</v>
      </c>
      <c r="BC22" s="97">
        <v>45902</v>
      </c>
    </row>
    <row r="23" spans="2:55" ht="16" x14ac:dyDescent="0.4">
      <c r="B23" s="1">
        <v>45914</v>
      </c>
      <c r="C23" s="2">
        <f t="shared" si="3"/>
        <v>138.572</v>
      </c>
      <c r="D23" s="2">
        <f t="shared" si="4"/>
        <v>0</v>
      </c>
      <c r="E23" s="2">
        <f t="shared" si="4"/>
        <v>0</v>
      </c>
      <c r="F23" s="32">
        <f t="shared" si="5"/>
        <v>0</v>
      </c>
      <c r="G23" s="3">
        <f t="shared" si="12"/>
        <v>138.572</v>
      </c>
      <c r="H23" s="51">
        <f t="shared" si="6"/>
        <v>131.14886285714286</v>
      </c>
      <c r="I23" s="52">
        <f t="shared" si="13"/>
        <v>131.14886285714286</v>
      </c>
      <c r="J23" s="59">
        <f t="shared" si="7"/>
        <v>0</v>
      </c>
      <c r="K23" s="4"/>
      <c r="L23" s="20">
        <f t="shared" si="8"/>
        <v>0</v>
      </c>
      <c r="N23" s="43">
        <f t="shared" si="9"/>
        <v>7</v>
      </c>
      <c r="O23" s="44">
        <f t="shared" si="10"/>
        <v>0</v>
      </c>
      <c r="P23" s="41">
        <f t="shared" si="11"/>
        <v>0</v>
      </c>
      <c r="Q23" s="45">
        <f t="shared" si="14"/>
        <v>7</v>
      </c>
      <c r="V23" s="97">
        <v>45903</v>
      </c>
      <c r="W23" s="16">
        <v>191669</v>
      </c>
      <c r="X23" s="101" t="s">
        <v>36</v>
      </c>
      <c r="Y23" s="105"/>
      <c r="Z23" s="102">
        <v>0.42663194444444441</v>
      </c>
      <c r="AA23" s="102">
        <v>0.53200231481481486</v>
      </c>
      <c r="AB23" s="16"/>
      <c r="AC23" s="16"/>
      <c r="AD23" s="93">
        <v>20812</v>
      </c>
      <c r="AE23" s="93">
        <f t="shared" si="0"/>
        <v>20.812000000000001</v>
      </c>
      <c r="AF23" s="16">
        <v>14.52</v>
      </c>
      <c r="AG23" s="103">
        <f t="shared" si="1"/>
        <v>14</v>
      </c>
      <c r="AH23" s="37">
        <f t="shared" si="2"/>
        <v>20.812000000000001</v>
      </c>
      <c r="AJ23" s="97">
        <v>45902</v>
      </c>
      <c r="AK23" t="s">
        <v>1950</v>
      </c>
      <c r="AL23" t="s">
        <v>5</v>
      </c>
      <c r="AN23" s="81" t="s">
        <v>2018</v>
      </c>
      <c r="AO23" t="s">
        <v>2018</v>
      </c>
      <c r="AP23" s="37">
        <v>4590</v>
      </c>
      <c r="AR23" s="97"/>
      <c r="AU23" s="97">
        <v>45903</v>
      </c>
      <c r="AW23" t="s">
        <v>5</v>
      </c>
      <c r="AY23" s="81">
        <v>0.58450231481481485</v>
      </c>
      <c r="AZ23">
        <v>0.37472222222222223</v>
      </c>
      <c r="BA23" s="37">
        <v>3586</v>
      </c>
      <c r="BB23" t="s">
        <v>2088</v>
      </c>
      <c r="BC23" s="97">
        <v>45903</v>
      </c>
    </row>
    <row r="24" spans="2:55" ht="16" x14ac:dyDescent="0.4">
      <c r="B24" s="1">
        <v>45915</v>
      </c>
      <c r="C24" s="2">
        <f t="shared" si="3"/>
        <v>0</v>
      </c>
      <c r="D24" s="2">
        <f t="shared" si="4"/>
        <v>20.010000000000002</v>
      </c>
      <c r="E24" s="2">
        <f t="shared" si="4"/>
        <v>0</v>
      </c>
      <c r="F24" s="32">
        <f t="shared" si="5"/>
        <v>0</v>
      </c>
      <c r="G24" s="3">
        <f t="shared" si="12"/>
        <v>20.010000000000002</v>
      </c>
      <c r="H24" s="51">
        <f t="shared" si="6"/>
        <v>0</v>
      </c>
      <c r="I24" s="52">
        <f t="shared" si="13"/>
        <v>20.010000000000002</v>
      </c>
      <c r="J24" s="59">
        <f t="shared" si="7"/>
        <v>0</v>
      </c>
      <c r="K24" s="4"/>
      <c r="L24" s="20">
        <f t="shared" si="8"/>
        <v>0</v>
      </c>
      <c r="N24" s="43">
        <f t="shared" si="9"/>
        <v>0</v>
      </c>
      <c r="O24" s="44">
        <f t="shared" si="10"/>
        <v>5</v>
      </c>
      <c r="P24" s="41">
        <f t="shared" si="11"/>
        <v>0</v>
      </c>
      <c r="Q24" s="45">
        <f t="shared" si="14"/>
        <v>5</v>
      </c>
      <c r="V24" s="97">
        <v>45903</v>
      </c>
      <c r="W24" s="16">
        <v>191694</v>
      </c>
      <c r="X24" s="101" t="s">
        <v>36</v>
      </c>
      <c r="Y24" s="105"/>
      <c r="Z24" s="102">
        <v>0.3772800925925926</v>
      </c>
      <c r="AA24" s="102">
        <v>0.604375</v>
      </c>
      <c r="AB24" s="16"/>
      <c r="AC24" s="16"/>
      <c r="AD24" s="93">
        <v>20196</v>
      </c>
      <c r="AE24" s="93">
        <f t="shared" si="0"/>
        <v>20.196000000000002</v>
      </c>
      <c r="AF24" s="16">
        <v>16.63</v>
      </c>
      <c r="AG24" s="103">
        <f t="shared" si="1"/>
        <v>14</v>
      </c>
      <c r="AH24" s="37">
        <f t="shared" si="2"/>
        <v>20.196000000000002</v>
      </c>
      <c r="AJ24" s="97">
        <v>45903</v>
      </c>
      <c r="AK24" t="s">
        <v>1951</v>
      </c>
      <c r="AL24" t="s">
        <v>5</v>
      </c>
      <c r="AN24" s="81" t="s">
        <v>2019</v>
      </c>
      <c r="AO24" t="s">
        <v>2019</v>
      </c>
      <c r="AP24" s="37">
        <v>3650</v>
      </c>
      <c r="AR24" s="97"/>
      <c r="AU24" s="97">
        <v>45903</v>
      </c>
      <c r="AW24" t="s">
        <v>5</v>
      </c>
      <c r="AY24" s="81">
        <v>0.57144675925925925</v>
      </c>
      <c r="AZ24">
        <v>0.38871527777777781</v>
      </c>
      <c r="BA24" s="37">
        <v>3014</v>
      </c>
      <c r="BB24" t="s">
        <v>1919</v>
      </c>
      <c r="BC24" s="97">
        <v>45903</v>
      </c>
    </row>
    <row r="25" spans="2:55" ht="16" x14ac:dyDescent="0.4">
      <c r="B25" s="1">
        <v>45916</v>
      </c>
      <c r="C25" s="2">
        <f t="shared" si="3"/>
        <v>201.00799999999998</v>
      </c>
      <c r="D25" s="2">
        <f t="shared" si="4"/>
        <v>12.25</v>
      </c>
      <c r="E25" s="2">
        <f t="shared" si="4"/>
        <v>0</v>
      </c>
      <c r="F25" s="32">
        <f t="shared" si="5"/>
        <v>0</v>
      </c>
      <c r="G25" s="3">
        <f t="shared" si="12"/>
        <v>213.25799999999998</v>
      </c>
      <c r="H25" s="51">
        <f t="shared" si="6"/>
        <v>199.89979999999997</v>
      </c>
      <c r="I25" s="52">
        <f t="shared" si="13"/>
        <v>212.14979999999997</v>
      </c>
      <c r="J25" s="59">
        <f t="shared" si="7"/>
        <v>0</v>
      </c>
      <c r="K25" s="4"/>
      <c r="L25" s="20">
        <f t="shared" si="8"/>
        <v>0</v>
      </c>
      <c r="N25" s="43">
        <f t="shared" si="9"/>
        <v>10</v>
      </c>
      <c r="O25" s="44">
        <f t="shared" si="10"/>
        <v>5</v>
      </c>
      <c r="P25" s="41">
        <f t="shared" si="11"/>
        <v>0</v>
      </c>
      <c r="Q25" s="45">
        <f t="shared" si="14"/>
        <v>15</v>
      </c>
      <c r="V25" s="97">
        <v>45903</v>
      </c>
      <c r="W25" s="16">
        <v>191750</v>
      </c>
      <c r="X25" s="101" t="s">
        <v>36</v>
      </c>
      <c r="Y25" s="105"/>
      <c r="Z25" s="102">
        <v>0.6053587962962963</v>
      </c>
      <c r="AA25" s="102">
        <v>0.66697916666666668</v>
      </c>
      <c r="AB25" s="16"/>
      <c r="AC25" s="16"/>
      <c r="AD25" s="93">
        <v>20740</v>
      </c>
      <c r="AE25" s="93">
        <f t="shared" si="0"/>
        <v>20.74</v>
      </c>
      <c r="AF25" s="16">
        <v>15.45</v>
      </c>
      <c r="AG25" s="103">
        <f t="shared" si="1"/>
        <v>14</v>
      </c>
      <c r="AH25" s="37">
        <f t="shared" si="2"/>
        <v>20.74</v>
      </c>
      <c r="AJ25" s="97">
        <v>45903</v>
      </c>
      <c r="AK25" t="s">
        <v>1952</v>
      </c>
      <c r="AL25" t="s">
        <v>5</v>
      </c>
      <c r="AN25" s="81" t="s">
        <v>2020</v>
      </c>
      <c r="AO25" t="s">
        <v>2020</v>
      </c>
      <c r="AP25" s="37">
        <v>3010</v>
      </c>
      <c r="AR25" s="97"/>
      <c r="AU25" s="97">
        <v>45903</v>
      </c>
      <c r="AW25" t="s">
        <v>5</v>
      </c>
      <c r="AY25" s="81">
        <v>0.43184027777777773</v>
      </c>
      <c r="AZ25">
        <v>0.57133101851851853</v>
      </c>
      <c r="BA25" s="37">
        <v>2524</v>
      </c>
      <c r="BB25" t="s">
        <v>1927</v>
      </c>
      <c r="BC25" s="97">
        <v>45903</v>
      </c>
    </row>
    <row r="26" spans="2:55" ht="16" x14ac:dyDescent="0.4">
      <c r="B26" s="1">
        <v>45917</v>
      </c>
      <c r="C26" s="2">
        <f t="shared" si="3"/>
        <v>263.834</v>
      </c>
      <c r="D26" s="2">
        <f t="shared" si="4"/>
        <v>11.03</v>
      </c>
      <c r="E26" s="2">
        <f t="shared" si="4"/>
        <v>0</v>
      </c>
      <c r="F26" s="32">
        <f t="shared" si="5"/>
        <v>0</v>
      </c>
      <c r="G26" s="3">
        <f t="shared" si="12"/>
        <v>274.86399999999998</v>
      </c>
      <c r="H26" s="51">
        <f t="shared" si="6"/>
        <v>262.31160857142862</v>
      </c>
      <c r="I26" s="52">
        <f t="shared" si="13"/>
        <v>273.34160857142859</v>
      </c>
      <c r="J26" s="59">
        <f t="shared" si="7"/>
        <v>0</v>
      </c>
      <c r="K26" s="4"/>
      <c r="L26" s="20">
        <f t="shared" si="8"/>
        <v>0</v>
      </c>
      <c r="N26" s="43">
        <f t="shared" si="9"/>
        <v>14</v>
      </c>
      <c r="O26" s="44">
        <f t="shared" si="10"/>
        <v>3</v>
      </c>
      <c r="P26" s="41">
        <f t="shared" si="11"/>
        <v>0</v>
      </c>
      <c r="Q26" s="45">
        <f t="shared" si="14"/>
        <v>17</v>
      </c>
      <c r="V26" s="97">
        <v>45903</v>
      </c>
      <c r="W26" s="16">
        <v>191790</v>
      </c>
      <c r="X26" s="101" t="s">
        <v>36</v>
      </c>
      <c r="Y26" s="105"/>
      <c r="Z26" s="102">
        <v>0.37712962962962965</v>
      </c>
      <c r="AA26" s="102">
        <v>0.72848379629629623</v>
      </c>
      <c r="AB26" s="16"/>
      <c r="AC26" s="16"/>
      <c r="AD26" s="93">
        <v>18654</v>
      </c>
      <c r="AE26" s="93">
        <f t="shared" si="0"/>
        <v>18.654</v>
      </c>
      <c r="AF26" s="16">
        <v>16.13</v>
      </c>
      <c r="AG26" s="103">
        <f t="shared" si="1"/>
        <v>14</v>
      </c>
      <c r="AH26" s="37">
        <f t="shared" si="2"/>
        <v>18.654</v>
      </c>
      <c r="AJ26" s="97">
        <v>45903</v>
      </c>
      <c r="AK26" t="s">
        <v>1953</v>
      </c>
      <c r="AL26" t="s">
        <v>5</v>
      </c>
      <c r="AN26" s="81" t="s">
        <v>2021</v>
      </c>
      <c r="AO26" s="81" t="s">
        <v>2021</v>
      </c>
      <c r="AP26" s="37">
        <v>3700</v>
      </c>
      <c r="AR26" s="97"/>
      <c r="AU26" s="97">
        <v>45903</v>
      </c>
      <c r="AW26" t="s">
        <v>5</v>
      </c>
      <c r="AY26" s="81">
        <v>0.65053240740740736</v>
      </c>
      <c r="AZ26" s="81">
        <v>0.44056712962962963</v>
      </c>
      <c r="BA26" s="37">
        <v>5064</v>
      </c>
      <c r="BB26" t="s">
        <v>2089</v>
      </c>
      <c r="BC26" s="97">
        <v>45903</v>
      </c>
    </row>
    <row r="27" spans="2:55" ht="16" x14ac:dyDescent="0.4">
      <c r="B27" s="1">
        <v>45918</v>
      </c>
      <c r="C27" s="2">
        <f t="shared" si="3"/>
        <v>81.718000000000004</v>
      </c>
      <c r="D27" s="2">
        <f t="shared" si="4"/>
        <v>2.77</v>
      </c>
      <c r="E27" s="2">
        <f t="shared" si="4"/>
        <v>6.15</v>
      </c>
      <c r="F27" s="32">
        <f t="shared" si="5"/>
        <v>0</v>
      </c>
      <c r="G27" s="3">
        <f t="shared" si="12"/>
        <v>90.638000000000005</v>
      </c>
      <c r="H27" s="51">
        <f t="shared" si="6"/>
        <v>79.608312857142863</v>
      </c>
      <c r="I27" s="52">
        <f t="shared" si="13"/>
        <v>88.528312857142865</v>
      </c>
      <c r="J27" s="59">
        <f t="shared" si="7"/>
        <v>0</v>
      </c>
      <c r="K27" s="4"/>
      <c r="L27" s="20">
        <f t="shared" si="8"/>
        <v>0</v>
      </c>
      <c r="N27" s="43">
        <f t="shared" si="9"/>
        <v>4</v>
      </c>
      <c r="O27" s="44">
        <f t="shared" si="10"/>
        <v>1</v>
      </c>
      <c r="P27" s="41">
        <f t="shared" si="11"/>
        <v>1</v>
      </c>
      <c r="Q27" s="45">
        <f t="shared" si="14"/>
        <v>6</v>
      </c>
      <c r="V27" s="97">
        <v>45903</v>
      </c>
      <c r="W27" s="16">
        <v>191805</v>
      </c>
      <c r="X27" s="101" t="s">
        <v>36</v>
      </c>
      <c r="Y27" s="105"/>
      <c r="Z27" s="102">
        <v>0.18055555555555555</v>
      </c>
      <c r="AA27" s="102">
        <v>0.78055555555555556</v>
      </c>
      <c r="AB27" s="16"/>
      <c r="AC27" s="16"/>
      <c r="AD27" s="93">
        <v>17500</v>
      </c>
      <c r="AE27" s="93">
        <f t="shared" si="0"/>
        <v>17.5</v>
      </c>
      <c r="AF27" s="16">
        <v>16.559999999999999</v>
      </c>
      <c r="AG27" s="103">
        <f t="shared" si="1"/>
        <v>14</v>
      </c>
      <c r="AH27" s="37">
        <f t="shared" si="2"/>
        <v>17.5</v>
      </c>
      <c r="AJ27" s="97">
        <v>45903</v>
      </c>
      <c r="AK27" t="s">
        <v>1954</v>
      </c>
      <c r="AL27" t="s">
        <v>5</v>
      </c>
      <c r="AN27" s="81" t="s">
        <v>2022</v>
      </c>
      <c r="AO27" s="81" t="s">
        <v>2022</v>
      </c>
      <c r="AP27" s="37">
        <v>5150</v>
      </c>
      <c r="AR27" s="97"/>
      <c r="AU27" s="97">
        <v>45903</v>
      </c>
      <c r="AW27" t="s">
        <v>5</v>
      </c>
      <c r="AY27" s="81">
        <v>0.60067129629629623</v>
      </c>
      <c r="AZ27" s="81">
        <v>0.61576388888888889</v>
      </c>
      <c r="BA27" s="37">
        <v>1692</v>
      </c>
      <c r="BB27" t="s">
        <v>2087</v>
      </c>
      <c r="BC27" s="97">
        <v>45903</v>
      </c>
    </row>
    <row r="28" spans="2:55" ht="16" x14ac:dyDescent="0.4">
      <c r="B28" s="1">
        <v>45919</v>
      </c>
      <c r="C28" s="2">
        <f t="shared" si="3"/>
        <v>211.59200000000004</v>
      </c>
      <c r="D28" s="2">
        <f t="shared" si="4"/>
        <v>5.97</v>
      </c>
      <c r="E28" s="2">
        <f t="shared" si="4"/>
        <v>0</v>
      </c>
      <c r="F28" s="32">
        <f t="shared" si="5"/>
        <v>0</v>
      </c>
      <c r="G28" s="3">
        <f t="shared" si="12"/>
        <v>217.56200000000004</v>
      </c>
      <c r="H28" s="51">
        <f t="shared" si="6"/>
        <v>210.6170942857143</v>
      </c>
      <c r="I28" s="52">
        <f t="shared" si="13"/>
        <v>216.5870942857143</v>
      </c>
      <c r="J28" s="59">
        <f t="shared" si="7"/>
        <v>0</v>
      </c>
      <c r="K28" s="4"/>
      <c r="L28" s="20">
        <f t="shared" si="8"/>
        <v>0</v>
      </c>
      <c r="N28" s="43">
        <f t="shared" si="9"/>
        <v>11</v>
      </c>
      <c r="O28" s="44">
        <f t="shared" si="10"/>
        <v>2</v>
      </c>
      <c r="P28" s="41">
        <f t="shared" si="11"/>
        <v>0</v>
      </c>
      <c r="Q28" s="45">
        <f t="shared" si="14"/>
        <v>13</v>
      </c>
      <c r="V28" s="97">
        <v>45903</v>
      </c>
      <c r="W28" s="16">
        <v>191834</v>
      </c>
      <c r="X28" s="101" t="s">
        <v>36</v>
      </c>
      <c r="Y28" s="105"/>
      <c r="Z28" s="102">
        <v>0.77430555555555547</v>
      </c>
      <c r="AA28" s="102">
        <v>0.83750000000000002</v>
      </c>
      <c r="AB28" s="16"/>
      <c r="AC28" s="16"/>
      <c r="AD28" s="93">
        <v>19458</v>
      </c>
      <c r="AE28" s="93">
        <f t="shared" si="0"/>
        <v>19.457999999999998</v>
      </c>
      <c r="AF28" s="16">
        <v>15.53</v>
      </c>
      <c r="AG28" s="103">
        <f t="shared" si="1"/>
        <v>14</v>
      </c>
      <c r="AH28" s="37">
        <f t="shared" si="2"/>
        <v>19.457999999999998</v>
      </c>
      <c r="AJ28" s="97">
        <v>45903</v>
      </c>
      <c r="AK28" t="s">
        <v>1955</v>
      </c>
      <c r="AL28" t="s">
        <v>5</v>
      </c>
      <c r="AN28" s="81" t="s">
        <v>2023</v>
      </c>
      <c r="AO28" s="81" t="s">
        <v>2023</v>
      </c>
      <c r="AP28" s="37">
        <v>3210</v>
      </c>
      <c r="AR28" s="97"/>
      <c r="AU28" s="97">
        <v>45903</v>
      </c>
      <c r="AW28" t="s">
        <v>5</v>
      </c>
      <c r="AY28" s="81">
        <v>0.61586805555555557</v>
      </c>
      <c r="AZ28" s="81">
        <v>0.45907407407407402</v>
      </c>
      <c r="BA28" s="37">
        <v>3222</v>
      </c>
      <c r="BB28" t="s">
        <v>2090</v>
      </c>
      <c r="BC28" s="97">
        <v>45903</v>
      </c>
    </row>
    <row r="29" spans="2:55" ht="16" x14ac:dyDescent="0.4">
      <c r="B29" s="1">
        <v>45920</v>
      </c>
      <c r="C29" s="2">
        <f t="shared" si="3"/>
        <v>273.72800000000001</v>
      </c>
      <c r="D29" s="2">
        <f t="shared" si="4"/>
        <v>10.86</v>
      </c>
      <c r="E29" s="2">
        <f t="shared" si="4"/>
        <v>0</v>
      </c>
      <c r="F29" s="32">
        <f t="shared" si="5"/>
        <v>0</v>
      </c>
      <c r="G29" s="3">
        <f t="shared" si="12"/>
        <v>284.58800000000002</v>
      </c>
      <c r="H29" s="51">
        <f t="shared" si="6"/>
        <v>273.72800000000001</v>
      </c>
      <c r="I29" s="52">
        <f t="shared" si="13"/>
        <v>284.58800000000002</v>
      </c>
      <c r="J29" s="59">
        <f t="shared" si="7"/>
        <v>0</v>
      </c>
      <c r="K29" s="4"/>
      <c r="L29" s="20">
        <f t="shared" si="8"/>
        <v>0</v>
      </c>
      <c r="N29" s="43">
        <f t="shared" si="9"/>
        <v>14</v>
      </c>
      <c r="O29" s="44">
        <f t="shared" si="10"/>
        <v>3</v>
      </c>
      <c r="P29" s="41">
        <f t="shared" si="11"/>
        <v>0</v>
      </c>
      <c r="Q29" s="45">
        <f t="shared" si="14"/>
        <v>17</v>
      </c>
      <c r="V29" s="97">
        <v>45903</v>
      </c>
      <c r="W29" s="16">
        <v>191853</v>
      </c>
      <c r="X29" s="101" t="s">
        <v>36</v>
      </c>
      <c r="Y29" s="105"/>
      <c r="Z29" s="102">
        <v>0.71875</v>
      </c>
      <c r="AA29" s="102">
        <v>0.89513888888888893</v>
      </c>
      <c r="AB29" s="16"/>
      <c r="AC29" s="16"/>
      <c r="AD29" s="93">
        <v>19780</v>
      </c>
      <c r="AE29" s="93">
        <f t="shared" si="0"/>
        <v>19.78</v>
      </c>
      <c r="AF29" s="16">
        <v>15.16</v>
      </c>
      <c r="AG29" s="103">
        <f t="shared" si="1"/>
        <v>14</v>
      </c>
      <c r="AH29" s="37">
        <f t="shared" si="2"/>
        <v>19.78</v>
      </c>
      <c r="AJ29" s="97">
        <v>45903</v>
      </c>
      <c r="AK29" t="s">
        <v>1956</v>
      </c>
      <c r="AL29" t="s">
        <v>5</v>
      </c>
      <c r="AN29" t="s">
        <v>2024</v>
      </c>
      <c r="AO29" t="s">
        <v>2024</v>
      </c>
      <c r="AP29" s="37">
        <v>1670</v>
      </c>
      <c r="AR29" s="97"/>
      <c r="AU29" s="97">
        <v>45903</v>
      </c>
      <c r="AW29" t="s">
        <v>5</v>
      </c>
      <c r="AY29">
        <v>0.4067824074074074</v>
      </c>
      <c r="AZ29">
        <v>0.49048611111111112</v>
      </c>
      <c r="BA29" s="37">
        <v>3772</v>
      </c>
      <c r="BB29" t="s">
        <v>2088</v>
      </c>
      <c r="BC29" s="97">
        <v>45903</v>
      </c>
    </row>
    <row r="30" spans="2:55" ht="16" x14ac:dyDescent="0.4">
      <c r="B30" s="1">
        <v>45921</v>
      </c>
      <c r="C30" s="2">
        <f t="shared" si="3"/>
        <v>146.67200000000003</v>
      </c>
      <c r="D30" s="2">
        <f t="shared" si="4"/>
        <v>0</v>
      </c>
      <c r="E30" s="2">
        <f t="shared" si="4"/>
        <v>0</v>
      </c>
      <c r="F30" s="32">
        <f t="shared" si="5"/>
        <v>0</v>
      </c>
      <c r="G30" s="116">
        <f t="shared" si="12"/>
        <v>146.67200000000003</v>
      </c>
      <c r="H30" s="51">
        <f t="shared" si="6"/>
        <v>146.672</v>
      </c>
      <c r="I30" s="52">
        <f t="shared" si="13"/>
        <v>146.672</v>
      </c>
      <c r="J30" s="59">
        <f t="shared" si="7"/>
        <v>0</v>
      </c>
      <c r="K30" s="4"/>
      <c r="L30" s="20">
        <f t="shared" si="8"/>
        <v>0</v>
      </c>
      <c r="N30" s="43">
        <f t="shared" si="9"/>
        <v>8</v>
      </c>
      <c r="O30" s="44">
        <f t="shared" si="10"/>
        <v>0</v>
      </c>
      <c r="P30" s="41">
        <f t="shared" si="11"/>
        <v>0</v>
      </c>
      <c r="Q30" s="45">
        <f t="shared" si="14"/>
        <v>8</v>
      </c>
      <c r="V30" s="97">
        <v>45903</v>
      </c>
      <c r="W30" s="16">
        <v>191882</v>
      </c>
      <c r="X30" s="101" t="s">
        <v>36</v>
      </c>
      <c r="Y30" s="105"/>
      <c r="Z30" s="102">
        <v>0.77361111111111114</v>
      </c>
      <c r="AA30" s="102">
        <v>0.97083333333333333</v>
      </c>
      <c r="AB30" s="16"/>
      <c r="AC30" s="16"/>
      <c r="AD30" s="93">
        <v>20886</v>
      </c>
      <c r="AE30" s="93">
        <f t="shared" si="0"/>
        <v>20.885999999999999</v>
      </c>
      <c r="AF30" s="16">
        <v>15.19</v>
      </c>
      <c r="AG30" s="103">
        <f t="shared" si="1"/>
        <v>14</v>
      </c>
      <c r="AH30" s="37">
        <f t="shared" si="2"/>
        <v>20.885999999999999</v>
      </c>
      <c r="AJ30" s="97">
        <v>45903</v>
      </c>
      <c r="AK30" t="s">
        <v>1957</v>
      </c>
      <c r="AL30" t="s">
        <v>5</v>
      </c>
      <c r="AN30" s="39" t="s">
        <v>2025</v>
      </c>
      <c r="AO30" t="s">
        <v>2025</v>
      </c>
      <c r="AP30" s="37">
        <v>3910</v>
      </c>
      <c r="AR30" s="97"/>
      <c r="AU30" s="97">
        <v>45903</v>
      </c>
      <c r="AW30" t="s">
        <v>5</v>
      </c>
      <c r="AY30" s="39">
        <v>0.45653935185185185</v>
      </c>
      <c r="AZ30">
        <v>0.59780092592592593</v>
      </c>
      <c r="BA30" s="37">
        <v>5162</v>
      </c>
      <c r="BB30" t="s">
        <v>2091</v>
      </c>
      <c r="BC30" s="97">
        <v>45903</v>
      </c>
    </row>
    <row r="31" spans="2:55" ht="16" x14ac:dyDescent="0.4">
      <c r="B31" s="1">
        <v>45922</v>
      </c>
      <c r="C31" s="2">
        <f t="shared" si="3"/>
        <v>181.99</v>
      </c>
      <c r="D31" s="2">
        <f t="shared" si="4"/>
        <v>11.14</v>
      </c>
      <c r="E31" s="2">
        <f t="shared" si="4"/>
        <v>0</v>
      </c>
      <c r="F31" s="32">
        <f t="shared" si="5"/>
        <v>0</v>
      </c>
      <c r="G31" s="116">
        <f t="shared" si="12"/>
        <v>193.13</v>
      </c>
      <c r="H31" s="51">
        <f t="shared" si="6"/>
        <v>181.79897428571431</v>
      </c>
      <c r="I31" s="52">
        <f t="shared" si="13"/>
        <v>192.93897428571432</v>
      </c>
      <c r="J31" s="59">
        <f t="shared" si="7"/>
        <v>0</v>
      </c>
      <c r="K31" s="4"/>
      <c r="L31" s="20">
        <f t="shared" si="8"/>
        <v>0</v>
      </c>
      <c r="N31" s="43">
        <f t="shared" si="9"/>
        <v>9</v>
      </c>
      <c r="O31" s="44">
        <f t="shared" si="10"/>
        <v>4</v>
      </c>
      <c r="P31" s="41">
        <f t="shared" si="11"/>
        <v>0</v>
      </c>
      <c r="Q31" s="45">
        <f t="shared" si="14"/>
        <v>13</v>
      </c>
      <c r="V31" s="97">
        <v>45904</v>
      </c>
      <c r="W31" s="16">
        <v>191896</v>
      </c>
      <c r="X31" s="101" t="s">
        <v>36</v>
      </c>
      <c r="Y31" s="105"/>
      <c r="Z31" s="102">
        <v>0.83472222222222225</v>
      </c>
      <c r="AA31" s="102">
        <v>4.4444444444444446E-2</v>
      </c>
      <c r="AB31" s="16"/>
      <c r="AC31" s="16"/>
      <c r="AD31" s="93">
        <v>20538</v>
      </c>
      <c r="AE31" s="93">
        <f t="shared" si="0"/>
        <v>20.538</v>
      </c>
      <c r="AF31" s="16">
        <v>14.05</v>
      </c>
      <c r="AG31" s="103">
        <f t="shared" si="1"/>
        <v>14</v>
      </c>
      <c r="AH31" s="37">
        <f t="shared" si="2"/>
        <v>20.538</v>
      </c>
      <c r="AJ31" s="97">
        <v>45903</v>
      </c>
      <c r="AK31" t="s">
        <v>1958</v>
      </c>
      <c r="AL31" t="s">
        <v>5</v>
      </c>
      <c r="AN31" s="39" t="s">
        <v>2026</v>
      </c>
      <c r="AO31" t="s">
        <v>2026</v>
      </c>
      <c r="AP31" s="37">
        <v>1200</v>
      </c>
      <c r="AR31" s="97"/>
      <c r="AU31" s="97">
        <v>45903</v>
      </c>
      <c r="AW31" t="s">
        <v>5</v>
      </c>
      <c r="AY31" s="39">
        <v>0.56906250000000003</v>
      </c>
      <c r="AZ31">
        <v>0.60097222222222224</v>
      </c>
      <c r="BA31" s="37">
        <v>1120</v>
      </c>
      <c r="BB31" t="s">
        <v>2088</v>
      </c>
      <c r="BC31" s="97">
        <v>45903</v>
      </c>
    </row>
    <row r="32" spans="2:55" ht="16" x14ac:dyDescent="0.4">
      <c r="B32" s="1">
        <v>45923</v>
      </c>
      <c r="C32" s="2">
        <f t="shared" si="3"/>
        <v>310.51400000000001</v>
      </c>
      <c r="D32" s="2">
        <f t="shared" si="4"/>
        <v>2.94</v>
      </c>
      <c r="E32" s="2">
        <f t="shared" si="4"/>
        <v>0</v>
      </c>
      <c r="F32" s="32">
        <f t="shared" si="5"/>
        <v>0</v>
      </c>
      <c r="G32" s="116">
        <f t="shared" si="12"/>
        <v>313.45400000000001</v>
      </c>
      <c r="H32" s="51">
        <f t="shared" si="6"/>
        <v>308.66766428571424</v>
      </c>
      <c r="I32" s="52">
        <f t="shared" si="13"/>
        <v>311.60766428571424</v>
      </c>
      <c r="J32" s="59">
        <f t="shared" si="7"/>
        <v>0</v>
      </c>
      <c r="K32" s="4"/>
      <c r="L32" s="20">
        <f t="shared" si="8"/>
        <v>0</v>
      </c>
      <c r="N32" s="43">
        <f t="shared" si="9"/>
        <v>15</v>
      </c>
      <c r="O32" s="44">
        <f t="shared" si="10"/>
        <v>1</v>
      </c>
      <c r="P32" s="41">
        <f t="shared" si="11"/>
        <v>0</v>
      </c>
      <c r="Q32" s="45">
        <f t="shared" si="14"/>
        <v>16</v>
      </c>
      <c r="V32" s="97">
        <v>45904</v>
      </c>
      <c r="W32" s="16">
        <v>191903</v>
      </c>
      <c r="X32" s="101" t="s">
        <v>36</v>
      </c>
      <c r="Y32" s="105"/>
      <c r="Z32" s="102">
        <v>0.77361111111111114</v>
      </c>
      <c r="AA32" s="102">
        <v>9.1666666666666674E-2</v>
      </c>
      <c r="AB32" s="16"/>
      <c r="AC32" s="16"/>
      <c r="AD32" s="93">
        <v>19508</v>
      </c>
      <c r="AE32" s="93">
        <f t="shared" si="0"/>
        <v>19.507999999999999</v>
      </c>
      <c r="AF32" s="16">
        <v>14.14</v>
      </c>
      <c r="AG32" s="103">
        <f t="shared" si="1"/>
        <v>14</v>
      </c>
      <c r="AH32" s="37">
        <f t="shared" si="2"/>
        <v>19.507999999999999</v>
      </c>
      <c r="AJ32" s="97">
        <v>45903</v>
      </c>
      <c r="AK32" t="s">
        <v>1959</v>
      </c>
      <c r="AL32" t="s">
        <v>5</v>
      </c>
      <c r="AN32" s="39" t="s">
        <v>2027</v>
      </c>
      <c r="AO32" t="s">
        <v>2028</v>
      </c>
      <c r="AP32" s="37">
        <v>3880</v>
      </c>
      <c r="AR32" s="97"/>
      <c r="AU32" s="97">
        <v>45903</v>
      </c>
      <c r="AW32" t="s">
        <v>5</v>
      </c>
      <c r="AY32" s="39">
        <v>0.42596064814814816</v>
      </c>
      <c r="AZ32">
        <v>0.44162037037037033</v>
      </c>
      <c r="BA32" s="37">
        <v>3712</v>
      </c>
      <c r="BB32" t="s">
        <v>2092</v>
      </c>
      <c r="BC32" s="97">
        <v>45903</v>
      </c>
    </row>
    <row r="33" spans="2:55" ht="16" x14ac:dyDescent="0.4">
      <c r="B33" s="1">
        <v>45924</v>
      </c>
      <c r="C33" s="2">
        <f t="shared" si="3"/>
        <v>281.87200000000001</v>
      </c>
      <c r="D33" s="2">
        <f t="shared" si="4"/>
        <v>6.85</v>
      </c>
      <c r="E33" s="2">
        <f t="shared" si="4"/>
        <v>0</v>
      </c>
      <c r="F33" s="32">
        <f t="shared" si="5"/>
        <v>0</v>
      </c>
      <c r="G33" s="116">
        <f t="shared" si="12"/>
        <v>288.72200000000004</v>
      </c>
      <c r="H33" s="51">
        <f t="shared" si="6"/>
        <v>281.4088857142857</v>
      </c>
      <c r="I33" s="52">
        <f t="shared" si="13"/>
        <v>288.25888571428573</v>
      </c>
      <c r="J33" s="59">
        <f t="shared" si="7"/>
        <v>0</v>
      </c>
      <c r="K33" s="4"/>
      <c r="L33" s="20" t="s">
        <v>48</v>
      </c>
      <c r="N33" s="43">
        <f t="shared" si="9"/>
        <v>14</v>
      </c>
      <c r="O33" s="44">
        <f t="shared" si="10"/>
        <v>2</v>
      </c>
      <c r="P33" s="41">
        <f t="shared" si="11"/>
        <v>0</v>
      </c>
      <c r="Q33" s="45">
        <f t="shared" si="14"/>
        <v>16</v>
      </c>
      <c r="V33" s="97">
        <v>45904</v>
      </c>
      <c r="W33" s="16">
        <v>191916</v>
      </c>
      <c r="X33" s="101" t="s">
        <v>36</v>
      </c>
      <c r="Y33" s="105"/>
      <c r="Z33" s="102">
        <v>0.94791666666666663</v>
      </c>
      <c r="AA33" s="102">
        <v>0.14583333333333334</v>
      </c>
      <c r="AB33" s="16"/>
      <c r="AC33" s="16"/>
      <c r="AD33" s="93">
        <v>19570</v>
      </c>
      <c r="AE33" s="93">
        <f t="shared" si="0"/>
        <v>19.57</v>
      </c>
      <c r="AF33" s="16">
        <v>15.13</v>
      </c>
      <c r="AG33" s="103">
        <f t="shared" si="1"/>
        <v>14</v>
      </c>
      <c r="AH33" s="37">
        <f t="shared" si="2"/>
        <v>19.57</v>
      </c>
      <c r="AJ33" s="97">
        <v>45903</v>
      </c>
      <c r="AK33" t="s">
        <v>1960</v>
      </c>
      <c r="AL33" t="s">
        <v>4</v>
      </c>
      <c r="AN33" s="39" t="s">
        <v>2029</v>
      </c>
      <c r="AO33" t="s">
        <v>2030</v>
      </c>
      <c r="AP33" s="37">
        <v>7810</v>
      </c>
      <c r="AR33" s="97"/>
      <c r="AU33" s="97">
        <v>45903</v>
      </c>
      <c r="AW33" t="s">
        <v>5</v>
      </c>
      <c r="AY33" s="39">
        <v>0.4417476851851852</v>
      </c>
      <c r="AZ33">
        <v>0.61886574074074074</v>
      </c>
      <c r="BA33" s="37">
        <v>3836</v>
      </c>
      <c r="BB33" t="s">
        <v>2093</v>
      </c>
      <c r="BC33" s="97">
        <v>45903</v>
      </c>
    </row>
    <row r="34" spans="2:55" ht="16" x14ac:dyDescent="0.4">
      <c r="B34" s="1">
        <v>45925</v>
      </c>
      <c r="C34" s="2">
        <f t="shared" si="3"/>
        <v>252.18099999999998</v>
      </c>
      <c r="D34" s="2">
        <f t="shared" si="4"/>
        <v>9.24</v>
      </c>
      <c r="E34" s="2">
        <f t="shared" si="4"/>
        <v>0</v>
      </c>
      <c r="F34" s="32">
        <f t="shared" si="5"/>
        <v>0</v>
      </c>
      <c r="G34" s="116">
        <f t="shared" si="12"/>
        <v>261.42099999999999</v>
      </c>
      <c r="H34" s="51">
        <f t="shared" si="6"/>
        <v>251.16780571428572</v>
      </c>
      <c r="I34" s="52">
        <f t="shared" si="13"/>
        <v>260.4078057142857</v>
      </c>
      <c r="J34" s="59">
        <f t="shared" si="7"/>
        <v>0</v>
      </c>
      <c r="K34" s="4"/>
      <c r="L34" s="20">
        <f t="shared" si="8"/>
        <v>0</v>
      </c>
      <c r="N34" s="43">
        <f t="shared" si="9"/>
        <v>12</v>
      </c>
      <c r="O34" s="44">
        <f t="shared" si="10"/>
        <v>3</v>
      </c>
      <c r="P34" s="41">
        <f t="shared" si="11"/>
        <v>0</v>
      </c>
      <c r="Q34" s="45">
        <f t="shared" si="14"/>
        <v>15</v>
      </c>
      <c r="V34" s="97">
        <v>45904</v>
      </c>
      <c r="W34" s="16">
        <v>191920</v>
      </c>
      <c r="X34" s="101" t="s">
        <v>36</v>
      </c>
      <c r="Y34" s="105"/>
      <c r="Z34" s="102">
        <v>0.48958333333333331</v>
      </c>
      <c r="AA34" s="102">
        <v>0.18541666666666667</v>
      </c>
      <c r="AB34" s="16"/>
      <c r="AC34" s="16"/>
      <c r="AD34" s="93">
        <v>20414</v>
      </c>
      <c r="AE34" s="93">
        <f t="shared" si="0"/>
        <v>20.414000000000001</v>
      </c>
      <c r="AF34" s="16">
        <v>14.66</v>
      </c>
      <c r="AG34" s="103">
        <f t="shared" si="1"/>
        <v>14</v>
      </c>
      <c r="AH34" s="37">
        <f t="shared" si="2"/>
        <v>20.414000000000005</v>
      </c>
      <c r="AJ34" s="97">
        <v>45904</v>
      </c>
      <c r="AK34" t="s">
        <v>1961</v>
      </c>
      <c r="AL34" t="s">
        <v>5</v>
      </c>
      <c r="AN34" s="39" t="s">
        <v>2031</v>
      </c>
      <c r="AO34" t="s">
        <v>2032</v>
      </c>
      <c r="AP34" s="37">
        <v>7000</v>
      </c>
      <c r="AR34" s="97"/>
      <c r="AU34" s="97">
        <v>45903</v>
      </c>
      <c r="AW34" t="s">
        <v>4</v>
      </c>
      <c r="AY34" s="39">
        <v>0.31527777777777777</v>
      </c>
      <c r="AZ34">
        <v>0.6255208333333333</v>
      </c>
      <c r="BA34" s="37">
        <v>8100</v>
      </c>
      <c r="BB34" t="s">
        <v>49</v>
      </c>
      <c r="BC34" s="97">
        <v>45903</v>
      </c>
    </row>
    <row r="35" spans="2:55" ht="16" x14ac:dyDescent="0.4">
      <c r="B35" s="1">
        <v>45926</v>
      </c>
      <c r="C35" s="2">
        <f t="shared" si="3"/>
        <v>369.03</v>
      </c>
      <c r="D35" s="2">
        <f t="shared" si="4"/>
        <v>9.23</v>
      </c>
      <c r="E35" s="2">
        <f t="shared" si="4"/>
        <v>0</v>
      </c>
      <c r="F35" s="32">
        <f t="shared" si="5"/>
        <v>0</v>
      </c>
      <c r="G35" s="116">
        <f t="shared" si="12"/>
        <v>378.26</v>
      </c>
      <c r="H35" s="51">
        <f t="shared" si="6"/>
        <v>367.45910428571426</v>
      </c>
      <c r="I35" s="52">
        <f t="shared" si="13"/>
        <v>376.68910428571428</v>
      </c>
      <c r="J35" s="59">
        <f t="shared" si="7"/>
        <v>0</v>
      </c>
      <c r="K35" s="4"/>
      <c r="L35" s="20">
        <f t="shared" si="8"/>
        <v>0</v>
      </c>
      <c r="N35" s="43">
        <f t="shared" si="9"/>
        <v>17</v>
      </c>
      <c r="O35" s="44">
        <f t="shared" si="10"/>
        <v>3</v>
      </c>
      <c r="P35" s="41">
        <f t="shared" si="11"/>
        <v>0</v>
      </c>
      <c r="Q35" s="45">
        <f t="shared" si="14"/>
        <v>20</v>
      </c>
      <c r="V35" s="97">
        <v>45904</v>
      </c>
      <c r="W35" s="16">
        <v>191923</v>
      </c>
      <c r="X35" s="101" t="s">
        <v>36</v>
      </c>
      <c r="Y35" s="105"/>
      <c r="Z35" s="102">
        <v>0.71875</v>
      </c>
      <c r="AA35" s="102">
        <v>0.23124999999999998</v>
      </c>
      <c r="AB35" s="16"/>
      <c r="AC35" s="16"/>
      <c r="AD35" s="93">
        <v>20748</v>
      </c>
      <c r="AE35" s="93">
        <f t="shared" si="0"/>
        <v>20.748000000000001</v>
      </c>
      <c r="AF35" s="16">
        <v>14.95</v>
      </c>
      <c r="AG35" s="103">
        <f t="shared" si="1"/>
        <v>14</v>
      </c>
      <c r="AH35" s="37">
        <f t="shared" si="2"/>
        <v>20.748000000000001</v>
      </c>
      <c r="AJ35" s="97">
        <v>45904</v>
      </c>
      <c r="AK35" t="s">
        <v>1962</v>
      </c>
      <c r="AL35" t="s">
        <v>5</v>
      </c>
      <c r="AN35" s="39" t="s">
        <v>2033</v>
      </c>
      <c r="AO35" t="s">
        <v>2033</v>
      </c>
      <c r="AP35" s="37">
        <v>2780</v>
      </c>
      <c r="AR35" s="97"/>
      <c r="AU35" s="97">
        <v>45904</v>
      </c>
      <c r="AW35" t="s">
        <v>5</v>
      </c>
      <c r="AY35" s="39">
        <v>0.33592592592592596</v>
      </c>
      <c r="AZ35">
        <v>0.51869212962962963</v>
      </c>
      <c r="BA35" s="37">
        <v>6980</v>
      </c>
      <c r="BB35" t="s">
        <v>49</v>
      </c>
      <c r="BC35" s="97">
        <v>45904</v>
      </c>
    </row>
    <row r="36" spans="2:55" ht="16" x14ac:dyDescent="0.4">
      <c r="B36" s="1">
        <v>45927</v>
      </c>
      <c r="C36" s="2">
        <f t="shared" si="3"/>
        <v>309.51299999999998</v>
      </c>
      <c r="D36" s="2">
        <f t="shared" si="4"/>
        <v>13.94</v>
      </c>
      <c r="E36" s="2">
        <f t="shared" si="4"/>
        <v>0</v>
      </c>
      <c r="F36" s="32">
        <f t="shared" si="5"/>
        <v>0</v>
      </c>
      <c r="G36" s="116">
        <f t="shared" si="12"/>
        <v>323.45299999999997</v>
      </c>
      <c r="H36" s="51">
        <f t="shared" si="6"/>
        <v>308.29931999999997</v>
      </c>
      <c r="I36" s="52">
        <f t="shared" si="13"/>
        <v>322.23931999999996</v>
      </c>
      <c r="J36" s="59">
        <f t="shared" si="7"/>
        <v>0</v>
      </c>
      <c r="K36" s="4"/>
      <c r="L36" s="20">
        <f t="shared" si="8"/>
        <v>0</v>
      </c>
      <c r="N36" s="43">
        <f t="shared" si="9"/>
        <v>15</v>
      </c>
      <c r="O36" s="44">
        <f t="shared" si="10"/>
        <v>4</v>
      </c>
      <c r="P36" s="41">
        <f t="shared" si="11"/>
        <v>0</v>
      </c>
      <c r="Q36" s="45">
        <f t="shared" si="14"/>
        <v>19</v>
      </c>
      <c r="V36" s="97">
        <v>45904</v>
      </c>
      <c r="W36" s="16">
        <v>191939</v>
      </c>
      <c r="X36" s="101" t="s">
        <v>36</v>
      </c>
      <c r="Y36" s="105"/>
      <c r="Z36" s="102">
        <v>0.1408449074074074</v>
      </c>
      <c r="AA36" s="102">
        <v>0.29269675925925925</v>
      </c>
      <c r="AB36" s="16"/>
      <c r="AC36" s="16"/>
      <c r="AD36" s="93">
        <v>21036</v>
      </c>
      <c r="AE36" s="93">
        <f t="shared" si="0"/>
        <v>21.036000000000001</v>
      </c>
      <c r="AF36" s="16">
        <v>14.56</v>
      </c>
      <c r="AG36" s="103">
        <f t="shared" si="1"/>
        <v>14</v>
      </c>
      <c r="AH36" s="37">
        <f t="shared" si="2"/>
        <v>21.036000000000001</v>
      </c>
      <c r="AJ36" s="97">
        <v>45904</v>
      </c>
      <c r="AK36" t="s">
        <v>1963</v>
      </c>
      <c r="AL36" t="s">
        <v>5</v>
      </c>
      <c r="AN36" s="81" t="s">
        <v>2034</v>
      </c>
      <c r="AO36">
        <v>0</v>
      </c>
      <c r="AP36" s="37">
        <v>2430</v>
      </c>
      <c r="AR36" s="97"/>
      <c r="AU36" s="97">
        <v>45904</v>
      </c>
      <c r="AW36" t="s">
        <v>5</v>
      </c>
      <c r="AY36" s="81">
        <v>0.61752314814814813</v>
      </c>
      <c r="AZ36">
        <v>0.57175925925925919</v>
      </c>
      <c r="BA36" s="37">
        <v>5010</v>
      </c>
      <c r="BB36" t="s">
        <v>2094</v>
      </c>
      <c r="BC36" s="97">
        <v>45904</v>
      </c>
    </row>
    <row r="37" spans="2:55" ht="16" x14ac:dyDescent="0.4">
      <c r="B37" s="1">
        <v>45928</v>
      </c>
      <c r="C37" s="2">
        <f t="shared" si="3"/>
        <v>80.524000000000001</v>
      </c>
      <c r="D37" s="2">
        <f t="shared" si="4"/>
        <v>5.08</v>
      </c>
      <c r="E37" s="2">
        <f t="shared" si="4"/>
        <v>0</v>
      </c>
      <c r="F37" s="32">
        <f t="shared" si="5"/>
        <v>0</v>
      </c>
      <c r="G37" s="116">
        <f t="shared" si="12"/>
        <v>85.603999999999999</v>
      </c>
      <c r="H37" s="51">
        <f t="shared" si="6"/>
        <v>79.795057142857132</v>
      </c>
      <c r="I37" s="52">
        <f t="shared" si="13"/>
        <v>84.875057142857131</v>
      </c>
      <c r="J37" s="59">
        <f t="shared" si="7"/>
        <v>0</v>
      </c>
      <c r="K37" s="4"/>
      <c r="L37" s="20">
        <f t="shared" si="8"/>
        <v>0</v>
      </c>
      <c r="N37" s="43">
        <f t="shared" si="9"/>
        <v>4</v>
      </c>
      <c r="O37" s="44">
        <f t="shared" si="10"/>
        <v>1</v>
      </c>
      <c r="P37" s="41">
        <f t="shared" si="11"/>
        <v>0</v>
      </c>
      <c r="Q37" s="45">
        <f t="shared" si="14"/>
        <v>5</v>
      </c>
      <c r="V37" s="97">
        <v>45904</v>
      </c>
      <c r="W37">
        <v>191979</v>
      </c>
      <c r="X37" s="101" t="s">
        <v>36</v>
      </c>
      <c r="Z37">
        <v>0.18758101851851852</v>
      </c>
      <c r="AA37">
        <v>0.34967592592592595</v>
      </c>
      <c r="AD37" s="93">
        <v>19822</v>
      </c>
      <c r="AE37" s="93">
        <f t="shared" si="0"/>
        <v>19.821999999999999</v>
      </c>
      <c r="AF37">
        <v>17.489999999999998</v>
      </c>
      <c r="AG37" s="103">
        <f t="shared" si="1"/>
        <v>14</v>
      </c>
      <c r="AH37" s="37">
        <f t="shared" si="2"/>
        <v>19.821999999999999</v>
      </c>
      <c r="AJ37" s="97">
        <v>45904</v>
      </c>
      <c r="AK37" t="s">
        <v>1964</v>
      </c>
      <c r="AL37" t="s">
        <v>5</v>
      </c>
      <c r="AN37" s="81" t="s">
        <v>2035</v>
      </c>
      <c r="AO37" t="s">
        <v>2036</v>
      </c>
      <c r="AP37" s="37">
        <v>3760</v>
      </c>
      <c r="AR37" s="97"/>
      <c r="AU37" s="97">
        <v>45904</v>
      </c>
      <c r="AW37" t="s">
        <v>5</v>
      </c>
      <c r="AY37" s="81">
        <v>0.48584490740740738</v>
      </c>
      <c r="AZ37">
        <v>0.5006828703703704</v>
      </c>
      <c r="BA37" s="37">
        <v>1706</v>
      </c>
      <c r="BB37" t="s">
        <v>1919</v>
      </c>
      <c r="BC37" s="97">
        <v>45904</v>
      </c>
    </row>
    <row r="38" spans="2:55" ht="16" x14ac:dyDescent="0.4">
      <c r="B38" s="1">
        <v>45929</v>
      </c>
      <c r="C38" s="2">
        <f t="shared" si="3"/>
        <v>0</v>
      </c>
      <c r="D38" s="2">
        <f t="shared" si="4"/>
        <v>22.68</v>
      </c>
      <c r="E38" s="2">
        <f t="shared" si="4"/>
        <v>0</v>
      </c>
      <c r="F38" s="32">
        <f t="shared" si="5"/>
        <v>0</v>
      </c>
      <c r="G38" s="116">
        <f t="shared" si="12"/>
        <v>22.68</v>
      </c>
      <c r="H38" s="51">
        <f t="shared" si="6"/>
        <v>0</v>
      </c>
      <c r="I38" s="52">
        <f t="shared" si="13"/>
        <v>22.68</v>
      </c>
      <c r="J38" s="59">
        <f t="shared" si="7"/>
        <v>0</v>
      </c>
      <c r="K38" s="4"/>
      <c r="L38" s="20">
        <f t="shared" si="8"/>
        <v>0</v>
      </c>
      <c r="N38" s="43">
        <f t="shared" si="9"/>
        <v>0</v>
      </c>
      <c r="O38" s="44">
        <f t="shared" si="10"/>
        <v>7</v>
      </c>
      <c r="P38" s="41">
        <f t="shared" si="11"/>
        <v>0</v>
      </c>
      <c r="Q38" s="45">
        <f t="shared" si="14"/>
        <v>7</v>
      </c>
      <c r="V38" s="97">
        <v>45904</v>
      </c>
      <c r="W38" s="16">
        <v>192047</v>
      </c>
      <c r="X38" s="101" t="s">
        <v>36</v>
      </c>
      <c r="Y38" s="105"/>
      <c r="Z38" s="102">
        <v>0.14069444444444446</v>
      </c>
      <c r="AA38" s="102">
        <v>0.41001157407407413</v>
      </c>
      <c r="AB38" s="16"/>
      <c r="AC38" s="16"/>
      <c r="AD38" s="93">
        <v>19434</v>
      </c>
      <c r="AE38" s="93">
        <f t="shared" si="0"/>
        <v>19.434000000000001</v>
      </c>
      <c r="AF38" s="16">
        <v>16.989999999999998</v>
      </c>
      <c r="AG38" s="103">
        <f t="shared" si="1"/>
        <v>14</v>
      </c>
      <c r="AH38" s="37">
        <f t="shared" si="2"/>
        <v>19.434000000000001</v>
      </c>
      <c r="AJ38" s="97">
        <v>45904</v>
      </c>
      <c r="AK38" t="s">
        <v>1965</v>
      </c>
      <c r="AL38" t="s">
        <v>5</v>
      </c>
      <c r="AN38" s="81" t="s">
        <v>2037</v>
      </c>
      <c r="AO38" t="s">
        <v>2037</v>
      </c>
      <c r="AP38" s="37">
        <v>3110</v>
      </c>
      <c r="AR38" s="97"/>
      <c r="AU38" s="97">
        <v>45904</v>
      </c>
      <c r="AW38" t="s">
        <v>5</v>
      </c>
      <c r="AY38" s="81">
        <v>0.50082175925925931</v>
      </c>
      <c r="AZ38">
        <v>0.40892361111111114</v>
      </c>
      <c r="BA38" s="37">
        <v>2662</v>
      </c>
      <c r="BB38" t="s">
        <v>2095</v>
      </c>
      <c r="BC38" s="97">
        <v>45904</v>
      </c>
    </row>
    <row r="39" spans="2:55" ht="16" x14ac:dyDescent="0.4">
      <c r="B39" s="1">
        <v>45930</v>
      </c>
      <c r="C39" s="2">
        <f t="shared" si="3"/>
        <v>224.44399999999999</v>
      </c>
      <c r="D39" s="2">
        <f t="shared" si="4"/>
        <v>18.61</v>
      </c>
      <c r="E39" s="2">
        <f t="shared" si="4"/>
        <v>6.73</v>
      </c>
      <c r="F39" s="32">
        <f t="shared" si="5"/>
        <v>0</v>
      </c>
      <c r="G39" s="116">
        <f t="shared" si="12"/>
        <v>249.78399999999996</v>
      </c>
      <c r="H39" s="51">
        <f t="shared" si="6"/>
        <v>224.44399999999999</v>
      </c>
      <c r="I39" s="52">
        <f t="shared" si="13"/>
        <v>249.78399999999996</v>
      </c>
      <c r="J39" s="59">
        <f t="shared" si="7"/>
        <v>0</v>
      </c>
      <c r="K39" s="4"/>
      <c r="L39" s="20">
        <f t="shared" si="8"/>
        <v>0</v>
      </c>
      <c r="N39" s="43">
        <f t="shared" si="9"/>
        <v>11</v>
      </c>
      <c r="O39" s="44">
        <f t="shared" si="10"/>
        <v>7</v>
      </c>
      <c r="P39" s="41">
        <f t="shared" si="11"/>
        <v>1</v>
      </c>
      <c r="Q39" s="45">
        <f t="shared" si="14"/>
        <v>19</v>
      </c>
      <c r="V39" s="97">
        <v>45904</v>
      </c>
      <c r="W39" s="16">
        <v>192118</v>
      </c>
      <c r="X39" s="101" t="s">
        <v>36</v>
      </c>
      <c r="Y39" s="105"/>
      <c r="Z39" s="102">
        <v>0.71378472222222211</v>
      </c>
      <c r="AA39" s="102">
        <v>0.49525462962962963</v>
      </c>
      <c r="AB39" s="16"/>
      <c r="AC39" s="16"/>
      <c r="AD39" s="93">
        <v>22096</v>
      </c>
      <c r="AE39" s="93">
        <f t="shared" si="0"/>
        <v>22.096</v>
      </c>
      <c r="AF39" s="16">
        <v>13.41</v>
      </c>
      <c r="AG39" s="103">
        <f t="shared" si="1"/>
        <v>13.41</v>
      </c>
      <c r="AH39" s="37">
        <f t="shared" si="2"/>
        <v>21.164811428571429</v>
      </c>
      <c r="AJ39" s="97">
        <v>45904</v>
      </c>
      <c r="AK39" t="s">
        <v>1966</v>
      </c>
      <c r="AL39" t="s">
        <v>5</v>
      </c>
      <c r="AN39" t="s">
        <v>2038</v>
      </c>
      <c r="AO39" t="s">
        <v>2038</v>
      </c>
      <c r="AP39" s="37">
        <v>5080</v>
      </c>
      <c r="AR39" s="97"/>
      <c r="AU39" s="97">
        <v>45905</v>
      </c>
      <c r="AW39" t="s">
        <v>5</v>
      </c>
      <c r="AY39">
        <v>0.37013888888888885</v>
      </c>
      <c r="AZ39">
        <v>0.40347222222222223</v>
      </c>
      <c r="BA39" s="37">
        <v>2704</v>
      </c>
      <c r="BB39" t="s">
        <v>677</v>
      </c>
      <c r="BC39" s="97">
        <v>45905</v>
      </c>
    </row>
    <row r="40" spans="2:55" ht="16.5" thickBot="1" x14ac:dyDescent="0.45">
      <c r="B40" s="1"/>
      <c r="C40" s="2"/>
      <c r="D40" s="2"/>
      <c r="E40" s="2"/>
      <c r="F40" s="32"/>
      <c r="G40" s="3"/>
      <c r="H40" s="51"/>
      <c r="I40" s="52"/>
      <c r="J40" s="59"/>
      <c r="K40" s="4"/>
      <c r="L40" s="20"/>
      <c r="N40" s="43">
        <f t="shared" si="9"/>
        <v>0</v>
      </c>
      <c r="O40" s="44">
        <f t="shared" si="10"/>
        <v>0</v>
      </c>
      <c r="P40" s="41">
        <f t="shared" si="11"/>
        <v>0</v>
      </c>
      <c r="Q40" s="45">
        <f t="shared" si="14"/>
        <v>0</v>
      </c>
      <c r="V40" s="97">
        <v>45904</v>
      </c>
      <c r="W40" s="16">
        <v>192156</v>
      </c>
      <c r="X40" s="101" t="s">
        <v>36</v>
      </c>
      <c r="Y40" s="105"/>
      <c r="Z40" s="102">
        <v>0.14055555555555554</v>
      </c>
      <c r="AA40" s="102">
        <v>0.56644675925925925</v>
      </c>
      <c r="AB40" s="16"/>
      <c r="AC40" s="16"/>
      <c r="AD40" s="93">
        <v>21656</v>
      </c>
      <c r="AE40" s="93">
        <f t="shared" si="0"/>
        <v>21.655999999999999</v>
      </c>
      <c r="AF40" s="16">
        <v>14.31</v>
      </c>
      <c r="AG40" s="103">
        <f t="shared" si="1"/>
        <v>14</v>
      </c>
      <c r="AH40" s="37">
        <f t="shared" si="2"/>
        <v>21.655999999999999</v>
      </c>
      <c r="AJ40" s="97">
        <v>45905</v>
      </c>
      <c r="AK40" t="s">
        <v>1967</v>
      </c>
      <c r="AL40" t="s">
        <v>5</v>
      </c>
      <c r="AN40" s="81" t="s">
        <v>2039</v>
      </c>
      <c r="AO40" t="s">
        <v>2039</v>
      </c>
      <c r="AP40" s="37">
        <v>2750</v>
      </c>
      <c r="AR40" s="97"/>
      <c r="AU40" s="97">
        <v>45904</v>
      </c>
      <c r="AW40" t="s">
        <v>5</v>
      </c>
      <c r="AY40" s="81">
        <v>0.47013888888888888</v>
      </c>
      <c r="AZ40">
        <v>0.4909722222222222</v>
      </c>
      <c r="BA40" s="37">
        <v>3840</v>
      </c>
      <c r="BB40" t="s">
        <v>2096</v>
      </c>
      <c r="BC40" s="97">
        <v>45905</v>
      </c>
    </row>
    <row r="41" spans="2:55" ht="16" x14ac:dyDescent="0.4">
      <c r="B41" s="5" t="s">
        <v>23</v>
      </c>
      <c r="C41" s="6">
        <f t="shared" ref="C41:K41" si="15">SUM(C10:C40)</f>
        <v>6211.0960000000005</v>
      </c>
      <c r="D41" s="31">
        <f>SUM(D10:D40)</f>
        <v>474.40000000000003</v>
      </c>
      <c r="E41" s="31">
        <f t="shared" ref="E41" si="16">SUM(E10:E40)</f>
        <v>35.870000000000005</v>
      </c>
      <c r="F41" s="6">
        <f t="shared" si="15"/>
        <v>0</v>
      </c>
      <c r="G41" s="7">
        <f t="shared" si="15"/>
        <v>6721.3660000000009</v>
      </c>
      <c r="H41" s="54">
        <f>SUM(H10:H40)</f>
        <v>6177.9487914285728</v>
      </c>
      <c r="I41" s="7">
        <f>SUM(I10:I40)</f>
        <v>6688.2187914285705</v>
      </c>
      <c r="J41" s="8">
        <f t="shared" si="15"/>
        <v>0</v>
      </c>
      <c r="K41" s="8">
        <f t="shared" si="15"/>
        <v>0</v>
      </c>
      <c r="L41" s="7">
        <f>SUM(L10:L40)-J41</f>
        <v>0</v>
      </c>
      <c r="N41" s="46">
        <f>SUM(N10:N40)</f>
        <v>305</v>
      </c>
      <c r="O41" s="46">
        <f t="shared" ref="O41" si="17">SUM(O10:O40)</f>
        <v>139</v>
      </c>
      <c r="P41" s="46">
        <f>SUM(P10:P40)</f>
        <v>7</v>
      </c>
      <c r="Q41" s="46">
        <f>SUM(Q10:Q40)-Q42</f>
        <v>299</v>
      </c>
      <c r="V41" s="97">
        <v>45904</v>
      </c>
      <c r="W41" s="16">
        <v>192211</v>
      </c>
      <c r="X41" s="101" t="s">
        <v>36</v>
      </c>
      <c r="Y41" s="105"/>
      <c r="Z41" s="102">
        <v>0.53805555555555562</v>
      </c>
      <c r="AA41" s="102">
        <v>0.62101851851851853</v>
      </c>
      <c r="AB41" s="16"/>
      <c r="AC41" s="16"/>
      <c r="AD41" s="93">
        <v>21026</v>
      </c>
      <c r="AE41" s="93">
        <f t="shared" si="0"/>
        <v>21.026</v>
      </c>
      <c r="AF41" s="16">
        <v>14.52</v>
      </c>
      <c r="AG41" s="103">
        <f t="shared" si="1"/>
        <v>14</v>
      </c>
      <c r="AH41" s="37">
        <f t="shared" si="2"/>
        <v>21.026</v>
      </c>
      <c r="AJ41" s="97">
        <v>45905</v>
      </c>
      <c r="AK41" t="s">
        <v>1968</v>
      </c>
      <c r="AL41" t="s">
        <v>5</v>
      </c>
      <c r="AN41" s="39" t="s">
        <v>2040</v>
      </c>
      <c r="AO41" t="s">
        <v>2041</v>
      </c>
      <c r="AP41" s="37">
        <v>5800</v>
      </c>
      <c r="AR41" s="97"/>
      <c r="AU41" s="97">
        <v>45904</v>
      </c>
      <c r="AW41" t="s">
        <v>5</v>
      </c>
      <c r="AY41" s="39">
        <v>0.54583333333333328</v>
      </c>
      <c r="AZ41">
        <v>0.5625</v>
      </c>
      <c r="BA41" s="37">
        <v>3102</v>
      </c>
      <c r="BB41" t="s">
        <v>2097</v>
      </c>
      <c r="BC41" s="97">
        <v>45905</v>
      </c>
    </row>
    <row r="42" spans="2:55" ht="16.5" thickBot="1" x14ac:dyDescent="0.45">
      <c r="B42" s="9"/>
      <c r="C42" s="10">
        <f>C41/$G$41</f>
        <v>0.9240823963462188</v>
      </c>
      <c r="D42" s="10">
        <f t="shared" ref="D42:E42" si="18">D41/$G$41</f>
        <v>7.0580890848675693E-2</v>
      </c>
      <c r="E42" s="10">
        <f t="shared" si="18"/>
        <v>5.3367128051053907E-3</v>
      </c>
      <c r="F42" s="10">
        <f>F41/$G$41</f>
        <v>0</v>
      </c>
      <c r="G42" s="9"/>
      <c r="H42" s="9"/>
      <c r="I42" s="9"/>
      <c r="J42" s="10" t="e">
        <f t="shared" ref="J42:K42" si="19">J41/$L$41</f>
        <v>#DIV/0!</v>
      </c>
      <c r="K42" s="10" t="e">
        <f t="shared" si="19"/>
        <v>#DIV/0!</v>
      </c>
      <c r="L42" s="11">
        <f>G41+L41</f>
        <v>6721.3660000000009</v>
      </c>
      <c r="N42" s="28" t="s">
        <v>24</v>
      </c>
      <c r="O42" s="28"/>
      <c r="P42" s="28"/>
      <c r="Q42" s="28">
        <f>COUNTBLANK(AP5:AP302)</f>
        <v>152</v>
      </c>
      <c r="V42" s="97">
        <v>45904</v>
      </c>
      <c r="W42" s="16">
        <v>192253</v>
      </c>
      <c r="X42" s="101" t="s">
        <v>36</v>
      </c>
      <c r="Y42" s="105"/>
      <c r="Z42" s="102">
        <v>0.22828703703703704</v>
      </c>
      <c r="AA42" s="102">
        <v>0.68199074074074073</v>
      </c>
      <c r="AB42" s="16"/>
      <c r="AC42" s="16"/>
      <c r="AD42" s="93">
        <v>21612</v>
      </c>
      <c r="AE42" s="93">
        <f t="shared" si="0"/>
        <v>21.611999999999998</v>
      </c>
      <c r="AF42" s="16">
        <v>15.63</v>
      </c>
      <c r="AG42" s="103">
        <f t="shared" si="1"/>
        <v>14</v>
      </c>
      <c r="AH42" s="37">
        <f t="shared" si="2"/>
        <v>21.611999999999998</v>
      </c>
      <c r="AJ42" s="97">
        <v>45905</v>
      </c>
      <c r="AK42" t="s">
        <v>1969</v>
      </c>
      <c r="AL42" t="s">
        <v>5</v>
      </c>
      <c r="AN42" s="81" t="s">
        <v>2042</v>
      </c>
      <c r="AO42" s="81" t="s">
        <v>2043</v>
      </c>
      <c r="AP42" s="37">
        <v>3360</v>
      </c>
      <c r="AR42" s="97"/>
      <c r="AU42" s="97">
        <v>45905</v>
      </c>
      <c r="AW42" t="s">
        <v>5</v>
      </c>
      <c r="AY42" s="81">
        <v>0.40763888888888888</v>
      </c>
      <c r="AZ42" s="81">
        <v>0.44236111111111115</v>
      </c>
      <c r="BA42" s="37">
        <v>3268</v>
      </c>
      <c r="BB42" t="s">
        <v>2098</v>
      </c>
      <c r="BC42" s="97">
        <v>45905</v>
      </c>
    </row>
    <row r="43" spans="2:55" ht="16.5" thickTop="1" x14ac:dyDescent="0.4">
      <c r="G43" s="12"/>
      <c r="H43" s="12"/>
      <c r="I43" s="12"/>
      <c r="J43" s="13"/>
      <c r="K43" s="14"/>
      <c r="V43" s="97">
        <v>45904</v>
      </c>
      <c r="W43" s="16">
        <v>192271</v>
      </c>
      <c r="X43" s="101" t="s">
        <v>36</v>
      </c>
      <c r="Y43" s="105"/>
      <c r="Z43" s="102">
        <v>0.67440972222222229</v>
      </c>
      <c r="AA43" s="102">
        <v>0.72952546296296295</v>
      </c>
      <c r="AB43" s="16"/>
      <c r="AC43" s="16"/>
      <c r="AD43" s="93">
        <v>18302</v>
      </c>
      <c r="AE43" s="93">
        <f t="shared" si="0"/>
        <v>18.302</v>
      </c>
      <c r="AF43" s="16">
        <v>13.84</v>
      </c>
      <c r="AG43" s="103">
        <f t="shared" si="1"/>
        <v>13.84</v>
      </c>
      <c r="AH43" s="37">
        <f t="shared" si="2"/>
        <v>18.092834285714286</v>
      </c>
      <c r="AJ43" s="97">
        <v>45905</v>
      </c>
      <c r="AK43" t="s">
        <v>1970</v>
      </c>
      <c r="AL43" t="s">
        <v>5</v>
      </c>
      <c r="AN43" s="81" t="s">
        <v>2044</v>
      </c>
      <c r="AO43" s="81" t="s">
        <v>2045</v>
      </c>
      <c r="AP43" s="37">
        <v>3220</v>
      </c>
      <c r="AR43" s="97"/>
      <c r="AU43" s="97">
        <v>45905</v>
      </c>
      <c r="AW43" t="s">
        <v>5</v>
      </c>
      <c r="AY43" s="81">
        <v>0.41111111111111115</v>
      </c>
      <c r="AZ43" s="81">
        <v>0.4465277777777778</v>
      </c>
      <c r="BA43" s="37">
        <v>2998</v>
      </c>
      <c r="BB43" t="s">
        <v>2098</v>
      </c>
      <c r="BC43" s="97">
        <v>45905</v>
      </c>
    </row>
    <row r="44" spans="2:55" ht="16" x14ac:dyDescent="0.4">
      <c r="B44" s="15" t="s">
        <v>6</v>
      </c>
      <c r="G44" s="16"/>
      <c r="H44" s="16"/>
      <c r="I44" s="16"/>
      <c r="J44" s="16"/>
      <c r="K44" s="14"/>
      <c r="V44" s="97">
        <v>45904</v>
      </c>
      <c r="W44" s="16">
        <v>192287</v>
      </c>
      <c r="X44" s="101" t="s">
        <v>36</v>
      </c>
      <c r="Y44" s="105"/>
      <c r="Z44" s="102">
        <v>0.72986111111111107</v>
      </c>
      <c r="AA44" s="102">
        <v>0.7993055555555556</v>
      </c>
      <c r="AB44" s="16"/>
      <c r="AC44" s="16"/>
      <c r="AD44" s="93">
        <v>20934</v>
      </c>
      <c r="AE44" s="93">
        <f t="shared" ref="AE44:AE73" si="20">AD44/1000</f>
        <v>20.934000000000001</v>
      </c>
      <c r="AF44" s="16">
        <v>14.49</v>
      </c>
      <c r="AG44" s="103">
        <f t="shared" si="1"/>
        <v>14</v>
      </c>
      <c r="AH44" s="37">
        <f t="shared" si="2"/>
        <v>20.934000000000001</v>
      </c>
      <c r="AJ44" s="97">
        <v>45905</v>
      </c>
      <c r="AK44" t="s">
        <v>1971</v>
      </c>
      <c r="AL44" t="s">
        <v>5</v>
      </c>
      <c r="AN44" s="81" t="s">
        <v>2046</v>
      </c>
      <c r="AO44" t="s">
        <v>2046</v>
      </c>
      <c r="AP44" s="37">
        <v>2950</v>
      </c>
      <c r="AR44" s="97"/>
      <c r="AU44" s="97">
        <v>45905</v>
      </c>
      <c r="AW44" t="s">
        <v>5</v>
      </c>
      <c r="AY44" s="81">
        <v>0.4465277777777778</v>
      </c>
      <c r="AZ44">
        <v>0.58402777777777781</v>
      </c>
      <c r="BA44" s="37">
        <v>2462</v>
      </c>
      <c r="BB44" t="s">
        <v>2098</v>
      </c>
      <c r="BC44" s="97">
        <v>45905</v>
      </c>
    </row>
    <row r="45" spans="2:55" ht="16" x14ac:dyDescent="0.4">
      <c r="B45" t="s">
        <v>7</v>
      </c>
      <c r="G45" s="23"/>
      <c r="H45" s="23"/>
      <c r="I45" s="23"/>
      <c r="J45" s="17"/>
      <c r="K45" s="18"/>
      <c r="V45" s="97">
        <v>45904</v>
      </c>
      <c r="W45" s="16">
        <v>192314</v>
      </c>
      <c r="X45" s="101" t="s">
        <v>36</v>
      </c>
      <c r="Y45" s="105"/>
      <c r="Z45" s="102">
        <v>0.54305555555555551</v>
      </c>
      <c r="AA45" s="102">
        <v>0.86111111111111116</v>
      </c>
      <c r="AB45" s="16"/>
      <c r="AC45" s="16"/>
      <c r="AD45" s="93">
        <v>20088</v>
      </c>
      <c r="AE45" s="93">
        <f t="shared" si="20"/>
        <v>20.088000000000001</v>
      </c>
      <c r="AF45" s="16">
        <v>15.21</v>
      </c>
      <c r="AG45" s="103">
        <f t="shared" si="1"/>
        <v>14</v>
      </c>
      <c r="AH45" s="37">
        <f t="shared" si="2"/>
        <v>20.088000000000001</v>
      </c>
      <c r="AJ45" s="97">
        <v>45905</v>
      </c>
      <c r="AK45" t="s">
        <v>1972</v>
      </c>
      <c r="AL45" t="s">
        <v>5</v>
      </c>
      <c r="AN45" s="81" t="s">
        <v>2047</v>
      </c>
      <c r="AO45" t="s">
        <v>2048</v>
      </c>
      <c r="AP45" s="37">
        <v>2080</v>
      </c>
      <c r="AR45" s="97"/>
      <c r="AU45" s="97">
        <v>45905</v>
      </c>
      <c r="AW45" t="s">
        <v>5</v>
      </c>
      <c r="AY45" s="81">
        <v>0.44236111111111115</v>
      </c>
      <c r="AZ45">
        <v>0.57777777777777783</v>
      </c>
      <c r="BA45" s="37">
        <v>2230</v>
      </c>
      <c r="BB45" t="s">
        <v>2098</v>
      </c>
      <c r="BC45" s="97">
        <v>45905</v>
      </c>
    </row>
    <row r="46" spans="2:55" ht="16" x14ac:dyDescent="0.4">
      <c r="B46" t="s">
        <v>8</v>
      </c>
      <c r="F46" s="23"/>
      <c r="G46" s="23"/>
      <c r="H46" s="23"/>
      <c r="I46" s="23"/>
      <c r="J46" s="23"/>
      <c r="K46" s="23"/>
      <c r="V46" s="97">
        <v>45904</v>
      </c>
      <c r="W46" s="16">
        <v>192349</v>
      </c>
      <c r="X46" s="101" t="s">
        <v>36</v>
      </c>
      <c r="Y46" s="105"/>
      <c r="Z46" s="102">
        <v>0.83611111111111114</v>
      </c>
      <c r="AA46" s="102">
        <v>0.92291666666666661</v>
      </c>
      <c r="AB46" s="16"/>
      <c r="AC46" s="16"/>
      <c r="AD46" s="93">
        <v>22110</v>
      </c>
      <c r="AE46" s="93">
        <f t="shared" si="20"/>
        <v>22.11</v>
      </c>
      <c r="AF46" s="16">
        <v>14.52</v>
      </c>
      <c r="AG46" s="103">
        <f t="shared" si="1"/>
        <v>14</v>
      </c>
      <c r="AH46" s="37">
        <f t="shared" si="2"/>
        <v>22.109999999999996</v>
      </c>
      <c r="AJ46" s="97">
        <v>45905</v>
      </c>
      <c r="AK46" t="s">
        <v>1973</v>
      </c>
      <c r="AL46" t="s">
        <v>5</v>
      </c>
      <c r="AN46" s="81" t="s">
        <v>2049</v>
      </c>
      <c r="AO46" s="81" t="s">
        <v>2049</v>
      </c>
      <c r="AP46" s="37">
        <v>2140</v>
      </c>
      <c r="AR46" s="97"/>
      <c r="AU46" s="97">
        <v>45905</v>
      </c>
      <c r="AW46" t="s">
        <v>5</v>
      </c>
      <c r="AY46" s="81">
        <v>0.44166666666666665</v>
      </c>
      <c r="AZ46" s="81">
        <v>0.56666666666666665</v>
      </c>
      <c r="BA46" s="37">
        <v>2110</v>
      </c>
      <c r="BB46" t="s">
        <v>2099</v>
      </c>
      <c r="BC46" s="97">
        <v>45905</v>
      </c>
    </row>
    <row r="47" spans="2:55" ht="16" x14ac:dyDescent="0.4">
      <c r="B47" t="s">
        <v>9</v>
      </c>
      <c r="F47" s="23"/>
      <c r="G47" s="30"/>
      <c r="H47" s="30"/>
      <c r="I47" s="30"/>
      <c r="V47" s="97">
        <v>45905</v>
      </c>
      <c r="W47" s="16">
        <v>192374</v>
      </c>
      <c r="X47" s="101" t="s">
        <v>36</v>
      </c>
      <c r="Y47" s="105"/>
      <c r="Z47" s="102">
        <v>0.54305555555555551</v>
      </c>
      <c r="AA47" s="102">
        <v>0.98055555555555562</v>
      </c>
      <c r="AB47" s="16"/>
      <c r="AC47" s="16"/>
      <c r="AD47" s="93">
        <v>19912</v>
      </c>
      <c r="AE47" s="93">
        <f t="shared" si="20"/>
        <v>19.911999999999999</v>
      </c>
      <c r="AF47" s="16">
        <v>14.91</v>
      </c>
      <c r="AG47" s="103">
        <f t="shared" si="1"/>
        <v>14</v>
      </c>
      <c r="AH47" s="37">
        <f t="shared" si="2"/>
        <v>19.911999999999999</v>
      </c>
      <c r="AJ47" s="97">
        <v>45905</v>
      </c>
      <c r="AK47" t="s">
        <v>1974</v>
      </c>
      <c r="AL47" t="s">
        <v>5</v>
      </c>
      <c r="AN47" s="81" t="s">
        <v>2050</v>
      </c>
      <c r="AO47" t="s">
        <v>2050</v>
      </c>
      <c r="AP47" s="37">
        <v>2500</v>
      </c>
      <c r="AR47" s="97"/>
      <c r="AU47" s="97">
        <v>45905</v>
      </c>
      <c r="AW47" t="s">
        <v>5</v>
      </c>
      <c r="AY47" s="81">
        <v>0.40486111111111112</v>
      </c>
      <c r="AZ47">
        <v>0.44166666666666665</v>
      </c>
      <c r="BA47" s="37">
        <v>3434</v>
      </c>
      <c r="BB47" t="s">
        <v>2100</v>
      </c>
      <c r="BC47" s="97">
        <v>45905</v>
      </c>
    </row>
    <row r="48" spans="2:55" ht="16" x14ac:dyDescent="0.4">
      <c r="B48" t="s">
        <v>10</v>
      </c>
      <c r="V48" s="97">
        <v>45905</v>
      </c>
      <c r="W48" s="16">
        <v>192378</v>
      </c>
      <c r="X48" s="101" t="s">
        <v>36</v>
      </c>
      <c r="Y48" s="105"/>
      <c r="Z48" s="102">
        <v>0.96875</v>
      </c>
      <c r="AA48" s="102">
        <v>2.1527777777777781E-2</v>
      </c>
      <c r="AB48" s="16"/>
      <c r="AC48" s="16"/>
      <c r="AD48" s="93">
        <v>20700</v>
      </c>
      <c r="AE48" s="93">
        <f t="shared" si="20"/>
        <v>20.7</v>
      </c>
      <c r="AF48" s="16">
        <v>15.88</v>
      </c>
      <c r="AG48" s="103">
        <f t="shared" si="1"/>
        <v>14</v>
      </c>
      <c r="AH48" s="37">
        <f t="shared" si="2"/>
        <v>20.7</v>
      </c>
      <c r="AJ48" s="97">
        <v>45905</v>
      </c>
      <c r="AK48" t="s">
        <v>1975</v>
      </c>
      <c r="AL48" t="s">
        <v>5</v>
      </c>
      <c r="AN48" t="s">
        <v>2051</v>
      </c>
      <c r="AO48" t="s">
        <v>2051</v>
      </c>
      <c r="AP48" s="37">
        <v>5170</v>
      </c>
      <c r="AR48" s="97"/>
      <c r="AU48" s="97">
        <v>45906</v>
      </c>
      <c r="AW48" t="s">
        <v>5</v>
      </c>
      <c r="AY48">
        <v>0.3666666666666667</v>
      </c>
      <c r="BA48" s="37">
        <v>4334</v>
      </c>
      <c r="BB48" t="s">
        <v>49</v>
      </c>
      <c r="BC48" s="97">
        <v>45906</v>
      </c>
    </row>
    <row r="49" spans="2:56" ht="16" x14ac:dyDescent="0.4">
      <c r="V49" s="97">
        <v>45905</v>
      </c>
      <c r="W49" s="16">
        <v>192383</v>
      </c>
      <c r="X49" s="101" t="s">
        <v>36</v>
      </c>
      <c r="Y49" s="105"/>
      <c r="Z49" s="102">
        <v>0.1875</v>
      </c>
      <c r="AA49" s="102">
        <v>7.3611111111111113E-2</v>
      </c>
      <c r="AB49" s="16"/>
      <c r="AC49" s="16"/>
      <c r="AD49" s="93">
        <v>21528</v>
      </c>
      <c r="AE49" s="93">
        <f t="shared" si="20"/>
        <v>21.527999999999999</v>
      </c>
      <c r="AF49" s="16">
        <v>14.8</v>
      </c>
      <c r="AG49" s="103">
        <f t="shared" si="1"/>
        <v>14</v>
      </c>
      <c r="AH49" s="37">
        <f t="shared" si="2"/>
        <v>21.527999999999999</v>
      </c>
      <c r="AJ49" s="97">
        <v>45905</v>
      </c>
      <c r="AK49" t="s">
        <v>1976</v>
      </c>
      <c r="AL49" t="s">
        <v>5</v>
      </c>
      <c r="AN49" s="81" t="s">
        <v>2052</v>
      </c>
      <c r="AO49" t="s">
        <v>2052</v>
      </c>
      <c r="AP49" s="37">
        <v>20380</v>
      </c>
      <c r="AR49" s="97"/>
      <c r="AU49" s="97">
        <v>45906</v>
      </c>
      <c r="AW49" t="s">
        <v>5</v>
      </c>
      <c r="AY49" s="81"/>
      <c r="BA49" s="37">
        <v>1473</v>
      </c>
      <c r="BB49" t="s">
        <v>49</v>
      </c>
      <c r="BC49" s="97">
        <v>45906</v>
      </c>
    </row>
    <row r="50" spans="2:56" ht="16" x14ac:dyDescent="0.4">
      <c r="B50" t="s">
        <v>11</v>
      </c>
      <c r="J50" t="s">
        <v>11</v>
      </c>
      <c r="V50" s="97">
        <v>45905</v>
      </c>
      <c r="W50" s="16">
        <v>192390</v>
      </c>
      <c r="X50" s="101" t="s">
        <v>36</v>
      </c>
      <c r="Y50" s="105"/>
      <c r="Z50" s="102">
        <v>7.0833333333333331E-2</v>
      </c>
      <c r="AA50" s="102">
        <v>9.8611111111111108E-2</v>
      </c>
      <c r="AB50" s="16"/>
      <c r="AC50" s="16"/>
      <c r="AD50" s="93">
        <v>20786</v>
      </c>
      <c r="AE50" s="93">
        <f t="shared" si="20"/>
        <v>20.786000000000001</v>
      </c>
      <c r="AF50" s="16">
        <v>14.66</v>
      </c>
      <c r="AG50" s="103">
        <f t="shared" si="1"/>
        <v>14</v>
      </c>
      <c r="AH50" s="37">
        <f t="shared" si="2"/>
        <v>20.786000000000001</v>
      </c>
      <c r="AJ50" s="97">
        <v>45906</v>
      </c>
      <c r="AK50" t="s">
        <v>1977</v>
      </c>
      <c r="AL50" t="s">
        <v>5</v>
      </c>
      <c r="AN50" s="81" t="s">
        <v>2053</v>
      </c>
      <c r="AO50" t="s">
        <v>2053</v>
      </c>
      <c r="AP50" s="37">
        <v>3530</v>
      </c>
      <c r="AR50" s="97"/>
      <c r="AU50" s="97">
        <v>45906</v>
      </c>
      <c r="AW50" t="s">
        <v>5</v>
      </c>
      <c r="AY50" s="81">
        <v>0.35543981481481479</v>
      </c>
      <c r="AZ50">
        <v>0.42199074074074078</v>
      </c>
      <c r="BA50" s="37">
        <v>3582</v>
      </c>
      <c r="BB50" t="s">
        <v>2101</v>
      </c>
      <c r="BC50" s="97">
        <v>45906</v>
      </c>
    </row>
    <row r="51" spans="2:56" ht="16" x14ac:dyDescent="0.4">
      <c r="V51" s="90"/>
      <c r="W51" s="17"/>
      <c r="X51" s="99"/>
      <c r="Y51" s="110"/>
      <c r="Z51" s="91"/>
      <c r="AA51" s="91"/>
      <c r="AB51" s="17"/>
      <c r="AC51" s="17"/>
      <c r="AD51" s="92"/>
      <c r="AE51" s="92"/>
      <c r="AF51" s="17"/>
      <c r="AG51" s="95"/>
      <c r="AH51" s="110"/>
      <c r="AJ51" s="97">
        <v>45906</v>
      </c>
      <c r="AK51" t="s">
        <v>1978</v>
      </c>
      <c r="AL51" t="s">
        <v>5</v>
      </c>
      <c r="AN51" s="81" t="s">
        <v>2054</v>
      </c>
      <c r="AO51" t="s">
        <v>2055</v>
      </c>
      <c r="AP51" s="37">
        <v>3140</v>
      </c>
      <c r="AR51" s="97"/>
      <c r="AU51" s="97">
        <v>45906</v>
      </c>
      <c r="AW51" t="s">
        <v>5</v>
      </c>
      <c r="AY51" s="81">
        <v>0.34773148148148153</v>
      </c>
      <c r="AZ51">
        <v>0.35537037037037034</v>
      </c>
      <c r="BA51" s="37">
        <v>3530</v>
      </c>
      <c r="BB51" t="s">
        <v>2101</v>
      </c>
      <c r="BC51" s="97">
        <v>45906</v>
      </c>
    </row>
    <row r="52" spans="2:56" ht="16" x14ac:dyDescent="0.4">
      <c r="V52" s="90"/>
      <c r="W52" s="17"/>
      <c r="X52" s="99"/>
      <c r="Y52" s="110"/>
      <c r="Z52" s="91"/>
      <c r="AA52" s="91"/>
      <c r="AB52" s="17"/>
      <c r="AC52" s="17"/>
      <c r="AD52" s="92"/>
      <c r="AE52" s="92"/>
      <c r="AF52" s="17"/>
      <c r="AG52" s="95"/>
      <c r="AH52" s="110"/>
      <c r="AJ52" s="97">
        <v>45906</v>
      </c>
      <c r="AK52" t="s">
        <v>1979</v>
      </c>
      <c r="AL52" t="s">
        <v>5</v>
      </c>
      <c r="AN52" s="81" t="s">
        <v>2056</v>
      </c>
      <c r="AO52" t="s">
        <v>2056</v>
      </c>
      <c r="AP52" s="37">
        <v>3150</v>
      </c>
      <c r="AR52" s="97"/>
      <c r="AU52" s="97">
        <v>45906</v>
      </c>
      <c r="AW52" t="s">
        <v>5</v>
      </c>
      <c r="AY52" s="81">
        <v>0.60534722222222215</v>
      </c>
      <c r="AZ52">
        <v>0.43359953703703707</v>
      </c>
      <c r="BA52" s="37">
        <v>2738</v>
      </c>
      <c r="BB52" t="s">
        <v>2102</v>
      </c>
      <c r="BC52" s="97">
        <v>45906</v>
      </c>
    </row>
    <row r="53" spans="2:56" ht="16.5" thickBot="1" x14ac:dyDescent="0.45">
      <c r="B53" s="19" t="s">
        <v>12</v>
      </c>
      <c r="C53" s="19"/>
      <c r="J53" s="19"/>
      <c r="K53" s="19"/>
      <c r="L53" s="19"/>
      <c r="V53" s="97">
        <v>45905</v>
      </c>
      <c r="W53" s="16">
        <v>192503</v>
      </c>
      <c r="X53" s="101" t="s">
        <v>36</v>
      </c>
      <c r="Y53" s="105"/>
      <c r="Z53" s="102">
        <v>0.11388888888888889</v>
      </c>
      <c r="AA53" s="102">
        <v>0.38194444444444442</v>
      </c>
      <c r="AB53" s="16"/>
      <c r="AC53" s="16"/>
      <c r="AD53" s="93">
        <v>21450</v>
      </c>
      <c r="AE53" s="93">
        <f t="shared" si="20"/>
        <v>21.45</v>
      </c>
      <c r="AF53" s="16">
        <v>14.56</v>
      </c>
      <c r="AG53" s="103">
        <f t="shared" si="1"/>
        <v>14</v>
      </c>
      <c r="AH53" s="37">
        <f t="shared" si="2"/>
        <v>21.45</v>
      </c>
      <c r="AJ53" s="97">
        <v>45906</v>
      </c>
      <c r="AK53" t="s">
        <v>1980</v>
      </c>
      <c r="AL53" t="s">
        <v>5</v>
      </c>
      <c r="AN53" s="81" t="s">
        <v>2057</v>
      </c>
      <c r="AO53" t="s">
        <v>2057</v>
      </c>
      <c r="AP53" s="37">
        <v>3580</v>
      </c>
      <c r="AR53" s="97"/>
      <c r="AS53" s="88"/>
      <c r="AU53" s="97">
        <v>45906</v>
      </c>
      <c r="AW53" t="s">
        <v>5</v>
      </c>
      <c r="AY53" s="81">
        <v>0.62148148148148141</v>
      </c>
      <c r="AZ53">
        <v>0.63862268518518517</v>
      </c>
      <c r="BA53" s="37">
        <v>5112</v>
      </c>
      <c r="BC53" s="97">
        <v>45906</v>
      </c>
      <c r="BD53" s="88"/>
    </row>
    <row r="54" spans="2:56" ht="16" x14ac:dyDescent="0.4">
      <c r="B54" t="s">
        <v>13</v>
      </c>
      <c r="J54" t="s">
        <v>14</v>
      </c>
      <c r="V54" s="97">
        <v>45905</v>
      </c>
      <c r="W54" s="16">
        <v>192547</v>
      </c>
      <c r="X54" s="101" t="s">
        <v>36</v>
      </c>
      <c r="Y54" s="105"/>
      <c r="Z54" s="102">
        <v>0.38055555555555554</v>
      </c>
      <c r="AA54" s="102">
        <v>0.43263888888888885</v>
      </c>
      <c r="AB54" s="16"/>
      <c r="AC54" s="16"/>
      <c r="AD54" s="93">
        <v>21058</v>
      </c>
      <c r="AE54" s="93">
        <f t="shared" si="20"/>
        <v>21.058</v>
      </c>
      <c r="AF54" s="16">
        <v>15.16</v>
      </c>
      <c r="AG54" s="103">
        <f t="shared" si="1"/>
        <v>14</v>
      </c>
      <c r="AH54" s="37">
        <f t="shared" si="2"/>
        <v>21.058</v>
      </c>
      <c r="AJ54" s="97">
        <v>45906</v>
      </c>
      <c r="AK54" t="s">
        <v>1981</v>
      </c>
      <c r="AL54" t="s">
        <v>5</v>
      </c>
      <c r="AN54" t="s">
        <v>2058</v>
      </c>
      <c r="AO54" t="s">
        <v>2059</v>
      </c>
      <c r="AP54" s="37">
        <v>830</v>
      </c>
      <c r="AR54" s="97"/>
      <c r="AS54" s="88"/>
      <c r="AU54" s="97">
        <v>45906</v>
      </c>
      <c r="AW54" t="s">
        <v>5</v>
      </c>
      <c r="AY54">
        <v>0.638738425925926</v>
      </c>
      <c r="AZ54">
        <v>0.45204861111111111</v>
      </c>
      <c r="BA54" s="37">
        <v>5086</v>
      </c>
      <c r="BB54" t="s">
        <v>2103</v>
      </c>
      <c r="BC54" s="97">
        <v>45906</v>
      </c>
      <c r="BD54" s="88"/>
    </row>
    <row r="55" spans="2:56" ht="16" x14ac:dyDescent="0.4">
      <c r="V55" s="97">
        <v>45905</v>
      </c>
      <c r="W55" s="16">
        <v>192585</v>
      </c>
      <c r="X55" s="101" t="s">
        <v>36</v>
      </c>
      <c r="Y55" s="105"/>
      <c r="Z55" s="102">
        <v>0.11388888888888889</v>
      </c>
      <c r="AA55" s="102">
        <v>0.51736111111111105</v>
      </c>
      <c r="AB55" s="16"/>
      <c r="AC55" s="16"/>
      <c r="AD55" s="93">
        <v>22210</v>
      </c>
      <c r="AE55" s="93">
        <f t="shared" si="20"/>
        <v>22.21</v>
      </c>
      <c r="AF55" s="16">
        <v>13.93</v>
      </c>
      <c r="AG55" s="103">
        <f t="shared" si="1"/>
        <v>13.93</v>
      </c>
      <c r="AH55" s="37">
        <f t="shared" si="2"/>
        <v>22.098950000000002</v>
      </c>
      <c r="AJ55" s="97">
        <v>45906</v>
      </c>
      <c r="AK55" t="s">
        <v>1982</v>
      </c>
      <c r="AL55" t="s">
        <v>5</v>
      </c>
      <c r="AN55" s="81" t="s">
        <v>2060</v>
      </c>
      <c r="AO55" s="81" t="s">
        <v>2060</v>
      </c>
      <c r="AP55" s="37">
        <v>2920</v>
      </c>
      <c r="AR55" s="97"/>
      <c r="AS55" s="38"/>
      <c r="AU55" s="97">
        <v>45906</v>
      </c>
      <c r="AW55" t="s">
        <v>5</v>
      </c>
      <c r="AY55" s="81">
        <v>0.43234953703703699</v>
      </c>
      <c r="AZ55" s="81">
        <v>0.55928240740740742</v>
      </c>
      <c r="BA55" s="37">
        <v>3156</v>
      </c>
      <c r="BB55" t="s">
        <v>2104</v>
      </c>
      <c r="BC55" s="97">
        <v>45906</v>
      </c>
      <c r="BD55" s="38"/>
    </row>
    <row r="56" spans="2:56" ht="16" x14ac:dyDescent="0.4">
      <c r="V56" s="97">
        <v>45905</v>
      </c>
      <c r="W56" s="16">
        <v>192620</v>
      </c>
      <c r="X56" s="101" t="s">
        <v>36</v>
      </c>
      <c r="Y56" s="105"/>
      <c r="Z56" s="102">
        <v>0.38125000000000003</v>
      </c>
      <c r="AA56" s="102"/>
      <c r="AB56" s="16"/>
      <c r="AC56" s="16"/>
      <c r="AD56" s="93">
        <v>19818</v>
      </c>
      <c r="AE56" s="93">
        <f t="shared" si="20"/>
        <v>19.818000000000001</v>
      </c>
      <c r="AF56" s="16">
        <v>16.55</v>
      </c>
      <c r="AG56" s="103">
        <f t="shared" si="1"/>
        <v>14</v>
      </c>
      <c r="AH56" s="37">
        <f t="shared" si="2"/>
        <v>19.818000000000001</v>
      </c>
      <c r="AJ56" s="97">
        <v>45906</v>
      </c>
      <c r="AK56" t="s">
        <v>1983</v>
      </c>
      <c r="AL56" t="s">
        <v>5</v>
      </c>
      <c r="AN56" s="81" t="s">
        <v>2061</v>
      </c>
      <c r="AO56" s="81" t="s">
        <v>2062</v>
      </c>
      <c r="AP56" s="37">
        <v>5210</v>
      </c>
      <c r="AR56" s="97"/>
      <c r="AS56" s="38"/>
      <c r="AU56" s="97">
        <v>45906</v>
      </c>
      <c r="AW56" t="s">
        <v>5</v>
      </c>
      <c r="AY56" s="81">
        <v>0.41545138888888888</v>
      </c>
      <c r="AZ56" s="81">
        <v>0.43224537037037036</v>
      </c>
      <c r="BA56" s="37">
        <v>3328</v>
      </c>
      <c r="BB56" t="s">
        <v>2104</v>
      </c>
      <c r="BC56" s="97">
        <v>45906</v>
      </c>
      <c r="BD56" s="38"/>
    </row>
    <row r="57" spans="2:56" ht="16" x14ac:dyDescent="0.4">
      <c r="V57" s="97">
        <v>45905</v>
      </c>
      <c r="W57" s="16">
        <v>192679</v>
      </c>
      <c r="X57" s="101" t="s">
        <v>36</v>
      </c>
      <c r="Y57" s="105"/>
      <c r="Z57" s="102">
        <v>0.55486111111111114</v>
      </c>
      <c r="AA57" s="102">
        <v>0.63680555555555551</v>
      </c>
      <c r="AB57" s="16"/>
      <c r="AC57" s="16"/>
      <c r="AD57" s="93">
        <v>20414</v>
      </c>
      <c r="AE57" s="93">
        <f t="shared" si="20"/>
        <v>20.414000000000001</v>
      </c>
      <c r="AF57" s="16">
        <v>15.52</v>
      </c>
      <c r="AG57" s="103">
        <f t="shared" si="1"/>
        <v>14</v>
      </c>
      <c r="AH57" s="37">
        <f t="shared" si="2"/>
        <v>20.414000000000005</v>
      </c>
      <c r="AJ57" s="97">
        <v>45906</v>
      </c>
      <c r="AK57" t="s">
        <v>1984</v>
      </c>
      <c r="AL57" t="s">
        <v>5</v>
      </c>
      <c r="AN57" s="81" t="s">
        <v>2063</v>
      </c>
      <c r="AO57" s="81" t="s">
        <v>2063</v>
      </c>
      <c r="AP57" s="37">
        <v>3320</v>
      </c>
      <c r="AR57" s="97"/>
      <c r="AS57" s="38"/>
      <c r="AU57" s="97">
        <v>45906</v>
      </c>
      <c r="AW57" t="s">
        <v>5</v>
      </c>
      <c r="AY57" s="81">
        <v>0.40388888888888891</v>
      </c>
      <c r="AZ57" s="81">
        <v>0.61342592592592593</v>
      </c>
      <c r="BA57" s="37">
        <v>3200</v>
      </c>
      <c r="BB57" t="s">
        <v>2105</v>
      </c>
      <c r="BC57" s="97">
        <v>45906</v>
      </c>
      <c r="BD57" s="38"/>
    </row>
    <row r="58" spans="2:56" ht="16" x14ac:dyDescent="0.4">
      <c r="V58" s="97">
        <v>45905</v>
      </c>
      <c r="W58" s="16">
        <v>192696</v>
      </c>
      <c r="X58" s="101" t="s">
        <v>36</v>
      </c>
      <c r="Y58" s="105"/>
      <c r="Z58" s="102">
        <v>0.38055555555555554</v>
      </c>
      <c r="AA58" s="102">
        <v>0.68680555555555556</v>
      </c>
      <c r="AB58" s="16"/>
      <c r="AC58" s="16"/>
      <c r="AD58" s="93">
        <v>19776</v>
      </c>
      <c r="AE58" s="93">
        <f t="shared" si="20"/>
        <v>19.776</v>
      </c>
      <c r="AF58" s="16">
        <v>15.06</v>
      </c>
      <c r="AG58" s="103">
        <f t="shared" si="1"/>
        <v>14</v>
      </c>
      <c r="AH58" s="37">
        <f t="shared" si="2"/>
        <v>19.776</v>
      </c>
      <c r="AJ58" s="97">
        <v>45906</v>
      </c>
      <c r="AK58" t="s">
        <v>1985</v>
      </c>
      <c r="AL58" t="s">
        <v>5</v>
      </c>
      <c r="AN58" s="81" t="s">
        <v>2064</v>
      </c>
      <c r="AO58" s="81" t="s">
        <v>2064</v>
      </c>
      <c r="AP58" s="37">
        <v>2830</v>
      </c>
      <c r="AR58" s="97"/>
      <c r="AS58" s="38"/>
      <c r="AU58" s="97">
        <v>45906</v>
      </c>
      <c r="AV58">
        <v>193021</v>
      </c>
      <c r="AW58" t="s">
        <v>4</v>
      </c>
      <c r="AY58" s="81">
        <v>0.59687499999999993</v>
      </c>
      <c r="AZ58" s="81">
        <v>0.6681597222222222</v>
      </c>
      <c r="BA58" s="37">
        <v>6086</v>
      </c>
      <c r="BB58" t="s">
        <v>49</v>
      </c>
      <c r="BC58" s="97">
        <v>45906</v>
      </c>
      <c r="BD58" s="38"/>
    </row>
    <row r="59" spans="2:56" ht="16" x14ac:dyDescent="0.4">
      <c r="V59" s="97">
        <v>45905</v>
      </c>
      <c r="W59" s="16">
        <v>192708</v>
      </c>
      <c r="X59" s="101" t="s">
        <v>36</v>
      </c>
      <c r="Y59" s="105"/>
      <c r="Z59" s="102">
        <v>0.55486111111111114</v>
      </c>
      <c r="AA59" s="102">
        <v>0.73402777777777783</v>
      </c>
      <c r="AB59" s="16"/>
      <c r="AC59" s="16"/>
      <c r="AD59" s="93">
        <v>18746</v>
      </c>
      <c r="AE59" s="93">
        <f t="shared" si="20"/>
        <v>18.745999999999999</v>
      </c>
      <c r="AF59" s="16">
        <v>15.38</v>
      </c>
      <c r="AG59" s="103">
        <f t="shared" si="1"/>
        <v>14</v>
      </c>
      <c r="AH59" s="37">
        <f t="shared" si="2"/>
        <v>18.745999999999999</v>
      </c>
      <c r="AJ59" s="97">
        <v>45906</v>
      </c>
      <c r="AK59" t="s">
        <v>1986</v>
      </c>
      <c r="AL59" t="s">
        <v>5</v>
      </c>
      <c r="AN59" s="81" t="s">
        <v>2065</v>
      </c>
      <c r="AO59" s="81" t="s">
        <v>2066</v>
      </c>
      <c r="AP59" s="37">
        <v>3190</v>
      </c>
      <c r="AR59" s="97"/>
      <c r="AS59" s="38"/>
      <c r="AU59" s="97">
        <v>45906</v>
      </c>
      <c r="AW59" t="s">
        <v>5</v>
      </c>
      <c r="AY59" s="81">
        <v>0.83263888888888893</v>
      </c>
      <c r="AZ59" s="81"/>
      <c r="BA59" s="37">
        <v>3464</v>
      </c>
      <c r="BB59" t="s">
        <v>2106</v>
      </c>
      <c r="BC59" s="97">
        <v>45907</v>
      </c>
      <c r="BD59" s="38"/>
    </row>
    <row r="60" spans="2:56" ht="16" x14ac:dyDescent="0.4">
      <c r="V60" s="97">
        <v>45905</v>
      </c>
      <c r="W60" s="16">
        <v>192717</v>
      </c>
      <c r="X60" s="101" t="s">
        <v>36</v>
      </c>
      <c r="Y60" s="105"/>
      <c r="Z60" s="102">
        <v>0.73541666666666661</v>
      </c>
      <c r="AA60" s="102">
        <v>0.77916666666666667</v>
      </c>
      <c r="AB60" s="16"/>
      <c r="AC60" s="16"/>
      <c r="AD60" s="93">
        <v>19102</v>
      </c>
      <c r="AE60" s="93">
        <f t="shared" si="20"/>
        <v>19.102</v>
      </c>
      <c r="AF60" s="16">
        <v>15.35</v>
      </c>
      <c r="AG60" s="103">
        <f t="shared" si="1"/>
        <v>14</v>
      </c>
      <c r="AH60" s="37">
        <f t="shared" si="2"/>
        <v>19.102</v>
      </c>
      <c r="AJ60" s="97">
        <v>45906</v>
      </c>
      <c r="AK60" t="s">
        <v>1987</v>
      </c>
      <c r="AL60" t="s">
        <v>4</v>
      </c>
      <c r="AN60" s="81" t="s">
        <v>2067</v>
      </c>
      <c r="AO60" s="81" t="s">
        <v>2068</v>
      </c>
      <c r="AP60" s="37">
        <v>6150</v>
      </c>
      <c r="AR60" s="97"/>
      <c r="AS60" s="38"/>
      <c r="AU60" s="97">
        <v>45908</v>
      </c>
      <c r="AW60" t="s">
        <v>5</v>
      </c>
      <c r="AY60" s="81">
        <v>0.47500000000000003</v>
      </c>
      <c r="AZ60" s="81">
        <v>0.4909722222222222</v>
      </c>
      <c r="BA60" s="37">
        <v>3364</v>
      </c>
      <c r="BB60" t="s">
        <v>2107</v>
      </c>
      <c r="BC60" s="97">
        <v>45908</v>
      </c>
      <c r="BD60" s="38"/>
    </row>
    <row r="61" spans="2:56" ht="16" x14ac:dyDescent="0.4">
      <c r="V61" s="97">
        <v>45905</v>
      </c>
      <c r="W61" s="16">
        <v>192731</v>
      </c>
      <c r="X61" s="101" t="s">
        <v>36</v>
      </c>
      <c r="Y61" s="105"/>
      <c r="Z61" s="102">
        <v>0.77361111111111114</v>
      </c>
      <c r="AA61" s="102">
        <v>0.81874999999999998</v>
      </c>
      <c r="AB61" s="16"/>
      <c r="AC61" s="16"/>
      <c r="AD61" s="93">
        <v>19200</v>
      </c>
      <c r="AE61" s="93">
        <f t="shared" si="20"/>
        <v>19.2</v>
      </c>
      <c r="AF61" s="16">
        <v>14.98</v>
      </c>
      <c r="AG61" s="103">
        <f t="shared" si="1"/>
        <v>14</v>
      </c>
      <c r="AH61" s="37">
        <f t="shared" si="2"/>
        <v>19.2</v>
      </c>
      <c r="AJ61" s="97">
        <v>45906</v>
      </c>
      <c r="AK61" t="s">
        <v>1988</v>
      </c>
      <c r="AL61" t="s">
        <v>5</v>
      </c>
      <c r="AN61" s="81" t="s">
        <v>2069</v>
      </c>
      <c r="AO61" s="81" t="s">
        <v>2069</v>
      </c>
      <c r="AP61" s="37">
        <v>3540</v>
      </c>
      <c r="AR61" s="97"/>
      <c r="AS61" s="38"/>
      <c r="AU61" s="97">
        <v>45908</v>
      </c>
      <c r="AW61" t="s">
        <v>5</v>
      </c>
      <c r="AY61" s="81">
        <v>0.34166666666666662</v>
      </c>
      <c r="AZ61" s="81">
        <v>0.3576388888888889</v>
      </c>
      <c r="BA61" s="37">
        <v>3900</v>
      </c>
      <c r="BB61" t="s">
        <v>2101</v>
      </c>
      <c r="BC61" s="97">
        <v>45908</v>
      </c>
      <c r="BD61" s="38"/>
    </row>
    <row r="62" spans="2:56" ht="16" x14ac:dyDescent="0.4">
      <c r="V62" s="97">
        <v>45905</v>
      </c>
      <c r="W62" s="16">
        <v>192751</v>
      </c>
      <c r="X62" s="101" t="s">
        <v>36</v>
      </c>
      <c r="Y62" s="105"/>
      <c r="Z62" s="102">
        <v>0.73541666666666661</v>
      </c>
      <c r="AA62" s="102">
        <v>0.86111111111111116</v>
      </c>
      <c r="AB62" s="16"/>
      <c r="AC62" s="16"/>
      <c r="AD62" s="93">
        <v>18890</v>
      </c>
      <c r="AE62" s="93">
        <f t="shared" si="20"/>
        <v>18.89</v>
      </c>
      <c r="AF62" s="16">
        <v>15.41</v>
      </c>
      <c r="AG62" s="103">
        <f t="shared" si="1"/>
        <v>14</v>
      </c>
      <c r="AH62" s="37">
        <f t="shared" si="2"/>
        <v>18.890000000000004</v>
      </c>
      <c r="AJ62" s="97">
        <v>45908</v>
      </c>
      <c r="AK62" t="s">
        <v>1989</v>
      </c>
      <c r="AL62" t="s">
        <v>5</v>
      </c>
      <c r="AN62" s="81" t="s">
        <v>2070</v>
      </c>
      <c r="AO62" s="81" t="s">
        <v>2070</v>
      </c>
      <c r="AP62" s="37">
        <v>3840</v>
      </c>
      <c r="AR62" s="97"/>
      <c r="AS62" s="38"/>
      <c r="AU62" s="97">
        <v>45908</v>
      </c>
      <c r="AW62" t="s">
        <v>5</v>
      </c>
      <c r="AY62" s="81">
        <v>0.44791666666666669</v>
      </c>
      <c r="AZ62" s="81">
        <v>0.42430555555555555</v>
      </c>
      <c r="BA62" s="37">
        <v>2794</v>
      </c>
      <c r="BB62" t="s">
        <v>2102</v>
      </c>
      <c r="BC62" s="97">
        <v>45908</v>
      </c>
      <c r="BD62" s="38"/>
    </row>
    <row r="63" spans="2:56" ht="16" x14ac:dyDescent="0.4">
      <c r="V63" s="97">
        <v>45905</v>
      </c>
      <c r="W63" s="16">
        <v>192761</v>
      </c>
      <c r="X63" s="101" t="s">
        <v>36</v>
      </c>
      <c r="Y63" s="105"/>
      <c r="Z63" s="102">
        <v>0.86249999999999993</v>
      </c>
      <c r="AA63" s="102">
        <v>0.9</v>
      </c>
      <c r="AB63" s="16"/>
      <c r="AC63" s="16"/>
      <c r="AD63" s="93">
        <v>21634</v>
      </c>
      <c r="AE63" s="93">
        <f t="shared" si="20"/>
        <v>21.634</v>
      </c>
      <c r="AF63" s="16">
        <v>15.55</v>
      </c>
      <c r="AG63" s="103">
        <f t="shared" si="1"/>
        <v>14</v>
      </c>
      <c r="AH63" s="37">
        <f t="shared" si="2"/>
        <v>21.633999999999997</v>
      </c>
      <c r="AJ63" s="97">
        <v>45908</v>
      </c>
      <c r="AK63" t="s">
        <v>1990</v>
      </c>
      <c r="AL63" t="s">
        <v>5</v>
      </c>
      <c r="AN63" s="81" t="s">
        <v>2071</v>
      </c>
      <c r="AO63" s="81" t="s">
        <v>2071</v>
      </c>
      <c r="AP63" s="37">
        <v>3210</v>
      </c>
      <c r="AR63" s="97"/>
      <c r="AS63" s="38"/>
      <c r="AU63" s="97">
        <v>45908</v>
      </c>
      <c r="AW63" t="s">
        <v>5</v>
      </c>
      <c r="AY63" s="81">
        <v>0.3576388888888889</v>
      </c>
      <c r="AZ63" s="81">
        <v>0.44027777777777777</v>
      </c>
      <c r="BA63" s="37">
        <v>3966</v>
      </c>
      <c r="BB63" t="s">
        <v>2108</v>
      </c>
      <c r="BC63" s="97">
        <v>45908</v>
      </c>
      <c r="BD63" s="38"/>
    </row>
    <row r="64" spans="2:56" ht="16" x14ac:dyDescent="0.4">
      <c r="V64" s="97">
        <v>45905</v>
      </c>
      <c r="W64" s="16">
        <v>192776</v>
      </c>
      <c r="X64" s="101" t="s">
        <v>36</v>
      </c>
      <c r="Y64" s="105"/>
      <c r="Z64" s="102">
        <v>0.73541666666666661</v>
      </c>
      <c r="AA64" s="102">
        <v>0.93611111111111101</v>
      </c>
      <c r="AB64" s="16"/>
      <c r="AC64" s="16"/>
      <c r="AD64" s="93">
        <v>20496</v>
      </c>
      <c r="AE64" s="93">
        <f t="shared" si="20"/>
        <v>20.495999999999999</v>
      </c>
      <c r="AF64" s="16">
        <v>15.27</v>
      </c>
      <c r="AG64" s="103">
        <f t="shared" si="1"/>
        <v>14</v>
      </c>
      <c r="AH64" s="37">
        <f t="shared" si="2"/>
        <v>20.495999999999999</v>
      </c>
      <c r="AJ64" s="97">
        <v>45908</v>
      </c>
      <c r="AK64" t="s">
        <v>1991</v>
      </c>
      <c r="AL64" t="s">
        <v>5</v>
      </c>
      <c r="AN64" s="81" t="s">
        <v>2072</v>
      </c>
      <c r="AO64" s="81" t="s">
        <v>2072</v>
      </c>
      <c r="AP64" s="37">
        <v>2900</v>
      </c>
      <c r="AR64" s="97"/>
      <c r="AS64" s="38"/>
      <c r="AU64" s="97">
        <v>45908</v>
      </c>
      <c r="AW64" t="s">
        <v>5</v>
      </c>
      <c r="AY64" s="81">
        <v>0.85069444444444453</v>
      </c>
      <c r="AZ64" s="81">
        <v>0.49861111111111112</v>
      </c>
      <c r="BA64" s="37">
        <v>5156</v>
      </c>
      <c r="BB64" t="s">
        <v>2109</v>
      </c>
      <c r="BC64" s="97">
        <v>45908</v>
      </c>
      <c r="BD64" s="38"/>
    </row>
    <row r="65" spans="22:56" ht="16" x14ac:dyDescent="0.4">
      <c r="V65" s="97">
        <v>45906</v>
      </c>
      <c r="W65" s="16">
        <v>192788</v>
      </c>
      <c r="X65" s="101" t="s">
        <v>36</v>
      </c>
      <c r="Y65" s="105"/>
      <c r="Z65" s="102">
        <v>0.55486111111111114</v>
      </c>
      <c r="AA65" s="102">
        <v>6.9444444444444447E-4</v>
      </c>
      <c r="AB65" s="16"/>
      <c r="AC65" s="16"/>
      <c r="AD65" s="93">
        <v>20824</v>
      </c>
      <c r="AE65" s="93">
        <f t="shared" si="20"/>
        <v>20.824000000000002</v>
      </c>
      <c r="AF65" s="16">
        <v>14.48</v>
      </c>
      <c r="AG65" s="103">
        <f t="shared" si="1"/>
        <v>14</v>
      </c>
      <c r="AH65" s="37">
        <f t="shared" si="2"/>
        <v>20.824000000000002</v>
      </c>
      <c r="AJ65" s="97">
        <v>45908</v>
      </c>
      <c r="AK65" t="s">
        <v>1992</v>
      </c>
      <c r="AL65" t="s">
        <v>5</v>
      </c>
      <c r="AN65" s="81" t="s">
        <v>2073</v>
      </c>
      <c r="AO65" s="81" t="s">
        <v>2073</v>
      </c>
      <c r="AP65" s="37">
        <v>3910</v>
      </c>
      <c r="AR65" s="97"/>
      <c r="AS65" s="38"/>
      <c r="AU65" s="97">
        <v>45908</v>
      </c>
      <c r="AW65" t="s">
        <v>5</v>
      </c>
      <c r="AY65" s="81">
        <v>0.37708333333333338</v>
      </c>
      <c r="AZ65" s="81">
        <v>0.51388888888888895</v>
      </c>
      <c r="BA65" s="37">
        <v>3306</v>
      </c>
      <c r="BB65" t="s">
        <v>2108</v>
      </c>
      <c r="BC65" s="97">
        <v>45908</v>
      </c>
      <c r="BD65" s="38"/>
    </row>
    <row r="66" spans="22:56" ht="16" x14ac:dyDescent="0.4">
      <c r="V66" s="97">
        <v>45906</v>
      </c>
      <c r="W66" s="16">
        <v>192794</v>
      </c>
      <c r="X66" s="101" t="s">
        <v>36</v>
      </c>
      <c r="Y66" s="105"/>
      <c r="Z66" s="102">
        <v>0.37638888888888888</v>
      </c>
      <c r="AA66" s="102">
        <v>3.9583333333333331E-2</v>
      </c>
      <c r="AB66" s="16"/>
      <c r="AC66" s="16"/>
      <c r="AD66" s="93">
        <v>20554</v>
      </c>
      <c r="AE66" s="93">
        <f t="shared" si="20"/>
        <v>20.553999999999998</v>
      </c>
      <c r="AF66" s="16">
        <v>15.7</v>
      </c>
      <c r="AG66" s="103">
        <f t="shared" si="1"/>
        <v>14</v>
      </c>
      <c r="AH66" s="37">
        <f t="shared" si="2"/>
        <v>20.553999999999998</v>
      </c>
      <c r="AJ66" s="97">
        <v>45908</v>
      </c>
      <c r="AK66" t="s">
        <v>1993</v>
      </c>
      <c r="AL66" t="s">
        <v>5</v>
      </c>
      <c r="AN66" s="81" t="s">
        <v>2074</v>
      </c>
      <c r="AO66" s="81" t="s">
        <v>2074</v>
      </c>
      <c r="AP66" s="37">
        <v>5060</v>
      </c>
      <c r="AR66" s="97"/>
      <c r="AS66" s="38"/>
      <c r="AU66" s="97">
        <v>45908</v>
      </c>
      <c r="AW66" t="s">
        <v>5</v>
      </c>
      <c r="AY66" s="81">
        <v>0.37986111111111115</v>
      </c>
      <c r="AZ66" s="81">
        <v>0.39583333333333331</v>
      </c>
      <c r="BA66" s="37">
        <v>3416</v>
      </c>
      <c r="BB66" t="s">
        <v>2108</v>
      </c>
      <c r="BC66" s="97">
        <v>45908</v>
      </c>
      <c r="BD66" s="38"/>
    </row>
    <row r="67" spans="22:56" ht="16" x14ac:dyDescent="0.4">
      <c r="V67" s="97">
        <v>45906</v>
      </c>
      <c r="W67" s="16">
        <v>192801</v>
      </c>
      <c r="X67" s="101" t="s">
        <v>36</v>
      </c>
      <c r="Y67" s="105"/>
      <c r="Z67" s="102">
        <v>0.93958333333333333</v>
      </c>
      <c r="AA67" s="102">
        <v>8.819444444444445E-2</v>
      </c>
      <c r="AB67" s="16"/>
      <c r="AC67" s="16"/>
      <c r="AD67" s="93">
        <v>20820</v>
      </c>
      <c r="AE67" s="93">
        <f t="shared" si="20"/>
        <v>20.82</v>
      </c>
      <c r="AF67" s="16">
        <v>15.06</v>
      </c>
      <c r="AG67" s="103">
        <f t="shared" si="1"/>
        <v>14</v>
      </c>
      <c r="AH67" s="37">
        <f t="shared" si="2"/>
        <v>20.82</v>
      </c>
      <c r="AJ67" s="97">
        <v>45908</v>
      </c>
      <c r="AK67" t="s">
        <v>1994</v>
      </c>
      <c r="AL67" t="s">
        <v>5</v>
      </c>
      <c r="AN67" s="81" t="s">
        <v>2075</v>
      </c>
      <c r="AO67" s="81" t="s">
        <v>2075</v>
      </c>
      <c r="AP67" s="37">
        <v>3190</v>
      </c>
      <c r="AR67" s="97"/>
      <c r="AS67" s="38"/>
      <c r="AU67" s="97">
        <v>45908</v>
      </c>
      <c r="AW67" t="s">
        <v>5</v>
      </c>
      <c r="AY67" s="81">
        <v>0.57291666666666663</v>
      </c>
      <c r="AZ67" s="81">
        <v>0.59722222222222221</v>
      </c>
      <c r="BA67" s="37">
        <v>3212</v>
      </c>
      <c r="BB67" t="s">
        <v>2102</v>
      </c>
      <c r="BC67" s="97">
        <v>45908</v>
      </c>
      <c r="BD67" s="38"/>
    </row>
    <row r="68" spans="22:56" ht="16" x14ac:dyDescent="0.4">
      <c r="V68" s="97">
        <v>45906</v>
      </c>
      <c r="W68" s="16">
        <v>192810</v>
      </c>
      <c r="X68" s="101" t="s">
        <v>36</v>
      </c>
      <c r="Y68" s="105"/>
      <c r="Z68" s="102">
        <v>0.9770833333333333</v>
      </c>
      <c r="AA68" s="102">
        <v>0.1451388888888889</v>
      </c>
      <c r="AB68" s="16"/>
      <c r="AC68" s="16"/>
      <c r="AD68" s="93">
        <v>21408</v>
      </c>
      <c r="AE68" s="93">
        <f t="shared" si="20"/>
        <v>21.408000000000001</v>
      </c>
      <c r="AF68" s="16">
        <v>14.16</v>
      </c>
      <c r="AG68" s="103">
        <f t="shared" si="1"/>
        <v>14</v>
      </c>
      <c r="AH68" s="37">
        <f t="shared" si="2"/>
        <v>21.407999999999998</v>
      </c>
      <c r="AJ68" s="97">
        <v>45908</v>
      </c>
      <c r="AK68" t="s">
        <v>1995</v>
      </c>
      <c r="AL68" t="s">
        <v>5</v>
      </c>
      <c r="AN68" s="81" t="s">
        <v>2076</v>
      </c>
      <c r="AO68" s="81" t="s">
        <v>2076</v>
      </c>
      <c r="AP68" s="37">
        <v>1030</v>
      </c>
      <c r="AR68" s="97"/>
      <c r="AS68" s="38"/>
      <c r="AU68" s="97">
        <v>45909</v>
      </c>
      <c r="AW68" t="s">
        <v>5</v>
      </c>
      <c r="AY68" s="81">
        <v>0.59722222222222221</v>
      </c>
      <c r="AZ68" s="81">
        <v>0.33958333333333335</v>
      </c>
      <c r="BA68" s="37">
        <v>3286</v>
      </c>
      <c r="BB68" t="s">
        <v>2110</v>
      </c>
      <c r="BC68" s="97">
        <v>45909</v>
      </c>
      <c r="BD68" s="38"/>
    </row>
    <row r="69" spans="22:56" ht="16" x14ac:dyDescent="0.4">
      <c r="V69" s="97">
        <v>45906</v>
      </c>
      <c r="W69" s="16">
        <v>192817</v>
      </c>
      <c r="X69" s="101" t="s">
        <v>36</v>
      </c>
      <c r="Y69" s="105"/>
      <c r="Z69" s="102">
        <v>0.77361111111111114</v>
      </c>
      <c r="AA69" s="102">
        <v>0.18333333333333335</v>
      </c>
      <c r="AB69" s="16"/>
      <c r="AC69" s="16"/>
      <c r="AD69" s="93">
        <v>20564</v>
      </c>
      <c r="AE69" s="93">
        <f t="shared" si="20"/>
        <v>20.564</v>
      </c>
      <c r="AF69" s="16">
        <v>14.45</v>
      </c>
      <c r="AG69" s="103">
        <f t="shared" ref="AG69:AG132" si="21">IF($AF69&gt;14,14,$AF69)</f>
        <v>14</v>
      </c>
      <c r="AH69" s="37">
        <f t="shared" ref="AH69:AH132" si="22">AE69*AG69/14</f>
        <v>20.564</v>
      </c>
      <c r="AJ69" s="97">
        <v>45908</v>
      </c>
      <c r="AK69" t="s">
        <v>1996</v>
      </c>
      <c r="AL69" t="s">
        <v>5</v>
      </c>
      <c r="AN69" s="81" t="s">
        <v>2077</v>
      </c>
      <c r="AO69" s="81" t="s">
        <v>2077</v>
      </c>
      <c r="AP69" s="37">
        <v>3320</v>
      </c>
      <c r="AR69" s="97"/>
      <c r="AS69" s="38"/>
      <c r="AU69" s="97">
        <v>45909</v>
      </c>
      <c r="AW69" t="s">
        <v>5</v>
      </c>
      <c r="AY69" s="81">
        <v>0.43958333333333338</v>
      </c>
      <c r="AZ69" s="81">
        <v>0.41736111111111113</v>
      </c>
      <c r="BA69" s="37">
        <v>2890</v>
      </c>
      <c r="BB69" t="s">
        <v>2188</v>
      </c>
      <c r="BC69" s="97">
        <v>45909</v>
      </c>
      <c r="BD69" s="38"/>
    </row>
    <row r="70" spans="22:56" ht="16" x14ac:dyDescent="0.4">
      <c r="V70" s="97">
        <v>45906</v>
      </c>
      <c r="W70" s="16">
        <v>192819</v>
      </c>
      <c r="X70" s="101" t="s">
        <v>36</v>
      </c>
      <c r="Y70" s="105"/>
      <c r="Z70" s="102">
        <v>0.97638888888888886</v>
      </c>
      <c r="AA70" s="102">
        <v>0.22847222222222222</v>
      </c>
      <c r="AB70" s="16"/>
      <c r="AC70" s="16"/>
      <c r="AD70" s="93">
        <v>20598</v>
      </c>
      <c r="AE70" s="93">
        <f t="shared" si="20"/>
        <v>20.597999999999999</v>
      </c>
      <c r="AF70" s="16">
        <v>15.81</v>
      </c>
      <c r="AG70" s="103">
        <f t="shared" si="21"/>
        <v>14</v>
      </c>
      <c r="AH70" s="37">
        <f t="shared" si="22"/>
        <v>20.597999999999995</v>
      </c>
      <c r="AJ70" s="97">
        <v>45909</v>
      </c>
      <c r="AK70" t="s">
        <v>2111</v>
      </c>
      <c r="AL70" t="s">
        <v>5</v>
      </c>
      <c r="AN70" s="81" t="s">
        <v>2144</v>
      </c>
      <c r="AO70" s="81" t="s">
        <v>2144</v>
      </c>
      <c r="AP70" s="37">
        <v>3340</v>
      </c>
      <c r="AR70" s="97"/>
      <c r="AS70" s="38"/>
      <c r="AU70" s="97">
        <v>45909</v>
      </c>
      <c r="AW70" t="s">
        <v>5</v>
      </c>
      <c r="AY70" s="81">
        <v>0.42777777777777781</v>
      </c>
      <c r="AZ70" s="81">
        <v>0.49583333333333335</v>
      </c>
      <c r="BA70" s="37">
        <v>2944</v>
      </c>
      <c r="BB70" t="s">
        <v>2110</v>
      </c>
      <c r="BC70" s="97">
        <v>45909</v>
      </c>
      <c r="BD70" s="38"/>
    </row>
    <row r="71" spans="22:56" ht="16" x14ac:dyDescent="0.4">
      <c r="V71" s="97">
        <v>45906</v>
      </c>
      <c r="W71">
        <v>192831</v>
      </c>
      <c r="X71" s="101" t="s">
        <v>36</v>
      </c>
      <c r="Z71">
        <v>0.13569444444444445</v>
      </c>
      <c r="AA71">
        <v>0.28373842592592591</v>
      </c>
      <c r="AD71" s="93">
        <v>18960</v>
      </c>
      <c r="AE71" s="93">
        <f t="shared" si="20"/>
        <v>18.96</v>
      </c>
      <c r="AF71">
        <v>13.95</v>
      </c>
      <c r="AG71" s="103">
        <f t="shared" si="21"/>
        <v>13.95</v>
      </c>
      <c r="AH71" s="37">
        <f t="shared" si="22"/>
        <v>18.892285714285716</v>
      </c>
      <c r="AJ71" s="97">
        <v>45909</v>
      </c>
      <c r="AK71" t="s">
        <v>2112</v>
      </c>
      <c r="AL71" t="s">
        <v>5</v>
      </c>
      <c r="AN71" s="81" t="s">
        <v>2145</v>
      </c>
      <c r="AO71" s="81" t="s">
        <v>2146</v>
      </c>
      <c r="AP71" s="37">
        <v>2860</v>
      </c>
      <c r="AR71" s="97"/>
      <c r="AS71" s="38"/>
      <c r="AU71" s="97">
        <v>45909</v>
      </c>
      <c r="AW71" t="s">
        <v>5</v>
      </c>
      <c r="AY71" s="81">
        <v>0.41180555555555554</v>
      </c>
      <c r="AZ71" s="81">
        <v>0.42777777777777781</v>
      </c>
      <c r="BA71" s="37">
        <v>2958</v>
      </c>
      <c r="BB71" t="s">
        <v>2110</v>
      </c>
      <c r="BC71" s="97">
        <v>45909</v>
      </c>
      <c r="BD71" s="38"/>
    </row>
    <row r="72" spans="22:56" ht="16" x14ac:dyDescent="0.4">
      <c r="V72" s="90">
        <v>45906</v>
      </c>
      <c r="W72" s="16">
        <v>192862</v>
      </c>
      <c r="X72" s="101" t="s">
        <v>36</v>
      </c>
      <c r="Y72" s="105"/>
      <c r="Z72" s="50">
        <v>0.97711805555555553</v>
      </c>
      <c r="AA72" s="50">
        <v>0.34606481481481483</v>
      </c>
      <c r="AD72" s="37">
        <v>21436</v>
      </c>
      <c r="AE72" s="93">
        <f t="shared" si="20"/>
        <v>21.436</v>
      </c>
      <c r="AF72" s="16">
        <v>14.16</v>
      </c>
      <c r="AG72" s="103">
        <f t="shared" si="21"/>
        <v>14</v>
      </c>
      <c r="AH72" s="37">
        <f t="shared" si="22"/>
        <v>21.436</v>
      </c>
      <c r="AJ72" s="97">
        <v>45909</v>
      </c>
      <c r="AK72" t="s">
        <v>2113</v>
      </c>
      <c r="AL72" t="s">
        <v>5</v>
      </c>
      <c r="AN72" s="81" t="s">
        <v>2147</v>
      </c>
      <c r="AO72" s="81" t="s">
        <v>2147</v>
      </c>
      <c r="AP72" s="37">
        <v>2880</v>
      </c>
      <c r="AR72" s="97"/>
      <c r="AS72" s="38"/>
      <c r="AU72" s="97">
        <v>45908</v>
      </c>
      <c r="AW72" t="s">
        <v>5</v>
      </c>
      <c r="AY72" s="81">
        <v>0.52916666666666667</v>
      </c>
      <c r="AZ72" s="81">
        <v>0.54583333333333328</v>
      </c>
      <c r="BA72" s="37">
        <v>1106</v>
      </c>
      <c r="BB72" t="s">
        <v>2101</v>
      </c>
      <c r="BC72" s="97">
        <v>45909</v>
      </c>
      <c r="BD72" s="38"/>
    </row>
    <row r="73" spans="22:56" ht="16" x14ac:dyDescent="0.4">
      <c r="V73" s="97">
        <v>45906</v>
      </c>
      <c r="W73" s="16">
        <v>192900</v>
      </c>
      <c r="X73" s="101" t="s">
        <v>36</v>
      </c>
      <c r="Y73" s="105"/>
      <c r="Z73" s="50">
        <v>0.1355787037037037</v>
      </c>
      <c r="AA73" s="50">
        <v>0.4060300925925926</v>
      </c>
      <c r="AD73" s="37">
        <v>19232</v>
      </c>
      <c r="AE73" s="93">
        <f t="shared" si="20"/>
        <v>19.231999999999999</v>
      </c>
      <c r="AF73" s="16">
        <v>15.23</v>
      </c>
      <c r="AG73" s="103">
        <f t="shared" si="21"/>
        <v>14</v>
      </c>
      <c r="AH73" s="37">
        <f t="shared" si="22"/>
        <v>19.231999999999999</v>
      </c>
      <c r="AJ73" s="97">
        <v>45909</v>
      </c>
      <c r="AK73" t="s">
        <v>2114</v>
      </c>
      <c r="AL73" t="s">
        <v>5</v>
      </c>
      <c r="AN73" s="81" t="s">
        <v>2148</v>
      </c>
      <c r="AO73" s="81" t="s">
        <v>2149</v>
      </c>
      <c r="AP73" s="37">
        <v>2930</v>
      </c>
      <c r="AR73" s="97"/>
      <c r="AS73" s="38"/>
      <c r="AU73" s="97">
        <v>45910</v>
      </c>
      <c r="AW73" t="s">
        <v>5</v>
      </c>
      <c r="AY73" s="81">
        <v>0.51250000000000007</v>
      </c>
      <c r="AZ73" s="81">
        <v>0.57013888888888886</v>
      </c>
      <c r="BA73" s="37">
        <v>5718</v>
      </c>
      <c r="BB73" t="s">
        <v>2189</v>
      </c>
      <c r="BC73" s="97">
        <v>45910</v>
      </c>
      <c r="BD73" s="38"/>
    </row>
    <row r="74" spans="22:56" ht="16" x14ac:dyDescent="0.4">
      <c r="V74" s="97">
        <v>45906</v>
      </c>
      <c r="W74" s="16">
        <v>192944</v>
      </c>
      <c r="X74" s="101" t="s">
        <v>36</v>
      </c>
      <c r="Y74" s="105"/>
      <c r="Z74" s="50">
        <v>0.39471064814814816</v>
      </c>
      <c r="AA74" s="50">
        <v>0.48421296296296296</v>
      </c>
      <c r="AD74" s="37">
        <v>22416</v>
      </c>
      <c r="AE74" s="93">
        <f t="shared" ref="AE74:AE135" si="23">AD74/1000</f>
        <v>22.416</v>
      </c>
      <c r="AF74" s="16">
        <v>14.34</v>
      </c>
      <c r="AG74" s="103">
        <f t="shared" si="21"/>
        <v>14</v>
      </c>
      <c r="AH74" s="37">
        <f t="shared" si="22"/>
        <v>22.416</v>
      </c>
      <c r="AJ74" s="97">
        <v>45909</v>
      </c>
      <c r="AK74" t="s">
        <v>2115</v>
      </c>
      <c r="AL74" t="s">
        <v>5</v>
      </c>
      <c r="AN74" s="81" t="s">
        <v>2150</v>
      </c>
      <c r="AO74" s="81" t="s">
        <v>2150</v>
      </c>
      <c r="AP74" s="37">
        <v>3400</v>
      </c>
      <c r="AR74" s="97"/>
      <c r="AS74" s="38"/>
      <c r="AU74" s="97">
        <v>45910</v>
      </c>
      <c r="AW74" t="s">
        <v>5</v>
      </c>
      <c r="AY74" s="81">
        <v>0.43263888888888885</v>
      </c>
      <c r="AZ74" s="81">
        <v>0.57986111111111105</v>
      </c>
      <c r="BA74" s="37">
        <v>2914</v>
      </c>
      <c r="BB74" t="s">
        <v>2189</v>
      </c>
      <c r="BC74" s="97">
        <v>45910</v>
      </c>
      <c r="BD74" s="38"/>
    </row>
    <row r="75" spans="22:56" ht="16" x14ac:dyDescent="0.4">
      <c r="V75" s="97">
        <v>45906</v>
      </c>
      <c r="W75" s="16">
        <v>192961</v>
      </c>
      <c r="X75" s="101" t="s">
        <v>36</v>
      </c>
      <c r="Y75" s="105"/>
      <c r="Z75" s="50">
        <v>0.44436342592592593</v>
      </c>
      <c r="AA75" s="50">
        <v>0.54001157407407407</v>
      </c>
      <c r="AD75" s="37">
        <v>20318</v>
      </c>
      <c r="AE75" s="93">
        <f t="shared" si="23"/>
        <v>20.318000000000001</v>
      </c>
      <c r="AF75" s="16">
        <v>14.37</v>
      </c>
      <c r="AG75" s="103">
        <f t="shared" si="21"/>
        <v>14</v>
      </c>
      <c r="AH75" s="37">
        <f t="shared" si="22"/>
        <v>20.318000000000001</v>
      </c>
      <c r="AJ75" s="97">
        <v>45910</v>
      </c>
      <c r="AK75" t="s">
        <v>2116</v>
      </c>
      <c r="AL75" t="s">
        <v>5</v>
      </c>
      <c r="AN75" s="81" t="s">
        <v>2151</v>
      </c>
      <c r="AO75" s="81" t="s">
        <v>2152</v>
      </c>
      <c r="AP75" s="37">
        <v>5710</v>
      </c>
      <c r="AR75" s="97"/>
      <c r="AS75" s="38"/>
      <c r="AU75" s="97">
        <v>45911</v>
      </c>
      <c r="AW75" t="s">
        <v>5</v>
      </c>
      <c r="AY75" s="81">
        <v>0.60069444444444442</v>
      </c>
      <c r="AZ75" s="81">
        <v>0.41319444444444442</v>
      </c>
      <c r="BA75" s="37">
        <v>2422</v>
      </c>
      <c r="BB75" t="s">
        <v>2104</v>
      </c>
      <c r="BC75" s="97">
        <v>45911</v>
      </c>
      <c r="BD75" s="38"/>
    </row>
    <row r="76" spans="22:56" ht="16" x14ac:dyDescent="0.4">
      <c r="V76" s="97">
        <v>45906</v>
      </c>
      <c r="W76" s="16">
        <v>193000</v>
      </c>
      <c r="X76" s="101" t="s">
        <v>36</v>
      </c>
      <c r="Y76" s="105"/>
      <c r="Z76" s="50">
        <v>0.41587962962962965</v>
      </c>
      <c r="AA76" s="50">
        <v>0.62385416666666671</v>
      </c>
      <c r="AD76" s="37">
        <v>21918</v>
      </c>
      <c r="AE76" s="93">
        <f t="shared" si="23"/>
        <v>21.917999999999999</v>
      </c>
      <c r="AF76" s="16">
        <v>15.91</v>
      </c>
      <c r="AG76" s="103">
        <f t="shared" si="21"/>
        <v>14</v>
      </c>
      <c r="AH76" s="37">
        <f t="shared" si="22"/>
        <v>21.917999999999999</v>
      </c>
      <c r="AJ76" s="97">
        <v>45910</v>
      </c>
      <c r="AK76" t="s">
        <v>2117</v>
      </c>
      <c r="AL76" t="s">
        <v>5</v>
      </c>
      <c r="AN76" s="81" t="s">
        <v>2153</v>
      </c>
      <c r="AO76" s="81" t="s">
        <v>2153</v>
      </c>
      <c r="AP76" s="37">
        <v>2960</v>
      </c>
      <c r="AR76" s="97"/>
      <c r="AS76" s="38"/>
      <c r="AU76" s="97">
        <v>45911</v>
      </c>
      <c r="AW76" t="s">
        <v>5</v>
      </c>
      <c r="AY76" s="81">
        <v>0.60138888888888886</v>
      </c>
      <c r="AZ76" s="81">
        <v>0.61875000000000002</v>
      </c>
      <c r="BA76" s="37">
        <v>3438</v>
      </c>
      <c r="BB76" t="s">
        <v>2188</v>
      </c>
      <c r="BC76" s="97">
        <v>45911</v>
      </c>
      <c r="BD76" s="38"/>
    </row>
    <row r="77" spans="22:56" ht="16" x14ac:dyDescent="0.4">
      <c r="V77" s="97">
        <v>45906</v>
      </c>
      <c r="W77" s="16">
        <v>193020</v>
      </c>
      <c r="X77" s="101" t="s">
        <v>36</v>
      </c>
      <c r="Y77" s="105"/>
      <c r="Z77" s="50">
        <v>0.44947916666666665</v>
      </c>
      <c r="AA77" s="50">
        <v>0.67960648148148151</v>
      </c>
      <c r="AD77" s="37">
        <v>20430</v>
      </c>
      <c r="AE77" s="93">
        <f t="shared" si="23"/>
        <v>20.43</v>
      </c>
      <c r="AF77" s="16">
        <v>16.34</v>
      </c>
      <c r="AG77" s="103">
        <f t="shared" si="21"/>
        <v>14</v>
      </c>
      <c r="AH77" s="37">
        <f t="shared" si="22"/>
        <v>20.43</v>
      </c>
      <c r="AJ77" s="97">
        <v>45911</v>
      </c>
      <c r="AK77" t="s">
        <v>2118</v>
      </c>
      <c r="AL77" t="s">
        <v>5</v>
      </c>
      <c r="AN77" s="81" t="s">
        <v>2154</v>
      </c>
      <c r="AO77" s="81" t="s">
        <v>2154</v>
      </c>
      <c r="AP77" s="37">
        <v>2540</v>
      </c>
      <c r="AR77" s="97"/>
      <c r="AS77" s="38"/>
      <c r="AU77" s="97">
        <v>45912</v>
      </c>
      <c r="AW77" t="s">
        <v>5</v>
      </c>
      <c r="AY77" s="81">
        <v>0.39444444444444443</v>
      </c>
      <c r="AZ77" s="81">
        <v>0.4145833333333333</v>
      </c>
      <c r="BA77" s="37">
        <v>3298</v>
      </c>
      <c r="BB77" t="s">
        <v>2190</v>
      </c>
      <c r="BC77" s="97">
        <v>45912</v>
      </c>
      <c r="BD77" s="38"/>
    </row>
    <row r="78" spans="22:56" ht="16" x14ac:dyDescent="0.4">
      <c r="V78" s="97">
        <v>45906</v>
      </c>
      <c r="W78" s="16">
        <v>193031</v>
      </c>
      <c r="X78" s="101" t="s">
        <v>36</v>
      </c>
      <c r="Y78" s="105"/>
      <c r="Z78" s="50">
        <v>8.2858796296296292E-2</v>
      </c>
      <c r="AA78" s="50">
        <v>0.72177083333333336</v>
      </c>
      <c r="AD78" s="37">
        <v>20284</v>
      </c>
      <c r="AE78" s="93">
        <f t="shared" si="23"/>
        <v>20.283999999999999</v>
      </c>
      <c r="AF78">
        <v>15.38</v>
      </c>
      <c r="AG78" s="103">
        <f t="shared" si="21"/>
        <v>14</v>
      </c>
      <c r="AH78" s="37">
        <f t="shared" si="22"/>
        <v>20.283999999999999</v>
      </c>
      <c r="AJ78" s="97">
        <v>45911</v>
      </c>
      <c r="AK78" t="s">
        <v>2119</v>
      </c>
      <c r="AL78" t="s">
        <v>5</v>
      </c>
      <c r="AN78" s="81" t="s">
        <v>2155</v>
      </c>
      <c r="AO78" s="81" t="s">
        <v>2155</v>
      </c>
      <c r="AP78" s="37">
        <v>3730</v>
      </c>
      <c r="AR78" s="97"/>
      <c r="AS78" s="38"/>
      <c r="AU78" s="97">
        <v>45912</v>
      </c>
      <c r="AW78" t="s">
        <v>5</v>
      </c>
      <c r="AY78" s="81">
        <v>0.59097222222222223</v>
      </c>
      <c r="AZ78" s="81">
        <v>0.46111111111111108</v>
      </c>
      <c r="BA78" s="37">
        <v>5440</v>
      </c>
      <c r="BB78" t="s">
        <v>2089</v>
      </c>
      <c r="BC78" s="97">
        <v>45912</v>
      </c>
      <c r="BD78" s="38"/>
    </row>
    <row r="79" spans="22:56" ht="16" x14ac:dyDescent="0.4">
      <c r="V79" s="97">
        <v>45906</v>
      </c>
      <c r="W79" s="16">
        <v>193046</v>
      </c>
      <c r="X79" s="101" t="s">
        <v>36</v>
      </c>
      <c r="Y79" s="105"/>
      <c r="Z79" s="50">
        <v>0.44930555555555557</v>
      </c>
      <c r="AA79" s="50">
        <v>0.79027777777777775</v>
      </c>
      <c r="AD79" s="37">
        <v>21230</v>
      </c>
      <c r="AE79" s="93">
        <f t="shared" si="23"/>
        <v>21.23</v>
      </c>
      <c r="AF79">
        <v>14.84</v>
      </c>
      <c r="AG79" s="103">
        <f t="shared" si="21"/>
        <v>14</v>
      </c>
      <c r="AH79" s="37">
        <f t="shared" si="22"/>
        <v>21.23</v>
      </c>
      <c r="AJ79" s="97">
        <v>45911</v>
      </c>
      <c r="AK79" t="s">
        <v>2120</v>
      </c>
      <c r="AL79" t="s">
        <v>5</v>
      </c>
      <c r="AN79" s="81" t="s">
        <v>2156</v>
      </c>
      <c r="AO79" s="81" t="s">
        <v>2156</v>
      </c>
      <c r="AP79" s="37">
        <v>2720</v>
      </c>
      <c r="AR79" s="97"/>
      <c r="AS79" s="38"/>
      <c r="AU79" s="97">
        <v>45912</v>
      </c>
      <c r="AW79" t="s">
        <v>5</v>
      </c>
      <c r="AY79" s="81">
        <v>0.4770833333333333</v>
      </c>
      <c r="AZ79" s="81">
        <v>0.48680555555555555</v>
      </c>
      <c r="BA79" s="37">
        <v>3268</v>
      </c>
      <c r="BB79" t="s">
        <v>1496</v>
      </c>
      <c r="BC79" s="97">
        <v>45912</v>
      </c>
      <c r="BD79" s="38"/>
    </row>
    <row r="80" spans="22:56" ht="16" x14ac:dyDescent="0.4">
      <c r="V80" s="97">
        <v>45906</v>
      </c>
      <c r="W80" s="16">
        <v>193061</v>
      </c>
      <c r="X80" s="101" t="s">
        <v>36</v>
      </c>
      <c r="Y80" s="105"/>
      <c r="Z80" s="50">
        <v>0.39444444444444443</v>
      </c>
      <c r="AA80" s="50">
        <v>0.84583333333333333</v>
      </c>
      <c r="AD80" s="37">
        <v>20342</v>
      </c>
      <c r="AE80" s="93">
        <f t="shared" si="23"/>
        <v>20.341999999999999</v>
      </c>
      <c r="AF80">
        <v>14.77</v>
      </c>
      <c r="AG80" s="103">
        <f t="shared" si="21"/>
        <v>14</v>
      </c>
      <c r="AH80" s="37">
        <f t="shared" si="22"/>
        <v>20.342000000000002</v>
      </c>
      <c r="AJ80" s="97">
        <v>45912</v>
      </c>
      <c r="AK80" t="s">
        <v>2121</v>
      </c>
      <c r="AL80" t="s">
        <v>4</v>
      </c>
      <c r="AN80" s="81" t="s">
        <v>2157</v>
      </c>
      <c r="AO80" s="81" t="s">
        <v>2158</v>
      </c>
      <c r="AP80" s="37">
        <v>2000</v>
      </c>
      <c r="AR80" s="97"/>
      <c r="AS80" s="38"/>
      <c r="AU80" s="97">
        <v>45912</v>
      </c>
      <c r="AW80" t="s">
        <v>5</v>
      </c>
      <c r="AY80" s="81">
        <v>0.46111111111111108</v>
      </c>
      <c r="AZ80" s="81">
        <v>0.4770833333333333</v>
      </c>
      <c r="BA80" s="37">
        <v>2818</v>
      </c>
      <c r="BB80" t="s">
        <v>2191</v>
      </c>
      <c r="BC80" s="97">
        <v>45912</v>
      </c>
      <c r="BD80" s="38"/>
    </row>
    <row r="81" spans="22:56" ht="16" x14ac:dyDescent="0.4">
      <c r="V81" s="97">
        <v>45906</v>
      </c>
      <c r="W81" s="16">
        <v>193087</v>
      </c>
      <c r="X81" s="101" t="s">
        <v>36</v>
      </c>
      <c r="Y81" s="105"/>
      <c r="Z81" s="50">
        <v>0.44861111111111113</v>
      </c>
      <c r="AA81" s="50">
        <v>0.90347222222222223</v>
      </c>
      <c r="AD81" s="37">
        <v>20792</v>
      </c>
      <c r="AE81" s="93">
        <f t="shared" si="23"/>
        <v>20.792000000000002</v>
      </c>
      <c r="AF81">
        <v>15.27</v>
      </c>
      <c r="AG81" s="103">
        <f t="shared" si="21"/>
        <v>14</v>
      </c>
      <c r="AH81" s="37">
        <f t="shared" si="22"/>
        <v>20.792000000000002</v>
      </c>
      <c r="AJ81" s="97">
        <v>45912</v>
      </c>
      <c r="AK81" t="s">
        <v>2122</v>
      </c>
      <c r="AL81" t="s">
        <v>5</v>
      </c>
      <c r="AN81" s="81" t="s">
        <v>2159</v>
      </c>
      <c r="AO81" s="81" t="s">
        <v>2159</v>
      </c>
      <c r="AP81" s="37">
        <v>2960</v>
      </c>
      <c r="AR81" s="97"/>
      <c r="AS81" s="38"/>
      <c r="AU81" s="97">
        <v>45912</v>
      </c>
      <c r="AW81" t="s">
        <v>5</v>
      </c>
      <c r="AY81" s="81">
        <v>0.26180555555555557</v>
      </c>
      <c r="AZ81" s="81">
        <v>0.28402777777777777</v>
      </c>
      <c r="BA81" s="37">
        <v>2040</v>
      </c>
      <c r="BC81" s="97">
        <v>45912</v>
      </c>
      <c r="BD81" s="38"/>
    </row>
    <row r="82" spans="22:56" ht="16" x14ac:dyDescent="0.4">
      <c r="V82" s="97">
        <v>45906</v>
      </c>
      <c r="W82" s="16">
        <v>193091</v>
      </c>
      <c r="X82" s="101" t="s">
        <v>36</v>
      </c>
      <c r="Y82" s="105"/>
      <c r="Z82" s="50">
        <v>0.76041666666666663</v>
      </c>
      <c r="AA82" s="50">
        <v>0.9819444444444444</v>
      </c>
      <c r="AD82" s="37">
        <v>22064</v>
      </c>
      <c r="AE82" s="93">
        <f t="shared" si="23"/>
        <v>22.064</v>
      </c>
      <c r="AF82">
        <v>14.56</v>
      </c>
      <c r="AG82" s="103">
        <f t="shared" si="21"/>
        <v>14</v>
      </c>
      <c r="AH82" s="37">
        <f t="shared" si="22"/>
        <v>22.064</v>
      </c>
      <c r="AJ82" s="97">
        <v>45912</v>
      </c>
      <c r="AK82" t="s">
        <v>2123</v>
      </c>
      <c r="AL82" t="s">
        <v>5</v>
      </c>
      <c r="AN82" s="81" t="s">
        <v>2160</v>
      </c>
      <c r="AO82" s="81" t="s">
        <v>2160</v>
      </c>
      <c r="AP82" s="37">
        <v>3280</v>
      </c>
      <c r="AR82" s="97"/>
      <c r="AS82" s="38"/>
      <c r="AU82" s="97">
        <v>45912</v>
      </c>
      <c r="AW82" t="s">
        <v>5</v>
      </c>
      <c r="AY82" s="81">
        <v>0.28472222222222221</v>
      </c>
      <c r="AZ82" s="81">
        <v>0.57916666666666672</v>
      </c>
      <c r="BA82" s="37">
        <v>862</v>
      </c>
      <c r="BC82" s="97">
        <v>45912</v>
      </c>
      <c r="BD82" s="38"/>
    </row>
    <row r="83" spans="22:56" ht="16" x14ac:dyDescent="0.4">
      <c r="V83" s="97">
        <v>45907</v>
      </c>
      <c r="W83" s="16">
        <v>193095</v>
      </c>
      <c r="X83" s="101" t="s">
        <v>36</v>
      </c>
      <c r="Y83" s="105"/>
      <c r="Z83" s="50">
        <v>0.83472222222222225</v>
      </c>
      <c r="AA83" s="50">
        <v>4.7916666666666663E-2</v>
      </c>
      <c r="AD83" s="37">
        <v>19916</v>
      </c>
      <c r="AE83" s="93">
        <f t="shared" si="23"/>
        <v>19.916</v>
      </c>
      <c r="AF83">
        <v>14.73</v>
      </c>
      <c r="AG83" s="103">
        <f t="shared" si="21"/>
        <v>14</v>
      </c>
      <c r="AH83" s="37">
        <f t="shared" si="22"/>
        <v>19.916</v>
      </c>
      <c r="AJ83" s="97">
        <v>45912</v>
      </c>
      <c r="AK83" t="s">
        <v>2124</v>
      </c>
      <c r="AL83" t="s">
        <v>5</v>
      </c>
      <c r="AN83" s="81" t="s">
        <v>2161</v>
      </c>
      <c r="AO83" s="81" t="s">
        <v>2161</v>
      </c>
      <c r="AP83" s="37">
        <v>5510</v>
      </c>
      <c r="AR83" s="97"/>
      <c r="AS83" s="38"/>
      <c r="AU83" s="97">
        <v>45912</v>
      </c>
      <c r="AW83" t="s">
        <v>5</v>
      </c>
      <c r="AY83" s="81">
        <v>0.44722222222222219</v>
      </c>
      <c r="AZ83" s="81">
        <v>0.57361111111111118</v>
      </c>
      <c r="BA83" s="37">
        <v>3302</v>
      </c>
      <c r="BB83" t="s">
        <v>1496</v>
      </c>
      <c r="BC83" s="97">
        <v>45912</v>
      </c>
      <c r="BD83" s="38"/>
    </row>
    <row r="84" spans="22:56" ht="16" x14ac:dyDescent="0.4">
      <c r="V84" s="97">
        <v>45907</v>
      </c>
      <c r="W84" s="16">
        <v>193101</v>
      </c>
      <c r="X84" s="101" t="s">
        <v>36</v>
      </c>
      <c r="Y84" s="105"/>
      <c r="Z84" s="50">
        <v>2.8472222222222222E-2</v>
      </c>
      <c r="AA84" s="50">
        <v>0.11041666666666666</v>
      </c>
      <c r="AD84" s="37">
        <v>20674</v>
      </c>
      <c r="AE84" s="93">
        <f t="shared" si="23"/>
        <v>20.673999999999999</v>
      </c>
      <c r="AF84">
        <v>15.31</v>
      </c>
      <c r="AG84" s="103">
        <f t="shared" si="21"/>
        <v>14</v>
      </c>
      <c r="AH84" s="37">
        <f t="shared" si="22"/>
        <v>20.673999999999999</v>
      </c>
      <c r="AJ84" s="97">
        <v>45912</v>
      </c>
      <c r="AK84" t="s">
        <v>2125</v>
      </c>
      <c r="AL84" t="s">
        <v>5</v>
      </c>
      <c r="AN84" s="81" t="s">
        <v>2162</v>
      </c>
      <c r="AO84" s="81" t="s">
        <v>2162</v>
      </c>
      <c r="AP84" s="37">
        <v>3140</v>
      </c>
      <c r="AR84" s="97"/>
      <c r="AS84" s="38"/>
      <c r="AU84" s="97">
        <v>45912</v>
      </c>
      <c r="AW84" t="s">
        <v>5</v>
      </c>
      <c r="AY84" s="81">
        <v>0.42152777777777778</v>
      </c>
      <c r="AZ84" s="81">
        <v>0.57500000000000007</v>
      </c>
      <c r="BA84" s="37">
        <v>2788</v>
      </c>
      <c r="BB84" t="s">
        <v>2192</v>
      </c>
      <c r="BC84" s="97">
        <v>45912</v>
      </c>
      <c r="BD84" s="38"/>
    </row>
    <row r="85" spans="22:56" ht="16" x14ac:dyDescent="0.4">
      <c r="V85" s="97">
        <v>45907</v>
      </c>
      <c r="W85" s="16">
        <v>193104</v>
      </c>
      <c r="X85" s="101" t="s">
        <v>36</v>
      </c>
      <c r="Y85" s="105"/>
      <c r="Z85" s="50">
        <v>0.58124999999999993</v>
      </c>
      <c r="AA85" s="50">
        <v>0.21388888888888891</v>
      </c>
      <c r="AD85" s="37">
        <v>15162</v>
      </c>
      <c r="AE85" s="93">
        <f t="shared" si="23"/>
        <v>15.162000000000001</v>
      </c>
      <c r="AF85">
        <v>14.84</v>
      </c>
      <c r="AG85" s="103">
        <f t="shared" si="21"/>
        <v>14</v>
      </c>
      <c r="AH85" s="37">
        <f t="shared" si="22"/>
        <v>15.162000000000001</v>
      </c>
      <c r="AJ85" s="97">
        <v>45912</v>
      </c>
      <c r="AK85" t="s">
        <v>2126</v>
      </c>
      <c r="AL85" t="s">
        <v>5</v>
      </c>
      <c r="AN85" s="81" t="s">
        <v>2163</v>
      </c>
      <c r="AO85" s="81" t="s">
        <v>2164</v>
      </c>
      <c r="AP85" s="37">
        <v>5150</v>
      </c>
      <c r="AR85" s="97"/>
      <c r="AS85" s="38"/>
      <c r="AU85" s="97">
        <v>45912</v>
      </c>
      <c r="AW85" t="s">
        <v>5</v>
      </c>
      <c r="AY85" s="81">
        <v>0.4055555555555555</v>
      </c>
      <c r="AZ85" s="81"/>
      <c r="BA85" s="37">
        <v>3014</v>
      </c>
      <c r="BB85" t="s">
        <v>2192</v>
      </c>
      <c r="BC85" s="97">
        <v>45912</v>
      </c>
      <c r="BD85" s="38"/>
    </row>
    <row r="86" spans="22:56" ht="16" x14ac:dyDescent="0.4">
      <c r="V86" s="97"/>
      <c r="W86" s="16"/>
      <c r="X86" s="101"/>
      <c r="Y86" s="105"/>
      <c r="Z86" s="50"/>
      <c r="AA86" s="50"/>
      <c r="AD86" s="37"/>
      <c r="AE86" s="93"/>
      <c r="AG86" s="103"/>
      <c r="AH86" s="37"/>
      <c r="AJ86" s="97">
        <v>45912</v>
      </c>
      <c r="AK86" t="s">
        <v>2127</v>
      </c>
      <c r="AL86" t="s">
        <v>5</v>
      </c>
      <c r="AN86" s="81" t="s">
        <v>2165</v>
      </c>
      <c r="AO86" s="81" t="s">
        <v>2165</v>
      </c>
      <c r="AP86" s="37">
        <v>3340</v>
      </c>
      <c r="AR86" s="97"/>
      <c r="AS86" s="38"/>
      <c r="AU86" s="97">
        <v>45912</v>
      </c>
      <c r="AW86" t="s">
        <v>5</v>
      </c>
      <c r="AY86" s="81">
        <v>0.52986111111111112</v>
      </c>
      <c r="AZ86" s="81">
        <v>0.59930555555555554</v>
      </c>
      <c r="BA86" s="37">
        <v>5192</v>
      </c>
      <c r="BC86" s="97">
        <v>45912</v>
      </c>
      <c r="BD86" s="38"/>
    </row>
    <row r="87" spans="22:56" ht="16" x14ac:dyDescent="0.4">
      <c r="V87" s="97">
        <v>45908</v>
      </c>
      <c r="W87" s="16">
        <v>193501</v>
      </c>
      <c r="X87" s="101" t="s">
        <v>36</v>
      </c>
      <c r="Y87" s="105"/>
      <c r="Z87" s="50">
        <v>0.72745370370370377</v>
      </c>
      <c r="AA87" s="50">
        <v>0.85906249999999995</v>
      </c>
      <c r="AD87" s="37">
        <v>19460</v>
      </c>
      <c r="AE87" s="93">
        <f t="shared" si="23"/>
        <v>19.46</v>
      </c>
      <c r="AF87">
        <v>15.13</v>
      </c>
      <c r="AG87" s="103">
        <f t="shared" si="21"/>
        <v>14</v>
      </c>
      <c r="AH87" s="37">
        <f t="shared" si="22"/>
        <v>19.46</v>
      </c>
      <c r="AJ87" s="97">
        <v>45912</v>
      </c>
      <c r="AK87" t="s">
        <v>2128</v>
      </c>
      <c r="AL87" t="s">
        <v>5</v>
      </c>
      <c r="AN87" s="81" t="s">
        <v>2166</v>
      </c>
      <c r="AO87" s="81" t="s">
        <v>2166</v>
      </c>
      <c r="AP87" s="37">
        <v>2810</v>
      </c>
      <c r="AR87" s="97"/>
      <c r="AS87" s="38"/>
      <c r="AU87" s="97">
        <v>45913</v>
      </c>
      <c r="AW87" t="s">
        <v>4</v>
      </c>
      <c r="AY87" s="81">
        <v>0.35347222222222219</v>
      </c>
      <c r="AZ87" s="81">
        <v>0.37291666666666662</v>
      </c>
      <c r="BA87" s="37">
        <v>6066</v>
      </c>
      <c r="BC87" s="97">
        <v>45913</v>
      </c>
      <c r="BD87" s="38"/>
    </row>
    <row r="88" spans="22:56" ht="16" x14ac:dyDescent="0.4">
      <c r="V88" s="97">
        <v>45908</v>
      </c>
      <c r="W88" s="16">
        <v>193542</v>
      </c>
      <c r="X88" s="101" t="s">
        <v>36</v>
      </c>
      <c r="Y88" s="105"/>
      <c r="Z88" s="50">
        <v>0.72887731481481488</v>
      </c>
      <c r="AA88" s="50">
        <v>0.95277777777777783</v>
      </c>
      <c r="AD88" s="37">
        <v>21748</v>
      </c>
      <c r="AE88" s="93">
        <f t="shared" si="23"/>
        <v>21.748000000000001</v>
      </c>
      <c r="AF88">
        <v>15.63</v>
      </c>
      <c r="AG88" s="103">
        <f t="shared" si="21"/>
        <v>14</v>
      </c>
      <c r="AH88" s="37">
        <f t="shared" si="22"/>
        <v>21.748000000000001</v>
      </c>
      <c r="AJ88" s="97">
        <v>45912</v>
      </c>
      <c r="AK88" t="s">
        <v>2129</v>
      </c>
      <c r="AL88" t="s">
        <v>4</v>
      </c>
      <c r="AN88" s="81" t="s">
        <v>2167</v>
      </c>
      <c r="AO88" s="81" t="s">
        <v>2168</v>
      </c>
      <c r="AP88" s="37">
        <v>1030</v>
      </c>
      <c r="AR88" s="97"/>
      <c r="AS88" s="38"/>
      <c r="AU88" s="97">
        <v>45913</v>
      </c>
      <c r="AW88" t="s">
        <v>5</v>
      </c>
      <c r="AY88" s="81">
        <v>0.59652777777777777</v>
      </c>
      <c r="AZ88" s="81">
        <v>0.36874999999999997</v>
      </c>
      <c r="BA88" s="37">
        <v>2956</v>
      </c>
      <c r="BB88" t="s">
        <v>1496</v>
      </c>
      <c r="BC88" s="97">
        <v>45913</v>
      </c>
      <c r="BD88" s="38"/>
    </row>
    <row r="89" spans="22:56" ht="16" x14ac:dyDescent="0.4">
      <c r="V89" s="97">
        <v>45909</v>
      </c>
      <c r="W89" s="16">
        <v>193565</v>
      </c>
      <c r="X89" s="101" t="s">
        <v>36</v>
      </c>
      <c r="Y89" s="105"/>
      <c r="Z89" s="50">
        <v>0.72760416666666661</v>
      </c>
      <c r="AA89" s="50">
        <v>2.3217592592592592E-2</v>
      </c>
      <c r="AD89" s="37">
        <v>22522</v>
      </c>
      <c r="AE89" s="93">
        <f t="shared" si="23"/>
        <v>22.521999999999998</v>
      </c>
      <c r="AF89">
        <v>13.84</v>
      </c>
      <c r="AG89" s="103">
        <f t="shared" si="21"/>
        <v>13.84</v>
      </c>
      <c r="AH89" s="37">
        <f t="shared" si="22"/>
        <v>22.264605714285715</v>
      </c>
      <c r="AJ89" s="97">
        <v>45913</v>
      </c>
      <c r="AK89" t="s">
        <v>2130</v>
      </c>
      <c r="AL89" t="s">
        <v>5</v>
      </c>
      <c r="AN89" s="81" t="s">
        <v>2169</v>
      </c>
      <c r="AO89" s="81" t="s">
        <v>2169</v>
      </c>
      <c r="AP89" s="37">
        <v>5210</v>
      </c>
      <c r="AR89" s="97"/>
      <c r="AS89" s="38"/>
      <c r="AU89" s="97">
        <v>45913</v>
      </c>
      <c r="AW89" t="s">
        <v>5</v>
      </c>
      <c r="AY89" s="81">
        <v>0.4826388888888889</v>
      </c>
      <c r="AZ89" s="81">
        <v>0.36319444444444443</v>
      </c>
      <c r="BA89" s="37">
        <v>5124</v>
      </c>
      <c r="BB89" t="s">
        <v>2192</v>
      </c>
      <c r="BC89" s="97">
        <v>45913</v>
      </c>
      <c r="BD89" s="38"/>
    </row>
    <row r="90" spans="22:56" ht="16" x14ac:dyDescent="0.4">
      <c r="V90" s="97">
        <v>45909</v>
      </c>
      <c r="W90" s="16">
        <v>193571</v>
      </c>
      <c r="X90" s="101" t="s">
        <v>36</v>
      </c>
      <c r="Y90" s="105"/>
      <c r="Z90" s="50">
        <v>0.97614583333333327</v>
      </c>
      <c r="AA90" s="50">
        <v>8.2083333333333341E-2</v>
      </c>
      <c r="AD90" s="37">
        <v>20884</v>
      </c>
      <c r="AE90" s="93">
        <f t="shared" si="23"/>
        <v>20.884</v>
      </c>
      <c r="AF90">
        <v>14.52</v>
      </c>
      <c r="AG90" s="103">
        <f t="shared" si="21"/>
        <v>14</v>
      </c>
      <c r="AH90" s="37">
        <f t="shared" si="22"/>
        <v>20.883999999999997</v>
      </c>
      <c r="AJ90" s="97">
        <v>45913</v>
      </c>
      <c r="AK90" t="s">
        <v>2131</v>
      </c>
      <c r="AL90" t="s">
        <v>5</v>
      </c>
      <c r="AN90" s="81" t="s">
        <v>2170</v>
      </c>
      <c r="AO90" s="81" t="s">
        <v>2170</v>
      </c>
      <c r="AP90" s="37">
        <v>3040</v>
      </c>
      <c r="AR90" s="97"/>
      <c r="AS90" s="38"/>
      <c r="AU90" s="97">
        <v>45913</v>
      </c>
      <c r="AW90" t="s">
        <v>5</v>
      </c>
      <c r="AY90" s="81">
        <v>0.61597222222222225</v>
      </c>
      <c r="AZ90" s="81">
        <v>0.48541666666666666</v>
      </c>
      <c r="BA90" s="37">
        <v>3222</v>
      </c>
      <c r="BB90" t="s">
        <v>1828</v>
      </c>
      <c r="BC90" s="97">
        <v>45913</v>
      </c>
      <c r="BD90" s="38"/>
    </row>
    <row r="91" spans="22:56" ht="16" x14ac:dyDescent="0.4">
      <c r="V91" s="97">
        <v>45909</v>
      </c>
      <c r="W91" s="16">
        <v>193578</v>
      </c>
      <c r="X91" s="101" t="s">
        <v>36</v>
      </c>
      <c r="Y91" s="105"/>
      <c r="Z91" s="50">
        <v>0.72776620370370371</v>
      </c>
      <c r="AA91" s="50">
        <v>0.14699074074074073</v>
      </c>
      <c r="AD91" s="37">
        <v>22454</v>
      </c>
      <c r="AE91" s="93">
        <f t="shared" si="23"/>
        <v>22.454000000000001</v>
      </c>
      <c r="AF91">
        <v>14.66</v>
      </c>
      <c r="AG91" s="103">
        <f t="shared" si="21"/>
        <v>14</v>
      </c>
      <c r="AH91" s="37">
        <f t="shared" si="22"/>
        <v>22.454000000000001</v>
      </c>
      <c r="AJ91" s="97">
        <v>45913</v>
      </c>
      <c r="AK91" t="s">
        <v>2132</v>
      </c>
      <c r="AL91" t="s">
        <v>5</v>
      </c>
      <c r="AN91" s="39" t="s">
        <v>2171</v>
      </c>
      <c r="AO91" s="39" t="s">
        <v>2172</v>
      </c>
      <c r="AP91" s="37">
        <v>1790</v>
      </c>
      <c r="AR91" s="97"/>
      <c r="AS91" s="38"/>
      <c r="AU91" s="97">
        <v>45913</v>
      </c>
      <c r="AW91" t="s">
        <v>5</v>
      </c>
      <c r="AY91" s="39">
        <v>0.38472222222222219</v>
      </c>
      <c r="AZ91" s="39">
        <v>0.40138888888888885</v>
      </c>
      <c r="BA91" s="37">
        <v>3140</v>
      </c>
      <c r="BC91" s="97">
        <v>45913</v>
      </c>
      <c r="BD91" s="38"/>
    </row>
    <row r="92" spans="22:56" ht="16" x14ac:dyDescent="0.4">
      <c r="V92" s="90"/>
      <c r="W92" s="17"/>
      <c r="X92" s="99"/>
      <c r="Y92" s="110"/>
      <c r="Z92" s="91"/>
      <c r="AA92" s="91"/>
      <c r="AB92" s="17"/>
      <c r="AC92" s="17"/>
      <c r="AD92" s="110"/>
      <c r="AE92" s="92"/>
      <c r="AF92" s="17"/>
      <c r="AG92" s="95"/>
      <c r="AH92" s="110"/>
      <c r="AJ92" s="97">
        <v>45913</v>
      </c>
      <c r="AK92" t="s">
        <v>2133</v>
      </c>
      <c r="AL92" t="s">
        <v>5</v>
      </c>
      <c r="AN92" s="39" t="s">
        <v>2173</v>
      </c>
      <c r="AO92" s="39" t="s">
        <v>2173</v>
      </c>
      <c r="AP92" s="37">
        <v>2950</v>
      </c>
      <c r="AR92" s="97"/>
      <c r="AS92" s="38"/>
      <c r="AU92" s="97">
        <v>45913</v>
      </c>
      <c r="AW92" t="s">
        <v>5</v>
      </c>
      <c r="AY92" s="39">
        <v>0.40138888888888885</v>
      </c>
      <c r="AZ92" s="39">
        <v>0.47361111111111115</v>
      </c>
      <c r="BA92" s="37">
        <v>2980</v>
      </c>
      <c r="BB92" t="s">
        <v>2193</v>
      </c>
      <c r="BC92" s="97">
        <v>45913</v>
      </c>
      <c r="BD92" s="38"/>
    </row>
    <row r="93" spans="22:56" ht="16" x14ac:dyDescent="0.4">
      <c r="V93" s="97">
        <v>45909</v>
      </c>
      <c r="W93" s="16">
        <v>193701</v>
      </c>
      <c r="X93" s="101" t="s">
        <v>36</v>
      </c>
      <c r="Y93" s="105"/>
      <c r="Z93" s="50">
        <v>0.20069444444444443</v>
      </c>
      <c r="AA93" s="50">
        <v>0.3833333333333333</v>
      </c>
      <c r="AD93" s="37">
        <v>21706</v>
      </c>
      <c r="AE93" s="93">
        <f t="shared" si="23"/>
        <v>21.706</v>
      </c>
      <c r="AF93">
        <v>16.13</v>
      </c>
      <c r="AG93" s="103">
        <f t="shared" si="21"/>
        <v>14</v>
      </c>
      <c r="AH93" s="37">
        <f t="shared" si="22"/>
        <v>21.706</v>
      </c>
      <c r="AJ93" s="97">
        <v>45913</v>
      </c>
      <c r="AK93" t="s">
        <v>2134</v>
      </c>
      <c r="AL93" t="s">
        <v>4</v>
      </c>
      <c r="AN93" s="81" t="s">
        <v>2174</v>
      </c>
      <c r="AO93" s="81" t="s">
        <v>2175</v>
      </c>
      <c r="AP93" s="37">
        <v>6000</v>
      </c>
      <c r="AR93" s="97"/>
      <c r="AS93" s="38"/>
      <c r="AU93" s="97">
        <v>45913</v>
      </c>
      <c r="AW93" t="s">
        <v>5</v>
      </c>
      <c r="AY93" s="39">
        <v>0.38263888888888892</v>
      </c>
      <c r="AZ93" s="39">
        <v>0.5493055555555556</v>
      </c>
      <c r="BA93" s="37">
        <v>5752</v>
      </c>
      <c r="BB93" t="s">
        <v>2194</v>
      </c>
      <c r="BC93" s="97">
        <v>45913</v>
      </c>
      <c r="BD93" s="38"/>
    </row>
    <row r="94" spans="22:56" ht="16" x14ac:dyDescent="0.4">
      <c r="V94" s="97">
        <v>45909</v>
      </c>
      <c r="W94" s="16">
        <v>193760</v>
      </c>
      <c r="X94" s="101" t="s">
        <v>36</v>
      </c>
      <c r="Y94" s="105"/>
      <c r="Z94" s="50">
        <v>0.37083333333333335</v>
      </c>
      <c r="AA94" s="50">
        <v>0.46666666666666662</v>
      </c>
      <c r="AD94" s="37">
        <v>22248</v>
      </c>
      <c r="AE94" s="93">
        <f t="shared" si="23"/>
        <v>22.248000000000001</v>
      </c>
      <c r="AF94">
        <v>15.7</v>
      </c>
      <c r="AG94" s="103">
        <f t="shared" si="21"/>
        <v>14</v>
      </c>
      <c r="AH94" s="37">
        <f t="shared" si="22"/>
        <v>22.248000000000001</v>
      </c>
      <c r="AJ94" s="97">
        <v>45913</v>
      </c>
      <c r="AK94" t="s">
        <v>2135</v>
      </c>
      <c r="AL94" t="s">
        <v>5</v>
      </c>
      <c r="AN94" s="81" t="s">
        <v>2176</v>
      </c>
      <c r="AO94" s="81" t="s">
        <v>2176</v>
      </c>
      <c r="AP94" s="37">
        <v>2890</v>
      </c>
      <c r="AR94" s="97"/>
      <c r="AS94" s="38"/>
      <c r="AU94" s="97">
        <v>45913</v>
      </c>
      <c r="AW94" t="s">
        <v>5</v>
      </c>
      <c r="AY94" s="39">
        <v>0.3833333333333333</v>
      </c>
      <c r="AZ94" s="39">
        <v>0.57708333333333328</v>
      </c>
      <c r="BA94" s="37">
        <v>2690</v>
      </c>
      <c r="BB94" t="s">
        <v>1828</v>
      </c>
      <c r="BC94" s="97">
        <v>45913</v>
      </c>
      <c r="BD94" s="38"/>
    </row>
    <row r="95" spans="22:56" ht="16" x14ac:dyDescent="0.4">
      <c r="V95" s="97">
        <v>45909</v>
      </c>
      <c r="W95" s="16">
        <v>193792</v>
      </c>
      <c r="X95" s="101" t="s">
        <v>36</v>
      </c>
      <c r="Y95" s="105"/>
      <c r="Z95" s="50">
        <v>0.20069444444444443</v>
      </c>
      <c r="AA95" s="50">
        <v>0.54097222222222219</v>
      </c>
      <c r="AD95" s="37">
        <v>19210</v>
      </c>
      <c r="AE95" s="93">
        <f t="shared" si="23"/>
        <v>19.21</v>
      </c>
      <c r="AF95">
        <v>14.88</v>
      </c>
      <c r="AG95" s="103">
        <f t="shared" si="21"/>
        <v>14</v>
      </c>
      <c r="AH95" s="37">
        <f t="shared" si="22"/>
        <v>19.21</v>
      </c>
      <c r="AJ95" s="97">
        <v>45913</v>
      </c>
      <c r="AK95" t="s">
        <v>2136</v>
      </c>
      <c r="AL95" t="s">
        <v>5</v>
      </c>
      <c r="AN95" s="81" t="s">
        <v>2177</v>
      </c>
      <c r="AO95" s="81" t="s">
        <v>2177</v>
      </c>
      <c r="AP95" s="37">
        <v>3350</v>
      </c>
      <c r="AR95" s="97"/>
      <c r="AS95" s="38"/>
      <c r="AU95" s="97">
        <v>45915</v>
      </c>
      <c r="AW95" t="s">
        <v>5</v>
      </c>
      <c r="AY95" s="39">
        <v>0.34166666666666662</v>
      </c>
      <c r="AZ95" s="39">
        <v>0.44861111111111113</v>
      </c>
      <c r="BA95" s="37">
        <v>5634</v>
      </c>
      <c r="BC95" s="97">
        <v>45915</v>
      </c>
      <c r="BD95" s="38"/>
    </row>
    <row r="96" spans="22:56" ht="16" x14ac:dyDescent="0.4">
      <c r="V96" s="97">
        <v>45909</v>
      </c>
      <c r="W96" s="16">
        <v>193872</v>
      </c>
      <c r="X96" s="101" t="s">
        <v>36</v>
      </c>
      <c r="Y96" s="105"/>
      <c r="Z96" s="50">
        <v>0.37013888888888885</v>
      </c>
      <c r="AA96" s="50">
        <v>0.59791666666666665</v>
      </c>
      <c r="AD96" s="37">
        <v>20128</v>
      </c>
      <c r="AE96" s="93">
        <f t="shared" si="23"/>
        <v>20.128</v>
      </c>
      <c r="AF96">
        <v>15.55</v>
      </c>
      <c r="AG96" s="103">
        <f t="shared" si="21"/>
        <v>14</v>
      </c>
      <c r="AH96" s="37">
        <f t="shared" si="22"/>
        <v>20.128000000000004</v>
      </c>
      <c r="AJ96" s="97">
        <v>45913</v>
      </c>
      <c r="AK96" t="s">
        <v>2137</v>
      </c>
      <c r="AL96" t="s">
        <v>5</v>
      </c>
      <c r="AN96" s="81" t="s">
        <v>2178</v>
      </c>
      <c r="AO96" s="81" t="s">
        <v>2178</v>
      </c>
      <c r="AP96" s="37">
        <v>5820</v>
      </c>
      <c r="AR96" s="97"/>
      <c r="AS96" s="38"/>
      <c r="AU96" s="97">
        <v>45915</v>
      </c>
      <c r="AW96" t="s">
        <v>5</v>
      </c>
      <c r="AY96" s="39">
        <v>0.58333333333333337</v>
      </c>
      <c r="AZ96" s="39">
        <v>0.61944444444444446</v>
      </c>
      <c r="BA96" s="37">
        <v>5160</v>
      </c>
      <c r="BB96" t="s">
        <v>2109</v>
      </c>
      <c r="BC96" s="97">
        <v>45915</v>
      </c>
      <c r="BD96" s="38"/>
    </row>
    <row r="97" spans="22:56" ht="16" x14ac:dyDescent="0.4">
      <c r="V97" s="97">
        <v>45909</v>
      </c>
      <c r="W97" s="16">
        <v>193939</v>
      </c>
      <c r="X97" s="101" t="s">
        <v>36</v>
      </c>
      <c r="Y97" s="105"/>
      <c r="Z97" s="50">
        <v>0.20069444444444443</v>
      </c>
      <c r="AA97" s="50">
        <v>0.65347222222222223</v>
      </c>
      <c r="AD97" s="37">
        <v>21412</v>
      </c>
      <c r="AE97" s="93">
        <f t="shared" si="23"/>
        <v>21.411999999999999</v>
      </c>
      <c r="AF97">
        <v>15.41</v>
      </c>
      <c r="AG97" s="103">
        <f t="shared" si="21"/>
        <v>14</v>
      </c>
      <c r="AH97" s="37">
        <f t="shared" si="22"/>
        <v>21.411999999999999</v>
      </c>
      <c r="AJ97" s="97">
        <v>45913</v>
      </c>
      <c r="AK97" t="s">
        <v>2138</v>
      </c>
      <c r="AL97" t="s">
        <v>5</v>
      </c>
      <c r="AN97" s="81" t="s">
        <v>2179</v>
      </c>
      <c r="AO97" s="81" t="s">
        <v>2179</v>
      </c>
      <c r="AP97" s="37">
        <v>2700</v>
      </c>
      <c r="AR97" s="97"/>
      <c r="AS97" s="38"/>
      <c r="AU97" s="97">
        <v>45915</v>
      </c>
      <c r="AW97" t="s">
        <v>5</v>
      </c>
      <c r="AY97" s="39">
        <v>0.57222222222222219</v>
      </c>
      <c r="AZ97" s="39">
        <v>0.61875000000000002</v>
      </c>
      <c r="BA97" s="37">
        <v>3158</v>
      </c>
      <c r="BB97" t="s">
        <v>2195</v>
      </c>
      <c r="BC97" s="97">
        <v>45915</v>
      </c>
      <c r="BD97" s="38"/>
    </row>
    <row r="98" spans="22:56" ht="16" x14ac:dyDescent="0.4">
      <c r="V98" s="97">
        <v>45909</v>
      </c>
      <c r="W98" s="16">
        <v>193993</v>
      </c>
      <c r="X98" s="101" t="s">
        <v>36</v>
      </c>
      <c r="Y98" s="105"/>
      <c r="Z98" s="50">
        <v>0.65555555555555556</v>
      </c>
      <c r="AA98" s="50">
        <v>0.71250000000000002</v>
      </c>
      <c r="AD98" s="37">
        <v>20622</v>
      </c>
      <c r="AE98" s="93">
        <f t="shared" si="23"/>
        <v>20.622</v>
      </c>
      <c r="AF98">
        <v>14.99</v>
      </c>
      <c r="AG98" s="103">
        <f t="shared" si="21"/>
        <v>14</v>
      </c>
      <c r="AH98" s="37">
        <f t="shared" si="22"/>
        <v>20.621999999999996</v>
      </c>
      <c r="AJ98" s="97">
        <v>45915</v>
      </c>
      <c r="AK98" t="s">
        <v>2139</v>
      </c>
      <c r="AL98" t="s">
        <v>5</v>
      </c>
      <c r="AN98" s="81" t="s">
        <v>2180</v>
      </c>
      <c r="AO98" s="81" t="s">
        <v>2181</v>
      </c>
      <c r="AP98" s="37">
        <v>5590</v>
      </c>
      <c r="AR98" s="97"/>
      <c r="AS98" s="38"/>
      <c r="AU98" s="97">
        <v>45915</v>
      </c>
      <c r="AW98" t="s">
        <v>5</v>
      </c>
      <c r="AY98" s="39">
        <v>0.4375</v>
      </c>
      <c r="AZ98" s="39">
        <v>0.45347222222222222</v>
      </c>
      <c r="BA98" s="37">
        <v>3346</v>
      </c>
      <c r="BB98" t="s">
        <v>2238</v>
      </c>
      <c r="BC98" s="97">
        <v>45916</v>
      </c>
      <c r="BD98" s="38"/>
    </row>
    <row r="99" spans="22:56" ht="16" x14ac:dyDescent="0.4">
      <c r="V99" s="97">
        <v>45909</v>
      </c>
      <c r="W99" s="16">
        <v>194011</v>
      </c>
      <c r="X99" s="101" t="s">
        <v>36</v>
      </c>
      <c r="Y99" s="105"/>
      <c r="Z99" s="50">
        <v>0.70556712962962964</v>
      </c>
      <c r="AA99" s="50">
        <v>0.77481481481481485</v>
      </c>
      <c r="AD99" s="37">
        <v>20646</v>
      </c>
      <c r="AE99" s="93">
        <f t="shared" si="23"/>
        <v>20.646000000000001</v>
      </c>
      <c r="AF99">
        <v>14.74</v>
      </c>
      <c r="AG99" s="103">
        <f t="shared" si="21"/>
        <v>14</v>
      </c>
      <c r="AH99" s="37">
        <f t="shared" si="22"/>
        <v>20.645999999999997</v>
      </c>
      <c r="AJ99" s="97">
        <v>45915</v>
      </c>
      <c r="AK99" t="s">
        <v>2140</v>
      </c>
      <c r="AL99" t="s">
        <v>5</v>
      </c>
      <c r="AN99" s="81" t="s">
        <v>2182</v>
      </c>
      <c r="AO99" s="81" t="s">
        <v>2183</v>
      </c>
      <c r="AP99" s="37">
        <v>3140</v>
      </c>
      <c r="AR99" s="97"/>
      <c r="AS99" s="38"/>
      <c r="AU99" s="97">
        <v>45916</v>
      </c>
      <c r="AW99" t="s">
        <v>5</v>
      </c>
      <c r="AY99" s="39">
        <v>0.45347222222222222</v>
      </c>
      <c r="AZ99" s="39">
        <v>0.4916666666666667</v>
      </c>
      <c r="BA99" s="37">
        <v>3050</v>
      </c>
      <c r="BB99" t="s">
        <v>2188</v>
      </c>
      <c r="BC99" s="97">
        <v>45916</v>
      </c>
      <c r="BD99" s="38"/>
    </row>
    <row r="100" spans="22:56" ht="16" x14ac:dyDescent="0.4">
      <c r="V100" s="97">
        <v>45909</v>
      </c>
      <c r="W100" s="16">
        <v>194036</v>
      </c>
      <c r="X100" s="101" t="s">
        <v>36</v>
      </c>
      <c r="Y100" s="105"/>
      <c r="Z100" s="50">
        <v>0.65605324074074078</v>
      </c>
      <c r="AA100" s="50">
        <v>0.84202546296296299</v>
      </c>
      <c r="AD100" s="37">
        <v>21500</v>
      </c>
      <c r="AE100" s="93">
        <f t="shared" si="23"/>
        <v>21.5</v>
      </c>
      <c r="AF100">
        <v>14.59</v>
      </c>
      <c r="AG100" s="103">
        <f t="shared" si="21"/>
        <v>14</v>
      </c>
      <c r="AH100" s="37">
        <f t="shared" si="22"/>
        <v>21.5</v>
      </c>
      <c r="AJ100" s="97">
        <v>45915</v>
      </c>
      <c r="AK100" t="s">
        <v>2141</v>
      </c>
      <c r="AL100" t="s">
        <v>5</v>
      </c>
      <c r="AN100" s="81" t="s">
        <v>2184</v>
      </c>
      <c r="AO100" s="81" t="s">
        <v>2184</v>
      </c>
      <c r="AP100" s="37">
        <v>2840</v>
      </c>
      <c r="AR100" s="97"/>
      <c r="AS100" s="38"/>
      <c r="AU100" s="97">
        <v>45915</v>
      </c>
      <c r="AW100" t="s">
        <v>5</v>
      </c>
      <c r="AY100" s="39">
        <v>0.53125</v>
      </c>
      <c r="AZ100" s="39">
        <v>0.54513888888888895</v>
      </c>
      <c r="BA100" s="37">
        <v>2922</v>
      </c>
      <c r="BB100" t="s">
        <v>2195</v>
      </c>
      <c r="BC100" s="97">
        <v>45916</v>
      </c>
      <c r="BD100" s="38"/>
    </row>
    <row r="101" spans="22:56" ht="16" x14ac:dyDescent="0.4">
      <c r="V101" s="97">
        <v>45909</v>
      </c>
      <c r="W101" s="16">
        <v>194061</v>
      </c>
      <c r="X101" s="101" t="s">
        <v>36</v>
      </c>
      <c r="Y101" s="105"/>
      <c r="Z101" s="50">
        <v>0.70569444444444451</v>
      </c>
      <c r="AA101" s="50">
        <v>0.90103009259259259</v>
      </c>
      <c r="AD101" s="37">
        <v>22024</v>
      </c>
      <c r="AE101" s="93">
        <f t="shared" si="23"/>
        <v>22.024000000000001</v>
      </c>
      <c r="AF101">
        <v>13.09</v>
      </c>
      <c r="AG101" s="103">
        <f t="shared" si="21"/>
        <v>13.09</v>
      </c>
      <c r="AH101" s="37">
        <f t="shared" si="22"/>
        <v>20.592440000000003</v>
      </c>
      <c r="AJ101" s="97">
        <v>45915</v>
      </c>
      <c r="AK101" t="s">
        <v>2142</v>
      </c>
      <c r="AL101" t="s">
        <v>5</v>
      </c>
      <c r="AN101" s="81" t="s">
        <v>2185</v>
      </c>
      <c r="AO101" s="81" t="s">
        <v>2186</v>
      </c>
      <c r="AP101" s="37">
        <v>3240</v>
      </c>
      <c r="AR101" s="97"/>
      <c r="AS101" s="38"/>
      <c r="AU101" s="97">
        <v>45916</v>
      </c>
      <c r="AW101" t="s">
        <v>5</v>
      </c>
      <c r="AY101" s="81">
        <v>0.54583333333333328</v>
      </c>
      <c r="AZ101" s="81">
        <v>0.55972222222222223</v>
      </c>
      <c r="BA101" s="37">
        <v>2832</v>
      </c>
      <c r="BB101" t="s">
        <v>2188</v>
      </c>
      <c r="BC101" s="97">
        <v>45916</v>
      </c>
      <c r="BD101" s="38"/>
    </row>
    <row r="102" spans="22:56" ht="16" x14ac:dyDescent="0.4">
      <c r="V102" s="97">
        <v>45909</v>
      </c>
      <c r="W102" s="16">
        <v>194073</v>
      </c>
      <c r="X102" s="101" t="s">
        <v>36</v>
      </c>
      <c r="Y102" s="105"/>
      <c r="Z102" s="50">
        <v>0.65590277777777783</v>
      </c>
      <c r="AA102" s="50">
        <v>0.97490740740740733</v>
      </c>
      <c r="AD102" s="37">
        <v>20122</v>
      </c>
      <c r="AE102" s="93">
        <f t="shared" si="23"/>
        <v>20.122</v>
      </c>
      <c r="AF102">
        <v>14.8</v>
      </c>
      <c r="AG102" s="103">
        <f t="shared" si="21"/>
        <v>14</v>
      </c>
      <c r="AH102" s="37">
        <f t="shared" si="22"/>
        <v>20.121999999999996</v>
      </c>
      <c r="AJ102" s="97">
        <v>45915</v>
      </c>
      <c r="AK102" t="s">
        <v>2143</v>
      </c>
      <c r="AL102" t="s">
        <v>5</v>
      </c>
      <c r="AN102" s="81" t="s">
        <v>2187</v>
      </c>
      <c r="AO102" s="81" t="s">
        <v>2187</v>
      </c>
      <c r="AP102" s="37">
        <v>5200</v>
      </c>
      <c r="AR102" s="97"/>
      <c r="AS102" s="38"/>
      <c r="AU102" s="97">
        <v>45916</v>
      </c>
      <c r="AW102" t="s">
        <v>5</v>
      </c>
      <c r="AY102" s="39">
        <v>0.64513888888888882</v>
      </c>
      <c r="AZ102" s="39">
        <v>0.6118055555555556</v>
      </c>
      <c r="BA102" s="37">
        <v>2952</v>
      </c>
      <c r="BB102" t="s">
        <v>2104</v>
      </c>
      <c r="BC102" s="97">
        <v>45916</v>
      </c>
      <c r="BD102" s="38"/>
    </row>
    <row r="103" spans="22:56" ht="16" x14ac:dyDescent="0.4">
      <c r="V103" s="97">
        <v>45910</v>
      </c>
      <c r="W103" s="16">
        <v>194095</v>
      </c>
      <c r="X103" s="101" t="s">
        <v>36</v>
      </c>
      <c r="Y103" s="105"/>
      <c r="Z103" s="50">
        <v>0.70583333333333342</v>
      </c>
      <c r="AA103" s="50">
        <v>4.9085648148148149E-2</v>
      </c>
      <c r="AD103" s="37">
        <v>21876</v>
      </c>
      <c r="AE103" s="93">
        <f t="shared" si="23"/>
        <v>21.876000000000001</v>
      </c>
      <c r="AF103">
        <v>13.91</v>
      </c>
      <c r="AG103" s="103">
        <f t="shared" si="21"/>
        <v>13.91</v>
      </c>
      <c r="AH103" s="37">
        <f t="shared" si="22"/>
        <v>21.735368571428573</v>
      </c>
      <c r="AJ103" s="97">
        <v>45916</v>
      </c>
      <c r="AK103" t="s">
        <v>2196</v>
      </c>
      <c r="AL103" t="s">
        <v>5</v>
      </c>
      <c r="AN103" s="81" t="s">
        <v>2215</v>
      </c>
      <c r="AO103" s="81" t="s">
        <v>2216</v>
      </c>
      <c r="AP103" s="37">
        <v>490</v>
      </c>
      <c r="AR103" s="97"/>
      <c r="AS103" s="38"/>
      <c r="AU103" s="97">
        <v>45917</v>
      </c>
      <c r="AW103" t="s">
        <v>5</v>
      </c>
      <c r="AY103" s="39">
        <v>0.64513888888888882</v>
      </c>
      <c r="AZ103" s="39">
        <v>0.51597222222222217</v>
      </c>
      <c r="BA103" s="37">
        <v>4874</v>
      </c>
      <c r="BB103" t="s">
        <v>2188</v>
      </c>
      <c r="BC103" s="97">
        <v>45917</v>
      </c>
      <c r="BD103" s="38"/>
    </row>
    <row r="104" spans="22:56" ht="16" x14ac:dyDescent="0.4">
      <c r="V104" s="97">
        <v>45910</v>
      </c>
      <c r="W104" s="16">
        <v>194107</v>
      </c>
      <c r="X104" s="101" t="s">
        <v>36</v>
      </c>
      <c r="Y104" s="105"/>
      <c r="Z104" s="50">
        <v>8.8078703703703704E-3</v>
      </c>
      <c r="AA104" s="50">
        <v>0.1179513888888889</v>
      </c>
      <c r="AD104" s="37">
        <v>22992</v>
      </c>
      <c r="AE104" s="93">
        <f t="shared" si="23"/>
        <v>22.992000000000001</v>
      </c>
      <c r="AF104">
        <v>13.81</v>
      </c>
      <c r="AG104" s="103">
        <f t="shared" si="21"/>
        <v>13.81</v>
      </c>
      <c r="AH104" s="37">
        <f t="shared" si="22"/>
        <v>22.679965714285714</v>
      </c>
      <c r="AJ104" s="97">
        <v>45916</v>
      </c>
      <c r="AK104" t="s">
        <v>2197</v>
      </c>
      <c r="AL104" t="s">
        <v>5</v>
      </c>
      <c r="AN104" s="81" t="s">
        <v>2217</v>
      </c>
      <c r="AO104" s="81" t="s">
        <v>2217</v>
      </c>
      <c r="AP104" s="37">
        <v>2940</v>
      </c>
      <c r="AR104" s="97"/>
      <c r="AS104" s="38"/>
      <c r="AU104" s="97">
        <v>45917</v>
      </c>
      <c r="AW104" t="s">
        <v>5</v>
      </c>
      <c r="AY104" s="39">
        <v>0.6333333333333333</v>
      </c>
      <c r="AZ104" s="39">
        <v>0.6958333333333333</v>
      </c>
      <c r="BA104" s="37">
        <v>3068</v>
      </c>
      <c r="BB104" t="s">
        <v>2239</v>
      </c>
      <c r="BC104" s="97">
        <v>45917</v>
      </c>
      <c r="BD104" s="38"/>
    </row>
    <row r="105" spans="22:56" ht="16" x14ac:dyDescent="0.4">
      <c r="V105" s="97">
        <v>45910</v>
      </c>
      <c r="W105" s="16">
        <v>194120</v>
      </c>
      <c r="X105" s="101" t="s">
        <v>36</v>
      </c>
      <c r="Y105" s="105"/>
      <c r="Z105" s="50">
        <v>0.72210648148148149</v>
      </c>
      <c r="AA105" s="50">
        <v>0.20225694444444445</v>
      </c>
      <c r="AD105" s="37">
        <v>21678</v>
      </c>
      <c r="AE105" s="93">
        <f t="shared" si="23"/>
        <v>21.678000000000001</v>
      </c>
      <c r="AF105">
        <v>15.38</v>
      </c>
      <c r="AG105" s="103">
        <f t="shared" si="21"/>
        <v>14</v>
      </c>
      <c r="AH105" s="37">
        <f t="shared" si="22"/>
        <v>21.678000000000001</v>
      </c>
      <c r="AJ105" s="97">
        <v>45916</v>
      </c>
      <c r="AK105" t="s">
        <v>2198</v>
      </c>
      <c r="AL105" t="s">
        <v>5</v>
      </c>
      <c r="AN105" s="81" t="s">
        <v>2218</v>
      </c>
      <c r="AO105" s="81" t="s">
        <v>2219</v>
      </c>
      <c r="AP105" s="37">
        <v>2830</v>
      </c>
      <c r="AR105" s="97"/>
      <c r="AS105" s="38"/>
      <c r="AU105" s="97">
        <v>45917</v>
      </c>
      <c r="AW105" t="s">
        <v>5</v>
      </c>
      <c r="AY105" s="39">
        <v>0.6958333333333333</v>
      </c>
      <c r="AZ105" s="39">
        <v>0.62013888888888891</v>
      </c>
      <c r="BA105" s="37">
        <v>3456</v>
      </c>
      <c r="BB105" t="s">
        <v>2240</v>
      </c>
      <c r="BC105" s="97">
        <v>45917</v>
      </c>
      <c r="BD105" s="38"/>
    </row>
    <row r="106" spans="22:56" ht="16" x14ac:dyDescent="0.4">
      <c r="V106" s="97">
        <v>45910</v>
      </c>
      <c r="W106" s="16">
        <v>194125</v>
      </c>
      <c r="X106" s="101" t="s">
        <v>36</v>
      </c>
      <c r="Y106" s="105"/>
      <c r="Z106" s="50">
        <v>8.3333333333333332E-3</v>
      </c>
      <c r="AA106" s="50">
        <v>0.28263888888888888</v>
      </c>
      <c r="AD106" s="37">
        <v>16898</v>
      </c>
      <c r="AE106" s="93">
        <f t="shared" si="23"/>
        <v>16.898</v>
      </c>
      <c r="AF106">
        <v>12.15</v>
      </c>
      <c r="AG106" s="103">
        <f t="shared" si="21"/>
        <v>12.15</v>
      </c>
      <c r="AH106" s="37">
        <f t="shared" si="22"/>
        <v>14.665049999999999</v>
      </c>
      <c r="AJ106" s="97">
        <v>45916</v>
      </c>
      <c r="AK106" t="s">
        <v>2199</v>
      </c>
      <c r="AL106" t="s">
        <v>5</v>
      </c>
      <c r="AN106" s="81" t="s">
        <v>2220</v>
      </c>
      <c r="AO106" s="81" t="s">
        <v>2220</v>
      </c>
      <c r="AP106" s="37">
        <v>3030</v>
      </c>
      <c r="AR106" s="97"/>
      <c r="AS106" s="38"/>
      <c r="AU106" s="97">
        <v>45918</v>
      </c>
      <c r="AV106">
        <v>197268</v>
      </c>
      <c r="AW106" t="s">
        <v>5</v>
      </c>
      <c r="AY106" s="39"/>
      <c r="AZ106" s="39"/>
      <c r="BA106" s="37">
        <v>2858</v>
      </c>
      <c r="BC106" s="97">
        <v>45918</v>
      </c>
      <c r="BD106" s="38"/>
    </row>
    <row r="107" spans="22:56" ht="16" x14ac:dyDescent="0.4">
      <c r="V107" s="90"/>
      <c r="W107" s="17"/>
      <c r="X107" s="99"/>
      <c r="Y107" s="110"/>
      <c r="Z107" s="91"/>
      <c r="AA107" s="91"/>
      <c r="AB107" s="17"/>
      <c r="AC107" s="17"/>
      <c r="AD107" s="110"/>
      <c r="AE107" s="92"/>
      <c r="AF107" s="17"/>
      <c r="AG107" s="95"/>
      <c r="AH107" s="110"/>
      <c r="AJ107" s="97">
        <v>45916</v>
      </c>
      <c r="AK107" t="s">
        <v>2200</v>
      </c>
      <c r="AL107" t="s">
        <v>5</v>
      </c>
      <c r="AN107" s="81" t="s">
        <v>2221</v>
      </c>
      <c r="AO107" s="81" t="s">
        <v>2221</v>
      </c>
      <c r="AP107" s="37">
        <v>2960</v>
      </c>
      <c r="AR107" s="97"/>
      <c r="AS107" s="38"/>
      <c r="AU107" s="97">
        <v>45918</v>
      </c>
      <c r="AW107" t="s">
        <v>4</v>
      </c>
      <c r="AY107" s="39">
        <v>0.39930555555555558</v>
      </c>
      <c r="AZ107" s="39">
        <v>0.58194444444444449</v>
      </c>
      <c r="BA107" s="37">
        <v>6326</v>
      </c>
      <c r="BC107" s="97">
        <v>45918</v>
      </c>
      <c r="BD107" s="38"/>
    </row>
    <row r="108" spans="22:56" ht="16" x14ac:dyDescent="0.4">
      <c r="V108" s="90"/>
      <c r="W108" s="17"/>
      <c r="X108" s="99"/>
      <c r="Y108" s="110"/>
      <c r="Z108" s="91"/>
      <c r="AA108" s="91"/>
      <c r="AB108" s="17"/>
      <c r="AC108" s="17"/>
      <c r="AD108" s="110"/>
      <c r="AE108" s="92"/>
      <c r="AF108" s="17"/>
      <c r="AG108" s="95"/>
      <c r="AH108" s="110"/>
      <c r="AJ108" s="97">
        <v>45917</v>
      </c>
      <c r="AK108" t="s">
        <v>2201</v>
      </c>
      <c r="AL108" t="s">
        <v>5</v>
      </c>
      <c r="AN108" s="81" t="s">
        <v>2222</v>
      </c>
      <c r="AO108" s="81" t="s">
        <v>2222</v>
      </c>
      <c r="AP108" s="37">
        <v>2660</v>
      </c>
      <c r="AR108" s="97"/>
      <c r="AU108" s="97">
        <v>45917</v>
      </c>
      <c r="AW108" t="s">
        <v>5</v>
      </c>
      <c r="AY108" s="81">
        <v>0.50347222222222221</v>
      </c>
      <c r="AZ108" s="81">
        <v>0.53125</v>
      </c>
      <c r="BA108" s="37">
        <v>2638</v>
      </c>
      <c r="BB108" t="s">
        <v>2109</v>
      </c>
      <c r="BC108" s="97">
        <v>45919</v>
      </c>
    </row>
    <row r="109" spans="22:56" ht="16" x14ac:dyDescent="0.4">
      <c r="V109" s="97">
        <v>45910</v>
      </c>
      <c r="W109" s="16">
        <v>104382</v>
      </c>
      <c r="X109" s="101" t="s">
        <v>36</v>
      </c>
      <c r="Y109" s="105"/>
      <c r="Z109" s="50">
        <v>9.9236111111111122E-2</v>
      </c>
      <c r="AA109" s="50">
        <v>0.84862268518518524</v>
      </c>
      <c r="AD109" s="37">
        <v>21198</v>
      </c>
      <c r="AE109" s="93">
        <f t="shared" si="23"/>
        <v>21.198</v>
      </c>
      <c r="AF109">
        <v>15.91</v>
      </c>
      <c r="AG109" s="103">
        <f t="shared" si="21"/>
        <v>14</v>
      </c>
      <c r="AH109" s="37">
        <f t="shared" si="22"/>
        <v>21.198</v>
      </c>
      <c r="AJ109" s="97">
        <v>45917</v>
      </c>
      <c r="AK109" t="s">
        <v>2202</v>
      </c>
      <c r="AL109" t="s">
        <v>5</v>
      </c>
      <c r="AN109" s="39" t="s">
        <v>2223</v>
      </c>
      <c r="AO109" s="39" t="s">
        <v>2223</v>
      </c>
      <c r="AP109" s="37">
        <v>4950</v>
      </c>
      <c r="AR109" s="97"/>
      <c r="AU109" s="97">
        <v>45919</v>
      </c>
      <c r="AW109" t="s">
        <v>5</v>
      </c>
      <c r="AY109" s="81">
        <v>0.53125</v>
      </c>
      <c r="AZ109" s="81">
        <v>0.36736111111111108</v>
      </c>
      <c r="BA109" s="37">
        <v>2806</v>
      </c>
      <c r="BB109" t="s">
        <v>2188</v>
      </c>
      <c r="BC109" s="97">
        <v>45919</v>
      </c>
    </row>
    <row r="110" spans="22:56" ht="16" x14ac:dyDescent="0.4">
      <c r="V110" s="97">
        <v>45910</v>
      </c>
      <c r="W110" s="16">
        <v>194396</v>
      </c>
      <c r="X110" s="101" t="s">
        <v>36</v>
      </c>
      <c r="Y110" s="105"/>
      <c r="Z110" s="50">
        <v>0.73076388888888888</v>
      </c>
      <c r="AA110" s="50">
        <v>0.90385416666666663</v>
      </c>
      <c r="AD110" s="37">
        <v>20784</v>
      </c>
      <c r="AE110" s="93">
        <f t="shared" si="23"/>
        <v>20.783999999999999</v>
      </c>
      <c r="AF110">
        <v>16.13</v>
      </c>
      <c r="AG110" s="103">
        <f t="shared" si="21"/>
        <v>14</v>
      </c>
      <c r="AH110" s="37">
        <f t="shared" si="22"/>
        <v>20.783999999999999</v>
      </c>
      <c r="AJ110" s="97">
        <v>45917</v>
      </c>
      <c r="AK110" s="98" t="s">
        <v>2203</v>
      </c>
      <c r="AL110" t="s">
        <v>5</v>
      </c>
      <c r="AN110" s="81" t="s">
        <v>2224</v>
      </c>
      <c r="AO110" s="81" t="s">
        <v>2224</v>
      </c>
      <c r="AP110" s="37">
        <v>3420</v>
      </c>
      <c r="AR110" s="38"/>
      <c r="AU110" s="97">
        <v>45920</v>
      </c>
      <c r="AW110" t="s">
        <v>5</v>
      </c>
      <c r="AY110" s="81">
        <v>0.64583333333333337</v>
      </c>
      <c r="AZ110" s="81">
        <v>0.45069444444444445</v>
      </c>
      <c r="BA110" s="37">
        <v>3794</v>
      </c>
      <c r="BB110" t="s">
        <v>2195</v>
      </c>
      <c r="BC110" s="97">
        <v>45920</v>
      </c>
    </row>
    <row r="111" spans="22:56" ht="16" x14ac:dyDescent="0.4">
      <c r="V111" s="97">
        <v>45910</v>
      </c>
      <c r="W111" s="16">
        <v>199409</v>
      </c>
      <c r="X111" s="101" t="s">
        <v>36</v>
      </c>
      <c r="Y111" s="105"/>
      <c r="Z111" s="50">
        <v>0.89236111111111116</v>
      </c>
      <c r="AA111" s="50">
        <v>0.97469907407407408</v>
      </c>
      <c r="AD111" s="37">
        <v>22262</v>
      </c>
      <c r="AE111" s="93">
        <f t="shared" si="23"/>
        <v>22.262</v>
      </c>
      <c r="AF111">
        <v>14.52</v>
      </c>
      <c r="AG111" s="103">
        <f t="shared" si="21"/>
        <v>14</v>
      </c>
      <c r="AH111" s="37">
        <f t="shared" si="22"/>
        <v>22.262</v>
      </c>
      <c r="AJ111" s="97">
        <v>45918</v>
      </c>
      <c r="AK111" s="16" t="s">
        <v>2204</v>
      </c>
      <c r="AL111" t="s">
        <v>5</v>
      </c>
      <c r="AN111" s="81" t="s">
        <v>2225</v>
      </c>
      <c r="AO111" s="81" t="s">
        <v>2226</v>
      </c>
      <c r="AP111" s="37">
        <v>2770</v>
      </c>
      <c r="AR111" s="38"/>
      <c r="AU111" s="97">
        <v>45920</v>
      </c>
      <c r="AW111" t="s">
        <v>5</v>
      </c>
      <c r="AY111" s="39">
        <v>0.53749999999999998</v>
      </c>
      <c r="AZ111" s="39">
        <v>0.59861111111111109</v>
      </c>
      <c r="BA111" s="37">
        <v>3750</v>
      </c>
      <c r="BB111" t="s">
        <v>2241</v>
      </c>
      <c r="BC111" s="97">
        <v>45920</v>
      </c>
    </row>
    <row r="112" spans="22:56" ht="16" x14ac:dyDescent="0.4">
      <c r="V112" s="97">
        <v>45911</v>
      </c>
      <c r="W112" s="16">
        <v>194419</v>
      </c>
      <c r="X112" s="101" t="s">
        <v>36</v>
      </c>
      <c r="Y112" s="105"/>
      <c r="Z112" s="50">
        <v>0.73101851851851851</v>
      </c>
      <c r="AA112" s="50">
        <v>3.123842592592593E-2</v>
      </c>
      <c r="AD112" s="37">
        <v>21306</v>
      </c>
      <c r="AE112" s="93">
        <f t="shared" si="23"/>
        <v>21.306000000000001</v>
      </c>
      <c r="AF112">
        <v>14.88</v>
      </c>
      <c r="AG112" s="103">
        <f t="shared" si="21"/>
        <v>14</v>
      </c>
      <c r="AH112" s="37">
        <f t="shared" si="22"/>
        <v>21.306000000000001</v>
      </c>
      <c r="AJ112" s="97">
        <v>45918</v>
      </c>
      <c r="AK112" s="16" t="s">
        <v>2205</v>
      </c>
      <c r="AL112" t="s">
        <v>4</v>
      </c>
      <c r="AN112" s="81" t="s">
        <v>2227</v>
      </c>
      <c r="AO112" s="81" t="s">
        <v>2228</v>
      </c>
      <c r="AP112" s="37">
        <v>6150</v>
      </c>
      <c r="AR112" s="38"/>
      <c r="AU112" s="97">
        <v>45922</v>
      </c>
      <c r="AW112" t="s">
        <v>5</v>
      </c>
      <c r="AY112" s="39">
        <v>0.46743055555555557</v>
      </c>
      <c r="AZ112" s="39">
        <v>0.43626157407407407</v>
      </c>
      <c r="BA112" s="37">
        <v>3656</v>
      </c>
      <c r="BB112" t="s">
        <v>2242</v>
      </c>
      <c r="BC112" s="97">
        <v>45922</v>
      </c>
    </row>
    <row r="113" spans="22:55" ht="16" x14ac:dyDescent="0.4">
      <c r="V113" s="97">
        <v>45911</v>
      </c>
      <c r="W113" s="16">
        <v>194425</v>
      </c>
      <c r="X113" s="101" t="s">
        <v>36</v>
      </c>
      <c r="Y113" s="105"/>
      <c r="Z113" s="50">
        <v>0.89211805555555557</v>
      </c>
      <c r="AA113" s="50">
        <v>0.44349537037037035</v>
      </c>
      <c r="AD113" s="37">
        <v>21120</v>
      </c>
      <c r="AE113" s="93">
        <f t="shared" si="23"/>
        <v>21.12</v>
      </c>
      <c r="AF113">
        <v>15.37</v>
      </c>
      <c r="AG113" s="103">
        <f t="shared" si="21"/>
        <v>14</v>
      </c>
      <c r="AH113" s="37">
        <f t="shared" si="22"/>
        <v>21.12</v>
      </c>
      <c r="AJ113" s="97">
        <v>45919</v>
      </c>
      <c r="AK113" s="16" t="s">
        <v>2206</v>
      </c>
      <c r="AL113" t="s">
        <v>5</v>
      </c>
      <c r="AN113" s="81" t="s">
        <v>2229</v>
      </c>
      <c r="AO113" s="81" t="s">
        <v>2229</v>
      </c>
      <c r="AP113" s="37">
        <v>2830</v>
      </c>
      <c r="AR113" s="38"/>
      <c r="AU113" s="97">
        <v>45922</v>
      </c>
      <c r="AW113" t="s">
        <v>5</v>
      </c>
      <c r="AY113" s="39">
        <v>0.5081134259259259</v>
      </c>
      <c r="AZ113" s="39">
        <v>0.46681712962962968</v>
      </c>
      <c r="BA113" s="37">
        <v>2254</v>
      </c>
      <c r="BB113" t="s">
        <v>2109</v>
      </c>
      <c r="BC113" s="97">
        <v>45922</v>
      </c>
    </row>
    <row r="114" spans="22:55" ht="16" x14ac:dyDescent="0.4">
      <c r="V114" s="97">
        <v>45911</v>
      </c>
      <c r="W114" s="16">
        <v>194435</v>
      </c>
      <c r="X114" s="101" t="s">
        <v>36</v>
      </c>
      <c r="Y114" s="105"/>
      <c r="Z114" s="50">
        <v>0.73090277777777779</v>
      </c>
      <c r="AA114" s="50">
        <v>0.13708333333333333</v>
      </c>
      <c r="AD114" s="37">
        <v>20742</v>
      </c>
      <c r="AE114" s="93">
        <f t="shared" si="23"/>
        <v>20.742000000000001</v>
      </c>
      <c r="AF114">
        <v>14.66</v>
      </c>
      <c r="AG114" s="103">
        <f t="shared" si="21"/>
        <v>14</v>
      </c>
      <c r="AH114" s="37">
        <f t="shared" si="22"/>
        <v>20.742000000000001</v>
      </c>
      <c r="AJ114" s="97">
        <v>45919</v>
      </c>
      <c r="AK114" s="16" t="s">
        <v>2207</v>
      </c>
      <c r="AL114" t="s">
        <v>5</v>
      </c>
      <c r="AN114" s="81" t="s">
        <v>2230</v>
      </c>
      <c r="AO114" s="81" t="s">
        <v>2230</v>
      </c>
      <c r="AP114" s="37">
        <v>3140</v>
      </c>
      <c r="AR114" s="38"/>
      <c r="AU114" s="97">
        <v>45922</v>
      </c>
      <c r="AW114" t="s">
        <v>5</v>
      </c>
      <c r="AY114" s="39">
        <v>0.48060185185185184</v>
      </c>
      <c r="AZ114" s="39">
        <v>0.50802083333333337</v>
      </c>
      <c r="BA114" s="37">
        <v>3144</v>
      </c>
      <c r="BB114" t="s">
        <v>2188</v>
      </c>
      <c r="BC114" s="97">
        <v>45922</v>
      </c>
    </row>
    <row r="115" spans="22:55" ht="16" x14ac:dyDescent="0.4">
      <c r="V115" s="97">
        <v>45911</v>
      </c>
      <c r="W115" s="16">
        <v>194441</v>
      </c>
      <c r="X115" s="101" t="s">
        <v>36</v>
      </c>
      <c r="Y115" s="105"/>
      <c r="Z115" s="50">
        <v>0.89182870370370371</v>
      </c>
      <c r="AA115" s="50">
        <v>0.18756944444444446</v>
      </c>
      <c r="AD115" s="37">
        <v>21406</v>
      </c>
      <c r="AE115" s="93">
        <f t="shared" si="23"/>
        <v>21.405999999999999</v>
      </c>
      <c r="AF115">
        <v>15.84</v>
      </c>
      <c r="AG115" s="103">
        <f t="shared" si="21"/>
        <v>14</v>
      </c>
      <c r="AH115" s="37">
        <f t="shared" si="22"/>
        <v>21.405999999999999</v>
      </c>
      <c r="AJ115" s="97">
        <v>45920</v>
      </c>
      <c r="AK115" s="16" t="s">
        <v>2208</v>
      </c>
      <c r="AL115" t="s">
        <v>5</v>
      </c>
      <c r="AN115" s="81" t="s">
        <v>2231</v>
      </c>
      <c r="AO115" s="81" t="s">
        <v>2231</v>
      </c>
      <c r="AP115" s="37">
        <v>3790</v>
      </c>
      <c r="AR115" s="38"/>
      <c r="AU115" s="97">
        <v>45922</v>
      </c>
      <c r="AW115" t="s">
        <v>5</v>
      </c>
      <c r="AY115" s="39">
        <v>0.45778935185185188</v>
      </c>
      <c r="AZ115" s="39">
        <v>0.47440972222222227</v>
      </c>
      <c r="BA115" s="37">
        <v>3274</v>
      </c>
      <c r="BB115" t="s">
        <v>2243</v>
      </c>
      <c r="BC115" s="97">
        <v>45922</v>
      </c>
    </row>
    <row r="116" spans="22:55" ht="16" x14ac:dyDescent="0.4">
      <c r="V116" s="97">
        <v>45911</v>
      </c>
      <c r="W116" s="16">
        <v>194461</v>
      </c>
      <c r="X116" s="101" t="s">
        <v>36</v>
      </c>
      <c r="Y116" s="105"/>
      <c r="Z116" s="50">
        <v>0.17222222222222225</v>
      </c>
      <c r="AA116" s="50">
        <v>0.28541666666666665</v>
      </c>
      <c r="AD116" s="37">
        <v>20010</v>
      </c>
      <c r="AE116" s="93">
        <f t="shared" si="23"/>
        <v>20.010000000000002</v>
      </c>
      <c r="AF116">
        <v>16.690000000000001</v>
      </c>
      <c r="AG116" s="103">
        <f t="shared" si="21"/>
        <v>14</v>
      </c>
      <c r="AH116" s="37">
        <f t="shared" si="22"/>
        <v>20.010000000000002</v>
      </c>
      <c r="AJ116" s="97">
        <v>45920</v>
      </c>
      <c r="AK116" s="16" t="s">
        <v>2209</v>
      </c>
      <c r="AL116" t="s">
        <v>5</v>
      </c>
      <c r="AN116" s="81" t="s">
        <v>2232</v>
      </c>
      <c r="AO116" s="81" t="s">
        <v>2232</v>
      </c>
      <c r="AP116" s="37">
        <v>3050</v>
      </c>
      <c r="AR116" s="38"/>
      <c r="AU116" s="97">
        <v>45922</v>
      </c>
      <c r="AW116" t="s">
        <v>5</v>
      </c>
      <c r="AY116" s="39">
        <v>0.33517361111111116</v>
      </c>
      <c r="AZ116" s="39">
        <v>0.6495023148148148</v>
      </c>
      <c r="BA116" s="37">
        <v>2328</v>
      </c>
      <c r="BB116" t="s">
        <v>2244</v>
      </c>
      <c r="BC116" s="97">
        <v>45922</v>
      </c>
    </row>
    <row r="117" spans="22:55" ht="16" x14ac:dyDescent="0.4">
      <c r="V117" s="97">
        <v>45911</v>
      </c>
      <c r="W117">
        <v>194528</v>
      </c>
      <c r="X117" s="101" t="s">
        <v>36</v>
      </c>
      <c r="Z117">
        <v>0.88680555555555562</v>
      </c>
      <c r="AA117">
        <v>0.34583333333333338</v>
      </c>
      <c r="AD117" s="37">
        <v>21976</v>
      </c>
      <c r="AE117" s="93">
        <f t="shared" si="23"/>
        <v>21.975999999999999</v>
      </c>
      <c r="AF117">
        <v>15.95</v>
      </c>
      <c r="AG117" s="103">
        <f t="shared" si="21"/>
        <v>14</v>
      </c>
      <c r="AH117" s="37">
        <f t="shared" si="22"/>
        <v>21.975999999999999</v>
      </c>
      <c r="AJ117" s="97">
        <v>45920</v>
      </c>
      <c r="AK117" s="16" t="s">
        <v>2210</v>
      </c>
      <c r="AL117" t="s">
        <v>5</v>
      </c>
      <c r="AN117" s="81" t="s">
        <v>2233</v>
      </c>
      <c r="AO117" s="81" t="s">
        <v>2233</v>
      </c>
      <c r="AP117" s="37">
        <v>4020</v>
      </c>
      <c r="AR117" s="38"/>
      <c r="AU117" s="97">
        <v>45922</v>
      </c>
      <c r="AW117" t="s">
        <v>5</v>
      </c>
      <c r="AY117" s="39">
        <v>0.45500000000000002</v>
      </c>
      <c r="AZ117" s="39">
        <v>0.54445601851851855</v>
      </c>
      <c r="BA117" s="100">
        <v>2814</v>
      </c>
      <c r="BC117" s="97">
        <v>45922</v>
      </c>
    </row>
    <row r="118" spans="22:55" ht="16" x14ac:dyDescent="0.4">
      <c r="V118" s="97">
        <v>45911</v>
      </c>
      <c r="W118" s="16">
        <v>194585</v>
      </c>
      <c r="X118" s="101" t="s">
        <v>36</v>
      </c>
      <c r="Y118" s="105"/>
      <c r="Z118" s="50">
        <v>0.17152777777777775</v>
      </c>
      <c r="AA118" s="50">
        <v>0.41250000000000003</v>
      </c>
      <c r="AD118" s="37">
        <v>21144</v>
      </c>
      <c r="AE118" s="93">
        <f t="shared" si="23"/>
        <v>21.143999999999998</v>
      </c>
      <c r="AF118">
        <v>14.47</v>
      </c>
      <c r="AG118" s="103">
        <f t="shared" si="21"/>
        <v>14</v>
      </c>
      <c r="AH118" s="37">
        <f t="shared" si="22"/>
        <v>21.143999999999998</v>
      </c>
      <c r="AJ118" s="97">
        <v>45922</v>
      </c>
      <c r="AK118" s="16" t="s">
        <v>2211</v>
      </c>
      <c r="AL118" t="s">
        <v>5</v>
      </c>
      <c r="AN118" s="81" t="s">
        <v>2234</v>
      </c>
      <c r="AO118" s="81" t="s">
        <v>2234</v>
      </c>
      <c r="AP118" s="37">
        <v>3550</v>
      </c>
      <c r="AR118" s="38"/>
      <c r="AU118" s="97">
        <v>45923</v>
      </c>
      <c r="AV118" s="16"/>
      <c r="AW118" t="s">
        <v>5</v>
      </c>
      <c r="AY118" s="39">
        <v>0.33521990740740742</v>
      </c>
      <c r="AZ118" s="39">
        <v>0.49362268518518521</v>
      </c>
      <c r="BA118" s="100">
        <v>2950</v>
      </c>
      <c r="BB118" t="s">
        <v>2275</v>
      </c>
      <c r="BC118" s="97">
        <v>45923</v>
      </c>
    </row>
    <row r="119" spans="22:55" ht="16" x14ac:dyDescent="0.4">
      <c r="V119" s="97">
        <v>45911</v>
      </c>
      <c r="W119" s="16">
        <v>194651</v>
      </c>
      <c r="X119" s="101" t="s">
        <v>36</v>
      </c>
      <c r="Y119" s="105"/>
      <c r="Z119" s="50">
        <v>0.21875</v>
      </c>
      <c r="AA119" s="50">
        <v>0.5</v>
      </c>
      <c r="AD119" s="37">
        <v>22978</v>
      </c>
      <c r="AE119" s="93">
        <f t="shared" si="23"/>
        <v>22.978000000000002</v>
      </c>
      <c r="AF119">
        <v>14.28</v>
      </c>
      <c r="AG119" s="103">
        <f t="shared" si="21"/>
        <v>14</v>
      </c>
      <c r="AH119" s="37">
        <f t="shared" si="22"/>
        <v>22.978000000000002</v>
      </c>
      <c r="AJ119" s="97">
        <v>45922</v>
      </c>
      <c r="AK119" s="16" t="s">
        <v>2212</v>
      </c>
      <c r="AL119" t="s">
        <v>5</v>
      </c>
      <c r="AN119" s="81" t="s">
        <v>2235</v>
      </c>
      <c r="AO119" s="81" t="s">
        <v>2235</v>
      </c>
      <c r="AP119" s="37">
        <v>2330</v>
      </c>
      <c r="AR119" s="38"/>
      <c r="AU119" s="97">
        <v>45924</v>
      </c>
      <c r="AV119" s="16"/>
      <c r="AW119" t="s">
        <v>5</v>
      </c>
      <c r="AY119" s="81">
        <v>0.56803240740740735</v>
      </c>
      <c r="AZ119" s="81">
        <v>0.44668981481481485</v>
      </c>
      <c r="BA119" s="37">
        <v>3536</v>
      </c>
      <c r="BB119" t="s">
        <v>2276</v>
      </c>
      <c r="BC119" s="97">
        <v>45924</v>
      </c>
    </row>
    <row r="120" spans="22:55" ht="16" x14ac:dyDescent="0.4">
      <c r="V120" s="97">
        <v>45911</v>
      </c>
      <c r="W120" s="16">
        <v>194678</v>
      </c>
      <c r="X120" s="101" t="s">
        <v>36</v>
      </c>
      <c r="Y120" s="105"/>
      <c r="Z120" s="50">
        <v>0.47013888888888888</v>
      </c>
      <c r="AA120" s="50">
        <v>0.55833333333333335</v>
      </c>
      <c r="AD120" s="37">
        <v>21690</v>
      </c>
      <c r="AE120" s="93">
        <f t="shared" si="23"/>
        <v>21.69</v>
      </c>
      <c r="AF120">
        <v>15.74</v>
      </c>
      <c r="AG120" s="103">
        <f t="shared" si="21"/>
        <v>14</v>
      </c>
      <c r="AH120" s="37">
        <f t="shared" si="22"/>
        <v>21.69</v>
      </c>
      <c r="AJ120" s="97">
        <v>45922</v>
      </c>
      <c r="AK120" s="16" t="s">
        <v>2213</v>
      </c>
      <c r="AL120" t="s">
        <v>5</v>
      </c>
      <c r="AN120" s="81" t="s">
        <v>2236</v>
      </c>
      <c r="AO120" s="81" t="s">
        <v>2236</v>
      </c>
      <c r="AP120" s="37">
        <v>2860</v>
      </c>
      <c r="AR120" s="38"/>
      <c r="AU120" s="97">
        <v>45926</v>
      </c>
      <c r="AV120" s="16"/>
      <c r="AW120" t="s">
        <v>5</v>
      </c>
      <c r="AY120" s="81">
        <v>0.57094907407407403</v>
      </c>
      <c r="AZ120" s="81">
        <v>0.58711805555555563</v>
      </c>
      <c r="BA120" s="37">
        <v>3412</v>
      </c>
      <c r="BB120" t="s">
        <v>2277</v>
      </c>
      <c r="BC120" s="97">
        <v>45926</v>
      </c>
    </row>
    <row r="121" spans="22:55" ht="16" x14ac:dyDescent="0.4">
      <c r="V121" s="97">
        <v>45911</v>
      </c>
      <c r="W121" s="16">
        <v>194714</v>
      </c>
      <c r="X121" s="101" t="s">
        <v>36</v>
      </c>
      <c r="Y121" s="105"/>
      <c r="Z121" s="50">
        <v>0.3979166666666667</v>
      </c>
      <c r="AA121" s="50">
        <v>0.6166666666666667</v>
      </c>
      <c r="AD121" s="37">
        <v>22198</v>
      </c>
      <c r="AE121" s="93">
        <f t="shared" si="23"/>
        <v>22.198</v>
      </c>
      <c r="AF121">
        <v>14.05</v>
      </c>
      <c r="AG121" s="103">
        <f t="shared" si="21"/>
        <v>14</v>
      </c>
      <c r="AH121" s="37">
        <f t="shared" si="22"/>
        <v>22.198</v>
      </c>
      <c r="AJ121" s="97">
        <v>45922</v>
      </c>
      <c r="AK121" t="s">
        <v>2214</v>
      </c>
      <c r="AL121" t="s">
        <v>5</v>
      </c>
      <c r="AN121" s="81" t="s">
        <v>2237</v>
      </c>
      <c r="AO121" s="81" t="s">
        <v>2237</v>
      </c>
      <c r="AP121" s="37">
        <v>2400</v>
      </c>
      <c r="AR121" s="38"/>
      <c r="AU121" s="97">
        <v>45926</v>
      </c>
      <c r="AW121" t="s">
        <v>5</v>
      </c>
      <c r="AY121" s="81">
        <v>0.69939814814814805</v>
      </c>
      <c r="AZ121" s="81">
        <v>0.71407407407407408</v>
      </c>
      <c r="BA121" s="37">
        <v>3618</v>
      </c>
      <c r="BB121" t="s">
        <v>2278</v>
      </c>
      <c r="BC121" s="97">
        <v>45926</v>
      </c>
    </row>
    <row r="122" spans="22:55" ht="16" x14ac:dyDescent="0.4">
      <c r="V122" s="97">
        <v>45911</v>
      </c>
      <c r="W122" s="16">
        <v>194767</v>
      </c>
      <c r="X122" s="101" t="s">
        <v>36</v>
      </c>
      <c r="Y122" s="105"/>
      <c r="Z122" s="50">
        <v>0.62013888888888891</v>
      </c>
      <c r="AA122" s="50">
        <v>0.68125000000000002</v>
      </c>
      <c r="AD122" s="37">
        <v>20576</v>
      </c>
      <c r="AE122" s="93">
        <f t="shared" si="23"/>
        <v>20.576000000000001</v>
      </c>
      <c r="AF122">
        <v>14.31</v>
      </c>
      <c r="AG122" s="103">
        <f t="shared" si="21"/>
        <v>14</v>
      </c>
      <c r="AH122" s="37">
        <f t="shared" si="22"/>
        <v>20.576000000000001</v>
      </c>
      <c r="AJ122" s="97">
        <v>45923</v>
      </c>
      <c r="AK122" t="s">
        <v>2245</v>
      </c>
      <c r="AL122" t="s">
        <v>5</v>
      </c>
      <c r="AN122" s="81" t="s">
        <v>2259</v>
      </c>
      <c r="AO122" s="81" t="s">
        <v>2259</v>
      </c>
      <c r="AP122" s="37">
        <v>2940</v>
      </c>
      <c r="AR122" s="38"/>
      <c r="AU122" s="97">
        <v>45927</v>
      </c>
      <c r="AW122" t="s">
        <v>5</v>
      </c>
      <c r="AY122" s="81">
        <v>0.67620370370370375</v>
      </c>
      <c r="AZ122" s="81">
        <v>0.39925925925925926</v>
      </c>
      <c r="BA122" s="37">
        <v>2588</v>
      </c>
      <c r="BB122" t="s">
        <v>2279</v>
      </c>
      <c r="BC122" s="97">
        <v>45927</v>
      </c>
    </row>
    <row r="123" spans="22:55" ht="16" x14ac:dyDescent="0.4">
      <c r="V123" s="97">
        <v>45911</v>
      </c>
      <c r="W123" s="16">
        <v>194783</v>
      </c>
      <c r="X123" s="101" t="s">
        <v>36</v>
      </c>
      <c r="Y123" s="105"/>
      <c r="Z123" s="50">
        <v>0.21875</v>
      </c>
      <c r="AA123" s="50">
        <v>0.7319444444444444</v>
      </c>
      <c r="AD123" s="37">
        <v>16378</v>
      </c>
      <c r="AE123" s="93">
        <f t="shared" si="23"/>
        <v>16.378</v>
      </c>
      <c r="AF123">
        <v>14.63</v>
      </c>
      <c r="AG123" s="103">
        <f t="shared" si="21"/>
        <v>14</v>
      </c>
      <c r="AH123" s="37">
        <f t="shared" si="22"/>
        <v>16.378</v>
      </c>
      <c r="AJ123" s="97">
        <v>45924</v>
      </c>
      <c r="AK123" t="s">
        <v>2246</v>
      </c>
      <c r="AL123" t="s">
        <v>5</v>
      </c>
      <c r="AN123" s="81" t="s">
        <v>2260</v>
      </c>
      <c r="AO123" s="81" t="s">
        <v>2260</v>
      </c>
      <c r="AP123" s="37">
        <v>3440</v>
      </c>
      <c r="AR123" s="38"/>
      <c r="AU123" s="97">
        <v>45927</v>
      </c>
      <c r="AW123" t="s">
        <v>5</v>
      </c>
      <c r="AY123" s="81">
        <v>0.57576388888888885</v>
      </c>
      <c r="AZ123" s="81">
        <v>0.4494097222222222</v>
      </c>
      <c r="BA123" s="37">
        <v>3678</v>
      </c>
      <c r="BB123" t="s">
        <v>2280</v>
      </c>
      <c r="BC123" s="97">
        <v>45927</v>
      </c>
    </row>
    <row r="124" spans="22:55" ht="16" x14ac:dyDescent="0.4">
      <c r="V124" s="97">
        <v>45911</v>
      </c>
      <c r="W124" s="16">
        <v>194816</v>
      </c>
      <c r="X124" s="101" t="s">
        <v>36</v>
      </c>
      <c r="Y124" s="105"/>
      <c r="Z124" s="50">
        <v>0.72831018518518509</v>
      </c>
      <c r="AA124" s="50">
        <v>0.8286458333333333</v>
      </c>
      <c r="AD124" s="37">
        <v>18700</v>
      </c>
      <c r="AE124" s="93">
        <f t="shared" si="23"/>
        <v>18.7</v>
      </c>
      <c r="AF124">
        <v>14.49</v>
      </c>
      <c r="AG124" s="103">
        <f t="shared" si="21"/>
        <v>14</v>
      </c>
      <c r="AH124" s="37">
        <f t="shared" si="22"/>
        <v>18.7</v>
      </c>
      <c r="AJ124" s="97">
        <v>45924</v>
      </c>
      <c r="AK124" t="s">
        <v>2247</v>
      </c>
      <c r="AL124" t="s">
        <v>5</v>
      </c>
      <c r="AN124" s="81" t="s">
        <v>2261</v>
      </c>
      <c r="AO124" s="81" t="s">
        <v>2261</v>
      </c>
      <c r="AP124" s="37">
        <v>3410</v>
      </c>
      <c r="AR124" s="38"/>
      <c r="AU124" s="97">
        <v>45927</v>
      </c>
      <c r="AW124" t="s">
        <v>5</v>
      </c>
      <c r="AY124" s="81">
        <v>0.56131944444444448</v>
      </c>
      <c r="AZ124" s="81">
        <v>0.57562499999999994</v>
      </c>
      <c r="BA124" s="37">
        <v>2584</v>
      </c>
      <c r="BB124" t="s">
        <v>2281</v>
      </c>
      <c r="BC124" s="97">
        <v>45927</v>
      </c>
    </row>
    <row r="125" spans="22:55" ht="16" x14ac:dyDescent="0.4">
      <c r="V125" s="97">
        <v>45911</v>
      </c>
      <c r="W125" s="16">
        <v>194839</v>
      </c>
      <c r="X125" s="101" t="s">
        <v>36</v>
      </c>
      <c r="Y125" s="105"/>
      <c r="Z125" s="50">
        <v>0.88467592592592592</v>
      </c>
      <c r="AA125" s="50"/>
      <c r="AD125" s="37">
        <v>21656</v>
      </c>
      <c r="AE125" s="93">
        <f t="shared" si="23"/>
        <v>21.655999999999999</v>
      </c>
      <c r="AF125">
        <v>14.59</v>
      </c>
      <c r="AG125" s="103">
        <f t="shared" si="21"/>
        <v>14</v>
      </c>
      <c r="AH125" s="37">
        <f t="shared" si="22"/>
        <v>21.655999999999999</v>
      </c>
      <c r="AJ125" s="97">
        <v>45925</v>
      </c>
      <c r="AK125" t="s">
        <v>2248</v>
      </c>
      <c r="AL125" t="s">
        <v>5</v>
      </c>
      <c r="AN125" s="81" t="s">
        <v>2262</v>
      </c>
      <c r="AO125" s="81" t="s">
        <v>2263</v>
      </c>
      <c r="AP125" s="37">
        <v>2680</v>
      </c>
      <c r="AR125" s="38"/>
      <c r="AU125" s="97">
        <v>45927</v>
      </c>
      <c r="AW125" t="s">
        <v>5</v>
      </c>
      <c r="AY125" s="81">
        <v>0.59034722222222225</v>
      </c>
      <c r="AZ125" s="81">
        <v>0.60949074074074072</v>
      </c>
      <c r="BA125" s="37">
        <v>4382</v>
      </c>
      <c r="BB125" t="s">
        <v>2282</v>
      </c>
      <c r="BC125" s="97">
        <v>45927</v>
      </c>
    </row>
    <row r="126" spans="22:55" ht="16" x14ac:dyDescent="0.4">
      <c r="V126" s="97">
        <v>45911</v>
      </c>
      <c r="W126" s="16">
        <v>194868</v>
      </c>
      <c r="X126" s="101" t="s">
        <v>36</v>
      </c>
      <c r="Y126" s="105"/>
      <c r="Z126" s="50">
        <v>0.47011574074074075</v>
      </c>
      <c r="AA126" s="50">
        <v>0.94108796296296304</v>
      </c>
      <c r="AD126" s="37">
        <v>19788</v>
      </c>
      <c r="AE126" s="93">
        <f t="shared" si="23"/>
        <v>19.788</v>
      </c>
      <c r="AF126">
        <v>13.49</v>
      </c>
      <c r="AG126" s="103">
        <f t="shared" si="21"/>
        <v>13.49</v>
      </c>
      <c r="AH126" s="37">
        <f t="shared" si="22"/>
        <v>19.067151428571432</v>
      </c>
      <c r="AJ126" s="97">
        <v>45925</v>
      </c>
      <c r="AK126" t="s">
        <v>2249</v>
      </c>
      <c r="AL126" t="s">
        <v>5</v>
      </c>
      <c r="AN126" s="81" t="s">
        <v>2264</v>
      </c>
      <c r="AO126" s="81" t="s">
        <v>2265</v>
      </c>
      <c r="AP126" s="37">
        <v>3050</v>
      </c>
      <c r="AR126" s="38"/>
      <c r="AU126" s="97">
        <v>45927</v>
      </c>
      <c r="AW126" t="s">
        <v>5</v>
      </c>
      <c r="AY126" s="81">
        <v>0.60958333333333337</v>
      </c>
      <c r="AZ126" s="81">
        <v>0.66820601851851846</v>
      </c>
      <c r="BA126" s="37">
        <v>4760</v>
      </c>
      <c r="BB126" t="s">
        <v>2283</v>
      </c>
      <c r="BC126" s="97">
        <v>45927</v>
      </c>
    </row>
    <row r="127" spans="22:55" ht="16" x14ac:dyDescent="0.4">
      <c r="V127" s="97">
        <v>45912</v>
      </c>
      <c r="W127" s="16">
        <v>194891</v>
      </c>
      <c r="X127" s="101" t="s">
        <v>36</v>
      </c>
      <c r="Y127" s="105"/>
      <c r="Z127" s="50">
        <v>0.91876157407407411</v>
      </c>
      <c r="AA127" s="50">
        <v>1.6145833333333335E-2</v>
      </c>
      <c r="AD127" s="37">
        <v>20644</v>
      </c>
      <c r="AE127" s="93">
        <f t="shared" si="23"/>
        <v>20.643999999999998</v>
      </c>
      <c r="AF127">
        <v>13.88</v>
      </c>
      <c r="AG127" s="103">
        <f t="shared" si="21"/>
        <v>13.88</v>
      </c>
      <c r="AH127" s="37">
        <f t="shared" si="22"/>
        <v>20.46705142857143</v>
      </c>
      <c r="AJ127" s="97">
        <v>45925</v>
      </c>
      <c r="AK127" t="s">
        <v>2250</v>
      </c>
      <c r="AL127" t="s">
        <v>5</v>
      </c>
      <c r="AN127" s="81" t="s">
        <v>2266</v>
      </c>
      <c r="AO127" s="81" t="s">
        <v>2266</v>
      </c>
      <c r="AP127" s="37">
        <v>3510</v>
      </c>
      <c r="AR127" s="38"/>
      <c r="AU127" s="97"/>
      <c r="AY127" s="81"/>
      <c r="AZ127" s="81"/>
      <c r="BA127" s="37"/>
      <c r="BC127" s="97"/>
    </row>
    <row r="128" spans="22:55" ht="16" x14ac:dyDescent="0.4">
      <c r="V128" s="97">
        <v>45912</v>
      </c>
      <c r="W128" s="16">
        <v>198899</v>
      </c>
      <c r="X128" s="101" t="s">
        <v>36</v>
      </c>
      <c r="Y128" s="105"/>
      <c r="Z128" s="50">
        <v>0.4699652777777778</v>
      </c>
      <c r="AA128" s="50">
        <v>5.9259259259259262E-2</v>
      </c>
      <c r="AD128" s="37">
        <v>19676</v>
      </c>
      <c r="AE128" s="93">
        <f t="shared" si="23"/>
        <v>19.675999999999998</v>
      </c>
      <c r="AF128">
        <v>14.13</v>
      </c>
      <c r="AG128" s="103">
        <f t="shared" si="21"/>
        <v>14</v>
      </c>
      <c r="AH128" s="37">
        <f t="shared" si="22"/>
        <v>19.675999999999998</v>
      </c>
      <c r="AJ128" s="97">
        <v>45926</v>
      </c>
      <c r="AK128" t="s">
        <v>2251</v>
      </c>
      <c r="AL128" t="s">
        <v>5</v>
      </c>
      <c r="AN128" s="81" t="s">
        <v>2267</v>
      </c>
      <c r="AO128" s="81" t="s">
        <v>2267</v>
      </c>
      <c r="AP128" s="37">
        <v>2520</v>
      </c>
      <c r="AR128" s="38"/>
      <c r="AU128" s="97"/>
      <c r="AY128" s="81"/>
      <c r="AZ128" s="81"/>
      <c r="BA128" s="37"/>
      <c r="BC128" s="97"/>
    </row>
    <row r="129" spans="22:55" ht="16" x14ac:dyDescent="0.4">
      <c r="V129" s="97">
        <v>45912</v>
      </c>
      <c r="W129" s="16">
        <v>194916</v>
      </c>
      <c r="X129" s="101" t="s">
        <v>36</v>
      </c>
      <c r="Y129" s="105"/>
      <c r="Z129" s="50">
        <v>0.91849537037037043</v>
      </c>
      <c r="AA129" s="50">
        <v>0.11739583333333332</v>
      </c>
      <c r="AD129" s="37">
        <v>20578</v>
      </c>
      <c r="AE129" s="93">
        <f t="shared" si="23"/>
        <v>20.577999999999999</v>
      </c>
      <c r="AF129">
        <v>13.22</v>
      </c>
      <c r="AG129" s="103">
        <f t="shared" si="21"/>
        <v>13.22</v>
      </c>
      <c r="AH129" s="37">
        <f t="shared" si="22"/>
        <v>19.431511428571429</v>
      </c>
      <c r="AJ129" s="97">
        <v>45926</v>
      </c>
      <c r="AK129" t="s">
        <v>2252</v>
      </c>
      <c r="AL129" t="s">
        <v>5</v>
      </c>
      <c r="AN129" s="81" t="s">
        <v>2268</v>
      </c>
      <c r="AO129" s="81" t="s">
        <v>2268</v>
      </c>
      <c r="AP129" s="37">
        <v>4320</v>
      </c>
      <c r="AR129" s="38"/>
      <c r="AU129" s="97"/>
      <c r="AY129" s="81"/>
      <c r="AZ129" s="81"/>
      <c r="BA129" s="37"/>
      <c r="BC129" s="97"/>
    </row>
    <row r="130" spans="22:55" ht="16" x14ac:dyDescent="0.4">
      <c r="V130" s="97">
        <v>45912</v>
      </c>
      <c r="W130" s="16">
        <v>194927</v>
      </c>
      <c r="X130" s="101" t="s">
        <v>36</v>
      </c>
      <c r="Y130" s="105"/>
      <c r="Z130" s="50">
        <v>9.6226851851851855E-2</v>
      </c>
      <c r="AA130" s="50">
        <v>0.17500000000000002</v>
      </c>
      <c r="AD130" s="37">
        <v>20820</v>
      </c>
      <c r="AE130" s="93">
        <f t="shared" si="23"/>
        <v>20.82</v>
      </c>
      <c r="AF130">
        <v>15.38</v>
      </c>
      <c r="AG130" s="103">
        <f t="shared" si="21"/>
        <v>14</v>
      </c>
      <c r="AH130" s="37">
        <f t="shared" si="22"/>
        <v>20.82</v>
      </c>
      <c r="AJ130" s="97">
        <v>45926</v>
      </c>
      <c r="AK130" t="s">
        <v>2253</v>
      </c>
      <c r="AL130" t="s">
        <v>5</v>
      </c>
      <c r="AN130" s="81" t="s">
        <v>2269</v>
      </c>
      <c r="AO130" s="81" t="s">
        <v>2269</v>
      </c>
      <c r="AP130" s="37">
        <v>2390</v>
      </c>
      <c r="AR130" s="38"/>
      <c r="AU130" s="97"/>
      <c r="AY130" s="81"/>
      <c r="AZ130" s="81"/>
      <c r="BA130" s="37"/>
      <c r="BC130" s="97"/>
    </row>
    <row r="131" spans="22:55" ht="16" x14ac:dyDescent="0.4">
      <c r="V131" s="97">
        <v>45912</v>
      </c>
      <c r="W131" s="16">
        <v>194934</v>
      </c>
      <c r="X131" s="101" t="s">
        <v>36</v>
      </c>
      <c r="Y131" s="105"/>
      <c r="Z131" s="50">
        <v>0.9183217592592593</v>
      </c>
      <c r="AA131" s="50">
        <v>0.22601851851851851</v>
      </c>
      <c r="AD131" s="37">
        <v>20864</v>
      </c>
      <c r="AE131" s="93">
        <f t="shared" si="23"/>
        <v>20.864000000000001</v>
      </c>
      <c r="AF131">
        <v>14.63</v>
      </c>
      <c r="AG131" s="103">
        <f t="shared" si="21"/>
        <v>14</v>
      </c>
      <c r="AH131" s="37">
        <f t="shared" si="22"/>
        <v>20.864000000000001</v>
      </c>
      <c r="AJ131" s="97">
        <v>45927</v>
      </c>
      <c r="AK131" t="s">
        <v>2254</v>
      </c>
      <c r="AL131" t="s">
        <v>5</v>
      </c>
      <c r="AN131" s="81" t="s">
        <v>2270</v>
      </c>
      <c r="AO131" s="81" t="s">
        <v>2270</v>
      </c>
      <c r="AP131" s="37">
        <v>2740</v>
      </c>
      <c r="AR131" s="38"/>
      <c r="AU131" s="97"/>
      <c r="AY131" s="81"/>
      <c r="AZ131" s="81"/>
      <c r="BA131" s="37"/>
      <c r="BC131" s="97"/>
    </row>
    <row r="132" spans="22:55" ht="16" x14ac:dyDescent="0.4">
      <c r="V132" s="97">
        <v>45912</v>
      </c>
      <c r="W132" s="16">
        <v>194951</v>
      </c>
      <c r="X132" s="101" t="s">
        <v>36</v>
      </c>
      <c r="Y132" s="105"/>
      <c r="Z132" s="50">
        <v>9.5833333333333326E-2</v>
      </c>
      <c r="AA132" s="50">
        <v>0.2986111111111111</v>
      </c>
      <c r="AD132" s="37">
        <v>18150</v>
      </c>
      <c r="AE132" s="93">
        <f t="shared" si="23"/>
        <v>18.149999999999999</v>
      </c>
      <c r="AF132">
        <v>14.59</v>
      </c>
      <c r="AG132" s="103">
        <f t="shared" si="21"/>
        <v>14</v>
      </c>
      <c r="AH132" s="37">
        <f t="shared" si="22"/>
        <v>18.149999999999999</v>
      </c>
      <c r="AJ132" s="97">
        <v>45927</v>
      </c>
      <c r="AK132" t="s">
        <v>2255</v>
      </c>
      <c r="AL132" t="s">
        <v>5</v>
      </c>
      <c r="AN132" s="81" t="s">
        <v>2271</v>
      </c>
      <c r="AO132" s="81" t="s">
        <v>2271</v>
      </c>
      <c r="AP132" s="37">
        <v>3630</v>
      </c>
      <c r="AR132" s="38"/>
      <c r="AU132" s="97"/>
      <c r="AY132" s="81"/>
      <c r="AZ132" s="81"/>
      <c r="BA132" s="37"/>
      <c r="BC132" s="97"/>
    </row>
    <row r="133" spans="22:55" ht="16" x14ac:dyDescent="0.4">
      <c r="V133" s="90"/>
      <c r="W133" s="17"/>
      <c r="X133" s="99"/>
      <c r="Y133" s="110"/>
      <c r="Z133" s="91"/>
      <c r="AA133" s="91"/>
      <c r="AB133" s="17"/>
      <c r="AC133" s="17"/>
      <c r="AD133" s="110"/>
      <c r="AE133" s="92"/>
      <c r="AF133" s="17"/>
      <c r="AG133" s="95"/>
      <c r="AH133" s="110"/>
      <c r="AJ133" s="97">
        <v>45927</v>
      </c>
      <c r="AK133" t="s">
        <v>2256</v>
      </c>
      <c r="AL133" t="s">
        <v>5</v>
      </c>
      <c r="AN133" s="81" t="s">
        <v>2272</v>
      </c>
      <c r="AO133" s="81" t="s">
        <v>2272</v>
      </c>
      <c r="AP133" s="37">
        <v>2960</v>
      </c>
      <c r="AR133" s="38"/>
      <c r="AU133" s="97"/>
      <c r="AY133" s="81"/>
      <c r="AZ133" s="81"/>
      <c r="BA133" s="37"/>
      <c r="BC133" s="97"/>
    </row>
    <row r="134" spans="22:55" ht="16" x14ac:dyDescent="0.4">
      <c r="V134" s="97">
        <v>45912</v>
      </c>
      <c r="W134" s="16">
        <v>195370</v>
      </c>
      <c r="X134" s="101" t="s">
        <v>36</v>
      </c>
      <c r="Y134" s="105"/>
      <c r="Z134" s="50">
        <v>0.26415509259259257</v>
      </c>
      <c r="AA134" s="50">
        <v>0.85994212962962957</v>
      </c>
      <c r="AD134" s="37">
        <v>21630</v>
      </c>
      <c r="AE134" s="93">
        <f t="shared" si="23"/>
        <v>21.63</v>
      </c>
      <c r="AF134">
        <v>13.78</v>
      </c>
      <c r="AG134" s="103">
        <f t="shared" ref="AG134:AG196" si="24">IF($AF134&gt;14,14,$AF134)</f>
        <v>13.78</v>
      </c>
      <c r="AH134" s="37">
        <f t="shared" ref="AH134:AH196" si="25">AE134*AG134/14</f>
        <v>21.290099999999999</v>
      </c>
      <c r="AJ134" s="97">
        <v>45927</v>
      </c>
      <c r="AK134" t="s">
        <v>2257</v>
      </c>
      <c r="AL134" t="s">
        <v>5</v>
      </c>
      <c r="AN134" s="81" t="s">
        <v>2273</v>
      </c>
      <c r="AO134" s="81" t="s">
        <v>2273</v>
      </c>
      <c r="AP134" s="37">
        <v>4610</v>
      </c>
      <c r="AR134" s="38"/>
      <c r="AU134" s="97"/>
      <c r="AY134" s="81"/>
      <c r="AZ134" s="81"/>
      <c r="BA134" s="37"/>
      <c r="BC134" s="97"/>
    </row>
    <row r="135" spans="22:55" ht="16" x14ac:dyDescent="0.4">
      <c r="V135" s="97">
        <v>45912</v>
      </c>
      <c r="W135" s="16">
        <v>195398</v>
      </c>
      <c r="X135" s="101" t="s">
        <v>36</v>
      </c>
      <c r="Y135" s="105"/>
      <c r="Z135" s="50">
        <v>9.600694444444445E-2</v>
      </c>
      <c r="AA135" s="50">
        <v>0.92497685185185186</v>
      </c>
      <c r="AD135" s="37">
        <v>21720</v>
      </c>
      <c r="AE135" s="93">
        <f t="shared" si="23"/>
        <v>21.72</v>
      </c>
      <c r="AF135">
        <v>13.6</v>
      </c>
      <c r="AG135" s="103">
        <f t="shared" si="24"/>
        <v>13.6</v>
      </c>
      <c r="AH135" s="37">
        <f t="shared" si="25"/>
        <v>21.099428571428572</v>
      </c>
      <c r="AJ135" s="97">
        <v>45928</v>
      </c>
      <c r="AK135" t="s">
        <v>2258</v>
      </c>
      <c r="AL135" t="s">
        <v>5</v>
      </c>
      <c r="AN135" s="81" t="s">
        <v>2274</v>
      </c>
      <c r="AO135" s="81" t="s">
        <v>2274</v>
      </c>
      <c r="AP135" s="37">
        <v>5080</v>
      </c>
      <c r="AR135" s="38"/>
      <c r="AU135" s="97"/>
      <c r="AY135" s="81"/>
      <c r="AZ135" s="81"/>
      <c r="BA135" s="37"/>
      <c r="BC135" s="97"/>
    </row>
    <row r="136" spans="22:55" ht="16" x14ac:dyDescent="0.4">
      <c r="V136" s="97">
        <v>45912</v>
      </c>
      <c r="W136" s="16">
        <v>195419</v>
      </c>
      <c r="X136" s="101" t="s">
        <v>36</v>
      </c>
      <c r="Y136" s="105"/>
      <c r="Z136" s="50">
        <v>0.72627314814814825</v>
      </c>
      <c r="AA136" s="50">
        <v>0.99885416666666671</v>
      </c>
      <c r="AD136" s="37">
        <v>22550</v>
      </c>
      <c r="AE136" s="93">
        <f t="shared" ref="AE136:AE199" si="26">AD136/1000</f>
        <v>22.55</v>
      </c>
      <c r="AF136">
        <v>12.8</v>
      </c>
      <c r="AG136" s="103">
        <f t="shared" si="24"/>
        <v>12.8</v>
      </c>
      <c r="AH136" s="37">
        <f t="shared" si="25"/>
        <v>20.617142857142859</v>
      </c>
      <c r="AJ136" s="97">
        <v>45929</v>
      </c>
      <c r="AK136" t="s">
        <v>2284</v>
      </c>
      <c r="AL136" t="s">
        <v>5</v>
      </c>
      <c r="AN136" s="81" t="s">
        <v>2299</v>
      </c>
      <c r="AO136" s="81" t="s">
        <v>2299</v>
      </c>
      <c r="AP136" s="37">
        <v>3570</v>
      </c>
      <c r="AR136" s="38"/>
      <c r="AU136" s="97"/>
      <c r="AY136" s="81"/>
      <c r="AZ136" s="81"/>
      <c r="BA136" s="37"/>
      <c r="BC136" s="97"/>
    </row>
    <row r="137" spans="22:55" ht="16" x14ac:dyDescent="0.4">
      <c r="V137" s="97">
        <v>45913</v>
      </c>
      <c r="W137" s="16">
        <v>195434</v>
      </c>
      <c r="X137" s="101" t="s">
        <v>36</v>
      </c>
      <c r="Y137" s="105"/>
      <c r="Z137" s="50">
        <v>0.34557870370370369</v>
      </c>
      <c r="AA137" s="50">
        <v>4.9212962962962958E-2</v>
      </c>
      <c r="AD137" s="37">
        <v>21486</v>
      </c>
      <c r="AE137" s="93">
        <f t="shared" si="26"/>
        <v>21.486000000000001</v>
      </c>
      <c r="AF137">
        <v>13.3</v>
      </c>
      <c r="AG137" s="103">
        <f t="shared" si="24"/>
        <v>13.3</v>
      </c>
      <c r="AH137" s="37">
        <f t="shared" si="25"/>
        <v>20.4117</v>
      </c>
      <c r="AJ137" s="97">
        <v>45929</v>
      </c>
      <c r="AK137" t="s">
        <v>2285</v>
      </c>
      <c r="AL137" t="s">
        <v>5</v>
      </c>
      <c r="AN137" s="81" t="s">
        <v>2300</v>
      </c>
      <c r="AO137" s="81" t="s">
        <v>2300</v>
      </c>
      <c r="AP137" s="37">
        <v>2710</v>
      </c>
      <c r="AR137" s="38"/>
      <c r="AU137" s="97"/>
      <c r="AY137" s="81"/>
      <c r="AZ137" s="81"/>
      <c r="BA137" s="37"/>
      <c r="BC137" s="97"/>
    </row>
    <row r="138" spans="22:55" ht="16" x14ac:dyDescent="0.4">
      <c r="V138" s="97">
        <v>45913</v>
      </c>
      <c r="W138" s="16">
        <v>195441</v>
      </c>
      <c r="X138" s="101" t="s">
        <v>36</v>
      </c>
      <c r="Y138" s="105"/>
      <c r="Z138" s="50">
        <v>0.26401620370370371</v>
      </c>
      <c r="AA138" s="50">
        <v>0.10761574074074075</v>
      </c>
      <c r="AD138" s="37">
        <v>20788</v>
      </c>
      <c r="AE138" s="93">
        <f t="shared" si="26"/>
        <v>20.788</v>
      </c>
      <c r="AF138">
        <v>14.5</v>
      </c>
      <c r="AG138" s="103">
        <f t="shared" si="24"/>
        <v>14</v>
      </c>
      <c r="AH138" s="37">
        <f t="shared" si="25"/>
        <v>20.788</v>
      </c>
      <c r="AJ138" s="97">
        <v>45929</v>
      </c>
      <c r="AK138" t="s">
        <v>2286</v>
      </c>
      <c r="AL138" t="s">
        <v>5</v>
      </c>
      <c r="AN138" s="81" t="s">
        <v>2301</v>
      </c>
      <c r="AO138" s="81" t="s">
        <v>2301</v>
      </c>
      <c r="AP138" s="37">
        <v>2850</v>
      </c>
      <c r="AR138" s="38"/>
      <c r="AU138" s="97"/>
      <c r="AY138" s="81"/>
      <c r="AZ138" s="81"/>
      <c r="BA138" s="37"/>
      <c r="BC138" s="97"/>
    </row>
    <row r="139" spans="22:55" ht="16" x14ac:dyDescent="0.4">
      <c r="V139" s="97">
        <v>45913</v>
      </c>
      <c r="W139" s="16">
        <v>195454</v>
      </c>
      <c r="X139" s="101" t="s">
        <v>36</v>
      </c>
      <c r="Y139" s="105"/>
      <c r="Z139" s="50">
        <v>0.34541666666666665</v>
      </c>
      <c r="AA139" s="50">
        <v>0.16017361111111111</v>
      </c>
      <c r="AD139" s="37">
        <v>21700</v>
      </c>
      <c r="AE139" s="93">
        <f t="shared" si="26"/>
        <v>21.7</v>
      </c>
      <c r="AF139">
        <v>14.15</v>
      </c>
      <c r="AG139" s="103">
        <f t="shared" si="24"/>
        <v>14</v>
      </c>
      <c r="AH139" s="37">
        <f t="shared" si="25"/>
        <v>21.7</v>
      </c>
      <c r="AJ139" s="97">
        <v>45929</v>
      </c>
      <c r="AK139" t="s">
        <v>2287</v>
      </c>
      <c r="AL139" t="s">
        <v>5</v>
      </c>
      <c r="AN139" s="81" t="s">
        <v>2302</v>
      </c>
      <c r="AO139" s="81" t="s">
        <v>2303</v>
      </c>
      <c r="AP139" s="37">
        <v>3250</v>
      </c>
      <c r="AR139" s="38"/>
      <c r="AU139" s="97"/>
      <c r="AY139" s="81"/>
      <c r="AZ139" s="81"/>
      <c r="BA139" s="37"/>
      <c r="BC139" s="97"/>
    </row>
    <row r="140" spans="22:55" ht="16" x14ac:dyDescent="0.4">
      <c r="V140" s="97">
        <v>45913</v>
      </c>
      <c r="W140" s="16">
        <v>195459</v>
      </c>
      <c r="X140" s="101" t="s">
        <v>36</v>
      </c>
      <c r="Y140" s="105"/>
      <c r="Z140" s="50">
        <v>0.14298611111111112</v>
      </c>
      <c r="AA140" s="50">
        <v>0.21656249999999999</v>
      </c>
      <c r="AD140" s="37">
        <v>21304</v>
      </c>
      <c r="AE140" s="93">
        <f t="shared" si="26"/>
        <v>21.303999999999998</v>
      </c>
      <c r="AF140">
        <v>14.05</v>
      </c>
      <c r="AG140" s="103">
        <f t="shared" si="24"/>
        <v>14</v>
      </c>
      <c r="AH140" s="37">
        <f t="shared" si="25"/>
        <v>21.303999999999998</v>
      </c>
      <c r="AJ140" s="97">
        <v>45929</v>
      </c>
      <c r="AK140" t="s">
        <v>2288</v>
      </c>
      <c r="AL140" t="s">
        <v>5</v>
      </c>
      <c r="AN140" s="81" t="s">
        <v>2304</v>
      </c>
      <c r="AO140" s="81" t="s">
        <v>2304</v>
      </c>
      <c r="AP140" s="37">
        <v>3000</v>
      </c>
      <c r="AR140" s="38"/>
      <c r="AU140" s="97"/>
      <c r="AY140" s="81"/>
      <c r="AZ140" s="81"/>
      <c r="BA140" s="37"/>
      <c r="BC140" s="97"/>
    </row>
    <row r="141" spans="22:55" ht="16" x14ac:dyDescent="0.4">
      <c r="V141" s="97">
        <v>45913</v>
      </c>
      <c r="W141" s="16">
        <v>195475</v>
      </c>
      <c r="X141" s="101" t="s">
        <v>36</v>
      </c>
      <c r="Y141" s="105"/>
      <c r="Z141" s="50">
        <v>0.21319444444444444</v>
      </c>
      <c r="AA141" s="50">
        <v>0.28680555555555554</v>
      </c>
      <c r="AD141" s="37">
        <v>20418</v>
      </c>
      <c r="AE141" s="93">
        <f t="shared" si="26"/>
        <v>20.417999999999999</v>
      </c>
      <c r="AF141">
        <v>13.57</v>
      </c>
      <c r="AG141" s="103">
        <f t="shared" si="24"/>
        <v>13.57</v>
      </c>
      <c r="AH141" s="37">
        <f t="shared" si="25"/>
        <v>19.790875714285711</v>
      </c>
      <c r="AJ141" s="97">
        <v>45929</v>
      </c>
      <c r="AK141" t="s">
        <v>2289</v>
      </c>
      <c r="AL141" t="s">
        <v>5</v>
      </c>
      <c r="AN141" s="81" t="s">
        <v>2305</v>
      </c>
      <c r="AO141" s="81" t="s">
        <v>2305</v>
      </c>
      <c r="AP141" s="48">
        <v>4880</v>
      </c>
      <c r="AR141" s="38"/>
      <c r="AU141" s="97"/>
      <c r="AY141" s="81"/>
      <c r="AZ141" s="81"/>
      <c r="BA141" s="48"/>
      <c r="BC141" s="97"/>
    </row>
    <row r="142" spans="22:55" ht="16" x14ac:dyDescent="0.4">
      <c r="V142" s="97">
        <v>45913</v>
      </c>
      <c r="W142" s="16">
        <v>195510</v>
      </c>
      <c r="X142" s="101" t="s">
        <v>36</v>
      </c>
      <c r="Y142" s="105"/>
      <c r="Z142" s="102">
        <v>0.1423611111111111</v>
      </c>
      <c r="AA142" s="102">
        <v>0.35416666666666669</v>
      </c>
      <c r="AB142" s="16"/>
      <c r="AC142" s="16"/>
      <c r="AD142" s="93">
        <v>20838</v>
      </c>
      <c r="AE142" s="93">
        <f t="shared" si="26"/>
        <v>20.838000000000001</v>
      </c>
      <c r="AF142">
        <v>14.88</v>
      </c>
      <c r="AG142" s="103">
        <f t="shared" si="24"/>
        <v>14</v>
      </c>
      <c r="AH142" s="37">
        <f t="shared" si="25"/>
        <v>20.838000000000001</v>
      </c>
      <c r="AJ142" s="97">
        <v>45929</v>
      </c>
      <c r="AK142" t="s">
        <v>2290</v>
      </c>
      <c r="AL142" t="s">
        <v>5</v>
      </c>
      <c r="AN142" s="81" t="s">
        <v>2306</v>
      </c>
      <c r="AO142" s="81" t="s">
        <v>2307</v>
      </c>
      <c r="AP142" s="48">
        <v>2420</v>
      </c>
      <c r="AR142" s="38"/>
      <c r="AU142" s="97"/>
      <c r="AY142" s="81"/>
      <c r="AZ142" s="81"/>
      <c r="BA142" s="48"/>
      <c r="BC142" s="97"/>
    </row>
    <row r="143" spans="22:55" ht="16" x14ac:dyDescent="0.4">
      <c r="V143" s="97">
        <v>45913</v>
      </c>
      <c r="W143" s="16">
        <v>195558</v>
      </c>
      <c r="X143" s="101" t="s">
        <v>36</v>
      </c>
      <c r="Y143" s="105"/>
      <c r="Z143" s="102">
        <v>0.21319444444444444</v>
      </c>
      <c r="AA143" s="102">
        <v>0.41180555555555554</v>
      </c>
      <c r="AB143" s="16"/>
      <c r="AC143" s="16"/>
      <c r="AD143" s="93">
        <v>20096</v>
      </c>
      <c r="AE143" s="93">
        <f t="shared" si="26"/>
        <v>20.096</v>
      </c>
      <c r="AF143" s="16">
        <v>14.02</v>
      </c>
      <c r="AG143" s="103">
        <f t="shared" si="24"/>
        <v>14</v>
      </c>
      <c r="AH143" s="37">
        <f t="shared" si="25"/>
        <v>20.096</v>
      </c>
      <c r="AJ143" s="97">
        <v>45930</v>
      </c>
      <c r="AK143" t="s">
        <v>2291</v>
      </c>
      <c r="AL143" t="s">
        <v>4</v>
      </c>
      <c r="AN143" s="81" t="s">
        <v>2308</v>
      </c>
      <c r="AO143" s="81" t="s">
        <v>2309</v>
      </c>
      <c r="AP143" s="48">
        <v>6730</v>
      </c>
      <c r="AR143" s="38"/>
      <c r="AU143" s="97"/>
      <c r="AY143" s="81"/>
      <c r="AZ143" s="81"/>
      <c r="BA143" s="48"/>
      <c r="BC143" s="97"/>
    </row>
    <row r="144" spans="22:55" ht="16" x14ac:dyDescent="0.4">
      <c r="V144" s="97">
        <v>45913</v>
      </c>
      <c r="W144" s="16">
        <v>195611</v>
      </c>
      <c r="X144" s="101" t="s">
        <v>36</v>
      </c>
      <c r="Y144" s="105"/>
      <c r="Z144" s="102">
        <v>0.1423611111111111</v>
      </c>
      <c r="AA144" s="102">
        <v>0.50208333333333333</v>
      </c>
      <c r="AB144" s="16"/>
      <c r="AC144" s="16"/>
      <c r="AD144" s="93">
        <v>21908</v>
      </c>
      <c r="AE144" s="93">
        <f t="shared" si="26"/>
        <v>21.908000000000001</v>
      </c>
      <c r="AF144" s="16">
        <v>14.87</v>
      </c>
      <c r="AG144" s="103">
        <f t="shared" si="24"/>
        <v>14</v>
      </c>
      <c r="AH144" s="37">
        <f t="shared" si="25"/>
        <v>21.907999999999998</v>
      </c>
      <c r="AJ144" s="97">
        <v>45930</v>
      </c>
      <c r="AK144" t="s">
        <v>2292</v>
      </c>
      <c r="AL144" t="s">
        <v>5</v>
      </c>
      <c r="AN144" s="81" t="s">
        <v>2310</v>
      </c>
      <c r="AO144" s="81" t="s">
        <v>2310</v>
      </c>
      <c r="AP144" s="48">
        <v>3260</v>
      </c>
      <c r="AR144" s="38"/>
      <c r="AU144" s="97"/>
      <c r="AY144" s="81"/>
      <c r="AZ144" s="81"/>
      <c r="BA144" s="48"/>
      <c r="BC144" s="97"/>
    </row>
    <row r="145" spans="22:55" ht="16" x14ac:dyDescent="0.4">
      <c r="V145" s="97">
        <v>45913</v>
      </c>
      <c r="W145" s="16">
        <v>195641</v>
      </c>
      <c r="X145" s="101" t="s">
        <v>36</v>
      </c>
      <c r="Y145" s="105"/>
      <c r="Z145" s="102">
        <v>0.21249999999999999</v>
      </c>
      <c r="AA145" s="102">
        <v>0.57222222222222219</v>
      </c>
      <c r="AB145" s="16"/>
      <c r="AC145" s="16"/>
      <c r="AD145" s="93">
        <v>21128</v>
      </c>
      <c r="AE145" s="93">
        <f t="shared" si="26"/>
        <v>21.128</v>
      </c>
      <c r="AF145" s="16">
        <v>15.49</v>
      </c>
      <c r="AG145" s="103">
        <f t="shared" si="24"/>
        <v>14</v>
      </c>
      <c r="AH145" s="37">
        <f t="shared" si="25"/>
        <v>21.128000000000004</v>
      </c>
      <c r="AJ145" s="97">
        <v>45930</v>
      </c>
      <c r="AK145" t="s">
        <v>2293</v>
      </c>
      <c r="AL145" t="s">
        <v>5</v>
      </c>
      <c r="AN145" s="81" t="s">
        <v>2311</v>
      </c>
      <c r="AO145" s="81" t="s">
        <v>2311</v>
      </c>
      <c r="AP145" s="48">
        <v>2950</v>
      </c>
      <c r="AR145" s="38"/>
      <c r="AU145" s="97"/>
      <c r="AY145" s="81"/>
      <c r="AZ145" s="81"/>
      <c r="BA145" s="48"/>
      <c r="BC145" s="97"/>
    </row>
    <row r="146" spans="22:55" ht="16" x14ac:dyDescent="0.4">
      <c r="V146" s="97">
        <v>45913</v>
      </c>
      <c r="W146" s="16">
        <v>195667</v>
      </c>
      <c r="X146" s="101" t="s">
        <v>36</v>
      </c>
      <c r="Y146" s="105"/>
      <c r="Z146" s="102">
        <v>0.72083333333333333</v>
      </c>
      <c r="AA146" s="102">
        <v>0.61875000000000002</v>
      </c>
      <c r="AB146" s="16"/>
      <c r="AC146" s="16"/>
      <c r="AD146" s="93">
        <v>18710</v>
      </c>
      <c r="AE146" s="93">
        <f t="shared" si="26"/>
        <v>18.71</v>
      </c>
      <c r="AF146" s="16">
        <v>15.65</v>
      </c>
      <c r="AG146" s="103">
        <f t="shared" si="24"/>
        <v>14</v>
      </c>
      <c r="AH146" s="37">
        <f t="shared" si="25"/>
        <v>18.71</v>
      </c>
      <c r="AJ146" s="97">
        <v>45930</v>
      </c>
      <c r="AK146" t="s">
        <v>2294</v>
      </c>
      <c r="AL146" t="s">
        <v>5</v>
      </c>
      <c r="AN146" s="81" t="s">
        <v>2312</v>
      </c>
      <c r="AO146" s="81" t="s">
        <v>2312</v>
      </c>
      <c r="AP146" s="48">
        <v>2690</v>
      </c>
      <c r="AR146" s="38"/>
      <c r="AU146" s="97"/>
      <c r="AY146" s="81"/>
      <c r="AZ146" s="81"/>
      <c r="BA146" s="48"/>
      <c r="BC146" s="97"/>
    </row>
    <row r="147" spans="22:55" ht="16" x14ac:dyDescent="0.4">
      <c r="V147" s="97">
        <v>45913</v>
      </c>
      <c r="W147" s="16">
        <v>195689</v>
      </c>
      <c r="X147" s="101" t="s">
        <v>36</v>
      </c>
      <c r="Y147" s="105"/>
      <c r="Z147" s="102">
        <v>0.72361111111111109</v>
      </c>
      <c r="AA147" s="102">
        <v>0.68333333333333324</v>
      </c>
      <c r="AB147" s="16"/>
      <c r="AC147" s="16"/>
      <c r="AD147" s="93">
        <v>20252</v>
      </c>
      <c r="AE147" s="93">
        <f t="shared" si="26"/>
        <v>20.251999999999999</v>
      </c>
      <c r="AF147" s="16">
        <v>14.55</v>
      </c>
      <c r="AG147" s="103">
        <f t="shared" si="24"/>
        <v>14</v>
      </c>
      <c r="AH147" s="37">
        <f t="shared" si="25"/>
        <v>20.251999999999999</v>
      </c>
      <c r="AJ147" s="97">
        <v>45930</v>
      </c>
      <c r="AK147" t="s">
        <v>2295</v>
      </c>
      <c r="AL147" t="s">
        <v>5</v>
      </c>
      <c r="AN147" s="81" t="s">
        <v>2313</v>
      </c>
      <c r="AO147" s="81" t="s">
        <v>2313</v>
      </c>
      <c r="AP147" s="48">
        <v>2060</v>
      </c>
      <c r="AR147" s="38"/>
      <c r="AU147" s="97"/>
      <c r="AY147" s="81"/>
      <c r="AZ147" s="81"/>
      <c r="BA147" s="48"/>
      <c r="BC147" s="97"/>
    </row>
    <row r="148" spans="22:55" ht="16" x14ac:dyDescent="0.4">
      <c r="V148" s="97">
        <v>45913</v>
      </c>
      <c r="W148" s="16">
        <v>195702</v>
      </c>
      <c r="X148" s="101" t="s">
        <v>36</v>
      </c>
      <c r="Y148" s="105"/>
      <c r="Z148" s="102">
        <v>0.67291666666666661</v>
      </c>
      <c r="AA148" s="102">
        <v>0.72638888888888886</v>
      </c>
      <c r="AB148" s="16"/>
      <c r="AC148" s="16"/>
      <c r="AD148" s="93">
        <v>20152</v>
      </c>
      <c r="AE148" s="93">
        <f t="shared" si="26"/>
        <v>20.152000000000001</v>
      </c>
      <c r="AF148" s="16">
        <v>15.16</v>
      </c>
      <c r="AG148" s="103">
        <f t="shared" si="24"/>
        <v>14</v>
      </c>
      <c r="AH148" s="37">
        <f t="shared" si="25"/>
        <v>20.152000000000005</v>
      </c>
      <c r="AJ148" s="97">
        <v>45930</v>
      </c>
      <c r="AK148" t="s">
        <v>2296</v>
      </c>
      <c r="AL148" t="s">
        <v>5</v>
      </c>
      <c r="AN148" s="81" t="s">
        <v>2314</v>
      </c>
      <c r="AO148" s="81" t="s">
        <v>2315</v>
      </c>
      <c r="AP148" s="48">
        <v>1800</v>
      </c>
      <c r="AR148" s="38"/>
      <c r="AU148" s="97"/>
      <c r="AY148" s="81"/>
      <c r="AZ148" s="81"/>
      <c r="BA148" s="48"/>
      <c r="BC148" s="97"/>
    </row>
    <row r="149" spans="22:55" ht="16" x14ac:dyDescent="0.4">
      <c r="V149" s="97">
        <v>45913</v>
      </c>
      <c r="W149" s="16">
        <v>195719</v>
      </c>
      <c r="X149" s="101" t="s">
        <v>36</v>
      </c>
      <c r="Y149" s="105"/>
      <c r="Z149" s="102">
        <v>0.62638888888888888</v>
      </c>
      <c r="AA149" s="102">
        <v>0.81666666666666676</v>
      </c>
      <c r="AB149" s="16"/>
      <c r="AC149" s="16"/>
      <c r="AD149" s="93">
        <v>21414</v>
      </c>
      <c r="AE149" s="93">
        <f t="shared" si="26"/>
        <v>21.414000000000001</v>
      </c>
      <c r="AF149" s="16">
        <v>15.81</v>
      </c>
      <c r="AG149" s="103">
        <f t="shared" si="24"/>
        <v>14</v>
      </c>
      <c r="AH149" s="37">
        <f t="shared" si="25"/>
        <v>21.414000000000005</v>
      </c>
      <c r="AJ149" s="97">
        <v>45930</v>
      </c>
      <c r="AK149" t="s">
        <v>2297</v>
      </c>
      <c r="AL149" t="s">
        <v>5</v>
      </c>
      <c r="AN149" s="81" t="s">
        <v>2316</v>
      </c>
      <c r="AO149" s="81" t="s">
        <v>2316</v>
      </c>
      <c r="AP149" s="48">
        <v>1230</v>
      </c>
      <c r="AR149" s="38"/>
      <c r="AU149" s="97"/>
      <c r="AY149" s="81"/>
      <c r="AZ149" s="81"/>
      <c r="BA149" s="48"/>
      <c r="BC149" s="97"/>
    </row>
    <row r="150" spans="22:55" ht="16" x14ac:dyDescent="0.4">
      <c r="V150" s="97">
        <v>45913</v>
      </c>
      <c r="W150" s="16">
        <v>195737</v>
      </c>
      <c r="X150" s="101" t="s">
        <v>36</v>
      </c>
      <c r="Y150" s="105"/>
      <c r="Z150" s="102">
        <v>0.57847222222222217</v>
      </c>
      <c r="AA150" s="102">
        <v>0.88124999999999998</v>
      </c>
      <c r="AB150" s="16"/>
      <c r="AC150" s="16"/>
      <c r="AD150" s="93">
        <v>21064</v>
      </c>
      <c r="AE150" s="93">
        <f t="shared" si="26"/>
        <v>21.064</v>
      </c>
      <c r="AF150" s="16">
        <v>14.31</v>
      </c>
      <c r="AG150" s="103">
        <f t="shared" si="24"/>
        <v>14</v>
      </c>
      <c r="AH150" s="37">
        <f t="shared" si="25"/>
        <v>21.064</v>
      </c>
      <c r="AJ150" s="97">
        <v>45930</v>
      </c>
      <c r="AK150" t="s">
        <v>2298</v>
      </c>
      <c r="AL150" t="s">
        <v>5</v>
      </c>
      <c r="AN150" s="81" t="s">
        <v>2317</v>
      </c>
      <c r="AO150" s="81" t="s">
        <v>2317</v>
      </c>
      <c r="AP150" s="48">
        <v>4620</v>
      </c>
      <c r="AR150" s="38"/>
      <c r="AU150" s="97"/>
      <c r="AY150" s="81"/>
      <c r="AZ150" s="81"/>
      <c r="BA150" s="48"/>
      <c r="BC150" s="97"/>
    </row>
    <row r="151" spans="22:55" ht="16" x14ac:dyDescent="0.4">
      <c r="V151" s="97">
        <v>45913</v>
      </c>
      <c r="W151" s="16">
        <v>195754</v>
      </c>
      <c r="X151" s="101" t="s">
        <v>36</v>
      </c>
      <c r="Y151" s="105"/>
      <c r="Z151" s="102">
        <v>0.62638888888888888</v>
      </c>
      <c r="AA151" s="102">
        <v>0.93402777777777779</v>
      </c>
      <c r="AB151" s="16"/>
      <c r="AC151" s="16"/>
      <c r="AD151" s="93">
        <v>22160</v>
      </c>
      <c r="AE151" s="93">
        <f t="shared" si="26"/>
        <v>22.16</v>
      </c>
      <c r="AF151" s="16">
        <v>13.59</v>
      </c>
      <c r="AG151" s="103">
        <f t="shared" si="24"/>
        <v>13.59</v>
      </c>
      <c r="AH151" s="37">
        <f t="shared" si="25"/>
        <v>21.511028571428572</v>
      </c>
      <c r="AJ151" s="97"/>
      <c r="AN151" s="81"/>
      <c r="AO151" s="81"/>
      <c r="AP151" s="48"/>
      <c r="AR151" s="38"/>
      <c r="AU151" s="97"/>
      <c r="AY151" s="81"/>
      <c r="AZ151" s="81"/>
      <c r="BA151" s="48"/>
      <c r="BC151" s="97"/>
    </row>
    <row r="152" spans="22:55" ht="16" x14ac:dyDescent="0.4">
      <c r="V152" s="97">
        <v>45914</v>
      </c>
      <c r="W152" s="16">
        <v>195772</v>
      </c>
      <c r="X152" s="101" t="s">
        <v>36</v>
      </c>
      <c r="Y152" s="105"/>
      <c r="Z152" s="102">
        <v>0.57847222222222217</v>
      </c>
      <c r="AA152" s="102">
        <v>2.0833333333333332E-2</v>
      </c>
      <c r="AB152" s="16"/>
      <c r="AC152" s="16"/>
      <c r="AD152" s="93">
        <v>20832</v>
      </c>
      <c r="AE152" s="93">
        <f t="shared" si="26"/>
        <v>20.832000000000001</v>
      </c>
      <c r="AF152" s="16">
        <v>16.27</v>
      </c>
      <c r="AG152" s="103">
        <f t="shared" si="24"/>
        <v>14</v>
      </c>
      <c r="AH152" s="37">
        <f t="shared" si="25"/>
        <v>20.832000000000001</v>
      </c>
      <c r="AJ152" s="97"/>
      <c r="AN152" s="81"/>
      <c r="AO152" s="81"/>
      <c r="AP152" s="48"/>
      <c r="AR152" s="38"/>
      <c r="AU152" s="97"/>
      <c r="AY152" s="81"/>
      <c r="AZ152" s="81"/>
      <c r="BA152" s="48"/>
      <c r="BC152" s="97"/>
    </row>
    <row r="153" spans="22:55" ht="16" x14ac:dyDescent="0.4">
      <c r="V153" s="97">
        <v>45914</v>
      </c>
      <c r="W153" s="16">
        <v>195776</v>
      </c>
      <c r="X153" s="101" t="s">
        <v>36</v>
      </c>
      <c r="Y153" s="105"/>
      <c r="Z153" s="102">
        <v>0.62569444444444444</v>
      </c>
      <c r="AA153" s="102">
        <v>6.3888888888888884E-2</v>
      </c>
      <c r="AB153" s="16"/>
      <c r="AC153" s="16"/>
      <c r="AD153" s="93">
        <v>19984</v>
      </c>
      <c r="AE153" s="93">
        <f t="shared" si="26"/>
        <v>19.984000000000002</v>
      </c>
      <c r="AF153" s="16">
        <v>14.63</v>
      </c>
      <c r="AG153" s="103">
        <f t="shared" si="24"/>
        <v>14</v>
      </c>
      <c r="AH153" s="37">
        <f t="shared" si="25"/>
        <v>19.984000000000002</v>
      </c>
      <c r="AJ153" s="97"/>
      <c r="AN153" s="81"/>
      <c r="AO153" s="81"/>
      <c r="AP153" s="48"/>
      <c r="AR153" s="38"/>
      <c r="AU153" s="97"/>
      <c r="AY153" s="81"/>
      <c r="AZ153" s="81"/>
      <c r="BA153" s="48"/>
      <c r="BC153" s="97"/>
    </row>
    <row r="154" spans="22:55" ht="16" x14ac:dyDescent="0.4">
      <c r="V154" s="97">
        <v>45914</v>
      </c>
      <c r="W154" s="16">
        <v>195781</v>
      </c>
      <c r="X154" s="101" t="s">
        <v>36</v>
      </c>
      <c r="Y154" s="105"/>
      <c r="Z154" s="102">
        <v>0.57847222222222217</v>
      </c>
      <c r="AA154" s="102">
        <v>0.12916666666666668</v>
      </c>
      <c r="AB154" s="16"/>
      <c r="AC154" s="16"/>
      <c r="AD154" s="93">
        <v>20898</v>
      </c>
      <c r="AE154" s="93">
        <f t="shared" si="26"/>
        <v>20.898</v>
      </c>
      <c r="AF154" s="16">
        <v>14.95</v>
      </c>
      <c r="AG154" s="103">
        <f t="shared" si="24"/>
        <v>14</v>
      </c>
      <c r="AH154" s="37">
        <f t="shared" si="25"/>
        <v>20.898</v>
      </c>
      <c r="AJ154" s="97"/>
      <c r="AN154" s="81"/>
      <c r="AO154" s="81"/>
      <c r="AP154" s="48"/>
      <c r="AR154" s="38"/>
      <c r="AU154" s="38"/>
      <c r="AY154" s="81"/>
      <c r="AZ154" s="81"/>
      <c r="BA154" s="48"/>
      <c r="BC154" s="38"/>
    </row>
    <row r="155" spans="22:55" ht="16" x14ac:dyDescent="0.4">
      <c r="V155" s="97">
        <v>45914</v>
      </c>
      <c r="W155" s="16">
        <v>195786</v>
      </c>
      <c r="X155" s="101" t="s">
        <v>36</v>
      </c>
      <c r="Y155" s="105"/>
      <c r="Z155" s="102">
        <v>9.7916666666666666E-2</v>
      </c>
      <c r="AA155" s="102">
        <v>0.16874999999999998</v>
      </c>
      <c r="AB155" s="16"/>
      <c r="AC155" s="16"/>
      <c r="AD155" s="93">
        <v>22254</v>
      </c>
      <c r="AE155" s="93">
        <f t="shared" si="26"/>
        <v>22.254000000000001</v>
      </c>
      <c r="AF155" s="16">
        <v>13.62</v>
      </c>
      <c r="AG155" s="103">
        <f t="shared" si="24"/>
        <v>13.62</v>
      </c>
      <c r="AH155" s="37">
        <f t="shared" si="25"/>
        <v>21.64996285714286</v>
      </c>
      <c r="AJ155" s="97"/>
      <c r="AN155" s="81"/>
      <c r="AO155" s="81"/>
      <c r="AP155" s="48"/>
      <c r="AR155" s="38"/>
      <c r="AU155" s="38"/>
      <c r="AY155" s="81"/>
      <c r="AZ155" s="81"/>
      <c r="BA155" s="48"/>
      <c r="BC155" s="38"/>
    </row>
    <row r="156" spans="22:55" ht="16" x14ac:dyDescent="0.4">
      <c r="V156" s="97">
        <v>45914</v>
      </c>
      <c r="W156" s="16">
        <v>195787</v>
      </c>
      <c r="X156" s="101" t="s">
        <v>36</v>
      </c>
      <c r="Y156" s="105"/>
      <c r="Z156" s="102">
        <v>0.16319444444444445</v>
      </c>
      <c r="AA156" s="102">
        <v>0.21249999999999999</v>
      </c>
      <c r="AB156" s="16"/>
      <c r="AC156" s="16"/>
      <c r="AD156" s="93">
        <v>20614</v>
      </c>
      <c r="AE156" s="93">
        <f t="shared" si="26"/>
        <v>20.614000000000001</v>
      </c>
      <c r="AF156" s="16">
        <v>15.31</v>
      </c>
      <c r="AG156" s="103">
        <f t="shared" si="24"/>
        <v>14</v>
      </c>
      <c r="AH156" s="37">
        <f t="shared" si="25"/>
        <v>20.614000000000001</v>
      </c>
      <c r="AJ156" s="97"/>
      <c r="AN156" s="81"/>
      <c r="AO156" s="81"/>
      <c r="AP156" s="48"/>
      <c r="AR156" s="38"/>
      <c r="AU156" s="38"/>
      <c r="AY156" s="81"/>
      <c r="AZ156" s="81"/>
      <c r="BA156" s="48"/>
      <c r="BC156" s="38"/>
    </row>
    <row r="157" spans="22:55" ht="16" x14ac:dyDescent="0.4">
      <c r="V157" s="97">
        <v>45914</v>
      </c>
      <c r="W157" s="16">
        <v>195790</v>
      </c>
      <c r="X157" s="101" t="s">
        <v>36</v>
      </c>
      <c r="Y157" s="105"/>
      <c r="Z157" s="102">
        <v>0.71458333333333324</v>
      </c>
      <c r="AA157" s="102">
        <v>0.26250000000000001</v>
      </c>
      <c r="AB157" s="16"/>
      <c r="AC157" s="16"/>
      <c r="AD157" s="93">
        <v>19634</v>
      </c>
      <c r="AE157" s="93">
        <f t="shared" si="26"/>
        <v>19.634</v>
      </c>
      <c r="AF157" s="16">
        <v>14.43</v>
      </c>
      <c r="AG157" s="103">
        <f t="shared" si="24"/>
        <v>14</v>
      </c>
      <c r="AH157" s="37">
        <f t="shared" si="25"/>
        <v>19.633999999999997</v>
      </c>
      <c r="AJ157" s="97"/>
      <c r="AN157" s="81"/>
      <c r="AO157" s="81"/>
      <c r="AP157" s="48"/>
      <c r="AR157" s="38"/>
      <c r="AU157" s="38"/>
      <c r="AY157" s="81"/>
      <c r="AZ157" s="81"/>
      <c r="BA157" s="48"/>
      <c r="BC157" s="38"/>
    </row>
    <row r="158" spans="22:55" ht="16" x14ac:dyDescent="0.4">
      <c r="V158" s="97">
        <v>45914</v>
      </c>
      <c r="W158" s="16">
        <v>195802</v>
      </c>
      <c r="X158" s="101" t="s">
        <v>36</v>
      </c>
      <c r="Y158" s="105"/>
      <c r="Z158" s="102">
        <v>0.90277777777777779</v>
      </c>
      <c r="AA158" s="102">
        <v>0.33958333333333335</v>
      </c>
      <c r="AB158" s="16"/>
      <c r="AC158" s="16"/>
      <c r="AD158" s="93">
        <v>14356</v>
      </c>
      <c r="AE158" s="93">
        <f t="shared" si="26"/>
        <v>14.356</v>
      </c>
      <c r="AF158" s="16">
        <v>7.35</v>
      </c>
      <c r="AG158" s="103">
        <f t="shared" si="24"/>
        <v>7.35</v>
      </c>
      <c r="AH158" s="37">
        <f t="shared" si="25"/>
        <v>7.5369000000000002</v>
      </c>
      <c r="AJ158" s="97"/>
      <c r="AN158" s="81"/>
      <c r="AO158" s="81"/>
      <c r="AP158" s="48"/>
      <c r="AR158" s="38"/>
      <c r="AU158" s="38"/>
      <c r="AY158" s="81"/>
      <c r="AZ158" s="81"/>
      <c r="BA158" s="48"/>
      <c r="BC158" s="38"/>
    </row>
    <row r="159" spans="22:55" ht="16" x14ac:dyDescent="0.4">
      <c r="V159" s="90"/>
      <c r="W159" s="17"/>
      <c r="X159" s="101"/>
      <c r="Y159" s="110"/>
      <c r="Z159" s="91"/>
      <c r="AA159" s="91"/>
      <c r="AB159" s="17"/>
      <c r="AC159" s="17"/>
      <c r="AD159" s="92"/>
      <c r="AE159" s="93"/>
      <c r="AF159" s="17"/>
      <c r="AG159" s="103"/>
      <c r="AH159" s="37"/>
      <c r="AJ159" s="38"/>
      <c r="AN159" s="81"/>
      <c r="AO159" s="81"/>
      <c r="AP159" s="48"/>
      <c r="AQ159" s="39"/>
      <c r="AR159" s="38"/>
      <c r="AU159" s="38"/>
      <c r="AY159" s="81"/>
      <c r="AZ159" s="81"/>
      <c r="BA159" s="48"/>
      <c r="BB159" s="39"/>
      <c r="BC159" s="38"/>
    </row>
    <row r="160" spans="22:55" ht="16" x14ac:dyDescent="0.4">
      <c r="V160" s="97">
        <v>45916</v>
      </c>
      <c r="W160" s="16">
        <v>196350</v>
      </c>
      <c r="X160" s="101" t="s">
        <v>36</v>
      </c>
      <c r="Y160" s="105"/>
      <c r="Z160" s="102">
        <v>0.24166666666666667</v>
      </c>
      <c r="AA160" s="102">
        <v>0.34722222222222227</v>
      </c>
      <c r="AB160" s="16"/>
      <c r="AC160" s="16"/>
      <c r="AD160" s="93">
        <v>21668</v>
      </c>
      <c r="AE160" s="93">
        <f t="shared" si="26"/>
        <v>21.667999999999999</v>
      </c>
      <c r="AF160" s="16">
        <v>16.23</v>
      </c>
      <c r="AG160" s="103">
        <f t="shared" si="24"/>
        <v>14</v>
      </c>
      <c r="AH160" s="37">
        <f t="shared" si="25"/>
        <v>21.667999999999999</v>
      </c>
      <c r="AJ160" s="38"/>
      <c r="AN160" s="81"/>
      <c r="AO160" s="81"/>
      <c r="AP160" s="48"/>
      <c r="AR160" s="38"/>
      <c r="AU160" s="38"/>
      <c r="AY160" s="81"/>
      <c r="AZ160" s="81"/>
      <c r="BA160" s="48"/>
      <c r="BC160" s="38"/>
    </row>
    <row r="161" spans="22:55" ht="16" x14ac:dyDescent="0.4">
      <c r="V161" s="97">
        <v>45916</v>
      </c>
      <c r="W161" s="16">
        <v>196424</v>
      </c>
      <c r="X161" s="101" t="s">
        <v>36</v>
      </c>
      <c r="Y161" s="105"/>
      <c r="Z161" s="102">
        <v>9.7916666666666666E-2</v>
      </c>
      <c r="AA161" s="102">
        <v>0.42777777777777781</v>
      </c>
      <c r="AB161" s="16"/>
      <c r="AC161" s="16"/>
      <c r="AD161" s="93">
        <v>19122</v>
      </c>
      <c r="AE161" s="93">
        <f t="shared" si="26"/>
        <v>19.122</v>
      </c>
      <c r="AF161" s="16">
        <v>15.36</v>
      </c>
      <c r="AG161" s="103">
        <f t="shared" si="24"/>
        <v>14</v>
      </c>
      <c r="AH161" s="37">
        <f t="shared" si="25"/>
        <v>19.121999999999996</v>
      </c>
      <c r="AJ161" s="38"/>
      <c r="AN161" s="81"/>
      <c r="AO161" s="81"/>
      <c r="AP161" s="48"/>
      <c r="AR161" s="38"/>
      <c r="AU161" s="38"/>
      <c r="AY161" s="81"/>
      <c r="AZ161" s="81"/>
      <c r="BA161" s="48"/>
      <c r="BC161" s="38"/>
    </row>
    <row r="162" spans="22:55" ht="16" x14ac:dyDescent="0.4">
      <c r="V162" s="97">
        <v>45916</v>
      </c>
      <c r="W162" s="16">
        <v>196462</v>
      </c>
      <c r="X162" s="101" t="s">
        <v>36</v>
      </c>
      <c r="Y162" s="105"/>
      <c r="Z162" s="102">
        <v>0.42291666666666666</v>
      </c>
      <c r="AA162" s="102">
        <v>0.48819444444444443</v>
      </c>
      <c r="AB162" s="16"/>
      <c r="AC162" s="16"/>
      <c r="AD162" s="93">
        <v>21368</v>
      </c>
      <c r="AE162" s="93">
        <f t="shared" si="26"/>
        <v>21.367999999999999</v>
      </c>
      <c r="AF162" s="16">
        <v>15.63</v>
      </c>
      <c r="AG162" s="103">
        <f t="shared" si="24"/>
        <v>14</v>
      </c>
      <c r="AH162" s="37">
        <f t="shared" si="25"/>
        <v>21.367999999999999</v>
      </c>
      <c r="AJ162" s="38"/>
      <c r="AN162" s="81"/>
      <c r="AO162" s="81"/>
      <c r="AP162" s="48"/>
      <c r="AR162" s="38"/>
      <c r="AU162" s="38"/>
      <c r="AY162" s="81"/>
      <c r="AZ162" s="81"/>
      <c r="BA162" s="48"/>
      <c r="BC162" s="38"/>
    </row>
    <row r="163" spans="22:55" ht="16" x14ac:dyDescent="0.4">
      <c r="V163" s="97">
        <v>45916</v>
      </c>
      <c r="W163" s="16">
        <v>196492</v>
      </c>
      <c r="X163" s="101" t="s">
        <v>36</v>
      </c>
      <c r="Y163" s="105"/>
      <c r="Z163" s="102">
        <v>0.4916666666666667</v>
      </c>
      <c r="AA163" s="102">
        <v>0.56388888888888888</v>
      </c>
      <c r="AB163" s="16"/>
      <c r="AC163" s="16"/>
      <c r="AD163" s="93">
        <v>19684</v>
      </c>
      <c r="AE163" s="93">
        <f t="shared" si="26"/>
        <v>19.684000000000001</v>
      </c>
      <c r="AF163" s="16">
        <v>15.38</v>
      </c>
      <c r="AG163" s="103">
        <f t="shared" si="24"/>
        <v>14</v>
      </c>
      <c r="AH163" s="37">
        <f t="shared" si="25"/>
        <v>19.684000000000001</v>
      </c>
      <c r="AJ163" s="38"/>
      <c r="AN163" s="81"/>
      <c r="AO163" s="81"/>
      <c r="AP163" s="48"/>
      <c r="AR163" s="38"/>
      <c r="AU163" s="38"/>
      <c r="AY163" s="81"/>
      <c r="AZ163" s="81"/>
      <c r="BA163" s="48"/>
      <c r="BC163" s="38"/>
    </row>
    <row r="164" spans="22:55" ht="16" x14ac:dyDescent="0.4">
      <c r="V164" s="97">
        <v>45916</v>
      </c>
      <c r="W164" s="16">
        <v>196562</v>
      </c>
      <c r="X164" s="101" t="s">
        <v>36</v>
      </c>
      <c r="Y164" s="105"/>
      <c r="Z164" s="102">
        <v>0.54861111111111105</v>
      </c>
      <c r="AA164" s="102">
        <v>0.63680555555555551</v>
      </c>
      <c r="AB164" s="16"/>
      <c r="AC164" s="16"/>
      <c r="AD164" s="93">
        <v>19990</v>
      </c>
      <c r="AE164" s="93">
        <f t="shared" si="26"/>
        <v>19.989999999999998</v>
      </c>
      <c r="AF164" s="16">
        <v>14.95</v>
      </c>
      <c r="AG164" s="103">
        <f t="shared" si="24"/>
        <v>14</v>
      </c>
      <c r="AH164" s="37">
        <f t="shared" si="25"/>
        <v>19.989999999999998</v>
      </c>
      <c r="AJ164" s="38"/>
      <c r="AN164" s="39"/>
      <c r="AO164" s="39"/>
      <c r="AP164" s="48"/>
      <c r="AR164" s="38"/>
      <c r="AU164" s="38"/>
      <c r="AY164" s="39"/>
      <c r="AZ164" s="39"/>
      <c r="BA164" s="48"/>
      <c r="BC164" s="38"/>
    </row>
    <row r="165" spans="22:55" ht="16" x14ac:dyDescent="0.4">
      <c r="V165" s="97">
        <v>45916</v>
      </c>
      <c r="W165" s="16">
        <v>196588</v>
      </c>
      <c r="X165" s="101" t="s">
        <v>36</v>
      </c>
      <c r="Y165" s="105"/>
      <c r="Z165" s="102">
        <v>9.7916666666666666E-2</v>
      </c>
      <c r="AA165" s="102">
        <v>0.70833333333333337</v>
      </c>
      <c r="AB165" s="16"/>
      <c r="AC165" s="16"/>
      <c r="AD165" s="93">
        <v>19982</v>
      </c>
      <c r="AE165" s="93">
        <f t="shared" si="26"/>
        <v>19.981999999999999</v>
      </c>
      <c r="AF165" s="16">
        <v>14.02</v>
      </c>
      <c r="AG165" s="103">
        <f t="shared" si="24"/>
        <v>14</v>
      </c>
      <c r="AH165" s="37">
        <f t="shared" si="25"/>
        <v>19.981999999999999</v>
      </c>
      <c r="AJ165" s="38"/>
      <c r="AN165" s="39"/>
      <c r="AO165" s="39"/>
      <c r="AP165" s="48"/>
      <c r="AR165" s="38"/>
      <c r="AU165" s="38"/>
      <c r="AY165" s="39"/>
      <c r="AZ165" s="39"/>
      <c r="BA165" s="48"/>
      <c r="BC165" s="38"/>
    </row>
    <row r="166" spans="22:55" ht="16" x14ac:dyDescent="0.4">
      <c r="V166" s="97">
        <v>45916</v>
      </c>
      <c r="W166" s="16">
        <v>196602</v>
      </c>
      <c r="X166" s="101" t="s">
        <v>36</v>
      </c>
      <c r="Y166" s="105"/>
      <c r="Z166" s="102">
        <v>0.16364583333333335</v>
      </c>
      <c r="AA166" s="102">
        <v>0.77049768518518524</v>
      </c>
      <c r="AB166" s="16"/>
      <c r="AC166" s="16"/>
      <c r="AD166" s="93">
        <v>21016</v>
      </c>
      <c r="AE166" s="93">
        <f t="shared" si="26"/>
        <v>21.015999999999998</v>
      </c>
      <c r="AF166" s="16">
        <v>13.91</v>
      </c>
      <c r="AG166" s="103">
        <f t="shared" si="24"/>
        <v>13.91</v>
      </c>
      <c r="AH166" s="37">
        <f t="shared" si="25"/>
        <v>20.880897142857144</v>
      </c>
      <c r="AJ166" s="38"/>
      <c r="AN166" s="39"/>
      <c r="AO166" s="39"/>
      <c r="AP166" s="48"/>
      <c r="AR166" s="38"/>
      <c r="AU166" s="38"/>
      <c r="AY166" s="39"/>
      <c r="AZ166" s="39"/>
      <c r="BA166" s="48"/>
      <c r="BC166" s="38"/>
    </row>
    <row r="167" spans="22:55" ht="16" x14ac:dyDescent="0.4">
      <c r="V167" s="97">
        <v>45916</v>
      </c>
      <c r="W167" s="16">
        <v>196642</v>
      </c>
      <c r="X167" s="101" t="s">
        <v>36</v>
      </c>
      <c r="Y167" s="105"/>
      <c r="Z167" s="102">
        <v>0.76331018518518512</v>
      </c>
      <c r="AA167" s="102">
        <v>0.83415509259259257</v>
      </c>
      <c r="AB167" s="16"/>
      <c r="AC167" s="16"/>
      <c r="AD167" s="93">
        <v>19744</v>
      </c>
      <c r="AE167" s="93">
        <f t="shared" si="26"/>
        <v>19.744</v>
      </c>
      <c r="AF167" s="16">
        <v>13.31</v>
      </c>
      <c r="AG167" s="103">
        <f t="shared" si="24"/>
        <v>13.31</v>
      </c>
      <c r="AH167" s="37">
        <f t="shared" si="25"/>
        <v>18.770902857142858</v>
      </c>
      <c r="AJ167" s="38"/>
      <c r="AN167" s="39"/>
      <c r="AO167" s="39"/>
      <c r="AP167" s="48"/>
      <c r="AR167" s="38"/>
      <c r="AU167" s="38"/>
      <c r="AY167" s="39"/>
      <c r="AZ167" s="39"/>
      <c r="BA167" s="48"/>
      <c r="BC167" s="38"/>
    </row>
    <row r="168" spans="22:55" ht="16" x14ac:dyDescent="0.4">
      <c r="V168" s="97">
        <v>45916</v>
      </c>
      <c r="W168" s="16">
        <v>196673</v>
      </c>
      <c r="X168" s="101" t="s">
        <v>36</v>
      </c>
      <c r="Y168" s="105"/>
      <c r="Z168" s="102">
        <v>0.42726851851851855</v>
      </c>
      <c r="AA168" s="102">
        <v>0.89677083333333341</v>
      </c>
      <c r="AB168" s="16"/>
      <c r="AC168" s="16"/>
      <c r="AD168" s="93">
        <v>19694</v>
      </c>
      <c r="AE168" s="93">
        <f t="shared" si="26"/>
        <v>19.693999999999999</v>
      </c>
      <c r="AF168" s="16">
        <v>15.41</v>
      </c>
      <c r="AG168" s="103">
        <f t="shared" si="24"/>
        <v>14</v>
      </c>
      <c r="AH168" s="37">
        <f t="shared" si="25"/>
        <v>19.693999999999999</v>
      </c>
      <c r="AJ168" s="38"/>
      <c r="AN168" s="39"/>
      <c r="AO168" s="39"/>
      <c r="AP168" s="48"/>
      <c r="AR168" s="38"/>
      <c r="AU168" s="38"/>
      <c r="AY168" s="39"/>
      <c r="AZ168" s="39"/>
      <c r="BA168" s="48"/>
      <c r="BC168" s="38"/>
    </row>
    <row r="169" spans="22:55" ht="16" x14ac:dyDescent="0.4">
      <c r="V169" s="97">
        <v>45916</v>
      </c>
      <c r="W169" s="16">
        <v>196702</v>
      </c>
      <c r="X169" s="101" t="s">
        <v>36</v>
      </c>
      <c r="Y169" s="105"/>
      <c r="Z169" s="102">
        <v>0.7634953703703703</v>
      </c>
      <c r="AA169" s="102">
        <v>0.96225694444444443</v>
      </c>
      <c r="AB169" s="16"/>
      <c r="AC169" s="16"/>
      <c r="AD169" s="93">
        <v>18740</v>
      </c>
      <c r="AE169" s="93">
        <f t="shared" si="26"/>
        <v>18.739999999999998</v>
      </c>
      <c r="AF169" s="16">
        <v>16.7</v>
      </c>
      <c r="AG169" s="103">
        <f t="shared" si="24"/>
        <v>14</v>
      </c>
      <c r="AH169" s="37">
        <f t="shared" si="25"/>
        <v>18.739999999999998</v>
      </c>
      <c r="AJ169" s="38"/>
      <c r="AN169" s="39"/>
      <c r="AO169" s="39"/>
      <c r="AP169" s="48"/>
      <c r="AR169" s="38"/>
      <c r="AU169" s="38"/>
      <c r="AY169" s="39"/>
      <c r="AZ169" s="39"/>
      <c r="BA169" s="48"/>
      <c r="BC169" s="38"/>
    </row>
    <row r="170" spans="22:55" ht="16" x14ac:dyDescent="0.4">
      <c r="V170" s="97">
        <v>45917</v>
      </c>
      <c r="W170" s="16">
        <v>196724</v>
      </c>
      <c r="X170" s="101" t="s">
        <v>36</v>
      </c>
      <c r="Y170" s="105"/>
      <c r="Z170" s="102">
        <v>0.42745370370370367</v>
      </c>
      <c r="AA170" s="102">
        <v>3.2777777777777781E-2</v>
      </c>
      <c r="AB170" s="16"/>
      <c r="AC170" s="16"/>
      <c r="AD170" s="93">
        <v>20284</v>
      </c>
      <c r="AE170" s="93">
        <f t="shared" si="26"/>
        <v>20.283999999999999</v>
      </c>
      <c r="AF170" s="16">
        <v>14.63</v>
      </c>
      <c r="AG170" s="103">
        <f t="shared" si="24"/>
        <v>14</v>
      </c>
      <c r="AH170" s="37">
        <f t="shared" si="25"/>
        <v>20.283999999999999</v>
      </c>
      <c r="AJ170" s="38"/>
      <c r="AN170" s="39"/>
      <c r="AO170" s="39"/>
      <c r="AP170" s="48"/>
      <c r="AR170" s="38"/>
      <c r="AU170" s="38"/>
      <c r="AY170" s="39"/>
      <c r="AZ170" s="39"/>
      <c r="BA170" s="48"/>
      <c r="BC170" s="38"/>
    </row>
    <row r="171" spans="22:55" ht="16" x14ac:dyDescent="0.4">
      <c r="V171" s="97">
        <v>45917</v>
      </c>
      <c r="W171" s="16">
        <v>196737</v>
      </c>
      <c r="X171" s="101" t="s">
        <v>36</v>
      </c>
      <c r="Y171" s="105"/>
      <c r="Z171" s="102">
        <v>0.76368055555555558</v>
      </c>
      <c r="AA171" s="102">
        <v>9.571759259259259E-2</v>
      </c>
      <c r="AB171" s="16"/>
      <c r="AC171" s="16"/>
      <c r="AD171" s="93">
        <v>21522</v>
      </c>
      <c r="AE171" s="93">
        <f t="shared" si="26"/>
        <v>21.521999999999998</v>
      </c>
      <c r="AF171" s="16">
        <v>14.34</v>
      </c>
      <c r="AG171" s="103">
        <f t="shared" si="24"/>
        <v>14</v>
      </c>
      <c r="AH171" s="37">
        <f t="shared" si="25"/>
        <v>21.521999999999998</v>
      </c>
      <c r="AJ171" s="38"/>
      <c r="AN171" s="39"/>
      <c r="AO171" s="39"/>
      <c r="AP171" s="48"/>
      <c r="AR171" s="38"/>
      <c r="AU171" s="38"/>
      <c r="AY171" s="39"/>
      <c r="AZ171" s="39"/>
      <c r="BA171" s="48"/>
      <c r="BC171" s="38"/>
    </row>
    <row r="172" spans="22:55" ht="16" x14ac:dyDescent="0.4">
      <c r="V172" s="97">
        <v>45917</v>
      </c>
      <c r="W172" s="16">
        <v>196745</v>
      </c>
      <c r="X172" s="101" t="s">
        <v>36</v>
      </c>
      <c r="Y172" s="105"/>
      <c r="Z172" s="102">
        <v>8.9317129629629621E-2</v>
      </c>
      <c r="AA172" s="102">
        <v>0.14689814814814814</v>
      </c>
      <c r="AB172" s="16"/>
      <c r="AC172" s="16"/>
      <c r="AD172" s="93">
        <v>18830</v>
      </c>
      <c r="AE172" s="93">
        <f t="shared" si="26"/>
        <v>18.829999999999998</v>
      </c>
      <c r="AF172" s="16">
        <v>16.489999999999998</v>
      </c>
      <c r="AG172" s="103">
        <f t="shared" si="24"/>
        <v>14</v>
      </c>
      <c r="AH172" s="37">
        <f t="shared" si="25"/>
        <v>18.830000000000002</v>
      </c>
      <c r="AJ172" s="38"/>
      <c r="AN172" s="39"/>
      <c r="AO172" s="39"/>
      <c r="AP172" s="48"/>
      <c r="AR172" s="38"/>
      <c r="AU172" s="38"/>
      <c r="AY172" s="39"/>
      <c r="AZ172" s="39"/>
      <c r="BA172" s="48"/>
      <c r="BC172" s="38"/>
    </row>
    <row r="173" spans="22:55" ht="16" x14ac:dyDescent="0.4">
      <c r="V173" s="97">
        <v>45917</v>
      </c>
      <c r="W173" s="16">
        <v>196751</v>
      </c>
      <c r="X173" s="101" t="s">
        <v>36</v>
      </c>
      <c r="Y173" s="105"/>
      <c r="Z173" s="102">
        <v>0.1191087962962963</v>
      </c>
      <c r="AA173" s="102">
        <v>0.20146990740740742</v>
      </c>
      <c r="AB173" s="16"/>
      <c r="AC173" s="16"/>
      <c r="AD173" s="93">
        <v>19460</v>
      </c>
      <c r="AE173" s="93">
        <f t="shared" si="26"/>
        <v>19.46</v>
      </c>
      <c r="AF173" s="16">
        <v>16.239999999999998</v>
      </c>
      <c r="AG173" s="103">
        <f t="shared" si="24"/>
        <v>14</v>
      </c>
      <c r="AH173" s="37">
        <f t="shared" si="25"/>
        <v>19.46</v>
      </c>
      <c r="AJ173" s="38"/>
      <c r="AN173" s="39"/>
      <c r="AO173" s="39"/>
      <c r="AP173" s="48"/>
      <c r="AR173" s="38"/>
      <c r="AU173" s="38"/>
      <c r="AY173" s="39"/>
      <c r="AZ173" s="39"/>
      <c r="BA173" s="48"/>
      <c r="BC173" s="38"/>
    </row>
    <row r="174" spans="22:55" ht="16" x14ac:dyDescent="0.4">
      <c r="V174" s="97">
        <v>45917</v>
      </c>
      <c r="W174" s="16">
        <v>196755</v>
      </c>
      <c r="X174" s="101" t="s">
        <v>36</v>
      </c>
      <c r="Y174" s="105"/>
      <c r="Z174" s="102">
        <v>8.8888888888888892E-2</v>
      </c>
      <c r="AA174" s="102">
        <v>0.28472222222222221</v>
      </c>
      <c r="AB174" s="16"/>
      <c r="AC174" s="16"/>
      <c r="AD174" s="93">
        <v>22504</v>
      </c>
      <c r="AE174" s="93">
        <f t="shared" si="26"/>
        <v>22.504000000000001</v>
      </c>
      <c r="AF174" s="16">
        <v>13.38</v>
      </c>
      <c r="AG174" s="103">
        <f t="shared" si="24"/>
        <v>13.38</v>
      </c>
      <c r="AH174" s="37">
        <f t="shared" si="25"/>
        <v>21.507394285714291</v>
      </c>
      <c r="AJ174" s="38"/>
      <c r="AN174" s="39"/>
      <c r="AO174" s="39"/>
      <c r="AP174" s="48"/>
      <c r="AR174" s="38"/>
      <c r="AU174" s="38"/>
      <c r="AY174" s="39"/>
      <c r="AZ174" s="39"/>
      <c r="BA174" s="48"/>
      <c r="BC174" s="38"/>
    </row>
    <row r="175" spans="22:55" ht="16" x14ac:dyDescent="0.4">
      <c r="V175" s="97">
        <v>45917</v>
      </c>
      <c r="W175" s="16">
        <v>196817</v>
      </c>
      <c r="X175" s="101" t="s">
        <v>36</v>
      </c>
      <c r="Y175" s="105"/>
      <c r="Z175" s="102">
        <v>0.26250000000000001</v>
      </c>
      <c r="AA175" s="102">
        <v>0.34652777777777777</v>
      </c>
      <c r="AB175" s="16"/>
      <c r="AC175" s="16"/>
      <c r="AD175" s="93">
        <v>21650</v>
      </c>
      <c r="AE175" s="93">
        <f t="shared" si="26"/>
        <v>21.65</v>
      </c>
      <c r="AF175" s="16">
        <v>13.66</v>
      </c>
      <c r="AG175" s="103">
        <f t="shared" si="24"/>
        <v>13.66</v>
      </c>
      <c r="AH175" s="37">
        <f t="shared" si="25"/>
        <v>21.124214285714285</v>
      </c>
      <c r="AJ175" s="38"/>
      <c r="AN175" s="39"/>
      <c r="AO175" s="39"/>
      <c r="AP175" s="48"/>
      <c r="AR175" s="38"/>
      <c r="AU175" s="38"/>
      <c r="AY175" s="39"/>
      <c r="AZ175" s="39"/>
      <c r="BA175" s="48"/>
      <c r="BC175" s="38"/>
    </row>
    <row r="176" spans="22:55" ht="16" x14ac:dyDescent="0.4">
      <c r="V176" s="97">
        <v>45917</v>
      </c>
      <c r="W176" s="16">
        <v>196869</v>
      </c>
      <c r="X176" s="101" t="s">
        <v>36</v>
      </c>
      <c r="Y176" s="105"/>
      <c r="Z176" s="102">
        <v>8.8888888888888892E-2</v>
      </c>
      <c r="AA176" s="102">
        <v>0.3979166666666667</v>
      </c>
      <c r="AB176" s="16"/>
      <c r="AC176" s="16"/>
      <c r="AD176" s="93">
        <v>20994</v>
      </c>
      <c r="AE176" s="93">
        <f t="shared" si="26"/>
        <v>20.994</v>
      </c>
      <c r="AF176" s="16">
        <v>14.81</v>
      </c>
      <c r="AG176" s="103">
        <f t="shared" si="24"/>
        <v>14</v>
      </c>
      <c r="AH176" s="37">
        <f t="shared" si="25"/>
        <v>20.994</v>
      </c>
      <c r="AJ176" s="38"/>
      <c r="AN176" s="39"/>
      <c r="AO176" s="39"/>
      <c r="AP176" s="48"/>
      <c r="AR176" s="38"/>
      <c r="AU176" s="38"/>
      <c r="AY176" s="39"/>
      <c r="AZ176" s="39"/>
      <c r="BA176" s="48"/>
      <c r="BC176" s="38"/>
    </row>
    <row r="177" spans="22:56" ht="16" x14ac:dyDescent="0.4">
      <c r="V177" s="97">
        <v>45917</v>
      </c>
      <c r="W177" s="16">
        <v>196934</v>
      </c>
      <c r="X177" s="101" t="s">
        <v>36</v>
      </c>
      <c r="Y177" s="105"/>
      <c r="Z177" s="102">
        <v>0.4069444444444445</v>
      </c>
      <c r="AA177" s="102">
        <v>0.48819444444444443</v>
      </c>
      <c r="AB177" s="16"/>
      <c r="AC177" s="16"/>
      <c r="AD177" s="93">
        <v>16110</v>
      </c>
      <c r="AE177" s="93">
        <f t="shared" si="26"/>
        <v>16.11</v>
      </c>
      <c r="AF177" s="16">
        <v>15.73</v>
      </c>
      <c r="AG177" s="103">
        <f t="shared" si="24"/>
        <v>14</v>
      </c>
      <c r="AH177" s="37">
        <f t="shared" si="25"/>
        <v>16.11</v>
      </c>
      <c r="AJ177" s="38"/>
      <c r="AN177" s="39"/>
      <c r="AO177" s="39"/>
      <c r="AP177" s="48"/>
      <c r="AR177" s="38"/>
      <c r="AU177" s="38"/>
      <c r="AY177" s="39"/>
      <c r="AZ177" s="39"/>
      <c r="BA177" s="48"/>
      <c r="BC177" s="38"/>
    </row>
    <row r="178" spans="22:56" ht="16" x14ac:dyDescent="0.4">
      <c r="V178" s="97">
        <v>45917</v>
      </c>
      <c r="W178" s="16">
        <v>196956</v>
      </c>
      <c r="X178" s="101" t="s">
        <v>36</v>
      </c>
      <c r="Y178" s="105"/>
      <c r="Z178" s="102">
        <v>0.4465277777777778</v>
      </c>
      <c r="AA178" s="102">
        <v>0.54513888888888895</v>
      </c>
      <c r="AB178" s="16"/>
      <c r="AC178" s="16"/>
      <c r="AD178" s="93">
        <v>16362</v>
      </c>
      <c r="AE178" s="93">
        <f t="shared" si="26"/>
        <v>16.361999999999998</v>
      </c>
      <c r="AF178" s="16">
        <v>16.48</v>
      </c>
      <c r="AG178" s="103">
        <f t="shared" si="24"/>
        <v>14</v>
      </c>
      <c r="AH178" s="37">
        <f t="shared" si="25"/>
        <v>16.361999999999998</v>
      </c>
      <c r="AJ178" s="38"/>
      <c r="AN178" s="39"/>
      <c r="AO178" s="39"/>
      <c r="AP178" s="48"/>
      <c r="AR178" s="38"/>
      <c r="AU178" s="38"/>
      <c r="AY178" s="39"/>
      <c r="AZ178" s="39"/>
      <c r="BA178" s="48"/>
      <c r="BC178" s="38"/>
    </row>
    <row r="179" spans="22:56" ht="16" x14ac:dyDescent="0.4">
      <c r="V179" s="97">
        <v>45917</v>
      </c>
      <c r="W179" s="16">
        <v>196996</v>
      </c>
      <c r="X179" s="101" t="s">
        <v>36</v>
      </c>
      <c r="Y179" s="105"/>
      <c r="Z179" s="102">
        <v>0.53194444444444444</v>
      </c>
      <c r="AA179" s="102">
        <v>0.60763888888888895</v>
      </c>
      <c r="AB179" s="16"/>
      <c r="AC179" s="16"/>
      <c r="AD179" s="93">
        <v>17418</v>
      </c>
      <c r="AE179" s="93">
        <f t="shared" si="26"/>
        <v>17.417999999999999</v>
      </c>
      <c r="AF179" s="16">
        <v>16.809999999999999</v>
      </c>
      <c r="AG179" s="103">
        <f t="shared" si="24"/>
        <v>14</v>
      </c>
      <c r="AH179" s="37">
        <f t="shared" si="25"/>
        <v>17.417999999999999</v>
      </c>
      <c r="AJ179" s="38"/>
      <c r="AL179" s="16"/>
      <c r="AN179" s="39"/>
      <c r="AO179" s="39"/>
      <c r="AP179" s="48"/>
      <c r="AR179" s="38"/>
      <c r="AU179" s="38"/>
      <c r="AW179" s="16"/>
      <c r="AY179" s="39"/>
      <c r="AZ179" s="39"/>
      <c r="BA179" s="48"/>
      <c r="BC179" s="38"/>
    </row>
    <row r="180" spans="22:56" ht="16" x14ac:dyDescent="0.4">
      <c r="V180" s="97">
        <v>45917</v>
      </c>
      <c r="W180" s="16">
        <v>197041</v>
      </c>
      <c r="X180" s="101" t="s">
        <v>36</v>
      </c>
      <c r="Y180" s="105"/>
      <c r="Z180" s="102">
        <v>0.44722222222222219</v>
      </c>
      <c r="AA180" s="102">
        <v>0.66111111111111109</v>
      </c>
      <c r="AB180" s="16"/>
      <c r="AC180" s="16"/>
      <c r="AD180" s="93">
        <v>17584</v>
      </c>
      <c r="AE180" s="93">
        <f t="shared" si="26"/>
        <v>17.584</v>
      </c>
      <c r="AF180" s="16">
        <v>14.16</v>
      </c>
      <c r="AG180" s="103">
        <f t="shared" si="24"/>
        <v>14</v>
      </c>
      <c r="AH180" s="37">
        <f t="shared" si="25"/>
        <v>17.584</v>
      </c>
      <c r="AJ180" s="38"/>
      <c r="AL180" s="16"/>
      <c r="AN180" s="39"/>
      <c r="AO180" s="39"/>
      <c r="AP180" s="48"/>
      <c r="AR180" s="38"/>
      <c r="AU180" s="38"/>
      <c r="AW180" s="16"/>
      <c r="AY180" s="39"/>
      <c r="AZ180" s="39"/>
      <c r="BA180" s="48"/>
      <c r="BC180" s="38"/>
    </row>
    <row r="181" spans="22:56" ht="16" x14ac:dyDescent="0.4">
      <c r="V181" s="97">
        <v>45917</v>
      </c>
      <c r="W181" s="16">
        <v>197078</v>
      </c>
      <c r="X181" s="101" t="s">
        <v>36</v>
      </c>
      <c r="Y181" s="105"/>
      <c r="Z181" s="102">
        <v>0.53194444444444444</v>
      </c>
      <c r="AA181" s="102">
        <v>0.71111111111111114</v>
      </c>
      <c r="AB181" s="16"/>
      <c r="AC181" s="16"/>
      <c r="AD181" s="93">
        <v>16738</v>
      </c>
      <c r="AE181" s="93">
        <f t="shared" si="26"/>
        <v>16.738</v>
      </c>
      <c r="AF181" s="16">
        <v>15.99</v>
      </c>
      <c r="AG181" s="103">
        <f t="shared" si="24"/>
        <v>14</v>
      </c>
      <c r="AH181" s="37">
        <f t="shared" si="25"/>
        <v>16.738</v>
      </c>
      <c r="AJ181" s="38"/>
      <c r="AL181" s="16"/>
      <c r="AN181" s="39"/>
      <c r="AO181" s="39"/>
      <c r="AP181" s="48"/>
      <c r="AR181" s="38"/>
      <c r="AU181" s="38"/>
      <c r="AW181" s="16"/>
      <c r="AY181" s="39"/>
      <c r="AZ181" s="39"/>
      <c r="BA181" s="48"/>
      <c r="BC181" s="38"/>
    </row>
    <row r="182" spans="22:56" ht="16" x14ac:dyDescent="0.4">
      <c r="V182" s="97">
        <v>45917</v>
      </c>
      <c r="W182" s="16">
        <v>197104</v>
      </c>
      <c r="X182" s="101" t="s">
        <v>36</v>
      </c>
      <c r="Y182" s="105"/>
      <c r="Z182" s="102">
        <v>0.70262731481481477</v>
      </c>
      <c r="AA182" s="102">
        <v>0.77208333333333334</v>
      </c>
      <c r="AB182" s="16"/>
      <c r="AC182" s="16"/>
      <c r="AD182" s="93">
        <v>15818</v>
      </c>
      <c r="AE182" s="93">
        <f t="shared" si="26"/>
        <v>15.818</v>
      </c>
      <c r="AF182" s="16">
        <v>14.49</v>
      </c>
      <c r="AG182" s="103">
        <f t="shared" si="24"/>
        <v>14</v>
      </c>
      <c r="AH182" s="37">
        <f t="shared" si="25"/>
        <v>15.818</v>
      </c>
      <c r="AJ182" s="38"/>
      <c r="AL182" s="16"/>
      <c r="AN182" s="39"/>
      <c r="AO182" s="39"/>
      <c r="AP182" s="48"/>
      <c r="AR182" s="38"/>
      <c r="AU182" s="38"/>
      <c r="AW182" s="16"/>
      <c r="AY182" s="39"/>
      <c r="AZ182" s="39"/>
      <c r="BA182" s="48"/>
      <c r="BC182" s="38"/>
    </row>
    <row r="183" spans="22:56" ht="16" x14ac:dyDescent="0.4">
      <c r="V183" s="97">
        <v>45917</v>
      </c>
      <c r="W183" s="16">
        <v>197136</v>
      </c>
      <c r="X183" s="101" t="s">
        <v>36</v>
      </c>
      <c r="Y183" s="105"/>
      <c r="Z183" s="102">
        <v>0.85542824074074064</v>
      </c>
      <c r="AA183" s="102"/>
      <c r="AB183" s="16"/>
      <c r="AC183" s="16"/>
      <c r="AD183" s="93">
        <v>18560</v>
      </c>
      <c r="AE183" s="93">
        <f t="shared" si="26"/>
        <v>18.559999999999999</v>
      </c>
      <c r="AF183" s="16">
        <v>14.59</v>
      </c>
      <c r="AG183" s="103">
        <f t="shared" si="24"/>
        <v>14</v>
      </c>
      <c r="AH183" s="37">
        <f t="shared" si="25"/>
        <v>18.559999999999999</v>
      </c>
      <c r="AJ183" s="38"/>
      <c r="AL183" s="16"/>
      <c r="AN183" s="39"/>
      <c r="AO183" s="39"/>
      <c r="AP183" s="48"/>
      <c r="AR183" s="38"/>
      <c r="AU183" s="38"/>
      <c r="AW183" s="16"/>
      <c r="AY183" s="39"/>
      <c r="AZ183" s="39"/>
      <c r="BA183" s="48"/>
      <c r="BC183" s="38"/>
    </row>
    <row r="184" spans="22:56" ht="16" x14ac:dyDescent="0.4">
      <c r="V184" s="97"/>
      <c r="W184" s="16"/>
      <c r="X184" s="101"/>
      <c r="Y184" s="105"/>
      <c r="Z184" s="102"/>
      <c r="AA184" s="102"/>
      <c r="AB184" s="16"/>
      <c r="AC184" s="16"/>
      <c r="AD184" s="93"/>
      <c r="AE184" s="93"/>
      <c r="AF184" s="16"/>
      <c r="AG184" s="103"/>
      <c r="AH184" s="37"/>
      <c r="AJ184" s="38"/>
      <c r="AL184" s="16"/>
      <c r="AN184" s="39"/>
      <c r="AO184" s="39"/>
      <c r="AP184" s="48"/>
      <c r="AR184" s="38"/>
      <c r="AS184" s="49"/>
      <c r="AU184" s="38"/>
      <c r="AW184" s="16"/>
      <c r="AY184" s="39"/>
      <c r="AZ184" s="39"/>
      <c r="BA184" s="48"/>
      <c r="BC184" s="38"/>
      <c r="BD184" s="49"/>
    </row>
    <row r="185" spans="22:56" ht="16" x14ac:dyDescent="0.4">
      <c r="V185" s="97">
        <v>45918</v>
      </c>
      <c r="W185" s="16">
        <v>197525</v>
      </c>
      <c r="X185" s="101" t="s">
        <v>36</v>
      </c>
      <c r="Y185" s="105"/>
      <c r="Z185" s="102">
        <v>0.67729166666666663</v>
      </c>
      <c r="AA185" s="102">
        <v>0.78858796296296296</v>
      </c>
      <c r="AB185" s="16"/>
      <c r="AC185" s="16"/>
      <c r="AD185" s="93">
        <v>17804</v>
      </c>
      <c r="AE185" s="93">
        <f t="shared" si="26"/>
        <v>17.803999999999998</v>
      </c>
      <c r="AF185" s="16">
        <v>16.37</v>
      </c>
      <c r="AG185" s="103">
        <f t="shared" si="24"/>
        <v>14</v>
      </c>
      <c r="AH185" s="37">
        <f t="shared" si="25"/>
        <v>17.803999999999998</v>
      </c>
      <c r="AJ185" s="38"/>
      <c r="AL185" s="16"/>
      <c r="AN185" s="39"/>
      <c r="AO185" s="39"/>
      <c r="AP185" s="48"/>
      <c r="AR185" s="38"/>
      <c r="AS185" s="49"/>
      <c r="AU185" s="38"/>
      <c r="AW185" s="16"/>
      <c r="AY185" s="39"/>
      <c r="AZ185" s="39"/>
      <c r="BA185" s="48"/>
      <c r="BC185" s="38"/>
      <c r="BD185" s="49"/>
    </row>
    <row r="186" spans="22:56" ht="16" x14ac:dyDescent="0.4">
      <c r="V186" s="97">
        <v>45918</v>
      </c>
      <c r="W186" s="16">
        <v>197548</v>
      </c>
      <c r="X186" s="101" t="s">
        <v>36</v>
      </c>
      <c r="Y186" s="105"/>
      <c r="Z186" s="102">
        <v>0.76292824074074073</v>
      </c>
      <c r="AA186" s="102">
        <v>0.82807870370370373</v>
      </c>
      <c r="AB186" s="16"/>
      <c r="AC186" s="16"/>
      <c r="AD186" s="93">
        <v>20294</v>
      </c>
      <c r="AE186" s="93">
        <f t="shared" si="26"/>
        <v>20.294</v>
      </c>
      <c r="AF186" s="16">
        <v>15.84</v>
      </c>
      <c r="AG186" s="103">
        <f t="shared" si="24"/>
        <v>14</v>
      </c>
      <c r="AH186" s="37">
        <f t="shared" si="25"/>
        <v>20.294</v>
      </c>
      <c r="AJ186" s="38"/>
      <c r="AL186" s="16"/>
      <c r="AN186" s="39"/>
      <c r="AO186" s="39"/>
      <c r="AP186" s="48"/>
      <c r="AR186" s="38"/>
      <c r="AS186" s="49"/>
      <c r="AU186" s="38"/>
      <c r="AW186" s="16"/>
      <c r="AY186" s="39"/>
      <c r="AZ186" s="39"/>
      <c r="BA186" s="48"/>
      <c r="BC186" s="38"/>
      <c r="BD186" s="49"/>
    </row>
    <row r="187" spans="22:56" ht="16" x14ac:dyDescent="0.4">
      <c r="V187" s="97">
        <v>45918</v>
      </c>
      <c r="W187" s="16">
        <v>197588</v>
      </c>
      <c r="X187" s="101" t="s">
        <v>36</v>
      </c>
      <c r="Y187" s="105"/>
      <c r="Z187" s="102">
        <v>0.70295138888888886</v>
      </c>
      <c r="AA187" s="102">
        <v>0.89858796296296306</v>
      </c>
      <c r="AB187" s="16"/>
      <c r="AC187" s="16"/>
      <c r="AD187" s="93">
        <v>21614</v>
      </c>
      <c r="AE187" s="93">
        <f t="shared" si="26"/>
        <v>21.614000000000001</v>
      </c>
      <c r="AF187" s="16">
        <v>13.56</v>
      </c>
      <c r="AG187" s="103">
        <f t="shared" si="24"/>
        <v>13.56</v>
      </c>
      <c r="AH187" s="37">
        <f t="shared" si="25"/>
        <v>20.93470285714286</v>
      </c>
      <c r="AJ187" s="38"/>
      <c r="AL187" s="16"/>
      <c r="AN187" s="39"/>
      <c r="AO187" s="39"/>
      <c r="AP187" s="48"/>
      <c r="AR187" s="38"/>
      <c r="AS187" s="49"/>
      <c r="AU187" s="38"/>
      <c r="AW187" s="16"/>
      <c r="AY187" s="39"/>
      <c r="AZ187" s="39"/>
      <c r="BA187" s="48"/>
      <c r="BC187" s="38"/>
      <c r="BD187" s="49"/>
    </row>
    <row r="188" spans="22:56" ht="16" x14ac:dyDescent="0.4">
      <c r="V188" s="97">
        <v>45918</v>
      </c>
      <c r="W188" s="16">
        <v>197613</v>
      </c>
      <c r="X188" s="101" t="s">
        <v>36</v>
      </c>
      <c r="Y188" s="105"/>
      <c r="Z188" s="102">
        <v>0.76310185185185186</v>
      </c>
      <c r="AA188" s="102">
        <v>0.96370370370370362</v>
      </c>
      <c r="AB188" s="16"/>
      <c r="AC188" s="16"/>
      <c r="AD188" s="93">
        <v>22006</v>
      </c>
      <c r="AE188" s="93">
        <f t="shared" si="26"/>
        <v>22.006</v>
      </c>
      <c r="AF188" s="16">
        <v>13.09</v>
      </c>
      <c r="AG188" s="103">
        <f t="shared" si="24"/>
        <v>13.09</v>
      </c>
      <c r="AH188" s="37">
        <f t="shared" si="25"/>
        <v>20.575610000000001</v>
      </c>
      <c r="AJ188" s="38"/>
      <c r="AL188" s="16"/>
      <c r="AN188" s="39"/>
      <c r="AO188" s="39"/>
      <c r="AP188" s="48"/>
      <c r="AR188" s="38"/>
      <c r="AS188" s="49"/>
      <c r="AU188" s="38"/>
      <c r="AW188" s="16"/>
      <c r="AY188" s="39"/>
      <c r="AZ188" s="39"/>
      <c r="BA188" s="48"/>
      <c r="BC188" s="38"/>
      <c r="BD188" s="49"/>
    </row>
    <row r="189" spans="22:56" ht="16" x14ac:dyDescent="0.4">
      <c r="V189" s="97">
        <v>45919</v>
      </c>
      <c r="W189" s="16">
        <v>197632</v>
      </c>
      <c r="X189" s="101" t="s">
        <v>36</v>
      </c>
      <c r="Y189" s="105"/>
      <c r="Z189" s="102">
        <v>0.67712962962962964</v>
      </c>
      <c r="AA189" s="102">
        <v>3.4212962962962966E-2</v>
      </c>
      <c r="AB189" s="16"/>
      <c r="AC189" s="16"/>
      <c r="AD189" s="93">
        <v>20680</v>
      </c>
      <c r="AE189" s="93">
        <f t="shared" si="26"/>
        <v>20.68</v>
      </c>
      <c r="AF189" s="16">
        <v>14.31</v>
      </c>
      <c r="AG189" s="103">
        <f t="shared" si="24"/>
        <v>14</v>
      </c>
      <c r="AH189" s="37">
        <f t="shared" si="25"/>
        <v>20.68</v>
      </c>
      <c r="AJ189" s="38"/>
      <c r="AL189" s="16"/>
      <c r="AN189" s="39"/>
      <c r="AO189" s="39"/>
      <c r="AP189" s="48"/>
      <c r="AR189" s="38"/>
      <c r="AS189" s="49"/>
      <c r="AU189" s="38"/>
      <c r="AW189" s="16"/>
      <c r="AY189" s="39"/>
      <c r="AZ189" s="39"/>
      <c r="BA189" s="48"/>
      <c r="BC189" s="38"/>
      <c r="BD189" s="49"/>
    </row>
    <row r="190" spans="22:56" ht="16" x14ac:dyDescent="0.4">
      <c r="V190" s="97">
        <v>45919</v>
      </c>
      <c r="W190" s="16">
        <v>197643</v>
      </c>
      <c r="X190" s="101" t="s">
        <v>36</v>
      </c>
      <c r="Y190" s="105"/>
      <c r="Z190" s="102">
        <v>0.7634143518518518</v>
      </c>
      <c r="AA190" s="102">
        <v>0.10461805555555555</v>
      </c>
      <c r="AB190" s="16"/>
      <c r="AC190" s="16"/>
      <c r="AD190" s="93">
        <v>15726</v>
      </c>
      <c r="AE190" s="93">
        <f t="shared" si="26"/>
        <v>15.726000000000001</v>
      </c>
      <c r="AF190" s="16">
        <v>14.41</v>
      </c>
      <c r="AG190" s="103">
        <f t="shared" si="24"/>
        <v>14</v>
      </c>
      <c r="AH190" s="37">
        <f t="shared" si="25"/>
        <v>15.726000000000001</v>
      </c>
      <c r="AJ190" s="38"/>
      <c r="AL190" s="16"/>
      <c r="AN190" s="39"/>
      <c r="AO190" s="39"/>
      <c r="AP190" s="48"/>
      <c r="AR190" s="38"/>
      <c r="AS190" s="49"/>
      <c r="AU190" s="38"/>
      <c r="AW190" s="16"/>
      <c r="AY190" s="39"/>
      <c r="AZ190" s="39"/>
      <c r="BA190" s="48"/>
      <c r="BC190" s="38"/>
      <c r="BD190" s="49"/>
    </row>
    <row r="191" spans="22:56" ht="16" x14ac:dyDescent="0.4">
      <c r="V191" s="97">
        <v>45919</v>
      </c>
      <c r="W191" s="16">
        <v>197823</v>
      </c>
      <c r="X191" s="101" t="s">
        <v>36</v>
      </c>
      <c r="Y191" s="105"/>
      <c r="Z191" s="102">
        <v>9.3055555555555558E-2</v>
      </c>
      <c r="AA191" s="102">
        <v>0.43124999999999997</v>
      </c>
      <c r="AB191" s="16"/>
      <c r="AC191" s="16"/>
      <c r="AD191" s="93">
        <v>16824</v>
      </c>
      <c r="AE191" s="93">
        <f t="shared" si="26"/>
        <v>16.824000000000002</v>
      </c>
      <c r="AF191" s="16">
        <v>16.68</v>
      </c>
      <c r="AG191" s="103">
        <f t="shared" si="24"/>
        <v>14</v>
      </c>
      <c r="AH191" s="37">
        <f t="shared" si="25"/>
        <v>16.824000000000002</v>
      </c>
      <c r="AJ191" s="38"/>
      <c r="AL191" s="16"/>
      <c r="AN191" s="39"/>
      <c r="AO191" s="39"/>
      <c r="AP191" s="48"/>
      <c r="AR191" s="38"/>
      <c r="AS191" s="49"/>
      <c r="AU191" s="38"/>
      <c r="AW191" s="16"/>
      <c r="AY191" s="39"/>
      <c r="AZ191" s="39"/>
      <c r="BA191" s="48"/>
      <c r="BC191" s="38"/>
      <c r="BD191" s="49"/>
    </row>
    <row r="192" spans="22:56" ht="16" x14ac:dyDescent="0.4">
      <c r="V192" s="97">
        <v>45919</v>
      </c>
      <c r="W192" s="16">
        <v>197874</v>
      </c>
      <c r="X192" s="101" t="s">
        <v>36</v>
      </c>
      <c r="Y192" s="105"/>
      <c r="Z192" s="102">
        <v>0.26527777777777778</v>
      </c>
      <c r="AA192" s="102">
        <v>0.50763888888888886</v>
      </c>
      <c r="AB192" s="16"/>
      <c r="AC192" s="16"/>
      <c r="AD192" s="93">
        <v>19540</v>
      </c>
      <c r="AE192" s="93">
        <f t="shared" si="26"/>
        <v>19.54</v>
      </c>
      <c r="AF192" s="16">
        <v>17.489999999999998</v>
      </c>
      <c r="AG192" s="103">
        <f t="shared" si="24"/>
        <v>14</v>
      </c>
      <c r="AH192" s="37">
        <f t="shared" si="25"/>
        <v>19.54</v>
      </c>
      <c r="AJ192" s="38"/>
      <c r="AL192" s="16"/>
      <c r="AN192" s="39"/>
      <c r="AO192" s="39"/>
      <c r="AP192" s="48"/>
      <c r="AR192" s="38"/>
      <c r="AS192" s="49"/>
      <c r="AU192" s="38"/>
      <c r="AW192" s="16"/>
      <c r="AY192" s="39"/>
      <c r="AZ192" s="39"/>
      <c r="BA192" s="48"/>
      <c r="BC192" s="38"/>
      <c r="BD192" s="49"/>
    </row>
    <row r="193" spans="22:56" ht="16" x14ac:dyDescent="0.4">
      <c r="V193" s="97">
        <v>45919</v>
      </c>
      <c r="W193" s="16">
        <v>197931</v>
      </c>
      <c r="X193" s="101" t="s">
        <v>36</v>
      </c>
      <c r="Y193" s="105"/>
      <c r="Z193" s="102">
        <v>9.3055555555555558E-2</v>
      </c>
      <c r="AA193" s="102">
        <v>0.58124999999999993</v>
      </c>
      <c r="AB193" s="16"/>
      <c r="AC193" s="16"/>
      <c r="AD193" s="93">
        <v>19650</v>
      </c>
      <c r="AE193" s="93">
        <f t="shared" si="26"/>
        <v>19.649999999999999</v>
      </c>
      <c r="AF193" s="16">
        <v>15.03</v>
      </c>
      <c r="AG193" s="103">
        <f t="shared" si="24"/>
        <v>14</v>
      </c>
      <c r="AH193" s="37">
        <f t="shared" si="25"/>
        <v>19.649999999999999</v>
      </c>
      <c r="AJ193" s="38"/>
      <c r="AL193" s="16"/>
      <c r="AN193" s="39"/>
      <c r="AO193" s="39"/>
      <c r="AP193" s="48"/>
      <c r="AR193" s="38"/>
      <c r="AS193" s="49"/>
      <c r="AU193" s="38"/>
      <c r="AW193" s="16"/>
      <c r="AY193" s="39"/>
      <c r="AZ193" s="39"/>
      <c r="BA193" s="48"/>
      <c r="BC193" s="38"/>
      <c r="BD193" s="49"/>
    </row>
    <row r="194" spans="22:56" ht="16" x14ac:dyDescent="0.4">
      <c r="V194" s="97">
        <v>45919</v>
      </c>
      <c r="W194" s="16">
        <v>198005</v>
      </c>
      <c r="X194" s="101" t="s">
        <v>36</v>
      </c>
      <c r="Y194" s="105"/>
      <c r="Z194" s="102">
        <v>0.26527777777777778</v>
      </c>
      <c r="AA194" s="102">
        <v>0.65347222222222223</v>
      </c>
      <c r="AB194" s="16"/>
      <c r="AC194" s="16"/>
      <c r="AD194" s="93">
        <v>19494</v>
      </c>
      <c r="AE194" s="93">
        <f t="shared" si="26"/>
        <v>19.494</v>
      </c>
      <c r="AF194" s="16">
        <v>15.88</v>
      </c>
      <c r="AG194" s="103">
        <f t="shared" si="24"/>
        <v>14</v>
      </c>
      <c r="AH194" s="37">
        <f t="shared" si="25"/>
        <v>19.494</v>
      </c>
      <c r="AJ194" s="38"/>
      <c r="AL194" s="16"/>
      <c r="AN194" s="39"/>
      <c r="AO194" s="39"/>
      <c r="AP194" s="48"/>
      <c r="AR194" s="38"/>
      <c r="AS194" s="49"/>
      <c r="AU194" s="38"/>
      <c r="AW194" s="16"/>
      <c r="AY194" s="39"/>
      <c r="AZ194" s="39"/>
      <c r="BA194" s="48"/>
      <c r="BC194" s="38"/>
      <c r="BD194" s="49"/>
    </row>
    <row r="195" spans="22:56" ht="16" x14ac:dyDescent="0.4">
      <c r="V195" s="97">
        <v>45919</v>
      </c>
      <c r="W195" s="16">
        <v>198039</v>
      </c>
      <c r="X195" s="101" t="s">
        <v>36</v>
      </c>
      <c r="Y195" s="105"/>
      <c r="Z195" s="102">
        <v>9.3055555555555558E-2</v>
      </c>
      <c r="AA195" s="102">
        <v>0.71111111111111114</v>
      </c>
      <c r="AB195" s="16"/>
      <c r="AC195" s="16"/>
      <c r="AD195" s="93">
        <v>18578</v>
      </c>
      <c r="AE195" s="93">
        <f t="shared" si="26"/>
        <v>18.577999999999999</v>
      </c>
      <c r="AF195" s="16">
        <v>16.84</v>
      </c>
      <c r="AG195" s="103">
        <f t="shared" si="24"/>
        <v>14</v>
      </c>
      <c r="AH195" s="37">
        <f t="shared" si="25"/>
        <v>18.577999999999999</v>
      </c>
      <c r="AJ195" s="38"/>
      <c r="AL195" s="16"/>
      <c r="AN195" s="39"/>
      <c r="AO195" s="39"/>
      <c r="AP195" s="48"/>
      <c r="AQ195" s="16"/>
      <c r="AR195" s="38"/>
      <c r="AS195" s="49"/>
      <c r="AU195" s="38"/>
      <c r="AW195" s="16"/>
      <c r="AY195" s="39"/>
      <c r="AZ195" s="39"/>
      <c r="BA195" s="48"/>
      <c r="BB195" s="16"/>
      <c r="BC195" s="38"/>
      <c r="BD195" s="49"/>
    </row>
    <row r="196" spans="22:56" ht="16" x14ac:dyDescent="0.4">
      <c r="V196" s="97">
        <v>45919</v>
      </c>
      <c r="W196" s="16">
        <v>198068</v>
      </c>
      <c r="X196" s="101" t="s">
        <v>36</v>
      </c>
      <c r="Y196" s="105"/>
      <c r="Z196" s="102">
        <v>0.70914351851851853</v>
      </c>
      <c r="AA196" s="102">
        <v>0.79856481481481489</v>
      </c>
      <c r="AB196" s="16"/>
      <c r="AC196" s="16"/>
      <c r="AD196" s="93">
        <v>19862</v>
      </c>
      <c r="AE196" s="93">
        <f t="shared" si="26"/>
        <v>19.861999999999998</v>
      </c>
      <c r="AF196" s="16">
        <v>14.2</v>
      </c>
      <c r="AG196" s="103">
        <f t="shared" si="24"/>
        <v>14</v>
      </c>
      <c r="AH196" s="37">
        <f t="shared" si="25"/>
        <v>19.861999999999998</v>
      </c>
      <c r="AJ196" s="38"/>
      <c r="AL196" s="16"/>
      <c r="AM196" s="17"/>
      <c r="AN196" s="81"/>
      <c r="AO196" s="39"/>
      <c r="AP196" s="48"/>
      <c r="AR196" s="38"/>
      <c r="AS196" s="49"/>
      <c r="AU196" s="38"/>
      <c r="AW196" s="16"/>
      <c r="AX196" s="17"/>
      <c r="AY196" s="81"/>
      <c r="AZ196" s="39"/>
      <c r="BA196" s="48"/>
      <c r="BC196" s="38"/>
      <c r="BD196" s="49"/>
    </row>
    <row r="197" spans="22:56" ht="16" x14ac:dyDescent="0.4">
      <c r="V197" s="97">
        <v>45919</v>
      </c>
      <c r="W197" s="16">
        <v>198105</v>
      </c>
      <c r="X197" s="101" t="s">
        <v>36</v>
      </c>
      <c r="Y197" s="105"/>
      <c r="Z197" s="102">
        <v>0.67189814814814808</v>
      </c>
      <c r="AA197" s="102">
        <v>0.85398148148148145</v>
      </c>
      <c r="AB197" s="16"/>
      <c r="AC197" s="16"/>
      <c r="AD197" s="93">
        <v>19554</v>
      </c>
      <c r="AE197" s="93">
        <f t="shared" si="26"/>
        <v>19.553999999999998</v>
      </c>
      <c r="AF197" s="16">
        <v>16.559999999999999</v>
      </c>
      <c r="AG197" s="103">
        <f t="shared" ref="AG197:AG260" si="27">IF($AF197&gt;14,14,$AF197)</f>
        <v>14</v>
      </c>
      <c r="AH197" s="37">
        <f t="shared" ref="AH197:AH260" si="28">AE197*AG197/14</f>
        <v>19.553999999999998</v>
      </c>
      <c r="AJ197" s="38"/>
      <c r="AL197" s="16"/>
      <c r="AN197" s="81"/>
      <c r="AO197" s="39"/>
      <c r="AP197" s="48"/>
      <c r="AR197" s="38"/>
      <c r="AS197" s="16"/>
      <c r="AU197" s="38"/>
      <c r="AW197" s="16"/>
      <c r="AY197" s="81"/>
      <c r="AZ197" s="39"/>
      <c r="BA197" s="48"/>
      <c r="BC197" s="38"/>
      <c r="BD197" s="16"/>
    </row>
    <row r="198" spans="22:56" ht="16" x14ac:dyDescent="0.4">
      <c r="V198" s="97">
        <v>45919</v>
      </c>
      <c r="W198" s="16">
        <v>198123</v>
      </c>
      <c r="X198" s="101" t="s">
        <v>36</v>
      </c>
      <c r="Y198" s="105"/>
      <c r="Z198" s="102">
        <v>0.70900462962962962</v>
      </c>
      <c r="AA198" s="102">
        <v>0.91590277777777773</v>
      </c>
      <c r="AB198" s="16"/>
      <c r="AC198" s="16"/>
      <c r="AD198" s="93">
        <v>19670</v>
      </c>
      <c r="AE198" s="93">
        <f t="shared" si="26"/>
        <v>19.670000000000002</v>
      </c>
      <c r="AF198" s="16">
        <v>14.84</v>
      </c>
      <c r="AG198" s="103">
        <f t="shared" si="27"/>
        <v>14</v>
      </c>
      <c r="AH198" s="37">
        <f t="shared" si="28"/>
        <v>19.669999999999998</v>
      </c>
      <c r="AJ198" s="38"/>
      <c r="AL198" s="16"/>
      <c r="AN198" s="81"/>
      <c r="AO198" s="39"/>
      <c r="AP198" s="48"/>
      <c r="AR198" s="38"/>
      <c r="AS198" s="16"/>
      <c r="AU198" s="38"/>
      <c r="AW198" s="16"/>
      <c r="AY198" s="81"/>
      <c r="AZ198" s="39"/>
      <c r="BA198" s="48"/>
      <c r="BC198" s="38"/>
      <c r="BD198" s="16"/>
    </row>
    <row r="199" spans="22:56" ht="16" x14ac:dyDescent="0.4">
      <c r="V199" s="97">
        <v>45919</v>
      </c>
      <c r="W199" s="16">
        <v>198147</v>
      </c>
      <c r="X199" s="101" t="s">
        <v>36</v>
      </c>
      <c r="Y199" s="105"/>
      <c r="Z199" s="102">
        <v>0.63300925925925922</v>
      </c>
      <c r="AA199" s="102">
        <v>2.7546296296296294E-3</v>
      </c>
      <c r="AB199" s="16"/>
      <c r="AC199" s="16"/>
      <c r="AD199" s="93">
        <v>22014</v>
      </c>
      <c r="AE199" s="93">
        <f t="shared" si="26"/>
        <v>22.013999999999999</v>
      </c>
      <c r="AF199" s="16">
        <v>13.38</v>
      </c>
      <c r="AG199" s="103">
        <f t="shared" si="27"/>
        <v>13.38</v>
      </c>
      <c r="AH199" s="37">
        <f t="shared" si="28"/>
        <v>21.039094285714288</v>
      </c>
      <c r="AJ199" s="38"/>
      <c r="AL199" s="16"/>
      <c r="AN199" s="81"/>
      <c r="AO199" s="39"/>
      <c r="AP199" s="48"/>
      <c r="AR199" s="38"/>
      <c r="AS199" s="16"/>
      <c r="AU199" s="38"/>
      <c r="AW199" s="16"/>
      <c r="AY199" s="81"/>
      <c r="AZ199" s="39"/>
      <c r="BA199" s="48"/>
      <c r="BC199" s="38"/>
      <c r="BD199" s="16"/>
    </row>
    <row r="200" spans="22:56" ht="16" x14ac:dyDescent="0.4">
      <c r="V200" s="97">
        <v>45920</v>
      </c>
      <c r="W200" s="16">
        <v>198159</v>
      </c>
      <c r="X200" s="101" t="s">
        <v>36</v>
      </c>
      <c r="Y200" s="105"/>
      <c r="Z200" s="102">
        <v>0.26523148148148151</v>
      </c>
      <c r="AA200" s="102">
        <v>5.3159722222222226E-2</v>
      </c>
      <c r="AB200" s="16"/>
      <c r="AC200" s="16"/>
      <c r="AD200" s="93">
        <v>17700</v>
      </c>
      <c r="AE200" s="93">
        <f t="shared" ref="AE200:AE210" si="29">AD200/1000</f>
        <v>17.7</v>
      </c>
      <c r="AF200" s="16">
        <v>16.66</v>
      </c>
      <c r="AG200" s="103">
        <f t="shared" si="27"/>
        <v>14</v>
      </c>
      <c r="AH200" s="37">
        <f t="shared" si="28"/>
        <v>17.7</v>
      </c>
      <c r="AJ200" s="38"/>
      <c r="AL200" s="16"/>
      <c r="AN200" s="81"/>
      <c r="AO200" s="39"/>
      <c r="AP200" s="48"/>
      <c r="AR200" s="38"/>
      <c r="AS200" s="16"/>
      <c r="AU200" s="38"/>
      <c r="AW200" s="16"/>
      <c r="AY200" s="81"/>
      <c r="AZ200" s="39"/>
      <c r="BA200" s="48"/>
      <c r="BC200" s="38"/>
      <c r="BD200" s="16"/>
    </row>
    <row r="201" spans="22:56" ht="16" x14ac:dyDescent="0.4">
      <c r="V201" s="97">
        <v>45920</v>
      </c>
      <c r="W201" s="16">
        <v>198173</v>
      </c>
      <c r="X201" s="101" t="s">
        <v>36</v>
      </c>
      <c r="Y201" s="105"/>
      <c r="Z201" s="102">
        <v>3.6574074074074071E-2</v>
      </c>
      <c r="AA201" s="102">
        <v>0.1113425925925926</v>
      </c>
      <c r="AB201" s="16"/>
      <c r="AC201" s="16"/>
      <c r="AD201" s="93">
        <v>19264</v>
      </c>
      <c r="AE201" s="93">
        <f t="shared" si="29"/>
        <v>19.263999999999999</v>
      </c>
      <c r="AF201" s="16">
        <v>14.66</v>
      </c>
      <c r="AG201" s="103">
        <f t="shared" si="27"/>
        <v>14</v>
      </c>
      <c r="AH201" s="37">
        <f t="shared" si="28"/>
        <v>19.263999999999999</v>
      </c>
      <c r="AJ201" s="38"/>
      <c r="AL201" s="16"/>
      <c r="AN201" s="81"/>
      <c r="AO201" s="39"/>
      <c r="AP201" s="48"/>
      <c r="AR201" s="38"/>
      <c r="AS201" s="16"/>
      <c r="AU201" s="38"/>
      <c r="AW201" s="16"/>
      <c r="AY201" s="81"/>
      <c r="AZ201" s="39"/>
      <c r="BA201" s="48"/>
      <c r="BC201" s="38"/>
      <c r="BD201" s="16"/>
    </row>
    <row r="202" spans="22:56" ht="16" x14ac:dyDescent="0.4">
      <c r="V202" s="97">
        <v>45920</v>
      </c>
      <c r="W202" s="16">
        <v>198184</v>
      </c>
      <c r="X202" s="101" t="s">
        <v>36</v>
      </c>
      <c r="Y202" s="105"/>
      <c r="Z202" s="102">
        <v>9.4386574074074081E-2</v>
      </c>
      <c r="AA202" s="102">
        <v>0.17476851851851852</v>
      </c>
      <c r="AB202" s="16"/>
      <c r="AC202" s="16"/>
      <c r="AD202" s="93">
        <v>18008</v>
      </c>
      <c r="AE202" s="93">
        <f t="shared" si="29"/>
        <v>18.007999999999999</v>
      </c>
      <c r="AF202" s="16">
        <v>14.13</v>
      </c>
      <c r="AG202" s="103">
        <f t="shared" si="27"/>
        <v>14</v>
      </c>
      <c r="AH202" s="37">
        <f t="shared" si="28"/>
        <v>18.007999999999999</v>
      </c>
      <c r="AJ202" s="38"/>
      <c r="AL202" s="16"/>
      <c r="AN202" s="81"/>
      <c r="AO202" s="39"/>
      <c r="AP202" s="48"/>
      <c r="AR202" s="38"/>
      <c r="AS202" s="16"/>
      <c r="AU202" s="38"/>
      <c r="AW202" s="16"/>
      <c r="AY202" s="81"/>
      <c r="AZ202" s="39"/>
      <c r="BA202" s="48"/>
      <c r="BC202" s="38"/>
      <c r="BD202" s="16"/>
    </row>
    <row r="203" spans="22:56" ht="16" x14ac:dyDescent="0.4">
      <c r="V203" s="97">
        <v>45920</v>
      </c>
      <c r="W203" s="16">
        <v>198234</v>
      </c>
      <c r="X203" s="101" t="s">
        <v>36</v>
      </c>
      <c r="Y203" s="105"/>
      <c r="Z203" s="102">
        <v>3.6111111111111115E-2</v>
      </c>
      <c r="AA203" s="102">
        <v>0.33611111111111108</v>
      </c>
      <c r="AB203" s="16"/>
      <c r="AC203" s="16"/>
      <c r="AD203" s="93">
        <v>20864</v>
      </c>
      <c r="AE203" s="93">
        <f t="shared" si="29"/>
        <v>20.864000000000001</v>
      </c>
      <c r="AF203">
        <v>14.11</v>
      </c>
      <c r="AG203" s="103">
        <f t="shared" si="27"/>
        <v>14</v>
      </c>
      <c r="AH203" s="37">
        <f t="shared" si="28"/>
        <v>20.864000000000001</v>
      </c>
      <c r="AJ203" s="38"/>
      <c r="AL203" s="16"/>
      <c r="AN203" s="81"/>
      <c r="AO203" s="39"/>
      <c r="AP203" s="48"/>
      <c r="AR203" s="38"/>
      <c r="AS203" s="16"/>
      <c r="AU203" s="38"/>
      <c r="AW203" s="16"/>
      <c r="AY203" s="81"/>
      <c r="AZ203" s="39"/>
      <c r="BA203" s="48"/>
      <c r="BC203" s="38"/>
      <c r="BD203" s="16"/>
    </row>
    <row r="204" spans="22:56" ht="16" x14ac:dyDescent="0.4">
      <c r="V204" s="97">
        <v>45920</v>
      </c>
      <c r="W204" s="16">
        <v>198284</v>
      </c>
      <c r="X204" s="101" t="s">
        <v>36</v>
      </c>
      <c r="Y204" s="105"/>
      <c r="Z204" s="102">
        <v>9.375E-2</v>
      </c>
      <c r="AA204" s="102">
        <v>0.39027777777777778</v>
      </c>
      <c r="AB204" s="16"/>
      <c r="AC204" s="16"/>
      <c r="AD204" s="93">
        <v>18870</v>
      </c>
      <c r="AE204" s="93">
        <f t="shared" si="29"/>
        <v>18.87</v>
      </c>
      <c r="AF204">
        <v>15.27</v>
      </c>
      <c r="AG204" s="103">
        <f t="shared" si="27"/>
        <v>14</v>
      </c>
      <c r="AH204" s="37">
        <f t="shared" si="28"/>
        <v>18.87</v>
      </c>
      <c r="AJ204" s="38"/>
      <c r="AL204" s="16"/>
      <c r="AN204" s="81"/>
      <c r="AO204" s="39"/>
      <c r="AP204" s="48"/>
      <c r="AR204" s="38"/>
      <c r="AS204" s="16"/>
      <c r="AU204" s="38"/>
      <c r="AW204" s="16"/>
      <c r="AY204" s="81"/>
      <c r="AZ204" s="39"/>
      <c r="BA204" s="48"/>
      <c r="BC204" s="38"/>
      <c r="BD204" s="16"/>
    </row>
    <row r="205" spans="22:56" ht="16" x14ac:dyDescent="0.4">
      <c r="V205" s="97">
        <v>45920</v>
      </c>
      <c r="W205" s="16">
        <v>198340</v>
      </c>
      <c r="X205" s="101" t="s">
        <v>36</v>
      </c>
      <c r="Y205" s="105"/>
      <c r="Z205" s="102">
        <v>3.6111111111111115E-2</v>
      </c>
      <c r="AA205" s="102">
        <v>0.4777777777777778</v>
      </c>
      <c r="AB205" s="16"/>
      <c r="AC205" s="16"/>
      <c r="AD205" s="93">
        <v>20422</v>
      </c>
      <c r="AE205" s="93">
        <f t="shared" si="29"/>
        <v>20.422000000000001</v>
      </c>
      <c r="AF205">
        <v>14.24</v>
      </c>
      <c r="AG205" s="103">
        <f t="shared" si="27"/>
        <v>14</v>
      </c>
      <c r="AH205" s="37">
        <f t="shared" si="28"/>
        <v>20.422000000000001</v>
      </c>
      <c r="AJ205" s="38"/>
      <c r="AL205" s="16"/>
      <c r="AN205" s="81"/>
      <c r="AO205" s="39"/>
      <c r="AP205" s="48"/>
      <c r="AR205" s="38"/>
      <c r="AS205" s="16"/>
      <c r="AU205" s="38"/>
      <c r="AW205" s="16"/>
      <c r="AY205" s="81"/>
      <c r="AZ205" s="39"/>
      <c r="BA205" s="48"/>
      <c r="BC205" s="38"/>
      <c r="BD205" s="16"/>
    </row>
    <row r="206" spans="22:56" ht="16" x14ac:dyDescent="0.4">
      <c r="V206" s="97">
        <v>45920</v>
      </c>
      <c r="W206" s="16">
        <v>198360</v>
      </c>
      <c r="X206" s="101" t="s">
        <v>36</v>
      </c>
      <c r="Y206" s="105"/>
      <c r="Z206" s="102">
        <v>9.375E-2</v>
      </c>
      <c r="AA206" s="102">
        <v>0.55069444444444449</v>
      </c>
      <c r="AB206" s="16"/>
      <c r="AC206" s="16"/>
      <c r="AD206" s="93">
        <v>21646</v>
      </c>
      <c r="AE206" s="93">
        <f t="shared" si="29"/>
        <v>21.646000000000001</v>
      </c>
      <c r="AF206">
        <v>14.41</v>
      </c>
      <c r="AG206" s="103">
        <f t="shared" si="27"/>
        <v>14</v>
      </c>
      <c r="AH206" s="37">
        <f t="shared" si="28"/>
        <v>21.645999999999997</v>
      </c>
      <c r="AJ206" s="38"/>
      <c r="AL206" s="16"/>
      <c r="AN206" s="81"/>
      <c r="AO206" s="39"/>
      <c r="AP206" s="48"/>
      <c r="AR206" s="38"/>
      <c r="AS206" s="16"/>
      <c r="AU206" s="38"/>
      <c r="AW206" s="16"/>
      <c r="AY206" s="81"/>
      <c r="AZ206" s="39"/>
      <c r="BA206" s="48"/>
      <c r="BC206" s="38"/>
      <c r="BD206" s="16"/>
    </row>
    <row r="207" spans="22:56" ht="16" x14ac:dyDescent="0.4">
      <c r="V207" s="97">
        <v>45920</v>
      </c>
      <c r="W207" s="16">
        <v>198398</v>
      </c>
      <c r="X207" s="101" t="s">
        <v>36</v>
      </c>
      <c r="Y207" s="105"/>
      <c r="Z207" s="50">
        <v>0.38055555555555554</v>
      </c>
      <c r="AA207" s="50">
        <v>0.61736111111111114</v>
      </c>
      <c r="AD207" s="37">
        <v>19758</v>
      </c>
      <c r="AE207" s="93">
        <f t="shared" si="29"/>
        <v>19.757999999999999</v>
      </c>
      <c r="AF207">
        <v>15.56</v>
      </c>
      <c r="AG207" s="103">
        <f t="shared" si="27"/>
        <v>14</v>
      </c>
      <c r="AH207" s="37">
        <f t="shared" si="28"/>
        <v>19.757999999999999</v>
      </c>
      <c r="AJ207" s="38"/>
      <c r="AL207" s="16"/>
      <c r="AN207" s="81"/>
      <c r="AO207" s="39"/>
      <c r="AP207" s="48"/>
      <c r="AR207" s="38"/>
      <c r="AS207" s="16"/>
      <c r="AU207" s="38"/>
      <c r="AW207" s="16"/>
      <c r="AY207" s="81"/>
      <c r="AZ207" s="39"/>
      <c r="BA207" s="48"/>
      <c r="BC207" s="38"/>
      <c r="BD207" s="16"/>
    </row>
    <row r="208" spans="22:56" ht="16" x14ac:dyDescent="0.4">
      <c r="V208" s="97">
        <v>45920</v>
      </c>
      <c r="W208" s="16">
        <v>198436</v>
      </c>
      <c r="X208" s="101" t="s">
        <v>36</v>
      </c>
      <c r="Y208" s="105"/>
      <c r="Z208" s="50">
        <v>0.59652777777777777</v>
      </c>
      <c r="AA208" s="50">
        <v>0.68680555555555556</v>
      </c>
      <c r="AD208" s="37">
        <v>19380</v>
      </c>
      <c r="AE208" s="93">
        <f t="shared" si="29"/>
        <v>19.38</v>
      </c>
      <c r="AF208">
        <v>14.79</v>
      </c>
      <c r="AG208" s="103">
        <f t="shared" si="27"/>
        <v>14</v>
      </c>
      <c r="AH208" s="37">
        <f t="shared" si="28"/>
        <v>19.38</v>
      </c>
      <c r="AJ208" s="38"/>
      <c r="AL208" s="16"/>
      <c r="AN208" s="81"/>
      <c r="AO208" s="39"/>
      <c r="AP208" s="48"/>
      <c r="AR208" s="38"/>
      <c r="AS208" s="16"/>
      <c r="AU208" s="38"/>
      <c r="AW208" s="16"/>
      <c r="AY208" s="81"/>
      <c r="AZ208" s="39"/>
      <c r="BA208" s="48"/>
      <c r="BC208" s="38"/>
      <c r="BD208" s="16"/>
    </row>
    <row r="209" spans="18:56" ht="16" x14ac:dyDescent="0.4">
      <c r="V209" s="97">
        <v>45920</v>
      </c>
      <c r="W209" s="16">
        <v>198448</v>
      </c>
      <c r="X209" s="101" t="s">
        <v>36</v>
      </c>
      <c r="Y209" s="105"/>
      <c r="Z209" s="50">
        <v>0.66875000000000007</v>
      </c>
      <c r="AA209" s="50">
        <v>0.73472222222222217</v>
      </c>
      <c r="AD209" s="37">
        <v>17310</v>
      </c>
      <c r="AE209" s="93">
        <f t="shared" si="29"/>
        <v>17.309999999999999</v>
      </c>
      <c r="AF209">
        <v>15.77</v>
      </c>
      <c r="AG209" s="103">
        <f t="shared" si="27"/>
        <v>14</v>
      </c>
      <c r="AH209" s="37">
        <f t="shared" si="28"/>
        <v>17.309999999999999</v>
      </c>
      <c r="AJ209" s="38"/>
      <c r="AL209" s="16"/>
      <c r="AN209" s="81"/>
      <c r="AO209" s="81"/>
      <c r="AP209" s="48"/>
      <c r="AR209" s="38"/>
      <c r="AS209" s="16"/>
      <c r="AU209" s="38"/>
      <c r="AW209" s="16"/>
      <c r="AY209" s="81"/>
      <c r="AZ209" s="81"/>
      <c r="BA209" s="48"/>
      <c r="BC209" s="38"/>
      <c r="BD209" s="16"/>
    </row>
    <row r="210" spans="18:56" ht="16" x14ac:dyDescent="0.4">
      <c r="V210" s="97">
        <v>45920</v>
      </c>
      <c r="W210" s="16">
        <v>198458</v>
      </c>
      <c r="X210" s="101" t="s">
        <v>36</v>
      </c>
      <c r="Y210" s="105"/>
      <c r="Z210" s="50">
        <v>0.59675925925925932</v>
      </c>
      <c r="AA210" s="50">
        <v>0.78681712962962969</v>
      </c>
      <c r="AD210" s="37">
        <v>20580</v>
      </c>
      <c r="AE210" s="93">
        <f t="shared" si="29"/>
        <v>20.58</v>
      </c>
      <c r="AF210">
        <v>15.16</v>
      </c>
      <c r="AG210" s="103">
        <f t="shared" si="27"/>
        <v>14</v>
      </c>
      <c r="AH210" s="37">
        <f t="shared" si="28"/>
        <v>20.580000000000002</v>
      </c>
      <c r="AJ210" s="38"/>
      <c r="AL210" s="16"/>
      <c r="AN210" s="81"/>
      <c r="AO210" s="81"/>
      <c r="AP210" s="48"/>
      <c r="AR210" s="38"/>
      <c r="AS210" s="16"/>
      <c r="AU210" s="38"/>
      <c r="AW210" s="16"/>
      <c r="AY210" s="81"/>
      <c r="AZ210" s="81"/>
      <c r="BA210" s="48"/>
      <c r="BC210" s="38"/>
      <c r="BD210" s="16"/>
    </row>
    <row r="211" spans="18:56" ht="16" x14ac:dyDescent="0.4">
      <c r="V211" s="97">
        <v>45920</v>
      </c>
      <c r="W211" s="16">
        <v>198484</v>
      </c>
      <c r="X211" s="101" t="s">
        <v>36</v>
      </c>
      <c r="Y211" s="105"/>
      <c r="Z211" s="50">
        <v>0.66863425925925923</v>
      </c>
      <c r="AA211" s="50">
        <v>0.85303240740740749</v>
      </c>
      <c r="AD211" s="37">
        <v>20358</v>
      </c>
      <c r="AE211" s="93">
        <f t="shared" ref="AE211:AE246" si="30">AD211/1000</f>
        <v>20.358000000000001</v>
      </c>
      <c r="AF211">
        <v>14.91</v>
      </c>
      <c r="AG211" s="103">
        <f t="shared" si="27"/>
        <v>14</v>
      </c>
      <c r="AH211" s="37">
        <f t="shared" si="28"/>
        <v>20.358000000000001</v>
      </c>
      <c r="AJ211" s="38"/>
      <c r="AL211" s="16"/>
      <c r="AN211" s="81"/>
      <c r="AO211" s="81"/>
      <c r="AP211" s="48"/>
      <c r="AR211" s="38"/>
      <c r="AS211" s="16"/>
      <c r="AU211" s="38"/>
      <c r="AW211" s="16"/>
      <c r="AY211" s="81"/>
      <c r="AZ211" s="81"/>
      <c r="BA211" s="48"/>
      <c r="BC211" s="38"/>
      <c r="BD211" s="16"/>
    </row>
    <row r="212" spans="18:56" ht="16" x14ac:dyDescent="0.4">
      <c r="V212" s="97">
        <v>45920</v>
      </c>
      <c r="W212" s="16">
        <v>198499</v>
      </c>
      <c r="X212" s="101" t="s">
        <v>36</v>
      </c>
      <c r="Y212" s="105"/>
      <c r="Z212" s="50">
        <v>0.72931712962962969</v>
      </c>
      <c r="AA212" s="50">
        <v>0.90057870370370363</v>
      </c>
      <c r="AD212" s="37">
        <v>19392</v>
      </c>
      <c r="AE212" s="93">
        <f t="shared" si="30"/>
        <v>19.391999999999999</v>
      </c>
      <c r="AF212">
        <v>15.38</v>
      </c>
      <c r="AG212" s="103">
        <f t="shared" si="27"/>
        <v>14</v>
      </c>
      <c r="AH212" s="37">
        <f t="shared" si="28"/>
        <v>19.391999999999999</v>
      </c>
      <c r="AJ212" s="38"/>
      <c r="AL212" s="16"/>
      <c r="AN212" s="81"/>
      <c r="AO212" s="81"/>
      <c r="AP212" s="48"/>
      <c r="AR212" s="38"/>
      <c r="AS212" s="16"/>
      <c r="AU212" s="38"/>
      <c r="AW212" s="16"/>
      <c r="AY212" s="81"/>
      <c r="AZ212" s="81"/>
      <c r="BA212" s="48"/>
      <c r="BC212" s="38"/>
      <c r="BD212" s="16"/>
    </row>
    <row r="213" spans="18:56" ht="16" x14ac:dyDescent="0.4">
      <c r="V213" s="90">
        <v>45920</v>
      </c>
      <c r="W213" s="17">
        <v>198520</v>
      </c>
      <c r="X213" s="99" t="s">
        <v>36</v>
      </c>
      <c r="Y213" s="110"/>
      <c r="Z213" s="91">
        <v>0.66849537037037043</v>
      </c>
      <c r="AA213" s="91">
        <v>0.96530092592592587</v>
      </c>
      <c r="AB213" s="17"/>
      <c r="AC213" s="17"/>
      <c r="AD213" s="110">
        <v>20176</v>
      </c>
      <c r="AE213" s="92">
        <f t="shared" si="30"/>
        <v>20.175999999999998</v>
      </c>
      <c r="AF213" s="17">
        <v>15.06</v>
      </c>
      <c r="AG213" s="95">
        <f t="shared" si="27"/>
        <v>14</v>
      </c>
      <c r="AH213" s="110">
        <f t="shared" si="28"/>
        <v>20.175999999999998</v>
      </c>
      <c r="AJ213" s="38"/>
      <c r="AL213" s="16"/>
      <c r="AN213" s="81"/>
      <c r="AO213" s="81"/>
      <c r="AP213" s="48"/>
      <c r="AR213" s="38"/>
      <c r="AS213" s="16"/>
      <c r="AU213" s="38"/>
      <c r="AW213" s="16"/>
      <c r="AY213" s="81"/>
      <c r="AZ213" s="81"/>
      <c r="BA213" s="48"/>
      <c r="BC213" s="38"/>
      <c r="BD213" s="16"/>
    </row>
    <row r="214" spans="18:56" ht="16" x14ac:dyDescent="0.4">
      <c r="V214" s="97">
        <v>45921</v>
      </c>
      <c r="W214" s="16">
        <v>198531</v>
      </c>
      <c r="X214" s="101" t="s">
        <v>36</v>
      </c>
      <c r="Y214" s="105"/>
      <c r="Z214" s="50">
        <v>0.59640046296296301</v>
      </c>
      <c r="AA214" s="50">
        <v>3.9421296296296295E-2</v>
      </c>
      <c r="AD214" s="37">
        <v>21032</v>
      </c>
      <c r="AE214" s="93">
        <f t="shared" si="30"/>
        <v>21.032</v>
      </c>
      <c r="AF214">
        <v>14.77</v>
      </c>
      <c r="AG214" s="103">
        <f t="shared" si="27"/>
        <v>14</v>
      </c>
      <c r="AH214" s="37">
        <f t="shared" si="28"/>
        <v>21.032</v>
      </c>
      <c r="AJ214" s="38"/>
      <c r="AL214" s="16"/>
      <c r="AN214" s="81"/>
      <c r="AO214" s="81"/>
      <c r="AP214" s="48"/>
      <c r="AR214" s="38"/>
      <c r="AS214" s="16"/>
      <c r="AU214" s="38"/>
      <c r="AW214" s="16"/>
      <c r="AY214" s="81"/>
      <c r="AZ214" s="81"/>
      <c r="BA214" s="48"/>
      <c r="BC214" s="38"/>
      <c r="BD214" s="16"/>
    </row>
    <row r="215" spans="18:56" ht="16" x14ac:dyDescent="0.4">
      <c r="V215" s="97">
        <v>45921</v>
      </c>
      <c r="W215" s="16">
        <v>198535</v>
      </c>
      <c r="X215" s="101" t="s">
        <v>36</v>
      </c>
      <c r="Y215" s="105"/>
      <c r="Z215" s="50">
        <v>4.340277777777778E-3</v>
      </c>
      <c r="AA215" s="50">
        <v>7.5659722222222225E-2</v>
      </c>
      <c r="AD215" s="37">
        <v>18874</v>
      </c>
      <c r="AE215" s="93">
        <f t="shared" si="30"/>
        <v>18.873999999999999</v>
      </c>
      <c r="AF215">
        <v>16.63</v>
      </c>
      <c r="AG215" s="103">
        <f t="shared" si="27"/>
        <v>14</v>
      </c>
      <c r="AH215" s="37">
        <f t="shared" si="28"/>
        <v>18.873999999999999</v>
      </c>
      <c r="AJ215" s="38"/>
      <c r="AL215" s="16"/>
      <c r="AN215" s="81"/>
      <c r="AO215" s="81"/>
      <c r="AP215" s="48"/>
      <c r="AR215" s="38"/>
      <c r="AS215" s="16"/>
      <c r="AU215" s="38"/>
      <c r="AW215" s="16"/>
      <c r="AY215" s="81"/>
      <c r="AZ215" s="81"/>
      <c r="BA215" s="48"/>
      <c r="BC215" s="38"/>
      <c r="BD215" s="16"/>
    </row>
    <row r="216" spans="18:56" ht="16" x14ac:dyDescent="0.4">
      <c r="V216" s="97">
        <v>45921</v>
      </c>
      <c r="W216" s="16">
        <v>198541</v>
      </c>
      <c r="X216" s="101" t="s">
        <v>36</v>
      </c>
      <c r="Y216" s="105"/>
      <c r="Z216" s="50">
        <v>9.3668981481481492E-2</v>
      </c>
      <c r="AA216" s="50">
        <v>0.13951388888888888</v>
      </c>
      <c r="AD216" s="37">
        <v>19446</v>
      </c>
      <c r="AE216" s="93">
        <f t="shared" si="30"/>
        <v>19.446000000000002</v>
      </c>
      <c r="AF216">
        <v>15.41</v>
      </c>
      <c r="AG216" s="103">
        <f t="shared" si="27"/>
        <v>14</v>
      </c>
      <c r="AH216" s="37">
        <f t="shared" si="28"/>
        <v>19.446000000000002</v>
      </c>
      <c r="AJ216" s="38"/>
      <c r="AL216" s="16"/>
      <c r="AN216" s="81"/>
      <c r="AO216" s="81"/>
      <c r="AP216" s="48"/>
      <c r="AR216" s="38"/>
      <c r="AS216" s="16"/>
      <c r="AU216" s="38"/>
      <c r="AW216" s="16"/>
      <c r="AY216" s="81"/>
      <c r="AZ216" s="81"/>
      <c r="BA216" s="48"/>
      <c r="BC216" s="38"/>
      <c r="BD216" s="16"/>
    </row>
    <row r="217" spans="18:56" ht="16" x14ac:dyDescent="0.4">
      <c r="V217" s="97">
        <v>45921</v>
      </c>
      <c r="W217" s="16">
        <v>198547</v>
      </c>
      <c r="X217" s="101" t="s">
        <v>36</v>
      </c>
      <c r="Y217" s="105"/>
      <c r="Z217" s="50">
        <v>4.2245370370370371E-3</v>
      </c>
      <c r="AA217" s="50">
        <v>0.18263888888888891</v>
      </c>
      <c r="AD217" s="37">
        <v>20134</v>
      </c>
      <c r="AE217" s="93">
        <f t="shared" si="30"/>
        <v>20.134</v>
      </c>
      <c r="AF217">
        <v>14.39</v>
      </c>
      <c r="AG217" s="103">
        <f t="shared" si="27"/>
        <v>14</v>
      </c>
      <c r="AH217" s="37">
        <f t="shared" si="28"/>
        <v>20.133999999999997</v>
      </c>
      <c r="AJ217" s="38"/>
      <c r="AL217" s="16"/>
      <c r="AN217" s="81"/>
      <c r="AO217" s="81"/>
      <c r="AP217" s="48"/>
      <c r="AR217" s="38"/>
      <c r="AS217" s="16"/>
      <c r="AU217" s="38"/>
      <c r="AW217" s="16"/>
      <c r="AY217" s="81"/>
      <c r="AZ217" s="81"/>
      <c r="BA217" s="48"/>
      <c r="BC217" s="38"/>
      <c r="BD217" s="16"/>
    </row>
    <row r="218" spans="18:56" ht="16" x14ac:dyDescent="0.4">
      <c r="V218" s="97">
        <v>45921</v>
      </c>
      <c r="W218" s="16">
        <v>198553</v>
      </c>
      <c r="X218" s="101" t="s">
        <v>36</v>
      </c>
      <c r="Y218" s="105"/>
      <c r="Z218" s="50">
        <v>9.3946759259259258E-2</v>
      </c>
      <c r="AA218" s="50">
        <v>0.22605324074074074</v>
      </c>
      <c r="AD218" s="37">
        <v>18528</v>
      </c>
      <c r="AE218" s="93">
        <f t="shared" si="30"/>
        <v>18.527999999999999</v>
      </c>
      <c r="AF218">
        <v>15.2</v>
      </c>
      <c r="AG218" s="103">
        <f t="shared" si="27"/>
        <v>14</v>
      </c>
      <c r="AH218" s="37">
        <f t="shared" si="28"/>
        <v>18.527999999999999</v>
      </c>
      <c r="AJ218" s="38"/>
      <c r="AL218" s="16"/>
      <c r="AN218" s="81"/>
      <c r="AO218" s="81"/>
      <c r="AP218" s="48"/>
      <c r="AR218" s="38"/>
      <c r="AS218" s="16"/>
      <c r="AU218" s="38"/>
      <c r="AW218" s="16"/>
      <c r="AY218" s="81"/>
      <c r="AZ218" s="81"/>
      <c r="BA218" s="48"/>
      <c r="BC218" s="38"/>
      <c r="BD218" s="16"/>
    </row>
    <row r="219" spans="18:56" ht="16" x14ac:dyDescent="0.4">
      <c r="R219" s="33"/>
      <c r="V219" s="97">
        <v>45921</v>
      </c>
      <c r="W219" s="16">
        <v>198556</v>
      </c>
      <c r="X219" s="101" t="s">
        <v>36</v>
      </c>
      <c r="Y219" s="105"/>
      <c r="Z219" s="50">
        <v>0.89458333333333329</v>
      </c>
      <c r="AA219" s="50">
        <v>0.27658564814814818</v>
      </c>
      <c r="AD219" s="37">
        <v>12948</v>
      </c>
      <c r="AE219" s="93">
        <f t="shared" si="30"/>
        <v>12.948</v>
      </c>
      <c r="AF219">
        <v>16.43</v>
      </c>
      <c r="AG219" s="103">
        <f t="shared" si="27"/>
        <v>14</v>
      </c>
      <c r="AH219" s="37">
        <f t="shared" si="28"/>
        <v>12.947999999999999</v>
      </c>
      <c r="AJ219" s="38"/>
      <c r="AL219" s="16"/>
      <c r="AN219" s="81"/>
      <c r="AO219" s="81"/>
      <c r="AP219" s="48"/>
      <c r="AR219" s="38"/>
      <c r="AU219" s="38"/>
      <c r="AW219" s="16"/>
      <c r="AY219" s="81"/>
      <c r="AZ219" s="81"/>
      <c r="BA219" s="48"/>
      <c r="BC219" s="38"/>
    </row>
    <row r="220" spans="18:56" ht="16" x14ac:dyDescent="0.4">
      <c r="R220" s="33"/>
      <c r="V220" s="97">
        <v>45921</v>
      </c>
      <c r="W220" s="16">
        <v>198561</v>
      </c>
      <c r="X220" s="101" t="s">
        <v>36</v>
      </c>
      <c r="Y220" s="105"/>
      <c r="Z220" s="50">
        <v>0.30802083333333335</v>
      </c>
      <c r="AA220" s="50"/>
      <c r="AD220" s="37">
        <v>20216</v>
      </c>
      <c r="AE220" s="93">
        <f t="shared" si="30"/>
        <v>20.216000000000001</v>
      </c>
      <c r="AF220">
        <v>15.77</v>
      </c>
      <c r="AG220" s="103">
        <f t="shared" si="27"/>
        <v>14</v>
      </c>
      <c r="AH220" s="37">
        <f t="shared" si="28"/>
        <v>20.216000000000001</v>
      </c>
      <c r="AJ220" s="38"/>
      <c r="AL220" s="16"/>
      <c r="AN220" s="81"/>
      <c r="AO220" s="81"/>
      <c r="AP220" s="48"/>
      <c r="AR220" s="38"/>
      <c r="AU220" s="38"/>
      <c r="AW220" s="16"/>
      <c r="AY220" s="81"/>
      <c r="AZ220" s="81"/>
      <c r="BA220" s="48"/>
      <c r="BC220" s="38"/>
    </row>
    <row r="221" spans="18:56" ht="16" x14ac:dyDescent="0.4">
      <c r="V221" s="97">
        <v>45921</v>
      </c>
      <c r="W221" s="16">
        <v>198570</v>
      </c>
      <c r="X221" s="101" t="s">
        <v>36</v>
      </c>
      <c r="Y221" s="105"/>
      <c r="Z221" s="50">
        <v>0.3432986111111111</v>
      </c>
      <c r="AA221" s="50">
        <v>0.3566319444444444</v>
      </c>
      <c r="AD221" s="37">
        <v>15494</v>
      </c>
      <c r="AE221" s="93">
        <f t="shared" si="30"/>
        <v>15.494</v>
      </c>
      <c r="AF221">
        <v>15.13</v>
      </c>
      <c r="AG221" s="103">
        <f t="shared" si="27"/>
        <v>14</v>
      </c>
      <c r="AH221" s="37">
        <f t="shared" si="28"/>
        <v>15.494</v>
      </c>
      <c r="AJ221" s="38"/>
      <c r="AL221" s="16"/>
      <c r="AN221" s="81"/>
      <c r="AO221" s="81"/>
      <c r="AP221" s="48"/>
      <c r="AR221" s="38"/>
      <c r="AU221" s="38"/>
      <c r="AW221" s="16"/>
      <c r="AY221" s="81"/>
      <c r="AZ221" s="81"/>
      <c r="BA221" s="48"/>
      <c r="BC221" s="38"/>
    </row>
    <row r="222" spans="18:56" ht="16" x14ac:dyDescent="0.4">
      <c r="V222" s="90"/>
      <c r="W222" s="17"/>
      <c r="X222" s="99"/>
      <c r="Y222" s="110"/>
      <c r="Z222" s="91"/>
      <c r="AA222" s="91"/>
      <c r="AB222" s="17"/>
      <c r="AC222" s="17"/>
      <c r="AD222" s="110"/>
      <c r="AE222" s="92"/>
      <c r="AF222" s="17"/>
      <c r="AG222" s="95"/>
      <c r="AH222" s="110"/>
      <c r="AJ222" s="38"/>
      <c r="AL222" s="16"/>
      <c r="AN222" s="81"/>
      <c r="AO222" s="81"/>
      <c r="AP222" s="48"/>
      <c r="AR222" s="38"/>
      <c r="AU222" s="38"/>
      <c r="AW222" s="16"/>
      <c r="AY222" s="81"/>
      <c r="AZ222" s="81"/>
      <c r="BA222" s="48"/>
      <c r="BC222" s="38"/>
    </row>
    <row r="223" spans="18:56" ht="16" x14ac:dyDescent="0.4">
      <c r="V223" s="97">
        <v>45922</v>
      </c>
      <c r="W223" s="16">
        <v>198761</v>
      </c>
      <c r="X223" s="101" t="s">
        <v>36</v>
      </c>
      <c r="Y223" s="105"/>
      <c r="Z223" s="50">
        <v>4.4560185185185189E-3</v>
      </c>
      <c r="AA223" s="50">
        <v>0.35222222222222221</v>
      </c>
      <c r="AD223" s="37">
        <v>19958</v>
      </c>
      <c r="AE223" s="93">
        <f t="shared" si="30"/>
        <v>19.957999999999998</v>
      </c>
      <c r="AF223">
        <v>14.13</v>
      </c>
      <c r="AG223" s="103">
        <f t="shared" si="27"/>
        <v>14</v>
      </c>
      <c r="AH223" s="37">
        <f t="shared" si="28"/>
        <v>19.957999999999998</v>
      </c>
      <c r="AJ223" s="38"/>
      <c r="AL223" s="16"/>
      <c r="AN223" s="81"/>
      <c r="AO223" s="81"/>
      <c r="AP223" s="48"/>
      <c r="AR223" s="38"/>
      <c r="AU223" s="38"/>
      <c r="AW223" s="16"/>
      <c r="AY223" s="81"/>
      <c r="AZ223" s="81"/>
      <c r="BA223" s="48"/>
      <c r="BC223" s="38"/>
    </row>
    <row r="224" spans="18:56" ht="16" x14ac:dyDescent="0.4">
      <c r="V224" s="97">
        <v>45922</v>
      </c>
      <c r="W224" s="16">
        <v>198806</v>
      </c>
      <c r="X224" s="101" t="s">
        <v>36</v>
      </c>
      <c r="Y224" s="105"/>
      <c r="Z224" s="50">
        <v>0.27223379629629629</v>
      </c>
      <c r="AA224" s="50">
        <v>0.4069444444444445</v>
      </c>
      <c r="AD224" s="37">
        <v>18574</v>
      </c>
      <c r="AE224" s="93">
        <f t="shared" si="30"/>
        <v>18.574000000000002</v>
      </c>
      <c r="AF224">
        <v>15.59</v>
      </c>
      <c r="AG224" s="103">
        <f t="shared" si="27"/>
        <v>14</v>
      </c>
      <c r="AH224" s="37">
        <f t="shared" si="28"/>
        <v>18.574000000000002</v>
      </c>
      <c r="AJ224" s="38"/>
      <c r="AL224" s="16"/>
      <c r="AN224" s="81"/>
      <c r="AO224" s="81"/>
      <c r="AP224" s="48"/>
      <c r="AR224" s="38"/>
      <c r="AU224" s="38"/>
      <c r="AW224" s="16"/>
      <c r="AY224" s="81"/>
      <c r="AZ224" s="81"/>
      <c r="BA224" s="48"/>
      <c r="BC224" s="38"/>
    </row>
    <row r="225" spans="22:56" ht="16" x14ac:dyDescent="0.4">
      <c r="V225" s="97">
        <v>45922</v>
      </c>
      <c r="W225" s="16">
        <v>198865</v>
      </c>
      <c r="X225" s="101" t="s">
        <v>36</v>
      </c>
      <c r="Y225" s="105"/>
      <c r="Z225" s="50">
        <v>0.40608796296296296</v>
      </c>
      <c r="AA225" s="50">
        <v>0.49417824074074074</v>
      </c>
      <c r="AD225" s="37">
        <v>20572</v>
      </c>
      <c r="AE225" s="93">
        <f t="shared" si="30"/>
        <v>20.571999999999999</v>
      </c>
      <c r="AF225">
        <v>13.87</v>
      </c>
      <c r="AG225" s="103">
        <f t="shared" si="27"/>
        <v>13.87</v>
      </c>
      <c r="AH225" s="37">
        <f t="shared" si="28"/>
        <v>20.380974285714281</v>
      </c>
      <c r="AJ225" s="38"/>
      <c r="AL225" s="16"/>
      <c r="AN225" s="39"/>
      <c r="AO225" s="39"/>
      <c r="AP225" s="48"/>
      <c r="AR225" s="38"/>
      <c r="AU225" s="38"/>
      <c r="AW225" s="16"/>
      <c r="AY225" s="39"/>
      <c r="AZ225" s="39"/>
      <c r="BA225" s="48"/>
      <c r="BC225" s="38"/>
    </row>
    <row r="226" spans="22:56" ht="16" x14ac:dyDescent="0.4">
      <c r="V226" s="97">
        <v>45922</v>
      </c>
      <c r="W226" s="16">
        <v>198901</v>
      </c>
      <c r="X226" s="101" t="s">
        <v>36</v>
      </c>
      <c r="Y226" s="105"/>
      <c r="Z226" s="50">
        <v>9.3784722222222228E-2</v>
      </c>
      <c r="AA226" s="50">
        <v>0.55001157407407408</v>
      </c>
      <c r="AD226" s="37">
        <v>19012</v>
      </c>
      <c r="AE226" s="93">
        <f t="shared" si="30"/>
        <v>19.012</v>
      </c>
      <c r="AF226">
        <v>14.98</v>
      </c>
      <c r="AG226" s="103">
        <f t="shared" si="27"/>
        <v>14</v>
      </c>
      <c r="AH226" s="37">
        <f t="shared" si="28"/>
        <v>19.012</v>
      </c>
      <c r="AJ226" s="38"/>
      <c r="AL226" s="16"/>
      <c r="AN226" s="39"/>
      <c r="AO226" s="39"/>
      <c r="AP226" s="48"/>
      <c r="AR226" s="38"/>
      <c r="AU226" s="38"/>
      <c r="AW226" s="16"/>
      <c r="AY226" s="39"/>
      <c r="AZ226" s="39"/>
      <c r="BA226" s="48"/>
      <c r="BC226" s="38"/>
    </row>
    <row r="227" spans="22:56" ht="16" x14ac:dyDescent="0.4">
      <c r="V227" s="97">
        <v>45922</v>
      </c>
      <c r="W227" s="16">
        <v>198940</v>
      </c>
      <c r="X227" s="101" t="s">
        <v>36</v>
      </c>
      <c r="Y227" s="105"/>
      <c r="Z227" s="50">
        <v>0.40625</v>
      </c>
      <c r="AA227" s="50">
        <v>0.60614583333333327</v>
      </c>
      <c r="AD227" s="37">
        <v>19468</v>
      </c>
      <c r="AE227" s="93">
        <f t="shared" si="30"/>
        <v>19.468</v>
      </c>
      <c r="AF227">
        <v>14.8</v>
      </c>
      <c r="AG227" s="103">
        <f t="shared" si="27"/>
        <v>14</v>
      </c>
      <c r="AH227" s="37">
        <f t="shared" si="28"/>
        <v>19.468</v>
      </c>
      <c r="AJ227" s="38"/>
      <c r="AL227" s="16"/>
      <c r="AN227" s="39"/>
      <c r="AO227" s="39"/>
      <c r="AP227" s="48"/>
      <c r="AR227" s="38"/>
      <c r="AU227" s="38"/>
      <c r="AW227" s="16"/>
      <c r="AY227" s="39"/>
      <c r="AZ227" s="39"/>
      <c r="BA227" s="48"/>
      <c r="BC227" s="38"/>
    </row>
    <row r="228" spans="22:56" ht="16" x14ac:dyDescent="0.4">
      <c r="V228" s="97">
        <v>45922</v>
      </c>
      <c r="W228" s="16">
        <v>199005</v>
      </c>
      <c r="X228" s="101" t="s">
        <v>36</v>
      </c>
      <c r="Y228" s="105"/>
      <c r="Z228" s="50">
        <v>0.27202546296296298</v>
      </c>
      <c r="AA228" s="50">
        <v>0.68846064814814811</v>
      </c>
      <c r="AD228" s="37">
        <v>18500</v>
      </c>
      <c r="AE228" s="93">
        <f t="shared" si="30"/>
        <v>18.5</v>
      </c>
      <c r="AF228">
        <v>14.41</v>
      </c>
      <c r="AG228" s="103">
        <f t="shared" si="27"/>
        <v>14</v>
      </c>
      <c r="AH228" s="37">
        <f t="shared" si="28"/>
        <v>18.5</v>
      </c>
      <c r="AJ228" s="38"/>
      <c r="AL228" s="16"/>
      <c r="AM228" s="16"/>
      <c r="AN228" s="81"/>
      <c r="AO228" s="81"/>
      <c r="AP228" s="48"/>
      <c r="AR228" s="38"/>
      <c r="AU228" s="38"/>
      <c r="AW228" s="16"/>
      <c r="AX228" s="16"/>
      <c r="AY228" s="81"/>
      <c r="AZ228" s="81"/>
      <c r="BA228" s="48"/>
      <c r="BC228" s="38"/>
    </row>
    <row r="229" spans="22:56" ht="16" x14ac:dyDescent="0.4">
      <c r="V229" s="97">
        <v>45922</v>
      </c>
      <c r="W229" s="16">
        <v>199042</v>
      </c>
      <c r="X229" s="101" t="s">
        <v>36</v>
      </c>
      <c r="Y229" s="105"/>
      <c r="Z229" s="50">
        <v>0.4055555555555555</v>
      </c>
      <c r="AA229" s="50">
        <v>0.81319444444444444</v>
      </c>
      <c r="AD229" s="37">
        <v>21320</v>
      </c>
      <c r="AE229" s="93">
        <f t="shared" si="30"/>
        <v>21.32</v>
      </c>
      <c r="AF229">
        <v>14.77</v>
      </c>
      <c r="AG229" s="103">
        <f t="shared" si="27"/>
        <v>14</v>
      </c>
      <c r="AH229" s="37">
        <f t="shared" si="28"/>
        <v>21.32</v>
      </c>
      <c r="AJ229" s="38"/>
      <c r="AL229" s="16"/>
      <c r="AM229" s="16"/>
      <c r="AN229" s="81"/>
      <c r="AP229" s="48"/>
      <c r="AR229" s="38"/>
      <c r="AU229" s="38"/>
      <c r="AW229" s="16"/>
      <c r="AX229" s="16"/>
      <c r="AY229" s="81"/>
      <c r="BA229" s="48"/>
      <c r="BC229" s="38"/>
    </row>
    <row r="230" spans="22:56" ht="16" x14ac:dyDescent="0.4">
      <c r="V230" s="97">
        <v>45922</v>
      </c>
      <c r="W230" s="16">
        <v>199070</v>
      </c>
      <c r="X230" s="101" t="s">
        <v>36</v>
      </c>
      <c r="Y230" s="105"/>
      <c r="Z230" s="50">
        <v>0.72430555555555554</v>
      </c>
      <c r="AA230" s="50">
        <v>0.87083333333333324</v>
      </c>
      <c r="AD230" s="37">
        <v>22774</v>
      </c>
      <c r="AE230" s="93">
        <f t="shared" si="30"/>
        <v>22.774000000000001</v>
      </c>
      <c r="AF230">
        <v>15.7</v>
      </c>
      <c r="AG230" s="103">
        <f t="shared" si="27"/>
        <v>14</v>
      </c>
      <c r="AH230" s="37">
        <f t="shared" si="28"/>
        <v>22.774000000000001</v>
      </c>
      <c r="AJ230" s="38"/>
      <c r="AL230" s="16"/>
      <c r="AM230" s="16"/>
      <c r="AN230" s="81"/>
      <c r="AO230" s="81"/>
      <c r="AP230" s="48"/>
      <c r="AR230" s="38"/>
      <c r="AS230" s="49"/>
      <c r="AU230" s="38"/>
      <c r="AW230" s="16"/>
      <c r="AX230" s="16"/>
      <c r="AY230" s="81"/>
      <c r="AZ230" s="81"/>
      <c r="BA230" s="48"/>
      <c r="BC230" s="38"/>
      <c r="BD230" s="49"/>
    </row>
    <row r="231" spans="22:56" ht="16" x14ac:dyDescent="0.4">
      <c r="V231" s="97">
        <v>45922</v>
      </c>
      <c r="W231" s="16">
        <v>199104</v>
      </c>
      <c r="X231" s="101" t="s">
        <v>36</v>
      </c>
      <c r="Y231" s="105"/>
      <c r="Z231" s="50">
        <v>0.26319444444444445</v>
      </c>
      <c r="AA231" s="50">
        <v>0.94791666666666663</v>
      </c>
      <c r="AD231" s="37">
        <v>21812</v>
      </c>
      <c r="AE231" s="93">
        <f t="shared" si="30"/>
        <v>21.812000000000001</v>
      </c>
      <c r="AF231">
        <v>14.68</v>
      </c>
      <c r="AG231" s="103">
        <f t="shared" si="27"/>
        <v>14</v>
      </c>
      <c r="AH231" s="37">
        <f t="shared" si="28"/>
        <v>21.812000000000001</v>
      </c>
      <c r="AJ231" s="38"/>
      <c r="AL231" s="16"/>
      <c r="AM231" s="16"/>
      <c r="AN231" s="81"/>
      <c r="AO231" s="81"/>
      <c r="AP231" s="48"/>
      <c r="AR231" s="38"/>
      <c r="AS231" s="49"/>
      <c r="AU231" s="38"/>
      <c r="AW231" s="16"/>
      <c r="AX231" s="16"/>
      <c r="AY231" s="81"/>
      <c r="AZ231" s="81"/>
      <c r="BA231" s="48"/>
      <c r="BC231" s="38"/>
      <c r="BD231" s="49"/>
    </row>
    <row r="232" spans="22:56" ht="16" x14ac:dyDescent="0.4">
      <c r="V232" s="97">
        <v>45923</v>
      </c>
      <c r="W232" s="16">
        <v>199121</v>
      </c>
      <c r="X232" s="101" t="s">
        <v>36</v>
      </c>
      <c r="Y232" s="105"/>
      <c r="Z232" s="50">
        <v>0.72430555555555554</v>
      </c>
      <c r="AA232" s="50">
        <v>1.5972222222222224E-2</v>
      </c>
      <c r="AD232" s="37">
        <v>21988</v>
      </c>
      <c r="AE232" s="93">
        <f t="shared" si="30"/>
        <v>21.988</v>
      </c>
      <c r="AF232">
        <v>14.66</v>
      </c>
      <c r="AG232" s="103">
        <f t="shared" si="27"/>
        <v>14</v>
      </c>
      <c r="AH232" s="37">
        <f t="shared" si="28"/>
        <v>21.988</v>
      </c>
      <c r="AJ232" s="38"/>
      <c r="AL232" s="16"/>
      <c r="AM232" s="16"/>
      <c r="AN232" s="81"/>
      <c r="AO232" s="81"/>
      <c r="AP232" s="48"/>
      <c r="AR232" s="38"/>
      <c r="AS232" s="49"/>
      <c r="AU232" s="38"/>
      <c r="AW232" s="16"/>
      <c r="AX232" s="16"/>
      <c r="AY232" s="81"/>
      <c r="AZ232" s="81"/>
      <c r="BA232" s="48"/>
      <c r="BC232" s="38"/>
      <c r="BD232" s="49"/>
    </row>
    <row r="233" spans="22:56" ht="16" x14ac:dyDescent="0.4">
      <c r="V233" s="97">
        <v>45923</v>
      </c>
      <c r="W233" s="16">
        <v>199125</v>
      </c>
      <c r="X233" s="101" t="s">
        <v>36</v>
      </c>
      <c r="Y233" s="105"/>
      <c r="Z233" s="50">
        <v>0.85763888888888884</v>
      </c>
      <c r="AA233" s="50">
        <v>6.805555555555555E-2</v>
      </c>
      <c r="AD233" s="37">
        <v>21216</v>
      </c>
      <c r="AE233" s="93">
        <f t="shared" si="30"/>
        <v>21.216000000000001</v>
      </c>
      <c r="AF233">
        <v>14.59</v>
      </c>
      <c r="AG233" s="103">
        <f t="shared" si="27"/>
        <v>14</v>
      </c>
      <c r="AH233" s="37">
        <f t="shared" si="28"/>
        <v>21.216000000000001</v>
      </c>
      <c r="AJ233" s="38"/>
      <c r="AL233" s="16"/>
      <c r="AN233" s="81"/>
      <c r="AO233" s="81"/>
      <c r="AP233" s="48"/>
      <c r="AR233" s="38"/>
      <c r="AS233" s="49"/>
      <c r="AU233" s="38"/>
      <c r="AW233" s="16"/>
      <c r="AY233" s="81"/>
      <c r="AZ233" s="81"/>
      <c r="BA233" s="48"/>
      <c r="BC233" s="38"/>
      <c r="BD233" s="49"/>
    </row>
    <row r="234" spans="22:56" ht="16" x14ac:dyDescent="0.4">
      <c r="V234" s="97">
        <v>45923</v>
      </c>
      <c r="W234" s="16">
        <v>199142</v>
      </c>
      <c r="X234" s="101" t="s">
        <v>36</v>
      </c>
      <c r="Y234" s="105"/>
      <c r="Z234" s="50">
        <v>0.72430555555555554</v>
      </c>
      <c r="AA234" s="50">
        <v>0.125</v>
      </c>
      <c r="AD234" s="37">
        <v>21204</v>
      </c>
      <c r="AE234" s="93">
        <f t="shared" si="30"/>
        <v>21.204000000000001</v>
      </c>
      <c r="AF234">
        <v>15.73</v>
      </c>
      <c r="AG234" s="103">
        <f t="shared" si="27"/>
        <v>14</v>
      </c>
      <c r="AH234" s="37">
        <f t="shared" si="28"/>
        <v>21.204000000000001</v>
      </c>
      <c r="AJ234" s="38"/>
      <c r="AL234" s="16"/>
      <c r="AN234" s="81"/>
      <c r="AO234" s="81"/>
      <c r="AP234" s="48"/>
      <c r="AR234" s="38"/>
      <c r="AS234" s="49"/>
      <c r="AU234" s="38"/>
      <c r="AW234" s="16"/>
      <c r="AY234" s="81"/>
      <c r="AZ234" s="81"/>
      <c r="BA234" s="48"/>
      <c r="BC234" s="38"/>
      <c r="BD234" s="49"/>
    </row>
    <row r="235" spans="22:56" ht="16" x14ac:dyDescent="0.4">
      <c r="V235" s="97">
        <v>45923</v>
      </c>
      <c r="W235" s="16">
        <v>199151</v>
      </c>
      <c r="X235" s="101" t="s">
        <v>36</v>
      </c>
      <c r="Y235" s="105"/>
      <c r="Z235" s="50">
        <v>0.85763888888888884</v>
      </c>
      <c r="AA235" s="50">
        <v>0.18124999999999999</v>
      </c>
      <c r="AD235" s="37">
        <v>22094</v>
      </c>
      <c r="AE235" s="93">
        <f t="shared" si="30"/>
        <v>22.094000000000001</v>
      </c>
      <c r="AF235">
        <v>15.09</v>
      </c>
      <c r="AG235" s="103">
        <f t="shared" si="27"/>
        <v>14</v>
      </c>
      <c r="AH235" s="37">
        <f t="shared" si="28"/>
        <v>22.094000000000001</v>
      </c>
      <c r="AJ235" s="38"/>
      <c r="AL235" s="16"/>
      <c r="AN235" s="81"/>
      <c r="AO235" s="81"/>
      <c r="AP235" s="48"/>
      <c r="AR235" s="38"/>
      <c r="AS235" s="49"/>
      <c r="AU235" s="38"/>
      <c r="AW235" s="16"/>
      <c r="AY235" s="81"/>
      <c r="AZ235" s="81"/>
      <c r="BA235" s="48"/>
      <c r="BC235" s="38"/>
      <c r="BD235" s="49"/>
    </row>
    <row r="236" spans="22:56" ht="16" x14ac:dyDescent="0.4">
      <c r="V236" s="97">
        <v>45923</v>
      </c>
      <c r="W236" s="16">
        <v>199183</v>
      </c>
      <c r="X236" s="101" t="s">
        <v>36</v>
      </c>
      <c r="Y236" s="105"/>
      <c r="Z236" s="50">
        <v>0.16752314814814814</v>
      </c>
      <c r="AA236" s="50">
        <v>0.29803240740740738</v>
      </c>
      <c r="AD236" s="37">
        <v>21024</v>
      </c>
      <c r="AE236" s="93">
        <f t="shared" si="30"/>
        <v>21.024000000000001</v>
      </c>
      <c r="AF236">
        <v>13.37</v>
      </c>
      <c r="AG236" s="103">
        <f t="shared" si="27"/>
        <v>13.37</v>
      </c>
      <c r="AH236" s="37">
        <f t="shared" si="28"/>
        <v>20.077919999999999</v>
      </c>
      <c r="AJ236" s="38"/>
      <c r="AL236" s="16"/>
      <c r="AN236" s="81"/>
      <c r="AP236" s="48"/>
      <c r="AR236" s="38"/>
      <c r="AS236" s="49"/>
      <c r="AU236" s="38"/>
      <c r="AW236" s="16"/>
      <c r="AY236" s="81"/>
      <c r="BA236" s="48"/>
      <c r="BC236" s="38"/>
      <c r="BD236" s="49"/>
    </row>
    <row r="237" spans="22:56" ht="16" x14ac:dyDescent="0.4">
      <c r="V237" s="97">
        <v>45923</v>
      </c>
      <c r="W237" s="16">
        <v>199228</v>
      </c>
      <c r="X237" s="101" t="s">
        <v>36</v>
      </c>
      <c r="Y237" s="105"/>
      <c r="Z237" s="50">
        <v>0.85799768518518515</v>
      </c>
      <c r="AA237" s="50">
        <v>0.36097222222222225</v>
      </c>
      <c r="AD237" s="37">
        <v>20708</v>
      </c>
      <c r="AE237" s="93">
        <f t="shared" si="30"/>
        <v>20.707999999999998</v>
      </c>
      <c r="AF237">
        <v>13.77</v>
      </c>
      <c r="AG237" s="103">
        <f t="shared" si="27"/>
        <v>13.77</v>
      </c>
      <c r="AH237" s="37">
        <f t="shared" si="28"/>
        <v>20.367797142857142</v>
      </c>
      <c r="AJ237" s="38"/>
      <c r="AL237" s="16"/>
      <c r="AN237" s="81"/>
      <c r="AO237" s="81"/>
      <c r="AP237" s="48"/>
      <c r="AR237" s="38"/>
      <c r="AS237" s="49"/>
      <c r="AU237" s="38"/>
      <c r="AW237" s="16"/>
      <c r="AY237" s="81"/>
      <c r="AZ237" s="81"/>
      <c r="BA237" s="48"/>
      <c r="BC237" s="38"/>
      <c r="BD237" s="49"/>
    </row>
    <row r="238" spans="22:56" ht="16" x14ac:dyDescent="0.4">
      <c r="V238" s="97">
        <v>45923</v>
      </c>
      <c r="W238" s="16">
        <v>199292</v>
      </c>
      <c r="X238" s="101" t="s">
        <v>36</v>
      </c>
      <c r="Y238" s="105"/>
      <c r="Z238" s="50">
        <v>0.16160879629629629</v>
      </c>
      <c r="AA238" s="50">
        <v>0.4150578703703704</v>
      </c>
      <c r="AD238" s="37">
        <v>19780</v>
      </c>
      <c r="AE238" s="93">
        <f t="shared" si="30"/>
        <v>19.78</v>
      </c>
      <c r="AF238">
        <v>14.81</v>
      </c>
      <c r="AG238" s="103">
        <f t="shared" si="27"/>
        <v>14</v>
      </c>
      <c r="AH238" s="37">
        <f t="shared" si="28"/>
        <v>19.78</v>
      </c>
      <c r="AJ238" s="38"/>
      <c r="AL238" s="16"/>
      <c r="AN238" s="81"/>
      <c r="AO238" s="81"/>
      <c r="AP238" s="48"/>
      <c r="AR238" s="38"/>
      <c r="AS238" s="49"/>
      <c r="AU238" s="38"/>
      <c r="AW238" s="16"/>
      <c r="AY238" s="81"/>
      <c r="AZ238" s="81"/>
      <c r="BA238" s="48"/>
      <c r="BC238" s="38"/>
      <c r="BD238" s="49"/>
    </row>
    <row r="239" spans="22:56" ht="16" x14ac:dyDescent="0.4">
      <c r="V239" s="97">
        <v>45923</v>
      </c>
      <c r="W239" s="16">
        <v>199352</v>
      </c>
      <c r="X239" s="101" t="s">
        <v>36</v>
      </c>
      <c r="Y239" s="105"/>
      <c r="Z239" s="50">
        <v>0.41908564814814814</v>
      </c>
      <c r="AA239" s="50">
        <v>0.49835648148148143</v>
      </c>
      <c r="AD239" s="37">
        <v>22558</v>
      </c>
      <c r="AE239" s="93">
        <f t="shared" si="30"/>
        <v>22.558</v>
      </c>
      <c r="AF239">
        <v>14.63</v>
      </c>
      <c r="AG239" s="103">
        <f t="shared" si="27"/>
        <v>14</v>
      </c>
      <c r="AH239" s="37">
        <f t="shared" si="28"/>
        <v>22.558</v>
      </c>
      <c r="AJ239" s="38"/>
      <c r="AL239" s="16"/>
      <c r="AP239" s="48"/>
      <c r="AR239" s="38"/>
      <c r="AS239" s="49"/>
      <c r="AU239" s="38"/>
      <c r="AW239" s="16"/>
      <c r="BA239" s="48"/>
      <c r="BC239" s="38"/>
      <c r="BD239" s="49"/>
    </row>
    <row r="240" spans="22:56" ht="16" x14ac:dyDescent="0.4">
      <c r="V240" s="97">
        <v>45923</v>
      </c>
      <c r="W240" s="16">
        <v>199384</v>
      </c>
      <c r="X240" s="101" t="s">
        <v>36</v>
      </c>
      <c r="Y240" s="105"/>
      <c r="Z240" s="50">
        <v>0.16150462962962964</v>
      </c>
      <c r="AA240" s="50">
        <v>0.55986111111111114</v>
      </c>
      <c r="AD240" s="37">
        <v>20622</v>
      </c>
      <c r="AE240" s="93">
        <f t="shared" si="30"/>
        <v>20.622</v>
      </c>
      <c r="AF240">
        <v>14.2</v>
      </c>
      <c r="AG240" s="103">
        <f t="shared" si="27"/>
        <v>14</v>
      </c>
      <c r="AH240" s="37">
        <f t="shared" si="28"/>
        <v>20.621999999999996</v>
      </c>
      <c r="AJ240" s="38"/>
      <c r="AL240" s="16"/>
      <c r="AN240" s="81"/>
      <c r="AO240" s="81"/>
      <c r="AP240" s="48"/>
      <c r="AR240" s="38"/>
      <c r="AS240" s="49"/>
      <c r="AU240" s="38"/>
      <c r="AW240" s="16"/>
      <c r="AY240" s="81"/>
      <c r="AZ240" s="81"/>
      <c r="BA240" s="48"/>
      <c r="BC240" s="38"/>
      <c r="BD240" s="49"/>
    </row>
    <row r="241" spans="22:56" ht="16" x14ac:dyDescent="0.4">
      <c r="V241" s="97">
        <v>45923</v>
      </c>
      <c r="W241" s="16">
        <v>199452</v>
      </c>
      <c r="X241" s="101" t="s">
        <v>36</v>
      </c>
      <c r="Y241" s="105"/>
      <c r="Z241" s="50">
        <v>0.41887731481481483</v>
      </c>
      <c r="AA241" s="50">
        <v>0.61821759259259257</v>
      </c>
      <c r="AD241" s="37">
        <v>20356</v>
      </c>
      <c r="AE241" s="93">
        <f t="shared" si="30"/>
        <v>20.356000000000002</v>
      </c>
      <c r="AF241">
        <v>15.91</v>
      </c>
      <c r="AG241" s="103">
        <f t="shared" si="27"/>
        <v>14</v>
      </c>
      <c r="AH241" s="37">
        <f t="shared" si="28"/>
        <v>20.356000000000002</v>
      </c>
      <c r="AJ241" s="38"/>
      <c r="AL241" s="16"/>
      <c r="AN241" s="81"/>
      <c r="AO241" s="81"/>
      <c r="AP241" s="48"/>
      <c r="AR241" s="38"/>
      <c r="AS241" s="49"/>
      <c r="AU241" s="38"/>
      <c r="AW241" s="16"/>
      <c r="AY241" s="81"/>
      <c r="AZ241" s="81"/>
      <c r="BA241" s="48"/>
      <c r="BC241" s="38"/>
      <c r="BD241" s="49"/>
    </row>
    <row r="242" spans="22:56" ht="16" x14ac:dyDescent="0.4">
      <c r="V242" s="97">
        <v>45923</v>
      </c>
      <c r="W242" s="16">
        <v>199494</v>
      </c>
      <c r="X242" s="101" t="s">
        <v>36</v>
      </c>
      <c r="Y242" s="105"/>
      <c r="Z242" s="50">
        <v>0.60879629629629628</v>
      </c>
      <c r="AA242" s="50">
        <v>0.67598379629629635</v>
      </c>
      <c r="AD242" s="37">
        <v>20404</v>
      </c>
      <c r="AE242" s="93">
        <f t="shared" si="30"/>
        <v>20.404</v>
      </c>
      <c r="AF242">
        <v>16.739999999999998</v>
      </c>
      <c r="AG242" s="103">
        <f t="shared" si="27"/>
        <v>14</v>
      </c>
      <c r="AH242" s="37">
        <f t="shared" si="28"/>
        <v>20.404</v>
      </c>
      <c r="AJ242" s="38"/>
      <c r="AL242" s="16"/>
      <c r="AN242" s="81"/>
      <c r="AO242" s="81"/>
      <c r="AP242" s="48"/>
      <c r="AR242" s="38"/>
      <c r="AS242" s="49"/>
      <c r="AU242" s="38"/>
      <c r="AW242" s="16"/>
      <c r="AY242" s="81"/>
      <c r="AZ242" s="81"/>
      <c r="BA242" s="48"/>
      <c r="BC242" s="38"/>
      <c r="BD242" s="49"/>
    </row>
    <row r="243" spans="22:56" ht="16" x14ac:dyDescent="0.4">
      <c r="V243" s="97">
        <v>45923</v>
      </c>
      <c r="W243" s="16">
        <v>199521</v>
      </c>
      <c r="X243" s="101" t="s">
        <v>36</v>
      </c>
      <c r="Y243" s="105"/>
      <c r="Z243" s="50">
        <v>0.57013888888888886</v>
      </c>
      <c r="AA243" s="50">
        <v>0.75416666666666676</v>
      </c>
      <c r="AD243" s="37">
        <v>15374</v>
      </c>
      <c r="AE243" s="93">
        <f t="shared" si="30"/>
        <v>15.374000000000001</v>
      </c>
      <c r="AF243">
        <v>13.49</v>
      </c>
      <c r="AG243" s="103">
        <f t="shared" si="27"/>
        <v>13.49</v>
      </c>
      <c r="AH243" s="37">
        <f t="shared" si="28"/>
        <v>14.813947142857144</v>
      </c>
      <c r="AJ243" s="38"/>
      <c r="AL243" s="16"/>
      <c r="AN243" s="39"/>
      <c r="AO243" s="39"/>
      <c r="AP243" s="48"/>
      <c r="AR243" s="38"/>
      <c r="AS243" s="49"/>
      <c r="AU243" s="38"/>
      <c r="AW243" s="16"/>
      <c r="AY243" s="39"/>
      <c r="AZ243" s="39"/>
      <c r="BA243" s="48"/>
      <c r="BC243" s="38"/>
      <c r="BD243" s="49"/>
    </row>
    <row r="244" spans="22:56" ht="16" x14ac:dyDescent="0.4">
      <c r="V244" s="97">
        <v>45923</v>
      </c>
      <c r="W244" s="16">
        <v>199548</v>
      </c>
      <c r="X244" s="101" t="s">
        <v>36</v>
      </c>
      <c r="Y244" s="105"/>
      <c r="Z244" s="50">
        <v>0.60833333333333328</v>
      </c>
      <c r="AA244" s="50">
        <v>0.83333333333333337</v>
      </c>
      <c r="AD244" s="37">
        <v>20948</v>
      </c>
      <c r="AE244" s="93">
        <f t="shared" si="30"/>
        <v>20.948</v>
      </c>
      <c r="AF244">
        <v>14.38</v>
      </c>
      <c r="AG244" s="103">
        <f t="shared" si="27"/>
        <v>14</v>
      </c>
      <c r="AH244" s="37">
        <f t="shared" si="28"/>
        <v>20.948</v>
      </c>
      <c r="AJ244" s="38"/>
      <c r="AL244" s="16"/>
      <c r="AN244" s="81"/>
      <c r="AO244" s="81"/>
      <c r="AP244" s="48"/>
      <c r="AR244" s="38"/>
      <c r="AS244" s="49"/>
      <c r="AU244" s="38"/>
      <c r="AW244" s="16"/>
      <c r="AY244" s="81"/>
      <c r="AZ244" s="81"/>
      <c r="BA244" s="48"/>
      <c r="BC244" s="38"/>
      <c r="BD244" s="49"/>
    </row>
    <row r="245" spans="22:56" ht="16" x14ac:dyDescent="0.4">
      <c r="V245" s="97">
        <v>45923</v>
      </c>
      <c r="W245" s="16">
        <v>199575</v>
      </c>
      <c r="X245" s="101" t="s">
        <v>36</v>
      </c>
      <c r="Y245" s="105"/>
      <c r="Z245" s="50">
        <v>0.41805555555555557</v>
      </c>
      <c r="AA245" s="50">
        <v>0.88541666666666663</v>
      </c>
      <c r="AD245" s="37">
        <v>21250</v>
      </c>
      <c r="AE245" s="93">
        <f t="shared" si="30"/>
        <v>21.25</v>
      </c>
      <c r="AF245">
        <v>15.45</v>
      </c>
      <c r="AG245" s="103">
        <f t="shared" si="27"/>
        <v>14</v>
      </c>
      <c r="AH245" s="37">
        <f t="shared" si="28"/>
        <v>21.25</v>
      </c>
      <c r="AJ245" s="38"/>
      <c r="AK245" s="81"/>
      <c r="AL245" s="16"/>
      <c r="AN245" s="81"/>
      <c r="AO245" s="81"/>
      <c r="AP245" s="48"/>
      <c r="AR245" s="38"/>
      <c r="AS245" s="49"/>
      <c r="AU245" s="38"/>
      <c r="AV245" s="81"/>
      <c r="AW245" s="16"/>
      <c r="AY245" s="81"/>
      <c r="AZ245" s="81"/>
      <c r="BA245" s="48"/>
      <c r="BC245" s="38"/>
      <c r="BD245" s="49"/>
    </row>
    <row r="246" spans="22:56" ht="16" x14ac:dyDescent="0.4">
      <c r="V246" s="97">
        <v>45923</v>
      </c>
      <c r="W246" s="16">
        <v>199594</v>
      </c>
      <c r="X246" s="101" t="s">
        <v>36</v>
      </c>
      <c r="Y246" s="105"/>
      <c r="Z246" s="50">
        <v>0.60833333333333328</v>
      </c>
      <c r="AA246" s="50">
        <v>0.94652777777777775</v>
      </c>
      <c r="AD246" s="37">
        <v>20988</v>
      </c>
      <c r="AE246" s="93">
        <f t="shared" si="30"/>
        <v>20.988</v>
      </c>
      <c r="AF246">
        <v>14.63</v>
      </c>
      <c r="AG246" s="103">
        <f t="shared" si="27"/>
        <v>14</v>
      </c>
      <c r="AH246" s="37">
        <f t="shared" si="28"/>
        <v>20.988</v>
      </c>
      <c r="AJ246" s="38"/>
      <c r="AL246" s="16"/>
      <c r="AN246" s="81"/>
      <c r="AO246" s="81"/>
      <c r="AP246" s="48"/>
      <c r="AR246" s="38"/>
      <c r="AS246" s="49"/>
      <c r="AU246" s="38"/>
      <c r="AW246" s="16"/>
      <c r="AY246" s="81"/>
      <c r="AZ246" s="81"/>
      <c r="BA246" s="48"/>
      <c r="BC246" s="38"/>
      <c r="BD246" s="49"/>
    </row>
    <row r="247" spans="22:56" ht="16" x14ac:dyDescent="0.4">
      <c r="V247" s="97">
        <v>45924</v>
      </c>
      <c r="W247" s="16">
        <v>199628</v>
      </c>
      <c r="X247" s="101" t="s">
        <v>36</v>
      </c>
      <c r="Y247" s="105"/>
      <c r="Z247" s="50">
        <v>0.80347222222222225</v>
      </c>
      <c r="AA247" s="50">
        <v>1.6666666666666666E-2</v>
      </c>
      <c r="AD247" s="37">
        <v>21658</v>
      </c>
      <c r="AE247" s="93">
        <f t="shared" ref="AE247:AE309" si="31">AD247/1000</f>
        <v>21.658000000000001</v>
      </c>
      <c r="AF247">
        <v>14.94</v>
      </c>
      <c r="AG247" s="103">
        <f t="shared" si="27"/>
        <v>14</v>
      </c>
      <c r="AH247" s="37">
        <f t="shared" si="28"/>
        <v>21.657999999999998</v>
      </c>
      <c r="AJ247" s="38"/>
      <c r="AL247" s="16"/>
      <c r="AN247" s="81"/>
      <c r="AO247" s="81"/>
      <c r="AP247" s="48"/>
      <c r="AR247" s="38"/>
      <c r="AS247" s="49"/>
      <c r="AU247" s="38"/>
      <c r="AW247" s="16"/>
      <c r="AY247" s="81"/>
      <c r="AZ247" s="81"/>
      <c r="BA247" s="48"/>
      <c r="BC247" s="38"/>
      <c r="BD247" s="49"/>
    </row>
    <row r="248" spans="22:56" ht="16" x14ac:dyDescent="0.4">
      <c r="V248" s="97">
        <v>45924</v>
      </c>
      <c r="W248" s="16">
        <v>199635</v>
      </c>
      <c r="X248" s="101" t="s">
        <v>36</v>
      </c>
      <c r="Y248" s="105"/>
      <c r="Z248" s="50">
        <v>0.9868055555555556</v>
      </c>
      <c r="AA248" s="50">
        <v>7.6388888888888895E-2</v>
      </c>
      <c r="AD248" s="37">
        <v>21518</v>
      </c>
      <c r="AE248" s="93">
        <f t="shared" si="31"/>
        <v>21.518000000000001</v>
      </c>
      <c r="AF248">
        <v>14.34</v>
      </c>
      <c r="AG248" s="103">
        <f t="shared" si="27"/>
        <v>14</v>
      </c>
      <c r="AH248" s="37">
        <f t="shared" si="28"/>
        <v>21.518000000000001</v>
      </c>
      <c r="AJ248" s="38"/>
      <c r="AL248" s="16"/>
      <c r="AN248" s="81"/>
      <c r="AO248" s="81"/>
      <c r="AP248" s="48"/>
      <c r="AR248" s="38"/>
      <c r="AS248" s="49"/>
      <c r="AU248" s="38"/>
      <c r="AW248" s="16"/>
      <c r="AY248" s="81"/>
      <c r="AZ248" s="81"/>
      <c r="BA248" s="48"/>
      <c r="BC248" s="38"/>
      <c r="BD248" s="49"/>
    </row>
    <row r="249" spans="22:56" ht="16" x14ac:dyDescent="0.4">
      <c r="V249" s="97">
        <v>45924</v>
      </c>
      <c r="W249" s="16">
        <v>199644</v>
      </c>
      <c r="X249" s="101" t="s">
        <v>36</v>
      </c>
      <c r="Y249" s="105"/>
      <c r="Z249" s="50">
        <v>9.0972222222222218E-2</v>
      </c>
      <c r="AA249" s="50">
        <v>0.13125000000000001</v>
      </c>
      <c r="AD249" s="37">
        <v>20362</v>
      </c>
      <c r="AE249" s="93">
        <f t="shared" si="31"/>
        <v>20.361999999999998</v>
      </c>
      <c r="AF249">
        <v>15.49</v>
      </c>
      <c r="AG249" s="103">
        <f t="shared" si="27"/>
        <v>14</v>
      </c>
      <c r="AH249" s="37">
        <f t="shared" si="28"/>
        <v>20.361999999999998</v>
      </c>
      <c r="AJ249" s="38"/>
      <c r="AN249" s="81"/>
      <c r="AO249" s="81"/>
      <c r="AP249" s="48"/>
      <c r="AR249" s="38"/>
      <c r="AS249" s="49"/>
      <c r="AU249" s="38"/>
      <c r="AY249" s="81"/>
      <c r="AZ249" s="81"/>
      <c r="BA249" s="48"/>
      <c r="BC249" s="38"/>
      <c r="BD249" s="49"/>
    </row>
    <row r="250" spans="22:56" ht="16" x14ac:dyDescent="0.4">
      <c r="V250" s="97">
        <v>45924</v>
      </c>
      <c r="W250" s="16">
        <v>199653</v>
      </c>
      <c r="X250" s="101" t="s">
        <v>36</v>
      </c>
      <c r="Y250" s="105"/>
      <c r="Z250" s="50">
        <v>0.75486111111111109</v>
      </c>
      <c r="AA250" s="50">
        <v>0.17222222222222225</v>
      </c>
      <c r="AD250" s="37">
        <v>20376</v>
      </c>
      <c r="AE250" s="93">
        <f t="shared" si="31"/>
        <v>20.376000000000001</v>
      </c>
      <c r="AF250">
        <v>14.84</v>
      </c>
      <c r="AG250" s="103">
        <f t="shared" si="27"/>
        <v>14</v>
      </c>
      <c r="AH250" s="37">
        <f t="shared" si="28"/>
        <v>20.376000000000001</v>
      </c>
      <c r="AJ250" s="38"/>
      <c r="AN250" s="81"/>
      <c r="AO250" s="81"/>
      <c r="AP250" s="48"/>
      <c r="AR250" s="38"/>
      <c r="AS250" s="49"/>
      <c r="AU250" s="38"/>
      <c r="AY250" s="81"/>
      <c r="AZ250" s="81"/>
      <c r="BA250" s="48"/>
      <c r="BC250" s="38"/>
      <c r="BD250" s="49"/>
    </row>
    <row r="251" spans="22:56" ht="16" x14ac:dyDescent="0.4">
      <c r="V251" s="97">
        <v>45924</v>
      </c>
      <c r="W251" s="16">
        <v>199658</v>
      </c>
      <c r="X251" s="101" t="s">
        <v>36</v>
      </c>
      <c r="Y251" s="105"/>
      <c r="Z251" s="50">
        <v>9.1666666666666674E-2</v>
      </c>
      <c r="AA251" s="50">
        <v>0.21388888888888891</v>
      </c>
      <c r="AD251" s="37">
        <v>16870</v>
      </c>
      <c r="AE251" s="93">
        <f t="shared" si="31"/>
        <v>16.87</v>
      </c>
      <c r="AF251">
        <v>15.06</v>
      </c>
      <c r="AG251" s="103">
        <f t="shared" si="27"/>
        <v>14</v>
      </c>
      <c r="AH251" s="37">
        <f t="shared" si="28"/>
        <v>16.87</v>
      </c>
      <c r="AJ251" s="38"/>
      <c r="AN251" s="81"/>
      <c r="AO251" s="81"/>
      <c r="AP251" s="48"/>
      <c r="AR251" s="38"/>
      <c r="AS251" s="49"/>
      <c r="AU251" s="38"/>
      <c r="AY251" s="81"/>
      <c r="AZ251" s="81"/>
      <c r="BA251" s="48"/>
      <c r="BC251" s="38"/>
      <c r="BD251" s="49"/>
    </row>
    <row r="252" spans="22:56" ht="16" x14ac:dyDescent="0.4">
      <c r="V252" s="97">
        <v>45924</v>
      </c>
      <c r="W252" s="16">
        <v>199692</v>
      </c>
      <c r="X252" s="101" t="s">
        <v>36</v>
      </c>
      <c r="Y252" s="105"/>
      <c r="Z252" s="50">
        <v>0.21005787037037038</v>
      </c>
      <c r="AA252" s="50">
        <v>0.30789351851851848</v>
      </c>
      <c r="AD252" s="37">
        <v>21804</v>
      </c>
      <c r="AE252" s="93">
        <f t="shared" si="31"/>
        <v>21.803999999999998</v>
      </c>
      <c r="AF252">
        <v>14.49</v>
      </c>
      <c r="AG252" s="103">
        <f t="shared" si="27"/>
        <v>14</v>
      </c>
      <c r="AH252" s="37">
        <f t="shared" si="28"/>
        <v>21.803999999999998</v>
      </c>
      <c r="AJ252" s="38"/>
      <c r="AN252" s="81"/>
      <c r="AO252" s="81"/>
      <c r="AP252" s="48"/>
      <c r="AR252" s="38"/>
      <c r="AS252" s="49"/>
      <c r="AU252" s="38"/>
      <c r="AY252" s="81"/>
      <c r="AZ252" s="81"/>
      <c r="BA252" s="48"/>
      <c r="BC252" s="38"/>
      <c r="BD252" s="49"/>
    </row>
    <row r="253" spans="22:56" ht="16" x14ac:dyDescent="0.4">
      <c r="V253" s="97">
        <v>45924</v>
      </c>
      <c r="W253" s="16">
        <v>199755</v>
      </c>
      <c r="X253" s="101" t="s">
        <v>36</v>
      </c>
      <c r="Y253" s="105"/>
      <c r="Z253" s="50">
        <v>9.1516203703703711E-2</v>
      </c>
      <c r="AA253" s="50">
        <v>0.36391203703703701</v>
      </c>
      <c r="AD253" s="37">
        <v>20326</v>
      </c>
      <c r="AE253" s="93">
        <f t="shared" si="31"/>
        <v>20.326000000000001</v>
      </c>
      <c r="AF253">
        <v>14.63</v>
      </c>
      <c r="AG253" s="103">
        <f t="shared" si="27"/>
        <v>14</v>
      </c>
      <c r="AH253" s="37">
        <f t="shared" si="28"/>
        <v>20.326000000000001</v>
      </c>
      <c r="AJ253" s="38"/>
      <c r="AN253" s="81"/>
      <c r="AO253" s="81"/>
      <c r="AP253" s="48"/>
      <c r="AR253" s="38"/>
      <c r="AS253" s="49"/>
      <c r="AU253" s="38"/>
      <c r="AY253" s="81"/>
      <c r="AZ253" s="81"/>
      <c r="BA253" s="48"/>
      <c r="BC253" s="38"/>
      <c r="BD253" s="49"/>
    </row>
    <row r="254" spans="22:56" ht="16" x14ac:dyDescent="0.4">
      <c r="V254" s="97">
        <v>45924</v>
      </c>
      <c r="W254" s="16">
        <v>199818</v>
      </c>
      <c r="X254" s="101" t="s">
        <v>36</v>
      </c>
      <c r="Y254" s="105"/>
      <c r="Z254" s="50">
        <v>0.20991898148148147</v>
      </c>
      <c r="AA254" s="50">
        <v>0.42216435185185186</v>
      </c>
      <c r="AD254" s="37">
        <v>21612</v>
      </c>
      <c r="AE254" s="93">
        <f t="shared" si="31"/>
        <v>21.611999999999998</v>
      </c>
      <c r="AF254">
        <v>13.7</v>
      </c>
      <c r="AG254" s="103">
        <f t="shared" si="27"/>
        <v>13.7</v>
      </c>
      <c r="AH254" s="37">
        <f t="shared" si="28"/>
        <v>21.148885714285711</v>
      </c>
      <c r="AJ254" s="38"/>
      <c r="AP254" s="48"/>
      <c r="AR254" s="38"/>
      <c r="AS254" s="49"/>
      <c r="AU254" s="38"/>
      <c r="BA254" s="48"/>
      <c r="BC254" s="38"/>
      <c r="BD254" s="49"/>
    </row>
    <row r="255" spans="22:56" ht="16" x14ac:dyDescent="0.4">
      <c r="V255" s="97">
        <v>45924</v>
      </c>
      <c r="W255" s="16">
        <v>199871</v>
      </c>
      <c r="X255" s="101" t="s">
        <v>36</v>
      </c>
      <c r="Y255" s="105"/>
      <c r="Z255" s="50">
        <v>0.40971064814814812</v>
      </c>
      <c r="AA255" s="50">
        <v>0.50165509259259256</v>
      </c>
      <c r="AD255" s="37">
        <v>19458</v>
      </c>
      <c r="AE255" s="93">
        <f t="shared" si="31"/>
        <v>19.457999999999998</v>
      </c>
      <c r="AF255">
        <v>15.59</v>
      </c>
      <c r="AG255" s="103">
        <f t="shared" si="27"/>
        <v>14</v>
      </c>
      <c r="AH255" s="37">
        <f t="shared" si="28"/>
        <v>19.457999999999998</v>
      </c>
      <c r="AJ255" s="38"/>
      <c r="AN255" s="81"/>
      <c r="AO255" s="81"/>
      <c r="AP255" s="48"/>
      <c r="AR255" s="38"/>
      <c r="AS255" s="71"/>
      <c r="AU255" s="38"/>
      <c r="AY255" s="81"/>
      <c r="AZ255" s="81"/>
      <c r="BA255" s="48"/>
      <c r="BC255" s="38"/>
      <c r="BD255" s="71"/>
    </row>
    <row r="256" spans="22:56" ht="16" x14ac:dyDescent="0.4">
      <c r="V256" s="97">
        <v>45924</v>
      </c>
      <c r="W256" s="16">
        <v>199904</v>
      </c>
      <c r="X256" s="101" t="s">
        <v>36</v>
      </c>
      <c r="Y256" s="105"/>
      <c r="Z256" s="50">
        <v>0.9871064814814815</v>
      </c>
      <c r="AA256" s="50">
        <v>0.55577546296296299</v>
      </c>
      <c r="AD256" s="37">
        <v>19370</v>
      </c>
      <c r="AE256" s="93">
        <f t="shared" si="31"/>
        <v>19.37</v>
      </c>
      <c r="AF256">
        <v>15.84</v>
      </c>
      <c r="AG256" s="103">
        <f t="shared" si="27"/>
        <v>14</v>
      </c>
      <c r="AH256" s="37">
        <f t="shared" si="28"/>
        <v>19.37</v>
      </c>
      <c r="AJ256" s="38"/>
      <c r="AN256" s="81"/>
      <c r="AO256" s="81"/>
      <c r="AP256" s="48"/>
      <c r="AR256" s="38"/>
      <c r="AS256" s="49"/>
      <c r="AU256" s="38"/>
      <c r="AY256" s="81"/>
      <c r="AZ256" s="81"/>
      <c r="BA256" s="48"/>
      <c r="BC256" s="38"/>
      <c r="BD256" s="49"/>
    </row>
    <row r="257" spans="22:56" ht="16" x14ac:dyDescent="0.4">
      <c r="V257" s="97">
        <v>45924</v>
      </c>
      <c r="W257" s="16">
        <v>199968</v>
      </c>
      <c r="X257" s="101" t="s">
        <v>36</v>
      </c>
      <c r="Y257" s="105"/>
      <c r="Z257" s="50">
        <v>0.40947916666666667</v>
      </c>
      <c r="AA257" s="50">
        <v>0.60942129629629627</v>
      </c>
      <c r="AD257" s="37">
        <v>21982</v>
      </c>
      <c r="AE257" s="93">
        <f t="shared" si="31"/>
        <v>21.981999999999999</v>
      </c>
      <c r="AF257">
        <v>14.06</v>
      </c>
      <c r="AG257" s="103">
        <f t="shared" si="27"/>
        <v>14</v>
      </c>
      <c r="AH257" s="37">
        <f t="shared" si="28"/>
        <v>21.981999999999999</v>
      </c>
      <c r="AJ257" s="38"/>
      <c r="AN257" s="81"/>
      <c r="AO257" s="81"/>
      <c r="AP257" s="48"/>
      <c r="AR257" s="38"/>
      <c r="AS257" s="49"/>
      <c r="AU257" s="38"/>
      <c r="AY257" s="81"/>
      <c r="AZ257" s="81"/>
      <c r="BA257" s="48"/>
      <c r="BC257" s="38"/>
      <c r="BD257" s="49"/>
    </row>
    <row r="258" spans="22:56" ht="16" x14ac:dyDescent="0.4">
      <c r="V258" s="97">
        <v>45924</v>
      </c>
      <c r="W258" s="16">
        <v>200023</v>
      </c>
      <c r="X258" s="101" t="s">
        <v>36</v>
      </c>
      <c r="Y258" s="105"/>
      <c r="Z258" s="50">
        <v>0.61678240740740742</v>
      </c>
      <c r="AA258" s="50">
        <v>0.66795138888888894</v>
      </c>
      <c r="AD258" s="37">
        <v>18314</v>
      </c>
      <c r="AE258" s="93">
        <f t="shared" si="31"/>
        <v>18.314</v>
      </c>
      <c r="AF258">
        <v>15.41</v>
      </c>
      <c r="AG258" s="103">
        <f t="shared" si="27"/>
        <v>14</v>
      </c>
      <c r="AH258" s="37">
        <f t="shared" si="28"/>
        <v>18.314</v>
      </c>
      <c r="AJ258" s="97"/>
      <c r="AN258" s="39"/>
      <c r="AO258" s="39"/>
      <c r="AP258" s="47"/>
      <c r="AR258" s="38"/>
      <c r="AS258" s="49"/>
      <c r="AU258" s="97"/>
      <c r="AY258" s="39"/>
      <c r="AZ258" s="39"/>
      <c r="BA258" s="47"/>
      <c r="BC258" s="38"/>
      <c r="BD258" s="49"/>
    </row>
    <row r="259" spans="22:56" ht="16" x14ac:dyDescent="0.4">
      <c r="V259" s="97">
        <v>45924</v>
      </c>
      <c r="W259" s="16">
        <v>200049</v>
      </c>
      <c r="X259" s="101" t="s">
        <v>36</v>
      </c>
      <c r="Y259" s="105"/>
      <c r="Z259" s="50">
        <v>0.66215277777777781</v>
      </c>
      <c r="AA259" s="50">
        <v>0.71799768518518514</v>
      </c>
      <c r="AD259" s="37">
        <v>19828</v>
      </c>
      <c r="AE259" s="93">
        <f t="shared" si="31"/>
        <v>19.827999999999999</v>
      </c>
      <c r="AF259">
        <v>15.49</v>
      </c>
      <c r="AG259" s="103">
        <f t="shared" si="27"/>
        <v>14</v>
      </c>
      <c r="AH259" s="37">
        <f t="shared" si="28"/>
        <v>19.827999999999999</v>
      </c>
      <c r="AJ259" s="97"/>
      <c r="AP259" s="47"/>
      <c r="AR259" s="38"/>
      <c r="AS259" s="49"/>
      <c r="AU259" s="97"/>
      <c r="BA259" s="47"/>
      <c r="BC259" s="38"/>
      <c r="BD259" s="49"/>
    </row>
    <row r="260" spans="22:56" ht="16" x14ac:dyDescent="0.4">
      <c r="V260" s="97">
        <v>45924</v>
      </c>
      <c r="W260" s="16">
        <v>200064</v>
      </c>
      <c r="X260" s="101" t="s">
        <v>36</v>
      </c>
      <c r="Y260" s="105"/>
      <c r="Z260" s="50">
        <v>0.61597222222222225</v>
      </c>
      <c r="AA260" s="50">
        <v>0.76944444444444438</v>
      </c>
      <c r="AD260" s="37">
        <v>18394</v>
      </c>
      <c r="AE260" s="93">
        <f t="shared" si="31"/>
        <v>18.393999999999998</v>
      </c>
      <c r="AF260">
        <v>15.55</v>
      </c>
      <c r="AG260" s="103">
        <f t="shared" si="27"/>
        <v>14</v>
      </c>
      <c r="AH260" s="37">
        <f t="shared" si="28"/>
        <v>18.393999999999998</v>
      </c>
      <c r="AJ260" s="97"/>
      <c r="AN260" s="39"/>
      <c r="AO260" s="39"/>
      <c r="AP260" s="47"/>
      <c r="AR260" s="38"/>
      <c r="AS260" s="49"/>
      <c r="AU260" s="97"/>
      <c r="AY260" s="39"/>
      <c r="AZ260" s="39"/>
      <c r="BA260" s="47"/>
      <c r="BC260" s="38"/>
      <c r="BD260" s="49"/>
    </row>
    <row r="261" spans="22:56" ht="16" x14ac:dyDescent="0.4">
      <c r="V261" s="90"/>
      <c r="W261" s="17"/>
      <c r="X261" s="99"/>
      <c r="Y261" s="110"/>
      <c r="Z261" s="91"/>
      <c r="AA261" s="91"/>
      <c r="AB261" s="17"/>
      <c r="AC261" s="17"/>
      <c r="AD261" s="110"/>
      <c r="AE261" s="92"/>
      <c r="AF261" s="17"/>
      <c r="AG261" s="95"/>
      <c r="AH261" s="110"/>
      <c r="AJ261" s="97"/>
      <c r="AN261" s="39"/>
      <c r="AO261" s="39"/>
      <c r="AP261" s="47"/>
      <c r="AR261" s="38"/>
      <c r="AS261" s="49"/>
      <c r="AU261" s="97"/>
      <c r="AY261" s="39"/>
      <c r="AZ261" s="39"/>
      <c r="BA261" s="47"/>
      <c r="BC261" s="38"/>
      <c r="BD261" s="49"/>
    </row>
    <row r="262" spans="22:56" ht="16" x14ac:dyDescent="0.4">
      <c r="V262" s="97">
        <v>45925</v>
      </c>
      <c r="W262" s="16">
        <v>200257</v>
      </c>
      <c r="X262" s="101" t="s">
        <v>36</v>
      </c>
      <c r="Y262" s="105"/>
      <c r="Z262" s="50">
        <v>0.81461805555555555</v>
      </c>
      <c r="AA262" s="50">
        <v>0.34563657407407405</v>
      </c>
      <c r="AD262" s="37">
        <v>20528</v>
      </c>
      <c r="AE262" s="93">
        <f t="shared" si="31"/>
        <v>20.527999999999999</v>
      </c>
      <c r="AF262">
        <v>14.38</v>
      </c>
      <c r="AG262" s="103">
        <f t="shared" ref="AG262:AG324" si="32">IF($AF262&gt;14,14,$AF262)</f>
        <v>14</v>
      </c>
      <c r="AH262" s="37">
        <f t="shared" ref="AH262:AH324" si="33">AE262*AG262/14</f>
        <v>20.527999999999999</v>
      </c>
      <c r="AJ262" s="97"/>
      <c r="AN262" s="39"/>
      <c r="AO262" s="39"/>
      <c r="AP262" s="94"/>
      <c r="AR262" s="38"/>
      <c r="AS262" s="49"/>
      <c r="AU262" s="97"/>
      <c r="AY262" s="39"/>
      <c r="AZ262" s="39"/>
      <c r="BA262" s="94"/>
      <c r="BC262" s="38"/>
      <c r="BD262" s="49"/>
    </row>
    <row r="263" spans="22:56" ht="16" x14ac:dyDescent="0.4">
      <c r="V263" s="97">
        <v>45925</v>
      </c>
      <c r="W263" s="16">
        <v>200318</v>
      </c>
      <c r="X263" s="101" t="s">
        <v>36</v>
      </c>
      <c r="Y263" s="105"/>
      <c r="Z263" s="50">
        <v>0.40930555555555559</v>
      </c>
      <c r="AA263" s="50">
        <v>0.39807870370370368</v>
      </c>
      <c r="AD263" s="37">
        <v>21042</v>
      </c>
      <c r="AE263" s="93">
        <f t="shared" si="31"/>
        <v>21.042000000000002</v>
      </c>
      <c r="AF263">
        <v>14.05</v>
      </c>
      <c r="AG263" s="103">
        <f t="shared" si="32"/>
        <v>14</v>
      </c>
      <c r="AH263" s="37">
        <f t="shared" si="33"/>
        <v>21.042000000000002</v>
      </c>
      <c r="AJ263" s="97"/>
      <c r="AN263" s="39"/>
      <c r="AO263" s="39"/>
      <c r="AP263" s="94"/>
      <c r="AR263" s="38"/>
      <c r="AS263" s="49"/>
      <c r="AU263" s="97"/>
      <c r="AY263" s="39"/>
      <c r="AZ263" s="39"/>
      <c r="BA263" s="94"/>
      <c r="BC263" s="38"/>
      <c r="BD263" s="49"/>
    </row>
    <row r="264" spans="22:56" ht="16" x14ac:dyDescent="0.4">
      <c r="V264" s="97">
        <v>45925</v>
      </c>
      <c r="W264" s="16">
        <v>200381</v>
      </c>
      <c r="X264" s="101" t="s">
        <v>36</v>
      </c>
      <c r="Y264" s="105"/>
      <c r="Z264" s="50">
        <v>0.7635185185185186</v>
      </c>
      <c r="AA264" s="50">
        <v>0.46766203703703701</v>
      </c>
      <c r="AD264" s="37">
        <v>21492</v>
      </c>
      <c r="AE264" s="93">
        <f t="shared" si="31"/>
        <v>21.492000000000001</v>
      </c>
      <c r="AF264">
        <v>13.34</v>
      </c>
      <c r="AG264" s="103">
        <f t="shared" si="32"/>
        <v>13.34</v>
      </c>
      <c r="AH264" s="37">
        <f t="shared" si="33"/>
        <v>20.478805714285716</v>
      </c>
      <c r="AJ264" s="97"/>
      <c r="AN264" s="39"/>
      <c r="AO264" s="39"/>
      <c r="AP264" s="94"/>
      <c r="AR264" s="38"/>
      <c r="AS264" s="49"/>
      <c r="AU264" s="97"/>
      <c r="AY264" s="39"/>
      <c r="AZ264" s="39"/>
      <c r="BA264" s="94"/>
      <c r="BC264" s="38"/>
      <c r="BD264" s="49"/>
    </row>
    <row r="265" spans="22:56" ht="16" x14ac:dyDescent="0.4">
      <c r="V265" s="97">
        <v>45925</v>
      </c>
      <c r="W265" s="16">
        <v>200407</v>
      </c>
      <c r="X265" s="101" t="s">
        <v>36</v>
      </c>
      <c r="Y265" s="105"/>
      <c r="Z265" s="50">
        <v>0.66197916666666667</v>
      </c>
      <c r="AA265" s="50">
        <v>0.53828703703703706</v>
      </c>
      <c r="AD265" s="37">
        <v>21760</v>
      </c>
      <c r="AE265" s="93">
        <f t="shared" si="31"/>
        <v>21.76</v>
      </c>
      <c r="AF265">
        <v>14.74</v>
      </c>
      <c r="AG265" s="103">
        <f t="shared" si="32"/>
        <v>14</v>
      </c>
      <c r="AH265" s="37">
        <f t="shared" si="33"/>
        <v>21.76</v>
      </c>
      <c r="AJ265" s="97"/>
      <c r="AN265" s="39"/>
      <c r="AO265" s="39"/>
      <c r="AP265" s="94"/>
      <c r="AR265" s="38"/>
      <c r="AS265" s="49"/>
      <c r="AU265" s="97"/>
      <c r="AY265" s="39"/>
      <c r="AZ265" s="39"/>
      <c r="BA265" s="94"/>
      <c r="BC265" s="38"/>
      <c r="BD265" s="49"/>
    </row>
    <row r="266" spans="22:56" ht="16" x14ac:dyDescent="0.4">
      <c r="V266" s="97">
        <v>45925</v>
      </c>
      <c r="W266" s="16">
        <v>200453</v>
      </c>
      <c r="X266" s="101" t="s">
        <v>36</v>
      </c>
      <c r="Y266" s="105"/>
      <c r="Z266" s="50">
        <v>0.76336805555555554</v>
      </c>
      <c r="AA266" s="50">
        <v>0.59442129629629636</v>
      </c>
      <c r="AD266" s="37">
        <v>20740</v>
      </c>
      <c r="AE266" s="93">
        <f t="shared" si="31"/>
        <v>20.74</v>
      </c>
      <c r="AF266">
        <v>14.98</v>
      </c>
      <c r="AG266" s="103">
        <f t="shared" si="32"/>
        <v>14</v>
      </c>
      <c r="AH266" s="37">
        <f t="shared" si="33"/>
        <v>20.74</v>
      </c>
      <c r="AJ266" s="97"/>
      <c r="AN266" s="39"/>
      <c r="AO266" s="39"/>
      <c r="AP266" s="94"/>
      <c r="AR266" s="38"/>
      <c r="AS266" s="49"/>
      <c r="AU266" s="97"/>
      <c r="AY266" s="39"/>
      <c r="AZ266" s="39"/>
      <c r="BA266" s="94"/>
      <c r="BC266" s="38"/>
      <c r="BD266" s="49"/>
    </row>
    <row r="267" spans="22:56" ht="16" x14ac:dyDescent="0.4">
      <c r="V267" s="97">
        <v>45925</v>
      </c>
      <c r="W267" s="16">
        <v>200524</v>
      </c>
      <c r="X267" s="101" t="s">
        <v>36</v>
      </c>
      <c r="Y267" s="105"/>
      <c r="Z267" s="50">
        <v>0.58321759259259254</v>
      </c>
      <c r="AA267" s="50">
        <v>0.66041666666666665</v>
      </c>
      <c r="AD267" s="37">
        <v>21234</v>
      </c>
      <c r="AE267" s="93">
        <f t="shared" si="31"/>
        <v>21.234000000000002</v>
      </c>
      <c r="AF267">
        <v>16.34</v>
      </c>
      <c r="AG267" s="103">
        <f t="shared" si="32"/>
        <v>14</v>
      </c>
      <c r="AH267" s="37">
        <f t="shared" si="33"/>
        <v>21.234000000000002</v>
      </c>
      <c r="AJ267" s="97"/>
      <c r="AN267" s="39"/>
      <c r="AO267" s="39"/>
      <c r="AP267" s="47"/>
      <c r="AR267" s="38"/>
      <c r="AS267" s="49"/>
      <c r="AU267" s="97"/>
      <c r="AY267" s="39"/>
      <c r="AZ267" s="39"/>
      <c r="BA267" s="47"/>
      <c r="BC267" s="38"/>
      <c r="BD267" s="49"/>
    </row>
    <row r="268" spans="22:56" ht="16" x14ac:dyDescent="0.4">
      <c r="V268" s="97">
        <v>45925</v>
      </c>
      <c r="W268" s="16">
        <v>200553</v>
      </c>
      <c r="X268" s="101" t="s">
        <v>36</v>
      </c>
      <c r="Y268" s="105"/>
      <c r="Z268" s="50">
        <v>0.65324074074074068</v>
      </c>
      <c r="AA268" s="50">
        <v>0.71185185185185185</v>
      </c>
      <c r="AD268" s="37">
        <v>20498</v>
      </c>
      <c r="AE268" s="93">
        <f t="shared" si="31"/>
        <v>20.498000000000001</v>
      </c>
      <c r="AF268">
        <v>15.13</v>
      </c>
      <c r="AG268" s="103">
        <f t="shared" si="32"/>
        <v>14</v>
      </c>
      <c r="AH268" s="37">
        <f t="shared" si="33"/>
        <v>20.498000000000001</v>
      </c>
      <c r="AJ268" s="97"/>
      <c r="AN268" s="39"/>
      <c r="AO268" s="39"/>
      <c r="AP268" s="47"/>
      <c r="AR268" s="38"/>
      <c r="AS268" s="49"/>
      <c r="AU268" s="97"/>
      <c r="AY268" s="39"/>
      <c r="AZ268" s="39"/>
      <c r="BA268" s="47"/>
      <c r="BC268" s="38"/>
      <c r="BD268" s="49"/>
    </row>
    <row r="269" spans="22:56" ht="16" x14ac:dyDescent="0.4">
      <c r="V269" s="97">
        <v>45925</v>
      </c>
      <c r="W269" s="16">
        <v>200574</v>
      </c>
      <c r="X269" s="101" t="s">
        <v>36</v>
      </c>
      <c r="Y269" s="105"/>
      <c r="Z269" s="50">
        <v>0.58333333333333337</v>
      </c>
      <c r="AA269" s="50">
        <v>0.77222222222222225</v>
      </c>
      <c r="AD269" s="37">
        <v>19194</v>
      </c>
      <c r="AE269" s="93">
        <f t="shared" si="31"/>
        <v>19.193999999999999</v>
      </c>
      <c r="AF269">
        <v>15.24</v>
      </c>
      <c r="AG269" s="103">
        <f t="shared" si="32"/>
        <v>14</v>
      </c>
      <c r="AH269" s="37">
        <f t="shared" si="33"/>
        <v>19.193999999999999</v>
      </c>
      <c r="AJ269" s="97"/>
      <c r="AN269" s="39"/>
      <c r="AO269" s="39"/>
      <c r="AP269" s="47"/>
      <c r="AR269" s="38"/>
      <c r="AS269" s="49"/>
      <c r="AU269" s="97"/>
      <c r="AY269" s="39"/>
      <c r="AZ269" s="39"/>
      <c r="BA269" s="47"/>
      <c r="BC269" s="38"/>
      <c r="BD269" s="49"/>
    </row>
    <row r="270" spans="22:56" ht="16" x14ac:dyDescent="0.4">
      <c r="V270" s="97">
        <v>45925</v>
      </c>
      <c r="W270" s="16">
        <v>200597</v>
      </c>
      <c r="X270" s="101" t="s">
        <v>36</v>
      </c>
      <c r="Y270" s="105"/>
      <c r="Z270" s="50">
        <v>0.81458333333333333</v>
      </c>
      <c r="AA270" s="50">
        <v>0.83194444444444438</v>
      </c>
      <c r="AD270" s="37">
        <v>22358</v>
      </c>
      <c r="AE270" s="93">
        <f t="shared" si="31"/>
        <v>22.358000000000001</v>
      </c>
      <c r="AF270">
        <v>14.77</v>
      </c>
      <c r="AG270" s="103">
        <f t="shared" si="32"/>
        <v>14</v>
      </c>
      <c r="AH270" s="37">
        <f t="shared" si="33"/>
        <v>22.358000000000001</v>
      </c>
      <c r="AJ270" s="97"/>
      <c r="AN270" s="39"/>
      <c r="AO270" s="39"/>
      <c r="AP270" s="47"/>
      <c r="AR270" s="38"/>
      <c r="AS270" s="49"/>
      <c r="AU270" s="97"/>
      <c r="AY270" s="39"/>
      <c r="AZ270" s="39"/>
      <c r="BA270" s="47"/>
      <c r="BC270" s="38"/>
      <c r="BD270" s="49"/>
    </row>
    <row r="271" spans="22:56" ht="16" x14ac:dyDescent="0.4">
      <c r="V271" s="97">
        <v>45925</v>
      </c>
      <c r="W271" s="16">
        <v>200627</v>
      </c>
      <c r="X271" s="101" t="s">
        <v>36</v>
      </c>
      <c r="Y271" s="105"/>
      <c r="Z271" s="50">
        <v>0.58333333333333337</v>
      </c>
      <c r="AA271" s="50">
        <v>0.88194444444444453</v>
      </c>
      <c r="AD271" s="37">
        <v>20318</v>
      </c>
      <c r="AE271" s="93">
        <f t="shared" si="31"/>
        <v>20.318000000000001</v>
      </c>
      <c r="AF271">
        <v>14.52</v>
      </c>
      <c r="AG271" s="103">
        <f t="shared" si="32"/>
        <v>14</v>
      </c>
      <c r="AH271" s="37">
        <f t="shared" si="33"/>
        <v>20.318000000000001</v>
      </c>
      <c r="AJ271" s="97"/>
      <c r="AN271" s="39"/>
      <c r="AO271" s="39"/>
      <c r="AP271" s="47"/>
      <c r="AR271" s="38"/>
      <c r="AS271" s="49"/>
      <c r="AU271" s="97"/>
      <c r="AY271" s="39"/>
      <c r="AZ271" s="39"/>
      <c r="BA271" s="47"/>
      <c r="BC271" s="38"/>
      <c r="BD271" s="49"/>
    </row>
    <row r="272" spans="22:56" ht="16" x14ac:dyDescent="0.4">
      <c r="V272" s="97">
        <v>45925</v>
      </c>
      <c r="W272" s="16">
        <v>200646</v>
      </c>
      <c r="X272" s="101" t="s">
        <v>36</v>
      </c>
      <c r="Y272" s="105"/>
      <c r="Z272" s="50">
        <v>0.81458333333333333</v>
      </c>
      <c r="AA272" s="50">
        <v>0.92361111111111116</v>
      </c>
      <c r="AD272" s="37">
        <v>20030</v>
      </c>
      <c r="AE272" s="93">
        <f t="shared" si="31"/>
        <v>20.03</v>
      </c>
      <c r="AF272">
        <v>14.21</v>
      </c>
      <c r="AG272" s="103">
        <f t="shared" si="32"/>
        <v>14</v>
      </c>
      <c r="AH272" s="37">
        <f t="shared" si="33"/>
        <v>20.03</v>
      </c>
      <c r="AJ272" s="97"/>
      <c r="AN272" s="39"/>
      <c r="AO272" s="39"/>
      <c r="AP272" s="47"/>
      <c r="AR272" s="38"/>
      <c r="AS272" s="49"/>
      <c r="AU272" s="97"/>
      <c r="AY272" s="39"/>
      <c r="AZ272" s="39"/>
      <c r="BA272" s="47"/>
      <c r="BC272" s="38"/>
      <c r="BD272" s="49"/>
    </row>
    <row r="273" spans="22:56" ht="16" x14ac:dyDescent="0.4">
      <c r="V273" s="97">
        <v>45925</v>
      </c>
      <c r="W273" s="16">
        <v>200669</v>
      </c>
      <c r="X273" s="101" t="s">
        <v>36</v>
      </c>
      <c r="Y273" s="105"/>
      <c r="Z273" s="50">
        <v>0.98333333333333339</v>
      </c>
      <c r="AA273" s="50"/>
      <c r="AD273" s="37">
        <v>22987</v>
      </c>
      <c r="AE273" s="93">
        <f t="shared" si="31"/>
        <v>22.986999999999998</v>
      </c>
      <c r="AF273">
        <v>15.16</v>
      </c>
      <c r="AG273" s="103">
        <f t="shared" si="32"/>
        <v>14</v>
      </c>
      <c r="AH273" s="37">
        <f t="shared" si="33"/>
        <v>22.986999999999998</v>
      </c>
      <c r="AJ273" s="97"/>
      <c r="AN273" s="39"/>
      <c r="AO273" s="39"/>
      <c r="AP273" s="47"/>
      <c r="AR273" s="38"/>
      <c r="AS273" s="49"/>
      <c r="AU273" s="97"/>
      <c r="AY273" s="39"/>
      <c r="AZ273" s="39"/>
      <c r="BA273" s="47"/>
      <c r="BC273" s="38"/>
      <c r="BD273" s="49"/>
    </row>
    <row r="274" spans="22:56" ht="16" x14ac:dyDescent="0.4">
      <c r="V274" s="97">
        <v>45926</v>
      </c>
      <c r="W274" s="16">
        <v>200685</v>
      </c>
      <c r="X274" s="101" t="s">
        <v>36</v>
      </c>
      <c r="Y274" s="105"/>
      <c r="Z274" s="50">
        <v>0.75416666666666676</v>
      </c>
      <c r="AA274" s="50">
        <v>4.7222222222222221E-2</v>
      </c>
      <c r="AD274" s="37">
        <v>20788</v>
      </c>
      <c r="AE274" s="93">
        <f t="shared" si="31"/>
        <v>20.788</v>
      </c>
      <c r="AF274">
        <v>14.54</v>
      </c>
      <c r="AG274" s="103">
        <f t="shared" si="32"/>
        <v>14</v>
      </c>
      <c r="AH274" s="37">
        <f t="shared" si="33"/>
        <v>20.788</v>
      </c>
      <c r="AJ274" s="97"/>
      <c r="AN274" s="39"/>
      <c r="AO274" s="39"/>
      <c r="AP274" s="47"/>
      <c r="AR274" s="38"/>
      <c r="AS274" s="49"/>
      <c r="AU274" s="97"/>
      <c r="AY274" s="39"/>
      <c r="AZ274" s="39"/>
      <c r="BA274" s="47"/>
      <c r="BC274" s="38"/>
      <c r="BD274" s="49"/>
    </row>
    <row r="275" spans="22:56" ht="16" x14ac:dyDescent="0.4">
      <c r="V275" s="97">
        <v>45926</v>
      </c>
      <c r="W275" s="16">
        <v>200693</v>
      </c>
      <c r="X275" s="101" t="s">
        <v>36</v>
      </c>
      <c r="Y275" s="105"/>
      <c r="Z275" s="50">
        <v>0.92083333333333339</v>
      </c>
      <c r="AA275" s="50">
        <v>0.10625</v>
      </c>
      <c r="AD275" s="37">
        <v>20918</v>
      </c>
      <c r="AE275" s="93">
        <f t="shared" si="31"/>
        <v>20.917999999999999</v>
      </c>
      <c r="AF275">
        <v>15.99</v>
      </c>
      <c r="AG275" s="103">
        <f t="shared" si="32"/>
        <v>14</v>
      </c>
      <c r="AH275" s="37">
        <f t="shared" si="33"/>
        <v>20.917999999999999</v>
      </c>
      <c r="AJ275" s="97"/>
      <c r="AN275" s="39"/>
      <c r="AO275" s="39"/>
      <c r="AP275" s="47"/>
      <c r="AR275" s="38"/>
      <c r="AS275" s="49"/>
      <c r="AU275" s="97"/>
      <c r="AY275" s="39"/>
      <c r="AZ275" s="39"/>
      <c r="BA275" s="47"/>
      <c r="BC275" s="38"/>
      <c r="BD275" s="49"/>
    </row>
    <row r="276" spans="22:56" ht="16" x14ac:dyDescent="0.4">
      <c r="V276" s="97">
        <v>45926</v>
      </c>
      <c r="W276" s="16">
        <v>200702</v>
      </c>
      <c r="X276" s="101" t="s">
        <v>36</v>
      </c>
      <c r="Y276" s="105"/>
      <c r="Z276" s="50">
        <v>0.96736111111111101</v>
      </c>
      <c r="AA276" s="50">
        <v>0.15694444444444444</v>
      </c>
      <c r="AD276" s="37">
        <v>21716</v>
      </c>
      <c r="AE276" s="93">
        <f t="shared" si="31"/>
        <v>21.716000000000001</v>
      </c>
      <c r="AF276">
        <v>15.02</v>
      </c>
      <c r="AG276" s="103">
        <f t="shared" si="32"/>
        <v>14</v>
      </c>
      <c r="AH276" s="37">
        <f t="shared" si="33"/>
        <v>21.716000000000001</v>
      </c>
      <c r="AJ276" s="97"/>
      <c r="AN276" s="39"/>
      <c r="AO276" s="39"/>
      <c r="AP276" s="47"/>
      <c r="AR276" s="38"/>
      <c r="AS276" s="49"/>
      <c r="AU276" s="97"/>
      <c r="AY276" s="39"/>
      <c r="AZ276" s="39"/>
      <c r="BA276" s="47"/>
      <c r="BC276" s="38"/>
      <c r="BD276" s="49"/>
    </row>
    <row r="277" spans="22:56" ht="16" x14ac:dyDescent="0.4">
      <c r="V277" s="97">
        <v>45926</v>
      </c>
      <c r="W277" s="16">
        <v>200710</v>
      </c>
      <c r="X277" s="101" t="s">
        <v>36</v>
      </c>
      <c r="Y277" s="105"/>
      <c r="Z277" s="50">
        <v>0.92083333333333339</v>
      </c>
      <c r="AA277" s="50">
        <v>0.2076388888888889</v>
      </c>
      <c r="AD277" s="37">
        <v>21538</v>
      </c>
      <c r="AE277" s="93">
        <f t="shared" si="31"/>
        <v>21.538</v>
      </c>
      <c r="AF277">
        <v>14.09</v>
      </c>
      <c r="AG277" s="103">
        <f t="shared" si="32"/>
        <v>14</v>
      </c>
      <c r="AH277" s="37">
        <f t="shared" si="33"/>
        <v>21.538</v>
      </c>
      <c r="AJ277" s="97"/>
      <c r="AN277" s="39"/>
      <c r="AO277" s="39"/>
      <c r="AP277" s="47"/>
      <c r="AR277" s="38"/>
      <c r="AS277" s="49"/>
      <c r="AU277" s="97"/>
      <c r="AY277" s="39"/>
      <c r="AZ277" s="39"/>
      <c r="BA277" s="47"/>
      <c r="BC277" s="38"/>
      <c r="BD277" s="49"/>
    </row>
    <row r="278" spans="22:56" ht="16" x14ac:dyDescent="0.4">
      <c r="V278" s="97">
        <v>45926</v>
      </c>
      <c r="W278" s="16">
        <v>200717</v>
      </c>
      <c r="X278" s="101" t="s">
        <v>36</v>
      </c>
      <c r="Y278" s="105"/>
      <c r="Z278" s="50">
        <v>0.19381944444444443</v>
      </c>
      <c r="AA278" s="50">
        <v>0.26756944444444447</v>
      </c>
      <c r="AD278" s="37">
        <v>17850</v>
      </c>
      <c r="AE278" s="93">
        <f t="shared" si="31"/>
        <v>17.850000000000001</v>
      </c>
      <c r="AF278">
        <v>15.13</v>
      </c>
      <c r="AG278" s="103">
        <f t="shared" si="32"/>
        <v>14</v>
      </c>
      <c r="AH278" s="37">
        <f t="shared" si="33"/>
        <v>17.850000000000001</v>
      </c>
      <c r="AJ278" s="97"/>
      <c r="AN278" s="39"/>
      <c r="AO278" s="39"/>
      <c r="AP278" s="47"/>
      <c r="AR278" s="38"/>
      <c r="AS278" s="49"/>
      <c r="AU278" s="97"/>
      <c r="AY278" s="39"/>
      <c r="AZ278" s="39"/>
      <c r="BA278" s="47"/>
      <c r="BC278" s="38"/>
      <c r="BD278" s="49"/>
    </row>
    <row r="279" spans="22:56" ht="16" x14ac:dyDescent="0.4">
      <c r="V279" s="97">
        <v>45926</v>
      </c>
      <c r="W279" s="16">
        <v>200733</v>
      </c>
      <c r="X279" s="101" t="s">
        <v>36</v>
      </c>
      <c r="Y279" s="105"/>
      <c r="Z279" s="50">
        <v>0.83739583333333334</v>
      </c>
      <c r="AA279" s="50">
        <v>0.31071759259259263</v>
      </c>
      <c r="AD279" s="37">
        <v>21250</v>
      </c>
      <c r="AE279" s="93">
        <f t="shared" si="31"/>
        <v>21.25</v>
      </c>
      <c r="AF279">
        <v>14.24</v>
      </c>
      <c r="AG279" s="103">
        <f t="shared" si="32"/>
        <v>14</v>
      </c>
      <c r="AH279" s="37">
        <f t="shared" si="33"/>
        <v>21.25</v>
      </c>
      <c r="AJ279" s="97"/>
      <c r="AN279" s="39"/>
      <c r="AO279" s="39"/>
      <c r="AP279" s="47"/>
      <c r="AR279" s="38"/>
      <c r="AS279" s="49"/>
      <c r="AU279" s="97"/>
      <c r="AY279" s="39"/>
      <c r="AZ279" s="39"/>
      <c r="BA279" s="47"/>
      <c r="BC279" s="38"/>
      <c r="BD279" s="49"/>
    </row>
    <row r="280" spans="22:56" ht="16" x14ac:dyDescent="0.4">
      <c r="V280" s="97">
        <v>45926</v>
      </c>
      <c r="W280" s="16">
        <v>200818</v>
      </c>
      <c r="X280" s="101" t="s">
        <v>36</v>
      </c>
      <c r="Y280" s="105"/>
      <c r="Z280" s="50">
        <v>0.19394675925925928</v>
      </c>
      <c r="AA280" s="50">
        <v>0.37107638888888889</v>
      </c>
      <c r="AD280" s="37">
        <v>22262</v>
      </c>
      <c r="AE280" s="93">
        <f t="shared" si="31"/>
        <v>22.262</v>
      </c>
      <c r="AF280">
        <v>13.63</v>
      </c>
      <c r="AG280" s="103">
        <f t="shared" si="32"/>
        <v>13.63</v>
      </c>
      <c r="AH280" s="37">
        <f t="shared" si="33"/>
        <v>21.673647142857142</v>
      </c>
      <c r="AJ280" s="97"/>
      <c r="AN280" s="39"/>
      <c r="AO280" s="39"/>
      <c r="AP280" s="47"/>
      <c r="AR280" s="38"/>
      <c r="AS280" s="49"/>
      <c r="AU280" s="97"/>
      <c r="AY280" s="39"/>
      <c r="AZ280" s="39"/>
      <c r="BA280" s="47"/>
      <c r="BC280" s="38"/>
      <c r="BD280" s="49"/>
    </row>
    <row r="281" spans="22:56" ht="16" x14ac:dyDescent="0.4">
      <c r="V281" s="97">
        <v>45926</v>
      </c>
      <c r="W281" s="16">
        <v>200856</v>
      </c>
      <c r="X281" s="101" t="s">
        <v>36</v>
      </c>
      <c r="Y281" s="105"/>
      <c r="Z281" s="50">
        <v>0.34944444444444445</v>
      </c>
      <c r="AA281" s="50">
        <v>0.42826388888888883</v>
      </c>
      <c r="AD281" s="37">
        <v>22358</v>
      </c>
      <c r="AE281" s="93">
        <f t="shared" si="31"/>
        <v>22.358000000000001</v>
      </c>
      <c r="AF281">
        <v>13.7</v>
      </c>
      <c r="AG281" s="103">
        <f t="shared" si="32"/>
        <v>13.7</v>
      </c>
      <c r="AH281" s="37">
        <f t="shared" si="33"/>
        <v>21.878899999999998</v>
      </c>
      <c r="AJ281" s="97"/>
      <c r="AN281" s="39"/>
      <c r="AO281" s="39"/>
      <c r="AP281" s="47"/>
      <c r="AR281" s="38"/>
      <c r="AS281" s="49"/>
      <c r="AU281" s="97"/>
      <c r="AY281" s="39"/>
      <c r="AZ281" s="39"/>
      <c r="BA281" s="47"/>
      <c r="BC281" s="38"/>
      <c r="BD281" s="49"/>
    </row>
    <row r="282" spans="22:56" ht="16" x14ac:dyDescent="0.4">
      <c r="V282" s="97">
        <v>45926</v>
      </c>
      <c r="W282" s="16">
        <v>200906</v>
      </c>
      <c r="X282" s="101" t="s">
        <v>36</v>
      </c>
      <c r="Y282" s="105"/>
      <c r="Z282" s="50">
        <v>0.96762731481481479</v>
      </c>
      <c r="AA282" s="50">
        <v>0.51158564814814811</v>
      </c>
      <c r="AD282" s="37">
        <v>22440</v>
      </c>
      <c r="AE282" s="93">
        <f t="shared" si="31"/>
        <v>22.44</v>
      </c>
      <c r="AF282">
        <v>14.45</v>
      </c>
      <c r="AG282" s="103">
        <f t="shared" si="32"/>
        <v>14</v>
      </c>
      <c r="AH282" s="37">
        <f t="shared" si="33"/>
        <v>22.44</v>
      </c>
      <c r="AJ282" s="97"/>
      <c r="AN282" s="39"/>
      <c r="AO282" s="39"/>
      <c r="AP282" s="47"/>
      <c r="AR282" s="38"/>
      <c r="AS282" s="49"/>
      <c r="AU282" s="97"/>
      <c r="AY282" s="39"/>
      <c r="AZ282" s="39"/>
      <c r="BA282" s="47"/>
      <c r="BC282" s="38"/>
      <c r="BD282" s="49"/>
    </row>
    <row r="283" spans="22:56" ht="16" x14ac:dyDescent="0.4">
      <c r="V283" s="97">
        <v>45926</v>
      </c>
      <c r="W283" s="16">
        <v>200934</v>
      </c>
      <c r="X283" s="101" t="s">
        <v>36</v>
      </c>
      <c r="Y283" s="105"/>
      <c r="Z283" s="50">
        <v>0.34932870370370367</v>
      </c>
      <c r="AA283" s="50">
        <v>0.56724537037037037</v>
      </c>
      <c r="AD283" s="37">
        <v>21588</v>
      </c>
      <c r="AE283" s="93">
        <f t="shared" si="31"/>
        <v>21.588000000000001</v>
      </c>
      <c r="AF283">
        <v>14.13</v>
      </c>
      <c r="AG283" s="103">
        <f t="shared" si="32"/>
        <v>14</v>
      </c>
      <c r="AH283" s="37">
        <f t="shared" si="33"/>
        <v>21.588000000000001</v>
      </c>
      <c r="AJ283" s="97"/>
      <c r="AN283" s="39"/>
      <c r="AO283" s="39"/>
      <c r="AP283" s="47"/>
      <c r="AR283" s="38"/>
      <c r="AS283" s="49"/>
      <c r="AU283" s="97"/>
      <c r="AY283" s="39"/>
      <c r="AZ283" s="39"/>
      <c r="BA283" s="47"/>
      <c r="BC283" s="38"/>
      <c r="BD283" s="49"/>
    </row>
    <row r="284" spans="22:56" ht="16" x14ac:dyDescent="0.4">
      <c r="V284" s="97">
        <v>45926</v>
      </c>
      <c r="W284" s="16">
        <v>200998</v>
      </c>
      <c r="X284" s="101" t="s">
        <v>36</v>
      </c>
      <c r="Y284" s="105"/>
      <c r="Z284" s="50">
        <v>0.55379629629629623</v>
      </c>
      <c r="AA284" s="50">
        <v>0.62509259259259264</v>
      </c>
      <c r="AD284" s="37">
        <v>23494</v>
      </c>
      <c r="AE284" s="93">
        <f t="shared" si="31"/>
        <v>23.494</v>
      </c>
      <c r="AF284">
        <v>13.7</v>
      </c>
      <c r="AG284" s="103">
        <f t="shared" si="32"/>
        <v>13.7</v>
      </c>
      <c r="AH284" s="37">
        <f t="shared" si="33"/>
        <v>22.990557142857142</v>
      </c>
      <c r="AJ284" s="97"/>
      <c r="AN284" s="39"/>
      <c r="AO284" s="39"/>
      <c r="AP284" s="47"/>
      <c r="AR284" s="38"/>
      <c r="AS284" s="49"/>
      <c r="AU284" s="97"/>
      <c r="AY284" s="39"/>
      <c r="AZ284" s="39"/>
      <c r="BA284" s="47"/>
      <c r="BC284" s="38"/>
      <c r="BD284" s="49"/>
    </row>
    <row r="285" spans="22:56" ht="16" x14ac:dyDescent="0.4">
      <c r="V285" s="97">
        <v>45926</v>
      </c>
      <c r="W285" s="16">
        <v>201025</v>
      </c>
      <c r="X285" s="101" t="s">
        <v>36</v>
      </c>
      <c r="Y285" s="105"/>
      <c r="Z285" s="50">
        <v>0.34918981481481487</v>
      </c>
      <c r="AA285" s="50">
        <v>0.68461805555555555</v>
      </c>
      <c r="AD285" s="37">
        <v>21426</v>
      </c>
      <c r="AE285" s="93">
        <f t="shared" si="31"/>
        <v>21.425999999999998</v>
      </c>
      <c r="AF285">
        <v>14.06</v>
      </c>
      <c r="AG285" s="103">
        <f t="shared" si="32"/>
        <v>14</v>
      </c>
      <c r="AH285" s="37">
        <f t="shared" si="33"/>
        <v>21.425999999999998</v>
      </c>
      <c r="AJ285" s="97"/>
      <c r="AN285" s="39"/>
      <c r="AO285" s="39"/>
      <c r="AP285" s="47"/>
      <c r="AR285" s="38"/>
      <c r="AS285" s="49"/>
      <c r="AU285" s="97"/>
      <c r="AY285" s="39"/>
      <c r="AZ285" s="39"/>
      <c r="BA285" s="47"/>
      <c r="BC285" s="38"/>
      <c r="BD285" s="49"/>
    </row>
    <row r="286" spans="22:56" ht="16" x14ac:dyDescent="0.4">
      <c r="V286" s="97">
        <v>45926</v>
      </c>
      <c r="W286" s="16">
        <v>201044</v>
      </c>
      <c r="X286" s="101" t="s">
        <v>36</v>
      </c>
      <c r="Y286" s="105"/>
      <c r="Z286" s="50">
        <v>0.55359953703703701</v>
      </c>
      <c r="AA286" s="50">
        <v>0.72438657407407403</v>
      </c>
      <c r="AD286" s="37">
        <v>22046</v>
      </c>
      <c r="AE286" s="93">
        <f t="shared" si="31"/>
        <v>22.045999999999999</v>
      </c>
      <c r="AF286">
        <v>15.63</v>
      </c>
      <c r="AG286" s="103">
        <f t="shared" si="32"/>
        <v>14</v>
      </c>
      <c r="AH286" s="37">
        <f t="shared" si="33"/>
        <v>22.045999999999999</v>
      </c>
      <c r="AJ286" s="97"/>
      <c r="AN286" s="39"/>
      <c r="AP286" s="47"/>
      <c r="AR286" s="38"/>
      <c r="AS286" s="49"/>
      <c r="AU286" s="97"/>
      <c r="AY286" s="39"/>
      <c r="BA286" s="47"/>
      <c r="BC286" s="38"/>
      <c r="BD286" s="49"/>
    </row>
    <row r="287" spans="22:56" ht="16" x14ac:dyDescent="0.4">
      <c r="V287" s="97">
        <v>45926</v>
      </c>
      <c r="W287" s="16">
        <v>201071</v>
      </c>
      <c r="X287" s="101" t="s">
        <v>36</v>
      </c>
      <c r="Y287" s="105"/>
      <c r="Z287" s="50">
        <v>0.72291666666666676</v>
      </c>
      <c r="AA287" s="50">
        <v>0.79652777777777783</v>
      </c>
      <c r="AD287" s="37">
        <v>22888</v>
      </c>
      <c r="AE287" s="93">
        <f t="shared" si="31"/>
        <v>22.888000000000002</v>
      </c>
      <c r="AF287">
        <v>16.690000000000001</v>
      </c>
      <c r="AG287" s="103">
        <f t="shared" si="32"/>
        <v>14</v>
      </c>
      <c r="AH287" s="37">
        <f t="shared" si="33"/>
        <v>22.888000000000002</v>
      </c>
      <c r="AJ287" s="97"/>
      <c r="AN287" s="39"/>
      <c r="AO287" s="39"/>
      <c r="AP287" s="47"/>
      <c r="AR287" s="38"/>
      <c r="AS287" s="49"/>
      <c r="AU287" s="97"/>
      <c r="AY287" s="39"/>
      <c r="AZ287" s="39"/>
      <c r="BA287" s="47"/>
      <c r="BC287" s="38"/>
      <c r="BD287" s="49"/>
    </row>
    <row r="288" spans="22:56" ht="16" x14ac:dyDescent="0.4">
      <c r="V288" s="97">
        <v>45926</v>
      </c>
      <c r="W288" s="16">
        <v>201098</v>
      </c>
      <c r="X288" s="101" t="s">
        <v>36</v>
      </c>
      <c r="Y288" s="105"/>
      <c r="Z288" s="50">
        <v>0.76111111111111107</v>
      </c>
      <c r="AA288" s="50">
        <v>0.8520833333333333</v>
      </c>
      <c r="AD288" s="37">
        <v>22294</v>
      </c>
      <c r="AE288" s="93">
        <f t="shared" si="31"/>
        <v>22.294</v>
      </c>
      <c r="AF288">
        <v>15.88</v>
      </c>
      <c r="AG288" s="103">
        <f t="shared" si="32"/>
        <v>14</v>
      </c>
      <c r="AH288" s="37">
        <f t="shared" si="33"/>
        <v>22.294</v>
      </c>
      <c r="AJ288" s="97"/>
      <c r="AN288" s="39"/>
      <c r="AO288" s="39"/>
      <c r="AP288" s="47"/>
      <c r="AR288" s="38"/>
      <c r="AS288" s="49"/>
      <c r="AU288" s="97"/>
      <c r="AY288" s="39"/>
      <c r="AZ288" s="39"/>
      <c r="BA288" s="47"/>
      <c r="BC288" s="38"/>
      <c r="BD288" s="49"/>
    </row>
    <row r="289" spans="22:56" ht="16" x14ac:dyDescent="0.4">
      <c r="V289" s="97">
        <v>45926</v>
      </c>
      <c r="W289" s="16">
        <v>201119</v>
      </c>
      <c r="X289" s="101" t="s">
        <v>36</v>
      </c>
      <c r="Y289" s="105"/>
      <c r="Z289" s="50">
        <v>0.72291666666666676</v>
      </c>
      <c r="AA289" s="50">
        <v>0.90555555555555556</v>
      </c>
      <c r="AD289" s="37">
        <v>22444</v>
      </c>
      <c r="AE289" s="93">
        <f t="shared" si="31"/>
        <v>22.443999999999999</v>
      </c>
      <c r="AF289">
        <v>14.38</v>
      </c>
      <c r="AG289" s="103">
        <f t="shared" si="32"/>
        <v>14</v>
      </c>
      <c r="AH289" s="37">
        <f t="shared" si="33"/>
        <v>22.443999999999999</v>
      </c>
      <c r="AJ289" s="97"/>
      <c r="AN289" s="39"/>
      <c r="AO289" s="39"/>
      <c r="AP289" s="47"/>
      <c r="AR289" s="38"/>
      <c r="AS289" s="49"/>
      <c r="AU289" s="97"/>
      <c r="AY289" s="39"/>
      <c r="AZ289" s="39"/>
      <c r="BA289" s="47"/>
      <c r="BC289" s="38"/>
      <c r="BD289" s="49"/>
    </row>
    <row r="290" spans="22:56" ht="16" x14ac:dyDescent="0.4">
      <c r="V290" s="97">
        <v>45926</v>
      </c>
      <c r="W290" s="16">
        <v>201134</v>
      </c>
      <c r="X290" s="101" t="s">
        <v>36</v>
      </c>
      <c r="Y290" s="105"/>
      <c r="Z290" s="50">
        <v>0.55277777777777781</v>
      </c>
      <c r="AA290" s="50">
        <v>0.96180555555555547</v>
      </c>
      <c r="AD290" s="37">
        <v>21730</v>
      </c>
      <c r="AE290" s="93">
        <f t="shared" si="31"/>
        <v>21.73</v>
      </c>
      <c r="AF290">
        <v>15.05</v>
      </c>
      <c r="AG290" s="103">
        <f t="shared" si="32"/>
        <v>14</v>
      </c>
      <c r="AH290" s="37">
        <f t="shared" si="33"/>
        <v>21.73</v>
      </c>
      <c r="AJ290" s="97"/>
      <c r="AN290" s="39"/>
      <c r="AO290" s="39"/>
      <c r="AP290" s="47"/>
      <c r="AR290" s="38"/>
      <c r="AS290" s="38"/>
      <c r="AU290" s="97"/>
      <c r="AY290" s="39"/>
      <c r="AZ290" s="39"/>
      <c r="BA290" s="47"/>
      <c r="BC290" s="38"/>
      <c r="BD290" s="38"/>
    </row>
    <row r="291" spans="22:56" ht="16" x14ac:dyDescent="0.4">
      <c r="V291" s="97">
        <v>45927</v>
      </c>
      <c r="W291" s="16">
        <v>201145</v>
      </c>
      <c r="X291" s="101" t="s">
        <v>36</v>
      </c>
      <c r="Y291" s="105"/>
      <c r="Z291" s="102">
        <v>0.72291666666666676</v>
      </c>
      <c r="AA291" s="102">
        <v>3.5416666666666666E-2</v>
      </c>
      <c r="AB291" s="16"/>
      <c r="AC291" s="16"/>
      <c r="AD291" s="93">
        <v>22328</v>
      </c>
      <c r="AE291" s="93">
        <f t="shared" si="31"/>
        <v>22.327999999999999</v>
      </c>
      <c r="AF291" s="16">
        <v>14.27</v>
      </c>
      <c r="AG291" s="103">
        <f t="shared" si="32"/>
        <v>14</v>
      </c>
      <c r="AH291" s="37">
        <f t="shared" si="33"/>
        <v>22.327999999999999</v>
      </c>
      <c r="AJ291" s="97"/>
      <c r="AN291" s="39"/>
      <c r="AO291" s="39"/>
      <c r="AP291" s="47"/>
      <c r="AR291" s="38"/>
      <c r="AS291" s="38"/>
      <c r="AU291" s="97"/>
      <c r="AY291" s="39"/>
      <c r="AZ291" s="39"/>
      <c r="BA291" s="47"/>
      <c r="BC291" s="38"/>
      <c r="BD291" s="38"/>
    </row>
    <row r="292" spans="22:56" ht="16" x14ac:dyDescent="0.4">
      <c r="V292" s="97">
        <v>45927</v>
      </c>
      <c r="W292" s="16">
        <v>201158</v>
      </c>
      <c r="X292" s="101" t="s">
        <v>36</v>
      </c>
      <c r="Y292" s="105"/>
      <c r="Z292" s="102">
        <v>0.76111111111111107</v>
      </c>
      <c r="AA292" s="102">
        <v>8.7500000000000008E-2</v>
      </c>
      <c r="AB292" s="16"/>
      <c r="AC292" s="16"/>
      <c r="AD292" s="93">
        <v>21472</v>
      </c>
      <c r="AE292" s="93">
        <f t="shared" si="31"/>
        <v>21.472000000000001</v>
      </c>
      <c r="AF292" s="16">
        <v>14.91</v>
      </c>
      <c r="AG292" s="103">
        <f t="shared" si="32"/>
        <v>14</v>
      </c>
      <c r="AH292" s="37">
        <f t="shared" si="33"/>
        <v>21.472000000000001</v>
      </c>
      <c r="AJ292" s="97"/>
      <c r="AN292" s="39"/>
      <c r="AO292" s="39"/>
      <c r="AP292" s="47"/>
      <c r="AR292" s="38"/>
      <c r="AS292" s="38"/>
      <c r="AU292" s="97"/>
      <c r="AY292" s="39"/>
      <c r="AZ292" s="39"/>
      <c r="BA292" s="47"/>
      <c r="BC292" s="38"/>
      <c r="BD292" s="38"/>
    </row>
    <row r="293" spans="22:56" ht="16" x14ac:dyDescent="0.4">
      <c r="V293" s="97">
        <v>45927</v>
      </c>
      <c r="W293" s="16">
        <v>201163</v>
      </c>
      <c r="X293" s="101" t="s">
        <v>36</v>
      </c>
      <c r="Y293" s="105"/>
      <c r="Z293" s="102">
        <v>7.4305555555555555E-2</v>
      </c>
      <c r="AA293" s="102">
        <v>0.1423611111111111</v>
      </c>
      <c r="AB293" s="16"/>
      <c r="AC293" s="16"/>
      <c r="AD293" s="93">
        <v>22112</v>
      </c>
      <c r="AE293" s="93">
        <f t="shared" si="31"/>
        <v>22.111999999999998</v>
      </c>
      <c r="AF293" s="16">
        <v>15.81</v>
      </c>
      <c r="AG293" s="103">
        <f t="shared" si="32"/>
        <v>14</v>
      </c>
      <c r="AH293" s="37">
        <f t="shared" si="33"/>
        <v>22.111999999999998</v>
      </c>
      <c r="AJ293" s="97"/>
      <c r="AN293" s="39"/>
      <c r="AO293" s="39"/>
      <c r="AP293" s="47"/>
      <c r="AR293" s="38"/>
      <c r="AS293" s="38"/>
      <c r="AU293" s="97"/>
      <c r="AY293" s="39"/>
      <c r="AZ293" s="39"/>
      <c r="BA293" s="47"/>
      <c r="BC293" s="38"/>
      <c r="BD293" s="38"/>
    </row>
    <row r="294" spans="22:56" ht="16" x14ac:dyDescent="0.4">
      <c r="V294" s="97">
        <v>45927</v>
      </c>
      <c r="W294" s="16">
        <v>201173</v>
      </c>
      <c r="X294" s="101" t="s">
        <v>36</v>
      </c>
      <c r="Y294" s="105"/>
      <c r="Z294" s="102">
        <v>6.9444444444444447E-4</v>
      </c>
      <c r="AA294" s="102">
        <v>0.19166666666666665</v>
      </c>
      <c r="AB294" s="16"/>
      <c r="AC294" s="16"/>
      <c r="AD294" s="93">
        <v>22622</v>
      </c>
      <c r="AE294" s="93">
        <f t="shared" si="31"/>
        <v>22.622</v>
      </c>
      <c r="AF294" s="16">
        <v>14.96</v>
      </c>
      <c r="AG294" s="103">
        <f t="shared" si="32"/>
        <v>14</v>
      </c>
      <c r="AH294" s="37">
        <f t="shared" si="33"/>
        <v>22.621999999999996</v>
      </c>
      <c r="AJ294" s="97"/>
      <c r="AN294" s="39"/>
      <c r="AO294" s="39"/>
      <c r="AP294" s="47"/>
      <c r="AR294" s="38"/>
      <c r="AS294" s="38"/>
      <c r="AU294" s="97"/>
      <c r="AY294" s="39"/>
      <c r="AZ294" s="39"/>
      <c r="BA294" s="47"/>
      <c r="BC294" s="38"/>
      <c r="BD294" s="38"/>
    </row>
    <row r="295" spans="22:56" ht="16" x14ac:dyDescent="0.4">
      <c r="V295" s="97">
        <v>45927</v>
      </c>
      <c r="W295" s="16">
        <v>201212</v>
      </c>
      <c r="X295" s="101" t="s">
        <v>36</v>
      </c>
      <c r="Y295" s="105"/>
      <c r="Z295" s="102">
        <v>7.4965277777777783E-2</v>
      </c>
      <c r="AA295" s="102">
        <v>0.32525462962962964</v>
      </c>
      <c r="AB295" s="16"/>
      <c r="AC295" s="16"/>
      <c r="AD295" s="93">
        <v>18672</v>
      </c>
      <c r="AE295" s="93">
        <f t="shared" si="31"/>
        <v>18.672000000000001</v>
      </c>
      <c r="AF295" s="16">
        <v>13.09</v>
      </c>
      <c r="AG295" s="103">
        <f t="shared" si="32"/>
        <v>13.09</v>
      </c>
      <c r="AH295" s="37">
        <f t="shared" si="33"/>
        <v>17.458320000000001</v>
      </c>
      <c r="AJ295" s="97"/>
      <c r="AN295" s="39"/>
      <c r="AP295" s="47"/>
      <c r="AR295" s="38"/>
      <c r="AS295" s="38"/>
      <c r="AU295" s="97"/>
      <c r="AY295" s="39"/>
      <c r="BA295" s="47"/>
      <c r="BC295" s="38"/>
      <c r="BD295" s="38"/>
    </row>
    <row r="296" spans="22:56" ht="16" x14ac:dyDescent="0.4">
      <c r="V296" s="97">
        <v>45927</v>
      </c>
      <c r="W296" s="16">
        <v>201266</v>
      </c>
      <c r="X296" s="101" t="s">
        <v>36</v>
      </c>
      <c r="Y296" s="105"/>
      <c r="Z296" s="102">
        <v>0.27391203703703704</v>
      </c>
      <c r="AA296" s="102">
        <v>0.39438657407407413</v>
      </c>
      <c r="AB296" s="16"/>
      <c r="AC296" s="16"/>
      <c r="AD296" s="93">
        <v>19774</v>
      </c>
      <c r="AE296" s="93">
        <f t="shared" si="31"/>
        <v>19.774000000000001</v>
      </c>
      <c r="AF296" s="16">
        <v>15.59</v>
      </c>
      <c r="AG296" s="103">
        <f t="shared" si="32"/>
        <v>14</v>
      </c>
      <c r="AH296" s="37">
        <f t="shared" si="33"/>
        <v>19.774000000000001</v>
      </c>
      <c r="AJ296" s="97"/>
      <c r="AN296" s="39"/>
      <c r="AO296" s="39"/>
      <c r="AP296" s="47"/>
      <c r="AR296" s="38"/>
      <c r="AS296" s="38"/>
      <c r="AU296" s="97"/>
      <c r="AY296" s="39"/>
      <c r="AZ296" s="39"/>
      <c r="BA296" s="47"/>
      <c r="BC296" s="38"/>
      <c r="BD296" s="38"/>
    </row>
    <row r="297" spans="22:56" ht="16" x14ac:dyDescent="0.4">
      <c r="V297" s="97">
        <v>45927</v>
      </c>
      <c r="W297" s="16">
        <v>201313</v>
      </c>
      <c r="X297" s="101" t="s">
        <v>36</v>
      </c>
      <c r="Y297" s="105"/>
      <c r="Z297" s="102">
        <v>7.4687500000000004E-2</v>
      </c>
      <c r="AA297" s="102">
        <v>0.44751157407407405</v>
      </c>
      <c r="AB297" s="16"/>
      <c r="AC297" s="16"/>
      <c r="AD297" s="93">
        <v>20274</v>
      </c>
      <c r="AE297" s="93">
        <f t="shared" si="31"/>
        <v>20.274000000000001</v>
      </c>
      <c r="AF297" s="16">
        <v>14.95</v>
      </c>
      <c r="AG297" s="103">
        <f t="shared" si="32"/>
        <v>14</v>
      </c>
      <c r="AH297" s="37">
        <f t="shared" si="33"/>
        <v>20.274000000000001</v>
      </c>
      <c r="AJ297" s="97"/>
      <c r="AN297" s="39"/>
      <c r="AO297" s="39"/>
      <c r="AP297" s="47"/>
      <c r="AR297" s="38"/>
      <c r="AS297" s="38"/>
      <c r="AU297" s="97"/>
      <c r="AY297" s="39"/>
      <c r="AZ297" s="39"/>
      <c r="BA297" s="47"/>
      <c r="BC297" s="38"/>
      <c r="BD297" s="38"/>
    </row>
    <row r="298" spans="22:56" ht="16" x14ac:dyDescent="0.4">
      <c r="V298" s="97">
        <v>45927</v>
      </c>
      <c r="W298" s="16">
        <v>201340</v>
      </c>
      <c r="X298" s="101" t="s">
        <v>36</v>
      </c>
      <c r="Y298" s="105"/>
      <c r="Z298" s="102">
        <v>0.88714120370370375</v>
      </c>
      <c r="AA298" s="102">
        <v>0.53350694444444446</v>
      </c>
      <c r="AB298" s="16"/>
      <c r="AC298" s="16"/>
      <c r="AD298" s="93">
        <v>21540</v>
      </c>
      <c r="AE298" s="93">
        <f t="shared" si="31"/>
        <v>21.54</v>
      </c>
      <c r="AF298" s="16">
        <v>14.41</v>
      </c>
      <c r="AG298" s="103">
        <f t="shared" si="32"/>
        <v>14</v>
      </c>
      <c r="AH298" s="37">
        <f t="shared" si="33"/>
        <v>21.54</v>
      </c>
      <c r="AJ298" s="97"/>
      <c r="AN298" s="39"/>
      <c r="AO298" s="39"/>
      <c r="AP298" s="47"/>
      <c r="AR298" s="38"/>
      <c r="AS298" s="38"/>
      <c r="AU298" s="97"/>
      <c r="AY298" s="39"/>
      <c r="AZ298" s="39"/>
      <c r="BA298" s="47"/>
      <c r="BC298" s="38"/>
      <c r="BD298" s="38"/>
    </row>
    <row r="299" spans="22:56" ht="16" x14ac:dyDescent="0.4">
      <c r="V299" s="97">
        <v>45927</v>
      </c>
      <c r="W299" s="16">
        <v>201374</v>
      </c>
      <c r="X299" s="101" t="s">
        <v>36</v>
      </c>
      <c r="Y299" s="105"/>
      <c r="Z299" s="102">
        <v>2.1238425925925924E-2</v>
      </c>
      <c r="AA299" s="102">
        <v>0.58884259259259253</v>
      </c>
      <c r="AB299" s="16"/>
      <c r="AC299" s="16"/>
      <c r="AD299" s="93">
        <v>20918</v>
      </c>
      <c r="AE299" s="93">
        <f t="shared" si="31"/>
        <v>20.917999999999999</v>
      </c>
      <c r="AF299" s="16">
        <v>14.56</v>
      </c>
      <c r="AG299" s="103">
        <f t="shared" si="32"/>
        <v>14</v>
      </c>
      <c r="AH299" s="37">
        <f t="shared" si="33"/>
        <v>20.917999999999999</v>
      </c>
      <c r="AJ299" s="97"/>
      <c r="AO299" s="39"/>
      <c r="AP299" s="47"/>
      <c r="AR299" s="38"/>
      <c r="AS299" s="38"/>
      <c r="AU299" s="97"/>
      <c r="AZ299" s="39"/>
      <c r="BA299" s="47"/>
      <c r="BC299" s="38"/>
      <c r="BD299" s="38"/>
    </row>
    <row r="300" spans="22:56" ht="16" x14ac:dyDescent="0.4">
      <c r="V300" s="97">
        <v>45927</v>
      </c>
      <c r="W300" s="16">
        <v>201401</v>
      </c>
      <c r="X300" s="101" t="s">
        <v>36</v>
      </c>
      <c r="Y300" s="105"/>
      <c r="Z300" s="102">
        <v>0.27371527777777777</v>
      </c>
      <c r="AA300" s="102">
        <v>0.64559027777777778</v>
      </c>
      <c r="AB300" s="16"/>
      <c r="AC300" s="16"/>
      <c r="AD300" s="93">
        <v>19744</v>
      </c>
      <c r="AE300" s="93">
        <f t="shared" si="31"/>
        <v>19.744</v>
      </c>
      <c r="AF300" s="16">
        <v>16.41</v>
      </c>
      <c r="AG300" s="103">
        <f t="shared" si="32"/>
        <v>14</v>
      </c>
      <c r="AH300" s="37">
        <f t="shared" si="33"/>
        <v>19.744</v>
      </c>
      <c r="AJ300" s="97"/>
      <c r="AN300" s="39"/>
      <c r="AO300" s="39"/>
      <c r="AP300" s="47"/>
      <c r="AR300" s="38"/>
      <c r="AS300" s="38"/>
      <c r="AU300" s="97"/>
      <c r="AY300" s="39"/>
      <c r="AZ300" s="39"/>
      <c r="BA300" s="47"/>
      <c r="BC300" s="38"/>
      <c r="BD300" s="38"/>
    </row>
    <row r="301" spans="22:56" ht="16" x14ac:dyDescent="0.4">
      <c r="V301" s="97">
        <v>45927</v>
      </c>
      <c r="W301" s="16">
        <v>201428</v>
      </c>
      <c r="X301" s="101" t="s">
        <v>36</v>
      </c>
      <c r="Y301" s="105"/>
      <c r="Z301" s="102">
        <v>0.6410069444444445</v>
      </c>
      <c r="AA301" s="102">
        <v>0.70376157407407414</v>
      </c>
      <c r="AB301" s="16"/>
      <c r="AC301" s="16"/>
      <c r="AD301" s="93">
        <v>19612</v>
      </c>
      <c r="AE301" s="93">
        <f t="shared" si="31"/>
        <v>19.611999999999998</v>
      </c>
      <c r="AF301" s="16">
        <v>15.38</v>
      </c>
      <c r="AG301" s="103">
        <f t="shared" si="32"/>
        <v>14</v>
      </c>
      <c r="AH301" s="37">
        <f t="shared" si="33"/>
        <v>19.611999999999998</v>
      </c>
      <c r="AJ301" s="97"/>
      <c r="AN301" s="39"/>
      <c r="AO301" s="39"/>
      <c r="AP301" s="47"/>
      <c r="AR301" s="38"/>
      <c r="AS301" s="38"/>
      <c r="AU301" s="97"/>
      <c r="AY301" s="39"/>
      <c r="AZ301" s="39"/>
      <c r="BA301" s="47"/>
      <c r="BC301" s="38"/>
      <c r="BD301" s="38"/>
    </row>
    <row r="302" spans="22:56" ht="16" x14ac:dyDescent="0.4">
      <c r="V302" s="97">
        <v>45927</v>
      </c>
      <c r="W302" s="16">
        <v>201439</v>
      </c>
      <c r="X302" s="101" t="s">
        <v>36</v>
      </c>
      <c r="Y302" s="105"/>
      <c r="Z302" s="102">
        <v>0.73611111111111116</v>
      </c>
      <c r="AA302" s="102"/>
      <c r="AB302" s="16"/>
      <c r="AC302" s="16"/>
      <c r="AD302" s="105">
        <v>17427</v>
      </c>
      <c r="AE302" s="93">
        <f t="shared" si="31"/>
        <v>17.427</v>
      </c>
      <c r="AF302" s="16">
        <v>15.38</v>
      </c>
      <c r="AG302" s="103">
        <f t="shared" si="32"/>
        <v>14</v>
      </c>
      <c r="AH302" s="37">
        <f t="shared" si="33"/>
        <v>17.427</v>
      </c>
      <c r="AJ302" s="97"/>
      <c r="AN302" s="39"/>
      <c r="AO302" s="39"/>
      <c r="AP302" s="47"/>
      <c r="AR302" s="38"/>
      <c r="AS302" s="38"/>
      <c r="AU302" s="97"/>
      <c r="AY302" s="39"/>
      <c r="AZ302" s="39"/>
      <c r="BA302" s="47"/>
      <c r="BC302" s="38"/>
      <c r="BD302" s="38"/>
    </row>
    <row r="303" spans="22:56" ht="16" x14ac:dyDescent="0.4">
      <c r="V303" s="97">
        <v>45927</v>
      </c>
      <c r="W303" s="16">
        <v>201465</v>
      </c>
      <c r="X303" s="101" t="s">
        <v>36</v>
      </c>
      <c r="Y303" s="107"/>
      <c r="Z303" s="102">
        <v>0.64097222222222217</v>
      </c>
      <c r="AA303" s="102">
        <v>0.82500000000000007</v>
      </c>
      <c r="AB303" s="16"/>
      <c r="AC303" s="16"/>
      <c r="AD303" s="105">
        <v>21222</v>
      </c>
      <c r="AE303" s="93">
        <f t="shared" si="31"/>
        <v>21.222000000000001</v>
      </c>
      <c r="AF303" s="16">
        <v>15.16</v>
      </c>
      <c r="AG303" s="103">
        <f t="shared" si="32"/>
        <v>14</v>
      </c>
      <c r="AH303" s="37">
        <f t="shared" si="33"/>
        <v>21.222000000000001</v>
      </c>
      <c r="AJ303" s="97"/>
      <c r="AK303" s="34"/>
      <c r="AN303" s="39"/>
      <c r="AO303" s="39"/>
      <c r="AP303" s="47"/>
      <c r="AR303" s="38"/>
      <c r="AS303" s="38"/>
      <c r="AU303" s="97"/>
      <c r="AV303" s="34"/>
      <c r="AY303" s="39"/>
      <c r="AZ303" s="39"/>
      <c r="BA303" s="47"/>
      <c r="BC303" s="38"/>
      <c r="BD303" s="38"/>
    </row>
    <row r="304" spans="22:56" ht="16" x14ac:dyDescent="0.4">
      <c r="V304" s="97">
        <v>45927</v>
      </c>
      <c r="W304" s="16">
        <v>201486</v>
      </c>
      <c r="X304" s="101" t="s">
        <v>36</v>
      </c>
      <c r="Y304" s="107"/>
      <c r="Z304" s="102">
        <v>0.69236111111111109</v>
      </c>
      <c r="AA304" s="102">
        <v>0.88888888888888884</v>
      </c>
      <c r="AB304" s="16"/>
      <c r="AC304" s="16"/>
      <c r="AD304" s="105">
        <v>21062</v>
      </c>
      <c r="AE304" s="93">
        <f t="shared" si="31"/>
        <v>21.062000000000001</v>
      </c>
      <c r="AF304" s="16">
        <v>14.88</v>
      </c>
      <c r="AG304" s="103">
        <f t="shared" si="32"/>
        <v>14</v>
      </c>
      <c r="AH304" s="37">
        <f t="shared" si="33"/>
        <v>21.062000000000001</v>
      </c>
      <c r="AJ304" s="97"/>
      <c r="AK304" s="34"/>
      <c r="AN304" s="39"/>
      <c r="AP304" s="47"/>
      <c r="AR304" s="38"/>
      <c r="AS304" s="38"/>
      <c r="AU304" s="97"/>
      <c r="AV304" s="34"/>
      <c r="AY304" s="39"/>
      <c r="BA304" s="47"/>
      <c r="BC304" s="38"/>
      <c r="BD304" s="38"/>
    </row>
    <row r="305" spans="22:56" ht="16" x14ac:dyDescent="0.4">
      <c r="V305" s="97">
        <v>45927</v>
      </c>
      <c r="W305" s="16">
        <v>201499</v>
      </c>
      <c r="X305" s="101" t="s">
        <v>36</v>
      </c>
      <c r="Y305" s="107"/>
      <c r="Z305" s="102">
        <v>0.64097222222222217</v>
      </c>
      <c r="AA305" s="102">
        <v>0.94652777777777775</v>
      </c>
      <c r="AB305" s="16"/>
      <c r="AC305" s="16"/>
      <c r="AD305" s="105">
        <v>20734</v>
      </c>
      <c r="AE305" s="93">
        <f t="shared" si="31"/>
        <v>20.734000000000002</v>
      </c>
      <c r="AF305" s="16">
        <v>15.73</v>
      </c>
      <c r="AG305" s="103">
        <f t="shared" si="32"/>
        <v>14</v>
      </c>
      <c r="AH305" s="37">
        <f t="shared" si="33"/>
        <v>20.734000000000002</v>
      </c>
      <c r="AJ305" s="97"/>
      <c r="AK305" s="34"/>
      <c r="AN305" s="39"/>
      <c r="AO305" s="39"/>
      <c r="AP305" s="47"/>
      <c r="AR305" s="38"/>
      <c r="AS305" s="84"/>
      <c r="AU305" s="97"/>
      <c r="AV305" s="34"/>
      <c r="AY305" s="39"/>
      <c r="AZ305" s="39"/>
      <c r="BA305" s="47"/>
      <c r="BC305" s="38"/>
      <c r="BD305" s="84"/>
    </row>
    <row r="306" spans="22:56" ht="16" x14ac:dyDescent="0.4">
      <c r="V306" s="97">
        <v>45928</v>
      </c>
      <c r="W306" s="16">
        <v>201513</v>
      </c>
      <c r="X306" s="101" t="s">
        <v>36</v>
      </c>
      <c r="Y306" s="107"/>
      <c r="Z306" s="102">
        <v>0.93125000000000002</v>
      </c>
      <c r="AA306" s="102">
        <v>3.888888888888889E-2</v>
      </c>
      <c r="AB306" s="16"/>
      <c r="AC306" s="16"/>
      <c r="AD306" s="105">
        <v>21804</v>
      </c>
      <c r="AE306" s="93">
        <f t="shared" si="31"/>
        <v>21.803999999999998</v>
      </c>
      <c r="AF306" s="16">
        <v>15.77</v>
      </c>
      <c r="AG306" s="103">
        <f t="shared" si="32"/>
        <v>14</v>
      </c>
      <c r="AH306" s="37">
        <f t="shared" si="33"/>
        <v>21.803999999999998</v>
      </c>
      <c r="AJ306" s="97"/>
      <c r="AK306" s="34"/>
      <c r="AN306" s="39"/>
      <c r="AO306" s="39"/>
      <c r="AP306" s="47"/>
      <c r="AR306" s="38"/>
      <c r="AS306" s="38"/>
      <c r="AU306" s="97"/>
      <c r="AV306" s="34"/>
      <c r="AY306" s="39"/>
      <c r="AZ306" s="39"/>
      <c r="BA306" s="47"/>
      <c r="BC306" s="38"/>
      <c r="BD306" s="38"/>
    </row>
    <row r="307" spans="22:56" ht="16" x14ac:dyDescent="0.4">
      <c r="V307" s="97">
        <v>45928</v>
      </c>
      <c r="W307" s="16">
        <v>201532</v>
      </c>
      <c r="X307" s="101" t="s">
        <v>36</v>
      </c>
      <c r="Y307" s="107"/>
      <c r="Z307" s="102">
        <v>0.98472222222222217</v>
      </c>
      <c r="AA307" s="102">
        <v>0.11666666666666665</v>
      </c>
      <c r="AB307" s="16"/>
      <c r="AC307" s="16"/>
      <c r="AD307" s="105">
        <v>21110</v>
      </c>
      <c r="AE307" s="93">
        <f t="shared" si="31"/>
        <v>21.11</v>
      </c>
      <c r="AF307" s="16">
        <v>14.72</v>
      </c>
      <c r="AG307" s="103">
        <f t="shared" si="32"/>
        <v>14</v>
      </c>
      <c r="AH307" s="37">
        <f t="shared" si="33"/>
        <v>21.109999999999996</v>
      </c>
      <c r="AJ307" s="38"/>
      <c r="AK307" s="34"/>
      <c r="AL307" s="16"/>
      <c r="AN307" s="39"/>
      <c r="AO307" s="39"/>
      <c r="AP307" s="47"/>
      <c r="AR307" s="38"/>
      <c r="AS307" s="38"/>
      <c r="AU307" s="38"/>
      <c r="AV307" s="34"/>
      <c r="AW307" s="16"/>
      <c r="AY307" s="39"/>
      <c r="AZ307" s="39"/>
      <c r="BA307" s="47"/>
      <c r="BC307" s="38"/>
      <c r="BD307" s="38"/>
    </row>
    <row r="308" spans="22:56" ht="16" x14ac:dyDescent="0.4">
      <c r="V308" s="97">
        <v>45928</v>
      </c>
      <c r="W308" s="16">
        <v>201540</v>
      </c>
      <c r="X308" s="101" t="s">
        <v>36</v>
      </c>
      <c r="Y308" s="107"/>
      <c r="Z308" s="102">
        <v>0.69236111111111109</v>
      </c>
      <c r="AA308" s="102">
        <v>0.18055555555555555</v>
      </c>
      <c r="AB308" s="16"/>
      <c r="AC308" s="16"/>
      <c r="AD308" s="105">
        <v>21150</v>
      </c>
      <c r="AE308" s="93">
        <f t="shared" si="31"/>
        <v>21.15</v>
      </c>
      <c r="AF308" s="16">
        <v>14.34</v>
      </c>
      <c r="AG308" s="103">
        <f t="shared" si="32"/>
        <v>14</v>
      </c>
      <c r="AH308" s="37">
        <f t="shared" si="33"/>
        <v>21.15</v>
      </c>
      <c r="AJ308" s="38"/>
      <c r="AK308" s="34"/>
      <c r="AL308" s="16"/>
      <c r="AN308" s="39"/>
      <c r="AO308" s="39"/>
      <c r="AP308" s="47"/>
      <c r="AR308" s="38"/>
      <c r="AS308" s="38"/>
      <c r="AU308" s="38"/>
      <c r="AV308" s="34"/>
      <c r="AW308" s="16"/>
      <c r="AY308" s="39"/>
      <c r="AZ308" s="39"/>
      <c r="BA308" s="47"/>
      <c r="BC308" s="38"/>
      <c r="BD308" s="38"/>
    </row>
    <row r="309" spans="22:56" ht="16" x14ac:dyDescent="0.4">
      <c r="V309" s="97">
        <v>45928</v>
      </c>
      <c r="W309" s="16">
        <v>201547</v>
      </c>
      <c r="X309" s="101" t="s">
        <v>36</v>
      </c>
      <c r="Y309" s="107"/>
      <c r="Z309" s="102">
        <v>0.63549768518518512</v>
      </c>
      <c r="AA309" s="102">
        <v>0.26537037037037037</v>
      </c>
      <c r="AB309" s="16"/>
      <c r="AC309" s="16"/>
      <c r="AD309" s="105">
        <v>16460</v>
      </c>
      <c r="AE309" s="93">
        <f t="shared" si="31"/>
        <v>16.46</v>
      </c>
      <c r="AF309" s="16">
        <v>13.38</v>
      </c>
      <c r="AG309" s="103">
        <f t="shared" si="32"/>
        <v>13.38</v>
      </c>
      <c r="AH309" s="37">
        <f t="shared" si="33"/>
        <v>15.731057142857145</v>
      </c>
      <c r="AJ309" s="38"/>
      <c r="AK309" s="34"/>
      <c r="AL309" s="16"/>
      <c r="AN309" s="39"/>
      <c r="AO309" s="39"/>
      <c r="AP309" s="47"/>
      <c r="AR309" s="38"/>
      <c r="AS309" s="38"/>
      <c r="AU309" s="38"/>
      <c r="AV309" s="34"/>
      <c r="AW309" s="16"/>
      <c r="AY309" s="39"/>
      <c r="AZ309" s="39"/>
      <c r="BA309" s="47"/>
      <c r="BC309" s="38"/>
      <c r="BD309" s="38"/>
    </row>
    <row r="310" spans="22:56" ht="16" x14ac:dyDescent="0.4">
      <c r="V310" s="90"/>
      <c r="W310" s="17"/>
      <c r="X310" s="101"/>
      <c r="Y310" s="115"/>
      <c r="Z310" s="91"/>
      <c r="AA310" s="91"/>
      <c r="AB310" s="17"/>
      <c r="AC310" s="17"/>
      <c r="AD310" s="110"/>
      <c r="AE310" s="92"/>
      <c r="AF310" s="17"/>
      <c r="AG310" s="95"/>
      <c r="AH310" s="110"/>
      <c r="AJ310" s="38"/>
      <c r="AK310" s="34"/>
      <c r="AL310" s="16"/>
      <c r="AN310" s="39"/>
      <c r="AO310" s="39"/>
      <c r="AP310" s="47"/>
      <c r="AR310" s="38"/>
      <c r="AS310" s="38"/>
      <c r="AU310" s="38"/>
      <c r="AV310" s="34"/>
      <c r="AW310" s="16"/>
      <c r="AY310" s="39"/>
      <c r="AZ310" s="39"/>
      <c r="BA310" s="47"/>
      <c r="BC310" s="38"/>
      <c r="BD310" s="38"/>
    </row>
    <row r="311" spans="22:56" ht="16" x14ac:dyDescent="0.4">
      <c r="V311" s="97">
        <v>45930</v>
      </c>
      <c r="W311" s="16">
        <v>202113</v>
      </c>
      <c r="X311" s="101" t="s">
        <v>36</v>
      </c>
      <c r="Y311" s="107"/>
      <c r="Z311" s="102">
        <v>0.98468750000000005</v>
      </c>
      <c r="AA311" s="102">
        <v>0.35333333333333333</v>
      </c>
      <c r="AB311" s="16"/>
      <c r="AC311" s="16"/>
      <c r="AD311" s="105">
        <v>21752</v>
      </c>
      <c r="AE311" s="93">
        <f t="shared" ref="AE311:AE373" si="34">AD311/1000</f>
        <v>21.751999999999999</v>
      </c>
      <c r="AF311" s="16">
        <v>14.02</v>
      </c>
      <c r="AG311" s="103">
        <f t="shared" si="32"/>
        <v>14</v>
      </c>
      <c r="AH311" s="37">
        <f t="shared" si="33"/>
        <v>21.751999999999999</v>
      </c>
      <c r="AJ311" s="38"/>
      <c r="AK311" s="34"/>
      <c r="AL311" s="16"/>
      <c r="AN311" s="39"/>
      <c r="AO311" s="39"/>
      <c r="AP311" s="47"/>
      <c r="AR311" s="38"/>
      <c r="AS311" s="38"/>
      <c r="AU311" s="38"/>
      <c r="AV311" s="34"/>
      <c r="AW311" s="16"/>
      <c r="AY311" s="39"/>
      <c r="AZ311" s="39"/>
      <c r="BA311" s="47"/>
      <c r="BC311" s="38"/>
      <c r="BD311" s="38"/>
    </row>
    <row r="312" spans="22:56" ht="16" x14ac:dyDescent="0.4">
      <c r="V312" s="97">
        <v>45930</v>
      </c>
      <c r="W312" s="16">
        <v>202170</v>
      </c>
      <c r="X312" s="101" t="s">
        <v>36</v>
      </c>
      <c r="Y312" s="107"/>
      <c r="Z312" s="102">
        <v>0.26594907407407409</v>
      </c>
      <c r="AA312" s="102">
        <v>0.41395833333333337</v>
      </c>
      <c r="AB312" s="16"/>
      <c r="AC312" s="16"/>
      <c r="AD312" s="105">
        <v>20312</v>
      </c>
      <c r="AE312" s="93">
        <f t="shared" si="34"/>
        <v>20.312000000000001</v>
      </c>
      <c r="AF312" s="16">
        <v>15.95</v>
      </c>
      <c r="AG312" s="103">
        <f t="shared" si="32"/>
        <v>14</v>
      </c>
      <c r="AH312" s="37">
        <f t="shared" si="33"/>
        <v>20.312000000000001</v>
      </c>
      <c r="AJ312" s="38"/>
      <c r="AK312" s="34"/>
      <c r="AL312" s="16"/>
      <c r="AN312" s="39"/>
      <c r="AO312" s="39"/>
      <c r="AP312" s="47"/>
      <c r="AR312" s="38"/>
      <c r="AS312" s="38"/>
      <c r="AU312" s="38"/>
      <c r="AV312" s="34"/>
      <c r="AW312" s="16"/>
      <c r="AY312" s="39"/>
      <c r="AZ312" s="39"/>
      <c r="BA312" s="47"/>
      <c r="BC312" s="38"/>
      <c r="BD312" s="38"/>
    </row>
    <row r="313" spans="22:56" ht="16" x14ac:dyDescent="0.4">
      <c r="V313" s="97">
        <v>45930</v>
      </c>
      <c r="W313" s="16">
        <v>202232</v>
      </c>
      <c r="X313" s="101" t="s">
        <v>36</v>
      </c>
      <c r="Y313" s="107"/>
      <c r="Z313" s="102">
        <v>0.98498842592592595</v>
      </c>
      <c r="AA313" s="102">
        <v>0.49627314814814816</v>
      </c>
      <c r="AB313" s="16"/>
      <c r="AC313" s="16"/>
      <c r="AD313" s="105">
        <v>20562</v>
      </c>
      <c r="AE313" s="93">
        <f t="shared" si="34"/>
        <v>20.562000000000001</v>
      </c>
      <c r="AF313" s="16">
        <v>15.62</v>
      </c>
      <c r="AG313" s="103">
        <f t="shared" si="32"/>
        <v>14</v>
      </c>
      <c r="AH313" s="37">
        <f t="shared" si="33"/>
        <v>20.562000000000001</v>
      </c>
      <c r="AJ313" s="38"/>
      <c r="AK313" s="34"/>
      <c r="AL313" s="16"/>
      <c r="AN313" s="39"/>
      <c r="AO313" s="39"/>
      <c r="AP313" s="47"/>
      <c r="AR313" s="38"/>
      <c r="AS313" s="38"/>
      <c r="AU313" s="38"/>
      <c r="AV313" s="34"/>
      <c r="AW313" s="16"/>
      <c r="AY313" s="39"/>
      <c r="AZ313" s="39"/>
      <c r="BA313" s="47"/>
      <c r="BC313" s="38"/>
      <c r="BD313" s="38"/>
    </row>
    <row r="314" spans="22:56" ht="16" x14ac:dyDescent="0.4">
      <c r="V314" s="97">
        <v>45930</v>
      </c>
      <c r="W314" s="16">
        <v>202263</v>
      </c>
      <c r="X314" s="101" t="s">
        <v>36</v>
      </c>
      <c r="Y314" s="107"/>
      <c r="Z314" s="102">
        <v>0.26579861111111108</v>
      </c>
      <c r="AA314" s="102">
        <v>0.55651620370370369</v>
      </c>
      <c r="AB314" s="16"/>
      <c r="AC314" s="16"/>
      <c r="AD314" s="105">
        <v>19988</v>
      </c>
      <c r="AE314" s="93">
        <f t="shared" si="34"/>
        <v>19.988</v>
      </c>
      <c r="AF314" s="16">
        <v>16.27</v>
      </c>
      <c r="AG314" s="103">
        <f t="shared" si="32"/>
        <v>14</v>
      </c>
      <c r="AH314" s="37">
        <f t="shared" si="33"/>
        <v>19.988</v>
      </c>
      <c r="AJ314" s="38"/>
      <c r="AK314" s="34"/>
      <c r="AL314" s="16"/>
      <c r="AN314" s="39"/>
      <c r="AO314" s="39"/>
      <c r="AP314" s="47"/>
      <c r="AR314" s="38"/>
      <c r="AS314" s="38"/>
      <c r="AU314" s="38"/>
      <c r="AV314" s="34"/>
      <c r="AW314" s="16"/>
      <c r="AY314" s="39"/>
      <c r="AZ314" s="39"/>
      <c r="BA314" s="47"/>
      <c r="BC314" s="38"/>
      <c r="BD314" s="38"/>
    </row>
    <row r="315" spans="22:56" ht="16" x14ac:dyDescent="0.4">
      <c r="V315" s="97">
        <v>45930</v>
      </c>
      <c r="W315" s="16">
        <v>202301</v>
      </c>
      <c r="X315" s="101" t="s">
        <v>36</v>
      </c>
      <c r="Y315" s="107"/>
      <c r="Z315" s="102">
        <v>0.54555555555555557</v>
      </c>
      <c r="AA315" s="102">
        <v>0.61159722222222224</v>
      </c>
      <c r="AB315" s="16"/>
      <c r="AC315" s="16"/>
      <c r="AD315" s="105">
        <v>19196</v>
      </c>
      <c r="AE315" s="93">
        <f t="shared" si="34"/>
        <v>19.196000000000002</v>
      </c>
      <c r="AF315" s="16">
        <v>16.239999999999998</v>
      </c>
      <c r="AG315" s="103">
        <f t="shared" si="32"/>
        <v>14</v>
      </c>
      <c r="AH315" s="37">
        <f t="shared" si="33"/>
        <v>19.196000000000002</v>
      </c>
      <c r="AJ315" s="38"/>
      <c r="AK315" s="34"/>
      <c r="AL315" s="16"/>
      <c r="AN315" s="39"/>
      <c r="AO315" s="39"/>
      <c r="AP315" s="47"/>
      <c r="AR315" s="38"/>
      <c r="AS315" s="38"/>
      <c r="AU315" s="38"/>
      <c r="AV315" s="34"/>
      <c r="AW315" s="16"/>
      <c r="AY315" s="39"/>
      <c r="AZ315" s="39"/>
      <c r="BA315" s="47"/>
      <c r="BC315" s="38"/>
      <c r="BD315" s="38"/>
    </row>
    <row r="316" spans="22:56" ht="16" x14ac:dyDescent="0.4">
      <c r="V316" s="97">
        <v>45930</v>
      </c>
      <c r="W316" s="16">
        <v>202351</v>
      </c>
      <c r="X316" s="101" t="s">
        <v>36</v>
      </c>
      <c r="Y316" s="107"/>
      <c r="Z316" s="102">
        <v>0.26565972222222223</v>
      </c>
      <c r="AA316" s="102">
        <v>0.67739583333333331</v>
      </c>
      <c r="AB316" s="16"/>
      <c r="AC316" s="16"/>
      <c r="AD316" s="105">
        <v>21074</v>
      </c>
      <c r="AE316" s="93">
        <f t="shared" si="34"/>
        <v>21.074000000000002</v>
      </c>
      <c r="AF316" s="16">
        <v>15.06</v>
      </c>
      <c r="AG316" s="103">
        <f t="shared" si="32"/>
        <v>14</v>
      </c>
      <c r="AH316" s="37">
        <f t="shared" si="33"/>
        <v>21.074000000000002</v>
      </c>
      <c r="AJ316" s="38"/>
      <c r="AK316" s="34"/>
      <c r="AL316" s="16"/>
      <c r="AN316" s="39"/>
      <c r="AP316" s="47"/>
      <c r="AR316" s="38"/>
      <c r="AS316" s="38"/>
      <c r="AU316" s="38"/>
      <c r="AV316" s="34"/>
      <c r="AW316" s="16"/>
      <c r="AY316" s="39"/>
      <c r="BA316" s="47"/>
      <c r="BC316" s="38"/>
      <c r="BD316" s="38"/>
    </row>
    <row r="317" spans="22:56" ht="16" x14ac:dyDescent="0.4">
      <c r="V317" s="97">
        <v>45930</v>
      </c>
      <c r="W317" s="16">
        <v>202388</v>
      </c>
      <c r="X317" s="101" t="s">
        <v>36</v>
      </c>
      <c r="Y317" s="107"/>
      <c r="Z317" s="102">
        <v>0.54583333333333328</v>
      </c>
      <c r="AA317" s="102">
        <v>0.7368055555555556</v>
      </c>
      <c r="AB317" s="16"/>
      <c r="AC317" s="16"/>
      <c r="AD317" s="105">
        <v>19738</v>
      </c>
      <c r="AE317" s="93">
        <f t="shared" si="34"/>
        <v>19.738</v>
      </c>
      <c r="AF317" s="16">
        <v>15.66</v>
      </c>
      <c r="AG317" s="103">
        <f t="shared" si="32"/>
        <v>14</v>
      </c>
      <c r="AH317" s="37">
        <f t="shared" si="33"/>
        <v>19.738</v>
      </c>
      <c r="AJ317" s="38"/>
      <c r="AK317" s="34"/>
      <c r="AL317" s="16"/>
      <c r="AN317" s="39"/>
      <c r="AO317" s="39"/>
      <c r="AP317" s="47"/>
      <c r="AR317" s="38"/>
      <c r="AS317" s="38"/>
      <c r="AU317" s="38"/>
      <c r="AV317" s="34"/>
      <c r="AW317" s="16"/>
      <c r="AY317" s="39"/>
      <c r="AZ317" s="39"/>
      <c r="BA317" s="47"/>
      <c r="BC317" s="38"/>
      <c r="BD317" s="38"/>
    </row>
    <row r="318" spans="22:56" ht="16" x14ac:dyDescent="0.4">
      <c r="V318" s="97">
        <v>45930</v>
      </c>
      <c r="W318" s="16">
        <v>202405</v>
      </c>
      <c r="X318" s="101" t="s">
        <v>36</v>
      </c>
      <c r="Y318" s="107"/>
      <c r="Z318" s="102">
        <v>0.72361111111111109</v>
      </c>
      <c r="AA318" s="102">
        <v>0.80069444444444438</v>
      </c>
      <c r="AB318" s="16"/>
      <c r="AC318" s="16"/>
      <c r="AD318" s="105">
        <v>21290</v>
      </c>
      <c r="AE318" s="93">
        <f t="shared" si="34"/>
        <v>21.29</v>
      </c>
      <c r="AF318" s="16">
        <v>15.45</v>
      </c>
      <c r="AG318" s="103">
        <f t="shared" si="32"/>
        <v>14</v>
      </c>
      <c r="AH318" s="37">
        <f t="shared" si="33"/>
        <v>21.29</v>
      </c>
      <c r="AJ318" s="38"/>
      <c r="AK318" s="34"/>
      <c r="AL318" s="16"/>
      <c r="AN318" s="39"/>
      <c r="AO318" s="39"/>
      <c r="AP318" s="47"/>
      <c r="AR318" s="38"/>
      <c r="AS318" s="38"/>
      <c r="AU318" s="38"/>
      <c r="AV318" s="34"/>
      <c r="AW318" s="16"/>
      <c r="AY318" s="39"/>
      <c r="AZ318" s="39"/>
      <c r="BA318" s="47"/>
      <c r="BC318" s="38"/>
      <c r="BD318" s="38"/>
    </row>
    <row r="319" spans="22:56" ht="16" x14ac:dyDescent="0.4">
      <c r="V319" s="97">
        <v>45930</v>
      </c>
      <c r="W319" s="16">
        <v>202450</v>
      </c>
      <c r="X319" s="101" t="s">
        <v>36</v>
      </c>
      <c r="Y319" s="107"/>
      <c r="Z319" s="102">
        <v>0.54513888888888895</v>
      </c>
      <c r="AA319" s="102">
        <v>0.85416666666666663</v>
      </c>
      <c r="AB319" s="16"/>
      <c r="AC319" s="16"/>
      <c r="AD319" s="105">
        <v>20582</v>
      </c>
      <c r="AE319" s="93">
        <f t="shared" si="34"/>
        <v>20.582000000000001</v>
      </c>
      <c r="AF319" s="16">
        <v>16.48</v>
      </c>
      <c r="AG319" s="103">
        <f t="shared" si="32"/>
        <v>14</v>
      </c>
      <c r="AH319" s="37">
        <f t="shared" si="33"/>
        <v>20.582000000000001</v>
      </c>
      <c r="AJ319" s="38"/>
      <c r="AK319" s="34"/>
      <c r="AL319" s="16"/>
      <c r="AN319" s="39"/>
      <c r="AP319" s="47"/>
      <c r="AR319" s="38"/>
      <c r="AS319" s="38"/>
      <c r="AU319" s="38"/>
      <c r="AV319" s="34"/>
      <c r="AW319" s="16"/>
      <c r="AY319" s="39"/>
      <c r="BA319" s="47"/>
      <c r="BC319" s="38"/>
      <c r="BD319" s="38"/>
    </row>
    <row r="320" spans="22:56" ht="16" x14ac:dyDescent="0.4">
      <c r="V320" s="97">
        <v>45930</v>
      </c>
      <c r="W320" s="16">
        <v>202462</v>
      </c>
      <c r="X320" s="101" t="s">
        <v>36</v>
      </c>
      <c r="Y320" s="107"/>
      <c r="Z320" s="102">
        <v>0.72361111111111109</v>
      </c>
      <c r="AA320" s="102">
        <v>0.90138888888888891</v>
      </c>
      <c r="AB320" s="16"/>
      <c r="AC320" s="16"/>
      <c r="AD320" s="105">
        <v>19494</v>
      </c>
      <c r="AE320" s="93">
        <f t="shared" si="34"/>
        <v>19.494</v>
      </c>
      <c r="AF320" s="16">
        <v>14.64</v>
      </c>
      <c r="AG320" s="103">
        <f t="shared" si="32"/>
        <v>14</v>
      </c>
      <c r="AH320" s="37">
        <f t="shared" si="33"/>
        <v>19.494</v>
      </c>
      <c r="AJ320" s="38"/>
      <c r="AK320" s="34"/>
      <c r="AL320" s="16"/>
      <c r="AN320" s="39"/>
      <c r="AO320" s="39"/>
      <c r="AP320" s="47"/>
      <c r="AR320" s="38"/>
      <c r="AS320" s="38"/>
      <c r="AU320" s="38"/>
      <c r="AV320" s="34"/>
      <c r="AW320" s="16"/>
      <c r="AY320" s="39"/>
      <c r="AZ320" s="39"/>
      <c r="BA320" s="47"/>
      <c r="BC320" s="38"/>
      <c r="BD320" s="38"/>
    </row>
    <row r="321" spans="22:56" ht="16" x14ac:dyDescent="0.4">
      <c r="V321" s="97">
        <v>45930</v>
      </c>
      <c r="W321" s="16">
        <v>202483</v>
      </c>
      <c r="X321" s="101" t="s">
        <v>36</v>
      </c>
      <c r="Y321" s="107"/>
      <c r="Z321" s="102">
        <v>0.2590277777777778</v>
      </c>
      <c r="AA321" s="102">
        <v>0.96180555555555547</v>
      </c>
      <c r="AB321" s="16"/>
      <c r="AC321" s="16"/>
      <c r="AD321" s="105">
        <v>20456</v>
      </c>
      <c r="AE321" s="93">
        <f t="shared" si="34"/>
        <v>20.456</v>
      </c>
      <c r="AF321" s="16">
        <v>15.13</v>
      </c>
      <c r="AG321" s="103">
        <f t="shared" si="32"/>
        <v>14</v>
      </c>
      <c r="AH321" s="37">
        <f t="shared" si="33"/>
        <v>20.456</v>
      </c>
      <c r="AJ321" s="34"/>
      <c r="AK321" s="34"/>
      <c r="AL321" s="82"/>
      <c r="AN321" s="83"/>
      <c r="AO321" s="83"/>
      <c r="AP321" s="82"/>
      <c r="AQ321" s="84"/>
      <c r="AR321" s="84"/>
      <c r="AS321" s="38"/>
      <c r="AU321" s="34"/>
      <c r="AV321" s="34"/>
      <c r="AW321" s="82"/>
      <c r="AY321" s="83"/>
      <c r="AZ321" s="83"/>
      <c r="BA321" s="82"/>
      <c r="BB321" s="84"/>
      <c r="BC321" s="84"/>
      <c r="BD321" s="38"/>
    </row>
    <row r="322" spans="22:56" ht="16" x14ac:dyDescent="0.4">
      <c r="V322" s="97"/>
      <c r="W322" s="16"/>
      <c r="X322" s="101"/>
      <c r="Y322" s="107"/>
      <c r="Z322" s="102"/>
      <c r="AA322" s="102"/>
      <c r="AB322" s="16"/>
      <c r="AC322" s="16"/>
      <c r="AD322" s="105"/>
      <c r="AE322" s="93">
        <f t="shared" si="34"/>
        <v>0</v>
      </c>
      <c r="AF322" s="16"/>
      <c r="AG322" s="103">
        <f t="shared" si="32"/>
        <v>0</v>
      </c>
      <c r="AH322" s="37">
        <f t="shared" si="33"/>
        <v>0</v>
      </c>
      <c r="AJ322" s="34"/>
      <c r="AK322" s="34"/>
      <c r="AL322" s="82"/>
      <c r="AN322" s="83"/>
      <c r="AO322" s="83"/>
      <c r="AP322" s="82"/>
      <c r="AQ322" s="84"/>
      <c r="AR322" s="84"/>
      <c r="AS322" s="38"/>
      <c r="AU322" s="34"/>
      <c r="AV322" s="34"/>
      <c r="AW322" s="82"/>
      <c r="AY322" s="83"/>
      <c r="AZ322" s="83"/>
      <c r="BA322" s="82"/>
      <c r="BB322" s="84"/>
      <c r="BC322" s="84"/>
      <c r="BD322" s="38"/>
    </row>
    <row r="323" spans="22:56" ht="16" x14ac:dyDescent="0.4">
      <c r="V323" s="97"/>
      <c r="W323" s="16"/>
      <c r="X323" s="101"/>
      <c r="Y323" s="107"/>
      <c r="Z323" s="102"/>
      <c r="AA323" s="102"/>
      <c r="AB323" s="16"/>
      <c r="AC323" s="16"/>
      <c r="AD323" s="105"/>
      <c r="AE323" s="93">
        <f t="shared" si="34"/>
        <v>0</v>
      </c>
      <c r="AF323" s="16"/>
      <c r="AG323" s="103">
        <f t="shared" si="32"/>
        <v>0</v>
      </c>
      <c r="AH323" s="37">
        <f t="shared" si="33"/>
        <v>0</v>
      </c>
      <c r="AJ323" s="34"/>
      <c r="AK323" s="34"/>
      <c r="AL323" s="82"/>
      <c r="AN323" s="83"/>
      <c r="AO323" s="83"/>
      <c r="AP323" s="82"/>
      <c r="AQ323" s="84"/>
      <c r="AR323" s="84"/>
      <c r="AS323" s="84"/>
      <c r="AU323" s="34"/>
      <c r="AV323" s="34"/>
      <c r="AW323" s="82"/>
      <c r="AY323" s="83"/>
      <c r="AZ323" s="83"/>
      <c r="BA323" s="82"/>
      <c r="BB323" s="84"/>
      <c r="BC323" s="84"/>
      <c r="BD323" s="84"/>
    </row>
    <row r="324" spans="22:56" ht="16" x14ac:dyDescent="0.4">
      <c r="V324" s="97"/>
      <c r="W324" s="16"/>
      <c r="X324" s="101"/>
      <c r="Y324" s="107"/>
      <c r="Z324" s="102"/>
      <c r="AA324" s="102"/>
      <c r="AB324" s="16"/>
      <c r="AC324" s="16"/>
      <c r="AD324" s="105"/>
      <c r="AE324" s="93">
        <f t="shared" si="34"/>
        <v>0</v>
      </c>
      <c r="AF324" s="16"/>
      <c r="AG324" s="103">
        <f t="shared" si="32"/>
        <v>0</v>
      </c>
      <c r="AH324" s="37">
        <f t="shared" si="33"/>
        <v>0</v>
      </c>
      <c r="AJ324" s="34"/>
      <c r="AK324" s="34"/>
      <c r="AL324" s="82"/>
      <c r="AN324" s="83"/>
      <c r="AO324" s="83"/>
      <c r="AP324" s="82"/>
      <c r="AQ324" s="84"/>
      <c r="AR324" s="84"/>
      <c r="AS324" s="84"/>
      <c r="AU324" s="34"/>
      <c r="AV324" s="34"/>
      <c r="AW324" s="82"/>
      <c r="AY324" s="83"/>
      <c r="AZ324" s="83"/>
      <c r="BA324" s="82"/>
      <c r="BB324" s="84"/>
      <c r="BC324" s="84"/>
      <c r="BD324" s="84"/>
    </row>
    <row r="325" spans="22:56" ht="16" x14ac:dyDescent="0.4">
      <c r="V325" s="97"/>
      <c r="W325" s="16"/>
      <c r="X325" s="101"/>
      <c r="Y325" s="107"/>
      <c r="Z325" s="102"/>
      <c r="AA325" s="102"/>
      <c r="AB325" s="16"/>
      <c r="AC325" s="16"/>
      <c r="AD325" s="105"/>
      <c r="AE325" s="93">
        <f t="shared" si="34"/>
        <v>0</v>
      </c>
      <c r="AF325" s="16"/>
      <c r="AG325" s="103">
        <f t="shared" ref="AG325:AG388" si="35">IF($AF325&gt;14,14,$AF325)</f>
        <v>0</v>
      </c>
      <c r="AH325" s="37">
        <f t="shared" ref="AH325:AH388" si="36">AE325*AG325/14</f>
        <v>0</v>
      </c>
      <c r="AJ325" s="34"/>
      <c r="AK325" s="34"/>
      <c r="AL325" s="82"/>
      <c r="AN325" s="83"/>
      <c r="AO325" s="83"/>
      <c r="AP325" s="82"/>
      <c r="AQ325" s="84"/>
      <c r="AR325" s="84"/>
      <c r="AS325" s="84"/>
      <c r="AU325" s="34"/>
      <c r="AV325" s="34"/>
      <c r="AW325" s="82"/>
      <c r="AY325" s="83"/>
      <c r="AZ325" s="83"/>
      <c r="BA325" s="82"/>
      <c r="BB325" s="84"/>
      <c r="BC325" s="84"/>
      <c r="BD325" s="84"/>
    </row>
    <row r="326" spans="22:56" ht="16" x14ac:dyDescent="0.4">
      <c r="V326" s="97"/>
      <c r="W326" s="16"/>
      <c r="X326" s="101"/>
      <c r="Y326" s="107"/>
      <c r="Z326" s="102"/>
      <c r="AA326" s="102"/>
      <c r="AB326" s="16"/>
      <c r="AC326" s="16"/>
      <c r="AD326" s="105"/>
      <c r="AE326" s="93">
        <f t="shared" si="34"/>
        <v>0</v>
      </c>
      <c r="AF326" s="16"/>
      <c r="AG326" s="103">
        <f t="shared" si="35"/>
        <v>0</v>
      </c>
      <c r="AH326" s="37">
        <f t="shared" si="36"/>
        <v>0</v>
      </c>
      <c r="AJ326" s="34"/>
      <c r="AK326" s="34"/>
      <c r="AL326" s="82"/>
      <c r="AN326" s="83"/>
      <c r="AO326" s="83"/>
      <c r="AP326" s="82"/>
      <c r="AQ326" s="84"/>
      <c r="AR326" s="84"/>
      <c r="AS326" s="84"/>
      <c r="AU326" s="34"/>
      <c r="AV326" s="34"/>
      <c r="AW326" s="82"/>
      <c r="AY326" s="83"/>
      <c r="AZ326" s="83"/>
      <c r="BA326" s="82"/>
      <c r="BB326" s="84"/>
      <c r="BC326" s="84"/>
      <c r="BD326" s="84"/>
    </row>
    <row r="327" spans="22:56" ht="16" x14ac:dyDescent="0.4">
      <c r="V327" s="97"/>
      <c r="W327" s="16"/>
      <c r="X327" s="101"/>
      <c r="Y327" s="107"/>
      <c r="Z327" s="102"/>
      <c r="AA327" s="102"/>
      <c r="AB327" s="16"/>
      <c r="AC327" s="16"/>
      <c r="AD327" s="105"/>
      <c r="AE327" s="93">
        <f t="shared" si="34"/>
        <v>0</v>
      </c>
      <c r="AF327" s="16"/>
      <c r="AG327" s="103">
        <f t="shared" si="35"/>
        <v>0</v>
      </c>
      <c r="AH327" s="37">
        <f t="shared" si="36"/>
        <v>0</v>
      </c>
      <c r="AJ327" s="34"/>
      <c r="AK327" s="34"/>
      <c r="AL327" s="82"/>
      <c r="AN327" s="83"/>
      <c r="AO327" s="83"/>
      <c r="AP327" s="82"/>
      <c r="AQ327" s="84"/>
      <c r="AR327" s="84"/>
      <c r="AS327" s="84"/>
      <c r="AU327" s="34"/>
      <c r="AV327" s="34"/>
      <c r="AW327" s="82"/>
      <c r="AY327" s="83"/>
      <c r="AZ327" s="83"/>
      <c r="BA327" s="82"/>
      <c r="BB327" s="84"/>
      <c r="BC327" s="84"/>
      <c r="BD327" s="84"/>
    </row>
    <row r="328" spans="22:56" ht="16" x14ac:dyDescent="0.4">
      <c r="V328" s="97"/>
      <c r="W328" s="16"/>
      <c r="X328" s="101"/>
      <c r="Y328" s="107"/>
      <c r="Z328" s="102"/>
      <c r="AA328" s="102"/>
      <c r="AB328" s="16"/>
      <c r="AC328" s="16"/>
      <c r="AD328" s="105"/>
      <c r="AE328" s="93">
        <f t="shared" si="34"/>
        <v>0</v>
      </c>
      <c r="AF328" s="16"/>
      <c r="AG328" s="103">
        <f t="shared" si="35"/>
        <v>0</v>
      </c>
      <c r="AH328" s="37">
        <f t="shared" si="36"/>
        <v>0</v>
      </c>
      <c r="AJ328" s="34"/>
      <c r="AK328" s="34"/>
      <c r="AL328" s="82"/>
      <c r="AN328" s="83"/>
      <c r="AO328" s="83"/>
      <c r="AP328" s="82"/>
      <c r="AQ328" s="84"/>
      <c r="AR328" s="84"/>
      <c r="AS328" s="84"/>
      <c r="AU328" s="34"/>
      <c r="AV328" s="34"/>
      <c r="AW328" s="82"/>
      <c r="AY328" s="83"/>
      <c r="AZ328" s="83"/>
      <c r="BA328" s="82"/>
      <c r="BB328" s="84"/>
      <c r="BC328" s="84"/>
      <c r="BD328" s="84"/>
    </row>
    <row r="329" spans="22:56" ht="16" x14ac:dyDescent="0.4">
      <c r="V329" s="97"/>
      <c r="W329" s="16"/>
      <c r="X329" s="101"/>
      <c r="Y329" s="107"/>
      <c r="Z329" s="102"/>
      <c r="AA329" s="102"/>
      <c r="AB329" s="16"/>
      <c r="AC329" s="16"/>
      <c r="AD329" s="105"/>
      <c r="AE329" s="93">
        <f t="shared" si="34"/>
        <v>0</v>
      </c>
      <c r="AF329" s="16"/>
      <c r="AG329" s="103">
        <f t="shared" si="35"/>
        <v>0</v>
      </c>
      <c r="AH329" s="37">
        <f t="shared" si="36"/>
        <v>0</v>
      </c>
      <c r="AJ329" s="34"/>
      <c r="AK329" s="34"/>
      <c r="AL329" s="82"/>
      <c r="AN329" s="83"/>
      <c r="AO329" s="83"/>
      <c r="AP329" s="82"/>
      <c r="AQ329" s="84"/>
      <c r="AR329" s="84"/>
      <c r="AS329" s="84"/>
      <c r="AU329" s="34"/>
      <c r="AV329" s="34"/>
      <c r="AW329" s="82"/>
      <c r="AY329" s="83"/>
      <c r="AZ329" s="83"/>
      <c r="BA329" s="82"/>
      <c r="BB329" s="84"/>
      <c r="BC329" s="84"/>
      <c r="BD329" s="84"/>
    </row>
    <row r="330" spans="22:56" ht="16" x14ac:dyDescent="0.4">
      <c r="V330" s="97"/>
      <c r="W330" s="16"/>
      <c r="X330" s="101"/>
      <c r="Y330" s="107"/>
      <c r="Z330" s="102"/>
      <c r="AA330" s="102"/>
      <c r="AB330" s="16"/>
      <c r="AC330" s="16"/>
      <c r="AD330" s="105"/>
      <c r="AE330" s="93">
        <f t="shared" si="34"/>
        <v>0</v>
      </c>
      <c r="AF330" s="16"/>
      <c r="AG330" s="103">
        <f t="shared" si="35"/>
        <v>0</v>
      </c>
      <c r="AH330" s="37">
        <f t="shared" si="36"/>
        <v>0</v>
      </c>
      <c r="AJ330" s="34"/>
      <c r="AK330" s="34"/>
      <c r="AL330" s="82"/>
      <c r="AN330" s="83"/>
      <c r="AO330" s="83"/>
      <c r="AP330" s="82"/>
      <c r="AQ330" s="84"/>
      <c r="AR330" s="84"/>
      <c r="AS330" s="84"/>
      <c r="AU330" s="34"/>
      <c r="AV330" s="34"/>
      <c r="AW330" s="82"/>
      <c r="AY330" s="83"/>
      <c r="AZ330" s="83"/>
      <c r="BA330" s="82"/>
      <c r="BB330" s="84"/>
      <c r="BC330" s="84"/>
      <c r="BD330" s="84"/>
    </row>
    <row r="331" spans="22:56" ht="16" x14ac:dyDescent="0.4">
      <c r="V331" s="97"/>
      <c r="W331" s="16"/>
      <c r="X331" s="101"/>
      <c r="Y331" s="107"/>
      <c r="Z331" s="102"/>
      <c r="AA331" s="102"/>
      <c r="AB331" s="16"/>
      <c r="AC331" s="16"/>
      <c r="AD331" s="105"/>
      <c r="AE331" s="93">
        <f t="shared" si="34"/>
        <v>0</v>
      </c>
      <c r="AF331" s="16"/>
      <c r="AG331" s="103">
        <f t="shared" si="35"/>
        <v>0</v>
      </c>
      <c r="AH331" s="37">
        <f t="shared" si="36"/>
        <v>0</v>
      </c>
      <c r="AJ331" s="34"/>
      <c r="AK331" s="34"/>
      <c r="AL331" s="82"/>
      <c r="AN331" s="83"/>
      <c r="AO331" s="83"/>
      <c r="AP331" s="82"/>
      <c r="AQ331" s="84"/>
      <c r="AR331" s="84"/>
      <c r="AS331" s="84"/>
      <c r="AU331" s="34"/>
      <c r="AV331" s="34"/>
      <c r="AW331" s="82"/>
      <c r="AY331" s="83"/>
      <c r="AZ331" s="83"/>
      <c r="BA331" s="82"/>
      <c r="BB331" s="84"/>
      <c r="BC331" s="84"/>
      <c r="BD331" s="84"/>
    </row>
    <row r="332" spans="22:56" ht="16" x14ac:dyDescent="0.4">
      <c r="V332" s="97"/>
      <c r="W332" s="16"/>
      <c r="X332" s="101"/>
      <c r="Y332" s="107"/>
      <c r="Z332" s="102"/>
      <c r="AA332" s="102"/>
      <c r="AB332" s="16"/>
      <c r="AC332" s="16"/>
      <c r="AD332" s="105"/>
      <c r="AE332" s="93">
        <f t="shared" si="34"/>
        <v>0</v>
      </c>
      <c r="AG332" s="103">
        <f t="shared" si="35"/>
        <v>0</v>
      </c>
      <c r="AH332" s="37">
        <f t="shared" si="36"/>
        <v>0</v>
      </c>
      <c r="AJ332" s="34"/>
      <c r="AK332" s="34"/>
      <c r="AL332" s="82"/>
      <c r="AN332" s="83"/>
      <c r="AO332" s="83"/>
      <c r="AP332" s="82"/>
      <c r="AQ332" s="84"/>
      <c r="AR332" s="84"/>
      <c r="AS332" s="84"/>
      <c r="AU332" s="34"/>
      <c r="AV332" s="34"/>
      <c r="AW332" s="82"/>
      <c r="AY332" s="83"/>
      <c r="AZ332" s="83"/>
      <c r="BA332" s="82"/>
      <c r="BB332" s="84"/>
      <c r="BC332" s="84"/>
      <c r="BD332" s="84"/>
    </row>
    <row r="333" spans="22:56" ht="16" x14ac:dyDescent="0.4">
      <c r="V333" s="97"/>
      <c r="W333" s="16"/>
      <c r="X333" s="101"/>
      <c r="Y333" s="107"/>
      <c r="Z333" s="102"/>
      <c r="AA333" s="102"/>
      <c r="AB333" s="16"/>
      <c r="AC333" s="16"/>
      <c r="AD333" s="105"/>
      <c r="AE333" s="93">
        <f t="shared" si="34"/>
        <v>0</v>
      </c>
      <c r="AG333" s="103">
        <f t="shared" si="35"/>
        <v>0</v>
      </c>
      <c r="AH333" s="37">
        <f t="shared" si="36"/>
        <v>0</v>
      </c>
      <c r="AJ333" s="34"/>
      <c r="AK333" s="34"/>
      <c r="AL333" s="82"/>
      <c r="AN333" s="83"/>
      <c r="AO333" s="83"/>
      <c r="AP333" s="82"/>
      <c r="AQ333" s="84"/>
      <c r="AR333" s="84"/>
      <c r="AS333" s="84"/>
      <c r="AU333" s="34"/>
      <c r="AV333" s="34"/>
      <c r="AW333" s="82"/>
      <c r="AY333" s="83"/>
      <c r="AZ333" s="83"/>
      <c r="BA333" s="82"/>
      <c r="BB333" s="84"/>
      <c r="BC333" s="84"/>
      <c r="BD333" s="84"/>
    </row>
    <row r="334" spans="22:56" ht="16" x14ac:dyDescent="0.4">
      <c r="V334" s="97"/>
      <c r="W334" s="16"/>
      <c r="X334" s="101"/>
      <c r="Y334" s="107"/>
      <c r="Z334" s="102"/>
      <c r="AA334" s="102"/>
      <c r="AB334" s="16"/>
      <c r="AC334" s="16"/>
      <c r="AD334" s="105"/>
      <c r="AE334" s="93">
        <f t="shared" si="34"/>
        <v>0</v>
      </c>
      <c r="AG334" s="103">
        <f t="shared" si="35"/>
        <v>0</v>
      </c>
      <c r="AH334" s="37">
        <f t="shared" si="36"/>
        <v>0</v>
      </c>
      <c r="AJ334" s="34"/>
      <c r="AK334" s="34"/>
      <c r="AL334" s="82"/>
      <c r="AN334" s="83"/>
      <c r="AO334" s="83"/>
      <c r="AP334" s="82"/>
      <c r="AQ334" s="84"/>
      <c r="AR334" s="84"/>
      <c r="AS334" s="84"/>
      <c r="AU334" s="34"/>
      <c r="AV334" s="34"/>
      <c r="AW334" s="82"/>
      <c r="AY334" s="83"/>
      <c r="AZ334" s="83"/>
      <c r="BA334" s="82"/>
      <c r="BB334" s="84"/>
      <c r="BC334" s="84"/>
      <c r="BD334" s="84"/>
    </row>
    <row r="335" spans="22:56" ht="16" x14ac:dyDescent="0.4">
      <c r="V335" s="97"/>
      <c r="W335" s="16"/>
      <c r="X335" s="101"/>
      <c r="Y335" s="107"/>
      <c r="Z335" s="102"/>
      <c r="AA335" s="102"/>
      <c r="AB335" s="16"/>
      <c r="AC335" s="16"/>
      <c r="AD335" s="105"/>
      <c r="AE335" s="93">
        <f t="shared" si="34"/>
        <v>0</v>
      </c>
      <c r="AG335" s="103">
        <f t="shared" si="35"/>
        <v>0</v>
      </c>
      <c r="AH335" s="37">
        <f t="shared" si="36"/>
        <v>0</v>
      </c>
      <c r="AJ335" s="34"/>
      <c r="AK335" s="34"/>
      <c r="AL335" s="82"/>
      <c r="AN335" s="83"/>
      <c r="AO335" s="83"/>
      <c r="AP335" s="82"/>
      <c r="AQ335" s="84"/>
      <c r="AR335" s="84"/>
      <c r="AS335" s="84"/>
      <c r="AU335" s="34"/>
      <c r="AV335" s="34"/>
      <c r="AW335" s="82"/>
      <c r="AY335" s="83"/>
      <c r="AZ335" s="83"/>
      <c r="BA335" s="82"/>
      <c r="BB335" s="84"/>
      <c r="BC335" s="84"/>
      <c r="BD335" s="84"/>
    </row>
    <row r="336" spans="22:56" ht="16" x14ac:dyDescent="0.4">
      <c r="V336" s="97"/>
      <c r="W336" s="16"/>
      <c r="X336" s="101"/>
      <c r="Y336" s="107"/>
      <c r="Z336" s="102"/>
      <c r="AA336" s="102"/>
      <c r="AB336" s="16"/>
      <c r="AC336" s="16"/>
      <c r="AD336" s="105"/>
      <c r="AE336" s="93">
        <f t="shared" si="34"/>
        <v>0</v>
      </c>
      <c r="AG336" s="103">
        <f t="shared" si="35"/>
        <v>0</v>
      </c>
      <c r="AH336" s="37">
        <f t="shared" si="36"/>
        <v>0</v>
      </c>
      <c r="AJ336" s="34"/>
      <c r="AK336" s="34"/>
      <c r="AL336" s="82"/>
      <c r="AN336" s="83"/>
      <c r="AO336" s="83"/>
      <c r="AP336" s="82"/>
      <c r="AQ336" s="84"/>
      <c r="AR336" s="84"/>
      <c r="AS336" s="84"/>
      <c r="AU336" s="34"/>
      <c r="AV336" s="34"/>
      <c r="AW336" s="82"/>
      <c r="AY336" s="83"/>
      <c r="AZ336" s="83"/>
      <c r="BA336" s="82"/>
      <c r="BB336" s="84"/>
      <c r="BC336" s="84"/>
      <c r="BD336" s="84"/>
    </row>
    <row r="337" spans="22:56" ht="16" x14ac:dyDescent="0.4">
      <c r="V337" s="97"/>
      <c r="W337" s="16"/>
      <c r="X337" s="101"/>
      <c r="Y337" s="107"/>
      <c r="Z337" s="102"/>
      <c r="AA337" s="102"/>
      <c r="AB337" s="16"/>
      <c r="AC337" s="16"/>
      <c r="AD337" s="105"/>
      <c r="AE337" s="93"/>
      <c r="AG337" s="103">
        <f t="shared" si="35"/>
        <v>0</v>
      </c>
      <c r="AH337" s="37"/>
      <c r="AJ337" s="34"/>
      <c r="AK337" s="34"/>
      <c r="AL337" s="82"/>
      <c r="AN337" s="83"/>
      <c r="AO337" s="83"/>
      <c r="AP337" s="82"/>
      <c r="AQ337" s="84"/>
      <c r="AR337" s="84"/>
      <c r="AS337" s="84"/>
      <c r="AU337" s="34"/>
      <c r="AV337" s="34"/>
      <c r="AW337" s="82"/>
      <c r="AY337" s="83"/>
      <c r="AZ337" s="83"/>
      <c r="BA337" s="82"/>
      <c r="BB337" s="84"/>
      <c r="BC337" s="84"/>
      <c r="BD337" s="84"/>
    </row>
    <row r="338" spans="22:56" ht="16" x14ac:dyDescent="0.4">
      <c r="V338" s="97"/>
      <c r="W338" s="16"/>
      <c r="X338" s="101"/>
      <c r="Y338" s="107"/>
      <c r="Z338" s="102"/>
      <c r="AA338" s="102"/>
      <c r="AB338" s="16"/>
      <c r="AC338" s="16"/>
      <c r="AD338" s="105"/>
      <c r="AE338" s="93"/>
      <c r="AG338" s="103">
        <f t="shared" si="35"/>
        <v>0</v>
      </c>
      <c r="AH338" s="37"/>
      <c r="AJ338" s="34"/>
      <c r="AK338" s="34"/>
      <c r="AL338" s="82"/>
      <c r="AN338" s="83"/>
      <c r="AO338" s="83"/>
      <c r="AP338" s="82"/>
      <c r="AQ338" s="84"/>
      <c r="AR338" s="84"/>
      <c r="AS338" s="84"/>
      <c r="AU338" s="34"/>
      <c r="AV338" s="34"/>
      <c r="AW338" s="82"/>
      <c r="AY338" s="83"/>
      <c r="AZ338" s="83"/>
      <c r="BA338" s="82"/>
      <c r="BB338" s="84"/>
      <c r="BC338" s="84"/>
      <c r="BD338" s="84"/>
    </row>
    <row r="339" spans="22:56" ht="16" x14ac:dyDescent="0.4">
      <c r="V339" s="97"/>
      <c r="W339" s="16"/>
      <c r="X339" s="101"/>
      <c r="Y339" s="107"/>
      <c r="Z339" s="102"/>
      <c r="AA339" s="102"/>
      <c r="AB339" s="16"/>
      <c r="AC339" s="16"/>
      <c r="AD339" s="105"/>
      <c r="AE339" s="93">
        <f t="shared" si="34"/>
        <v>0</v>
      </c>
      <c r="AG339" s="103">
        <f t="shared" si="35"/>
        <v>0</v>
      </c>
      <c r="AH339" s="37">
        <f t="shared" si="36"/>
        <v>0</v>
      </c>
      <c r="AJ339" s="34"/>
      <c r="AK339" s="34"/>
      <c r="AL339" s="82"/>
      <c r="AN339" s="83"/>
      <c r="AO339" s="83"/>
      <c r="AP339" s="82"/>
      <c r="AQ339" s="84"/>
      <c r="AR339" s="84"/>
      <c r="AS339" s="84"/>
      <c r="AU339" s="34"/>
      <c r="AV339" s="34"/>
      <c r="AW339" s="82"/>
      <c r="AY339" s="83"/>
      <c r="AZ339" s="83"/>
      <c r="BA339" s="82"/>
      <c r="BB339" s="84"/>
      <c r="BC339" s="84"/>
      <c r="BD339" s="84"/>
    </row>
    <row r="340" spans="22:56" ht="16" x14ac:dyDescent="0.4">
      <c r="V340" s="97"/>
      <c r="W340" s="16"/>
      <c r="X340" s="101"/>
      <c r="Y340" s="107"/>
      <c r="Z340" s="102"/>
      <c r="AA340" s="102"/>
      <c r="AB340" s="16"/>
      <c r="AC340" s="16"/>
      <c r="AD340" s="105"/>
      <c r="AE340" s="93">
        <f t="shared" si="34"/>
        <v>0</v>
      </c>
      <c r="AG340" s="103">
        <f t="shared" si="35"/>
        <v>0</v>
      </c>
      <c r="AH340" s="37">
        <f t="shared" si="36"/>
        <v>0</v>
      </c>
      <c r="AJ340" s="34"/>
      <c r="AK340" s="34"/>
      <c r="AL340" s="82"/>
      <c r="AN340" s="83"/>
      <c r="AO340" s="83"/>
      <c r="AP340" s="82"/>
      <c r="AQ340" s="84"/>
      <c r="AR340" s="84"/>
      <c r="AS340" s="84"/>
      <c r="AU340" s="34"/>
      <c r="AV340" s="34"/>
      <c r="AW340" s="82"/>
      <c r="AY340" s="83"/>
      <c r="AZ340" s="83"/>
      <c r="BA340" s="82"/>
      <c r="BB340" s="84"/>
      <c r="BC340" s="84"/>
      <c r="BD340" s="84"/>
    </row>
    <row r="341" spans="22:56" ht="16" x14ac:dyDescent="0.4">
      <c r="V341" s="97"/>
      <c r="W341" s="16"/>
      <c r="X341" s="101"/>
      <c r="Y341" s="107"/>
      <c r="Z341" s="102"/>
      <c r="AA341" s="102"/>
      <c r="AB341" s="16"/>
      <c r="AC341" s="16"/>
      <c r="AD341" s="105"/>
      <c r="AE341" s="93">
        <f t="shared" si="34"/>
        <v>0</v>
      </c>
      <c r="AG341" s="103">
        <f t="shared" si="35"/>
        <v>0</v>
      </c>
      <c r="AH341" s="37">
        <f t="shared" si="36"/>
        <v>0</v>
      </c>
      <c r="AJ341" s="34"/>
      <c r="AK341" s="34"/>
      <c r="AL341" s="82"/>
      <c r="AN341" s="83"/>
      <c r="AO341" s="83"/>
      <c r="AP341" s="82"/>
      <c r="AQ341" s="84"/>
      <c r="AR341" s="84"/>
      <c r="AS341" s="84"/>
      <c r="AU341" s="34"/>
      <c r="AV341" s="34"/>
      <c r="AW341" s="82"/>
      <c r="AY341" s="83"/>
      <c r="AZ341" s="83"/>
      <c r="BA341" s="82"/>
      <c r="BB341" s="84"/>
      <c r="BC341" s="84"/>
      <c r="BD341" s="84"/>
    </row>
    <row r="342" spans="22:56" ht="16" x14ac:dyDescent="0.4">
      <c r="V342" s="97"/>
      <c r="W342" s="16"/>
      <c r="X342" s="101"/>
      <c r="Y342" s="107"/>
      <c r="Z342" s="102"/>
      <c r="AA342" s="102"/>
      <c r="AB342" s="16"/>
      <c r="AC342" s="16"/>
      <c r="AD342" s="105"/>
      <c r="AE342" s="93">
        <f t="shared" si="34"/>
        <v>0</v>
      </c>
      <c r="AG342" s="103">
        <f t="shared" si="35"/>
        <v>0</v>
      </c>
      <c r="AH342" s="37">
        <f t="shared" si="36"/>
        <v>0</v>
      </c>
      <c r="AJ342" s="34"/>
      <c r="AK342" s="34"/>
      <c r="AL342" s="82"/>
      <c r="AN342" s="83"/>
      <c r="AO342" s="83"/>
      <c r="AP342" s="82"/>
      <c r="AQ342" s="84"/>
      <c r="AR342" s="84"/>
      <c r="AS342" s="84"/>
      <c r="AU342" s="34"/>
      <c r="AV342" s="34"/>
      <c r="AW342" s="82"/>
      <c r="AY342" s="83"/>
      <c r="AZ342" s="83"/>
      <c r="BA342" s="82"/>
      <c r="BB342" s="84"/>
      <c r="BC342" s="84"/>
      <c r="BD342" s="84"/>
    </row>
    <row r="343" spans="22:56" ht="16" x14ac:dyDescent="0.4">
      <c r="V343" s="97"/>
      <c r="W343" s="16"/>
      <c r="X343" s="101"/>
      <c r="Y343" s="107"/>
      <c r="Z343" s="102"/>
      <c r="AA343" s="102"/>
      <c r="AB343" s="16"/>
      <c r="AC343" s="16"/>
      <c r="AD343" s="105"/>
      <c r="AE343" s="93">
        <f t="shared" si="34"/>
        <v>0</v>
      </c>
      <c r="AG343" s="103">
        <f t="shared" si="35"/>
        <v>0</v>
      </c>
      <c r="AH343" s="37">
        <f t="shared" si="36"/>
        <v>0</v>
      </c>
      <c r="AJ343" s="34"/>
      <c r="AK343" s="34"/>
      <c r="AL343" s="82"/>
      <c r="AN343" s="83"/>
      <c r="AO343" s="83"/>
      <c r="AP343" s="82"/>
      <c r="AQ343" s="84"/>
      <c r="AR343" s="84"/>
      <c r="AS343" s="84"/>
      <c r="AU343" s="34"/>
      <c r="AV343" s="34"/>
      <c r="AW343" s="82"/>
      <c r="AY343" s="83"/>
      <c r="AZ343" s="83"/>
      <c r="BA343" s="82"/>
      <c r="BB343" s="84"/>
      <c r="BC343" s="84"/>
      <c r="BD343" s="84"/>
    </row>
    <row r="344" spans="22:56" ht="16" x14ac:dyDescent="0.4">
      <c r="V344" s="97"/>
      <c r="W344" s="16"/>
      <c r="X344" s="101"/>
      <c r="Y344" s="105"/>
      <c r="Z344" s="102"/>
      <c r="AA344" s="102"/>
      <c r="AB344" s="16"/>
      <c r="AC344" s="16"/>
      <c r="AD344" s="105"/>
      <c r="AE344" s="93">
        <f t="shared" si="34"/>
        <v>0</v>
      </c>
      <c r="AG344" s="103">
        <f t="shared" si="35"/>
        <v>0</v>
      </c>
      <c r="AH344" s="37">
        <f t="shared" si="36"/>
        <v>0</v>
      </c>
      <c r="AJ344" s="34"/>
      <c r="AK344" s="34"/>
      <c r="AL344" s="82"/>
      <c r="AN344" s="83"/>
      <c r="AO344" s="83"/>
      <c r="AP344" s="82"/>
      <c r="AQ344" s="84"/>
      <c r="AR344" s="84"/>
      <c r="AS344" s="84"/>
      <c r="AU344" s="34"/>
      <c r="AV344" s="34"/>
      <c r="AW344" s="82"/>
      <c r="AY344" s="83"/>
      <c r="AZ344" s="83"/>
      <c r="BA344" s="82"/>
      <c r="BB344" s="84"/>
      <c r="BC344" s="84"/>
      <c r="BD344" s="84"/>
    </row>
    <row r="345" spans="22:56" ht="16" x14ac:dyDescent="0.4">
      <c r="V345" s="97"/>
      <c r="W345" s="16"/>
      <c r="X345" s="101"/>
      <c r="Z345" s="50"/>
      <c r="AA345" s="50"/>
      <c r="AD345" s="37"/>
      <c r="AE345" s="48">
        <f t="shared" si="34"/>
        <v>0</v>
      </c>
      <c r="AG345" s="103">
        <f t="shared" si="35"/>
        <v>0</v>
      </c>
      <c r="AH345" s="37">
        <f t="shared" si="36"/>
        <v>0</v>
      </c>
      <c r="AJ345" s="34"/>
      <c r="AK345" s="34"/>
      <c r="AL345" s="82"/>
      <c r="AN345" s="83"/>
      <c r="AO345" s="83"/>
      <c r="AP345" s="82"/>
      <c r="AQ345" s="84"/>
      <c r="AR345" s="84"/>
      <c r="AS345" s="84"/>
      <c r="AU345" s="34"/>
      <c r="AV345" s="34"/>
      <c r="AW345" s="82"/>
      <c r="AY345" s="83"/>
      <c r="AZ345" s="83"/>
      <c r="BA345" s="82"/>
      <c r="BB345" s="84"/>
      <c r="BC345" s="84"/>
      <c r="BD345" s="84"/>
    </row>
    <row r="346" spans="22:56" ht="16" x14ac:dyDescent="0.4">
      <c r="V346" s="97"/>
      <c r="W346" s="16"/>
      <c r="X346" s="101"/>
      <c r="Z346" s="50"/>
      <c r="AA346" s="50"/>
      <c r="AD346" s="37"/>
      <c r="AE346" s="48">
        <f t="shared" si="34"/>
        <v>0</v>
      </c>
      <c r="AG346" s="103">
        <f t="shared" si="35"/>
        <v>0</v>
      </c>
      <c r="AH346" s="37">
        <f t="shared" si="36"/>
        <v>0</v>
      </c>
      <c r="AJ346" s="34"/>
      <c r="AK346" s="34"/>
      <c r="AL346" s="82"/>
      <c r="AN346" s="83"/>
      <c r="AO346" s="83"/>
      <c r="AP346" s="82"/>
      <c r="AQ346" s="84"/>
      <c r="AR346" s="84"/>
      <c r="AS346" s="84"/>
      <c r="AU346" s="34"/>
      <c r="AV346" s="34"/>
      <c r="AW346" s="82"/>
      <c r="AY346" s="83"/>
      <c r="AZ346" s="83"/>
      <c r="BA346" s="82"/>
      <c r="BB346" s="84"/>
      <c r="BC346" s="84"/>
      <c r="BD346" s="84"/>
    </row>
    <row r="347" spans="22:56" ht="16" x14ac:dyDescent="0.4">
      <c r="V347" s="97"/>
      <c r="W347" s="16"/>
      <c r="X347" s="101"/>
      <c r="Z347" s="50"/>
      <c r="AA347" s="50"/>
      <c r="AD347" s="37"/>
      <c r="AE347" s="48">
        <f t="shared" si="34"/>
        <v>0</v>
      </c>
      <c r="AG347" s="103">
        <f t="shared" si="35"/>
        <v>0</v>
      </c>
      <c r="AH347" s="37">
        <f t="shared" si="36"/>
        <v>0</v>
      </c>
      <c r="AJ347" s="34"/>
      <c r="AK347" s="34"/>
      <c r="AL347" s="82"/>
      <c r="AN347" s="83"/>
      <c r="AO347" s="83"/>
      <c r="AP347" s="82"/>
      <c r="AQ347" s="84"/>
      <c r="AR347" s="84"/>
      <c r="AS347" s="84"/>
      <c r="AU347" s="34"/>
      <c r="AV347" s="34"/>
      <c r="AW347" s="82"/>
      <c r="AY347" s="83"/>
      <c r="AZ347" s="83"/>
      <c r="BA347" s="82"/>
      <c r="BB347" s="84"/>
      <c r="BC347" s="84"/>
      <c r="BD347" s="84"/>
    </row>
    <row r="348" spans="22:56" ht="16" x14ac:dyDescent="0.4">
      <c r="V348" s="97"/>
      <c r="W348" s="16"/>
      <c r="X348" s="101"/>
      <c r="Z348" s="50"/>
      <c r="AA348" s="50"/>
      <c r="AD348" s="100"/>
      <c r="AE348" s="48">
        <f t="shared" si="34"/>
        <v>0</v>
      </c>
      <c r="AF348" s="16"/>
      <c r="AG348" s="103">
        <f t="shared" si="35"/>
        <v>0</v>
      </c>
      <c r="AH348" s="37">
        <f t="shared" si="36"/>
        <v>0</v>
      </c>
      <c r="AJ348" s="34"/>
      <c r="AK348" s="34"/>
      <c r="AL348" s="82"/>
      <c r="AN348" s="83"/>
      <c r="AO348" s="83"/>
      <c r="AP348" s="82"/>
      <c r="AQ348" s="84"/>
      <c r="AR348" s="84"/>
      <c r="AS348" s="84"/>
      <c r="AU348" s="34"/>
      <c r="AV348" s="34"/>
      <c r="AW348" s="82"/>
      <c r="AY348" s="83"/>
      <c r="AZ348" s="83"/>
      <c r="BA348" s="82"/>
      <c r="BB348" s="84"/>
      <c r="BC348" s="84"/>
      <c r="BD348" s="84"/>
    </row>
    <row r="349" spans="22:56" ht="16" x14ac:dyDescent="0.4">
      <c r="V349" s="97"/>
      <c r="W349" s="16"/>
      <c r="X349" s="101"/>
      <c r="Z349" s="50"/>
      <c r="AA349" s="50"/>
      <c r="AD349" s="100"/>
      <c r="AE349" s="48">
        <f t="shared" si="34"/>
        <v>0</v>
      </c>
      <c r="AF349" s="16"/>
      <c r="AG349" s="103">
        <f t="shared" si="35"/>
        <v>0</v>
      </c>
      <c r="AH349" s="37">
        <f t="shared" si="36"/>
        <v>0</v>
      </c>
      <c r="AJ349" s="34"/>
      <c r="AK349" s="34"/>
      <c r="AL349" s="82"/>
      <c r="AN349" s="83"/>
      <c r="AO349" s="83"/>
      <c r="AP349" s="82"/>
      <c r="AQ349" s="84"/>
      <c r="AR349" s="84"/>
      <c r="AS349" s="84"/>
      <c r="AU349" s="34"/>
      <c r="AV349" s="34"/>
      <c r="AW349" s="82"/>
      <c r="AY349" s="83"/>
      <c r="AZ349" s="83"/>
      <c r="BA349" s="82"/>
      <c r="BB349" s="84"/>
      <c r="BC349" s="84"/>
      <c r="BD349" s="84"/>
    </row>
    <row r="350" spans="22:56" ht="16" x14ac:dyDescent="0.4">
      <c r="V350" s="97"/>
      <c r="W350" s="16"/>
      <c r="X350" s="101"/>
      <c r="Z350" s="50"/>
      <c r="AA350" s="50"/>
      <c r="AD350" s="100"/>
      <c r="AE350" s="48">
        <f t="shared" si="34"/>
        <v>0</v>
      </c>
      <c r="AF350" s="16"/>
      <c r="AG350" s="103">
        <f t="shared" si="35"/>
        <v>0</v>
      </c>
      <c r="AH350" s="37">
        <f t="shared" si="36"/>
        <v>0</v>
      </c>
      <c r="AJ350" s="34"/>
      <c r="AK350" s="34"/>
      <c r="AL350" s="82"/>
      <c r="AN350" s="83"/>
      <c r="AO350" s="83"/>
      <c r="AP350" s="82"/>
      <c r="AQ350" s="84"/>
      <c r="AR350" s="84"/>
      <c r="AS350" s="84"/>
      <c r="AU350" s="34"/>
      <c r="AV350" s="34"/>
      <c r="AW350" s="82"/>
      <c r="AY350" s="83"/>
      <c r="AZ350" s="83"/>
      <c r="BA350" s="82"/>
      <c r="BB350" s="84"/>
      <c r="BC350" s="84"/>
      <c r="BD350" s="84"/>
    </row>
    <row r="351" spans="22:56" ht="16" x14ac:dyDescent="0.4">
      <c r="V351" s="97"/>
      <c r="W351" s="16"/>
      <c r="X351" s="101"/>
      <c r="Z351" s="50"/>
      <c r="AA351" s="50"/>
      <c r="AD351" s="100"/>
      <c r="AE351" s="48">
        <f t="shared" si="34"/>
        <v>0</v>
      </c>
      <c r="AF351" s="16"/>
      <c r="AG351" s="103">
        <f t="shared" si="35"/>
        <v>0</v>
      </c>
      <c r="AH351" s="37">
        <f t="shared" si="36"/>
        <v>0</v>
      </c>
      <c r="AJ351" s="34"/>
      <c r="AK351" s="34"/>
      <c r="AL351" s="82"/>
      <c r="AN351" s="83"/>
      <c r="AO351" s="83"/>
      <c r="AP351" s="82"/>
      <c r="AQ351" s="84"/>
      <c r="AR351" s="84"/>
      <c r="AS351" s="84"/>
      <c r="AU351" s="34"/>
      <c r="AV351" s="34"/>
      <c r="AW351" s="82"/>
      <c r="AY351" s="83"/>
      <c r="AZ351" s="83"/>
      <c r="BA351" s="82"/>
      <c r="BB351" s="84"/>
      <c r="BC351" s="84"/>
      <c r="BD351" s="84"/>
    </row>
    <row r="352" spans="22:56" ht="16" x14ac:dyDescent="0.4">
      <c r="V352" s="97"/>
      <c r="W352" s="16"/>
      <c r="X352" s="101"/>
      <c r="Z352" s="50"/>
      <c r="AA352" s="50"/>
      <c r="AD352" s="100"/>
      <c r="AE352" s="48">
        <f t="shared" si="34"/>
        <v>0</v>
      </c>
      <c r="AF352" s="16"/>
      <c r="AG352" s="103">
        <f t="shared" si="35"/>
        <v>0</v>
      </c>
      <c r="AH352" s="37">
        <f t="shared" si="36"/>
        <v>0</v>
      </c>
      <c r="AJ352" s="34"/>
      <c r="AK352" s="34"/>
      <c r="AL352" s="82"/>
      <c r="AN352" s="83"/>
      <c r="AO352" s="83"/>
      <c r="AP352" s="82"/>
      <c r="AQ352" s="84"/>
      <c r="AR352" s="84"/>
      <c r="AS352" s="84"/>
      <c r="AU352" s="34"/>
      <c r="AV352" s="34"/>
      <c r="AW352" s="82"/>
      <c r="AY352" s="83"/>
      <c r="AZ352" s="83"/>
      <c r="BA352" s="82"/>
      <c r="BB352" s="84"/>
      <c r="BC352" s="84"/>
      <c r="BD352" s="84"/>
    </row>
    <row r="353" spans="22:56" ht="16" x14ac:dyDescent="0.4">
      <c r="V353" s="97"/>
      <c r="W353" s="16"/>
      <c r="X353" s="101"/>
      <c r="Z353" s="50"/>
      <c r="AA353" s="50"/>
      <c r="AD353" s="100"/>
      <c r="AE353" s="48">
        <f t="shared" si="34"/>
        <v>0</v>
      </c>
      <c r="AF353" s="16"/>
      <c r="AG353" s="103">
        <f t="shared" si="35"/>
        <v>0</v>
      </c>
      <c r="AH353" s="37">
        <f t="shared" si="36"/>
        <v>0</v>
      </c>
      <c r="AJ353" s="34"/>
      <c r="AK353" s="34"/>
      <c r="AL353" s="82"/>
      <c r="AN353" s="83"/>
      <c r="AO353" s="83"/>
      <c r="AP353" s="82"/>
      <c r="AQ353" s="84"/>
      <c r="AR353" s="84"/>
      <c r="AS353" s="84"/>
      <c r="AU353" s="34"/>
      <c r="AV353" s="34"/>
      <c r="AW353" s="82"/>
      <c r="AY353" s="83"/>
      <c r="AZ353" s="83"/>
      <c r="BA353" s="82"/>
      <c r="BB353" s="84"/>
      <c r="BC353" s="84"/>
      <c r="BD353" s="84"/>
    </row>
    <row r="354" spans="22:56" ht="16" x14ac:dyDescent="0.4">
      <c r="V354" s="97"/>
      <c r="W354" s="16"/>
      <c r="X354" s="101"/>
      <c r="Z354" s="50"/>
      <c r="AA354" s="50"/>
      <c r="AD354" s="100"/>
      <c r="AE354" s="48">
        <f t="shared" si="34"/>
        <v>0</v>
      </c>
      <c r="AF354" s="16"/>
      <c r="AG354" s="103">
        <f t="shared" si="35"/>
        <v>0</v>
      </c>
      <c r="AH354" s="37">
        <f t="shared" si="36"/>
        <v>0</v>
      </c>
      <c r="AJ354" s="34"/>
      <c r="AK354" s="34"/>
      <c r="AL354" s="82"/>
      <c r="AN354" s="83"/>
      <c r="AO354" s="83"/>
      <c r="AP354" s="82"/>
      <c r="AQ354" s="84"/>
      <c r="AR354" s="84"/>
      <c r="AS354" s="84"/>
      <c r="AU354" s="34"/>
      <c r="AV354" s="34"/>
      <c r="AW354" s="82"/>
      <c r="AY354" s="83"/>
      <c r="AZ354" s="83"/>
      <c r="BA354" s="82"/>
      <c r="BB354" s="84"/>
      <c r="BC354" s="84"/>
      <c r="BD354" s="84"/>
    </row>
    <row r="355" spans="22:56" ht="16" x14ac:dyDescent="0.4">
      <c r="V355" s="97"/>
      <c r="W355" s="16"/>
      <c r="X355" s="101"/>
      <c r="Z355" s="50"/>
      <c r="AA355" s="50"/>
      <c r="AD355" s="100"/>
      <c r="AE355" s="48">
        <f t="shared" si="34"/>
        <v>0</v>
      </c>
      <c r="AF355" s="16"/>
      <c r="AG355" s="103">
        <f t="shared" si="35"/>
        <v>0</v>
      </c>
      <c r="AH355" s="37">
        <f t="shared" si="36"/>
        <v>0</v>
      </c>
      <c r="AJ355" s="34"/>
      <c r="AK355" s="34"/>
      <c r="AL355" s="82"/>
      <c r="AN355" s="83"/>
      <c r="AO355" s="83"/>
      <c r="AP355" s="82"/>
      <c r="AQ355" s="84"/>
      <c r="AR355" s="84"/>
      <c r="AS355" s="84"/>
      <c r="AU355" s="34"/>
      <c r="AV355" s="34"/>
      <c r="AW355" s="82"/>
      <c r="AY355" s="83"/>
      <c r="AZ355" s="83"/>
      <c r="BA355" s="82"/>
      <c r="BB355" s="84"/>
      <c r="BC355" s="84"/>
      <c r="BD355" s="84"/>
    </row>
    <row r="356" spans="22:56" ht="16" x14ac:dyDescent="0.4">
      <c r="V356" s="97"/>
      <c r="W356" s="16"/>
      <c r="X356" s="101"/>
      <c r="Z356" s="50"/>
      <c r="AA356" s="50"/>
      <c r="AD356" s="100"/>
      <c r="AE356" s="48">
        <f t="shared" si="34"/>
        <v>0</v>
      </c>
      <c r="AF356" s="16"/>
      <c r="AG356" s="103">
        <f t="shared" si="35"/>
        <v>0</v>
      </c>
      <c r="AH356" s="37">
        <f t="shared" si="36"/>
        <v>0</v>
      </c>
      <c r="AJ356" s="34"/>
      <c r="AK356" s="34"/>
      <c r="AL356" s="82"/>
      <c r="AN356" s="83"/>
      <c r="AO356" s="83"/>
      <c r="AP356" s="82"/>
      <c r="AQ356" s="84"/>
      <c r="AR356" s="84"/>
      <c r="AS356" s="84"/>
      <c r="AU356" s="34"/>
      <c r="AV356" s="34"/>
      <c r="AW356" s="82"/>
      <c r="AY356" s="83"/>
      <c r="AZ356" s="83"/>
      <c r="BA356" s="82"/>
      <c r="BB356" s="84"/>
      <c r="BC356" s="84"/>
      <c r="BD356" s="84"/>
    </row>
    <row r="357" spans="22:56" ht="16" x14ac:dyDescent="0.4">
      <c r="V357" s="97"/>
      <c r="W357" s="16"/>
      <c r="X357" s="101"/>
      <c r="Z357" s="50"/>
      <c r="AA357" s="50"/>
      <c r="AD357" s="100"/>
      <c r="AE357" s="48">
        <f t="shared" si="34"/>
        <v>0</v>
      </c>
      <c r="AF357" s="16"/>
      <c r="AG357" s="103">
        <f t="shared" si="35"/>
        <v>0</v>
      </c>
      <c r="AH357" s="37">
        <f t="shared" si="36"/>
        <v>0</v>
      </c>
      <c r="AJ357" s="34"/>
      <c r="AK357" s="34"/>
      <c r="AL357" s="82"/>
      <c r="AN357" s="83"/>
      <c r="AO357" s="83"/>
      <c r="AP357" s="82"/>
      <c r="AQ357" s="84"/>
      <c r="AR357" s="84"/>
      <c r="AS357" s="84"/>
      <c r="AU357" s="34"/>
      <c r="AV357" s="34"/>
      <c r="AW357" s="82"/>
      <c r="AY357" s="83"/>
      <c r="AZ357" s="83"/>
      <c r="BA357" s="82"/>
      <c r="BB357" s="84"/>
      <c r="BC357" s="84"/>
      <c r="BD357" s="84"/>
    </row>
    <row r="358" spans="22:56" ht="16" x14ac:dyDescent="0.4">
      <c r="V358" s="97"/>
      <c r="W358" s="16"/>
      <c r="X358" s="101"/>
      <c r="Z358" s="50"/>
      <c r="AA358" s="50"/>
      <c r="AD358" s="100"/>
      <c r="AE358" s="48">
        <f t="shared" si="34"/>
        <v>0</v>
      </c>
      <c r="AF358" s="16"/>
      <c r="AG358" s="103">
        <f t="shared" si="35"/>
        <v>0</v>
      </c>
      <c r="AH358" s="37">
        <f t="shared" si="36"/>
        <v>0</v>
      </c>
      <c r="AJ358" s="34"/>
      <c r="AK358" s="34"/>
      <c r="AL358" s="82"/>
      <c r="AN358" s="83"/>
      <c r="AO358" s="83"/>
      <c r="AP358" s="82"/>
      <c r="AQ358" s="84"/>
      <c r="AR358" s="84"/>
      <c r="AS358" s="84"/>
      <c r="AU358" s="34"/>
      <c r="AV358" s="34"/>
      <c r="AW358" s="82"/>
      <c r="AY358" s="83"/>
      <c r="AZ358" s="83"/>
      <c r="BA358" s="82"/>
      <c r="BB358" s="84"/>
      <c r="BC358" s="84"/>
      <c r="BD358" s="84"/>
    </row>
    <row r="359" spans="22:56" ht="16" x14ac:dyDescent="0.4">
      <c r="V359" s="97"/>
      <c r="W359" s="16"/>
      <c r="X359" s="101"/>
      <c r="Z359" s="50"/>
      <c r="AA359" s="50"/>
      <c r="AD359" s="100"/>
      <c r="AE359" s="48">
        <f t="shared" si="34"/>
        <v>0</v>
      </c>
      <c r="AF359" s="16"/>
      <c r="AG359" s="103">
        <f t="shared" si="35"/>
        <v>0</v>
      </c>
      <c r="AH359" s="37">
        <f t="shared" si="36"/>
        <v>0</v>
      </c>
      <c r="AJ359" s="34"/>
      <c r="AK359" s="34"/>
      <c r="AL359" s="82"/>
      <c r="AN359" s="83"/>
      <c r="AO359" s="83"/>
      <c r="AP359" s="82"/>
      <c r="AQ359" s="84"/>
      <c r="AR359" s="84"/>
      <c r="AS359" s="84"/>
      <c r="AU359" s="34"/>
      <c r="AV359" s="34"/>
      <c r="AW359" s="82"/>
      <c r="AY359" s="83"/>
      <c r="AZ359" s="83"/>
      <c r="BA359" s="82"/>
      <c r="BB359" s="84"/>
      <c r="BC359" s="84"/>
      <c r="BD359" s="84"/>
    </row>
    <row r="360" spans="22:56" ht="16" x14ac:dyDescent="0.4">
      <c r="V360" s="97"/>
      <c r="W360" s="16"/>
      <c r="X360" s="101"/>
      <c r="Z360" s="50"/>
      <c r="AA360" s="50"/>
      <c r="AD360" s="100"/>
      <c r="AE360" s="48">
        <f t="shared" si="34"/>
        <v>0</v>
      </c>
      <c r="AF360" s="16"/>
      <c r="AG360" s="103">
        <f t="shared" si="35"/>
        <v>0</v>
      </c>
      <c r="AH360" s="37">
        <f t="shared" si="36"/>
        <v>0</v>
      </c>
      <c r="AJ360" s="34"/>
      <c r="AK360" s="34"/>
      <c r="AL360" s="82"/>
      <c r="AN360" s="83"/>
      <c r="AO360" s="83"/>
      <c r="AP360" s="82"/>
      <c r="AQ360" s="84"/>
      <c r="AR360" s="84"/>
      <c r="AS360" s="84"/>
      <c r="AU360" s="34"/>
      <c r="AV360" s="34"/>
      <c r="AW360" s="82"/>
      <c r="AY360" s="83"/>
      <c r="AZ360" s="83"/>
      <c r="BA360" s="82"/>
      <c r="BB360" s="84"/>
      <c r="BC360" s="84"/>
      <c r="BD360" s="84"/>
    </row>
    <row r="361" spans="22:56" ht="16" x14ac:dyDescent="0.4">
      <c r="V361" s="97"/>
      <c r="W361" s="16"/>
      <c r="X361" s="101"/>
      <c r="Z361" s="50"/>
      <c r="AA361" s="50"/>
      <c r="AD361" s="100"/>
      <c r="AE361" s="48">
        <f t="shared" si="34"/>
        <v>0</v>
      </c>
      <c r="AF361" s="16"/>
      <c r="AG361" s="103">
        <f t="shared" si="35"/>
        <v>0</v>
      </c>
      <c r="AH361" s="37">
        <f t="shared" si="36"/>
        <v>0</v>
      </c>
      <c r="AJ361" s="34"/>
      <c r="AK361" s="34"/>
      <c r="AL361" s="82"/>
      <c r="AN361" s="83"/>
      <c r="AO361" s="83"/>
      <c r="AP361" s="82"/>
      <c r="AQ361" s="84"/>
      <c r="AR361" s="84"/>
      <c r="AS361" s="84"/>
      <c r="AU361" s="34"/>
      <c r="AV361" s="34"/>
      <c r="AW361" s="82"/>
      <c r="AY361" s="83"/>
      <c r="AZ361" s="83"/>
      <c r="BA361" s="82"/>
      <c r="BB361" s="84"/>
      <c r="BC361" s="84"/>
      <c r="BD361" s="84"/>
    </row>
    <row r="362" spans="22:56" ht="16" x14ac:dyDescent="0.4">
      <c r="V362" s="97"/>
      <c r="W362" s="16"/>
      <c r="X362" s="101"/>
      <c r="Z362" s="50"/>
      <c r="AA362" s="50"/>
      <c r="AD362" s="100"/>
      <c r="AE362" s="48">
        <f t="shared" si="34"/>
        <v>0</v>
      </c>
      <c r="AF362" s="16"/>
      <c r="AG362" s="103">
        <f t="shared" si="35"/>
        <v>0</v>
      </c>
      <c r="AH362" s="37">
        <f t="shared" si="36"/>
        <v>0</v>
      </c>
      <c r="AJ362" s="34"/>
      <c r="AK362" s="34"/>
      <c r="AL362" s="82"/>
      <c r="AN362" s="83"/>
      <c r="AO362" s="83"/>
      <c r="AP362" s="82"/>
      <c r="AQ362" s="84"/>
      <c r="AR362" s="84"/>
      <c r="AS362" s="84"/>
      <c r="AU362" s="34"/>
      <c r="AV362" s="34"/>
      <c r="AW362" s="82"/>
      <c r="AY362" s="83"/>
      <c r="AZ362" s="83"/>
      <c r="BA362" s="82"/>
      <c r="BB362" s="84"/>
      <c r="BC362" s="84"/>
      <c r="BD362" s="84"/>
    </row>
    <row r="363" spans="22:56" ht="16" x14ac:dyDescent="0.4">
      <c r="V363" s="97"/>
      <c r="W363" s="16"/>
      <c r="X363" s="101"/>
      <c r="Z363" s="50"/>
      <c r="AA363" s="50"/>
      <c r="AD363" s="100"/>
      <c r="AE363" s="48">
        <f t="shared" si="34"/>
        <v>0</v>
      </c>
      <c r="AF363" s="16"/>
      <c r="AG363" s="103">
        <f t="shared" si="35"/>
        <v>0</v>
      </c>
      <c r="AH363" s="37">
        <f t="shared" si="36"/>
        <v>0</v>
      </c>
      <c r="AJ363" s="34"/>
      <c r="AK363" s="34"/>
      <c r="AL363" s="82"/>
      <c r="AN363" s="83"/>
      <c r="AO363" s="83"/>
      <c r="AP363" s="82"/>
      <c r="AQ363" s="84"/>
      <c r="AR363" s="84"/>
      <c r="AS363" s="84"/>
      <c r="AU363" s="34"/>
      <c r="AV363" s="34"/>
      <c r="AW363" s="82"/>
      <c r="AY363" s="83"/>
      <c r="AZ363" s="83"/>
      <c r="BA363" s="82"/>
      <c r="BB363" s="84"/>
      <c r="BC363" s="84"/>
      <c r="BD363" s="84"/>
    </row>
    <row r="364" spans="22:56" ht="16" x14ac:dyDescent="0.4">
      <c r="V364" s="97"/>
      <c r="W364" s="16"/>
      <c r="X364" s="101"/>
      <c r="Z364" s="50"/>
      <c r="AA364" s="50"/>
      <c r="AD364" s="100"/>
      <c r="AE364" s="48">
        <f t="shared" si="34"/>
        <v>0</v>
      </c>
      <c r="AF364" s="16"/>
      <c r="AG364" s="103">
        <f t="shared" si="35"/>
        <v>0</v>
      </c>
      <c r="AH364" s="37">
        <f t="shared" si="36"/>
        <v>0</v>
      </c>
      <c r="AJ364" s="34"/>
      <c r="AK364" s="34"/>
      <c r="AL364" s="82"/>
      <c r="AN364" s="83"/>
      <c r="AO364" s="83"/>
      <c r="AP364" s="82"/>
      <c r="AQ364" s="84"/>
      <c r="AR364" s="84"/>
      <c r="AS364" s="84"/>
      <c r="AU364" s="34"/>
      <c r="AV364" s="34"/>
      <c r="AW364" s="82"/>
      <c r="AY364" s="83"/>
      <c r="AZ364" s="83"/>
      <c r="BA364" s="82"/>
      <c r="BB364" s="84"/>
      <c r="BC364" s="84"/>
      <c r="BD364" s="84"/>
    </row>
    <row r="365" spans="22:56" ht="16" x14ac:dyDescent="0.4">
      <c r="V365" s="97"/>
      <c r="W365" s="16"/>
      <c r="X365" s="101"/>
      <c r="Z365" s="50"/>
      <c r="AA365" s="50"/>
      <c r="AD365" s="100"/>
      <c r="AE365" s="48">
        <f t="shared" si="34"/>
        <v>0</v>
      </c>
      <c r="AF365" s="16"/>
      <c r="AG365" s="103">
        <f t="shared" si="35"/>
        <v>0</v>
      </c>
      <c r="AH365" s="37">
        <f t="shared" si="36"/>
        <v>0</v>
      </c>
      <c r="AJ365" s="34"/>
      <c r="AK365" s="34"/>
      <c r="AL365" s="82"/>
      <c r="AN365" s="83"/>
      <c r="AO365" s="83"/>
      <c r="AP365" s="82"/>
      <c r="AQ365" s="84"/>
      <c r="AR365" s="84"/>
      <c r="AS365" s="84"/>
      <c r="AU365" s="34"/>
      <c r="AV365" s="34"/>
      <c r="AW365" s="82"/>
      <c r="AY365" s="83"/>
      <c r="AZ365" s="83"/>
      <c r="BA365" s="82"/>
      <c r="BB365" s="84"/>
      <c r="BC365" s="84"/>
      <c r="BD365" s="84"/>
    </row>
    <row r="366" spans="22:56" ht="16" x14ac:dyDescent="0.4">
      <c r="V366" s="97"/>
      <c r="W366" s="16"/>
      <c r="X366" s="101"/>
      <c r="Z366" s="50"/>
      <c r="AA366" s="50"/>
      <c r="AD366" s="100"/>
      <c r="AE366" s="48">
        <f t="shared" si="34"/>
        <v>0</v>
      </c>
      <c r="AF366" s="16"/>
      <c r="AG366" s="103">
        <f t="shared" si="35"/>
        <v>0</v>
      </c>
      <c r="AH366" s="37">
        <f t="shared" si="36"/>
        <v>0</v>
      </c>
      <c r="AJ366" s="34"/>
      <c r="AK366" s="34"/>
      <c r="AL366" s="82"/>
      <c r="AN366" s="83"/>
      <c r="AO366" s="83"/>
      <c r="AP366" s="82"/>
      <c r="AQ366" s="84"/>
      <c r="AR366" s="84"/>
      <c r="AS366" s="84"/>
      <c r="AU366" s="34"/>
      <c r="AV366" s="34"/>
      <c r="AW366" s="82"/>
      <c r="AY366" s="83"/>
      <c r="AZ366" s="83"/>
      <c r="BA366" s="82"/>
      <c r="BB366" s="84"/>
      <c r="BC366" s="84"/>
      <c r="BD366" s="84"/>
    </row>
    <row r="367" spans="22:56" ht="16" x14ac:dyDescent="0.4">
      <c r="V367" s="97"/>
      <c r="W367" s="16"/>
      <c r="X367" s="101"/>
      <c r="Z367" s="50"/>
      <c r="AA367" s="50"/>
      <c r="AD367" s="100"/>
      <c r="AE367" s="48">
        <f t="shared" si="34"/>
        <v>0</v>
      </c>
      <c r="AF367" s="16"/>
      <c r="AG367" s="103">
        <f t="shared" si="35"/>
        <v>0</v>
      </c>
      <c r="AH367" s="37">
        <f t="shared" si="36"/>
        <v>0</v>
      </c>
      <c r="AJ367" s="34"/>
      <c r="AK367" s="34"/>
      <c r="AL367" s="82"/>
      <c r="AN367" s="83"/>
      <c r="AO367" s="83"/>
      <c r="AP367" s="82"/>
      <c r="AQ367" s="84"/>
      <c r="AR367" s="84"/>
      <c r="AS367" s="84"/>
      <c r="AU367" s="34"/>
      <c r="AV367" s="34"/>
      <c r="AW367" s="82"/>
      <c r="AY367" s="83"/>
      <c r="AZ367" s="83"/>
      <c r="BA367" s="82"/>
      <c r="BB367" s="84"/>
      <c r="BC367" s="84"/>
      <c r="BD367" s="84"/>
    </row>
    <row r="368" spans="22:56" ht="16" x14ac:dyDescent="0.4">
      <c r="V368" s="97"/>
      <c r="W368" s="16"/>
      <c r="X368" s="101"/>
      <c r="Z368" s="50"/>
      <c r="AA368" s="50"/>
      <c r="AD368" s="100"/>
      <c r="AE368" s="48">
        <f t="shared" si="34"/>
        <v>0</v>
      </c>
      <c r="AF368" s="16"/>
      <c r="AG368" s="103">
        <f t="shared" si="35"/>
        <v>0</v>
      </c>
      <c r="AH368" s="37">
        <f t="shared" si="36"/>
        <v>0</v>
      </c>
      <c r="AJ368" s="34"/>
      <c r="AK368" s="34"/>
      <c r="AL368" s="82"/>
      <c r="AN368" s="83"/>
      <c r="AO368" s="83"/>
      <c r="AP368" s="82"/>
      <c r="AQ368" s="84"/>
      <c r="AR368" s="84"/>
      <c r="AS368" s="84"/>
      <c r="AU368" s="34"/>
      <c r="AV368" s="34"/>
      <c r="AW368" s="82"/>
      <c r="AY368" s="83"/>
      <c r="AZ368" s="83"/>
      <c r="BA368" s="82"/>
      <c r="BB368" s="84"/>
      <c r="BC368" s="84"/>
      <c r="BD368" s="84"/>
    </row>
    <row r="369" spans="22:56" ht="16" x14ac:dyDescent="0.4">
      <c r="V369" s="97"/>
      <c r="W369" s="16"/>
      <c r="X369" s="101"/>
      <c r="Z369" s="50"/>
      <c r="AA369" s="50"/>
      <c r="AD369" s="100"/>
      <c r="AE369" s="48">
        <f t="shared" si="34"/>
        <v>0</v>
      </c>
      <c r="AF369" s="16"/>
      <c r="AG369" s="103">
        <f t="shared" si="35"/>
        <v>0</v>
      </c>
      <c r="AH369" s="37">
        <f t="shared" si="36"/>
        <v>0</v>
      </c>
      <c r="AJ369" s="34"/>
      <c r="AK369" s="34"/>
      <c r="AL369" s="82"/>
      <c r="AN369" s="83"/>
      <c r="AO369" s="83"/>
      <c r="AP369" s="82"/>
      <c r="AQ369" s="84"/>
      <c r="AR369" s="84"/>
      <c r="AS369" s="84"/>
      <c r="AU369" s="34"/>
      <c r="AV369" s="34"/>
      <c r="AW369" s="82"/>
      <c r="AY369" s="83"/>
      <c r="AZ369" s="83"/>
      <c r="BA369" s="82"/>
      <c r="BB369" s="84"/>
      <c r="BC369" s="84"/>
      <c r="BD369" s="84"/>
    </row>
    <row r="370" spans="22:56" ht="16" x14ac:dyDescent="0.4">
      <c r="V370" s="97"/>
      <c r="W370" s="16"/>
      <c r="X370" s="101"/>
      <c r="Z370" s="50"/>
      <c r="AA370" s="50"/>
      <c r="AD370" s="100"/>
      <c r="AE370" s="48">
        <f t="shared" si="34"/>
        <v>0</v>
      </c>
      <c r="AF370" s="16"/>
      <c r="AG370" s="103">
        <f t="shared" si="35"/>
        <v>0</v>
      </c>
      <c r="AH370" s="37">
        <f t="shared" si="36"/>
        <v>0</v>
      </c>
      <c r="AJ370" s="34"/>
      <c r="AK370" s="34"/>
      <c r="AL370" s="82"/>
      <c r="AN370" s="83"/>
      <c r="AO370" s="83"/>
      <c r="AP370" s="82"/>
      <c r="AQ370" s="84"/>
      <c r="AR370" s="84"/>
      <c r="AS370" s="84"/>
      <c r="AU370" s="34"/>
      <c r="AV370" s="34"/>
      <c r="AW370" s="82"/>
      <c r="AY370" s="83"/>
      <c r="AZ370" s="83"/>
      <c r="BA370" s="82"/>
      <c r="BB370" s="84"/>
      <c r="BC370" s="84"/>
      <c r="BD370" s="84"/>
    </row>
    <row r="371" spans="22:56" ht="16" x14ac:dyDescent="0.4">
      <c r="V371" s="97"/>
      <c r="W371" s="16"/>
      <c r="X371" s="101"/>
      <c r="Z371" s="50"/>
      <c r="AA371" s="50"/>
      <c r="AD371" s="100"/>
      <c r="AE371" s="48">
        <f t="shared" si="34"/>
        <v>0</v>
      </c>
      <c r="AF371" s="16"/>
      <c r="AG371" s="103">
        <f t="shared" si="35"/>
        <v>0</v>
      </c>
      <c r="AH371" s="37">
        <f t="shared" si="36"/>
        <v>0</v>
      </c>
      <c r="AJ371" s="34"/>
      <c r="AK371" s="34"/>
      <c r="AL371" s="82"/>
      <c r="AN371" s="83"/>
      <c r="AO371" s="83"/>
      <c r="AP371" s="82"/>
      <c r="AQ371" s="84"/>
      <c r="AR371" s="84"/>
      <c r="AS371" s="84"/>
      <c r="AU371" s="34"/>
      <c r="AV371" s="34"/>
      <c r="AW371" s="82"/>
      <c r="AY371" s="83"/>
      <c r="AZ371" s="83"/>
      <c r="BA371" s="82"/>
      <c r="BB371" s="84"/>
      <c r="BC371" s="84"/>
      <c r="BD371" s="84"/>
    </row>
    <row r="372" spans="22:56" ht="16" x14ac:dyDescent="0.4">
      <c r="V372" s="97"/>
      <c r="W372" s="16"/>
      <c r="X372" s="101"/>
      <c r="Z372" s="50"/>
      <c r="AA372" s="50"/>
      <c r="AD372" s="100"/>
      <c r="AE372" s="48"/>
      <c r="AF372" s="16"/>
      <c r="AG372" s="103">
        <f t="shared" si="35"/>
        <v>0</v>
      </c>
      <c r="AH372" s="37"/>
      <c r="AJ372" s="34"/>
      <c r="AK372" s="34"/>
      <c r="AL372" s="82"/>
      <c r="AN372" s="83"/>
      <c r="AO372" s="83"/>
      <c r="AP372" s="82"/>
      <c r="AQ372" s="84"/>
      <c r="AR372" s="84"/>
      <c r="AS372" s="84"/>
      <c r="AU372" s="34"/>
      <c r="AV372" s="34"/>
      <c r="AW372" s="82"/>
      <c r="AY372" s="83"/>
      <c r="AZ372" s="83"/>
      <c r="BA372" s="82"/>
      <c r="BB372" s="84"/>
      <c r="BC372" s="84"/>
      <c r="BD372" s="84"/>
    </row>
    <row r="373" spans="22:56" ht="16" x14ac:dyDescent="0.4">
      <c r="V373" s="97"/>
      <c r="W373" s="16"/>
      <c r="X373" s="89"/>
      <c r="Z373" s="50"/>
      <c r="AA373" s="50"/>
      <c r="AD373" s="100"/>
      <c r="AE373" s="48">
        <f t="shared" si="34"/>
        <v>0</v>
      </c>
      <c r="AF373" s="16"/>
      <c r="AG373" s="103">
        <f t="shared" si="35"/>
        <v>0</v>
      </c>
      <c r="AH373" s="37">
        <f t="shared" si="36"/>
        <v>0</v>
      </c>
      <c r="AJ373" s="34"/>
      <c r="AK373" s="34"/>
      <c r="AL373" s="82"/>
      <c r="AN373" s="83"/>
      <c r="AO373" s="83"/>
      <c r="AP373" s="82"/>
      <c r="AQ373" s="84"/>
      <c r="AR373" s="84"/>
      <c r="AS373" s="84"/>
      <c r="AU373" s="34"/>
      <c r="AV373" s="34"/>
      <c r="AW373" s="82"/>
      <c r="AY373" s="83"/>
      <c r="AZ373" s="83"/>
      <c r="BA373" s="82"/>
      <c r="BB373" s="84"/>
      <c r="BC373" s="84"/>
      <c r="BD373" s="84"/>
    </row>
    <row r="374" spans="22:56" ht="16" x14ac:dyDescent="0.4">
      <c r="V374" s="97"/>
      <c r="W374" s="16"/>
      <c r="X374" s="89"/>
      <c r="Z374" s="50"/>
      <c r="AA374" s="50"/>
      <c r="AD374" s="100"/>
      <c r="AE374" s="48">
        <f t="shared" ref="AE374:AE437" si="37">AD374/1000</f>
        <v>0</v>
      </c>
      <c r="AF374" s="16"/>
      <c r="AG374" s="103">
        <f t="shared" si="35"/>
        <v>0</v>
      </c>
      <c r="AH374" s="37">
        <f t="shared" si="36"/>
        <v>0</v>
      </c>
      <c r="AJ374" s="34"/>
      <c r="AK374" s="34"/>
      <c r="AL374" s="82"/>
      <c r="AN374" s="83"/>
      <c r="AO374" s="83"/>
      <c r="AP374" s="82"/>
      <c r="AQ374" s="84"/>
      <c r="AR374" s="84"/>
      <c r="AS374" s="84"/>
      <c r="AU374" s="34"/>
      <c r="AV374" s="34"/>
      <c r="AW374" s="82"/>
      <c r="AY374" s="83"/>
      <c r="AZ374" s="83"/>
      <c r="BA374" s="82"/>
      <c r="BB374" s="84"/>
      <c r="BC374" s="84"/>
      <c r="BD374" s="84"/>
    </row>
    <row r="375" spans="22:56" ht="16" x14ac:dyDescent="0.4">
      <c r="V375" s="97"/>
      <c r="W375" s="16"/>
      <c r="X375" s="89"/>
      <c r="Z375" s="50"/>
      <c r="AA375" s="50"/>
      <c r="AD375" s="100"/>
      <c r="AE375" s="48">
        <f t="shared" si="37"/>
        <v>0</v>
      </c>
      <c r="AF375" s="16"/>
      <c r="AG375" s="103">
        <f t="shared" si="35"/>
        <v>0</v>
      </c>
      <c r="AH375" s="37">
        <f t="shared" si="36"/>
        <v>0</v>
      </c>
      <c r="AJ375" s="34"/>
      <c r="AK375" s="34"/>
      <c r="AL375" s="82"/>
      <c r="AN375" s="83"/>
      <c r="AO375" s="83"/>
      <c r="AP375" s="82"/>
      <c r="AQ375" s="84"/>
      <c r="AR375" s="84"/>
      <c r="AS375" s="84"/>
      <c r="AU375" s="34"/>
      <c r="AV375" s="34"/>
      <c r="AW375" s="82"/>
      <c r="AY375" s="83"/>
      <c r="AZ375" s="83"/>
      <c r="BA375" s="82"/>
      <c r="BB375" s="84"/>
      <c r="BC375" s="84"/>
      <c r="BD375" s="84"/>
    </row>
    <row r="376" spans="22:56" ht="16" x14ac:dyDescent="0.4">
      <c r="V376" s="97"/>
      <c r="W376" s="16"/>
      <c r="X376" s="89"/>
      <c r="Z376" s="50"/>
      <c r="AA376" s="50"/>
      <c r="AD376" s="100"/>
      <c r="AE376" s="48">
        <f t="shared" si="37"/>
        <v>0</v>
      </c>
      <c r="AF376" s="16"/>
      <c r="AG376" s="103">
        <f t="shared" si="35"/>
        <v>0</v>
      </c>
      <c r="AH376" s="37">
        <f t="shared" si="36"/>
        <v>0</v>
      </c>
      <c r="AJ376" s="34"/>
      <c r="AK376" s="34"/>
      <c r="AL376" s="82"/>
      <c r="AN376" s="83"/>
      <c r="AO376" s="83"/>
      <c r="AP376" s="82"/>
      <c r="AQ376" s="84"/>
      <c r="AR376" s="84"/>
      <c r="AS376" s="84"/>
      <c r="AU376" s="34"/>
      <c r="AV376" s="34"/>
      <c r="AW376" s="82"/>
      <c r="AY376" s="83"/>
      <c r="AZ376" s="83"/>
      <c r="BA376" s="82"/>
      <c r="BB376" s="84"/>
      <c r="BC376" s="84"/>
      <c r="BD376" s="84"/>
    </row>
    <row r="377" spans="22:56" ht="16" x14ac:dyDescent="0.4">
      <c r="V377" s="97"/>
      <c r="W377" s="16"/>
      <c r="X377" s="89"/>
      <c r="Z377" s="50"/>
      <c r="AA377" s="50"/>
      <c r="AD377" s="100"/>
      <c r="AE377" s="48">
        <f t="shared" si="37"/>
        <v>0</v>
      </c>
      <c r="AF377" s="16"/>
      <c r="AG377" s="103">
        <f t="shared" si="35"/>
        <v>0</v>
      </c>
      <c r="AH377" s="37">
        <f t="shared" si="36"/>
        <v>0</v>
      </c>
      <c r="AJ377" s="34"/>
      <c r="AK377" s="34"/>
      <c r="AL377" s="82"/>
      <c r="AN377" s="83"/>
      <c r="AO377" s="83"/>
      <c r="AP377" s="82"/>
      <c r="AQ377" s="84"/>
      <c r="AR377" s="84"/>
      <c r="AS377" s="84"/>
      <c r="AU377" s="34"/>
      <c r="AV377" s="34"/>
      <c r="AW377" s="82"/>
      <c r="AY377" s="83"/>
      <c r="AZ377" s="83"/>
      <c r="BA377" s="82"/>
      <c r="BB377" s="84"/>
      <c r="BC377" s="84"/>
      <c r="BD377" s="84"/>
    </row>
    <row r="378" spans="22:56" ht="16" x14ac:dyDescent="0.4">
      <c r="V378" s="97"/>
      <c r="W378" s="16"/>
      <c r="X378" s="89"/>
      <c r="Z378" s="50"/>
      <c r="AA378" s="50"/>
      <c r="AD378" s="100"/>
      <c r="AE378" s="48">
        <f t="shared" si="37"/>
        <v>0</v>
      </c>
      <c r="AF378" s="16"/>
      <c r="AG378" s="103">
        <f t="shared" si="35"/>
        <v>0</v>
      </c>
      <c r="AH378" s="37">
        <f t="shared" si="36"/>
        <v>0</v>
      </c>
      <c r="AJ378" s="34"/>
      <c r="AK378" s="34"/>
      <c r="AL378" s="82"/>
      <c r="AN378" s="83"/>
      <c r="AO378" s="83"/>
      <c r="AP378" s="82"/>
      <c r="AQ378" s="84"/>
      <c r="AR378" s="84"/>
      <c r="AS378" s="84"/>
      <c r="AU378" s="34"/>
      <c r="AV378" s="34"/>
      <c r="AW378" s="82"/>
      <c r="AY378" s="83"/>
      <c r="AZ378" s="83"/>
      <c r="BA378" s="82"/>
      <c r="BB378" s="84"/>
      <c r="BC378" s="84"/>
      <c r="BD378" s="84"/>
    </row>
    <row r="379" spans="22:56" ht="16" x14ac:dyDescent="0.4">
      <c r="V379" s="97"/>
      <c r="W379" s="16"/>
      <c r="X379" s="89"/>
      <c r="Z379" s="50"/>
      <c r="AA379" s="50"/>
      <c r="AD379" s="100"/>
      <c r="AE379" s="48">
        <f t="shared" si="37"/>
        <v>0</v>
      </c>
      <c r="AF379" s="16"/>
      <c r="AG379" s="103">
        <f t="shared" si="35"/>
        <v>0</v>
      </c>
      <c r="AH379" s="37">
        <f t="shared" si="36"/>
        <v>0</v>
      </c>
      <c r="AJ379" s="34"/>
      <c r="AK379" s="34"/>
      <c r="AL379" s="82"/>
      <c r="AN379" s="83"/>
      <c r="AO379" s="83"/>
      <c r="AP379" s="82"/>
      <c r="AQ379" s="84"/>
      <c r="AR379" s="84"/>
      <c r="AS379" s="84"/>
      <c r="AU379" s="34"/>
      <c r="AV379" s="34"/>
      <c r="AW379" s="82"/>
      <c r="AY379" s="83"/>
      <c r="AZ379" s="83"/>
      <c r="BA379" s="82"/>
      <c r="BB379" s="84"/>
      <c r="BC379" s="84"/>
      <c r="BD379" s="84"/>
    </row>
    <row r="380" spans="22:56" ht="16" x14ac:dyDescent="0.4">
      <c r="V380" s="97"/>
      <c r="W380" s="16"/>
      <c r="X380" s="89"/>
      <c r="Z380" s="50"/>
      <c r="AA380" s="50"/>
      <c r="AD380" s="100"/>
      <c r="AE380" s="48">
        <f t="shared" si="37"/>
        <v>0</v>
      </c>
      <c r="AF380" s="16"/>
      <c r="AG380" s="103">
        <f t="shared" si="35"/>
        <v>0</v>
      </c>
      <c r="AH380" s="37">
        <f t="shared" si="36"/>
        <v>0</v>
      </c>
      <c r="AJ380" s="34"/>
      <c r="AK380" s="34"/>
      <c r="AL380" s="82"/>
      <c r="AN380" s="83"/>
      <c r="AO380" s="83"/>
      <c r="AP380" s="82"/>
      <c r="AQ380" s="84"/>
      <c r="AR380" s="84"/>
      <c r="AS380" s="84"/>
      <c r="AU380" s="34"/>
      <c r="AV380" s="34"/>
      <c r="AW380" s="82"/>
      <c r="AY380" s="83"/>
      <c r="AZ380" s="83"/>
      <c r="BA380" s="82"/>
      <c r="BB380" s="84"/>
      <c r="BC380" s="84"/>
      <c r="BD380" s="84"/>
    </row>
    <row r="381" spans="22:56" ht="16" x14ac:dyDescent="0.4">
      <c r="V381" s="97"/>
      <c r="W381" s="16"/>
      <c r="X381" s="89"/>
      <c r="Z381" s="50"/>
      <c r="AA381" s="50"/>
      <c r="AD381" s="100"/>
      <c r="AE381" s="48">
        <f t="shared" si="37"/>
        <v>0</v>
      </c>
      <c r="AF381" s="16"/>
      <c r="AG381" s="103">
        <f t="shared" si="35"/>
        <v>0</v>
      </c>
      <c r="AH381" s="37">
        <f t="shared" si="36"/>
        <v>0</v>
      </c>
      <c r="AJ381" s="34"/>
      <c r="AK381" s="34"/>
      <c r="AL381" s="82"/>
      <c r="AN381" s="83"/>
      <c r="AO381" s="83"/>
      <c r="AP381" s="82"/>
      <c r="AQ381" s="84"/>
      <c r="AR381" s="84"/>
      <c r="AS381" s="84"/>
      <c r="AU381" s="34"/>
      <c r="AV381" s="34"/>
      <c r="AW381" s="82"/>
      <c r="AY381" s="83"/>
      <c r="AZ381" s="83"/>
      <c r="BA381" s="82"/>
      <c r="BB381" s="84"/>
      <c r="BC381" s="84"/>
      <c r="BD381" s="84"/>
    </row>
    <row r="382" spans="22:56" ht="16" x14ac:dyDescent="0.4">
      <c r="V382" s="97"/>
      <c r="W382" s="16"/>
      <c r="X382" s="89"/>
      <c r="Z382" s="50"/>
      <c r="AA382" s="50"/>
      <c r="AD382" s="100"/>
      <c r="AE382" s="48">
        <f t="shared" si="37"/>
        <v>0</v>
      </c>
      <c r="AF382" s="16"/>
      <c r="AG382" s="103">
        <f t="shared" si="35"/>
        <v>0</v>
      </c>
      <c r="AH382" s="37">
        <f t="shared" si="36"/>
        <v>0</v>
      </c>
      <c r="AJ382" s="34"/>
      <c r="AK382" s="34"/>
      <c r="AL382" s="82"/>
      <c r="AN382" s="83"/>
      <c r="AO382" s="83"/>
      <c r="AP382" s="82"/>
      <c r="AQ382" s="84"/>
      <c r="AR382" s="84"/>
      <c r="AS382" s="84"/>
      <c r="AU382" s="34"/>
      <c r="AV382" s="34"/>
      <c r="AW382" s="82"/>
      <c r="AY382" s="83"/>
      <c r="AZ382" s="83"/>
      <c r="BA382" s="82"/>
      <c r="BB382" s="84"/>
      <c r="BC382" s="84"/>
      <c r="BD382" s="84"/>
    </row>
    <row r="383" spans="22:56" ht="16" x14ac:dyDescent="0.4">
      <c r="V383" s="97"/>
      <c r="W383" s="16"/>
      <c r="X383" s="89"/>
      <c r="Z383" s="50"/>
      <c r="AA383" s="50"/>
      <c r="AD383" s="100"/>
      <c r="AE383" s="48">
        <f t="shared" si="37"/>
        <v>0</v>
      </c>
      <c r="AF383" s="16"/>
      <c r="AG383" s="103">
        <f t="shared" si="35"/>
        <v>0</v>
      </c>
      <c r="AH383" s="37">
        <f t="shared" si="36"/>
        <v>0</v>
      </c>
      <c r="AJ383" s="34"/>
      <c r="AK383" s="34"/>
      <c r="AL383" s="82"/>
      <c r="AN383" s="83"/>
      <c r="AO383" s="83"/>
      <c r="AP383" s="82"/>
      <c r="AQ383" s="84"/>
      <c r="AR383" s="84"/>
      <c r="AS383" s="84"/>
      <c r="AU383" s="34"/>
      <c r="AV383" s="34"/>
      <c r="AW383" s="82"/>
      <c r="AY383" s="83"/>
      <c r="AZ383" s="83"/>
      <c r="BA383" s="82"/>
      <c r="BB383" s="84"/>
      <c r="BC383" s="84"/>
      <c r="BD383" s="84"/>
    </row>
    <row r="384" spans="22:56" ht="16" x14ac:dyDescent="0.4">
      <c r="V384" s="97"/>
      <c r="W384" s="16"/>
      <c r="X384" s="89"/>
      <c r="Z384" s="50"/>
      <c r="AA384" s="50"/>
      <c r="AD384" s="100"/>
      <c r="AE384" s="48">
        <f t="shared" si="37"/>
        <v>0</v>
      </c>
      <c r="AF384" s="16"/>
      <c r="AG384" s="103">
        <f t="shared" si="35"/>
        <v>0</v>
      </c>
      <c r="AH384" s="37">
        <f t="shared" si="36"/>
        <v>0</v>
      </c>
      <c r="AJ384" s="34"/>
      <c r="AK384" s="34"/>
      <c r="AL384" s="82"/>
      <c r="AN384" s="83"/>
      <c r="AO384" s="83"/>
      <c r="AP384" s="82"/>
      <c r="AQ384" s="84"/>
      <c r="AR384" s="84"/>
      <c r="AS384" s="84"/>
      <c r="AU384" s="34"/>
      <c r="AV384" s="34"/>
      <c r="AW384" s="82"/>
      <c r="AY384" s="83"/>
      <c r="AZ384" s="83"/>
      <c r="BA384" s="82"/>
      <c r="BB384" s="84"/>
      <c r="BC384" s="84"/>
      <c r="BD384" s="84"/>
    </row>
    <row r="385" spans="22:56" ht="16" x14ac:dyDescent="0.4">
      <c r="V385" s="97"/>
      <c r="W385" s="16"/>
      <c r="X385" s="89"/>
      <c r="Z385" s="50"/>
      <c r="AA385" s="50"/>
      <c r="AD385" s="100"/>
      <c r="AE385" s="48">
        <f t="shared" si="37"/>
        <v>0</v>
      </c>
      <c r="AF385" s="16"/>
      <c r="AG385" s="103">
        <f t="shared" si="35"/>
        <v>0</v>
      </c>
      <c r="AH385" s="37">
        <f t="shared" si="36"/>
        <v>0</v>
      </c>
      <c r="AJ385" s="34"/>
      <c r="AK385" s="34"/>
      <c r="AL385" s="82"/>
      <c r="AN385" s="83"/>
      <c r="AO385" s="83"/>
      <c r="AP385" s="82"/>
      <c r="AQ385" s="84"/>
      <c r="AR385" s="84"/>
      <c r="AS385" s="84"/>
      <c r="AU385" s="34"/>
      <c r="AV385" s="34"/>
      <c r="AW385" s="82"/>
      <c r="AY385" s="83"/>
      <c r="AZ385" s="83"/>
      <c r="BA385" s="82"/>
      <c r="BB385" s="84"/>
      <c r="BC385" s="84"/>
      <c r="BD385" s="84"/>
    </row>
    <row r="386" spans="22:56" ht="16" x14ac:dyDescent="0.4">
      <c r="V386" s="97"/>
      <c r="W386" s="16"/>
      <c r="X386" s="89"/>
      <c r="Z386" s="50"/>
      <c r="AA386" s="50"/>
      <c r="AD386" s="100"/>
      <c r="AE386" s="48">
        <f t="shared" si="37"/>
        <v>0</v>
      </c>
      <c r="AF386" s="16"/>
      <c r="AG386" s="103">
        <f t="shared" si="35"/>
        <v>0</v>
      </c>
      <c r="AH386" s="37">
        <f t="shared" si="36"/>
        <v>0</v>
      </c>
      <c r="AJ386" s="34"/>
      <c r="AK386" s="34"/>
      <c r="AL386" s="82"/>
      <c r="AN386" s="83"/>
      <c r="AO386" s="83"/>
      <c r="AP386" s="82"/>
      <c r="AQ386" s="84"/>
      <c r="AR386" s="84"/>
      <c r="AS386" s="84"/>
      <c r="AU386" s="34"/>
      <c r="AV386" s="34"/>
      <c r="AW386" s="82"/>
      <c r="AY386" s="83"/>
      <c r="AZ386" s="83"/>
      <c r="BA386" s="82"/>
      <c r="BB386" s="84"/>
      <c r="BC386" s="84"/>
      <c r="BD386" s="84"/>
    </row>
    <row r="387" spans="22:56" ht="16" x14ac:dyDescent="0.4">
      <c r="V387" s="97"/>
      <c r="W387" s="16"/>
      <c r="X387" s="89"/>
      <c r="Z387" s="50"/>
      <c r="AA387" s="50"/>
      <c r="AD387" s="100"/>
      <c r="AE387" s="48">
        <f t="shared" si="37"/>
        <v>0</v>
      </c>
      <c r="AF387" s="16"/>
      <c r="AG387" s="103">
        <f t="shared" si="35"/>
        <v>0</v>
      </c>
      <c r="AH387" s="37">
        <f t="shared" si="36"/>
        <v>0</v>
      </c>
      <c r="AJ387" s="34"/>
      <c r="AK387" s="34"/>
      <c r="AL387" s="82"/>
      <c r="AN387" s="83"/>
      <c r="AO387" s="83"/>
      <c r="AP387" s="82"/>
      <c r="AQ387" s="84"/>
      <c r="AR387" s="84"/>
      <c r="AS387" s="84"/>
      <c r="AU387" s="34"/>
      <c r="AV387" s="34"/>
      <c r="AW387" s="82"/>
      <c r="AY387" s="83"/>
      <c r="AZ387" s="83"/>
      <c r="BA387" s="82"/>
      <c r="BB387" s="84"/>
      <c r="BC387" s="84"/>
      <c r="BD387" s="84"/>
    </row>
    <row r="388" spans="22:56" ht="16" x14ac:dyDescent="0.4">
      <c r="V388" s="97"/>
      <c r="W388" s="16"/>
      <c r="X388" s="89"/>
      <c r="Z388" s="50"/>
      <c r="AA388" s="50"/>
      <c r="AD388" s="100"/>
      <c r="AE388" s="48">
        <f t="shared" si="37"/>
        <v>0</v>
      </c>
      <c r="AF388" s="16"/>
      <c r="AG388" s="103">
        <f t="shared" si="35"/>
        <v>0</v>
      </c>
      <c r="AH388" s="37">
        <f t="shared" si="36"/>
        <v>0</v>
      </c>
      <c r="AJ388" s="34"/>
      <c r="AK388" s="34"/>
      <c r="AL388" s="82"/>
      <c r="AN388" s="83"/>
      <c r="AO388" s="83"/>
      <c r="AP388" s="82"/>
      <c r="AQ388" s="84"/>
      <c r="AR388" s="84"/>
      <c r="AS388" s="84"/>
      <c r="AU388" s="34"/>
      <c r="AV388" s="34"/>
      <c r="AW388" s="82"/>
      <c r="AY388" s="83"/>
      <c r="AZ388" s="83"/>
      <c r="BA388" s="82"/>
      <c r="BB388" s="84"/>
      <c r="BC388" s="84"/>
      <c r="BD388" s="84"/>
    </row>
    <row r="389" spans="22:56" ht="16" x14ac:dyDescent="0.4">
      <c r="V389" s="97"/>
      <c r="W389" s="16"/>
      <c r="X389" s="89"/>
      <c r="Z389" s="50"/>
      <c r="AA389" s="50"/>
      <c r="AD389" s="100"/>
      <c r="AE389" s="48">
        <f t="shared" si="37"/>
        <v>0</v>
      </c>
      <c r="AF389" s="16"/>
      <c r="AG389" s="103">
        <f t="shared" ref="AG389:AG452" si="38">IF($AF389&gt;14,14,$AF389)</f>
        <v>0</v>
      </c>
      <c r="AH389" s="37">
        <f t="shared" ref="AH389:AH452" si="39">AE389*AG389/14</f>
        <v>0</v>
      </c>
      <c r="AJ389" s="34"/>
      <c r="AK389" s="34"/>
      <c r="AL389" s="82"/>
      <c r="AN389" s="83"/>
      <c r="AO389" s="83"/>
      <c r="AP389" s="82"/>
      <c r="AQ389" s="84"/>
      <c r="AR389" s="84"/>
      <c r="AS389" s="84"/>
      <c r="AU389" s="34"/>
      <c r="AV389" s="34"/>
      <c r="AW389" s="82"/>
      <c r="AY389" s="83"/>
      <c r="AZ389" s="83"/>
      <c r="BA389" s="82"/>
      <c r="BB389" s="84"/>
      <c r="BC389" s="84"/>
      <c r="BD389" s="84"/>
    </row>
    <row r="390" spans="22:56" ht="16" x14ac:dyDescent="0.4">
      <c r="V390" s="97"/>
      <c r="W390" s="16"/>
      <c r="X390" s="89"/>
      <c r="Z390" s="50"/>
      <c r="AA390" s="50"/>
      <c r="AD390" s="100"/>
      <c r="AE390" s="48">
        <f t="shared" si="37"/>
        <v>0</v>
      </c>
      <c r="AF390" s="16"/>
      <c r="AG390" s="103">
        <f t="shared" si="38"/>
        <v>0</v>
      </c>
      <c r="AH390" s="37">
        <f t="shared" si="39"/>
        <v>0</v>
      </c>
      <c r="AJ390" s="34"/>
      <c r="AK390" s="34"/>
      <c r="AL390" s="82"/>
      <c r="AN390" s="83"/>
      <c r="AO390" s="83"/>
      <c r="AP390" s="82"/>
      <c r="AQ390" s="84"/>
      <c r="AR390" s="84"/>
      <c r="AS390" s="84"/>
      <c r="AU390" s="34"/>
      <c r="AV390" s="34"/>
      <c r="AW390" s="82"/>
      <c r="AY390" s="83"/>
      <c r="AZ390" s="83"/>
      <c r="BA390" s="82"/>
      <c r="BB390" s="84"/>
      <c r="BC390" s="84"/>
      <c r="BD390" s="84"/>
    </row>
    <row r="391" spans="22:56" ht="16" x14ac:dyDescent="0.4">
      <c r="V391" s="97"/>
      <c r="W391" s="16"/>
      <c r="X391" s="89"/>
      <c r="Z391" s="50"/>
      <c r="AA391" s="50"/>
      <c r="AD391" s="100"/>
      <c r="AE391" s="48">
        <f t="shared" si="37"/>
        <v>0</v>
      </c>
      <c r="AF391" s="16"/>
      <c r="AG391" s="103">
        <f t="shared" si="38"/>
        <v>0</v>
      </c>
      <c r="AH391" s="37">
        <f t="shared" si="39"/>
        <v>0</v>
      </c>
      <c r="AJ391" s="34"/>
      <c r="AK391" s="34"/>
      <c r="AL391" s="82"/>
      <c r="AN391" s="83"/>
      <c r="AO391" s="83"/>
      <c r="AP391" s="82"/>
      <c r="AQ391" s="84"/>
      <c r="AR391" s="84"/>
      <c r="AS391" s="84"/>
      <c r="AU391" s="34"/>
      <c r="AV391" s="34"/>
      <c r="AW391" s="82"/>
      <c r="AY391" s="83"/>
      <c r="AZ391" s="83"/>
      <c r="BA391" s="82"/>
      <c r="BB391" s="84"/>
      <c r="BC391" s="84"/>
      <c r="BD391" s="84"/>
    </row>
    <row r="392" spans="22:56" ht="16" x14ac:dyDescent="0.4">
      <c r="V392" s="97"/>
      <c r="W392" s="16"/>
      <c r="X392" s="89"/>
      <c r="Z392" s="50"/>
      <c r="AA392" s="50"/>
      <c r="AD392" s="100"/>
      <c r="AE392" s="48">
        <f t="shared" si="37"/>
        <v>0</v>
      </c>
      <c r="AF392" s="16"/>
      <c r="AG392" s="103">
        <f t="shared" si="38"/>
        <v>0</v>
      </c>
      <c r="AH392" s="37">
        <f t="shared" si="39"/>
        <v>0</v>
      </c>
      <c r="AJ392" s="34"/>
      <c r="AK392" s="34"/>
      <c r="AL392" s="82"/>
      <c r="AN392" s="83"/>
      <c r="AO392" s="83"/>
      <c r="AP392" s="82"/>
      <c r="AQ392" s="84"/>
      <c r="AR392" s="84"/>
      <c r="AS392" s="84"/>
      <c r="AU392" s="34"/>
      <c r="AV392" s="34"/>
      <c r="AW392" s="82"/>
      <c r="AY392" s="83"/>
      <c r="AZ392" s="83"/>
      <c r="BA392" s="82"/>
      <c r="BB392" s="84"/>
      <c r="BC392" s="84"/>
      <c r="BD392" s="84"/>
    </row>
    <row r="393" spans="22:56" ht="16" x14ac:dyDescent="0.4">
      <c r="V393" s="97"/>
      <c r="W393" s="16"/>
      <c r="X393" s="89"/>
      <c r="Z393" s="50"/>
      <c r="AA393" s="50"/>
      <c r="AD393" s="100"/>
      <c r="AE393" s="48">
        <f t="shared" si="37"/>
        <v>0</v>
      </c>
      <c r="AF393" s="16"/>
      <c r="AG393" s="103">
        <f t="shared" si="38"/>
        <v>0</v>
      </c>
      <c r="AH393" s="37">
        <f t="shared" si="39"/>
        <v>0</v>
      </c>
      <c r="AJ393" s="34"/>
      <c r="AK393" s="34"/>
      <c r="AL393" s="82"/>
      <c r="AN393" s="83"/>
      <c r="AO393" s="83"/>
      <c r="AP393" s="82"/>
      <c r="AQ393" s="84"/>
      <c r="AR393" s="84"/>
      <c r="AS393" s="84"/>
      <c r="AU393" s="34"/>
      <c r="AV393" s="34"/>
      <c r="AW393" s="82"/>
      <c r="AY393" s="83"/>
      <c r="AZ393" s="83"/>
      <c r="BA393" s="82"/>
      <c r="BB393" s="84"/>
      <c r="BC393" s="84"/>
      <c r="BD393" s="84"/>
    </row>
    <row r="394" spans="22:56" ht="16" x14ac:dyDescent="0.4">
      <c r="V394" s="97"/>
      <c r="W394" s="16"/>
      <c r="X394" s="89"/>
      <c r="Z394" s="50"/>
      <c r="AA394" s="50"/>
      <c r="AD394" s="100"/>
      <c r="AE394" s="48">
        <f t="shared" si="37"/>
        <v>0</v>
      </c>
      <c r="AF394" s="16"/>
      <c r="AG394" s="103">
        <f t="shared" si="38"/>
        <v>0</v>
      </c>
      <c r="AH394" s="37">
        <f t="shared" si="39"/>
        <v>0</v>
      </c>
      <c r="AJ394" s="34"/>
      <c r="AK394" s="34"/>
      <c r="AL394" s="82"/>
      <c r="AN394" s="83"/>
      <c r="AO394" s="83"/>
      <c r="AP394" s="82"/>
      <c r="AQ394" s="84"/>
      <c r="AR394" s="84"/>
      <c r="AS394" s="84"/>
      <c r="AU394" s="34"/>
      <c r="AV394" s="34"/>
      <c r="AW394" s="82"/>
      <c r="AY394" s="83"/>
      <c r="AZ394" s="83"/>
      <c r="BA394" s="82"/>
      <c r="BB394" s="84"/>
      <c r="BC394" s="84"/>
      <c r="BD394" s="84"/>
    </row>
    <row r="395" spans="22:56" ht="16" x14ac:dyDescent="0.4">
      <c r="V395" s="97"/>
      <c r="W395" s="16"/>
      <c r="X395" s="89"/>
      <c r="Z395" s="50"/>
      <c r="AA395" s="50"/>
      <c r="AD395" s="100"/>
      <c r="AE395" s="48">
        <f t="shared" si="37"/>
        <v>0</v>
      </c>
      <c r="AF395" s="16"/>
      <c r="AG395" s="103">
        <f t="shared" si="38"/>
        <v>0</v>
      </c>
      <c r="AH395" s="37">
        <f t="shared" si="39"/>
        <v>0</v>
      </c>
      <c r="AJ395" s="34"/>
      <c r="AK395" s="34"/>
      <c r="AL395" s="82"/>
      <c r="AN395" s="83"/>
      <c r="AO395" s="83"/>
      <c r="AP395" s="82"/>
      <c r="AQ395" s="84"/>
      <c r="AR395" s="84"/>
      <c r="AS395" s="84"/>
      <c r="AU395" s="34"/>
      <c r="AV395" s="34"/>
      <c r="AW395" s="82"/>
      <c r="AY395" s="83"/>
      <c r="AZ395" s="83"/>
      <c r="BA395" s="82"/>
      <c r="BB395" s="84"/>
      <c r="BC395" s="84"/>
      <c r="BD395" s="84"/>
    </row>
    <row r="396" spans="22:56" ht="16" x14ac:dyDescent="0.4">
      <c r="V396" s="97"/>
      <c r="W396" s="16"/>
      <c r="X396" s="89"/>
      <c r="Z396" s="50"/>
      <c r="AA396" s="50"/>
      <c r="AD396" s="100"/>
      <c r="AE396" s="48">
        <f t="shared" si="37"/>
        <v>0</v>
      </c>
      <c r="AF396" s="16"/>
      <c r="AG396" s="103">
        <f t="shared" si="38"/>
        <v>0</v>
      </c>
      <c r="AH396" s="37">
        <f t="shared" si="39"/>
        <v>0</v>
      </c>
      <c r="AJ396" s="34"/>
      <c r="AK396" s="34"/>
      <c r="AL396" s="82"/>
      <c r="AN396" s="83"/>
      <c r="AO396" s="83"/>
      <c r="AP396" s="82"/>
      <c r="AQ396" s="84"/>
      <c r="AR396" s="84"/>
      <c r="AS396" s="84"/>
      <c r="AU396" s="34"/>
      <c r="AV396" s="34"/>
      <c r="AW396" s="82"/>
      <c r="AY396" s="83"/>
      <c r="AZ396" s="83"/>
      <c r="BA396" s="82"/>
      <c r="BB396" s="84"/>
      <c r="BC396" s="84"/>
      <c r="BD396" s="84"/>
    </row>
    <row r="397" spans="22:56" ht="16" x14ac:dyDescent="0.4">
      <c r="V397" s="97"/>
      <c r="W397" s="16"/>
      <c r="X397" s="89"/>
      <c r="Z397" s="50"/>
      <c r="AA397" s="50"/>
      <c r="AD397" s="48"/>
      <c r="AE397" s="48">
        <f t="shared" si="37"/>
        <v>0</v>
      </c>
      <c r="AF397" s="16"/>
      <c r="AG397" s="103">
        <f t="shared" si="38"/>
        <v>0</v>
      </c>
      <c r="AH397" s="37">
        <f t="shared" si="39"/>
        <v>0</v>
      </c>
      <c r="AJ397" s="34"/>
      <c r="AK397" s="34"/>
      <c r="AL397" s="82"/>
      <c r="AN397" s="83"/>
      <c r="AO397" s="83"/>
      <c r="AP397" s="82"/>
      <c r="AQ397" s="84"/>
      <c r="AR397" s="84"/>
      <c r="AS397" s="84"/>
      <c r="AU397" s="34"/>
      <c r="AV397" s="34"/>
      <c r="AW397" s="82"/>
      <c r="AY397" s="83"/>
      <c r="AZ397" s="83"/>
      <c r="BA397" s="82"/>
      <c r="BB397" s="84"/>
      <c r="BC397" s="84"/>
      <c r="BD397" s="84"/>
    </row>
    <row r="398" spans="22:56" ht="16" x14ac:dyDescent="0.4">
      <c r="V398" s="97"/>
      <c r="W398" s="16"/>
      <c r="X398" s="89"/>
      <c r="Z398" s="50"/>
      <c r="AA398" s="50"/>
      <c r="AD398" s="48"/>
      <c r="AE398" s="48">
        <f t="shared" si="37"/>
        <v>0</v>
      </c>
      <c r="AF398" s="16"/>
      <c r="AG398" s="103">
        <f t="shared" si="38"/>
        <v>0</v>
      </c>
      <c r="AH398" s="37">
        <f t="shared" si="39"/>
        <v>0</v>
      </c>
      <c r="AJ398" s="85"/>
      <c r="AK398" s="86"/>
      <c r="AL398" s="82"/>
      <c r="AP398" s="86"/>
      <c r="AS398" s="84"/>
      <c r="AU398" s="85"/>
      <c r="AV398" s="86"/>
      <c r="AW398" s="82"/>
      <c r="BA398" s="86"/>
      <c r="BD398" s="84"/>
    </row>
    <row r="399" spans="22:56" ht="16" x14ac:dyDescent="0.4">
      <c r="V399" s="97"/>
      <c r="W399" s="16"/>
      <c r="X399" s="89"/>
      <c r="Z399" s="50"/>
      <c r="AA399" s="50"/>
      <c r="AD399" s="48"/>
      <c r="AE399" s="48">
        <f t="shared" si="37"/>
        <v>0</v>
      </c>
      <c r="AF399" s="16"/>
      <c r="AG399" s="103">
        <f t="shared" si="38"/>
        <v>0</v>
      </c>
      <c r="AH399" s="37">
        <f t="shared" si="39"/>
        <v>0</v>
      </c>
      <c r="AJ399" s="85"/>
      <c r="AK399" s="86"/>
      <c r="AL399" s="82"/>
      <c r="AP399" s="86"/>
      <c r="AS399" s="84"/>
      <c r="AU399" s="85"/>
      <c r="AV399" s="86"/>
      <c r="AW399" s="82"/>
      <c r="BA399" s="86"/>
      <c r="BD399" s="84"/>
    </row>
    <row r="400" spans="22:56" ht="16" x14ac:dyDescent="0.4">
      <c r="V400" s="97"/>
      <c r="W400" s="16"/>
      <c r="X400" s="89"/>
      <c r="Z400" s="50"/>
      <c r="AA400" s="50"/>
      <c r="AD400" s="48"/>
      <c r="AE400" s="48">
        <f t="shared" si="37"/>
        <v>0</v>
      </c>
      <c r="AF400" s="16"/>
      <c r="AG400" s="103">
        <f t="shared" si="38"/>
        <v>0</v>
      </c>
      <c r="AH400" s="37">
        <f t="shared" si="39"/>
        <v>0</v>
      </c>
      <c r="AJ400" s="85"/>
      <c r="AK400" s="86"/>
      <c r="AL400" s="82"/>
      <c r="AP400" s="86"/>
      <c r="AU400" s="85"/>
      <c r="AV400" s="86"/>
      <c r="AW400" s="82"/>
      <c r="BA400" s="86"/>
    </row>
    <row r="401" spans="22:53" ht="16" x14ac:dyDescent="0.4">
      <c r="V401" s="97"/>
      <c r="W401" s="16"/>
      <c r="X401" s="89"/>
      <c r="Z401" s="50"/>
      <c r="AA401" s="50"/>
      <c r="AD401" s="48"/>
      <c r="AE401" s="48">
        <f t="shared" si="37"/>
        <v>0</v>
      </c>
      <c r="AF401" s="16"/>
      <c r="AG401" s="103">
        <f t="shared" si="38"/>
        <v>0</v>
      </c>
      <c r="AH401" s="37">
        <f t="shared" si="39"/>
        <v>0</v>
      </c>
      <c r="AJ401" s="85"/>
      <c r="AK401" s="86"/>
      <c r="AL401" s="82"/>
      <c r="AP401" s="86"/>
      <c r="AU401" s="85"/>
      <c r="AV401" s="86"/>
      <c r="AW401" s="82"/>
      <c r="BA401" s="86"/>
    </row>
    <row r="402" spans="22:53" ht="16" x14ac:dyDescent="0.4">
      <c r="V402" s="97"/>
      <c r="W402" s="16"/>
      <c r="X402" s="89"/>
      <c r="Z402" s="50"/>
      <c r="AA402" s="50"/>
      <c r="AD402" s="48"/>
      <c r="AE402" s="48">
        <f t="shared" si="37"/>
        <v>0</v>
      </c>
      <c r="AF402" s="16"/>
      <c r="AG402" s="103">
        <f t="shared" si="38"/>
        <v>0</v>
      </c>
      <c r="AH402" s="37">
        <f t="shared" si="39"/>
        <v>0</v>
      </c>
      <c r="AJ402" s="87"/>
      <c r="AK402" s="82"/>
      <c r="AL402" s="82"/>
      <c r="AP402" s="82"/>
      <c r="AU402" s="87"/>
      <c r="AV402" s="82"/>
      <c r="AW402" s="82"/>
      <c r="BA402" s="82"/>
    </row>
    <row r="403" spans="22:53" ht="16" x14ac:dyDescent="0.4">
      <c r="V403" s="97"/>
      <c r="W403" s="16"/>
      <c r="X403" s="89"/>
      <c r="Z403" s="50"/>
      <c r="AA403" s="50"/>
      <c r="AD403" s="48"/>
      <c r="AE403" s="48">
        <f t="shared" si="37"/>
        <v>0</v>
      </c>
      <c r="AF403" s="16"/>
      <c r="AG403" s="103">
        <f t="shared" si="38"/>
        <v>0</v>
      </c>
      <c r="AH403" s="37">
        <f t="shared" si="39"/>
        <v>0</v>
      </c>
    </row>
    <row r="404" spans="22:53" ht="16" x14ac:dyDescent="0.4">
      <c r="V404" s="97"/>
      <c r="W404" s="16"/>
      <c r="X404" s="89"/>
      <c r="Z404" s="50"/>
      <c r="AA404" s="50"/>
      <c r="AD404" s="48"/>
      <c r="AE404" s="48">
        <f t="shared" si="37"/>
        <v>0</v>
      </c>
      <c r="AF404" s="16"/>
      <c r="AG404" s="103">
        <f t="shared" si="38"/>
        <v>0</v>
      </c>
      <c r="AH404" s="37">
        <f t="shared" si="39"/>
        <v>0</v>
      </c>
    </row>
    <row r="405" spans="22:53" ht="16" x14ac:dyDescent="0.4">
      <c r="V405" s="97"/>
      <c r="W405" s="16"/>
      <c r="X405" s="89"/>
      <c r="Z405" s="50"/>
      <c r="AA405" s="50"/>
      <c r="AD405" s="48"/>
      <c r="AE405" s="48">
        <f t="shared" si="37"/>
        <v>0</v>
      </c>
      <c r="AF405" s="16"/>
      <c r="AG405" s="103">
        <f t="shared" si="38"/>
        <v>0</v>
      </c>
      <c r="AH405" s="37">
        <f t="shared" si="39"/>
        <v>0</v>
      </c>
    </row>
    <row r="406" spans="22:53" ht="16" x14ac:dyDescent="0.4">
      <c r="V406" s="97"/>
      <c r="W406" s="16"/>
      <c r="X406" s="89"/>
      <c r="Z406" s="50"/>
      <c r="AA406" s="50"/>
      <c r="AD406" s="48"/>
      <c r="AE406" s="48">
        <f t="shared" si="37"/>
        <v>0</v>
      </c>
      <c r="AF406" s="16"/>
      <c r="AG406" s="103">
        <f t="shared" si="38"/>
        <v>0</v>
      </c>
      <c r="AH406" s="37">
        <f t="shared" si="39"/>
        <v>0</v>
      </c>
    </row>
    <row r="407" spans="22:53" ht="16" x14ac:dyDescent="0.4">
      <c r="V407" s="97"/>
      <c r="W407" s="16"/>
      <c r="X407" s="89"/>
      <c r="Z407" s="50"/>
      <c r="AA407" s="50"/>
      <c r="AD407" s="48"/>
      <c r="AE407" s="48">
        <f t="shared" si="37"/>
        <v>0</v>
      </c>
      <c r="AF407" s="16"/>
      <c r="AG407" s="103">
        <f t="shared" si="38"/>
        <v>0</v>
      </c>
      <c r="AH407" s="37">
        <f t="shared" si="39"/>
        <v>0</v>
      </c>
      <c r="AJ407" s="34"/>
      <c r="AK407" s="34"/>
      <c r="AU407" s="34"/>
      <c r="AV407" s="34"/>
    </row>
    <row r="408" spans="22:53" ht="16" x14ac:dyDescent="0.4">
      <c r="V408" s="97"/>
      <c r="W408" s="16"/>
      <c r="X408" s="89"/>
      <c r="Z408" s="50"/>
      <c r="AA408" s="50"/>
      <c r="AD408" s="48"/>
      <c r="AE408" s="48">
        <f t="shared" si="37"/>
        <v>0</v>
      </c>
      <c r="AF408" s="16"/>
      <c r="AG408" s="103">
        <f t="shared" si="38"/>
        <v>0</v>
      </c>
      <c r="AH408" s="37">
        <f t="shared" si="39"/>
        <v>0</v>
      </c>
      <c r="AJ408" s="34"/>
      <c r="AK408" s="34"/>
      <c r="AU408" s="34"/>
      <c r="AV408" s="34"/>
    </row>
    <row r="409" spans="22:53" ht="16" x14ac:dyDescent="0.4">
      <c r="V409" s="97"/>
      <c r="W409" s="16"/>
      <c r="X409" s="89"/>
      <c r="Z409" s="50"/>
      <c r="AA409" s="50"/>
      <c r="AD409" s="48"/>
      <c r="AE409" s="48">
        <f t="shared" si="37"/>
        <v>0</v>
      </c>
      <c r="AF409" s="16"/>
      <c r="AG409" s="103">
        <f t="shared" si="38"/>
        <v>0</v>
      </c>
      <c r="AH409" s="37">
        <f t="shared" si="39"/>
        <v>0</v>
      </c>
      <c r="AJ409" s="34"/>
      <c r="AK409" s="34"/>
      <c r="AU409" s="34"/>
      <c r="AV409" s="34"/>
    </row>
    <row r="410" spans="22:53" ht="16" x14ac:dyDescent="0.4">
      <c r="V410" s="97"/>
      <c r="W410" s="16"/>
      <c r="X410" s="89"/>
      <c r="Z410" s="50"/>
      <c r="AA410" s="50"/>
      <c r="AD410" s="48"/>
      <c r="AE410" s="48">
        <f t="shared" si="37"/>
        <v>0</v>
      </c>
      <c r="AF410" s="16"/>
      <c r="AG410" s="103">
        <f t="shared" si="38"/>
        <v>0</v>
      </c>
      <c r="AH410" s="37">
        <f t="shared" si="39"/>
        <v>0</v>
      </c>
      <c r="AJ410" s="34"/>
      <c r="AK410" s="34"/>
      <c r="AU410" s="34"/>
      <c r="AV410" s="34"/>
    </row>
    <row r="411" spans="22:53" ht="16" x14ac:dyDescent="0.4">
      <c r="V411" s="97"/>
      <c r="W411" s="16"/>
      <c r="X411" s="89"/>
      <c r="Z411" s="50"/>
      <c r="AA411" s="50"/>
      <c r="AD411" s="48"/>
      <c r="AE411" s="48">
        <f t="shared" si="37"/>
        <v>0</v>
      </c>
      <c r="AF411" s="16"/>
      <c r="AG411" s="103">
        <f t="shared" si="38"/>
        <v>0</v>
      </c>
      <c r="AH411" s="37">
        <f t="shared" si="39"/>
        <v>0</v>
      </c>
      <c r="AJ411" s="34"/>
      <c r="AK411" s="34"/>
      <c r="AU411" s="34"/>
      <c r="AV411" s="34"/>
    </row>
    <row r="412" spans="22:53" ht="16" x14ac:dyDescent="0.4">
      <c r="V412" s="97"/>
      <c r="W412" s="16"/>
      <c r="X412" s="89"/>
      <c r="Z412" s="50"/>
      <c r="AA412" s="50"/>
      <c r="AD412" s="48"/>
      <c r="AE412" s="48">
        <f t="shared" si="37"/>
        <v>0</v>
      </c>
      <c r="AF412" s="16"/>
      <c r="AG412" s="103">
        <f t="shared" si="38"/>
        <v>0</v>
      </c>
      <c r="AH412" s="37">
        <f t="shared" si="39"/>
        <v>0</v>
      </c>
      <c r="AJ412" s="34"/>
      <c r="AK412" s="34"/>
      <c r="AU412" s="34"/>
      <c r="AV412" s="34"/>
    </row>
    <row r="413" spans="22:53" ht="16" x14ac:dyDescent="0.4">
      <c r="V413" s="97"/>
      <c r="W413" s="16"/>
      <c r="X413" s="89"/>
      <c r="Z413" s="50"/>
      <c r="AA413" s="50"/>
      <c r="AD413" s="48"/>
      <c r="AE413" s="48">
        <f t="shared" si="37"/>
        <v>0</v>
      </c>
      <c r="AF413" s="16"/>
      <c r="AG413" s="103">
        <f t="shared" si="38"/>
        <v>0</v>
      </c>
      <c r="AH413" s="37">
        <f t="shared" si="39"/>
        <v>0</v>
      </c>
      <c r="AJ413" s="34"/>
      <c r="AK413" s="34"/>
      <c r="AU413" s="34"/>
      <c r="AV413" s="34"/>
    </row>
    <row r="414" spans="22:53" ht="16" x14ac:dyDescent="0.4">
      <c r="V414" s="97"/>
      <c r="W414" s="16"/>
      <c r="X414" s="89"/>
      <c r="Z414" s="50"/>
      <c r="AA414" s="50"/>
      <c r="AD414" s="48"/>
      <c r="AE414" s="48">
        <f t="shared" si="37"/>
        <v>0</v>
      </c>
      <c r="AF414" s="16"/>
      <c r="AG414" s="103">
        <f t="shared" si="38"/>
        <v>0</v>
      </c>
      <c r="AH414" s="37">
        <f t="shared" si="39"/>
        <v>0</v>
      </c>
      <c r="AJ414" s="34"/>
      <c r="AK414" s="34"/>
      <c r="AU414" s="34"/>
      <c r="AV414" s="34"/>
    </row>
    <row r="415" spans="22:53" ht="16" x14ac:dyDescent="0.4">
      <c r="V415" s="97"/>
      <c r="W415" s="16"/>
      <c r="X415" s="89"/>
      <c r="Z415" s="50"/>
      <c r="AA415" s="50"/>
      <c r="AD415" s="48"/>
      <c r="AE415" s="48">
        <f t="shared" si="37"/>
        <v>0</v>
      </c>
      <c r="AF415" s="16"/>
      <c r="AG415" s="103">
        <f t="shared" si="38"/>
        <v>0</v>
      </c>
      <c r="AH415" s="37">
        <f t="shared" si="39"/>
        <v>0</v>
      </c>
      <c r="AJ415" s="34"/>
      <c r="AK415" s="34"/>
      <c r="AU415" s="34"/>
      <c r="AV415" s="34"/>
    </row>
    <row r="416" spans="22:53" ht="16" x14ac:dyDescent="0.4">
      <c r="V416" s="97"/>
      <c r="W416" s="16"/>
      <c r="X416" s="89"/>
      <c r="Z416" s="50"/>
      <c r="AA416" s="50"/>
      <c r="AD416" s="48"/>
      <c r="AE416" s="48">
        <f t="shared" si="37"/>
        <v>0</v>
      </c>
      <c r="AF416" s="16"/>
      <c r="AG416" s="103">
        <f t="shared" si="38"/>
        <v>0</v>
      </c>
      <c r="AH416" s="37">
        <f t="shared" si="39"/>
        <v>0</v>
      </c>
      <c r="AJ416" s="34"/>
      <c r="AK416" s="34"/>
      <c r="AU416" s="34"/>
      <c r="AV416" s="34"/>
    </row>
    <row r="417" spans="22:48" ht="16" x14ac:dyDescent="0.4">
      <c r="V417" s="97"/>
      <c r="W417" s="16"/>
      <c r="X417" s="89"/>
      <c r="Z417" s="50"/>
      <c r="AA417" s="50"/>
      <c r="AD417" s="48"/>
      <c r="AE417" s="48">
        <f t="shared" si="37"/>
        <v>0</v>
      </c>
      <c r="AF417" s="16"/>
      <c r="AG417" s="103">
        <f t="shared" si="38"/>
        <v>0</v>
      </c>
      <c r="AH417" s="37">
        <f t="shared" si="39"/>
        <v>0</v>
      </c>
      <c r="AJ417" s="34"/>
      <c r="AK417" s="34"/>
      <c r="AU417" s="34"/>
      <c r="AV417" s="34"/>
    </row>
    <row r="418" spans="22:48" ht="16" x14ac:dyDescent="0.4">
      <c r="V418" s="97"/>
      <c r="W418" s="16"/>
      <c r="X418" s="89"/>
      <c r="Z418" s="50"/>
      <c r="AA418" s="50"/>
      <c r="AD418" s="48"/>
      <c r="AE418" s="48">
        <f t="shared" si="37"/>
        <v>0</v>
      </c>
      <c r="AF418" s="16"/>
      <c r="AG418" s="103">
        <f t="shared" si="38"/>
        <v>0</v>
      </c>
      <c r="AH418" s="37">
        <f t="shared" si="39"/>
        <v>0</v>
      </c>
      <c r="AJ418" s="34"/>
      <c r="AK418" s="34"/>
      <c r="AU418" s="34"/>
      <c r="AV418" s="34"/>
    </row>
    <row r="419" spans="22:48" ht="16" x14ac:dyDescent="0.4">
      <c r="V419" s="97"/>
      <c r="W419" s="16"/>
      <c r="X419" s="89"/>
      <c r="Z419" s="50"/>
      <c r="AA419" s="50"/>
      <c r="AD419" s="48"/>
      <c r="AE419" s="48">
        <f t="shared" si="37"/>
        <v>0</v>
      </c>
      <c r="AF419" s="16"/>
      <c r="AG419" s="103">
        <f t="shared" si="38"/>
        <v>0</v>
      </c>
      <c r="AH419" s="37">
        <f t="shared" si="39"/>
        <v>0</v>
      </c>
      <c r="AJ419" s="34"/>
      <c r="AK419" s="34"/>
      <c r="AU419" s="34"/>
      <c r="AV419" s="34"/>
    </row>
    <row r="420" spans="22:48" ht="16" x14ac:dyDescent="0.4">
      <c r="V420" s="97"/>
      <c r="W420" s="16"/>
      <c r="X420" s="89"/>
      <c r="Z420" s="50"/>
      <c r="AA420" s="50"/>
      <c r="AD420" s="48"/>
      <c r="AE420" s="48">
        <f t="shared" si="37"/>
        <v>0</v>
      </c>
      <c r="AF420" s="16"/>
      <c r="AG420" s="103">
        <f t="shared" si="38"/>
        <v>0</v>
      </c>
      <c r="AH420" s="37">
        <f t="shared" si="39"/>
        <v>0</v>
      </c>
      <c r="AJ420" s="34"/>
      <c r="AK420" s="34"/>
      <c r="AU420" s="34"/>
      <c r="AV420" s="34"/>
    </row>
    <row r="421" spans="22:48" ht="16" x14ac:dyDescent="0.4">
      <c r="V421" s="97"/>
      <c r="W421" s="16"/>
      <c r="X421" s="89"/>
      <c r="Z421" s="50"/>
      <c r="AA421" s="50"/>
      <c r="AD421" s="48"/>
      <c r="AE421" s="48">
        <f t="shared" si="37"/>
        <v>0</v>
      </c>
      <c r="AF421" s="16"/>
      <c r="AG421" s="103">
        <f t="shared" si="38"/>
        <v>0</v>
      </c>
      <c r="AH421" s="37">
        <f t="shared" si="39"/>
        <v>0</v>
      </c>
      <c r="AJ421" s="34"/>
      <c r="AK421" s="34"/>
      <c r="AU421" s="34"/>
      <c r="AV421" s="34"/>
    </row>
    <row r="422" spans="22:48" ht="16" x14ac:dyDescent="0.4">
      <c r="V422" s="97"/>
      <c r="W422" s="16"/>
      <c r="X422" s="89"/>
      <c r="Z422" s="50"/>
      <c r="AA422" s="50"/>
      <c r="AD422" s="48"/>
      <c r="AE422" s="48">
        <f t="shared" si="37"/>
        <v>0</v>
      </c>
      <c r="AF422" s="16"/>
      <c r="AG422" s="103">
        <f t="shared" si="38"/>
        <v>0</v>
      </c>
      <c r="AH422" s="37">
        <f t="shared" si="39"/>
        <v>0</v>
      </c>
      <c r="AJ422" s="34"/>
      <c r="AK422" s="34"/>
      <c r="AU422" s="34"/>
      <c r="AV422" s="34"/>
    </row>
    <row r="423" spans="22:48" ht="16" x14ac:dyDescent="0.4">
      <c r="V423" s="97"/>
      <c r="W423" s="16"/>
      <c r="X423" s="89"/>
      <c r="Z423" s="50"/>
      <c r="AA423" s="50"/>
      <c r="AD423" s="48"/>
      <c r="AE423" s="48">
        <f t="shared" si="37"/>
        <v>0</v>
      </c>
      <c r="AF423" s="16"/>
      <c r="AG423" s="103">
        <f t="shared" si="38"/>
        <v>0</v>
      </c>
      <c r="AH423" s="37">
        <f t="shared" si="39"/>
        <v>0</v>
      </c>
      <c r="AJ423" s="34"/>
      <c r="AK423" s="34"/>
      <c r="AU423" s="34"/>
      <c r="AV423" s="34"/>
    </row>
    <row r="424" spans="22:48" ht="16" x14ac:dyDescent="0.4">
      <c r="V424" s="97"/>
      <c r="W424" s="16"/>
      <c r="X424" s="89"/>
      <c r="Z424" s="50"/>
      <c r="AA424" s="50"/>
      <c r="AD424" s="48"/>
      <c r="AE424" s="48">
        <f t="shared" si="37"/>
        <v>0</v>
      </c>
      <c r="AF424" s="16"/>
      <c r="AG424" s="103">
        <f t="shared" si="38"/>
        <v>0</v>
      </c>
      <c r="AH424" s="37">
        <f t="shared" si="39"/>
        <v>0</v>
      </c>
      <c r="AJ424" s="34"/>
      <c r="AK424" s="34"/>
      <c r="AU424" s="34"/>
      <c r="AV424" s="34"/>
    </row>
    <row r="425" spans="22:48" ht="16" x14ac:dyDescent="0.4">
      <c r="V425" s="97"/>
      <c r="W425" s="16"/>
      <c r="X425" s="89"/>
      <c r="Z425" s="50"/>
      <c r="AA425" s="50"/>
      <c r="AD425" s="48"/>
      <c r="AE425" s="48">
        <f t="shared" si="37"/>
        <v>0</v>
      </c>
      <c r="AF425" s="16"/>
      <c r="AG425" s="103">
        <f t="shared" si="38"/>
        <v>0</v>
      </c>
      <c r="AH425" s="37">
        <f t="shared" si="39"/>
        <v>0</v>
      </c>
      <c r="AJ425" s="34"/>
      <c r="AK425" s="34"/>
      <c r="AU425" s="34"/>
      <c r="AV425" s="34"/>
    </row>
    <row r="426" spans="22:48" ht="16" x14ac:dyDescent="0.4">
      <c r="V426" s="97"/>
      <c r="W426" s="16"/>
      <c r="X426" s="89"/>
      <c r="Z426" s="50"/>
      <c r="AA426" s="50"/>
      <c r="AD426" s="48"/>
      <c r="AE426" s="48">
        <f t="shared" si="37"/>
        <v>0</v>
      </c>
      <c r="AF426" s="16"/>
      <c r="AG426" s="103">
        <f t="shared" si="38"/>
        <v>0</v>
      </c>
      <c r="AH426" s="37">
        <f t="shared" si="39"/>
        <v>0</v>
      </c>
      <c r="AJ426" s="34"/>
      <c r="AK426" s="34"/>
      <c r="AU426" s="34"/>
      <c r="AV426" s="34"/>
    </row>
    <row r="427" spans="22:48" ht="16" x14ac:dyDescent="0.4">
      <c r="V427" s="97"/>
      <c r="W427" s="16"/>
      <c r="X427" s="89"/>
      <c r="Z427" s="50"/>
      <c r="AA427" s="50"/>
      <c r="AD427" s="48"/>
      <c r="AE427" s="48">
        <f t="shared" si="37"/>
        <v>0</v>
      </c>
      <c r="AF427" s="16"/>
      <c r="AG427" s="103">
        <f t="shared" si="38"/>
        <v>0</v>
      </c>
      <c r="AH427" s="37">
        <f t="shared" si="39"/>
        <v>0</v>
      </c>
      <c r="AJ427" s="34"/>
      <c r="AK427" s="34"/>
      <c r="AU427" s="34"/>
      <c r="AV427" s="34"/>
    </row>
    <row r="428" spans="22:48" ht="16" x14ac:dyDescent="0.4">
      <c r="V428" s="97"/>
      <c r="W428" s="16"/>
      <c r="X428" s="89"/>
      <c r="Z428" s="50"/>
      <c r="AA428" s="50"/>
      <c r="AD428" s="48"/>
      <c r="AE428" s="48">
        <f t="shared" si="37"/>
        <v>0</v>
      </c>
      <c r="AF428" s="16"/>
      <c r="AG428" s="103">
        <f t="shared" si="38"/>
        <v>0</v>
      </c>
      <c r="AH428" s="37">
        <f t="shared" si="39"/>
        <v>0</v>
      </c>
      <c r="AJ428" s="34"/>
      <c r="AK428" s="34"/>
      <c r="AU428" s="34"/>
      <c r="AV428" s="34"/>
    </row>
    <row r="429" spans="22:48" ht="16" x14ac:dyDescent="0.4">
      <c r="V429" s="97"/>
      <c r="W429" s="16"/>
      <c r="X429" s="89"/>
      <c r="Z429" s="50"/>
      <c r="AA429" s="50"/>
      <c r="AD429" s="48"/>
      <c r="AE429" s="48">
        <f t="shared" si="37"/>
        <v>0</v>
      </c>
      <c r="AF429" s="16"/>
      <c r="AG429" s="103">
        <f t="shared" si="38"/>
        <v>0</v>
      </c>
      <c r="AH429" s="37">
        <f t="shared" si="39"/>
        <v>0</v>
      </c>
      <c r="AJ429" s="34"/>
      <c r="AK429" s="34"/>
      <c r="AU429" s="34"/>
      <c r="AV429" s="34"/>
    </row>
    <row r="430" spans="22:48" ht="16" x14ac:dyDescent="0.4">
      <c r="V430" s="97"/>
      <c r="W430" s="16"/>
      <c r="X430" s="89"/>
      <c r="Z430" s="50"/>
      <c r="AA430" s="50"/>
      <c r="AD430" s="48"/>
      <c r="AE430" s="48">
        <f t="shared" si="37"/>
        <v>0</v>
      </c>
      <c r="AF430" s="16"/>
      <c r="AG430" s="103">
        <f t="shared" si="38"/>
        <v>0</v>
      </c>
      <c r="AH430" s="37">
        <f t="shared" si="39"/>
        <v>0</v>
      </c>
      <c r="AJ430" s="34"/>
      <c r="AK430" s="34"/>
      <c r="AU430" s="34"/>
      <c r="AV430" s="34"/>
    </row>
    <row r="431" spans="22:48" ht="16" x14ac:dyDescent="0.4">
      <c r="V431" s="97"/>
      <c r="W431" s="16"/>
      <c r="X431" s="89"/>
      <c r="Z431" s="50"/>
      <c r="AA431" s="50"/>
      <c r="AD431" s="48"/>
      <c r="AE431" s="48">
        <f t="shared" si="37"/>
        <v>0</v>
      </c>
      <c r="AF431" s="16"/>
      <c r="AG431" s="103">
        <f t="shared" si="38"/>
        <v>0</v>
      </c>
      <c r="AH431" s="37">
        <f t="shared" si="39"/>
        <v>0</v>
      </c>
      <c r="AJ431" s="34"/>
      <c r="AK431" s="34"/>
      <c r="AU431" s="34"/>
      <c r="AV431" s="34"/>
    </row>
    <row r="432" spans="22:48" ht="16" x14ac:dyDescent="0.4">
      <c r="V432" s="97"/>
      <c r="W432" s="16"/>
      <c r="X432" s="89"/>
      <c r="Z432" s="50"/>
      <c r="AA432" s="50"/>
      <c r="AD432" s="48"/>
      <c r="AE432" s="48">
        <f t="shared" si="37"/>
        <v>0</v>
      </c>
      <c r="AF432" s="16"/>
      <c r="AG432" s="103">
        <f t="shared" si="38"/>
        <v>0</v>
      </c>
      <c r="AH432" s="37">
        <f t="shared" si="39"/>
        <v>0</v>
      </c>
      <c r="AJ432" s="34"/>
      <c r="AK432" s="34"/>
      <c r="AU432" s="34"/>
      <c r="AV432" s="34"/>
    </row>
    <row r="433" spans="22:48" ht="16" x14ac:dyDescent="0.4">
      <c r="V433" s="97"/>
      <c r="W433" s="16"/>
      <c r="X433" s="89"/>
      <c r="Z433" s="50"/>
      <c r="AA433" s="50"/>
      <c r="AD433" s="48"/>
      <c r="AE433" s="48">
        <f t="shared" si="37"/>
        <v>0</v>
      </c>
      <c r="AF433" s="16"/>
      <c r="AG433" s="103">
        <f t="shared" si="38"/>
        <v>0</v>
      </c>
      <c r="AH433" s="37">
        <f t="shared" si="39"/>
        <v>0</v>
      </c>
      <c r="AJ433" s="34"/>
      <c r="AK433" s="34"/>
      <c r="AU433" s="34"/>
      <c r="AV433" s="34"/>
    </row>
    <row r="434" spans="22:48" ht="16" x14ac:dyDescent="0.4">
      <c r="V434" s="97"/>
      <c r="W434" s="16"/>
      <c r="X434" s="89"/>
      <c r="Z434" s="50"/>
      <c r="AA434" s="50"/>
      <c r="AD434" s="48"/>
      <c r="AE434" s="48">
        <f t="shared" si="37"/>
        <v>0</v>
      </c>
      <c r="AF434" s="16"/>
      <c r="AG434" s="103">
        <f t="shared" si="38"/>
        <v>0</v>
      </c>
      <c r="AH434" s="37">
        <f t="shared" si="39"/>
        <v>0</v>
      </c>
      <c r="AJ434" s="34"/>
      <c r="AK434" s="34"/>
      <c r="AU434" s="34"/>
      <c r="AV434" s="34"/>
    </row>
    <row r="435" spans="22:48" ht="16" x14ac:dyDescent="0.4">
      <c r="V435" s="97"/>
      <c r="W435" s="16"/>
      <c r="X435" s="89"/>
      <c r="Z435" s="50"/>
      <c r="AA435" s="50"/>
      <c r="AD435" s="48"/>
      <c r="AE435" s="48">
        <f t="shared" si="37"/>
        <v>0</v>
      </c>
      <c r="AF435" s="16"/>
      <c r="AG435" s="103">
        <f t="shared" si="38"/>
        <v>0</v>
      </c>
      <c r="AH435" s="37">
        <f t="shared" si="39"/>
        <v>0</v>
      </c>
      <c r="AJ435" s="34"/>
      <c r="AK435" s="34"/>
      <c r="AU435" s="34"/>
      <c r="AV435" s="34"/>
    </row>
    <row r="436" spans="22:48" ht="16" x14ac:dyDescent="0.4">
      <c r="V436" s="97"/>
      <c r="W436" s="16"/>
      <c r="X436" s="89"/>
      <c r="Z436" s="50"/>
      <c r="AA436" s="50"/>
      <c r="AD436" s="48"/>
      <c r="AE436" s="48">
        <f t="shared" si="37"/>
        <v>0</v>
      </c>
      <c r="AF436" s="16"/>
      <c r="AG436" s="103">
        <f t="shared" si="38"/>
        <v>0</v>
      </c>
      <c r="AH436" s="37">
        <f t="shared" si="39"/>
        <v>0</v>
      </c>
      <c r="AJ436" s="34"/>
      <c r="AK436" s="34"/>
      <c r="AU436" s="34"/>
      <c r="AV436" s="34"/>
    </row>
    <row r="437" spans="22:48" ht="16" x14ac:dyDescent="0.4">
      <c r="V437" s="97"/>
      <c r="W437" s="16"/>
      <c r="X437" s="89"/>
      <c r="Z437" s="50"/>
      <c r="AA437" s="50"/>
      <c r="AD437" s="48"/>
      <c r="AE437" s="48">
        <f t="shared" si="37"/>
        <v>0</v>
      </c>
      <c r="AF437" s="16"/>
      <c r="AG437" s="103">
        <f t="shared" si="38"/>
        <v>0</v>
      </c>
      <c r="AH437" s="37">
        <f t="shared" si="39"/>
        <v>0</v>
      </c>
      <c r="AJ437" s="34"/>
      <c r="AK437" s="34"/>
      <c r="AU437" s="34"/>
      <c r="AV437" s="34"/>
    </row>
    <row r="438" spans="22:48" ht="16" x14ac:dyDescent="0.4">
      <c r="V438" s="97"/>
      <c r="W438" s="16"/>
      <c r="X438" s="89"/>
      <c r="Z438" s="50"/>
      <c r="AA438" s="50"/>
      <c r="AD438" s="48"/>
      <c r="AE438" s="48">
        <f t="shared" ref="AE438:AE483" si="40">AD438/1000</f>
        <v>0</v>
      </c>
      <c r="AF438" s="16"/>
      <c r="AG438" s="103">
        <f t="shared" si="38"/>
        <v>0</v>
      </c>
      <c r="AH438" s="37">
        <f t="shared" si="39"/>
        <v>0</v>
      </c>
      <c r="AJ438" s="34"/>
      <c r="AK438" s="34"/>
      <c r="AU438" s="34"/>
      <c r="AV438" s="34"/>
    </row>
    <row r="439" spans="22:48" ht="16" x14ac:dyDescent="0.4">
      <c r="V439" s="97"/>
      <c r="W439" s="16"/>
      <c r="X439" s="89"/>
      <c r="Z439" s="50"/>
      <c r="AA439" s="50"/>
      <c r="AD439" s="48"/>
      <c r="AE439" s="48">
        <f t="shared" si="40"/>
        <v>0</v>
      </c>
      <c r="AF439" s="16"/>
      <c r="AG439" s="103">
        <f t="shared" si="38"/>
        <v>0</v>
      </c>
      <c r="AH439" s="37">
        <f t="shared" si="39"/>
        <v>0</v>
      </c>
      <c r="AJ439" s="34"/>
      <c r="AK439" s="34"/>
      <c r="AU439" s="34"/>
      <c r="AV439" s="34"/>
    </row>
    <row r="440" spans="22:48" ht="16" x14ac:dyDescent="0.4">
      <c r="V440" s="97"/>
      <c r="W440" s="16"/>
      <c r="X440" s="89"/>
      <c r="Z440" s="50"/>
      <c r="AA440" s="50"/>
      <c r="AD440" s="48"/>
      <c r="AE440" s="48">
        <f t="shared" si="40"/>
        <v>0</v>
      </c>
      <c r="AF440" s="16"/>
      <c r="AG440" s="103">
        <f t="shared" si="38"/>
        <v>0</v>
      </c>
      <c r="AH440" s="37">
        <f t="shared" si="39"/>
        <v>0</v>
      </c>
      <c r="AJ440" s="34"/>
      <c r="AK440" s="34"/>
      <c r="AU440" s="34"/>
      <c r="AV440" s="34"/>
    </row>
    <row r="441" spans="22:48" ht="16" x14ac:dyDescent="0.4">
      <c r="V441" s="97"/>
      <c r="W441" s="16"/>
      <c r="X441" s="89"/>
      <c r="Z441" s="50"/>
      <c r="AA441" s="50"/>
      <c r="AD441" s="48"/>
      <c r="AE441" s="48">
        <f t="shared" si="40"/>
        <v>0</v>
      </c>
      <c r="AF441" s="16"/>
      <c r="AG441" s="103">
        <f t="shared" si="38"/>
        <v>0</v>
      </c>
      <c r="AH441" s="37">
        <f t="shared" si="39"/>
        <v>0</v>
      </c>
      <c r="AJ441" s="34"/>
      <c r="AK441" s="34"/>
      <c r="AU441" s="34"/>
      <c r="AV441" s="34"/>
    </row>
    <row r="442" spans="22:48" ht="16" x14ac:dyDescent="0.4">
      <c r="V442" s="97"/>
      <c r="W442" s="16"/>
      <c r="X442" s="89"/>
      <c r="Z442" s="50"/>
      <c r="AA442" s="50"/>
      <c r="AD442" s="48"/>
      <c r="AE442" s="48">
        <f t="shared" si="40"/>
        <v>0</v>
      </c>
      <c r="AF442" s="16"/>
      <c r="AG442" s="103">
        <f t="shared" si="38"/>
        <v>0</v>
      </c>
      <c r="AH442" s="37">
        <f t="shared" si="39"/>
        <v>0</v>
      </c>
      <c r="AJ442" s="34"/>
      <c r="AK442" s="34"/>
      <c r="AU442" s="34"/>
      <c r="AV442" s="34"/>
    </row>
    <row r="443" spans="22:48" ht="16" x14ac:dyDescent="0.4">
      <c r="V443" s="97"/>
      <c r="W443" s="16"/>
      <c r="X443" s="89"/>
      <c r="Z443" s="50"/>
      <c r="AA443" s="50"/>
      <c r="AD443" s="48"/>
      <c r="AE443" s="48">
        <f t="shared" si="40"/>
        <v>0</v>
      </c>
      <c r="AF443" s="16"/>
      <c r="AG443" s="103">
        <f t="shared" si="38"/>
        <v>0</v>
      </c>
      <c r="AH443" s="37">
        <f t="shared" si="39"/>
        <v>0</v>
      </c>
      <c r="AJ443" s="34"/>
      <c r="AK443" s="34"/>
      <c r="AU443" s="34"/>
      <c r="AV443" s="34"/>
    </row>
    <row r="444" spans="22:48" ht="16" x14ac:dyDescent="0.4">
      <c r="V444" s="97"/>
      <c r="W444" s="16"/>
      <c r="X444" s="89"/>
      <c r="Z444" s="50"/>
      <c r="AA444" s="50"/>
      <c r="AD444" s="48"/>
      <c r="AE444" s="48">
        <f t="shared" si="40"/>
        <v>0</v>
      </c>
      <c r="AF444" s="16"/>
      <c r="AG444" s="103">
        <f t="shared" si="38"/>
        <v>0</v>
      </c>
      <c r="AH444" s="37">
        <f t="shared" si="39"/>
        <v>0</v>
      </c>
      <c r="AJ444" s="34"/>
      <c r="AK444" s="34"/>
      <c r="AU444" s="34"/>
      <c r="AV444" s="34"/>
    </row>
    <row r="445" spans="22:48" ht="16" x14ac:dyDescent="0.4">
      <c r="V445" s="97"/>
      <c r="W445" s="16"/>
      <c r="X445" s="89"/>
      <c r="Z445" s="50"/>
      <c r="AA445" s="50"/>
      <c r="AD445" s="48"/>
      <c r="AE445" s="48">
        <f t="shared" si="40"/>
        <v>0</v>
      </c>
      <c r="AF445" s="16"/>
      <c r="AG445" s="103">
        <f t="shared" si="38"/>
        <v>0</v>
      </c>
      <c r="AH445" s="37">
        <f t="shared" si="39"/>
        <v>0</v>
      </c>
      <c r="AJ445" s="34"/>
      <c r="AK445" s="34"/>
      <c r="AU445" s="34"/>
      <c r="AV445" s="34"/>
    </row>
    <row r="446" spans="22:48" ht="16" x14ac:dyDescent="0.4">
      <c r="V446" s="97"/>
      <c r="W446" s="16"/>
      <c r="X446" s="89"/>
      <c r="Z446" s="50"/>
      <c r="AA446" s="50"/>
      <c r="AD446" s="48"/>
      <c r="AE446" s="48">
        <f t="shared" si="40"/>
        <v>0</v>
      </c>
      <c r="AF446" s="16"/>
      <c r="AG446" s="103">
        <f t="shared" si="38"/>
        <v>0</v>
      </c>
      <c r="AH446" s="37">
        <f t="shared" si="39"/>
        <v>0</v>
      </c>
      <c r="AJ446" s="34"/>
      <c r="AK446" s="34"/>
      <c r="AU446" s="34"/>
      <c r="AV446" s="34"/>
    </row>
    <row r="447" spans="22:48" ht="16" x14ac:dyDescent="0.4">
      <c r="V447" s="97"/>
      <c r="W447" s="16"/>
      <c r="X447" s="89"/>
      <c r="Z447" s="50"/>
      <c r="AA447" s="50"/>
      <c r="AD447" s="48"/>
      <c r="AE447" s="48">
        <f t="shared" si="40"/>
        <v>0</v>
      </c>
      <c r="AF447" s="16"/>
      <c r="AG447" s="103">
        <f t="shared" si="38"/>
        <v>0</v>
      </c>
      <c r="AH447" s="37">
        <f t="shared" si="39"/>
        <v>0</v>
      </c>
      <c r="AJ447" s="34"/>
      <c r="AK447" s="34"/>
      <c r="AU447" s="34"/>
      <c r="AV447" s="34"/>
    </row>
    <row r="448" spans="22:48" ht="16" x14ac:dyDescent="0.4">
      <c r="V448" s="97"/>
      <c r="W448" s="16"/>
      <c r="X448" s="89"/>
      <c r="Z448" s="50"/>
      <c r="AA448" s="50"/>
      <c r="AD448" s="48"/>
      <c r="AE448" s="48">
        <f t="shared" si="40"/>
        <v>0</v>
      </c>
      <c r="AF448" s="16"/>
      <c r="AG448" s="103">
        <f t="shared" si="38"/>
        <v>0</v>
      </c>
      <c r="AH448" s="37">
        <f t="shared" si="39"/>
        <v>0</v>
      </c>
      <c r="AJ448" s="34"/>
      <c r="AK448" s="34"/>
      <c r="AU448" s="34"/>
      <c r="AV448" s="34"/>
    </row>
    <row r="449" spans="22:48" ht="16" x14ac:dyDescent="0.4">
      <c r="V449" s="97"/>
      <c r="W449" s="16"/>
      <c r="X449" s="89"/>
      <c r="Z449" s="50"/>
      <c r="AA449" s="50"/>
      <c r="AD449" s="48"/>
      <c r="AE449" s="48">
        <f t="shared" si="40"/>
        <v>0</v>
      </c>
      <c r="AF449" s="16"/>
      <c r="AG449" s="103">
        <f t="shared" si="38"/>
        <v>0</v>
      </c>
      <c r="AH449" s="37">
        <f t="shared" si="39"/>
        <v>0</v>
      </c>
      <c r="AJ449" s="34"/>
      <c r="AK449" s="34"/>
      <c r="AU449" s="34"/>
      <c r="AV449" s="34"/>
    </row>
    <row r="450" spans="22:48" ht="16" x14ac:dyDescent="0.4">
      <c r="V450" s="97"/>
      <c r="W450" s="16"/>
      <c r="X450" s="89"/>
      <c r="Z450" s="50"/>
      <c r="AA450" s="50"/>
      <c r="AD450" s="48"/>
      <c r="AE450" s="48">
        <f t="shared" si="40"/>
        <v>0</v>
      </c>
      <c r="AF450" s="16"/>
      <c r="AG450" s="103">
        <f t="shared" si="38"/>
        <v>0</v>
      </c>
      <c r="AH450" s="37">
        <f t="shared" si="39"/>
        <v>0</v>
      </c>
      <c r="AJ450" s="34"/>
      <c r="AK450" s="34"/>
      <c r="AU450" s="34"/>
      <c r="AV450" s="34"/>
    </row>
    <row r="451" spans="22:48" ht="16" x14ac:dyDescent="0.4">
      <c r="V451" s="97"/>
      <c r="W451" s="16"/>
      <c r="X451" s="89"/>
      <c r="Z451" s="50"/>
      <c r="AA451" s="50"/>
      <c r="AD451" s="48"/>
      <c r="AE451" s="48">
        <f t="shared" si="40"/>
        <v>0</v>
      </c>
      <c r="AF451" s="16"/>
      <c r="AG451" s="103">
        <f t="shared" si="38"/>
        <v>0</v>
      </c>
      <c r="AH451" s="37">
        <f t="shared" si="39"/>
        <v>0</v>
      </c>
      <c r="AJ451" s="34"/>
      <c r="AK451" s="34"/>
      <c r="AU451" s="34"/>
      <c r="AV451" s="34"/>
    </row>
    <row r="452" spans="22:48" ht="16" x14ac:dyDescent="0.4">
      <c r="V452" s="97"/>
      <c r="W452" s="16"/>
      <c r="X452" s="89"/>
      <c r="Z452" s="50"/>
      <c r="AA452" s="50"/>
      <c r="AD452" s="48"/>
      <c r="AE452" s="48">
        <f t="shared" si="40"/>
        <v>0</v>
      </c>
      <c r="AF452" s="16"/>
      <c r="AG452" s="103">
        <f t="shared" si="38"/>
        <v>0</v>
      </c>
      <c r="AH452" s="37">
        <f t="shared" si="39"/>
        <v>0</v>
      </c>
      <c r="AJ452" s="34"/>
      <c r="AK452" s="34"/>
      <c r="AU452" s="34"/>
      <c r="AV452" s="34"/>
    </row>
    <row r="453" spans="22:48" ht="16" x14ac:dyDescent="0.4">
      <c r="V453" s="97"/>
      <c r="W453" s="16"/>
      <c r="X453" s="89"/>
      <c r="Z453" s="50"/>
      <c r="AA453" s="50"/>
      <c r="AD453" s="48"/>
      <c r="AE453" s="48">
        <f t="shared" si="40"/>
        <v>0</v>
      </c>
      <c r="AF453" s="16"/>
      <c r="AG453" s="103">
        <f t="shared" ref="AG453:AG516" si="41">IF($AF453&gt;14,14,$AF453)</f>
        <v>0</v>
      </c>
      <c r="AH453" s="37">
        <f t="shared" ref="AH453:AH487" si="42">AE453*AG453/14</f>
        <v>0</v>
      </c>
      <c r="AJ453" s="34"/>
      <c r="AK453" s="34"/>
      <c r="AU453" s="34"/>
      <c r="AV453" s="34"/>
    </row>
    <row r="454" spans="22:48" ht="16" x14ac:dyDescent="0.4">
      <c r="V454" s="97"/>
      <c r="W454" s="16"/>
      <c r="X454" s="89"/>
      <c r="Z454" s="50"/>
      <c r="AA454" s="50"/>
      <c r="AD454" s="48"/>
      <c r="AE454" s="48">
        <f t="shared" si="40"/>
        <v>0</v>
      </c>
      <c r="AF454" s="16"/>
      <c r="AG454" s="103">
        <f t="shared" si="41"/>
        <v>0</v>
      </c>
      <c r="AH454" s="37">
        <f t="shared" si="42"/>
        <v>0</v>
      </c>
      <c r="AJ454" s="34"/>
      <c r="AK454" s="34"/>
      <c r="AU454" s="34"/>
      <c r="AV454" s="34"/>
    </row>
    <row r="455" spans="22:48" ht="16" x14ac:dyDescent="0.4">
      <c r="V455" s="97"/>
      <c r="X455" s="89"/>
      <c r="Z455" s="50"/>
      <c r="AA455" s="50"/>
      <c r="AD455" s="37"/>
      <c r="AE455" s="48">
        <f t="shared" si="40"/>
        <v>0</v>
      </c>
      <c r="AG455" s="103">
        <f t="shared" si="41"/>
        <v>0</v>
      </c>
      <c r="AH455" s="37">
        <f t="shared" si="42"/>
        <v>0</v>
      </c>
      <c r="AJ455" s="34"/>
      <c r="AK455" s="34"/>
      <c r="AU455" s="34"/>
      <c r="AV455" s="34"/>
    </row>
    <row r="456" spans="22:48" ht="16" x14ac:dyDescent="0.4">
      <c r="AE456" s="48">
        <f t="shared" si="40"/>
        <v>0</v>
      </c>
      <c r="AG456" s="103">
        <f t="shared" si="41"/>
        <v>0</v>
      </c>
      <c r="AH456" s="37">
        <f t="shared" si="42"/>
        <v>0</v>
      </c>
      <c r="AJ456" s="34"/>
      <c r="AK456" s="34"/>
      <c r="AU456" s="34"/>
      <c r="AV456" s="34"/>
    </row>
    <row r="457" spans="22:48" ht="16" x14ac:dyDescent="0.4">
      <c r="AE457" s="48">
        <f t="shared" si="40"/>
        <v>0</v>
      </c>
      <c r="AG457" s="103">
        <f t="shared" si="41"/>
        <v>0</v>
      </c>
      <c r="AH457" s="37">
        <f t="shared" si="42"/>
        <v>0</v>
      </c>
      <c r="AJ457" s="34"/>
      <c r="AK457" s="34"/>
      <c r="AU457" s="34"/>
      <c r="AV457" s="34"/>
    </row>
    <row r="458" spans="22:48" ht="16" x14ac:dyDescent="0.4">
      <c r="AE458" s="48">
        <f t="shared" si="40"/>
        <v>0</v>
      </c>
      <c r="AG458" s="103">
        <f t="shared" si="41"/>
        <v>0</v>
      </c>
      <c r="AH458" s="37">
        <f t="shared" si="42"/>
        <v>0</v>
      </c>
      <c r="AJ458" s="34"/>
      <c r="AK458" s="34"/>
      <c r="AU458" s="34"/>
      <c r="AV458" s="34"/>
    </row>
    <row r="459" spans="22:48" ht="16" x14ac:dyDescent="0.4">
      <c r="AE459" s="48">
        <f t="shared" si="40"/>
        <v>0</v>
      </c>
      <c r="AG459" s="103">
        <f t="shared" si="41"/>
        <v>0</v>
      </c>
      <c r="AH459" s="37">
        <f t="shared" si="42"/>
        <v>0</v>
      </c>
      <c r="AJ459" s="34"/>
      <c r="AK459" s="34"/>
      <c r="AU459" s="34"/>
      <c r="AV459" s="34"/>
    </row>
    <row r="460" spans="22:48" ht="16" x14ac:dyDescent="0.4">
      <c r="AE460" s="48">
        <f t="shared" si="40"/>
        <v>0</v>
      </c>
      <c r="AG460" s="103">
        <f t="shared" si="41"/>
        <v>0</v>
      </c>
      <c r="AH460" s="37">
        <f t="shared" si="42"/>
        <v>0</v>
      </c>
      <c r="AJ460" s="34"/>
      <c r="AK460" s="34"/>
      <c r="AU460" s="34"/>
      <c r="AV460" s="34"/>
    </row>
    <row r="461" spans="22:48" ht="16" x14ac:dyDescent="0.4">
      <c r="AE461" s="48">
        <f t="shared" si="40"/>
        <v>0</v>
      </c>
      <c r="AG461" s="103">
        <f t="shared" si="41"/>
        <v>0</v>
      </c>
      <c r="AH461" s="37">
        <f t="shared" si="42"/>
        <v>0</v>
      </c>
      <c r="AJ461" s="34"/>
      <c r="AK461" s="34"/>
      <c r="AU461" s="34"/>
      <c r="AV461" s="34"/>
    </row>
    <row r="462" spans="22:48" ht="16" x14ac:dyDescent="0.4">
      <c r="AE462" s="48">
        <f t="shared" si="40"/>
        <v>0</v>
      </c>
      <c r="AG462" s="103">
        <f t="shared" si="41"/>
        <v>0</v>
      </c>
      <c r="AH462" s="37">
        <f t="shared" si="42"/>
        <v>0</v>
      </c>
      <c r="AJ462" s="34"/>
      <c r="AK462" s="34"/>
      <c r="AU462" s="34"/>
      <c r="AV462" s="34"/>
    </row>
    <row r="463" spans="22:48" ht="16" x14ac:dyDescent="0.4">
      <c r="AE463" s="48">
        <f t="shared" si="40"/>
        <v>0</v>
      </c>
      <c r="AG463" s="103">
        <f t="shared" si="41"/>
        <v>0</v>
      </c>
      <c r="AH463" s="37">
        <f t="shared" si="42"/>
        <v>0</v>
      </c>
      <c r="AJ463" s="34"/>
      <c r="AK463" s="34"/>
      <c r="AU463" s="34"/>
      <c r="AV463" s="34"/>
    </row>
    <row r="464" spans="22:48" ht="16" x14ac:dyDescent="0.4">
      <c r="AE464" s="48">
        <f t="shared" si="40"/>
        <v>0</v>
      </c>
      <c r="AG464" s="103">
        <f t="shared" si="41"/>
        <v>0</v>
      </c>
      <c r="AH464" s="37">
        <f t="shared" si="42"/>
        <v>0</v>
      </c>
      <c r="AJ464" s="34"/>
      <c r="AK464" s="34"/>
      <c r="AU464" s="34"/>
      <c r="AV464" s="34"/>
    </row>
    <row r="465" spans="31:48" ht="16" x14ac:dyDescent="0.4">
      <c r="AE465" s="48">
        <f t="shared" si="40"/>
        <v>0</v>
      </c>
      <c r="AG465" s="103">
        <f t="shared" si="41"/>
        <v>0</v>
      </c>
      <c r="AH465" s="37">
        <f t="shared" si="42"/>
        <v>0</v>
      </c>
      <c r="AJ465" s="34"/>
      <c r="AK465" s="34"/>
      <c r="AU465" s="34"/>
      <c r="AV465" s="34"/>
    </row>
    <row r="466" spans="31:48" ht="16" x14ac:dyDescent="0.4">
      <c r="AE466" s="48">
        <f t="shared" si="40"/>
        <v>0</v>
      </c>
      <c r="AG466" s="103">
        <f t="shared" si="41"/>
        <v>0</v>
      </c>
      <c r="AH466" s="37">
        <f t="shared" si="42"/>
        <v>0</v>
      </c>
      <c r="AJ466" s="34"/>
      <c r="AK466" s="34"/>
      <c r="AU466" s="34"/>
      <c r="AV466" s="34"/>
    </row>
    <row r="467" spans="31:48" ht="16" x14ac:dyDescent="0.4">
      <c r="AE467" s="48">
        <f t="shared" si="40"/>
        <v>0</v>
      </c>
      <c r="AG467" s="103">
        <f t="shared" si="41"/>
        <v>0</v>
      </c>
      <c r="AH467" s="37">
        <f t="shared" si="42"/>
        <v>0</v>
      </c>
      <c r="AJ467" s="34"/>
      <c r="AK467" s="34"/>
      <c r="AU467" s="34"/>
      <c r="AV467" s="34"/>
    </row>
    <row r="468" spans="31:48" ht="16" x14ac:dyDescent="0.4">
      <c r="AE468" s="48">
        <f t="shared" si="40"/>
        <v>0</v>
      </c>
      <c r="AG468" s="103">
        <f t="shared" si="41"/>
        <v>0</v>
      </c>
      <c r="AH468" s="37">
        <f t="shared" si="42"/>
        <v>0</v>
      </c>
      <c r="AJ468" s="34"/>
      <c r="AK468" s="34"/>
      <c r="AU468" s="34"/>
      <c r="AV468" s="34"/>
    </row>
    <row r="469" spans="31:48" ht="16" x14ac:dyDescent="0.4">
      <c r="AE469" s="48">
        <f t="shared" si="40"/>
        <v>0</v>
      </c>
      <c r="AG469" s="103">
        <f t="shared" si="41"/>
        <v>0</v>
      </c>
      <c r="AH469" s="37">
        <f t="shared" si="42"/>
        <v>0</v>
      </c>
      <c r="AJ469" s="34"/>
      <c r="AK469" s="34"/>
      <c r="AU469" s="34"/>
      <c r="AV469" s="34"/>
    </row>
    <row r="470" spans="31:48" ht="16" x14ac:dyDescent="0.4">
      <c r="AE470" s="48">
        <f t="shared" si="40"/>
        <v>0</v>
      </c>
      <c r="AG470" s="103">
        <f t="shared" si="41"/>
        <v>0</v>
      </c>
      <c r="AH470" s="37">
        <f t="shared" si="42"/>
        <v>0</v>
      </c>
      <c r="AJ470" s="34"/>
      <c r="AK470" s="34"/>
      <c r="AU470" s="34"/>
      <c r="AV470" s="34"/>
    </row>
    <row r="471" spans="31:48" ht="16" x14ac:dyDescent="0.4">
      <c r="AE471" s="48">
        <f t="shared" si="40"/>
        <v>0</v>
      </c>
      <c r="AG471" s="103">
        <f t="shared" si="41"/>
        <v>0</v>
      </c>
      <c r="AH471" s="37">
        <f t="shared" si="42"/>
        <v>0</v>
      </c>
      <c r="AJ471" s="34"/>
      <c r="AK471" s="34"/>
      <c r="AU471" s="34"/>
      <c r="AV471" s="34"/>
    </row>
    <row r="472" spans="31:48" ht="16" x14ac:dyDescent="0.4">
      <c r="AE472" s="48">
        <f t="shared" si="40"/>
        <v>0</v>
      </c>
      <c r="AG472" s="103">
        <f t="shared" si="41"/>
        <v>0</v>
      </c>
      <c r="AH472" s="37">
        <f t="shared" si="42"/>
        <v>0</v>
      </c>
      <c r="AJ472" s="34"/>
      <c r="AK472" s="34"/>
      <c r="AU472" s="34"/>
      <c r="AV472" s="34"/>
    </row>
    <row r="473" spans="31:48" ht="16" x14ac:dyDescent="0.4">
      <c r="AE473" s="48">
        <f t="shared" si="40"/>
        <v>0</v>
      </c>
      <c r="AG473" s="103">
        <f t="shared" si="41"/>
        <v>0</v>
      </c>
      <c r="AH473" s="37">
        <f t="shared" si="42"/>
        <v>0</v>
      </c>
      <c r="AJ473" s="34"/>
      <c r="AK473" s="34"/>
      <c r="AU473" s="34"/>
      <c r="AV473" s="34"/>
    </row>
    <row r="474" spans="31:48" ht="16" x14ac:dyDescent="0.4">
      <c r="AE474" s="48">
        <f t="shared" si="40"/>
        <v>0</v>
      </c>
      <c r="AG474" s="103">
        <f t="shared" si="41"/>
        <v>0</v>
      </c>
      <c r="AH474" s="37">
        <f t="shared" si="42"/>
        <v>0</v>
      </c>
      <c r="AJ474" s="34"/>
      <c r="AK474" s="34"/>
      <c r="AU474" s="34"/>
      <c r="AV474" s="34"/>
    </row>
    <row r="475" spans="31:48" ht="16" x14ac:dyDescent="0.4">
      <c r="AE475" s="48">
        <f t="shared" si="40"/>
        <v>0</v>
      </c>
      <c r="AG475" s="103">
        <f t="shared" si="41"/>
        <v>0</v>
      </c>
      <c r="AH475" s="37">
        <f t="shared" si="42"/>
        <v>0</v>
      </c>
      <c r="AJ475" s="34"/>
      <c r="AK475" s="34"/>
      <c r="AU475" s="34"/>
      <c r="AV475" s="34"/>
    </row>
    <row r="476" spans="31:48" ht="16" x14ac:dyDescent="0.4">
      <c r="AE476" s="48">
        <f t="shared" si="40"/>
        <v>0</v>
      </c>
      <c r="AG476" s="103">
        <f t="shared" si="41"/>
        <v>0</v>
      </c>
      <c r="AH476" s="37">
        <f t="shared" si="42"/>
        <v>0</v>
      </c>
      <c r="AJ476" s="34"/>
      <c r="AK476" s="34"/>
      <c r="AU476" s="34"/>
      <c r="AV476" s="34"/>
    </row>
    <row r="477" spans="31:48" ht="16" x14ac:dyDescent="0.4">
      <c r="AE477" s="48">
        <f t="shared" si="40"/>
        <v>0</v>
      </c>
      <c r="AG477" s="103">
        <f t="shared" si="41"/>
        <v>0</v>
      </c>
      <c r="AH477" s="37">
        <f t="shared" si="42"/>
        <v>0</v>
      </c>
      <c r="AJ477" s="34"/>
      <c r="AK477" s="34"/>
      <c r="AU477" s="34"/>
      <c r="AV477" s="34"/>
    </row>
    <row r="478" spans="31:48" ht="16" x14ac:dyDescent="0.4">
      <c r="AE478" s="48">
        <f t="shared" si="40"/>
        <v>0</v>
      </c>
      <c r="AG478" s="103">
        <f t="shared" si="41"/>
        <v>0</v>
      </c>
      <c r="AH478" s="37">
        <f t="shared" si="42"/>
        <v>0</v>
      </c>
      <c r="AJ478" s="34"/>
      <c r="AK478" s="34"/>
      <c r="AU478" s="34"/>
      <c r="AV478" s="34"/>
    </row>
    <row r="479" spans="31:48" ht="16" x14ac:dyDescent="0.4">
      <c r="AE479" s="48">
        <f t="shared" si="40"/>
        <v>0</v>
      </c>
      <c r="AG479" s="103">
        <f t="shared" si="41"/>
        <v>0</v>
      </c>
      <c r="AH479" s="37">
        <f t="shared" si="42"/>
        <v>0</v>
      </c>
      <c r="AJ479" s="34"/>
      <c r="AK479" s="34"/>
      <c r="AU479" s="34"/>
      <c r="AV479" s="34"/>
    </row>
    <row r="480" spans="31:48" ht="16" x14ac:dyDescent="0.4">
      <c r="AE480" s="48">
        <f t="shared" si="40"/>
        <v>0</v>
      </c>
      <c r="AG480" s="103">
        <f t="shared" si="41"/>
        <v>0</v>
      </c>
      <c r="AH480" s="37">
        <f t="shared" si="42"/>
        <v>0</v>
      </c>
      <c r="AJ480" s="34"/>
      <c r="AK480" s="34"/>
      <c r="AU480" s="34"/>
      <c r="AV480" s="34"/>
    </row>
    <row r="481" spans="31:48" ht="16" x14ac:dyDescent="0.4">
      <c r="AE481" s="48">
        <f t="shared" si="40"/>
        <v>0</v>
      </c>
      <c r="AG481" s="103">
        <f t="shared" si="41"/>
        <v>0</v>
      </c>
      <c r="AH481" s="37">
        <f t="shared" si="42"/>
        <v>0</v>
      </c>
      <c r="AJ481" s="34"/>
      <c r="AK481" s="34"/>
      <c r="AU481" s="34"/>
      <c r="AV481" s="34"/>
    </row>
    <row r="482" spans="31:48" ht="16" x14ac:dyDescent="0.4">
      <c r="AE482" s="48">
        <f t="shared" si="40"/>
        <v>0</v>
      </c>
      <c r="AG482" s="103">
        <f t="shared" si="41"/>
        <v>0</v>
      </c>
      <c r="AH482" s="37">
        <f t="shared" si="42"/>
        <v>0</v>
      </c>
      <c r="AJ482" s="34"/>
      <c r="AK482" s="34"/>
      <c r="AU482" s="34"/>
      <c r="AV482" s="34"/>
    </row>
    <row r="483" spans="31:48" ht="16" x14ac:dyDescent="0.4">
      <c r="AE483" s="48">
        <f t="shared" si="40"/>
        <v>0</v>
      </c>
      <c r="AG483" s="103">
        <f t="shared" si="41"/>
        <v>0</v>
      </c>
      <c r="AH483" s="37">
        <f t="shared" si="42"/>
        <v>0</v>
      </c>
      <c r="AJ483" s="34"/>
      <c r="AK483" s="34"/>
      <c r="AU483" s="34"/>
      <c r="AV483" s="34"/>
    </row>
    <row r="484" spans="31:48" ht="16" x14ac:dyDescent="0.4">
      <c r="AG484" s="103">
        <f t="shared" si="41"/>
        <v>0</v>
      </c>
      <c r="AH484" s="37">
        <f t="shared" si="42"/>
        <v>0</v>
      </c>
      <c r="AJ484" s="34"/>
      <c r="AK484" s="34"/>
      <c r="AU484" s="34"/>
      <c r="AV484" s="34"/>
    </row>
    <row r="485" spans="31:48" ht="16" x14ac:dyDescent="0.4">
      <c r="AG485" s="103">
        <f t="shared" si="41"/>
        <v>0</v>
      </c>
      <c r="AH485" s="37">
        <f t="shared" si="42"/>
        <v>0</v>
      </c>
      <c r="AJ485" s="34"/>
      <c r="AK485" s="34"/>
      <c r="AU485" s="34"/>
      <c r="AV485" s="34"/>
    </row>
    <row r="486" spans="31:48" ht="16" x14ac:dyDescent="0.4">
      <c r="AG486" s="103">
        <f t="shared" si="41"/>
        <v>0</v>
      </c>
      <c r="AH486" s="37">
        <f t="shared" si="42"/>
        <v>0</v>
      </c>
      <c r="AJ486" s="34"/>
      <c r="AK486" s="34"/>
      <c r="AU486" s="34"/>
      <c r="AV486" s="34"/>
    </row>
    <row r="487" spans="31:48" ht="16" x14ac:dyDescent="0.4">
      <c r="AG487" s="103">
        <f t="shared" si="41"/>
        <v>0</v>
      </c>
      <c r="AH487" s="37">
        <f t="shared" si="42"/>
        <v>0</v>
      </c>
      <c r="AJ487" s="34"/>
      <c r="AK487" s="34"/>
      <c r="AU487" s="34"/>
      <c r="AV487" s="34"/>
    </row>
    <row r="488" spans="31:48" ht="16" x14ac:dyDescent="0.4">
      <c r="AG488" s="103">
        <f t="shared" si="41"/>
        <v>0</v>
      </c>
      <c r="AJ488" s="34"/>
      <c r="AK488" s="34"/>
      <c r="AU488" s="34"/>
      <c r="AV488" s="34"/>
    </row>
    <row r="489" spans="31:48" ht="16" x14ac:dyDescent="0.4">
      <c r="AG489" s="103">
        <f t="shared" si="41"/>
        <v>0</v>
      </c>
      <c r="AJ489" s="34"/>
      <c r="AK489" s="34"/>
      <c r="AU489" s="34"/>
      <c r="AV489" s="34"/>
    </row>
    <row r="490" spans="31:48" ht="16" x14ac:dyDescent="0.4">
      <c r="AG490" s="103">
        <f t="shared" si="41"/>
        <v>0</v>
      </c>
      <c r="AJ490" s="34"/>
      <c r="AK490" s="34"/>
      <c r="AU490" s="34"/>
      <c r="AV490" s="34"/>
    </row>
    <row r="491" spans="31:48" ht="16" x14ac:dyDescent="0.4">
      <c r="AG491" s="103">
        <f t="shared" si="41"/>
        <v>0</v>
      </c>
      <c r="AJ491" s="34"/>
      <c r="AK491" s="34"/>
      <c r="AU491" s="34"/>
      <c r="AV491" s="34"/>
    </row>
    <row r="492" spans="31:48" ht="16" x14ac:dyDescent="0.4">
      <c r="AG492" s="103">
        <f t="shared" si="41"/>
        <v>0</v>
      </c>
      <c r="AJ492" s="34"/>
      <c r="AK492" s="34"/>
      <c r="AU492" s="34"/>
      <c r="AV492" s="34"/>
    </row>
    <row r="493" spans="31:48" ht="16" x14ac:dyDescent="0.4">
      <c r="AG493" s="103">
        <f t="shared" si="41"/>
        <v>0</v>
      </c>
      <c r="AJ493" s="34"/>
      <c r="AK493" s="34"/>
      <c r="AU493" s="34"/>
      <c r="AV493" s="34"/>
    </row>
    <row r="494" spans="31:48" ht="16" x14ac:dyDescent="0.4">
      <c r="AG494" s="103">
        <f t="shared" si="41"/>
        <v>0</v>
      </c>
      <c r="AJ494" s="34"/>
      <c r="AK494" s="34"/>
      <c r="AU494" s="34"/>
      <c r="AV494" s="34"/>
    </row>
    <row r="495" spans="31:48" ht="16" x14ac:dyDescent="0.4">
      <c r="AG495" s="103">
        <f t="shared" si="41"/>
        <v>0</v>
      </c>
      <c r="AJ495" s="34"/>
      <c r="AK495" s="34"/>
      <c r="AU495" s="34"/>
      <c r="AV495" s="34"/>
    </row>
    <row r="496" spans="31:48" ht="16" x14ac:dyDescent="0.4">
      <c r="AG496" s="103">
        <f t="shared" si="41"/>
        <v>0</v>
      </c>
      <c r="AJ496" s="34"/>
      <c r="AK496" s="34"/>
      <c r="AU496" s="34"/>
      <c r="AV496" s="34"/>
    </row>
    <row r="497" spans="33:48" ht="16" x14ac:dyDescent="0.4">
      <c r="AG497" s="103">
        <f t="shared" si="41"/>
        <v>0</v>
      </c>
      <c r="AJ497" s="34"/>
      <c r="AK497" s="34"/>
      <c r="AU497" s="34"/>
      <c r="AV497" s="34"/>
    </row>
    <row r="498" spans="33:48" ht="16" x14ac:dyDescent="0.4">
      <c r="AG498" s="103">
        <f t="shared" si="41"/>
        <v>0</v>
      </c>
      <c r="AJ498" s="34"/>
      <c r="AK498" s="34"/>
      <c r="AU498" s="34"/>
      <c r="AV498" s="34"/>
    </row>
    <row r="499" spans="33:48" ht="16" x14ac:dyDescent="0.4">
      <c r="AG499" s="103">
        <f t="shared" si="41"/>
        <v>0</v>
      </c>
      <c r="AJ499" s="34"/>
      <c r="AK499" s="34"/>
      <c r="AU499" s="34"/>
      <c r="AV499" s="34"/>
    </row>
    <row r="500" spans="33:48" ht="16" x14ac:dyDescent="0.4">
      <c r="AG500" s="103">
        <f t="shared" si="41"/>
        <v>0</v>
      </c>
      <c r="AJ500" s="34"/>
      <c r="AK500" s="34"/>
      <c r="AU500" s="34"/>
      <c r="AV500" s="34"/>
    </row>
    <row r="501" spans="33:48" ht="16" x14ac:dyDescent="0.4">
      <c r="AG501" s="103">
        <f t="shared" si="41"/>
        <v>0</v>
      </c>
      <c r="AJ501" s="34"/>
      <c r="AK501" s="34"/>
      <c r="AU501" s="34"/>
      <c r="AV501" s="34"/>
    </row>
    <row r="502" spans="33:48" ht="16" x14ac:dyDescent="0.4">
      <c r="AG502" s="103">
        <f t="shared" si="41"/>
        <v>0</v>
      </c>
      <c r="AJ502" s="34"/>
      <c r="AK502" s="34"/>
      <c r="AU502" s="34"/>
      <c r="AV502" s="34"/>
    </row>
    <row r="503" spans="33:48" ht="16" x14ac:dyDescent="0.4">
      <c r="AG503" s="103">
        <f t="shared" si="41"/>
        <v>0</v>
      </c>
      <c r="AJ503" s="34"/>
      <c r="AK503" s="34"/>
      <c r="AU503" s="34"/>
      <c r="AV503" s="34"/>
    </row>
    <row r="504" spans="33:48" ht="16" x14ac:dyDescent="0.4">
      <c r="AG504" s="103">
        <f t="shared" si="41"/>
        <v>0</v>
      </c>
      <c r="AJ504" s="34"/>
      <c r="AK504" s="34"/>
      <c r="AU504" s="34"/>
      <c r="AV504" s="34"/>
    </row>
    <row r="505" spans="33:48" ht="16" x14ac:dyDescent="0.4">
      <c r="AG505" s="103">
        <f t="shared" si="41"/>
        <v>0</v>
      </c>
      <c r="AJ505" s="34"/>
      <c r="AK505" s="34"/>
      <c r="AU505" s="34"/>
      <c r="AV505" s="34"/>
    </row>
    <row r="506" spans="33:48" ht="16" x14ac:dyDescent="0.4">
      <c r="AG506" s="103">
        <f t="shared" si="41"/>
        <v>0</v>
      </c>
      <c r="AJ506" s="34"/>
      <c r="AK506" s="34"/>
      <c r="AU506" s="34"/>
      <c r="AV506" s="34"/>
    </row>
    <row r="507" spans="33:48" ht="16" x14ac:dyDescent="0.4">
      <c r="AG507" s="103">
        <f t="shared" si="41"/>
        <v>0</v>
      </c>
      <c r="AJ507" s="34"/>
      <c r="AK507" s="34"/>
      <c r="AU507" s="34"/>
      <c r="AV507" s="34"/>
    </row>
    <row r="508" spans="33:48" ht="16" x14ac:dyDescent="0.4">
      <c r="AG508" s="103">
        <f t="shared" si="41"/>
        <v>0</v>
      </c>
      <c r="AJ508" s="34"/>
      <c r="AK508" s="34"/>
      <c r="AU508" s="34"/>
      <c r="AV508" s="34"/>
    </row>
    <row r="509" spans="33:48" ht="16" x14ac:dyDescent="0.4">
      <c r="AG509" s="103">
        <f t="shared" si="41"/>
        <v>0</v>
      </c>
      <c r="AJ509" s="34"/>
      <c r="AK509" s="34"/>
      <c r="AU509" s="34"/>
      <c r="AV509" s="34"/>
    </row>
    <row r="510" spans="33:48" ht="16" x14ac:dyDescent="0.4">
      <c r="AG510" s="103">
        <f t="shared" si="41"/>
        <v>0</v>
      </c>
      <c r="AJ510" s="34"/>
      <c r="AK510" s="34"/>
      <c r="AU510" s="34"/>
      <c r="AV510" s="34"/>
    </row>
    <row r="511" spans="33:48" ht="16" x14ac:dyDescent="0.4">
      <c r="AG511" s="103">
        <f t="shared" si="41"/>
        <v>0</v>
      </c>
      <c r="AJ511" s="34"/>
      <c r="AK511" s="34"/>
      <c r="AU511" s="34"/>
      <c r="AV511" s="34"/>
    </row>
    <row r="512" spans="33:48" ht="16" x14ac:dyDescent="0.4">
      <c r="AG512" s="103">
        <f t="shared" si="41"/>
        <v>0</v>
      </c>
      <c r="AJ512" s="34"/>
      <c r="AK512" s="34"/>
      <c r="AU512" s="34"/>
      <c r="AV512" s="34"/>
    </row>
    <row r="513" spans="33:48" ht="16" x14ac:dyDescent="0.4">
      <c r="AG513" s="103">
        <f t="shared" si="41"/>
        <v>0</v>
      </c>
      <c r="AJ513" s="34"/>
      <c r="AK513" s="34"/>
      <c r="AU513" s="34"/>
      <c r="AV513" s="34"/>
    </row>
    <row r="514" spans="33:48" ht="16" x14ac:dyDescent="0.4">
      <c r="AG514" s="103">
        <f t="shared" si="41"/>
        <v>0</v>
      </c>
      <c r="AJ514" s="34"/>
      <c r="AK514" s="34"/>
      <c r="AU514" s="34"/>
      <c r="AV514" s="34"/>
    </row>
    <row r="515" spans="33:48" ht="16" x14ac:dyDescent="0.4">
      <c r="AG515" s="103">
        <f t="shared" si="41"/>
        <v>0</v>
      </c>
      <c r="AJ515" s="34"/>
      <c r="AK515" s="34"/>
      <c r="AU515" s="34"/>
      <c r="AV515" s="34"/>
    </row>
    <row r="516" spans="33:48" ht="16" x14ac:dyDescent="0.4">
      <c r="AG516" s="103">
        <f t="shared" si="41"/>
        <v>0</v>
      </c>
      <c r="AJ516" s="34"/>
      <c r="AK516" s="34"/>
      <c r="AU516" s="34"/>
      <c r="AV516" s="34"/>
    </row>
    <row r="517" spans="33:48" ht="16" x14ac:dyDescent="0.4">
      <c r="AG517" s="103">
        <f t="shared" ref="AG517:AG580" si="43">IF($AF517&gt;14,14,$AF517)</f>
        <v>0</v>
      </c>
      <c r="AJ517" s="34"/>
      <c r="AK517" s="34"/>
      <c r="AU517" s="34"/>
      <c r="AV517" s="34"/>
    </row>
    <row r="518" spans="33:48" ht="16" x14ac:dyDescent="0.4">
      <c r="AG518" s="103">
        <f t="shared" si="43"/>
        <v>0</v>
      </c>
      <c r="AJ518" s="34"/>
      <c r="AK518" s="34"/>
      <c r="AU518" s="34"/>
      <c r="AV518" s="34"/>
    </row>
    <row r="519" spans="33:48" ht="16" x14ac:dyDescent="0.4">
      <c r="AG519" s="103">
        <f t="shared" si="43"/>
        <v>0</v>
      </c>
      <c r="AJ519" s="34"/>
      <c r="AK519" s="34"/>
      <c r="AU519" s="34"/>
      <c r="AV519" s="34"/>
    </row>
    <row r="520" spans="33:48" ht="16" x14ac:dyDescent="0.4">
      <c r="AG520" s="103">
        <f t="shared" si="43"/>
        <v>0</v>
      </c>
      <c r="AJ520" s="34"/>
      <c r="AK520" s="34"/>
      <c r="AU520" s="34"/>
      <c r="AV520" s="34"/>
    </row>
    <row r="521" spans="33:48" ht="16" x14ac:dyDescent="0.4">
      <c r="AG521" s="103">
        <f t="shared" si="43"/>
        <v>0</v>
      </c>
      <c r="AJ521" s="34"/>
      <c r="AK521" s="34"/>
      <c r="AU521" s="34"/>
      <c r="AV521" s="34"/>
    </row>
    <row r="522" spans="33:48" ht="16" x14ac:dyDescent="0.4">
      <c r="AG522" s="103">
        <f t="shared" si="43"/>
        <v>0</v>
      </c>
      <c r="AJ522" s="34"/>
      <c r="AK522" s="34"/>
      <c r="AU522" s="34"/>
      <c r="AV522" s="34"/>
    </row>
    <row r="523" spans="33:48" ht="16" x14ac:dyDescent="0.4">
      <c r="AG523" s="103">
        <f t="shared" si="43"/>
        <v>0</v>
      </c>
      <c r="AJ523" s="34"/>
      <c r="AK523" s="34"/>
      <c r="AU523" s="34"/>
      <c r="AV523" s="34"/>
    </row>
    <row r="524" spans="33:48" ht="16" x14ac:dyDescent="0.4">
      <c r="AG524" s="103">
        <f t="shared" si="43"/>
        <v>0</v>
      </c>
      <c r="AJ524" s="34"/>
      <c r="AK524" s="34"/>
      <c r="AU524" s="34"/>
      <c r="AV524" s="34"/>
    </row>
    <row r="525" spans="33:48" ht="16" x14ac:dyDescent="0.4">
      <c r="AG525" s="103">
        <f t="shared" si="43"/>
        <v>0</v>
      </c>
      <c r="AJ525" s="34"/>
      <c r="AK525" s="34"/>
      <c r="AU525" s="34"/>
      <c r="AV525" s="34"/>
    </row>
    <row r="526" spans="33:48" ht="16" x14ac:dyDescent="0.4">
      <c r="AG526" s="103">
        <f t="shared" si="43"/>
        <v>0</v>
      </c>
      <c r="AJ526" s="34"/>
      <c r="AK526" s="34"/>
      <c r="AU526" s="34"/>
      <c r="AV526" s="34"/>
    </row>
    <row r="527" spans="33:48" ht="16" x14ac:dyDescent="0.4">
      <c r="AG527" s="103">
        <f t="shared" si="43"/>
        <v>0</v>
      </c>
      <c r="AJ527" s="34"/>
      <c r="AK527" s="34"/>
      <c r="AU527" s="34"/>
      <c r="AV527" s="34"/>
    </row>
    <row r="528" spans="33:48" ht="16" x14ac:dyDescent="0.4">
      <c r="AG528" s="103">
        <f t="shared" si="43"/>
        <v>0</v>
      </c>
      <c r="AJ528" s="34"/>
      <c r="AK528" s="34"/>
      <c r="AU528" s="34"/>
      <c r="AV528" s="34"/>
    </row>
    <row r="529" spans="33:48" ht="16" x14ac:dyDescent="0.4">
      <c r="AG529" s="103">
        <f t="shared" si="43"/>
        <v>0</v>
      </c>
      <c r="AJ529" s="34"/>
      <c r="AK529" s="34"/>
      <c r="AU529" s="34"/>
      <c r="AV529" s="34"/>
    </row>
    <row r="530" spans="33:48" ht="16" x14ac:dyDescent="0.4">
      <c r="AG530" s="103">
        <f t="shared" si="43"/>
        <v>0</v>
      </c>
      <c r="AJ530" s="34"/>
      <c r="AK530" s="34"/>
      <c r="AU530" s="34"/>
      <c r="AV530" s="34"/>
    </row>
    <row r="531" spans="33:48" ht="16" x14ac:dyDescent="0.4">
      <c r="AG531" s="103">
        <f t="shared" si="43"/>
        <v>0</v>
      </c>
      <c r="AJ531" s="34"/>
      <c r="AK531" s="34"/>
      <c r="AU531" s="34"/>
      <c r="AV531" s="34"/>
    </row>
    <row r="532" spans="33:48" ht="16" x14ac:dyDescent="0.4">
      <c r="AG532" s="103">
        <f t="shared" si="43"/>
        <v>0</v>
      </c>
      <c r="AJ532" s="34"/>
      <c r="AK532" s="34"/>
      <c r="AU532" s="34"/>
      <c r="AV532" s="34"/>
    </row>
    <row r="533" spans="33:48" ht="16" x14ac:dyDescent="0.4">
      <c r="AG533" s="103">
        <f t="shared" si="43"/>
        <v>0</v>
      </c>
      <c r="AJ533" s="34"/>
      <c r="AK533" s="34"/>
      <c r="AU533" s="34"/>
      <c r="AV533" s="34"/>
    </row>
    <row r="534" spans="33:48" ht="16" x14ac:dyDescent="0.4">
      <c r="AG534" s="103">
        <f t="shared" si="43"/>
        <v>0</v>
      </c>
      <c r="AJ534" s="34"/>
      <c r="AK534" s="34"/>
      <c r="AU534" s="34"/>
      <c r="AV534" s="34"/>
    </row>
    <row r="535" spans="33:48" ht="16" x14ac:dyDescent="0.4">
      <c r="AG535" s="103">
        <f t="shared" si="43"/>
        <v>0</v>
      </c>
      <c r="AJ535" s="34"/>
      <c r="AK535" s="34"/>
      <c r="AU535" s="34"/>
      <c r="AV535" s="34"/>
    </row>
    <row r="536" spans="33:48" ht="16" x14ac:dyDescent="0.4">
      <c r="AG536" s="103">
        <f t="shared" si="43"/>
        <v>0</v>
      </c>
      <c r="AJ536" s="34"/>
      <c r="AK536" s="34"/>
      <c r="AU536" s="34"/>
      <c r="AV536" s="34"/>
    </row>
    <row r="537" spans="33:48" ht="16" x14ac:dyDescent="0.4">
      <c r="AG537" s="103">
        <f t="shared" si="43"/>
        <v>0</v>
      </c>
      <c r="AJ537" s="34"/>
      <c r="AK537" s="34"/>
      <c r="AU537" s="34"/>
      <c r="AV537" s="34"/>
    </row>
    <row r="538" spans="33:48" ht="16" x14ac:dyDescent="0.4">
      <c r="AG538" s="103">
        <f t="shared" si="43"/>
        <v>0</v>
      </c>
      <c r="AJ538" s="34"/>
      <c r="AK538" s="34"/>
      <c r="AU538" s="34"/>
      <c r="AV538" s="34"/>
    </row>
    <row r="539" spans="33:48" ht="16" x14ac:dyDescent="0.4">
      <c r="AG539" s="103">
        <f t="shared" si="43"/>
        <v>0</v>
      </c>
      <c r="AJ539" s="34"/>
      <c r="AK539" s="34"/>
      <c r="AU539" s="34"/>
      <c r="AV539" s="34"/>
    </row>
    <row r="540" spans="33:48" ht="16" x14ac:dyDescent="0.4">
      <c r="AG540" s="103">
        <f t="shared" si="43"/>
        <v>0</v>
      </c>
      <c r="AJ540" s="34"/>
      <c r="AK540" s="34"/>
      <c r="AU540" s="34"/>
      <c r="AV540" s="34"/>
    </row>
    <row r="541" spans="33:48" ht="16" x14ac:dyDescent="0.4">
      <c r="AG541" s="103">
        <f t="shared" si="43"/>
        <v>0</v>
      </c>
      <c r="AJ541" s="34"/>
      <c r="AK541" s="34"/>
      <c r="AU541" s="34"/>
      <c r="AV541" s="34"/>
    </row>
    <row r="542" spans="33:48" ht="16" x14ac:dyDescent="0.4">
      <c r="AG542" s="103">
        <f t="shared" si="43"/>
        <v>0</v>
      </c>
      <c r="AJ542" s="34"/>
      <c r="AK542" s="34"/>
      <c r="AU542" s="34"/>
      <c r="AV542" s="34"/>
    </row>
    <row r="543" spans="33:48" ht="16" x14ac:dyDescent="0.4">
      <c r="AG543" s="103">
        <f t="shared" si="43"/>
        <v>0</v>
      </c>
      <c r="AJ543" s="34"/>
      <c r="AK543" s="34"/>
      <c r="AU543" s="34"/>
      <c r="AV543" s="34"/>
    </row>
    <row r="544" spans="33:48" ht="16" x14ac:dyDescent="0.4">
      <c r="AG544" s="103">
        <f t="shared" si="43"/>
        <v>0</v>
      </c>
      <c r="AJ544" s="34"/>
      <c r="AK544" s="34"/>
      <c r="AU544" s="34"/>
      <c r="AV544" s="34"/>
    </row>
    <row r="545" spans="33:48" ht="16" x14ac:dyDescent="0.4">
      <c r="AG545" s="103">
        <f t="shared" si="43"/>
        <v>0</v>
      </c>
      <c r="AJ545" s="34"/>
      <c r="AK545" s="34"/>
      <c r="AU545" s="34"/>
      <c r="AV545" s="34"/>
    </row>
    <row r="546" spans="33:48" ht="16" x14ac:dyDescent="0.4">
      <c r="AG546" s="103">
        <f t="shared" si="43"/>
        <v>0</v>
      </c>
      <c r="AJ546" s="34"/>
      <c r="AK546" s="34"/>
      <c r="AU546" s="34"/>
      <c r="AV546" s="34"/>
    </row>
    <row r="547" spans="33:48" ht="16" x14ac:dyDescent="0.4">
      <c r="AG547" s="103">
        <f t="shared" si="43"/>
        <v>0</v>
      </c>
      <c r="AJ547" s="34"/>
      <c r="AK547" s="34"/>
      <c r="AU547" s="34"/>
      <c r="AV547" s="34"/>
    </row>
    <row r="548" spans="33:48" ht="16" x14ac:dyDescent="0.4">
      <c r="AG548" s="103">
        <f t="shared" si="43"/>
        <v>0</v>
      </c>
      <c r="AJ548" s="34"/>
      <c r="AK548" s="34"/>
      <c r="AU548" s="34"/>
      <c r="AV548" s="34"/>
    </row>
    <row r="549" spans="33:48" ht="16" x14ac:dyDescent="0.4">
      <c r="AG549" s="103">
        <f t="shared" si="43"/>
        <v>0</v>
      </c>
      <c r="AJ549" s="34"/>
      <c r="AK549" s="34"/>
      <c r="AU549" s="34"/>
      <c r="AV549" s="34"/>
    </row>
    <row r="550" spans="33:48" ht="16" x14ac:dyDescent="0.4">
      <c r="AG550" s="103">
        <f t="shared" si="43"/>
        <v>0</v>
      </c>
      <c r="AJ550" s="34"/>
      <c r="AK550" s="34"/>
      <c r="AU550" s="34"/>
      <c r="AV550" s="34"/>
    </row>
    <row r="551" spans="33:48" ht="16" x14ac:dyDescent="0.4">
      <c r="AG551" s="103">
        <f t="shared" si="43"/>
        <v>0</v>
      </c>
      <c r="AJ551" s="34"/>
      <c r="AK551" s="34"/>
      <c r="AU551" s="34"/>
      <c r="AV551" s="34"/>
    </row>
    <row r="552" spans="33:48" ht="16" x14ac:dyDescent="0.4">
      <c r="AG552" s="103">
        <f t="shared" si="43"/>
        <v>0</v>
      </c>
      <c r="AJ552" s="34"/>
      <c r="AK552" s="34"/>
      <c r="AU552" s="34"/>
      <c r="AV552" s="34"/>
    </row>
    <row r="553" spans="33:48" ht="16" x14ac:dyDescent="0.4">
      <c r="AG553" s="103">
        <f t="shared" si="43"/>
        <v>0</v>
      </c>
      <c r="AJ553" s="34"/>
      <c r="AK553" s="34"/>
      <c r="AU553" s="34"/>
      <c r="AV553" s="34"/>
    </row>
    <row r="554" spans="33:48" ht="16" x14ac:dyDescent="0.4">
      <c r="AG554" s="103">
        <f t="shared" si="43"/>
        <v>0</v>
      </c>
      <c r="AJ554" s="34"/>
      <c r="AK554" s="34"/>
      <c r="AU554" s="34"/>
      <c r="AV554" s="34"/>
    </row>
    <row r="555" spans="33:48" ht="16" x14ac:dyDescent="0.4">
      <c r="AG555" s="103">
        <f t="shared" si="43"/>
        <v>0</v>
      </c>
      <c r="AJ555" s="34"/>
      <c r="AK555" s="34"/>
      <c r="AU555" s="34"/>
      <c r="AV555" s="34"/>
    </row>
    <row r="556" spans="33:48" ht="16" x14ac:dyDescent="0.4">
      <c r="AG556" s="103">
        <f t="shared" si="43"/>
        <v>0</v>
      </c>
      <c r="AJ556" s="34"/>
      <c r="AK556" s="34"/>
      <c r="AU556" s="34"/>
      <c r="AV556" s="34"/>
    </row>
    <row r="557" spans="33:48" ht="16" x14ac:dyDescent="0.4">
      <c r="AG557" s="103">
        <f t="shared" si="43"/>
        <v>0</v>
      </c>
      <c r="AJ557" s="34"/>
      <c r="AK557" s="34"/>
      <c r="AU557" s="34"/>
      <c r="AV557" s="34"/>
    </row>
    <row r="558" spans="33:48" ht="16" x14ac:dyDescent="0.4">
      <c r="AG558" s="103">
        <f t="shared" si="43"/>
        <v>0</v>
      </c>
      <c r="AJ558" s="34"/>
      <c r="AK558" s="34"/>
      <c r="AU558" s="34"/>
      <c r="AV558" s="34"/>
    </row>
    <row r="559" spans="33:48" ht="16" x14ac:dyDescent="0.4">
      <c r="AG559" s="103">
        <f t="shared" si="43"/>
        <v>0</v>
      </c>
      <c r="AJ559" s="34"/>
      <c r="AK559" s="34"/>
      <c r="AU559" s="34"/>
      <c r="AV559" s="34"/>
    </row>
    <row r="560" spans="33:48" ht="16" x14ac:dyDescent="0.4">
      <c r="AG560" s="103">
        <f t="shared" si="43"/>
        <v>0</v>
      </c>
      <c r="AJ560" s="34"/>
      <c r="AK560" s="34"/>
      <c r="AU560" s="34"/>
      <c r="AV560" s="34"/>
    </row>
    <row r="561" spans="33:48" ht="16" x14ac:dyDescent="0.4">
      <c r="AG561" s="103">
        <f t="shared" si="43"/>
        <v>0</v>
      </c>
      <c r="AJ561" s="34"/>
      <c r="AK561" s="34"/>
      <c r="AU561" s="34"/>
      <c r="AV561" s="34"/>
    </row>
    <row r="562" spans="33:48" ht="16" x14ac:dyDescent="0.4">
      <c r="AG562" s="103">
        <f t="shared" si="43"/>
        <v>0</v>
      </c>
      <c r="AJ562" s="34"/>
      <c r="AK562" s="34"/>
      <c r="AU562" s="34"/>
      <c r="AV562" s="34"/>
    </row>
    <row r="563" spans="33:48" ht="16" x14ac:dyDescent="0.4">
      <c r="AG563" s="103">
        <f t="shared" si="43"/>
        <v>0</v>
      </c>
      <c r="AJ563" s="34"/>
      <c r="AK563" s="34"/>
      <c r="AU563" s="34"/>
      <c r="AV563" s="34"/>
    </row>
    <row r="564" spans="33:48" ht="16" x14ac:dyDescent="0.4">
      <c r="AG564" s="103">
        <f t="shared" si="43"/>
        <v>0</v>
      </c>
      <c r="AJ564" s="34"/>
      <c r="AK564" s="34"/>
      <c r="AU564" s="34"/>
      <c r="AV564" s="34"/>
    </row>
    <row r="565" spans="33:48" ht="16" x14ac:dyDescent="0.4">
      <c r="AG565" s="103">
        <f t="shared" si="43"/>
        <v>0</v>
      </c>
      <c r="AJ565" s="34"/>
      <c r="AK565" s="34"/>
      <c r="AU565" s="34"/>
      <c r="AV565" s="34"/>
    </row>
    <row r="566" spans="33:48" ht="16" x14ac:dyDescent="0.4">
      <c r="AG566" s="103">
        <f t="shared" si="43"/>
        <v>0</v>
      </c>
      <c r="AJ566" s="34"/>
      <c r="AK566" s="34"/>
      <c r="AU566" s="34"/>
      <c r="AV566" s="34"/>
    </row>
    <row r="567" spans="33:48" ht="16" x14ac:dyDescent="0.4">
      <c r="AG567" s="103">
        <f t="shared" si="43"/>
        <v>0</v>
      </c>
      <c r="AJ567" s="34"/>
      <c r="AK567" s="34"/>
      <c r="AU567" s="34"/>
      <c r="AV567" s="34"/>
    </row>
    <row r="568" spans="33:48" ht="16" x14ac:dyDescent="0.4">
      <c r="AG568" s="103">
        <f t="shared" si="43"/>
        <v>0</v>
      </c>
      <c r="AJ568" s="34"/>
      <c r="AK568" s="34"/>
      <c r="AU568" s="34"/>
      <c r="AV568" s="34"/>
    </row>
    <row r="569" spans="33:48" ht="16" x14ac:dyDescent="0.4">
      <c r="AG569" s="103">
        <f t="shared" si="43"/>
        <v>0</v>
      </c>
      <c r="AJ569" s="34"/>
      <c r="AK569" s="34"/>
      <c r="AU569" s="34"/>
      <c r="AV569" s="34"/>
    </row>
    <row r="570" spans="33:48" ht="16" x14ac:dyDescent="0.4">
      <c r="AG570" s="103">
        <f t="shared" si="43"/>
        <v>0</v>
      </c>
      <c r="AJ570" s="34"/>
      <c r="AK570" s="34"/>
      <c r="AU570" s="34"/>
      <c r="AV570" s="34"/>
    </row>
    <row r="571" spans="33:48" ht="16" x14ac:dyDescent="0.4">
      <c r="AG571" s="103">
        <f t="shared" si="43"/>
        <v>0</v>
      </c>
      <c r="AJ571" s="34"/>
      <c r="AK571" s="34"/>
      <c r="AU571" s="34"/>
      <c r="AV571" s="34"/>
    </row>
    <row r="572" spans="33:48" ht="16" x14ac:dyDescent="0.4">
      <c r="AG572" s="103">
        <f t="shared" si="43"/>
        <v>0</v>
      </c>
      <c r="AJ572" s="34"/>
      <c r="AK572" s="34"/>
      <c r="AU572" s="34"/>
      <c r="AV572" s="34"/>
    </row>
    <row r="573" spans="33:48" ht="16" x14ac:dyDescent="0.4">
      <c r="AG573" s="103">
        <f t="shared" si="43"/>
        <v>0</v>
      </c>
      <c r="AJ573" s="34"/>
      <c r="AK573" s="34"/>
      <c r="AU573" s="34"/>
      <c r="AV573" s="34"/>
    </row>
    <row r="574" spans="33:48" ht="16" x14ac:dyDescent="0.4">
      <c r="AG574" s="103">
        <f t="shared" si="43"/>
        <v>0</v>
      </c>
      <c r="AJ574" s="34"/>
      <c r="AK574" s="34"/>
      <c r="AU574" s="34"/>
      <c r="AV574" s="34"/>
    </row>
    <row r="575" spans="33:48" ht="16" x14ac:dyDescent="0.4">
      <c r="AG575" s="103">
        <f t="shared" si="43"/>
        <v>0</v>
      </c>
      <c r="AJ575" s="34"/>
      <c r="AK575" s="34"/>
      <c r="AU575" s="34"/>
      <c r="AV575" s="34"/>
    </row>
    <row r="576" spans="33:48" ht="16" x14ac:dyDescent="0.4">
      <c r="AG576" s="103">
        <f t="shared" si="43"/>
        <v>0</v>
      </c>
      <c r="AJ576" s="34"/>
      <c r="AK576" s="34"/>
      <c r="AU576" s="34"/>
      <c r="AV576" s="34"/>
    </row>
    <row r="577" spans="33:48" ht="16" x14ac:dyDescent="0.4">
      <c r="AG577" s="103">
        <f t="shared" si="43"/>
        <v>0</v>
      </c>
      <c r="AJ577" s="34"/>
      <c r="AK577" s="34"/>
      <c r="AU577" s="34"/>
      <c r="AV577" s="34"/>
    </row>
    <row r="578" spans="33:48" ht="16" x14ac:dyDescent="0.4">
      <c r="AG578" s="103">
        <f t="shared" si="43"/>
        <v>0</v>
      </c>
      <c r="AJ578" s="34"/>
      <c r="AK578" s="34"/>
      <c r="AU578" s="34"/>
      <c r="AV578" s="34"/>
    </row>
    <row r="579" spans="33:48" ht="16" x14ac:dyDescent="0.4">
      <c r="AG579" s="103">
        <f t="shared" si="43"/>
        <v>0</v>
      </c>
      <c r="AJ579" s="34"/>
      <c r="AK579" s="34"/>
      <c r="AU579" s="34"/>
      <c r="AV579" s="34"/>
    </row>
    <row r="580" spans="33:48" ht="16" x14ac:dyDescent="0.4">
      <c r="AG580" s="103">
        <f t="shared" si="43"/>
        <v>0</v>
      </c>
      <c r="AJ580" s="34"/>
      <c r="AK580" s="34"/>
      <c r="AU580" s="34"/>
      <c r="AV580" s="34"/>
    </row>
    <row r="581" spans="33:48" ht="16" x14ac:dyDescent="0.4">
      <c r="AG581" s="103">
        <f t="shared" ref="AG581:AG644" si="44">IF($AF581&gt;14,14,$AF581)</f>
        <v>0</v>
      </c>
      <c r="AJ581" s="34"/>
      <c r="AK581" s="34"/>
      <c r="AU581" s="34"/>
      <c r="AV581" s="34"/>
    </row>
    <row r="582" spans="33:48" ht="16" x14ac:dyDescent="0.4">
      <c r="AG582" s="103">
        <f t="shared" si="44"/>
        <v>0</v>
      </c>
      <c r="AJ582" s="34"/>
      <c r="AK582" s="34"/>
      <c r="AU582" s="34"/>
      <c r="AV582" s="34"/>
    </row>
    <row r="583" spans="33:48" ht="16" x14ac:dyDescent="0.4">
      <c r="AG583" s="103">
        <f t="shared" si="44"/>
        <v>0</v>
      </c>
      <c r="AJ583" s="34"/>
      <c r="AK583" s="34"/>
      <c r="AU583" s="34"/>
      <c r="AV583" s="34"/>
    </row>
    <row r="584" spans="33:48" ht="16" x14ac:dyDescent="0.4">
      <c r="AG584" s="103">
        <f t="shared" si="44"/>
        <v>0</v>
      </c>
      <c r="AJ584" s="34"/>
      <c r="AK584" s="34"/>
      <c r="AU584" s="34"/>
      <c r="AV584" s="34"/>
    </row>
    <row r="585" spans="33:48" ht="16" x14ac:dyDescent="0.4">
      <c r="AG585" s="103">
        <f t="shared" si="44"/>
        <v>0</v>
      </c>
      <c r="AJ585" s="34"/>
      <c r="AK585" s="34"/>
      <c r="AU585" s="34"/>
      <c r="AV585" s="34"/>
    </row>
    <row r="586" spans="33:48" ht="16" x14ac:dyDescent="0.4">
      <c r="AG586" s="103">
        <f t="shared" si="44"/>
        <v>0</v>
      </c>
      <c r="AJ586" s="34"/>
      <c r="AK586" s="34"/>
      <c r="AU586" s="34"/>
      <c r="AV586" s="34"/>
    </row>
    <row r="587" spans="33:48" ht="16" x14ac:dyDescent="0.4">
      <c r="AG587" s="103">
        <f t="shared" si="44"/>
        <v>0</v>
      </c>
      <c r="AJ587" s="34"/>
      <c r="AK587" s="34"/>
      <c r="AU587" s="34"/>
      <c r="AV587" s="34"/>
    </row>
    <row r="588" spans="33:48" ht="16" x14ac:dyDescent="0.4">
      <c r="AG588" s="103">
        <f t="shared" si="44"/>
        <v>0</v>
      </c>
      <c r="AJ588" s="34"/>
      <c r="AK588" s="34"/>
      <c r="AU588" s="34"/>
      <c r="AV588" s="34"/>
    </row>
    <row r="589" spans="33:48" ht="16" x14ac:dyDescent="0.4">
      <c r="AG589" s="103">
        <f t="shared" si="44"/>
        <v>0</v>
      </c>
      <c r="AJ589" s="34"/>
      <c r="AK589" s="34"/>
      <c r="AU589" s="34"/>
      <c r="AV589" s="34"/>
    </row>
    <row r="590" spans="33:48" ht="16" x14ac:dyDescent="0.4">
      <c r="AG590" s="103">
        <f t="shared" si="44"/>
        <v>0</v>
      </c>
      <c r="AJ590" s="34"/>
      <c r="AK590" s="34"/>
      <c r="AU590" s="34"/>
      <c r="AV590" s="34"/>
    </row>
    <row r="591" spans="33:48" ht="16" x14ac:dyDescent="0.4">
      <c r="AG591" s="103">
        <f t="shared" si="44"/>
        <v>0</v>
      </c>
      <c r="AJ591" s="34"/>
      <c r="AK591" s="34"/>
      <c r="AU591" s="34"/>
      <c r="AV591" s="34"/>
    </row>
    <row r="592" spans="33:48" ht="16" x14ac:dyDescent="0.4">
      <c r="AG592" s="103">
        <f t="shared" si="44"/>
        <v>0</v>
      </c>
      <c r="AJ592" s="34"/>
      <c r="AK592" s="34"/>
      <c r="AU592" s="34"/>
      <c r="AV592" s="34"/>
    </row>
    <row r="593" spans="33:48" ht="16" x14ac:dyDescent="0.4">
      <c r="AG593" s="103">
        <f t="shared" si="44"/>
        <v>0</v>
      </c>
      <c r="AJ593" s="34"/>
      <c r="AK593" s="34"/>
      <c r="AU593" s="34"/>
      <c r="AV593" s="34"/>
    </row>
    <row r="594" spans="33:48" ht="16" x14ac:dyDescent="0.4">
      <c r="AG594" s="103">
        <f t="shared" si="44"/>
        <v>0</v>
      </c>
      <c r="AJ594" s="34"/>
      <c r="AK594" s="34"/>
      <c r="AU594" s="34"/>
      <c r="AV594" s="34"/>
    </row>
    <row r="595" spans="33:48" ht="16" x14ac:dyDescent="0.4">
      <c r="AG595" s="103">
        <f t="shared" si="44"/>
        <v>0</v>
      </c>
      <c r="AJ595" s="34"/>
      <c r="AK595" s="34"/>
      <c r="AU595" s="34"/>
      <c r="AV595" s="34"/>
    </row>
    <row r="596" spans="33:48" ht="16" x14ac:dyDescent="0.4">
      <c r="AG596" s="103">
        <f t="shared" si="44"/>
        <v>0</v>
      </c>
      <c r="AJ596" s="34"/>
      <c r="AK596" s="34"/>
      <c r="AU596" s="34"/>
      <c r="AV596" s="34"/>
    </row>
    <row r="597" spans="33:48" ht="16" x14ac:dyDescent="0.4">
      <c r="AG597" s="103">
        <f t="shared" si="44"/>
        <v>0</v>
      </c>
      <c r="AJ597" s="34"/>
      <c r="AK597" s="34"/>
      <c r="AU597" s="34"/>
      <c r="AV597" s="34"/>
    </row>
    <row r="598" spans="33:48" ht="16" x14ac:dyDescent="0.4">
      <c r="AG598" s="103">
        <f t="shared" si="44"/>
        <v>0</v>
      </c>
      <c r="AJ598" s="34"/>
      <c r="AK598" s="34"/>
      <c r="AU598" s="34"/>
      <c r="AV598" s="34"/>
    </row>
    <row r="599" spans="33:48" ht="16" x14ac:dyDescent="0.4">
      <c r="AG599" s="103">
        <f t="shared" si="44"/>
        <v>0</v>
      </c>
      <c r="AJ599" s="34"/>
      <c r="AK599" s="34"/>
      <c r="AU599" s="34"/>
      <c r="AV599" s="34"/>
    </row>
    <row r="600" spans="33:48" ht="16" x14ac:dyDescent="0.4">
      <c r="AG600" s="103">
        <f t="shared" si="44"/>
        <v>0</v>
      </c>
      <c r="AJ600" s="34"/>
      <c r="AK600" s="34"/>
      <c r="AU600" s="34"/>
      <c r="AV600" s="34"/>
    </row>
    <row r="601" spans="33:48" ht="16" x14ac:dyDescent="0.4">
      <c r="AG601" s="103">
        <f t="shared" si="44"/>
        <v>0</v>
      </c>
      <c r="AJ601" s="34"/>
      <c r="AK601" s="34"/>
      <c r="AU601" s="34"/>
      <c r="AV601" s="34"/>
    </row>
    <row r="602" spans="33:48" ht="16" x14ac:dyDescent="0.4">
      <c r="AG602" s="103">
        <f t="shared" si="44"/>
        <v>0</v>
      </c>
      <c r="AJ602" s="34"/>
      <c r="AK602" s="34"/>
      <c r="AU602" s="34"/>
      <c r="AV602" s="34"/>
    </row>
    <row r="603" spans="33:48" ht="16" x14ac:dyDescent="0.4">
      <c r="AG603" s="103">
        <f t="shared" si="44"/>
        <v>0</v>
      </c>
      <c r="AJ603" s="34"/>
      <c r="AK603" s="34"/>
      <c r="AU603" s="34"/>
      <c r="AV603" s="34"/>
    </row>
    <row r="604" spans="33:48" ht="16" x14ac:dyDescent="0.4">
      <c r="AG604" s="103">
        <f t="shared" si="44"/>
        <v>0</v>
      </c>
      <c r="AJ604" s="34"/>
      <c r="AK604" s="34"/>
      <c r="AU604" s="34"/>
      <c r="AV604" s="34"/>
    </row>
    <row r="605" spans="33:48" ht="16" x14ac:dyDescent="0.4">
      <c r="AG605" s="103">
        <f t="shared" si="44"/>
        <v>0</v>
      </c>
      <c r="AJ605" s="34"/>
      <c r="AK605" s="34"/>
      <c r="AU605" s="34"/>
      <c r="AV605" s="34"/>
    </row>
    <row r="606" spans="33:48" ht="16" x14ac:dyDescent="0.4">
      <c r="AG606" s="103">
        <f t="shared" si="44"/>
        <v>0</v>
      </c>
      <c r="AJ606" s="34"/>
      <c r="AK606" s="34"/>
      <c r="AU606" s="34"/>
      <c r="AV606" s="34"/>
    </row>
    <row r="607" spans="33:48" ht="16" x14ac:dyDescent="0.4">
      <c r="AG607" s="103">
        <f t="shared" si="44"/>
        <v>0</v>
      </c>
      <c r="AJ607" s="34"/>
      <c r="AK607" s="34"/>
      <c r="AU607" s="34"/>
      <c r="AV607" s="34"/>
    </row>
    <row r="608" spans="33:48" ht="16" x14ac:dyDescent="0.4">
      <c r="AG608" s="103">
        <f t="shared" si="44"/>
        <v>0</v>
      </c>
      <c r="AJ608" s="34"/>
      <c r="AK608" s="34"/>
      <c r="AU608" s="34"/>
      <c r="AV608" s="34"/>
    </row>
    <row r="609" spans="33:48" ht="16" x14ac:dyDescent="0.4">
      <c r="AG609" s="103">
        <f t="shared" si="44"/>
        <v>0</v>
      </c>
      <c r="AJ609" s="34"/>
      <c r="AK609" s="34"/>
      <c r="AU609" s="34"/>
      <c r="AV609" s="34"/>
    </row>
    <row r="610" spans="33:48" ht="16" x14ac:dyDescent="0.4">
      <c r="AG610" s="103">
        <f t="shared" si="44"/>
        <v>0</v>
      </c>
      <c r="AJ610" s="34"/>
      <c r="AK610" s="34"/>
      <c r="AU610" s="34"/>
      <c r="AV610" s="34"/>
    </row>
    <row r="611" spans="33:48" ht="16" x14ac:dyDescent="0.4">
      <c r="AG611" s="103">
        <f t="shared" si="44"/>
        <v>0</v>
      </c>
      <c r="AJ611" s="34"/>
      <c r="AK611" s="34"/>
      <c r="AU611" s="34"/>
      <c r="AV611" s="34"/>
    </row>
    <row r="612" spans="33:48" ht="16" x14ac:dyDescent="0.4">
      <c r="AG612" s="103">
        <f t="shared" si="44"/>
        <v>0</v>
      </c>
      <c r="AJ612" s="34"/>
      <c r="AK612" s="34"/>
      <c r="AU612" s="34"/>
      <c r="AV612" s="34"/>
    </row>
    <row r="613" spans="33:48" ht="16" x14ac:dyDescent="0.4">
      <c r="AG613" s="103">
        <f t="shared" si="44"/>
        <v>0</v>
      </c>
      <c r="AJ613" s="34"/>
      <c r="AK613" s="34"/>
      <c r="AU613" s="34"/>
      <c r="AV613" s="34"/>
    </row>
    <row r="614" spans="33:48" ht="16" x14ac:dyDescent="0.4">
      <c r="AG614" s="103">
        <f t="shared" si="44"/>
        <v>0</v>
      </c>
      <c r="AJ614" s="34"/>
      <c r="AK614" s="34"/>
      <c r="AU614" s="34"/>
      <c r="AV614" s="34"/>
    </row>
    <row r="615" spans="33:48" ht="16" x14ac:dyDescent="0.4">
      <c r="AG615" s="103">
        <f t="shared" si="44"/>
        <v>0</v>
      </c>
      <c r="AJ615" s="34"/>
      <c r="AK615" s="34"/>
      <c r="AU615" s="34"/>
      <c r="AV615" s="34"/>
    </row>
    <row r="616" spans="33:48" ht="16" x14ac:dyDescent="0.4">
      <c r="AG616" s="103">
        <f t="shared" si="44"/>
        <v>0</v>
      </c>
      <c r="AJ616" s="34"/>
      <c r="AK616" s="34"/>
      <c r="AU616" s="34"/>
      <c r="AV616" s="34"/>
    </row>
    <row r="617" spans="33:48" ht="16" x14ac:dyDescent="0.4">
      <c r="AG617" s="103">
        <f t="shared" si="44"/>
        <v>0</v>
      </c>
      <c r="AJ617" s="34"/>
      <c r="AK617" s="34"/>
      <c r="AU617" s="34"/>
      <c r="AV617" s="34"/>
    </row>
    <row r="618" spans="33:48" ht="16" x14ac:dyDescent="0.4">
      <c r="AG618" s="103">
        <f t="shared" si="44"/>
        <v>0</v>
      </c>
      <c r="AJ618" s="34"/>
      <c r="AK618" s="34"/>
      <c r="AU618" s="34"/>
      <c r="AV618" s="34"/>
    </row>
    <row r="619" spans="33:48" ht="16" x14ac:dyDescent="0.4">
      <c r="AG619" s="103">
        <f t="shared" si="44"/>
        <v>0</v>
      </c>
      <c r="AJ619" s="34"/>
      <c r="AK619" s="34"/>
      <c r="AU619" s="34"/>
      <c r="AV619" s="34"/>
    </row>
    <row r="620" spans="33:48" ht="16" x14ac:dyDescent="0.4">
      <c r="AG620" s="103">
        <f t="shared" si="44"/>
        <v>0</v>
      </c>
      <c r="AJ620" s="34"/>
      <c r="AK620" s="34"/>
      <c r="AU620" s="34"/>
      <c r="AV620" s="34"/>
    </row>
    <row r="621" spans="33:48" ht="16" x14ac:dyDescent="0.4">
      <c r="AG621" s="103">
        <f t="shared" si="44"/>
        <v>0</v>
      </c>
      <c r="AJ621" s="34"/>
      <c r="AK621" s="34"/>
      <c r="AU621" s="34"/>
      <c r="AV621" s="34"/>
    </row>
    <row r="622" spans="33:48" ht="16" x14ac:dyDescent="0.4">
      <c r="AG622" s="103">
        <f t="shared" si="44"/>
        <v>0</v>
      </c>
      <c r="AJ622" s="34"/>
      <c r="AK622" s="34"/>
      <c r="AU622" s="34"/>
      <c r="AV622" s="34"/>
    </row>
    <row r="623" spans="33:48" ht="16" x14ac:dyDescent="0.4">
      <c r="AG623" s="103">
        <f t="shared" si="44"/>
        <v>0</v>
      </c>
      <c r="AJ623" s="34"/>
      <c r="AK623" s="34"/>
      <c r="AU623" s="34"/>
      <c r="AV623" s="34"/>
    </row>
    <row r="624" spans="33:48" ht="16" x14ac:dyDescent="0.4">
      <c r="AG624" s="103">
        <f t="shared" si="44"/>
        <v>0</v>
      </c>
      <c r="AJ624" s="34"/>
      <c r="AK624" s="34"/>
      <c r="AU624" s="34"/>
      <c r="AV624" s="34"/>
    </row>
    <row r="625" spans="33:48" ht="16" x14ac:dyDescent="0.4">
      <c r="AG625" s="103">
        <f t="shared" si="44"/>
        <v>0</v>
      </c>
      <c r="AJ625" s="34"/>
      <c r="AK625" s="34"/>
      <c r="AU625" s="34"/>
      <c r="AV625" s="34"/>
    </row>
    <row r="626" spans="33:48" ht="16" x14ac:dyDescent="0.4">
      <c r="AG626" s="103">
        <f t="shared" si="44"/>
        <v>0</v>
      </c>
      <c r="AJ626" s="34"/>
      <c r="AK626" s="34"/>
      <c r="AU626" s="34"/>
      <c r="AV626" s="34"/>
    </row>
    <row r="627" spans="33:48" ht="16" x14ac:dyDescent="0.4">
      <c r="AG627" s="103">
        <f t="shared" si="44"/>
        <v>0</v>
      </c>
      <c r="AJ627" s="34"/>
      <c r="AK627" s="34"/>
      <c r="AU627" s="34"/>
      <c r="AV627" s="34"/>
    </row>
    <row r="628" spans="33:48" ht="16" x14ac:dyDescent="0.4">
      <c r="AG628" s="103">
        <f t="shared" si="44"/>
        <v>0</v>
      </c>
      <c r="AJ628" s="34"/>
      <c r="AK628" s="34"/>
      <c r="AU628" s="34"/>
      <c r="AV628" s="34"/>
    </row>
    <row r="629" spans="33:48" ht="16" x14ac:dyDescent="0.4">
      <c r="AG629" s="103">
        <f t="shared" si="44"/>
        <v>0</v>
      </c>
      <c r="AJ629" s="34"/>
      <c r="AK629" s="34"/>
      <c r="AU629" s="34"/>
      <c r="AV629" s="34"/>
    </row>
    <row r="630" spans="33:48" ht="16" x14ac:dyDescent="0.4">
      <c r="AG630" s="103">
        <f t="shared" si="44"/>
        <v>0</v>
      </c>
      <c r="AJ630" s="34"/>
      <c r="AK630" s="34"/>
      <c r="AU630" s="34"/>
      <c r="AV630" s="34"/>
    </row>
    <row r="631" spans="33:48" ht="16" x14ac:dyDescent="0.4">
      <c r="AG631" s="103">
        <f t="shared" si="44"/>
        <v>0</v>
      </c>
      <c r="AJ631" s="34"/>
      <c r="AK631" s="34"/>
      <c r="AU631" s="34"/>
      <c r="AV631" s="34"/>
    </row>
    <row r="632" spans="33:48" ht="16" x14ac:dyDescent="0.4">
      <c r="AG632" s="103">
        <f t="shared" si="44"/>
        <v>0</v>
      </c>
      <c r="AJ632" s="34"/>
      <c r="AK632" s="34"/>
      <c r="AU632" s="34"/>
      <c r="AV632" s="34"/>
    </row>
    <row r="633" spans="33:48" ht="16" x14ac:dyDescent="0.4">
      <c r="AG633" s="103">
        <f t="shared" si="44"/>
        <v>0</v>
      </c>
      <c r="AJ633" s="34"/>
      <c r="AK633" s="34"/>
      <c r="AU633" s="34"/>
      <c r="AV633" s="34"/>
    </row>
    <row r="634" spans="33:48" ht="16" x14ac:dyDescent="0.4">
      <c r="AG634" s="103">
        <f t="shared" si="44"/>
        <v>0</v>
      </c>
      <c r="AJ634" s="34"/>
      <c r="AK634" s="34"/>
      <c r="AU634" s="34"/>
      <c r="AV634" s="34"/>
    </row>
    <row r="635" spans="33:48" ht="16" x14ac:dyDescent="0.4">
      <c r="AG635" s="103">
        <f t="shared" si="44"/>
        <v>0</v>
      </c>
      <c r="AJ635" s="34"/>
      <c r="AK635" s="34"/>
      <c r="AU635" s="34"/>
      <c r="AV635" s="34"/>
    </row>
    <row r="636" spans="33:48" ht="16" x14ac:dyDescent="0.4">
      <c r="AG636" s="103">
        <f t="shared" si="44"/>
        <v>0</v>
      </c>
      <c r="AJ636" s="34"/>
      <c r="AK636" s="34"/>
      <c r="AU636" s="34"/>
      <c r="AV636" s="34"/>
    </row>
    <row r="637" spans="33:48" ht="16" x14ac:dyDescent="0.4">
      <c r="AG637" s="103">
        <f t="shared" si="44"/>
        <v>0</v>
      </c>
      <c r="AJ637" s="34"/>
      <c r="AK637" s="34"/>
      <c r="AU637" s="34"/>
      <c r="AV637" s="34"/>
    </row>
    <row r="638" spans="33:48" ht="16" x14ac:dyDescent="0.4">
      <c r="AG638" s="103">
        <f t="shared" si="44"/>
        <v>0</v>
      </c>
      <c r="AJ638" s="34"/>
      <c r="AK638" s="34"/>
      <c r="AU638" s="34"/>
      <c r="AV638" s="34"/>
    </row>
    <row r="639" spans="33:48" ht="16" x14ac:dyDescent="0.4">
      <c r="AG639" s="103">
        <f t="shared" si="44"/>
        <v>0</v>
      </c>
      <c r="AJ639" s="34"/>
      <c r="AK639" s="34"/>
      <c r="AU639" s="34"/>
      <c r="AV639" s="34"/>
    </row>
    <row r="640" spans="33:48" ht="16" x14ac:dyDescent="0.4">
      <c r="AG640" s="103">
        <f t="shared" si="44"/>
        <v>0</v>
      </c>
      <c r="AJ640" s="34"/>
      <c r="AK640" s="34"/>
      <c r="AU640" s="34"/>
      <c r="AV640" s="34"/>
    </row>
    <row r="641" spans="33:48" ht="16" x14ac:dyDescent="0.4">
      <c r="AG641" s="103">
        <f t="shared" si="44"/>
        <v>0</v>
      </c>
      <c r="AJ641" s="34"/>
      <c r="AK641" s="34"/>
      <c r="AU641" s="34"/>
      <c r="AV641" s="34"/>
    </row>
    <row r="642" spans="33:48" ht="16" x14ac:dyDescent="0.4">
      <c r="AG642" s="103">
        <f t="shared" si="44"/>
        <v>0</v>
      </c>
      <c r="AJ642" s="34"/>
      <c r="AK642" s="34"/>
      <c r="AU642" s="34"/>
      <c r="AV642" s="34"/>
    </row>
    <row r="643" spans="33:48" ht="16" x14ac:dyDescent="0.4">
      <c r="AG643" s="103">
        <f t="shared" si="44"/>
        <v>0</v>
      </c>
      <c r="AJ643" s="34"/>
      <c r="AK643" s="34"/>
      <c r="AU643" s="34"/>
      <c r="AV643" s="34"/>
    </row>
    <row r="644" spans="33:48" ht="16" x14ac:dyDescent="0.4">
      <c r="AG644" s="103">
        <f t="shared" si="44"/>
        <v>0</v>
      </c>
      <c r="AJ644" s="34"/>
      <c r="AK644" s="34"/>
      <c r="AU644" s="34"/>
      <c r="AV644" s="34"/>
    </row>
    <row r="645" spans="33:48" ht="16" x14ac:dyDescent="0.4">
      <c r="AG645" s="103">
        <f t="shared" ref="AG645:AG708" si="45">IF($AF645&gt;14,14,$AF645)</f>
        <v>0</v>
      </c>
      <c r="AJ645" s="34"/>
      <c r="AK645" s="34"/>
      <c r="AU645" s="34"/>
      <c r="AV645" s="34"/>
    </row>
    <row r="646" spans="33:48" ht="16" x14ac:dyDescent="0.4">
      <c r="AG646" s="103">
        <f t="shared" si="45"/>
        <v>0</v>
      </c>
      <c r="AJ646" s="34"/>
      <c r="AK646" s="34"/>
      <c r="AU646" s="34"/>
      <c r="AV646" s="34"/>
    </row>
    <row r="647" spans="33:48" ht="16" x14ac:dyDescent="0.4">
      <c r="AG647" s="103">
        <f t="shared" si="45"/>
        <v>0</v>
      </c>
      <c r="AJ647" s="34"/>
      <c r="AK647" s="34"/>
      <c r="AU647" s="34"/>
      <c r="AV647" s="34"/>
    </row>
    <row r="648" spans="33:48" ht="16" x14ac:dyDescent="0.4">
      <c r="AG648" s="103">
        <f t="shared" si="45"/>
        <v>0</v>
      </c>
      <c r="AJ648" s="34"/>
      <c r="AK648" s="34"/>
      <c r="AU648" s="34"/>
      <c r="AV648" s="34"/>
    </row>
    <row r="649" spans="33:48" ht="16" x14ac:dyDescent="0.4">
      <c r="AG649" s="103">
        <f t="shared" si="45"/>
        <v>0</v>
      </c>
      <c r="AJ649" s="34"/>
      <c r="AK649" s="34"/>
      <c r="AU649" s="34"/>
      <c r="AV649" s="34"/>
    </row>
    <row r="650" spans="33:48" ht="16" x14ac:dyDescent="0.4">
      <c r="AG650" s="103">
        <f t="shared" si="45"/>
        <v>0</v>
      </c>
      <c r="AJ650" s="34"/>
      <c r="AK650" s="34"/>
      <c r="AU650" s="34"/>
      <c r="AV650" s="34"/>
    </row>
    <row r="651" spans="33:48" ht="16" x14ac:dyDescent="0.4">
      <c r="AG651" s="103">
        <f t="shared" si="45"/>
        <v>0</v>
      </c>
      <c r="AJ651" s="34"/>
      <c r="AK651" s="34"/>
      <c r="AU651" s="34"/>
      <c r="AV651" s="34"/>
    </row>
    <row r="652" spans="33:48" ht="16" x14ac:dyDescent="0.4">
      <c r="AG652" s="103">
        <f t="shared" si="45"/>
        <v>0</v>
      </c>
      <c r="AJ652" s="34"/>
      <c r="AK652" s="34"/>
      <c r="AU652" s="34"/>
      <c r="AV652" s="34"/>
    </row>
    <row r="653" spans="33:48" ht="16" x14ac:dyDescent="0.4">
      <c r="AG653" s="103">
        <f t="shared" si="45"/>
        <v>0</v>
      </c>
      <c r="AJ653" s="34"/>
      <c r="AK653" s="34"/>
      <c r="AU653" s="34"/>
      <c r="AV653" s="34"/>
    </row>
    <row r="654" spans="33:48" ht="16" x14ac:dyDescent="0.4">
      <c r="AG654" s="103">
        <f t="shared" si="45"/>
        <v>0</v>
      </c>
      <c r="AJ654" s="34"/>
      <c r="AK654" s="34"/>
      <c r="AU654" s="34"/>
      <c r="AV654" s="34"/>
    </row>
    <row r="655" spans="33:48" ht="16" x14ac:dyDescent="0.4">
      <c r="AG655" s="103">
        <f t="shared" si="45"/>
        <v>0</v>
      </c>
      <c r="AJ655" s="34"/>
      <c r="AK655" s="34"/>
      <c r="AU655" s="34"/>
      <c r="AV655" s="34"/>
    </row>
    <row r="656" spans="33:48" ht="16" x14ac:dyDescent="0.4">
      <c r="AG656" s="103">
        <f t="shared" si="45"/>
        <v>0</v>
      </c>
      <c r="AJ656" s="34"/>
      <c r="AK656" s="34"/>
      <c r="AU656" s="34"/>
      <c r="AV656" s="34"/>
    </row>
    <row r="657" spans="33:48" ht="16" x14ac:dyDescent="0.4">
      <c r="AG657" s="103">
        <f t="shared" si="45"/>
        <v>0</v>
      </c>
      <c r="AJ657" s="34"/>
      <c r="AK657" s="34"/>
      <c r="AU657" s="34"/>
      <c r="AV657" s="34"/>
    </row>
    <row r="658" spans="33:48" ht="16" x14ac:dyDescent="0.4">
      <c r="AG658" s="103">
        <f t="shared" si="45"/>
        <v>0</v>
      </c>
      <c r="AJ658" s="34"/>
      <c r="AK658" s="34"/>
      <c r="AU658" s="34"/>
      <c r="AV658" s="34"/>
    </row>
    <row r="659" spans="33:48" ht="16" x14ac:dyDescent="0.4">
      <c r="AG659" s="103">
        <f t="shared" si="45"/>
        <v>0</v>
      </c>
      <c r="AJ659" s="34"/>
      <c r="AK659" s="34"/>
      <c r="AU659" s="34"/>
      <c r="AV659" s="34"/>
    </row>
    <row r="660" spans="33:48" ht="16" x14ac:dyDescent="0.4">
      <c r="AG660" s="103">
        <f t="shared" si="45"/>
        <v>0</v>
      </c>
      <c r="AJ660" s="34"/>
      <c r="AK660" s="34"/>
      <c r="AU660" s="34"/>
      <c r="AV660" s="34"/>
    </row>
    <row r="661" spans="33:48" ht="16" x14ac:dyDescent="0.4">
      <c r="AG661" s="103">
        <f t="shared" si="45"/>
        <v>0</v>
      </c>
      <c r="AJ661" s="34"/>
      <c r="AK661" s="34"/>
      <c r="AU661" s="34"/>
      <c r="AV661" s="34"/>
    </row>
    <row r="662" spans="33:48" ht="16" x14ac:dyDescent="0.4">
      <c r="AG662" s="103">
        <f t="shared" si="45"/>
        <v>0</v>
      </c>
      <c r="AJ662" s="34"/>
      <c r="AK662" s="34"/>
      <c r="AU662" s="34"/>
      <c r="AV662" s="34"/>
    </row>
    <row r="663" spans="33:48" ht="16" x14ac:dyDescent="0.4">
      <c r="AG663" s="103">
        <f t="shared" si="45"/>
        <v>0</v>
      </c>
      <c r="AJ663" s="34"/>
      <c r="AK663" s="34"/>
      <c r="AU663" s="34"/>
      <c r="AV663" s="34"/>
    </row>
    <row r="664" spans="33:48" ht="16" x14ac:dyDescent="0.4">
      <c r="AG664" s="103">
        <f t="shared" si="45"/>
        <v>0</v>
      </c>
      <c r="AJ664" s="34"/>
      <c r="AK664" s="34"/>
      <c r="AU664" s="34"/>
      <c r="AV664" s="34"/>
    </row>
    <row r="665" spans="33:48" ht="16" x14ac:dyDescent="0.4">
      <c r="AG665" s="103">
        <f t="shared" si="45"/>
        <v>0</v>
      </c>
      <c r="AJ665" s="34"/>
      <c r="AK665" s="34"/>
      <c r="AU665" s="34"/>
      <c r="AV665" s="34"/>
    </row>
    <row r="666" spans="33:48" ht="16" x14ac:dyDescent="0.4">
      <c r="AG666" s="103">
        <f t="shared" si="45"/>
        <v>0</v>
      </c>
      <c r="AJ666" s="34"/>
      <c r="AK666" s="34"/>
      <c r="AU666" s="34"/>
      <c r="AV666" s="34"/>
    </row>
    <row r="667" spans="33:48" ht="16" x14ac:dyDescent="0.4">
      <c r="AG667" s="103">
        <f t="shared" si="45"/>
        <v>0</v>
      </c>
      <c r="AJ667" s="34"/>
      <c r="AK667" s="34"/>
      <c r="AU667" s="34"/>
      <c r="AV667" s="34"/>
    </row>
    <row r="668" spans="33:48" ht="16" x14ac:dyDescent="0.4">
      <c r="AG668" s="103">
        <f t="shared" si="45"/>
        <v>0</v>
      </c>
      <c r="AJ668" s="34"/>
      <c r="AK668" s="34"/>
      <c r="AU668" s="34"/>
      <c r="AV668" s="34"/>
    </row>
    <row r="669" spans="33:48" ht="16" x14ac:dyDescent="0.4">
      <c r="AG669" s="103">
        <f t="shared" si="45"/>
        <v>0</v>
      </c>
      <c r="AJ669" s="34"/>
      <c r="AK669" s="34"/>
      <c r="AU669" s="34"/>
      <c r="AV669" s="34"/>
    </row>
    <row r="670" spans="33:48" ht="16" x14ac:dyDescent="0.4">
      <c r="AG670" s="103">
        <f t="shared" si="45"/>
        <v>0</v>
      </c>
      <c r="AJ670" s="34"/>
      <c r="AK670" s="34"/>
      <c r="AU670" s="34"/>
      <c r="AV670" s="34"/>
    </row>
    <row r="671" spans="33:48" ht="16" x14ac:dyDescent="0.4">
      <c r="AG671" s="103">
        <f t="shared" si="45"/>
        <v>0</v>
      </c>
      <c r="AJ671" s="34"/>
      <c r="AK671" s="34"/>
      <c r="AU671" s="34"/>
      <c r="AV671" s="34"/>
    </row>
    <row r="672" spans="33:48" ht="16" x14ac:dyDescent="0.4">
      <c r="AG672" s="103">
        <f t="shared" si="45"/>
        <v>0</v>
      </c>
      <c r="AJ672" s="34"/>
      <c r="AK672" s="34"/>
      <c r="AU672" s="34"/>
      <c r="AV672" s="34"/>
    </row>
    <row r="673" spans="33:48" ht="16" x14ac:dyDescent="0.4">
      <c r="AG673" s="103">
        <f t="shared" si="45"/>
        <v>0</v>
      </c>
      <c r="AJ673" s="34"/>
      <c r="AK673" s="34"/>
      <c r="AU673" s="34"/>
      <c r="AV673" s="34"/>
    </row>
    <row r="674" spans="33:48" ht="16" x14ac:dyDescent="0.4">
      <c r="AG674" s="103">
        <f t="shared" si="45"/>
        <v>0</v>
      </c>
      <c r="AJ674" s="34"/>
      <c r="AK674" s="34"/>
      <c r="AU674" s="34"/>
      <c r="AV674" s="34"/>
    </row>
    <row r="675" spans="33:48" ht="16" x14ac:dyDescent="0.4">
      <c r="AG675" s="103">
        <f t="shared" si="45"/>
        <v>0</v>
      </c>
      <c r="AJ675" s="34"/>
      <c r="AK675" s="34"/>
      <c r="AU675" s="34"/>
      <c r="AV675" s="34"/>
    </row>
    <row r="676" spans="33:48" ht="16" x14ac:dyDescent="0.4">
      <c r="AG676" s="103">
        <f t="shared" si="45"/>
        <v>0</v>
      </c>
      <c r="AJ676" s="34"/>
      <c r="AK676" s="34"/>
      <c r="AU676" s="34"/>
      <c r="AV676" s="34"/>
    </row>
    <row r="677" spans="33:48" ht="16" x14ac:dyDescent="0.4">
      <c r="AG677" s="103">
        <f t="shared" si="45"/>
        <v>0</v>
      </c>
      <c r="AJ677" s="34"/>
      <c r="AK677" s="34"/>
      <c r="AU677" s="34"/>
      <c r="AV677" s="34"/>
    </row>
    <row r="678" spans="33:48" ht="16" x14ac:dyDescent="0.4">
      <c r="AG678" s="103">
        <f t="shared" si="45"/>
        <v>0</v>
      </c>
      <c r="AJ678" s="34"/>
      <c r="AK678" s="34"/>
      <c r="AU678" s="34"/>
      <c r="AV678" s="34"/>
    </row>
    <row r="679" spans="33:48" ht="16" x14ac:dyDescent="0.4">
      <c r="AG679" s="103">
        <f t="shared" si="45"/>
        <v>0</v>
      </c>
      <c r="AJ679" s="34"/>
      <c r="AK679" s="34"/>
      <c r="AU679" s="34"/>
      <c r="AV679" s="34"/>
    </row>
    <row r="680" spans="33:48" ht="16" x14ac:dyDescent="0.4">
      <c r="AG680" s="103">
        <f t="shared" si="45"/>
        <v>0</v>
      </c>
      <c r="AJ680" s="34"/>
      <c r="AK680" s="34"/>
      <c r="AU680" s="34"/>
      <c r="AV680" s="34"/>
    </row>
    <row r="681" spans="33:48" ht="16" x14ac:dyDescent="0.4">
      <c r="AG681" s="103">
        <f t="shared" si="45"/>
        <v>0</v>
      </c>
      <c r="AJ681" s="34"/>
      <c r="AK681" s="34"/>
      <c r="AU681" s="34"/>
      <c r="AV681" s="34"/>
    </row>
    <row r="682" spans="33:48" ht="16" x14ac:dyDescent="0.4">
      <c r="AG682" s="103">
        <f t="shared" si="45"/>
        <v>0</v>
      </c>
      <c r="AJ682" s="34"/>
      <c r="AK682" s="34"/>
      <c r="AU682" s="34"/>
      <c r="AV682" s="34"/>
    </row>
    <row r="683" spans="33:48" ht="16" x14ac:dyDescent="0.4">
      <c r="AG683" s="103">
        <f t="shared" si="45"/>
        <v>0</v>
      </c>
      <c r="AJ683" s="34"/>
      <c r="AK683" s="34"/>
      <c r="AU683" s="34"/>
      <c r="AV683" s="34"/>
    </row>
    <row r="684" spans="33:48" ht="16" x14ac:dyDescent="0.4">
      <c r="AG684" s="103">
        <f t="shared" si="45"/>
        <v>0</v>
      </c>
      <c r="AJ684" s="34"/>
      <c r="AK684" s="34"/>
      <c r="AU684" s="34"/>
      <c r="AV684" s="34"/>
    </row>
    <row r="685" spans="33:48" ht="16" x14ac:dyDescent="0.4">
      <c r="AG685" s="103">
        <f t="shared" si="45"/>
        <v>0</v>
      </c>
      <c r="AJ685" s="34"/>
      <c r="AK685" s="34"/>
      <c r="AU685" s="34"/>
      <c r="AV685" s="34"/>
    </row>
    <row r="686" spans="33:48" ht="16" x14ac:dyDescent="0.4">
      <c r="AG686" s="103">
        <f t="shared" si="45"/>
        <v>0</v>
      </c>
      <c r="AJ686" s="34"/>
      <c r="AK686" s="34"/>
      <c r="AU686" s="34"/>
      <c r="AV686" s="34"/>
    </row>
    <row r="687" spans="33:48" ht="16" x14ac:dyDescent="0.4">
      <c r="AG687" s="103">
        <f t="shared" si="45"/>
        <v>0</v>
      </c>
      <c r="AJ687" s="34"/>
      <c r="AK687" s="34"/>
      <c r="AU687" s="34"/>
      <c r="AV687" s="34"/>
    </row>
    <row r="688" spans="33:48" ht="16" x14ac:dyDescent="0.4">
      <c r="AG688" s="103">
        <f t="shared" si="45"/>
        <v>0</v>
      </c>
      <c r="AJ688" s="34"/>
      <c r="AK688" s="34"/>
      <c r="AU688" s="34"/>
      <c r="AV688" s="34"/>
    </row>
    <row r="689" spans="33:48" ht="16" x14ac:dyDescent="0.4">
      <c r="AG689" s="103">
        <f t="shared" si="45"/>
        <v>0</v>
      </c>
      <c r="AJ689" s="34"/>
      <c r="AK689" s="34"/>
      <c r="AU689" s="34"/>
      <c r="AV689" s="34"/>
    </row>
    <row r="690" spans="33:48" ht="16" x14ac:dyDescent="0.4">
      <c r="AG690" s="103">
        <f t="shared" si="45"/>
        <v>0</v>
      </c>
      <c r="AJ690" s="34"/>
      <c r="AK690" s="34"/>
      <c r="AU690" s="34"/>
      <c r="AV690" s="34"/>
    </row>
    <row r="691" spans="33:48" ht="16" x14ac:dyDescent="0.4">
      <c r="AG691" s="103">
        <f t="shared" si="45"/>
        <v>0</v>
      </c>
      <c r="AJ691" s="34"/>
      <c r="AK691" s="34"/>
      <c r="AU691" s="34"/>
      <c r="AV691" s="34"/>
    </row>
    <row r="692" spans="33:48" ht="16" x14ac:dyDescent="0.4">
      <c r="AG692" s="103">
        <f t="shared" si="45"/>
        <v>0</v>
      </c>
      <c r="AJ692" s="34"/>
      <c r="AK692" s="34"/>
      <c r="AU692" s="34"/>
      <c r="AV692" s="34"/>
    </row>
    <row r="693" spans="33:48" ht="16" x14ac:dyDescent="0.4">
      <c r="AG693" s="103">
        <f t="shared" si="45"/>
        <v>0</v>
      </c>
      <c r="AJ693" s="34"/>
      <c r="AK693" s="34"/>
      <c r="AU693" s="34"/>
      <c r="AV693" s="34"/>
    </row>
    <row r="694" spans="33:48" ht="16" x14ac:dyDescent="0.4">
      <c r="AG694" s="103">
        <f t="shared" si="45"/>
        <v>0</v>
      </c>
      <c r="AJ694" s="34"/>
      <c r="AK694" s="34"/>
      <c r="AU694" s="34"/>
      <c r="AV694" s="34"/>
    </row>
    <row r="695" spans="33:48" ht="16" x14ac:dyDescent="0.4">
      <c r="AG695" s="103">
        <f t="shared" si="45"/>
        <v>0</v>
      </c>
      <c r="AJ695" s="34"/>
      <c r="AK695" s="34"/>
      <c r="AU695" s="34"/>
      <c r="AV695" s="34"/>
    </row>
    <row r="696" spans="33:48" ht="16" x14ac:dyDescent="0.4">
      <c r="AG696" s="103">
        <f t="shared" si="45"/>
        <v>0</v>
      </c>
      <c r="AJ696" s="34"/>
      <c r="AK696" s="34"/>
      <c r="AU696" s="34"/>
      <c r="AV696" s="34"/>
    </row>
    <row r="697" spans="33:48" ht="16" x14ac:dyDescent="0.4">
      <c r="AG697" s="103">
        <f t="shared" si="45"/>
        <v>0</v>
      </c>
      <c r="AJ697" s="34"/>
      <c r="AK697" s="34"/>
      <c r="AU697" s="34"/>
      <c r="AV697" s="34"/>
    </row>
    <row r="698" spans="33:48" ht="16" x14ac:dyDescent="0.4">
      <c r="AG698" s="103">
        <f t="shared" si="45"/>
        <v>0</v>
      </c>
      <c r="AJ698" s="34"/>
      <c r="AK698" s="34"/>
      <c r="AU698" s="34"/>
      <c r="AV698" s="34"/>
    </row>
    <row r="699" spans="33:48" ht="16" x14ac:dyDescent="0.4">
      <c r="AG699" s="103">
        <f t="shared" si="45"/>
        <v>0</v>
      </c>
      <c r="AJ699" s="34"/>
      <c r="AK699" s="34"/>
      <c r="AU699" s="34"/>
      <c r="AV699" s="34"/>
    </row>
    <row r="700" spans="33:48" ht="16" x14ac:dyDescent="0.4">
      <c r="AG700" s="103">
        <f t="shared" si="45"/>
        <v>0</v>
      </c>
      <c r="AJ700" s="34"/>
      <c r="AK700" s="34"/>
      <c r="AU700" s="34"/>
      <c r="AV700" s="34"/>
    </row>
    <row r="701" spans="33:48" ht="16" x14ac:dyDescent="0.4">
      <c r="AG701" s="103">
        <f t="shared" si="45"/>
        <v>0</v>
      </c>
      <c r="AJ701" s="34"/>
      <c r="AK701" s="34"/>
      <c r="AU701" s="34"/>
      <c r="AV701" s="34"/>
    </row>
    <row r="702" spans="33:48" ht="16" x14ac:dyDescent="0.4">
      <c r="AG702" s="103">
        <f t="shared" si="45"/>
        <v>0</v>
      </c>
      <c r="AJ702" s="34"/>
      <c r="AK702" s="34"/>
      <c r="AU702" s="34"/>
      <c r="AV702" s="34"/>
    </row>
    <row r="703" spans="33:48" ht="16" x14ac:dyDescent="0.4">
      <c r="AG703" s="103">
        <f t="shared" si="45"/>
        <v>0</v>
      </c>
      <c r="AJ703" s="34"/>
      <c r="AK703" s="34"/>
      <c r="AU703" s="34"/>
      <c r="AV703" s="34"/>
    </row>
    <row r="704" spans="33:48" ht="16" x14ac:dyDescent="0.4">
      <c r="AG704" s="103">
        <f t="shared" si="45"/>
        <v>0</v>
      </c>
      <c r="AJ704" s="34"/>
      <c r="AK704" s="34"/>
      <c r="AU704" s="34"/>
      <c r="AV704" s="34"/>
    </row>
    <row r="705" spans="33:48" ht="16" x14ac:dyDescent="0.4">
      <c r="AG705" s="103">
        <f t="shared" si="45"/>
        <v>0</v>
      </c>
      <c r="AJ705" s="34"/>
      <c r="AK705" s="34"/>
      <c r="AU705" s="34"/>
      <c r="AV705" s="34"/>
    </row>
    <row r="706" spans="33:48" ht="16" x14ac:dyDescent="0.4">
      <c r="AG706" s="103">
        <f t="shared" si="45"/>
        <v>0</v>
      </c>
      <c r="AJ706" s="34"/>
      <c r="AK706" s="34"/>
      <c r="AU706" s="34"/>
      <c r="AV706" s="34"/>
    </row>
    <row r="707" spans="33:48" ht="16" x14ac:dyDescent="0.4">
      <c r="AG707" s="103">
        <f t="shared" si="45"/>
        <v>0</v>
      </c>
      <c r="AJ707" s="34"/>
      <c r="AK707" s="34"/>
      <c r="AU707" s="34"/>
      <c r="AV707" s="34"/>
    </row>
    <row r="708" spans="33:48" ht="16" x14ac:dyDescent="0.4">
      <c r="AG708" s="103">
        <f t="shared" si="45"/>
        <v>0</v>
      </c>
      <c r="AJ708" s="34"/>
      <c r="AK708" s="34"/>
      <c r="AU708" s="34"/>
      <c r="AV708" s="34"/>
    </row>
    <row r="709" spans="33:48" ht="16" x14ac:dyDescent="0.4">
      <c r="AG709" s="103">
        <f t="shared" ref="AG709:AG713" si="46">IF($AF709&gt;14,14,$AF709)</f>
        <v>0</v>
      </c>
      <c r="AJ709" s="34"/>
      <c r="AK709" s="34"/>
      <c r="AU709" s="34"/>
      <c r="AV709" s="34"/>
    </row>
    <row r="710" spans="33:48" ht="16" x14ac:dyDescent="0.4">
      <c r="AG710" s="103">
        <f t="shared" si="46"/>
        <v>0</v>
      </c>
      <c r="AJ710" s="34"/>
      <c r="AK710" s="34"/>
      <c r="AU710" s="34"/>
      <c r="AV710" s="34"/>
    </row>
    <row r="711" spans="33:48" ht="16" x14ac:dyDescent="0.4">
      <c r="AG711" s="103">
        <f t="shared" si="46"/>
        <v>0</v>
      </c>
      <c r="AJ711" s="34"/>
      <c r="AK711" s="34"/>
      <c r="AU711" s="34"/>
      <c r="AV711" s="34"/>
    </row>
    <row r="712" spans="33:48" ht="16" x14ac:dyDescent="0.4">
      <c r="AG712" s="103">
        <f t="shared" si="46"/>
        <v>0</v>
      </c>
      <c r="AJ712" s="34"/>
      <c r="AK712" s="34"/>
      <c r="AU712" s="34"/>
      <c r="AV712" s="34"/>
    </row>
    <row r="713" spans="33:48" ht="16" x14ac:dyDescent="0.4">
      <c r="AG713" s="103">
        <f t="shared" si="46"/>
        <v>0</v>
      </c>
      <c r="AJ713" s="34"/>
      <c r="AK713" s="34"/>
      <c r="AU713" s="34"/>
      <c r="AV713" s="34"/>
    </row>
    <row r="714" spans="33:48" x14ac:dyDescent="0.35">
      <c r="AJ714" s="34"/>
      <c r="AK714" s="34"/>
      <c r="AU714" s="34"/>
      <c r="AV714" s="34"/>
    </row>
    <row r="715" spans="33:48" x14ac:dyDescent="0.35">
      <c r="AJ715" s="34"/>
      <c r="AK715" s="34"/>
      <c r="AU715" s="34"/>
      <c r="AV715" s="34"/>
    </row>
    <row r="716" spans="33:48" x14ac:dyDescent="0.35">
      <c r="AJ716" s="34"/>
      <c r="AK716" s="34"/>
      <c r="AU716" s="34"/>
      <c r="AV716" s="34"/>
    </row>
    <row r="717" spans="33:48" x14ac:dyDescent="0.35">
      <c r="AJ717" s="34"/>
      <c r="AK717" s="34"/>
      <c r="AU717" s="34"/>
      <c r="AV717" s="34"/>
    </row>
    <row r="718" spans="33:48" x14ac:dyDescent="0.35">
      <c r="AJ718" s="34"/>
      <c r="AK718" s="34"/>
      <c r="AU718" s="34"/>
      <c r="AV718" s="34"/>
    </row>
    <row r="719" spans="33:48" x14ac:dyDescent="0.35">
      <c r="AJ719" s="34"/>
      <c r="AK719" s="34"/>
      <c r="AU719" s="34"/>
      <c r="AV719" s="34"/>
    </row>
    <row r="720" spans="33:48" x14ac:dyDescent="0.35">
      <c r="AJ720" s="34"/>
      <c r="AK720" s="34"/>
      <c r="AU720" s="34"/>
      <c r="AV720" s="34"/>
    </row>
    <row r="721" spans="36:48" x14ac:dyDescent="0.35">
      <c r="AJ721" s="34"/>
      <c r="AK721" s="34"/>
      <c r="AU721" s="34"/>
      <c r="AV721" s="34"/>
    </row>
    <row r="722" spans="36:48" x14ac:dyDescent="0.35">
      <c r="AJ722" s="34"/>
      <c r="AK722" s="34"/>
      <c r="AU722" s="34"/>
      <c r="AV722" s="34"/>
    </row>
    <row r="723" spans="36:48" x14ac:dyDescent="0.35">
      <c r="AJ723" s="34"/>
      <c r="AK723" s="34"/>
      <c r="AU723" s="34"/>
      <c r="AV723" s="34"/>
    </row>
    <row r="724" spans="36:48" x14ac:dyDescent="0.35">
      <c r="AJ724" s="34"/>
      <c r="AK724" s="34"/>
      <c r="AU724" s="34"/>
      <c r="AV724" s="34"/>
    </row>
    <row r="725" spans="36:48" x14ac:dyDescent="0.35">
      <c r="AJ725" s="34"/>
      <c r="AK725" s="34"/>
      <c r="AU725" s="34"/>
      <c r="AV725" s="34"/>
    </row>
    <row r="726" spans="36:48" x14ac:dyDescent="0.35">
      <c r="AJ726" s="34"/>
      <c r="AK726" s="34"/>
      <c r="AU726" s="34"/>
      <c r="AV726" s="34"/>
    </row>
    <row r="727" spans="36:48" x14ac:dyDescent="0.35">
      <c r="AJ727" s="34"/>
      <c r="AK727" s="34"/>
      <c r="AU727" s="34"/>
      <c r="AV727" s="34"/>
    </row>
    <row r="728" spans="36:48" x14ac:dyDescent="0.35">
      <c r="AJ728" s="34"/>
      <c r="AK728" s="34"/>
      <c r="AU728" s="34"/>
      <c r="AV728" s="34"/>
    </row>
    <row r="729" spans="36:48" x14ac:dyDescent="0.35">
      <c r="AJ729" s="34"/>
      <c r="AK729" s="34"/>
      <c r="AU729" s="34"/>
      <c r="AV729" s="34"/>
    </row>
    <row r="730" spans="36:48" x14ac:dyDescent="0.35">
      <c r="AJ730" s="34"/>
      <c r="AK730" s="34"/>
      <c r="AU730" s="34"/>
      <c r="AV730" s="34"/>
    </row>
    <row r="731" spans="36:48" x14ac:dyDescent="0.35">
      <c r="AJ731" s="34"/>
      <c r="AK731" s="34"/>
      <c r="AU731" s="34"/>
      <c r="AV731" s="34"/>
    </row>
    <row r="732" spans="36:48" x14ac:dyDescent="0.35">
      <c r="AJ732" s="34"/>
      <c r="AK732" s="34"/>
      <c r="AU732" s="34"/>
      <c r="AV732" s="34"/>
    </row>
    <row r="733" spans="36:48" x14ac:dyDescent="0.35">
      <c r="AJ733" s="34"/>
      <c r="AK733" s="34"/>
      <c r="AU733" s="34"/>
      <c r="AV733" s="34"/>
    </row>
    <row r="734" spans="36:48" x14ac:dyDescent="0.35">
      <c r="AJ734" s="34"/>
      <c r="AK734" s="34"/>
      <c r="AU734" s="34"/>
      <c r="AV734" s="34"/>
    </row>
    <row r="735" spans="36:48" x14ac:dyDescent="0.35">
      <c r="AJ735" s="34"/>
      <c r="AK735" s="34"/>
      <c r="AU735" s="34"/>
      <c r="AV735" s="34"/>
    </row>
    <row r="736" spans="36:48" x14ac:dyDescent="0.35">
      <c r="AJ736" s="34"/>
      <c r="AK736" s="34"/>
      <c r="AU736" s="34"/>
      <c r="AV736" s="34"/>
    </row>
    <row r="737" spans="36:48" x14ac:dyDescent="0.35">
      <c r="AJ737" s="34"/>
      <c r="AK737" s="34"/>
      <c r="AU737" s="34"/>
      <c r="AV737" s="34"/>
    </row>
    <row r="738" spans="36:48" x14ac:dyDescent="0.35">
      <c r="AJ738" s="34"/>
      <c r="AK738" s="34"/>
      <c r="AU738" s="34"/>
      <c r="AV738" s="34"/>
    </row>
    <row r="739" spans="36:48" x14ac:dyDescent="0.35">
      <c r="AJ739" s="34"/>
      <c r="AK739" s="34"/>
      <c r="AU739" s="34"/>
      <c r="AV739" s="34"/>
    </row>
    <row r="740" spans="36:48" x14ac:dyDescent="0.35">
      <c r="AJ740" s="34"/>
      <c r="AK740" s="34"/>
      <c r="AU740" s="34"/>
      <c r="AV740" s="34"/>
    </row>
    <row r="741" spans="36:48" x14ac:dyDescent="0.35">
      <c r="AJ741" s="34"/>
      <c r="AK741" s="34"/>
      <c r="AU741" s="34"/>
      <c r="AV741" s="34"/>
    </row>
    <row r="742" spans="36:48" x14ac:dyDescent="0.35">
      <c r="AJ742" s="34"/>
      <c r="AK742" s="34"/>
      <c r="AU742" s="34"/>
      <c r="AV742" s="34"/>
    </row>
    <row r="743" spans="36:48" x14ac:dyDescent="0.35">
      <c r="AJ743" s="34"/>
      <c r="AK743" s="34"/>
      <c r="AU743" s="34"/>
      <c r="AV743" s="34"/>
    </row>
    <row r="744" spans="36:48" x14ac:dyDescent="0.35">
      <c r="AJ744" s="34"/>
      <c r="AK744" s="34"/>
      <c r="AU744" s="34"/>
      <c r="AV744" s="34"/>
    </row>
    <row r="745" spans="36:48" x14ac:dyDescent="0.35">
      <c r="AJ745" s="34"/>
      <c r="AK745" s="34"/>
      <c r="AU745" s="34"/>
      <c r="AV745" s="34"/>
    </row>
    <row r="746" spans="36:48" x14ac:dyDescent="0.35">
      <c r="AJ746" s="34"/>
      <c r="AK746" s="34"/>
      <c r="AU746" s="34"/>
      <c r="AV746" s="34"/>
    </row>
    <row r="747" spans="36:48" x14ac:dyDescent="0.35">
      <c r="AJ747" s="34"/>
      <c r="AK747" s="34"/>
      <c r="AU747" s="34"/>
      <c r="AV747" s="34"/>
    </row>
    <row r="748" spans="36:48" x14ac:dyDescent="0.35">
      <c r="AJ748" s="34"/>
      <c r="AK748" s="34"/>
      <c r="AU748" s="34"/>
      <c r="AV748" s="34"/>
    </row>
    <row r="749" spans="36:48" x14ac:dyDescent="0.35">
      <c r="AJ749" s="34"/>
      <c r="AK749" s="34"/>
      <c r="AU749" s="34"/>
      <c r="AV749" s="34"/>
    </row>
    <row r="750" spans="36:48" x14ac:dyDescent="0.35">
      <c r="AJ750" s="34"/>
      <c r="AK750" s="34"/>
      <c r="AU750" s="34"/>
      <c r="AV750" s="34"/>
    </row>
    <row r="751" spans="36:48" x14ac:dyDescent="0.35">
      <c r="AJ751" s="34"/>
      <c r="AK751" s="34"/>
      <c r="AU751" s="34"/>
      <c r="AV751" s="34"/>
    </row>
    <row r="752" spans="36:48" x14ac:dyDescent="0.35">
      <c r="AJ752" s="34"/>
      <c r="AK752" s="34"/>
      <c r="AU752" s="34"/>
      <c r="AV752" s="34"/>
    </row>
    <row r="753" spans="36:48" x14ac:dyDescent="0.35">
      <c r="AJ753" s="34"/>
      <c r="AK753" s="34"/>
      <c r="AU753" s="34"/>
      <c r="AV753" s="34"/>
    </row>
    <row r="754" spans="36:48" x14ac:dyDescent="0.35">
      <c r="AJ754" s="34"/>
      <c r="AK754" s="34"/>
      <c r="AU754" s="34"/>
      <c r="AV754" s="34"/>
    </row>
    <row r="755" spans="36:48" x14ac:dyDescent="0.35">
      <c r="AJ755" s="34"/>
      <c r="AK755" s="34"/>
      <c r="AU755" s="34"/>
      <c r="AV755" s="34"/>
    </row>
    <row r="756" spans="36:48" x14ac:dyDescent="0.35">
      <c r="AJ756" s="34"/>
      <c r="AK756" s="34"/>
      <c r="AU756" s="34"/>
      <c r="AV756" s="34"/>
    </row>
    <row r="757" spans="36:48" x14ac:dyDescent="0.35">
      <c r="AJ757" s="34"/>
      <c r="AK757" s="34"/>
      <c r="AU757" s="34"/>
      <c r="AV757" s="34"/>
    </row>
    <row r="758" spans="36:48" x14ac:dyDescent="0.35">
      <c r="AJ758" s="34"/>
      <c r="AK758" s="34"/>
      <c r="AU758" s="34"/>
      <c r="AV758" s="34"/>
    </row>
    <row r="759" spans="36:48" x14ac:dyDescent="0.35">
      <c r="AJ759" s="34"/>
      <c r="AK759" s="34"/>
      <c r="AU759" s="34"/>
      <c r="AV759" s="34"/>
    </row>
    <row r="760" spans="36:48" x14ac:dyDescent="0.35">
      <c r="AJ760" s="34"/>
      <c r="AK760" s="34"/>
      <c r="AU760" s="34"/>
      <c r="AV760" s="34"/>
    </row>
    <row r="761" spans="36:48" x14ac:dyDescent="0.35">
      <c r="AJ761" s="34"/>
      <c r="AK761" s="34"/>
      <c r="AU761" s="34"/>
      <c r="AV761" s="34"/>
    </row>
    <row r="762" spans="36:48" x14ac:dyDescent="0.35">
      <c r="AJ762" s="34"/>
      <c r="AK762" s="34"/>
      <c r="AU762" s="34"/>
      <c r="AV762" s="34"/>
    </row>
    <row r="763" spans="36:48" x14ac:dyDescent="0.35">
      <c r="AJ763" s="34"/>
      <c r="AK763" s="34"/>
      <c r="AU763" s="34"/>
      <c r="AV763" s="34"/>
    </row>
    <row r="764" spans="36:48" x14ac:dyDescent="0.35">
      <c r="AJ764" s="34"/>
      <c r="AK764" s="34"/>
      <c r="AU764" s="34"/>
      <c r="AV764" s="34"/>
    </row>
    <row r="765" spans="36:48" x14ac:dyDescent="0.35">
      <c r="AJ765" s="34"/>
      <c r="AK765" s="34"/>
      <c r="AU765" s="34"/>
      <c r="AV765" s="34"/>
    </row>
    <row r="766" spans="36:48" x14ac:dyDescent="0.35">
      <c r="AJ766" s="34"/>
      <c r="AK766" s="34"/>
      <c r="AU766" s="34"/>
      <c r="AV766" s="34"/>
    </row>
    <row r="767" spans="36:48" x14ac:dyDescent="0.35">
      <c r="AJ767" s="34"/>
      <c r="AK767" s="34"/>
      <c r="AU767" s="34"/>
      <c r="AV767" s="34"/>
    </row>
    <row r="768" spans="36:48" x14ac:dyDescent="0.35">
      <c r="AJ768" s="34"/>
      <c r="AK768" s="34"/>
      <c r="AU768" s="34"/>
      <c r="AV768" s="34"/>
    </row>
    <row r="769" spans="36:48" x14ac:dyDescent="0.35">
      <c r="AJ769" s="34"/>
      <c r="AK769" s="34"/>
      <c r="AU769" s="34"/>
      <c r="AV769" s="34"/>
    </row>
    <row r="770" spans="36:48" x14ac:dyDescent="0.35">
      <c r="AJ770" s="34"/>
      <c r="AK770" s="34"/>
      <c r="AU770" s="34"/>
      <c r="AV770" s="34"/>
    </row>
    <row r="771" spans="36:48" x14ac:dyDescent="0.35">
      <c r="AJ771" s="34"/>
      <c r="AK771" s="34"/>
      <c r="AU771" s="34"/>
      <c r="AV771" s="34"/>
    </row>
    <row r="772" spans="36:48" x14ac:dyDescent="0.35">
      <c r="AJ772" s="34"/>
      <c r="AK772" s="34"/>
      <c r="AU772" s="34"/>
      <c r="AV772" s="34"/>
    </row>
    <row r="773" spans="36:48" x14ac:dyDescent="0.35">
      <c r="AJ773" s="34"/>
      <c r="AK773" s="34"/>
      <c r="AU773" s="34"/>
      <c r="AV773" s="34"/>
    </row>
    <row r="774" spans="36:48" x14ac:dyDescent="0.35">
      <c r="AJ774" s="34"/>
      <c r="AK774" s="34"/>
      <c r="AU774" s="34"/>
      <c r="AV774" s="34"/>
    </row>
  </sheetData>
  <autoFilter ref="V4:AT487" xr:uid="{F679762A-47DC-4E46-BA92-6E91B14CCD94}"/>
  <mergeCells count="16">
    <mergeCell ref="K8:K9"/>
    <mergeCell ref="B3:L4"/>
    <mergeCell ref="B5:L5"/>
    <mergeCell ref="B6:B9"/>
    <mergeCell ref="C6:F6"/>
    <mergeCell ref="G6:G9"/>
    <mergeCell ref="H6:I6"/>
    <mergeCell ref="J6:K7"/>
    <mergeCell ref="L6:L9"/>
    <mergeCell ref="C7:C9"/>
    <mergeCell ref="D7:D9"/>
    <mergeCell ref="E7:E9"/>
    <mergeCell ref="F7:F9"/>
    <mergeCell ref="H7:H9"/>
    <mergeCell ref="I7:I9"/>
    <mergeCell ref="J8:J9"/>
  </mergeCells>
  <conditionalFormatting sqref="W5:W36 W38:W70 W72:W99">
    <cfRule type="duplicateValues" dxfId="234" priority="36"/>
  </conditionalFormatting>
  <conditionalFormatting sqref="W100:W116 W118:W162">
    <cfRule type="duplicateValues" dxfId="233" priority="15"/>
  </conditionalFormatting>
  <conditionalFormatting sqref="W163:W193">
    <cfRule type="duplicateValues" dxfId="232" priority="18"/>
  </conditionalFormatting>
  <conditionalFormatting sqref="W194:W243">
    <cfRule type="duplicateValues" dxfId="231" priority="17"/>
  </conditionalFormatting>
  <conditionalFormatting sqref="W244:W300">
    <cfRule type="duplicateValues" dxfId="230" priority="14"/>
  </conditionalFormatting>
  <conditionalFormatting sqref="W301:W347">
    <cfRule type="duplicateValues" dxfId="229" priority="16"/>
  </conditionalFormatting>
  <conditionalFormatting sqref="W348:W396">
    <cfRule type="duplicateValues" dxfId="228" priority="20"/>
  </conditionalFormatting>
  <conditionalFormatting sqref="W397:W454">
    <cfRule type="duplicateValues" dxfId="227" priority="19"/>
  </conditionalFormatting>
  <conditionalFormatting sqref="W455">
    <cfRule type="duplicateValues" dxfId="226" priority="21"/>
  </conditionalFormatting>
  <conditionalFormatting sqref="W456:W1048576 W1:W4">
    <cfRule type="duplicateValues" dxfId="225" priority="22"/>
  </conditionalFormatting>
  <conditionalFormatting sqref="AK193:AK196 AK28:AK38 AK14 AK1:AK4 AK61:AK106 AK254:AK1048576">
    <cfRule type="duplicateValues" dxfId="224" priority="23"/>
  </conditionalFormatting>
  <conditionalFormatting sqref="AK14 AK254 AK193:AK19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3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1048576 AK14 AK1:AK4 AK193:AK196 AK254">
    <cfRule type="duplicateValues" dxfId="223" priority="32"/>
  </conditionalFormatting>
  <conditionalFormatting sqref="AK331:AK397 AK407:AK68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K402">
    <cfRule type="duplicateValues" dxfId="222" priority="26"/>
  </conditionalFormatting>
  <conditionalFormatting sqref="AK681:AK77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L402">
    <cfRule type="expression" dxfId="221" priority="24">
      <formula>MOD(ROW(),2)=0</formula>
    </cfRule>
  </conditionalFormatting>
  <conditionalFormatting sqref="AN16">
    <cfRule type="duplicateValues" dxfId="220" priority="27"/>
  </conditionalFormatting>
  <conditionalFormatting sqref="AP5:AP6 AP9:AP15">
    <cfRule type="duplicateValues" dxfId="219" priority="35"/>
  </conditionalFormatting>
  <conditionalFormatting sqref="AP68:AP142 AP5:AP6 AP17:AP21 AP23:AP63 AP65:AP66 AP145:AP147 AP254:AP330 AP237:AP251 AP9:AP15 AP149:AP229">
    <cfRule type="duplicateValues" dxfId="218" priority="34"/>
  </conditionalFormatting>
  <conditionalFormatting sqref="AP331:AP397">
    <cfRule type="duplicateValues" dxfId="217" priority="28"/>
  </conditionalFormatting>
  <conditionalFormatting sqref="AP398:AP402">
    <cfRule type="expression" dxfId="216" priority="25">
      <formula>MOD(ROW(),2)=0</formula>
    </cfRule>
  </conditionalFormatting>
  <conditionalFormatting sqref="AV193:AV196 AV28:AV38 AV14 AV1:AV4 AV61:AV106 AV254:AV1048576">
    <cfRule type="duplicateValues" dxfId="215" priority="1"/>
  </conditionalFormatting>
  <conditionalFormatting sqref="AV14 AV254 AV193:AV19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3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1048576 AV14 AV1:AV4 AV193:AV196 AV254">
    <cfRule type="duplicateValues" dxfId="214" priority="10"/>
  </conditionalFormatting>
  <conditionalFormatting sqref="AV331:AV397 AV407:AV68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V402">
    <cfRule type="duplicateValues" dxfId="213" priority="4"/>
  </conditionalFormatting>
  <conditionalFormatting sqref="AV681:AV77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W402">
    <cfRule type="expression" dxfId="212" priority="2">
      <formula>MOD(ROW(),2)=0</formula>
    </cfRule>
  </conditionalFormatting>
  <conditionalFormatting sqref="AY16">
    <cfRule type="duplicateValues" dxfId="211" priority="5"/>
  </conditionalFormatting>
  <conditionalFormatting sqref="BA5:BA6 BA9:BA15">
    <cfRule type="duplicateValues" dxfId="210" priority="13"/>
  </conditionalFormatting>
  <conditionalFormatting sqref="BA68:BA142 BA5:BA6 BA17:BA21 BA23:BA63 BA65:BA66 BA145:BA147 BA254:BA330 BA237:BA251 BA9:BA15 BA149:BA229">
    <cfRule type="duplicateValues" dxfId="209" priority="12"/>
  </conditionalFormatting>
  <conditionalFormatting sqref="BA331:BA397">
    <cfRule type="duplicateValues" dxfId="208" priority="6"/>
  </conditionalFormatting>
  <conditionalFormatting sqref="BA398:BA402">
    <cfRule type="expression" dxfId="207" priority="3">
      <formula>MOD(ROW(),2)=0</formula>
    </cfRule>
  </conditionalFormatting>
  <dataValidations count="1">
    <dataValidation type="list" allowBlank="1" showInputMessage="1" showErrorMessage="1" sqref="AC345:AC346 AC79:AC90 AC93:AC105 AC136:AC159 AC161:AC202 AC204:AC343 AC107:AC116 AC118:AC134" xr:uid="{FD611FA7-6315-4804-A0DA-546B6715718D}">
      <formula1>"N/A,CLEAN UP"</formula1>
    </dataValidation>
  </dataValidations>
  <pageMargins left="0.78740157480314965" right="0" top="0.15748031496062992" bottom="0" header="0.31496062992125984" footer="0.31496062992125984"/>
  <pageSetup paperSize="9" fitToHeight="0" orientation="portrait" horizontalDpi="0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9D38-3D15-418C-8435-0DFFCC7B8CE0}">
  <dimension ref="A1:M37"/>
  <sheetViews>
    <sheetView topLeftCell="A4" workbookViewId="0">
      <selection activeCell="H18" sqref="H18"/>
    </sheetView>
  </sheetViews>
  <sheetFormatPr defaultRowHeight="14.5" x14ac:dyDescent="0.35"/>
  <cols>
    <col min="1" max="1" width="12.90625" bestFit="1" customWidth="1"/>
    <col min="7" max="7" width="11" bestFit="1" customWidth="1"/>
    <col min="8" max="8" width="10.26953125" bestFit="1" customWidth="1"/>
    <col min="9" max="9" width="10.1796875" bestFit="1" customWidth="1"/>
    <col min="10" max="10" width="8.81640625" bestFit="1" customWidth="1"/>
    <col min="11" max="11" width="12.7265625" bestFit="1" customWidth="1"/>
    <col min="12" max="13" width="8.81640625" bestFit="1" customWidth="1"/>
  </cols>
  <sheetData>
    <row r="1" spans="1:13" x14ac:dyDescent="0.35">
      <c r="D1" s="37"/>
      <c r="F1" s="15"/>
    </row>
    <row r="2" spans="1:13" x14ac:dyDescent="0.35">
      <c r="A2" s="15" t="s">
        <v>1526</v>
      </c>
      <c r="D2" s="37"/>
    </row>
    <row r="3" spans="1:13" x14ac:dyDescent="0.35">
      <c r="A3" s="15" t="s">
        <v>33</v>
      </c>
      <c r="D3" s="37"/>
    </row>
    <row r="4" spans="1:13" x14ac:dyDescent="0.35">
      <c r="A4" s="29" t="s">
        <v>0</v>
      </c>
      <c r="B4" s="29" t="s">
        <v>15</v>
      </c>
      <c r="C4" s="29" t="s">
        <v>16</v>
      </c>
      <c r="D4" s="53" t="s">
        <v>16</v>
      </c>
      <c r="E4" s="29" t="s">
        <v>17</v>
      </c>
      <c r="F4" s="29" t="s">
        <v>18</v>
      </c>
      <c r="G4" s="29" t="s">
        <v>20</v>
      </c>
      <c r="H4" s="29" t="s">
        <v>21</v>
      </c>
      <c r="I4" s="29" t="s">
        <v>19</v>
      </c>
      <c r="J4" s="29" t="s">
        <v>44</v>
      </c>
      <c r="K4" s="53" t="s">
        <v>43</v>
      </c>
      <c r="L4" s="53" t="s">
        <v>46</v>
      </c>
      <c r="M4" s="53" t="s">
        <v>41</v>
      </c>
    </row>
    <row r="5" spans="1:13" ht="16" x14ac:dyDescent="0.4">
      <c r="A5" s="97">
        <v>45947</v>
      </c>
      <c r="B5" s="16">
        <v>209713</v>
      </c>
      <c r="C5" s="101" t="s">
        <v>36</v>
      </c>
      <c r="D5" s="105"/>
      <c r="E5" s="102">
        <v>0.73055555555555562</v>
      </c>
      <c r="F5" s="102">
        <v>0.79166666666666663</v>
      </c>
      <c r="G5" s="16" t="s">
        <v>2588</v>
      </c>
      <c r="H5" s="16"/>
      <c r="I5" s="93">
        <v>18410</v>
      </c>
      <c r="J5" s="93"/>
      <c r="K5" s="105"/>
      <c r="L5" s="117"/>
      <c r="M5" s="105"/>
    </row>
    <row r="6" spans="1:13" ht="16" x14ac:dyDescent="0.4">
      <c r="A6" s="97">
        <v>45947</v>
      </c>
      <c r="B6" s="16">
        <v>209732</v>
      </c>
      <c r="C6" s="101" t="s">
        <v>36</v>
      </c>
      <c r="D6" s="105"/>
      <c r="E6" s="102">
        <v>0.76874999999999993</v>
      </c>
      <c r="F6" s="102">
        <v>0.85</v>
      </c>
      <c r="G6" s="16" t="s">
        <v>2588</v>
      </c>
      <c r="H6" s="16"/>
      <c r="I6" s="93">
        <v>18392</v>
      </c>
      <c r="J6" s="93"/>
      <c r="K6" s="105"/>
      <c r="L6" s="117"/>
      <c r="M6" s="105"/>
    </row>
    <row r="7" spans="1:13" ht="16" x14ac:dyDescent="0.4">
      <c r="A7" s="97">
        <v>45947</v>
      </c>
      <c r="B7" s="16">
        <v>209748</v>
      </c>
      <c r="C7" s="101" t="s">
        <v>36</v>
      </c>
      <c r="D7" s="105"/>
      <c r="E7" s="102">
        <v>0.73055555555555562</v>
      </c>
      <c r="F7" s="102">
        <v>0.9145833333333333</v>
      </c>
      <c r="G7" s="16" t="s">
        <v>2588</v>
      </c>
      <c r="H7" s="16"/>
      <c r="I7" s="105">
        <v>19018</v>
      </c>
      <c r="J7" s="93"/>
      <c r="K7" s="105"/>
      <c r="L7" s="117"/>
      <c r="M7" s="105"/>
    </row>
    <row r="8" spans="1:13" x14ac:dyDescent="0.35">
      <c r="A8" s="97">
        <v>45947</v>
      </c>
      <c r="B8" s="16">
        <v>209766</v>
      </c>
      <c r="C8" s="101" t="s">
        <v>36</v>
      </c>
      <c r="D8" s="16"/>
      <c r="E8" s="102">
        <v>0.76874999999999993</v>
      </c>
      <c r="F8" s="102">
        <v>0.99375000000000002</v>
      </c>
      <c r="G8" s="16" t="s">
        <v>2588</v>
      </c>
      <c r="H8" s="16"/>
      <c r="I8" s="105">
        <v>18988</v>
      </c>
      <c r="J8" s="105"/>
      <c r="K8" s="105"/>
      <c r="L8" s="105"/>
      <c r="M8" s="105"/>
    </row>
    <row r="9" spans="1:13" x14ac:dyDescent="0.35">
      <c r="A9" s="97">
        <v>45947</v>
      </c>
      <c r="B9" s="16">
        <v>209774</v>
      </c>
      <c r="C9" s="101" t="s">
        <v>36</v>
      </c>
      <c r="D9" s="16"/>
      <c r="E9" s="102">
        <v>0.69861111111111107</v>
      </c>
      <c r="F9" s="102">
        <v>3.888888888888889E-2</v>
      </c>
      <c r="G9" s="16" t="s">
        <v>2588</v>
      </c>
      <c r="H9" s="16"/>
      <c r="I9" s="105">
        <v>17444</v>
      </c>
      <c r="J9" s="105"/>
      <c r="K9" s="105"/>
      <c r="L9" s="105"/>
      <c r="M9" s="105"/>
    </row>
    <row r="10" spans="1:13" x14ac:dyDescent="0.35">
      <c r="A10" s="97">
        <v>45948</v>
      </c>
      <c r="B10" s="16">
        <v>209789</v>
      </c>
      <c r="C10" s="101" t="s">
        <v>36</v>
      </c>
      <c r="D10" s="16"/>
      <c r="E10" s="102">
        <v>0.7631944444444444</v>
      </c>
      <c r="F10" s="102">
        <v>9.7222222222222224E-2</v>
      </c>
      <c r="G10" s="16" t="s">
        <v>2588</v>
      </c>
      <c r="H10" s="16"/>
      <c r="I10" s="105">
        <v>18434</v>
      </c>
      <c r="J10" s="105"/>
      <c r="K10" s="105"/>
      <c r="L10" s="105"/>
      <c r="M10" s="105"/>
    </row>
    <row r="11" spans="1:13" x14ac:dyDescent="0.35">
      <c r="A11" s="97">
        <v>45948</v>
      </c>
      <c r="B11" s="16">
        <v>209793</v>
      </c>
      <c r="C11" s="101" t="s">
        <v>36</v>
      </c>
      <c r="D11" s="16"/>
      <c r="E11" s="102">
        <v>0.10069444444444443</v>
      </c>
      <c r="F11" s="102">
        <v>0.14652777777777778</v>
      </c>
      <c r="G11" s="16" t="s">
        <v>2588</v>
      </c>
      <c r="H11" s="16"/>
      <c r="I11" s="105">
        <v>18782</v>
      </c>
      <c r="J11" s="105"/>
      <c r="K11" s="105"/>
      <c r="L11" s="105"/>
      <c r="M11" s="105"/>
    </row>
    <row r="12" spans="1:13" x14ac:dyDescent="0.35">
      <c r="A12" s="97">
        <v>45948</v>
      </c>
      <c r="B12" s="16">
        <v>209797</v>
      </c>
      <c r="C12" s="101" t="s">
        <v>36</v>
      </c>
      <c r="D12" s="16"/>
      <c r="E12" s="102">
        <v>0.13749999999999998</v>
      </c>
      <c r="F12" s="102">
        <v>0.21736111111111112</v>
      </c>
      <c r="G12" s="16" t="s">
        <v>2588</v>
      </c>
      <c r="H12" s="16"/>
      <c r="I12" s="105">
        <v>18044</v>
      </c>
      <c r="J12" s="105"/>
      <c r="K12" s="105"/>
      <c r="L12" s="105"/>
      <c r="M12" s="105"/>
    </row>
    <row r="13" spans="1:13" x14ac:dyDescent="0.35">
      <c r="A13" s="97">
        <v>45948</v>
      </c>
      <c r="B13" s="16">
        <v>209993</v>
      </c>
      <c r="C13" s="101" t="s">
        <v>36</v>
      </c>
      <c r="D13" s="16"/>
      <c r="E13" s="102">
        <v>0.57605324074074071</v>
      </c>
      <c r="F13" s="102">
        <v>0.65047453703703706</v>
      </c>
      <c r="G13" s="16" t="s">
        <v>2588</v>
      </c>
      <c r="H13" s="16"/>
      <c r="I13" s="105">
        <v>19108</v>
      </c>
      <c r="J13" s="105"/>
      <c r="K13" s="105"/>
      <c r="L13" s="105"/>
      <c r="M13" s="105"/>
    </row>
    <row r="14" spans="1:13" x14ac:dyDescent="0.35">
      <c r="A14" s="97">
        <v>45948</v>
      </c>
      <c r="B14" s="16">
        <v>209932</v>
      </c>
      <c r="C14" s="101" t="s">
        <v>36</v>
      </c>
      <c r="D14" s="16"/>
      <c r="E14" s="102">
        <v>0.44370370370370371</v>
      </c>
      <c r="F14" s="102">
        <v>0.52584490740740741</v>
      </c>
      <c r="G14" s="16" t="s">
        <v>2588</v>
      </c>
      <c r="H14" s="16"/>
      <c r="I14" s="105">
        <v>18922</v>
      </c>
      <c r="J14" s="105"/>
      <c r="K14" s="105"/>
      <c r="L14" s="105"/>
      <c r="M14" s="105"/>
    </row>
    <row r="15" spans="1:13" x14ac:dyDescent="0.35">
      <c r="A15" s="97">
        <v>45948</v>
      </c>
      <c r="B15" s="16">
        <v>209869</v>
      </c>
      <c r="C15" s="101" t="s">
        <v>36</v>
      </c>
      <c r="D15" s="16"/>
      <c r="E15" s="102">
        <v>0.26277777777777778</v>
      </c>
      <c r="F15" s="102">
        <v>0.38481481481481478</v>
      </c>
      <c r="G15" s="16" t="s">
        <v>2588</v>
      </c>
      <c r="H15" s="16"/>
      <c r="I15" s="105">
        <v>18786</v>
      </c>
      <c r="J15" s="105"/>
      <c r="K15" s="105"/>
      <c r="L15" s="105"/>
      <c r="M15" s="105"/>
    </row>
    <row r="16" spans="1:13" x14ac:dyDescent="0.35">
      <c r="A16" s="97">
        <v>45948</v>
      </c>
      <c r="B16" s="16">
        <v>210004</v>
      </c>
      <c r="C16" s="101" t="s">
        <v>36</v>
      </c>
      <c r="D16" s="16"/>
      <c r="E16" s="102">
        <v>0.64192129629629624</v>
      </c>
      <c r="F16" s="102">
        <v>0.70638888888888884</v>
      </c>
      <c r="G16" s="16" t="s">
        <v>2588</v>
      </c>
      <c r="H16" s="16"/>
      <c r="I16" s="105">
        <v>19142</v>
      </c>
      <c r="J16" s="105"/>
      <c r="K16" s="105"/>
      <c r="L16" s="105"/>
      <c r="M16" s="105"/>
    </row>
    <row r="17" spans="1:13" x14ac:dyDescent="0.35">
      <c r="A17" s="97">
        <v>45948</v>
      </c>
      <c r="B17" s="16">
        <v>209820</v>
      </c>
      <c r="C17" s="101" t="s">
        <v>36</v>
      </c>
      <c r="D17" s="16"/>
      <c r="E17" s="102">
        <v>0.26278935185185187</v>
      </c>
      <c r="F17" s="102">
        <v>0.32241898148148146</v>
      </c>
      <c r="G17" s="16" t="s">
        <v>2588</v>
      </c>
      <c r="H17" s="16"/>
      <c r="I17" s="105">
        <v>18946</v>
      </c>
      <c r="J17" s="105"/>
      <c r="K17" s="105"/>
      <c r="L17" s="105"/>
      <c r="M17" s="105"/>
    </row>
    <row r="18" spans="1:13" x14ac:dyDescent="0.35">
      <c r="A18" s="97">
        <v>45948</v>
      </c>
      <c r="B18" s="16">
        <v>209914</v>
      </c>
      <c r="C18" s="101" t="s">
        <v>36</v>
      </c>
      <c r="D18" s="16"/>
      <c r="E18" s="102">
        <v>0.37026620370370367</v>
      </c>
      <c r="F18" s="102">
        <v>0.47304398148148147</v>
      </c>
      <c r="G18" s="16" t="s">
        <v>2588</v>
      </c>
      <c r="H18" s="16"/>
      <c r="I18" s="105">
        <v>22024</v>
      </c>
      <c r="J18" s="105"/>
      <c r="K18" s="105"/>
      <c r="L18" s="105"/>
      <c r="M18" s="105"/>
    </row>
    <row r="19" spans="1:13" x14ac:dyDescent="0.35">
      <c r="A19" s="97">
        <v>45948</v>
      </c>
      <c r="B19" s="16">
        <v>209965</v>
      </c>
      <c r="C19" s="101" t="s">
        <v>36</v>
      </c>
      <c r="D19" s="16"/>
      <c r="E19" s="102">
        <v>0.52701388888888889</v>
      </c>
      <c r="F19" s="102">
        <v>0.59291666666666665</v>
      </c>
      <c r="G19" s="16" t="s">
        <v>2588</v>
      </c>
      <c r="H19" s="16"/>
      <c r="I19" s="105">
        <v>18696</v>
      </c>
      <c r="J19" s="105"/>
      <c r="K19" s="105"/>
      <c r="L19" s="105"/>
      <c r="M19" s="105"/>
    </row>
    <row r="20" spans="1:13" x14ac:dyDescent="0.35">
      <c r="A20" s="97">
        <v>45949</v>
      </c>
      <c r="B20" s="16">
        <v>210092</v>
      </c>
      <c r="C20" s="101" t="s">
        <v>36</v>
      </c>
      <c r="D20" s="16"/>
      <c r="E20" s="102">
        <v>0.81736111111111109</v>
      </c>
      <c r="F20" s="102">
        <v>0.13412037037037036</v>
      </c>
      <c r="G20" s="16" t="s">
        <v>2588</v>
      </c>
      <c r="H20" s="16"/>
      <c r="I20" s="105">
        <v>18186</v>
      </c>
      <c r="J20" s="105"/>
      <c r="K20" s="105"/>
      <c r="L20" s="105"/>
      <c r="M20" s="105"/>
    </row>
    <row r="21" spans="1:13" x14ac:dyDescent="0.35">
      <c r="A21" s="97">
        <v>45949</v>
      </c>
      <c r="B21" s="16">
        <v>210093</v>
      </c>
      <c r="C21" s="101" t="s">
        <v>36</v>
      </c>
      <c r="D21" s="16"/>
      <c r="E21" s="102">
        <v>0.12508101851851852</v>
      </c>
      <c r="F21" s="102">
        <v>0.17585648148148147</v>
      </c>
      <c r="G21" s="16" t="s">
        <v>2588</v>
      </c>
      <c r="H21" s="16"/>
      <c r="I21" s="105">
        <v>18180</v>
      </c>
      <c r="J21" s="105"/>
      <c r="K21" s="105"/>
      <c r="L21" s="105"/>
      <c r="M21" s="105"/>
    </row>
    <row r="22" spans="1:13" x14ac:dyDescent="0.35">
      <c r="A22" s="97">
        <v>45949</v>
      </c>
      <c r="B22" s="16">
        <v>210089</v>
      </c>
      <c r="C22" s="101" t="s">
        <v>36</v>
      </c>
      <c r="D22" s="16"/>
      <c r="E22" s="102">
        <v>0.97456018518518517</v>
      </c>
      <c r="F22" s="102">
        <v>6.789351851851852E-2</v>
      </c>
      <c r="G22" s="16" t="s">
        <v>2588</v>
      </c>
      <c r="H22" s="16"/>
      <c r="I22" s="105">
        <v>19340</v>
      </c>
      <c r="J22" s="105"/>
      <c r="K22" s="105"/>
      <c r="L22" s="105"/>
      <c r="M22" s="105"/>
    </row>
    <row r="23" spans="1:13" x14ac:dyDescent="0.35">
      <c r="A23" s="97">
        <v>45949</v>
      </c>
      <c r="B23" s="16">
        <v>210074</v>
      </c>
      <c r="C23" s="101" t="s">
        <v>36</v>
      </c>
      <c r="D23" s="16"/>
      <c r="E23" s="102">
        <v>0.86112268518518509</v>
      </c>
      <c r="F23" s="102">
        <v>0.93913194444444448</v>
      </c>
      <c r="G23" s="16" t="s">
        <v>2588</v>
      </c>
      <c r="H23" s="16"/>
      <c r="I23" s="105">
        <v>19030</v>
      </c>
      <c r="J23" s="105"/>
      <c r="K23" s="105"/>
      <c r="L23" s="105"/>
      <c r="M23" s="105"/>
    </row>
    <row r="24" spans="1:13" x14ac:dyDescent="0.35">
      <c r="A24" s="97">
        <v>45949</v>
      </c>
      <c r="B24" s="16">
        <v>210044</v>
      </c>
      <c r="C24" s="101" t="s">
        <v>36</v>
      </c>
      <c r="D24" s="16"/>
      <c r="E24" s="102">
        <v>0.75638888888888889</v>
      </c>
      <c r="F24" s="102">
        <v>0.81716435185185177</v>
      </c>
      <c r="G24" s="16" t="s">
        <v>2588</v>
      </c>
      <c r="H24" s="16"/>
      <c r="I24" s="105">
        <v>22152</v>
      </c>
      <c r="J24" s="105"/>
      <c r="K24" s="105"/>
      <c r="L24" s="105"/>
      <c r="M24" s="105"/>
    </row>
    <row r="25" spans="1:13" x14ac:dyDescent="0.35">
      <c r="A25" s="97">
        <v>45949</v>
      </c>
      <c r="B25" s="16">
        <v>210023</v>
      </c>
      <c r="C25" s="101" t="s">
        <v>36</v>
      </c>
      <c r="D25" s="16"/>
      <c r="E25" s="102">
        <v>0.68851851851851853</v>
      </c>
      <c r="F25" s="102">
        <v>0.76325231481481481</v>
      </c>
      <c r="G25" s="16" t="s">
        <v>2588</v>
      </c>
      <c r="H25" s="16"/>
      <c r="I25" s="105">
        <v>19796</v>
      </c>
      <c r="J25" s="105"/>
      <c r="K25" s="105"/>
      <c r="L25" s="105"/>
      <c r="M25" s="105"/>
    </row>
    <row r="26" spans="1:13" x14ac:dyDescent="0.35">
      <c r="A26" s="97">
        <v>45949</v>
      </c>
      <c r="B26" s="16">
        <v>210082</v>
      </c>
      <c r="C26" s="101" t="s">
        <v>36</v>
      </c>
      <c r="D26" s="16"/>
      <c r="E26" s="102">
        <v>0.81703703703703701</v>
      </c>
      <c r="F26" s="102">
        <v>2.165509259259259E-2</v>
      </c>
      <c r="G26" s="16" t="s">
        <v>2588</v>
      </c>
      <c r="H26" s="16"/>
      <c r="I26" s="105">
        <v>19116</v>
      </c>
      <c r="J26" s="105"/>
      <c r="K26" s="105"/>
      <c r="L26" s="105"/>
      <c r="M26" s="105"/>
    </row>
    <row r="27" spans="1:13" x14ac:dyDescent="0.35">
      <c r="A27" s="97">
        <v>45949</v>
      </c>
      <c r="B27" s="16">
        <v>210111</v>
      </c>
      <c r="C27" s="101" t="s">
        <v>36</v>
      </c>
      <c r="D27" s="16"/>
      <c r="E27" s="102">
        <v>0.22273148148148147</v>
      </c>
      <c r="F27" s="102">
        <v>0.3977430555555555</v>
      </c>
      <c r="G27" s="16" t="s">
        <v>2588</v>
      </c>
      <c r="H27" s="16"/>
      <c r="I27" s="105">
        <v>13862</v>
      </c>
      <c r="J27" s="105"/>
      <c r="K27" s="105"/>
      <c r="L27" s="105"/>
      <c r="M27" s="105"/>
    </row>
    <row r="28" spans="1:13" x14ac:dyDescent="0.35">
      <c r="A28" s="97">
        <v>45949</v>
      </c>
      <c r="B28" s="16">
        <v>210095</v>
      </c>
      <c r="C28" s="101" t="s">
        <v>36</v>
      </c>
      <c r="D28" s="16"/>
      <c r="E28" s="102">
        <v>0.17195601851851852</v>
      </c>
      <c r="F28" s="102">
        <v>0.24006944444444445</v>
      </c>
      <c r="G28" s="16" t="s">
        <v>2588</v>
      </c>
      <c r="H28" s="16"/>
      <c r="I28" s="105">
        <v>16806</v>
      </c>
      <c r="J28" s="105"/>
      <c r="K28" s="105"/>
      <c r="L28" s="105"/>
      <c r="M28" s="105"/>
    </row>
    <row r="29" spans="1:13" x14ac:dyDescent="0.35">
      <c r="A29" s="97"/>
      <c r="B29" s="16"/>
      <c r="C29" s="16"/>
      <c r="D29" s="16"/>
      <c r="E29" s="102"/>
      <c r="F29" s="102"/>
      <c r="G29" s="16"/>
      <c r="H29" s="16"/>
      <c r="I29" s="105"/>
      <c r="J29" s="105"/>
      <c r="K29" s="105"/>
      <c r="L29" s="105"/>
      <c r="M29" s="105"/>
    </row>
    <row r="30" spans="1:13" x14ac:dyDescent="0.35">
      <c r="A30" s="97"/>
      <c r="B30" s="16"/>
      <c r="C30" s="16"/>
      <c r="D30" s="16"/>
      <c r="E30" s="102"/>
      <c r="F30" s="102"/>
      <c r="G30" s="16"/>
      <c r="H30" s="16"/>
      <c r="I30" s="105"/>
      <c r="J30" s="105"/>
      <c r="K30" s="105"/>
      <c r="L30" s="105"/>
      <c r="M30" s="105"/>
    </row>
    <row r="31" spans="1:13" x14ac:dyDescent="0.35">
      <c r="A31" s="97"/>
      <c r="B31" s="16"/>
      <c r="C31" s="16"/>
      <c r="D31" s="16"/>
      <c r="E31" s="102"/>
      <c r="F31" s="102"/>
      <c r="G31" s="16"/>
      <c r="H31" s="16"/>
      <c r="I31" s="105"/>
      <c r="J31" s="105"/>
      <c r="K31" s="105"/>
      <c r="L31" s="105"/>
      <c r="M31" s="105"/>
    </row>
    <row r="32" spans="1:13" x14ac:dyDescent="0.3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1:13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x14ac:dyDescent="0.3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spans="1:13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</sheetData>
  <conditionalFormatting sqref="B1:B4">
    <cfRule type="duplicateValues" dxfId="206" priority="4"/>
  </conditionalFormatting>
  <conditionalFormatting sqref="B5">
    <cfRule type="duplicateValues" dxfId="205" priority="3"/>
  </conditionalFormatting>
  <conditionalFormatting sqref="B6">
    <cfRule type="duplicateValues" dxfId="204" priority="2"/>
  </conditionalFormatting>
  <conditionalFormatting sqref="B7">
    <cfRule type="duplicateValues" dxfId="203" priority="1"/>
  </conditionalFormatting>
  <dataValidations count="1">
    <dataValidation type="list" allowBlank="1" showInputMessage="1" showErrorMessage="1" sqref="H7" xr:uid="{E68FC1C5-1CF5-4F31-98CB-3A36CE9183BE}">
      <formula1>"N/A,CLEAN UP"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228E-6443-4F20-A661-0C643888124A}">
  <sheetPr>
    <pageSetUpPr fitToPage="1"/>
  </sheetPr>
  <dimension ref="B1:BE774"/>
  <sheetViews>
    <sheetView showGridLines="0" zoomScale="42" zoomScaleNormal="55" workbookViewId="0">
      <selection activeCell="O50" sqref="O50"/>
    </sheetView>
  </sheetViews>
  <sheetFormatPr defaultRowHeight="14.5" x14ac:dyDescent="0.35"/>
  <cols>
    <col min="2" max="2" width="15.7265625" customWidth="1"/>
    <col min="3" max="3" width="10.26953125" bestFit="1" customWidth="1"/>
    <col min="4" max="4" width="8.6328125" bestFit="1" customWidth="1"/>
    <col min="5" max="5" width="9.7265625" bestFit="1" customWidth="1"/>
    <col min="6" max="6" width="8.1796875" bestFit="1" customWidth="1"/>
    <col min="7" max="7" width="11.26953125" bestFit="1" customWidth="1"/>
    <col min="8" max="9" width="11" customWidth="1"/>
    <col min="10" max="10" width="17.453125" customWidth="1"/>
    <col min="11" max="11" width="11.7265625" hidden="1" customWidth="1"/>
    <col min="12" max="12" width="12" customWidth="1"/>
    <col min="14" max="14" width="12.81640625" bestFit="1" customWidth="1"/>
    <col min="15" max="16" width="10.36328125" customWidth="1"/>
    <col min="18" max="18" width="10.1796875" bestFit="1" customWidth="1"/>
    <col min="21" max="21" width="2.453125" style="24" customWidth="1"/>
    <col min="22" max="22" width="13.36328125" customWidth="1"/>
    <col min="24" max="24" width="13.453125" customWidth="1"/>
    <col min="25" max="25" width="13.453125" style="37" customWidth="1"/>
    <col min="26" max="27" width="19.7265625" bestFit="1" customWidth="1"/>
    <col min="28" max="29" width="19.7265625" customWidth="1"/>
    <col min="30" max="30" width="11.1796875" bestFit="1" customWidth="1"/>
    <col min="31" max="31" width="10.81640625" customWidth="1"/>
    <col min="32" max="32" width="19.453125" bestFit="1" customWidth="1"/>
    <col min="33" max="33" width="19.453125" customWidth="1"/>
    <col min="34" max="34" width="24.08984375" bestFit="1" customWidth="1"/>
    <col min="35" max="35" width="2.453125" style="24" customWidth="1"/>
    <col min="36" max="36" width="13.6328125" customWidth="1"/>
    <col min="37" max="37" width="20.90625" bestFit="1" customWidth="1"/>
    <col min="38" max="38" width="11.6328125" customWidth="1"/>
    <col min="39" max="39" width="12.81640625" bestFit="1" customWidth="1"/>
    <col min="40" max="40" width="19.7265625" bestFit="1" customWidth="1"/>
    <col min="41" max="41" width="23.08984375" bestFit="1" customWidth="1"/>
    <col min="42" max="42" width="12.453125" bestFit="1" customWidth="1"/>
    <col min="43" max="45" width="13.26953125" customWidth="1"/>
    <col min="46" max="46" width="2.453125" style="24" customWidth="1"/>
    <col min="47" max="47" width="14.1796875" customWidth="1"/>
    <col min="48" max="48" width="11.453125" customWidth="1"/>
    <col min="49" max="49" width="11.6328125" customWidth="1"/>
    <col min="50" max="50" width="12.81640625" bestFit="1" customWidth="1"/>
    <col min="51" max="51" width="19.7265625" bestFit="1" customWidth="1"/>
    <col min="52" max="52" width="23.08984375" bestFit="1" customWidth="1"/>
    <col min="53" max="53" width="12.453125" bestFit="1" customWidth="1"/>
    <col min="54" max="54" width="13.26953125" customWidth="1"/>
    <col min="55" max="55" width="15.7265625" customWidth="1"/>
    <col min="56" max="56" width="13.26953125" customWidth="1"/>
    <col min="57" max="57" width="2.453125" style="24" customWidth="1"/>
  </cols>
  <sheetData>
    <row r="1" spans="2:56" x14ac:dyDescent="0.35">
      <c r="AA1" s="15" t="s">
        <v>26</v>
      </c>
      <c r="AN1" s="15" t="s">
        <v>26</v>
      </c>
      <c r="AY1" s="15" t="s">
        <v>26</v>
      </c>
    </row>
    <row r="2" spans="2:56" x14ac:dyDescent="0.35">
      <c r="V2" s="15" t="s">
        <v>27</v>
      </c>
      <c r="AJ2" s="15" t="s">
        <v>28</v>
      </c>
      <c r="AK2" s="15"/>
      <c r="AU2" s="15" t="s">
        <v>28</v>
      </c>
      <c r="AV2" s="15"/>
    </row>
    <row r="3" spans="2:56" x14ac:dyDescent="0.35">
      <c r="B3" s="120" t="s">
        <v>25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V3" s="15" t="s">
        <v>33</v>
      </c>
      <c r="AJ3" s="15" t="s">
        <v>1545</v>
      </c>
      <c r="AK3" s="15"/>
      <c r="AU3" s="15" t="s">
        <v>33</v>
      </c>
      <c r="AV3" s="15"/>
    </row>
    <row r="4" spans="2:56" x14ac:dyDescent="0.35"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V4" s="29" t="s">
        <v>0</v>
      </c>
      <c r="W4" s="29" t="s">
        <v>15</v>
      </c>
      <c r="X4" s="29" t="s">
        <v>16</v>
      </c>
      <c r="Y4" s="53" t="s">
        <v>16</v>
      </c>
      <c r="Z4" s="29" t="s">
        <v>17</v>
      </c>
      <c r="AA4" s="29" t="s">
        <v>18</v>
      </c>
      <c r="AB4" s="29" t="s">
        <v>20</v>
      </c>
      <c r="AC4" s="29" t="s">
        <v>21</v>
      </c>
      <c r="AD4" s="29" t="s">
        <v>19</v>
      </c>
      <c r="AE4" s="29" t="s">
        <v>44</v>
      </c>
      <c r="AF4" s="53" t="s">
        <v>43</v>
      </c>
      <c r="AG4" s="53" t="s">
        <v>46</v>
      </c>
      <c r="AH4" s="53" t="s">
        <v>41</v>
      </c>
      <c r="AJ4" s="29" t="s">
        <v>0</v>
      </c>
      <c r="AK4" s="29" t="s">
        <v>37</v>
      </c>
      <c r="AL4" s="29" t="s">
        <v>16</v>
      </c>
      <c r="AM4" s="29" t="s">
        <v>16</v>
      </c>
      <c r="AN4" s="29" t="s">
        <v>17</v>
      </c>
      <c r="AO4" s="29" t="s">
        <v>18</v>
      </c>
      <c r="AP4" s="29" t="s">
        <v>19</v>
      </c>
      <c r="AQ4" s="29" t="s">
        <v>34</v>
      </c>
      <c r="AR4" s="29" t="s">
        <v>39</v>
      </c>
      <c r="AS4" s="29" t="s">
        <v>47</v>
      </c>
      <c r="AU4" s="29" t="s">
        <v>0</v>
      </c>
      <c r="AV4" s="29" t="s">
        <v>37</v>
      </c>
      <c r="AW4" s="29" t="s">
        <v>16</v>
      </c>
      <c r="AX4" s="29" t="s">
        <v>16</v>
      </c>
      <c r="AY4" s="29" t="s">
        <v>17</v>
      </c>
      <c r="AZ4" s="29" t="s">
        <v>18</v>
      </c>
      <c r="BA4" s="29" t="s">
        <v>19</v>
      </c>
      <c r="BB4" s="29" t="s">
        <v>34</v>
      </c>
      <c r="BC4" s="29" t="s">
        <v>39</v>
      </c>
      <c r="BD4" s="29" t="s">
        <v>47</v>
      </c>
    </row>
    <row r="5" spans="2:56" ht="24" thickBot="1" x14ac:dyDescent="0.6">
      <c r="B5" s="121" t="s">
        <v>1502</v>
      </c>
      <c r="C5" s="121"/>
      <c r="D5" s="121"/>
      <c r="E5" s="121"/>
      <c r="F5" s="121"/>
      <c r="G5" s="121"/>
      <c r="H5" s="122"/>
      <c r="I5" s="122"/>
      <c r="J5" s="122"/>
      <c r="K5" s="122"/>
      <c r="L5" s="122"/>
      <c r="V5" s="97">
        <v>45870</v>
      </c>
      <c r="W5" s="16">
        <v>178547</v>
      </c>
      <c r="X5" s="101" t="s">
        <v>36</v>
      </c>
      <c r="Y5" s="105"/>
      <c r="Z5" s="102">
        <v>0.94256944444444446</v>
      </c>
      <c r="AA5" s="102">
        <v>4.4467592592592593E-2</v>
      </c>
      <c r="AB5" s="16"/>
      <c r="AC5" s="16"/>
      <c r="AD5" s="93">
        <v>21258</v>
      </c>
      <c r="AE5" s="93">
        <f t="shared" ref="AE5:AE36" si="0">AD5/1000</f>
        <v>21.257999999999999</v>
      </c>
      <c r="AF5" s="16">
        <v>14.76</v>
      </c>
      <c r="AG5" s="103">
        <f t="shared" ref="AG5:AG68" si="1">IF($AF5&gt;14,14,$AF5)</f>
        <v>14</v>
      </c>
      <c r="AH5" s="37">
        <f t="shared" ref="AH5:AH68" si="2">AE5*AG5/14</f>
        <v>21.257999999999999</v>
      </c>
      <c r="AJ5" s="97">
        <v>45870</v>
      </c>
      <c r="AK5" t="s">
        <v>1546</v>
      </c>
      <c r="AL5" t="s">
        <v>5</v>
      </c>
      <c r="AN5" s="81" t="s">
        <v>1669</v>
      </c>
      <c r="AO5" s="81" t="s">
        <v>1669</v>
      </c>
      <c r="AP5" s="37">
        <v>2890</v>
      </c>
      <c r="AR5" s="97"/>
      <c r="AU5" s="97">
        <v>45870</v>
      </c>
      <c r="AW5" t="s">
        <v>5</v>
      </c>
      <c r="AY5" s="81">
        <v>0.56347222222222226</v>
      </c>
      <c r="AZ5" s="81">
        <v>0.38496527777777773</v>
      </c>
      <c r="BA5" s="37">
        <v>2878</v>
      </c>
      <c r="BB5" t="s">
        <v>1503</v>
      </c>
      <c r="BC5" s="97">
        <v>45869</v>
      </c>
    </row>
    <row r="6" spans="2:56" ht="28.5" customHeight="1" x14ac:dyDescent="0.4">
      <c r="B6" s="123" t="s">
        <v>0</v>
      </c>
      <c r="C6" s="126" t="s">
        <v>1</v>
      </c>
      <c r="D6" s="127"/>
      <c r="E6" s="127"/>
      <c r="F6" s="128"/>
      <c r="G6" s="129" t="s">
        <v>2</v>
      </c>
      <c r="H6" s="132" t="s">
        <v>40</v>
      </c>
      <c r="I6" s="133"/>
      <c r="J6" s="134" t="s">
        <v>35</v>
      </c>
      <c r="K6" s="135"/>
      <c r="L6" s="138" t="s">
        <v>2</v>
      </c>
      <c r="V6" s="97">
        <v>45870</v>
      </c>
      <c r="W6" s="16">
        <v>178550</v>
      </c>
      <c r="X6" s="101" t="s">
        <v>36</v>
      </c>
      <c r="Y6" s="105"/>
      <c r="Z6" s="102">
        <v>0.72329861111111116</v>
      </c>
      <c r="AA6" s="102">
        <v>0.11320601851851853</v>
      </c>
      <c r="AB6" s="16"/>
      <c r="AC6" s="16"/>
      <c r="AD6" s="93">
        <v>21010</v>
      </c>
      <c r="AE6" s="93">
        <f t="shared" si="0"/>
        <v>21.01</v>
      </c>
      <c r="AF6" s="16">
        <v>14.49</v>
      </c>
      <c r="AG6" s="103">
        <f t="shared" si="1"/>
        <v>14</v>
      </c>
      <c r="AH6" s="37">
        <f t="shared" si="2"/>
        <v>21.01</v>
      </c>
      <c r="AJ6" s="97">
        <v>45870</v>
      </c>
      <c r="AK6" t="s">
        <v>1547</v>
      </c>
      <c r="AL6" t="s">
        <v>5</v>
      </c>
      <c r="AN6" s="81" t="s">
        <v>1670</v>
      </c>
      <c r="AO6" t="s">
        <v>1671</v>
      </c>
      <c r="AP6" s="37">
        <v>4290</v>
      </c>
      <c r="AR6" s="97"/>
      <c r="AU6" s="97">
        <v>45870</v>
      </c>
      <c r="AW6" t="s">
        <v>5</v>
      </c>
      <c r="AY6" s="81">
        <v>0.49510416666666668</v>
      </c>
      <c r="AZ6">
        <v>0.57140046296296299</v>
      </c>
      <c r="BA6" s="37">
        <v>2494</v>
      </c>
      <c r="BB6" t="s">
        <v>1504</v>
      </c>
      <c r="BC6" s="97">
        <v>45869</v>
      </c>
    </row>
    <row r="7" spans="2:56" ht="15.5" customHeight="1" x14ac:dyDescent="0.4">
      <c r="B7" s="124"/>
      <c r="C7" s="141" t="s">
        <v>36</v>
      </c>
      <c r="D7" s="143" t="s">
        <v>5</v>
      </c>
      <c r="E7" s="146" t="s">
        <v>4</v>
      </c>
      <c r="F7" s="141">
        <v>104</v>
      </c>
      <c r="G7" s="130"/>
      <c r="H7" s="149" t="s">
        <v>41</v>
      </c>
      <c r="I7" s="152" t="s">
        <v>42</v>
      </c>
      <c r="J7" s="136"/>
      <c r="K7" s="137"/>
      <c r="L7" s="139"/>
      <c r="N7" s="15" t="s">
        <v>32</v>
      </c>
      <c r="V7" s="97">
        <v>45870</v>
      </c>
      <c r="W7" s="16">
        <v>178566</v>
      </c>
      <c r="X7" s="101" t="s">
        <v>36</v>
      </c>
      <c r="Y7" s="105"/>
      <c r="Z7" s="102">
        <v>0.94244212962962959</v>
      </c>
      <c r="AA7" s="102">
        <v>0.17278935185185185</v>
      </c>
      <c r="AB7" s="16"/>
      <c r="AC7" s="16"/>
      <c r="AD7" s="93">
        <v>20662</v>
      </c>
      <c r="AE7" s="93">
        <f t="shared" si="0"/>
        <v>20.661999999999999</v>
      </c>
      <c r="AF7" s="16">
        <v>15.66</v>
      </c>
      <c r="AG7" s="103">
        <f t="shared" si="1"/>
        <v>14</v>
      </c>
      <c r="AH7" s="37">
        <f t="shared" si="2"/>
        <v>20.661999999999999</v>
      </c>
      <c r="AJ7" s="97">
        <v>45870</v>
      </c>
      <c r="AK7" t="s">
        <v>1548</v>
      </c>
      <c r="AL7" t="s">
        <v>5</v>
      </c>
      <c r="AN7" s="81" t="s">
        <v>1672</v>
      </c>
      <c r="AO7" s="81" t="s">
        <v>1672</v>
      </c>
      <c r="AP7" s="37">
        <v>3760</v>
      </c>
      <c r="AR7" s="97"/>
      <c r="AU7" s="97">
        <v>45870</v>
      </c>
      <c r="AV7">
        <v>178658</v>
      </c>
      <c r="AW7" t="s">
        <v>5</v>
      </c>
      <c r="AY7" s="81">
        <v>0.23826388888888891</v>
      </c>
      <c r="AZ7" s="81">
        <v>0.25108796296296293</v>
      </c>
      <c r="BA7" s="37">
        <v>4130</v>
      </c>
      <c r="BB7" t="s">
        <v>1442</v>
      </c>
      <c r="BC7" s="97">
        <v>45870</v>
      </c>
    </row>
    <row r="8" spans="2:56" ht="15" customHeight="1" thickBot="1" x14ac:dyDescent="0.45">
      <c r="B8" s="124"/>
      <c r="C8" s="141"/>
      <c r="D8" s="144"/>
      <c r="E8" s="147"/>
      <c r="F8" s="141"/>
      <c r="G8" s="130"/>
      <c r="H8" s="150"/>
      <c r="I8" s="153"/>
      <c r="J8" s="155" t="s">
        <v>22</v>
      </c>
      <c r="K8" s="118" t="s">
        <v>5</v>
      </c>
      <c r="L8" s="139"/>
      <c r="N8" s="15" t="s">
        <v>38</v>
      </c>
      <c r="V8" s="97">
        <v>45870</v>
      </c>
      <c r="W8" s="16">
        <v>178632</v>
      </c>
      <c r="X8" s="101" t="s">
        <v>36</v>
      </c>
      <c r="Y8" s="105"/>
      <c r="Z8" s="102">
        <v>0.15938657407407408</v>
      </c>
      <c r="AA8" s="102">
        <v>0.32027777777777777</v>
      </c>
      <c r="AB8" s="16"/>
      <c r="AC8" s="16"/>
      <c r="AD8" s="93">
        <v>20392</v>
      </c>
      <c r="AE8" s="93">
        <f t="shared" si="0"/>
        <v>20.391999999999999</v>
      </c>
      <c r="AF8" s="16">
        <v>14.49</v>
      </c>
      <c r="AG8" s="103">
        <f t="shared" si="1"/>
        <v>14</v>
      </c>
      <c r="AH8" s="37">
        <f t="shared" si="2"/>
        <v>20.391999999999999</v>
      </c>
      <c r="AJ8" s="97">
        <v>45870</v>
      </c>
      <c r="AK8" t="s">
        <v>1549</v>
      </c>
      <c r="AL8" t="s">
        <v>5</v>
      </c>
      <c r="AM8" s="16"/>
      <c r="AN8" s="81" t="s">
        <v>1673</v>
      </c>
      <c r="AO8" s="81" t="s">
        <v>1674</v>
      </c>
      <c r="AP8" s="37">
        <v>5510</v>
      </c>
      <c r="AR8" s="97"/>
      <c r="AU8" s="97">
        <v>45870</v>
      </c>
      <c r="AV8">
        <v>178660</v>
      </c>
      <c r="AW8" t="s">
        <v>5</v>
      </c>
      <c r="AX8" s="16"/>
      <c r="AY8" s="81">
        <v>0.24145833333333333</v>
      </c>
      <c r="AZ8" s="81">
        <v>0.25126157407407407</v>
      </c>
      <c r="BA8" s="37">
        <v>5410</v>
      </c>
      <c r="BB8" t="s">
        <v>1442</v>
      </c>
      <c r="BC8" s="97">
        <v>45870</v>
      </c>
    </row>
    <row r="9" spans="2:56" ht="16.5" thickBot="1" x14ac:dyDescent="0.45">
      <c r="B9" s="125"/>
      <c r="C9" s="142"/>
      <c r="D9" s="145"/>
      <c r="E9" s="148"/>
      <c r="F9" s="142"/>
      <c r="G9" s="131"/>
      <c r="H9" s="151"/>
      <c r="I9" s="154"/>
      <c r="J9" s="156"/>
      <c r="K9" s="119"/>
      <c r="L9" s="140"/>
      <c r="N9" s="25" t="s">
        <v>36</v>
      </c>
      <c r="O9" s="26" t="s">
        <v>5</v>
      </c>
      <c r="P9" s="35" t="s">
        <v>4</v>
      </c>
      <c r="Q9" s="27" t="s">
        <v>23</v>
      </c>
      <c r="V9" s="97">
        <v>45870</v>
      </c>
      <c r="W9" s="16">
        <v>178687</v>
      </c>
      <c r="X9" s="101" t="s">
        <v>36</v>
      </c>
      <c r="Y9" s="105"/>
      <c r="Z9" s="102">
        <v>0.21800925925925926</v>
      </c>
      <c r="AA9" s="102">
        <v>0.37960648148148146</v>
      </c>
      <c r="AB9" s="16"/>
      <c r="AC9" s="16"/>
      <c r="AD9" s="93">
        <v>20244</v>
      </c>
      <c r="AE9" s="93">
        <f t="shared" si="0"/>
        <v>20.244</v>
      </c>
      <c r="AF9" s="16">
        <v>14.63</v>
      </c>
      <c r="AG9" s="103">
        <f t="shared" si="1"/>
        <v>14</v>
      </c>
      <c r="AH9" s="37">
        <f t="shared" si="2"/>
        <v>20.244</v>
      </c>
      <c r="AJ9" s="97">
        <v>45870</v>
      </c>
      <c r="AK9" t="s">
        <v>1550</v>
      </c>
      <c r="AL9" t="s">
        <v>5</v>
      </c>
      <c r="AM9" s="16"/>
      <c r="AN9" s="39" t="s">
        <v>1675</v>
      </c>
      <c r="AO9" s="39" t="s">
        <v>1675</v>
      </c>
      <c r="AP9" s="37">
        <v>2710</v>
      </c>
      <c r="AR9" s="97"/>
      <c r="AU9" s="97">
        <v>45870</v>
      </c>
      <c r="AV9">
        <v>178657</v>
      </c>
      <c r="AW9" t="s">
        <v>5</v>
      </c>
      <c r="AX9" s="16"/>
      <c r="AY9" s="39">
        <v>0.24537037037037038</v>
      </c>
      <c r="AZ9" s="39">
        <v>0.25090277777777775</v>
      </c>
      <c r="BA9" s="37">
        <v>4066</v>
      </c>
      <c r="BB9" t="s">
        <v>1442</v>
      </c>
      <c r="BC9" s="97">
        <v>45870</v>
      </c>
    </row>
    <row r="10" spans="2:56" ht="16" x14ac:dyDescent="0.4">
      <c r="B10" s="60">
        <v>45870</v>
      </c>
      <c r="C10" s="61">
        <f t="shared" ref="C10:C40" si="3">SUMIFS($AE:$AE,$V:$V,$B10,$X:$X,C$7)-$J10</f>
        <v>244.99</v>
      </c>
      <c r="D10" s="61">
        <f t="shared" ref="D10:E40" si="4">SUMIFS($AP:$AP,$AJ:$AJ,$B10,$AL:$AL,D$7)/1000</f>
        <v>30.61</v>
      </c>
      <c r="E10" s="62">
        <f t="shared" si="4"/>
        <v>0</v>
      </c>
      <c r="F10" s="63">
        <f t="shared" ref="F10:F40" si="5">SUMIFS($AD:$AD,$V:$V,$B10,$AB:$AB,$F$7)/1000</f>
        <v>0</v>
      </c>
      <c r="G10" s="64">
        <f>SUM(C10:E10)</f>
        <v>275.60000000000002</v>
      </c>
      <c r="H10" s="65">
        <f t="shared" ref="H10:H40" si="6">SUMIF($V:$V,$B10,$AH:$AH)</f>
        <v>244.99</v>
      </c>
      <c r="I10" s="66">
        <f>H10+D10+E10</f>
        <v>275.60000000000002</v>
      </c>
      <c r="J10" s="70">
        <f t="shared" ref="J10:J40" si="7">SUMIFS($AE:$AE,$V:$V,$B10,$AC:$AC,$J$8)</f>
        <v>0</v>
      </c>
      <c r="K10" s="67"/>
      <c r="L10" s="68">
        <f t="shared" ref="L10:L40" si="8">SUM(J10:K10)</f>
        <v>0</v>
      </c>
      <c r="N10" s="40">
        <f t="shared" ref="N10:N40" si="9">COUNTIFS($V:$V,$B10,$X:$X,N$9)</f>
        <v>12</v>
      </c>
      <c r="O10" s="41">
        <f t="shared" ref="O10:O40" si="10">COUNTIFS($AJ:$AJ,$B10,$AL:$AL,$O$9)</f>
        <v>8</v>
      </c>
      <c r="P10" s="41">
        <f t="shared" ref="P10:P40" si="11">COUNTIFS($AJ:$AJ,$B10,$AL:$AL,P$9)</f>
        <v>0</v>
      </c>
      <c r="Q10" s="42">
        <f>SUM(N10:P10)</f>
        <v>20</v>
      </c>
      <c r="V10" s="97">
        <v>45870</v>
      </c>
      <c r="W10" s="16">
        <v>178768</v>
      </c>
      <c r="X10" s="101" t="s">
        <v>36</v>
      </c>
      <c r="Y10" s="105"/>
      <c r="Z10" s="102">
        <v>0.15929398148148147</v>
      </c>
      <c r="AA10" s="102">
        <v>0.45956018518518515</v>
      </c>
      <c r="AB10" s="16"/>
      <c r="AC10" s="16"/>
      <c r="AD10" s="93">
        <v>20058</v>
      </c>
      <c r="AE10" s="93">
        <f t="shared" si="0"/>
        <v>20.058</v>
      </c>
      <c r="AF10" s="16">
        <v>16.809999999999999</v>
      </c>
      <c r="AG10" s="103">
        <f t="shared" si="1"/>
        <v>14</v>
      </c>
      <c r="AH10" s="37">
        <f t="shared" si="2"/>
        <v>20.058</v>
      </c>
      <c r="AJ10" s="97">
        <v>45870</v>
      </c>
      <c r="AK10" t="s">
        <v>1551</v>
      </c>
      <c r="AL10" t="s">
        <v>5</v>
      </c>
      <c r="AM10" s="16"/>
      <c r="AN10" s="39" t="s">
        <v>1676</v>
      </c>
      <c r="AO10" s="39" t="s">
        <v>1677</v>
      </c>
      <c r="AP10" s="37">
        <v>4370</v>
      </c>
      <c r="AR10" s="97"/>
      <c r="AU10" s="97">
        <v>45870</v>
      </c>
      <c r="AW10" t="s">
        <v>5</v>
      </c>
      <c r="AX10" s="16"/>
      <c r="AY10" s="39">
        <v>0.42805555555555558</v>
      </c>
      <c r="AZ10" s="39">
        <v>0.44163194444444448</v>
      </c>
      <c r="BA10" s="37">
        <v>3794</v>
      </c>
      <c r="BB10" t="s">
        <v>1505</v>
      </c>
      <c r="BC10" s="97">
        <v>45870</v>
      </c>
    </row>
    <row r="11" spans="2:56" ht="16" x14ac:dyDescent="0.4">
      <c r="B11" s="1">
        <v>45871</v>
      </c>
      <c r="C11" s="2">
        <f t="shared" si="3"/>
        <v>305.02199999999999</v>
      </c>
      <c r="D11" s="2">
        <f t="shared" si="4"/>
        <v>7.39</v>
      </c>
      <c r="E11" s="2">
        <f t="shared" si="4"/>
        <v>0</v>
      </c>
      <c r="F11" s="32">
        <f t="shared" si="5"/>
        <v>0</v>
      </c>
      <c r="G11" s="3">
        <f>SUM(C11:E11)</f>
        <v>312.41199999999998</v>
      </c>
      <c r="H11" s="51">
        <f t="shared" si="6"/>
        <v>305.02199999999999</v>
      </c>
      <c r="I11" s="52">
        <f>H11+D11+E11</f>
        <v>312.41199999999998</v>
      </c>
      <c r="J11" s="59">
        <f t="shared" si="7"/>
        <v>0</v>
      </c>
      <c r="K11" s="4"/>
      <c r="L11" s="20">
        <f t="shared" si="8"/>
        <v>0</v>
      </c>
      <c r="N11" s="43">
        <f t="shared" si="9"/>
        <v>15</v>
      </c>
      <c r="O11" s="44">
        <f t="shared" si="10"/>
        <v>3</v>
      </c>
      <c r="P11" s="41">
        <f t="shared" si="11"/>
        <v>0</v>
      </c>
      <c r="Q11" s="45">
        <f>SUM(N11:P11)</f>
        <v>18</v>
      </c>
      <c r="V11" s="97">
        <v>45870</v>
      </c>
      <c r="W11" s="16">
        <v>178801</v>
      </c>
      <c r="X11" s="101" t="s">
        <v>36</v>
      </c>
      <c r="Y11" s="105"/>
      <c r="Z11" s="102">
        <v>0.21783564814814815</v>
      </c>
      <c r="AA11" s="102">
        <v>0.52385416666666662</v>
      </c>
      <c r="AB11" s="16"/>
      <c r="AC11" s="16"/>
      <c r="AD11" s="93">
        <v>19720</v>
      </c>
      <c r="AE11" s="93">
        <f t="shared" si="0"/>
        <v>19.72</v>
      </c>
      <c r="AF11" s="16">
        <v>16.2</v>
      </c>
      <c r="AG11" s="103">
        <f t="shared" si="1"/>
        <v>14</v>
      </c>
      <c r="AH11" s="37">
        <f t="shared" si="2"/>
        <v>19.72</v>
      </c>
      <c r="AJ11" s="97">
        <v>45870</v>
      </c>
      <c r="AK11" t="s">
        <v>1552</v>
      </c>
      <c r="AL11" t="s">
        <v>5</v>
      </c>
      <c r="AM11" s="16"/>
      <c r="AN11" s="39" t="s">
        <v>1678</v>
      </c>
      <c r="AO11" s="39" t="s">
        <v>1678</v>
      </c>
      <c r="AP11" s="37">
        <v>2630</v>
      </c>
      <c r="AR11" s="97"/>
      <c r="AU11" s="97">
        <v>45870</v>
      </c>
      <c r="AW11" t="s">
        <v>5</v>
      </c>
      <c r="AX11" s="16"/>
      <c r="AY11" s="39">
        <v>0.64431712962962961</v>
      </c>
      <c r="AZ11" s="39">
        <v>0.63226851851851851</v>
      </c>
      <c r="BA11" s="37">
        <v>4400</v>
      </c>
      <c r="BB11" t="s">
        <v>1506</v>
      </c>
      <c r="BC11" s="97">
        <v>45870</v>
      </c>
    </row>
    <row r="12" spans="2:56" ht="16" x14ac:dyDescent="0.4">
      <c r="B12" s="1">
        <v>45872</v>
      </c>
      <c r="C12" s="2">
        <f t="shared" si="3"/>
        <v>103.14</v>
      </c>
      <c r="D12" s="2">
        <f t="shared" si="4"/>
        <v>0</v>
      </c>
      <c r="E12" s="2">
        <f t="shared" si="4"/>
        <v>0</v>
      </c>
      <c r="F12" s="32">
        <f t="shared" si="5"/>
        <v>0</v>
      </c>
      <c r="G12" s="3">
        <f t="shared" ref="G12:G40" si="12">SUM(C12:E12)</f>
        <v>103.14</v>
      </c>
      <c r="H12" s="51">
        <f t="shared" si="6"/>
        <v>102.13137142857143</v>
      </c>
      <c r="I12" s="52">
        <f t="shared" ref="I12:I40" si="13">H12+D12+E12</f>
        <v>102.13137142857143</v>
      </c>
      <c r="J12" s="59">
        <f t="shared" si="7"/>
        <v>0</v>
      </c>
      <c r="K12" s="4"/>
      <c r="L12" s="20">
        <f t="shared" si="8"/>
        <v>0</v>
      </c>
      <c r="N12" s="43">
        <f t="shared" si="9"/>
        <v>5</v>
      </c>
      <c r="O12" s="44">
        <f t="shared" si="10"/>
        <v>0</v>
      </c>
      <c r="P12" s="41">
        <f t="shared" si="11"/>
        <v>0</v>
      </c>
      <c r="Q12" s="45">
        <f t="shared" ref="Q12:Q40" si="14">SUM(N12:P12)</f>
        <v>5</v>
      </c>
      <c r="V12" s="97">
        <v>45870</v>
      </c>
      <c r="W12" s="16">
        <v>178857</v>
      </c>
      <c r="X12" s="101" t="s">
        <v>36</v>
      </c>
      <c r="Y12" s="105"/>
      <c r="Z12" s="102">
        <v>0.72315972222222225</v>
      </c>
      <c r="AA12" s="102">
        <v>0.59390046296296295</v>
      </c>
      <c r="AB12" s="16"/>
      <c r="AC12" s="16"/>
      <c r="AD12" s="93">
        <v>20186</v>
      </c>
      <c r="AE12" s="93">
        <f t="shared" si="0"/>
        <v>20.186</v>
      </c>
      <c r="AF12" s="16">
        <v>15.99</v>
      </c>
      <c r="AG12" s="103">
        <f t="shared" si="1"/>
        <v>14</v>
      </c>
      <c r="AH12" s="37">
        <f t="shared" si="2"/>
        <v>20.186</v>
      </c>
      <c r="AJ12" s="97">
        <v>45870</v>
      </c>
      <c r="AK12" t="s">
        <v>1553</v>
      </c>
      <c r="AL12" t="s">
        <v>5</v>
      </c>
      <c r="AM12" s="16"/>
      <c r="AN12" s="39" t="s">
        <v>1679</v>
      </c>
      <c r="AO12" s="39" t="s">
        <v>1679</v>
      </c>
      <c r="AP12" s="37">
        <v>4450</v>
      </c>
      <c r="AR12" s="97"/>
      <c r="AU12" s="97">
        <v>45871</v>
      </c>
      <c r="AW12" t="s">
        <v>5</v>
      </c>
      <c r="AX12" s="16"/>
      <c r="AY12" s="39">
        <v>0.46773148148148147</v>
      </c>
      <c r="AZ12" s="39">
        <v>0.48103009259259261</v>
      </c>
      <c r="BA12" s="37">
        <v>1724</v>
      </c>
      <c r="BB12" t="s">
        <v>1507</v>
      </c>
      <c r="BC12" s="97">
        <v>45871</v>
      </c>
    </row>
    <row r="13" spans="2:56" ht="16" x14ac:dyDescent="0.4">
      <c r="B13" s="1">
        <v>45873</v>
      </c>
      <c r="C13" s="2">
        <f t="shared" si="3"/>
        <v>39.537999999999997</v>
      </c>
      <c r="D13" s="2">
        <f t="shared" si="4"/>
        <v>14.43</v>
      </c>
      <c r="E13" s="2">
        <f t="shared" si="4"/>
        <v>0</v>
      </c>
      <c r="F13" s="32">
        <f t="shared" si="5"/>
        <v>0</v>
      </c>
      <c r="G13" s="3">
        <f t="shared" si="12"/>
        <v>53.967999999999996</v>
      </c>
      <c r="H13" s="51">
        <f t="shared" si="6"/>
        <v>39.537999999999997</v>
      </c>
      <c r="I13" s="52">
        <f t="shared" si="13"/>
        <v>53.967999999999996</v>
      </c>
      <c r="J13" s="59">
        <f t="shared" si="7"/>
        <v>0</v>
      </c>
      <c r="K13" s="4"/>
      <c r="L13" s="20">
        <f t="shared" si="8"/>
        <v>0</v>
      </c>
      <c r="N13" s="43">
        <f t="shared" si="9"/>
        <v>2</v>
      </c>
      <c r="O13" s="44">
        <f t="shared" si="10"/>
        <v>5</v>
      </c>
      <c r="P13" s="41">
        <f t="shared" si="11"/>
        <v>0</v>
      </c>
      <c r="Q13" s="45">
        <f t="shared" si="14"/>
        <v>7</v>
      </c>
      <c r="V13" s="97">
        <v>45870</v>
      </c>
      <c r="W13" s="16">
        <v>178903</v>
      </c>
      <c r="X13" s="101" t="s">
        <v>36</v>
      </c>
      <c r="Y13" s="105"/>
      <c r="Z13" s="102">
        <v>0.65295138888888882</v>
      </c>
      <c r="AA13" s="102">
        <v>0.68208333333333337</v>
      </c>
      <c r="AB13" s="16"/>
      <c r="AC13" s="16"/>
      <c r="AD13" s="93">
        <v>21102</v>
      </c>
      <c r="AE13" s="93">
        <f t="shared" si="0"/>
        <v>21.102</v>
      </c>
      <c r="AF13" s="16">
        <v>14.38</v>
      </c>
      <c r="AG13" s="103">
        <f t="shared" si="1"/>
        <v>14</v>
      </c>
      <c r="AH13" s="37">
        <f t="shared" si="2"/>
        <v>21.102</v>
      </c>
      <c r="AJ13" s="97">
        <v>45871</v>
      </c>
      <c r="AK13" t="s">
        <v>1554</v>
      </c>
      <c r="AL13" t="s">
        <v>5</v>
      </c>
      <c r="AM13" s="16"/>
      <c r="AN13" s="39" t="s">
        <v>1680</v>
      </c>
      <c r="AO13" s="39" t="s">
        <v>1680</v>
      </c>
      <c r="AP13" s="37">
        <v>2600</v>
      </c>
      <c r="AR13" s="97"/>
      <c r="AU13" s="97">
        <v>45871</v>
      </c>
      <c r="AW13" t="s">
        <v>5</v>
      </c>
      <c r="AX13" s="16"/>
      <c r="AY13" s="39">
        <v>0.59083333333333332</v>
      </c>
      <c r="AZ13" s="39">
        <v>0.40026620370370369</v>
      </c>
      <c r="BA13" s="37">
        <v>2452</v>
      </c>
      <c r="BB13" t="s">
        <v>1503</v>
      </c>
      <c r="BC13" s="97">
        <v>45871</v>
      </c>
    </row>
    <row r="14" spans="2:56" ht="16" x14ac:dyDescent="0.4">
      <c r="B14" s="1">
        <v>45874</v>
      </c>
      <c r="C14" s="2">
        <f t="shared" si="3"/>
        <v>241.39600000000002</v>
      </c>
      <c r="D14" s="2">
        <f t="shared" si="4"/>
        <v>17.149999999999999</v>
      </c>
      <c r="E14" s="2">
        <f t="shared" si="4"/>
        <v>0</v>
      </c>
      <c r="F14" s="32">
        <f t="shared" si="5"/>
        <v>0</v>
      </c>
      <c r="G14" s="3">
        <f t="shared" si="12"/>
        <v>258.54599999999999</v>
      </c>
      <c r="H14" s="51">
        <f t="shared" si="6"/>
        <v>241.39600000000002</v>
      </c>
      <c r="I14" s="52">
        <f t="shared" si="13"/>
        <v>258.54599999999999</v>
      </c>
      <c r="J14" s="59">
        <f t="shared" si="7"/>
        <v>0</v>
      </c>
      <c r="K14" s="4"/>
      <c r="L14" s="20">
        <f t="shared" si="8"/>
        <v>0</v>
      </c>
      <c r="N14" s="43">
        <f t="shared" si="9"/>
        <v>13</v>
      </c>
      <c r="O14" s="44">
        <f t="shared" si="10"/>
        <v>5</v>
      </c>
      <c r="P14" s="41">
        <f t="shared" si="11"/>
        <v>0</v>
      </c>
      <c r="Q14" s="45">
        <f t="shared" si="14"/>
        <v>18</v>
      </c>
      <c r="V14" s="97">
        <v>45870</v>
      </c>
      <c r="W14" s="16">
        <v>178919</v>
      </c>
      <c r="X14" s="101" t="s">
        <v>36</v>
      </c>
      <c r="Y14" s="105"/>
      <c r="Z14" s="102">
        <v>0.64722222222222225</v>
      </c>
      <c r="AA14" s="102">
        <v>0.74375000000000002</v>
      </c>
      <c r="AB14" s="16"/>
      <c r="AC14" s="16"/>
      <c r="AD14" s="93">
        <v>18020</v>
      </c>
      <c r="AE14" s="93">
        <f t="shared" si="0"/>
        <v>18.02</v>
      </c>
      <c r="AF14" s="16">
        <v>15.23</v>
      </c>
      <c r="AG14" s="103">
        <f t="shared" si="1"/>
        <v>14</v>
      </c>
      <c r="AH14" s="37">
        <f t="shared" si="2"/>
        <v>18.02</v>
      </c>
      <c r="AJ14" s="97">
        <v>45871</v>
      </c>
      <c r="AK14" t="s">
        <v>1555</v>
      </c>
      <c r="AL14" t="s">
        <v>5</v>
      </c>
      <c r="AM14" s="16"/>
      <c r="AN14" s="39" t="s">
        <v>1681</v>
      </c>
      <c r="AO14" s="39" t="s">
        <v>1681</v>
      </c>
      <c r="AP14" s="37">
        <v>3080</v>
      </c>
      <c r="AR14" s="97"/>
      <c r="AU14" s="97">
        <v>45873</v>
      </c>
      <c r="AV14">
        <v>179515</v>
      </c>
      <c r="AW14" t="s">
        <v>5</v>
      </c>
      <c r="AX14" s="16"/>
      <c r="AY14" s="39">
        <v>0.49832175925925926</v>
      </c>
      <c r="AZ14" s="39">
        <v>9.6388888888888899E-2</v>
      </c>
      <c r="BA14" s="37">
        <v>3052</v>
      </c>
      <c r="BB14" t="s">
        <v>49</v>
      </c>
      <c r="BC14" s="97">
        <v>45873</v>
      </c>
    </row>
    <row r="15" spans="2:56" ht="16" x14ac:dyDescent="0.4">
      <c r="B15" s="1">
        <v>45875</v>
      </c>
      <c r="C15" s="2">
        <f t="shared" si="3"/>
        <v>266.61400000000003</v>
      </c>
      <c r="D15" s="2">
        <f t="shared" si="4"/>
        <v>27.47</v>
      </c>
      <c r="E15" s="2">
        <f t="shared" si="4"/>
        <v>0</v>
      </c>
      <c r="F15" s="32">
        <f t="shared" si="5"/>
        <v>0</v>
      </c>
      <c r="G15" s="3">
        <f t="shared" si="12"/>
        <v>294.08400000000006</v>
      </c>
      <c r="H15" s="51">
        <f t="shared" si="6"/>
        <v>265.13616000000002</v>
      </c>
      <c r="I15" s="52">
        <f t="shared" si="13"/>
        <v>292.60616000000005</v>
      </c>
      <c r="J15" s="59">
        <f t="shared" si="7"/>
        <v>0</v>
      </c>
      <c r="K15" s="4"/>
      <c r="L15" s="20">
        <f t="shared" si="8"/>
        <v>0</v>
      </c>
      <c r="N15" s="43">
        <f t="shared" si="9"/>
        <v>14</v>
      </c>
      <c r="O15" s="44">
        <f t="shared" si="10"/>
        <v>8</v>
      </c>
      <c r="P15" s="41">
        <f t="shared" si="11"/>
        <v>0</v>
      </c>
      <c r="Q15" s="45">
        <f t="shared" si="14"/>
        <v>22</v>
      </c>
      <c r="V15" s="97">
        <v>45870</v>
      </c>
      <c r="W15" s="16">
        <v>178946</v>
      </c>
      <c r="X15" s="101" t="s">
        <v>36</v>
      </c>
      <c r="Y15" s="105"/>
      <c r="Z15" s="102">
        <v>0.73402777777777783</v>
      </c>
      <c r="AA15" s="102">
        <v>0.83194444444444438</v>
      </c>
      <c r="AB15" s="16"/>
      <c r="AC15" s="16"/>
      <c r="AD15" s="93">
        <v>20660</v>
      </c>
      <c r="AE15" s="93">
        <f t="shared" si="0"/>
        <v>20.66</v>
      </c>
      <c r="AF15" s="16">
        <v>14.87</v>
      </c>
      <c r="AG15" s="103">
        <f t="shared" si="1"/>
        <v>14</v>
      </c>
      <c r="AH15" s="37">
        <f t="shared" si="2"/>
        <v>20.66</v>
      </c>
      <c r="AJ15" s="97">
        <v>45871</v>
      </c>
      <c r="AK15" t="s">
        <v>1556</v>
      </c>
      <c r="AL15" t="s">
        <v>5</v>
      </c>
      <c r="AM15" s="16"/>
      <c r="AN15" s="39" t="s">
        <v>1682</v>
      </c>
      <c r="AO15" s="39" t="s">
        <v>1683</v>
      </c>
      <c r="AP15" s="37">
        <v>1710</v>
      </c>
      <c r="AR15" s="97"/>
      <c r="AU15" s="97">
        <v>45873</v>
      </c>
      <c r="AV15">
        <v>179514</v>
      </c>
      <c r="AW15" t="s">
        <v>5</v>
      </c>
      <c r="AX15" s="16"/>
      <c r="AY15" s="39">
        <v>0.9665393518518518</v>
      </c>
      <c r="AZ15" s="39">
        <v>9.67824074074074E-2</v>
      </c>
      <c r="BA15" s="37">
        <v>2898</v>
      </c>
      <c r="BB15" t="s">
        <v>49</v>
      </c>
      <c r="BC15" s="97">
        <v>45873</v>
      </c>
    </row>
    <row r="16" spans="2:56" ht="16" x14ac:dyDescent="0.4">
      <c r="B16" s="1">
        <v>45876</v>
      </c>
      <c r="C16" s="2">
        <f t="shared" si="3"/>
        <v>251.19799999999998</v>
      </c>
      <c r="D16" s="2">
        <f t="shared" si="4"/>
        <v>30.13</v>
      </c>
      <c r="E16" s="2">
        <f t="shared" si="4"/>
        <v>0</v>
      </c>
      <c r="F16" s="32">
        <f t="shared" si="5"/>
        <v>0</v>
      </c>
      <c r="G16" s="3">
        <f t="shared" si="12"/>
        <v>281.32799999999997</v>
      </c>
      <c r="H16" s="51">
        <f t="shared" si="6"/>
        <v>246.56438857142857</v>
      </c>
      <c r="I16" s="52">
        <f t="shared" si="13"/>
        <v>276.69438857142859</v>
      </c>
      <c r="J16" s="59">
        <f t="shared" si="7"/>
        <v>0</v>
      </c>
      <c r="K16" s="4"/>
      <c r="L16" s="20">
        <f t="shared" si="8"/>
        <v>0</v>
      </c>
      <c r="N16" s="43">
        <f t="shared" si="9"/>
        <v>13</v>
      </c>
      <c r="O16" s="44">
        <f t="shared" si="10"/>
        <v>7</v>
      </c>
      <c r="P16" s="41">
        <f t="shared" si="11"/>
        <v>0</v>
      </c>
      <c r="Q16" s="45">
        <f t="shared" si="14"/>
        <v>20</v>
      </c>
      <c r="V16" s="97">
        <v>45870</v>
      </c>
      <c r="W16" s="16">
        <v>178984</v>
      </c>
      <c r="X16" s="101" t="s">
        <v>36</v>
      </c>
      <c r="Y16" s="105"/>
      <c r="Z16" s="102">
        <v>0.64722222222222225</v>
      </c>
      <c r="AA16" s="102">
        <v>0.89722222222222225</v>
      </c>
      <c r="AB16" s="16"/>
      <c r="AC16" s="16"/>
      <c r="AD16" s="93">
        <v>21678</v>
      </c>
      <c r="AE16" s="93">
        <f t="shared" si="0"/>
        <v>21.678000000000001</v>
      </c>
      <c r="AF16" s="16">
        <v>15.06</v>
      </c>
      <c r="AG16" s="103">
        <f t="shared" si="1"/>
        <v>14</v>
      </c>
      <c r="AH16" s="37">
        <f t="shared" si="2"/>
        <v>21.678000000000001</v>
      </c>
      <c r="AJ16" s="97">
        <v>45873</v>
      </c>
      <c r="AK16" t="s">
        <v>1557</v>
      </c>
      <c r="AL16" t="s">
        <v>5</v>
      </c>
      <c r="AM16" s="16"/>
      <c r="AN16" s="81" t="s">
        <v>1684</v>
      </c>
      <c r="AO16" s="81" t="s">
        <v>1685</v>
      </c>
      <c r="AP16" s="37">
        <v>4300</v>
      </c>
      <c r="AR16" s="97"/>
      <c r="AU16" s="97">
        <v>45873</v>
      </c>
      <c r="AW16" t="s">
        <v>5</v>
      </c>
      <c r="AX16" s="16"/>
      <c r="AY16" s="81">
        <v>0.41491898148148149</v>
      </c>
      <c r="AZ16" s="81">
        <v>0.43164351851851851</v>
      </c>
      <c r="BA16" s="37">
        <v>3134</v>
      </c>
      <c r="BB16" t="s">
        <v>1508</v>
      </c>
      <c r="BC16" s="97">
        <v>45873</v>
      </c>
    </row>
    <row r="17" spans="2:55" ht="16" x14ac:dyDescent="0.4">
      <c r="B17" s="1">
        <v>45877</v>
      </c>
      <c r="C17" s="2">
        <f t="shared" si="3"/>
        <v>287.36799999999999</v>
      </c>
      <c r="D17" s="2">
        <f t="shared" si="4"/>
        <v>13.08</v>
      </c>
      <c r="E17" s="2">
        <f t="shared" si="4"/>
        <v>0</v>
      </c>
      <c r="F17" s="32">
        <f t="shared" si="5"/>
        <v>0</v>
      </c>
      <c r="G17" s="3">
        <f t="shared" si="12"/>
        <v>300.44799999999998</v>
      </c>
      <c r="H17" s="51">
        <f t="shared" si="6"/>
        <v>287.36799999999994</v>
      </c>
      <c r="I17" s="52">
        <f t="shared" si="13"/>
        <v>300.44799999999992</v>
      </c>
      <c r="J17" s="59">
        <f t="shared" si="7"/>
        <v>0</v>
      </c>
      <c r="K17" s="4"/>
      <c r="L17" s="20">
        <f t="shared" si="8"/>
        <v>0</v>
      </c>
      <c r="N17" s="43">
        <f t="shared" si="9"/>
        <v>15</v>
      </c>
      <c r="O17" s="44">
        <f t="shared" si="10"/>
        <v>5</v>
      </c>
      <c r="P17" s="41">
        <f t="shared" si="11"/>
        <v>0</v>
      </c>
      <c r="Q17" s="45">
        <f t="shared" si="14"/>
        <v>20</v>
      </c>
      <c r="S17" t="s">
        <v>48</v>
      </c>
      <c r="V17" s="97">
        <v>45871</v>
      </c>
      <c r="W17" s="16">
        <v>179020</v>
      </c>
      <c r="X17" s="101" t="s">
        <v>36</v>
      </c>
      <c r="Y17" s="105"/>
      <c r="Z17" s="102">
        <v>0.87569444444444444</v>
      </c>
      <c r="AA17" s="102">
        <v>1.3888888888888889E-3</v>
      </c>
      <c r="AB17" s="16"/>
      <c r="AC17" s="16"/>
      <c r="AD17" s="93">
        <v>21408</v>
      </c>
      <c r="AE17" s="93">
        <f t="shared" si="0"/>
        <v>21.408000000000001</v>
      </c>
      <c r="AF17" s="16">
        <v>14.27</v>
      </c>
      <c r="AG17" s="103">
        <f t="shared" si="1"/>
        <v>14</v>
      </c>
      <c r="AH17" s="37">
        <f t="shared" si="2"/>
        <v>21.407999999999998</v>
      </c>
      <c r="AJ17" s="97">
        <v>45873</v>
      </c>
      <c r="AK17" t="s">
        <v>1558</v>
      </c>
      <c r="AL17" t="s">
        <v>5</v>
      </c>
      <c r="AM17" s="16"/>
      <c r="AN17" s="81" t="s">
        <v>1686</v>
      </c>
      <c r="AO17" s="81" t="s">
        <v>1687</v>
      </c>
      <c r="AP17" s="37">
        <v>3300</v>
      </c>
      <c r="AR17" s="97"/>
      <c r="AU17" s="97">
        <v>45873</v>
      </c>
      <c r="AV17">
        <v>179518</v>
      </c>
      <c r="AW17" t="s">
        <v>5</v>
      </c>
      <c r="AX17" s="16"/>
      <c r="AY17" s="81">
        <v>0.96939814814814806</v>
      </c>
      <c r="AZ17" s="81">
        <v>9.6192129629629627E-2</v>
      </c>
      <c r="BA17" s="37">
        <v>5408</v>
      </c>
      <c r="BB17" t="s">
        <v>49</v>
      </c>
      <c r="BC17" s="97">
        <v>45873</v>
      </c>
    </row>
    <row r="18" spans="2:55" ht="16" x14ac:dyDescent="0.4">
      <c r="B18" s="1">
        <v>45878</v>
      </c>
      <c r="C18" s="2">
        <f t="shared" si="3"/>
        <v>299.512</v>
      </c>
      <c r="D18" s="2">
        <f t="shared" si="4"/>
        <v>42.71</v>
      </c>
      <c r="E18" s="2">
        <f t="shared" si="4"/>
        <v>0</v>
      </c>
      <c r="F18" s="32">
        <f t="shared" si="5"/>
        <v>0</v>
      </c>
      <c r="G18" s="3">
        <f t="shared" si="12"/>
        <v>342.22199999999998</v>
      </c>
      <c r="H18" s="51">
        <f t="shared" si="6"/>
        <v>299.512</v>
      </c>
      <c r="I18" s="52">
        <f t="shared" si="13"/>
        <v>342.22199999999998</v>
      </c>
      <c r="J18" s="59">
        <f t="shared" si="7"/>
        <v>0</v>
      </c>
      <c r="K18" s="4"/>
      <c r="L18" s="20">
        <f t="shared" si="8"/>
        <v>0</v>
      </c>
      <c r="N18" s="43">
        <f t="shared" si="9"/>
        <v>16</v>
      </c>
      <c r="O18" s="44">
        <f t="shared" si="10"/>
        <v>14</v>
      </c>
      <c r="P18" s="41">
        <f t="shared" si="11"/>
        <v>0</v>
      </c>
      <c r="Q18" s="45">
        <f t="shared" si="14"/>
        <v>30</v>
      </c>
      <c r="V18" s="97">
        <v>45871</v>
      </c>
      <c r="W18" s="16">
        <v>179038</v>
      </c>
      <c r="X18" s="101" t="s">
        <v>36</v>
      </c>
      <c r="Y18" s="105"/>
      <c r="Z18" s="102">
        <v>0.64722222222222225</v>
      </c>
      <c r="AA18" s="102">
        <v>6.5277777777777782E-2</v>
      </c>
      <c r="AB18" s="16"/>
      <c r="AC18" s="16"/>
      <c r="AD18" s="93">
        <v>22360</v>
      </c>
      <c r="AE18" s="93">
        <f t="shared" si="0"/>
        <v>22.36</v>
      </c>
      <c r="AF18" s="16">
        <v>14.88</v>
      </c>
      <c r="AG18" s="103">
        <f t="shared" si="1"/>
        <v>14</v>
      </c>
      <c r="AH18" s="37">
        <f t="shared" si="2"/>
        <v>22.359999999999996</v>
      </c>
      <c r="AJ18" s="97">
        <v>45873</v>
      </c>
      <c r="AK18" t="s">
        <v>1559</v>
      </c>
      <c r="AL18" t="s">
        <v>5</v>
      </c>
      <c r="AM18" s="16"/>
      <c r="AN18" s="81" t="s">
        <v>1688</v>
      </c>
      <c r="AO18" s="81" t="s">
        <v>1689</v>
      </c>
      <c r="AP18" s="37">
        <v>2810</v>
      </c>
      <c r="AR18" s="97"/>
      <c r="AU18" s="97">
        <v>45874</v>
      </c>
      <c r="AW18" t="s">
        <v>5</v>
      </c>
      <c r="AX18" s="16"/>
      <c r="AY18" s="81">
        <v>0.4133680555555555</v>
      </c>
      <c r="AZ18" s="81">
        <v>0.42920138888888887</v>
      </c>
      <c r="BA18" s="37">
        <v>3128</v>
      </c>
      <c r="BB18" t="s">
        <v>1500</v>
      </c>
      <c r="BC18" s="97">
        <v>45874</v>
      </c>
    </row>
    <row r="19" spans="2:55" ht="16" x14ac:dyDescent="0.4">
      <c r="B19" s="1">
        <v>45879</v>
      </c>
      <c r="C19" s="2">
        <f t="shared" si="3"/>
        <v>90.83</v>
      </c>
      <c r="D19" s="2">
        <f t="shared" si="4"/>
        <v>0</v>
      </c>
      <c r="E19" s="2">
        <f t="shared" si="4"/>
        <v>0</v>
      </c>
      <c r="F19" s="32">
        <f t="shared" si="5"/>
        <v>0</v>
      </c>
      <c r="G19" s="3">
        <f t="shared" si="12"/>
        <v>90.83</v>
      </c>
      <c r="H19" s="51">
        <f t="shared" si="6"/>
        <v>89.84675</v>
      </c>
      <c r="I19" s="52">
        <f t="shared" si="13"/>
        <v>89.84675</v>
      </c>
      <c r="J19" s="59">
        <f t="shared" si="7"/>
        <v>0</v>
      </c>
      <c r="K19" s="4"/>
      <c r="L19" s="20">
        <f t="shared" si="8"/>
        <v>0</v>
      </c>
      <c r="N19" s="43">
        <f t="shared" si="9"/>
        <v>5</v>
      </c>
      <c r="O19" s="44">
        <f t="shared" si="10"/>
        <v>0</v>
      </c>
      <c r="P19" s="41">
        <f t="shared" si="11"/>
        <v>0</v>
      </c>
      <c r="Q19" s="45">
        <f t="shared" si="14"/>
        <v>5</v>
      </c>
      <c r="V19" s="97">
        <v>45871</v>
      </c>
      <c r="W19" s="16">
        <v>179054</v>
      </c>
      <c r="X19" s="101" t="s">
        <v>36</v>
      </c>
      <c r="Y19" s="105"/>
      <c r="Z19" s="102">
        <v>0.73402777777777783</v>
      </c>
      <c r="AA19" s="102">
        <v>0.13194444444444445</v>
      </c>
      <c r="AB19" s="16"/>
      <c r="AC19" s="16"/>
      <c r="AD19" s="93">
        <v>21824</v>
      </c>
      <c r="AE19" s="93">
        <f t="shared" si="0"/>
        <v>21.824000000000002</v>
      </c>
      <c r="AF19" s="16">
        <v>15.45</v>
      </c>
      <c r="AG19" s="103">
        <f t="shared" si="1"/>
        <v>14</v>
      </c>
      <c r="AH19" s="37">
        <f t="shared" si="2"/>
        <v>21.824000000000002</v>
      </c>
      <c r="AJ19" s="97">
        <v>45873</v>
      </c>
      <c r="AK19" t="s">
        <v>1560</v>
      </c>
      <c r="AL19" t="s">
        <v>5</v>
      </c>
      <c r="AM19" s="16"/>
      <c r="AN19" s="39" t="s">
        <v>1690</v>
      </c>
      <c r="AO19" s="39" t="s">
        <v>1690</v>
      </c>
      <c r="AP19" s="37">
        <v>1080</v>
      </c>
      <c r="AR19" s="97"/>
      <c r="AU19" s="97">
        <v>45874</v>
      </c>
      <c r="AW19" t="s">
        <v>5</v>
      </c>
      <c r="AX19" s="16"/>
      <c r="AY19" s="39">
        <v>0.42956018518518518</v>
      </c>
      <c r="AZ19" s="39">
        <v>0.4365046296296296</v>
      </c>
      <c r="BA19" s="37">
        <v>3298</v>
      </c>
      <c r="BB19" t="s">
        <v>1509</v>
      </c>
      <c r="BC19" s="97">
        <v>45874</v>
      </c>
    </row>
    <row r="20" spans="2:55" ht="16" x14ac:dyDescent="0.4">
      <c r="B20" s="1">
        <v>45880</v>
      </c>
      <c r="C20" s="2">
        <f t="shared" si="3"/>
        <v>145.672</v>
      </c>
      <c r="D20" s="2">
        <f t="shared" si="4"/>
        <v>25.68</v>
      </c>
      <c r="E20" s="2">
        <f t="shared" si="4"/>
        <v>0</v>
      </c>
      <c r="F20" s="32">
        <f t="shared" si="5"/>
        <v>0</v>
      </c>
      <c r="G20" s="3">
        <f t="shared" si="12"/>
        <v>171.352</v>
      </c>
      <c r="H20" s="51">
        <f t="shared" si="6"/>
        <v>145.672</v>
      </c>
      <c r="I20" s="52">
        <f t="shared" si="13"/>
        <v>171.352</v>
      </c>
      <c r="J20" s="59">
        <f t="shared" si="7"/>
        <v>0</v>
      </c>
      <c r="K20" s="4"/>
      <c r="L20" s="20">
        <f t="shared" si="8"/>
        <v>0</v>
      </c>
      <c r="N20" s="43">
        <f t="shared" si="9"/>
        <v>7</v>
      </c>
      <c r="O20" s="44">
        <f t="shared" si="10"/>
        <v>9</v>
      </c>
      <c r="P20" s="41">
        <f t="shared" si="11"/>
        <v>0</v>
      </c>
      <c r="Q20" s="45">
        <f t="shared" si="14"/>
        <v>16</v>
      </c>
      <c r="V20" s="97">
        <v>45871</v>
      </c>
      <c r="W20" s="16">
        <v>179061</v>
      </c>
      <c r="X20" s="101" t="s">
        <v>36</v>
      </c>
      <c r="Y20" s="105"/>
      <c r="Z20" s="102">
        <v>0.85138888888888886</v>
      </c>
      <c r="AA20" s="102">
        <v>0.17222222222222225</v>
      </c>
      <c r="AB20" s="16"/>
      <c r="AC20" s="16"/>
      <c r="AD20" s="93">
        <v>20552</v>
      </c>
      <c r="AE20" s="93">
        <f t="shared" si="0"/>
        <v>20.552</v>
      </c>
      <c r="AF20" s="16">
        <v>14.74</v>
      </c>
      <c r="AG20" s="103">
        <f t="shared" si="1"/>
        <v>14</v>
      </c>
      <c r="AH20" s="37">
        <f t="shared" si="2"/>
        <v>20.552</v>
      </c>
      <c r="AJ20" s="97">
        <v>45873</v>
      </c>
      <c r="AK20" t="s">
        <v>1561</v>
      </c>
      <c r="AL20" t="s">
        <v>5</v>
      </c>
      <c r="AM20" s="16"/>
      <c r="AN20" s="81" t="s">
        <v>1691</v>
      </c>
      <c r="AO20" t="s">
        <v>1692</v>
      </c>
      <c r="AP20" s="37">
        <v>2940</v>
      </c>
      <c r="AR20" s="97"/>
      <c r="AU20" s="97">
        <v>45874</v>
      </c>
      <c r="AW20" t="s">
        <v>5</v>
      </c>
      <c r="AX20" s="16"/>
      <c r="AY20" s="81">
        <v>0.56263888888888891</v>
      </c>
      <c r="AZ20">
        <v>0.60570601851851846</v>
      </c>
      <c r="BA20" s="37">
        <v>4296</v>
      </c>
      <c r="BC20" s="97">
        <v>45874</v>
      </c>
    </row>
    <row r="21" spans="2:55" ht="16" x14ac:dyDescent="0.4">
      <c r="B21" s="1">
        <v>45881</v>
      </c>
      <c r="C21" s="2">
        <f t="shared" si="3"/>
        <v>275.26400000000001</v>
      </c>
      <c r="D21" s="2">
        <f t="shared" si="4"/>
        <v>14.16</v>
      </c>
      <c r="E21" s="2">
        <f t="shared" si="4"/>
        <v>0</v>
      </c>
      <c r="F21" s="32">
        <f t="shared" si="5"/>
        <v>0</v>
      </c>
      <c r="G21" s="3">
        <f t="shared" si="12"/>
        <v>289.42400000000004</v>
      </c>
      <c r="H21" s="51">
        <f t="shared" si="6"/>
        <v>275.26400000000001</v>
      </c>
      <c r="I21" s="52">
        <f t="shared" si="13"/>
        <v>289.42400000000004</v>
      </c>
      <c r="J21" s="59">
        <f t="shared" si="7"/>
        <v>0</v>
      </c>
      <c r="K21" s="4"/>
      <c r="L21" s="20">
        <f t="shared" si="8"/>
        <v>0</v>
      </c>
      <c r="N21" s="43">
        <f t="shared" si="9"/>
        <v>14</v>
      </c>
      <c r="O21" s="44">
        <f t="shared" si="10"/>
        <v>4</v>
      </c>
      <c r="P21" s="41">
        <f t="shared" si="11"/>
        <v>0</v>
      </c>
      <c r="Q21" s="45">
        <f t="shared" si="14"/>
        <v>18</v>
      </c>
      <c r="V21" s="97">
        <v>45871</v>
      </c>
      <c r="W21" s="16">
        <v>179066</v>
      </c>
      <c r="X21" s="101" t="s">
        <v>36</v>
      </c>
      <c r="Y21" s="105"/>
      <c r="Z21" s="102">
        <v>0.73402777777777783</v>
      </c>
      <c r="AA21" s="102">
        <v>0.22847222222222222</v>
      </c>
      <c r="AB21" s="16"/>
      <c r="AC21" s="16"/>
      <c r="AD21" s="93">
        <v>19226</v>
      </c>
      <c r="AE21" s="93">
        <f t="shared" si="0"/>
        <v>19.225999999999999</v>
      </c>
      <c r="AF21" s="16">
        <v>14.75</v>
      </c>
      <c r="AG21" s="103">
        <f t="shared" si="1"/>
        <v>14</v>
      </c>
      <c r="AH21" s="37">
        <f t="shared" si="2"/>
        <v>19.225999999999999</v>
      </c>
      <c r="AJ21" s="97">
        <v>45874</v>
      </c>
      <c r="AK21" t="s">
        <v>1562</v>
      </c>
      <c r="AL21" t="s">
        <v>5</v>
      </c>
      <c r="AM21" s="16"/>
      <c r="AN21" s="81" t="s">
        <v>1693</v>
      </c>
      <c r="AO21" t="s">
        <v>1693</v>
      </c>
      <c r="AP21" s="37">
        <v>3330</v>
      </c>
      <c r="AR21" s="97"/>
      <c r="AU21" s="97">
        <v>45874</v>
      </c>
      <c r="AV21">
        <v>180014</v>
      </c>
      <c r="AW21" t="s">
        <v>5</v>
      </c>
      <c r="AX21" s="16"/>
      <c r="AY21" s="81">
        <v>0.82792824074074067</v>
      </c>
      <c r="AZ21">
        <v>9.6608796296296304E-2</v>
      </c>
      <c r="BA21" s="37">
        <v>2344</v>
      </c>
      <c r="BB21" t="s">
        <v>49</v>
      </c>
      <c r="BC21" s="97">
        <v>45874</v>
      </c>
    </row>
    <row r="22" spans="2:55" ht="16" x14ac:dyDescent="0.4">
      <c r="B22" s="1">
        <v>45882</v>
      </c>
      <c r="C22" s="2">
        <f t="shared" si="3"/>
        <v>291.08199999999994</v>
      </c>
      <c r="D22" s="2">
        <f t="shared" si="4"/>
        <v>24.37</v>
      </c>
      <c r="E22" s="2">
        <f t="shared" si="4"/>
        <v>0</v>
      </c>
      <c r="F22" s="32">
        <f t="shared" si="5"/>
        <v>0</v>
      </c>
      <c r="G22" s="3">
        <f t="shared" si="12"/>
        <v>315.45199999999994</v>
      </c>
      <c r="H22" s="51">
        <f t="shared" si="6"/>
        <v>289.86262857142856</v>
      </c>
      <c r="I22" s="52">
        <f t="shared" si="13"/>
        <v>314.23262857142856</v>
      </c>
      <c r="J22" s="59">
        <f t="shared" si="7"/>
        <v>0</v>
      </c>
      <c r="K22" s="4"/>
      <c r="L22" s="20">
        <f t="shared" si="8"/>
        <v>0</v>
      </c>
      <c r="N22" s="43">
        <f t="shared" si="9"/>
        <v>15</v>
      </c>
      <c r="O22" s="44">
        <f t="shared" si="10"/>
        <v>7</v>
      </c>
      <c r="P22" s="41">
        <f t="shared" si="11"/>
        <v>0</v>
      </c>
      <c r="Q22" s="45">
        <f t="shared" si="14"/>
        <v>22</v>
      </c>
      <c r="V22" s="97">
        <v>45871</v>
      </c>
      <c r="W22" s="16">
        <v>179089</v>
      </c>
      <c r="X22" s="101" t="s">
        <v>36</v>
      </c>
      <c r="Y22" s="105"/>
      <c r="Z22" s="102">
        <v>0.21788194444444445</v>
      </c>
      <c r="AA22" s="102">
        <v>0.29260416666666667</v>
      </c>
      <c r="AB22" s="16"/>
      <c r="AC22" s="16"/>
      <c r="AD22" s="93">
        <v>20410</v>
      </c>
      <c r="AE22" s="93">
        <f t="shared" si="0"/>
        <v>20.41</v>
      </c>
      <c r="AF22" s="16">
        <v>14.41</v>
      </c>
      <c r="AG22" s="103">
        <f t="shared" si="1"/>
        <v>14</v>
      </c>
      <c r="AH22" s="37">
        <f t="shared" si="2"/>
        <v>20.41</v>
      </c>
      <c r="AJ22" s="97">
        <v>45874</v>
      </c>
      <c r="AK22" t="s">
        <v>1563</v>
      </c>
      <c r="AL22" t="s">
        <v>5</v>
      </c>
      <c r="AN22" t="s">
        <v>1694</v>
      </c>
      <c r="AO22" t="s">
        <v>1695</v>
      </c>
      <c r="AP22" s="37">
        <v>3610</v>
      </c>
      <c r="AR22" s="97"/>
      <c r="AU22" s="97">
        <v>45874</v>
      </c>
      <c r="AW22" t="s">
        <v>5</v>
      </c>
      <c r="AY22">
        <v>0.4526736111111111</v>
      </c>
      <c r="AZ22">
        <v>0.46361111111111114</v>
      </c>
      <c r="BA22" s="37">
        <v>3588</v>
      </c>
      <c r="BB22" t="s">
        <v>1506</v>
      </c>
      <c r="BC22" s="97">
        <v>45874</v>
      </c>
    </row>
    <row r="23" spans="2:55" ht="16" x14ac:dyDescent="0.4">
      <c r="B23" s="1">
        <v>45883</v>
      </c>
      <c r="C23" s="2">
        <f t="shared" si="3"/>
        <v>224.28799999999998</v>
      </c>
      <c r="D23" s="2">
        <f t="shared" si="4"/>
        <v>19.29</v>
      </c>
      <c r="E23" s="2">
        <f t="shared" si="4"/>
        <v>0</v>
      </c>
      <c r="F23" s="32">
        <f t="shared" si="5"/>
        <v>0</v>
      </c>
      <c r="G23" s="3">
        <f t="shared" si="12"/>
        <v>243.57799999999997</v>
      </c>
      <c r="H23" s="51">
        <f t="shared" si="6"/>
        <v>224.28799999999998</v>
      </c>
      <c r="I23" s="52">
        <f t="shared" si="13"/>
        <v>243.57799999999997</v>
      </c>
      <c r="J23" s="59">
        <f t="shared" si="7"/>
        <v>0</v>
      </c>
      <c r="K23" s="4"/>
      <c r="L23" s="20">
        <f t="shared" si="8"/>
        <v>0</v>
      </c>
      <c r="N23" s="43">
        <f t="shared" si="9"/>
        <v>12</v>
      </c>
      <c r="O23" s="44">
        <f t="shared" si="10"/>
        <v>5</v>
      </c>
      <c r="P23" s="41">
        <f t="shared" si="11"/>
        <v>0</v>
      </c>
      <c r="Q23" s="45">
        <f t="shared" si="14"/>
        <v>17</v>
      </c>
      <c r="V23" s="97">
        <v>45871</v>
      </c>
      <c r="W23" s="16">
        <v>179151</v>
      </c>
      <c r="X23" s="101" t="s">
        <v>36</v>
      </c>
      <c r="Y23" s="105"/>
      <c r="Z23" s="102">
        <v>0.16883101851851853</v>
      </c>
      <c r="AA23" s="102">
        <v>0.3740856481481481</v>
      </c>
      <c r="AB23" s="16"/>
      <c r="AC23" s="16"/>
      <c r="AD23" s="93">
        <v>20186</v>
      </c>
      <c r="AE23" s="93">
        <f t="shared" si="0"/>
        <v>20.186</v>
      </c>
      <c r="AF23" s="16">
        <v>15.02</v>
      </c>
      <c r="AG23" s="103">
        <f t="shared" si="1"/>
        <v>14</v>
      </c>
      <c r="AH23" s="37">
        <f t="shared" si="2"/>
        <v>20.186</v>
      </c>
      <c r="AJ23" s="97">
        <v>45874</v>
      </c>
      <c r="AK23" t="s">
        <v>1564</v>
      </c>
      <c r="AL23" t="s">
        <v>5</v>
      </c>
      <c r="AN23" s="81" t="s">
        <v>1696</v>
      </c>
      <c r="AO23" t="s">
        <v>1697</v>
      </c>
      <c r="AP23" s="37">
        <v>2570</v>
      </c>
      <c r="AR23" s="97"/>
      <c r="AU23" s="97">
        <v>45874</v>
      </c>
      <c r="AW23" t="s">
        <v>5</v>
      </c>
      <c r="AY23" s="81">
        <v>0.42956018518518518</v>
      </c>
      <c r="AZ23">
        <v>0.4365046296296296</v>
      </c>
      <c r="BA23" s="37">
        <v>3298</v>
      </c>
      <c r="BB23" t="s">
        <v>1509</v>
      </c>
      <c r="BC23" s="97">
        <v>45874</v>
      </c>
    </row>
    <row r="24" spans="2:55" ht="16" x14ac:dyDescent="0.4">
      <c r="B24" s="1">
        <v>45884</v>
      </c>
      <c r="C24" s="2">
        <f t="shared" si="3"/>
        <v>321.75999999999988</v>
      </c>
      <c r="D24" s="2">
        <f t="shared" si="4"/>
        <v>11.92</v>
      </c>
      <c r="E24" s="2">
        <f t="shared" si="4"/>
        <v>0</v>
      </c>
      <c r="F24" s="32">
        <f t="shared" si="5"/>
        <v>0</v>
      </c>
      <c r="G24" s="3">
        <f t="shared" si="12"/>
        <v>333.67999999999989</v>
      </c>
      <c r="H24" s="51">
        <f t="shared" si="6"/>
        <v>321.14511285714281</v>
      </c>
      <c r="I24" s="52">
        <f t="shared" si="13"/>
        <v>333.06511285714282</v>
      </c>
      <c r="J24" s="59">
        <f t="shared" si="7"/>
        <v>0</v>
      </c>
      <c r="K24" s="4"/>
      <c r="L24" s="20">
        <f t="shared" si="8"/>
        <v>0</v>
      </c>
      <c r="N24" s="43">
        <f t="shared" si="9"/>
        <v>16</v>
      </c>
      <c r="O24" s="44">
        <f t="shared" si="10"/>
        <v>4</v>
      </c>
      <c r="P24" s="41">
        <f t="shared" si="11"/>
        <v>0</v>
      </c>
      <c r="Q24" s="45">
        <f t="shared" si="14"/>
        <v>20</v>
      </c>
      <c r="V24" s="97">
        <v>45871</v>
      </c>
      <c r="W24" s="16">
        <v>179195</v>
      </c>
      <c r="X24" s="101" t="s">
        <v>36</v>
      </c>
      <c r="Y24" s="105"/>
      <c r="Z24" s="102">
        <v>0.11388888888888889</v>
      </c>
      <c r="AA24" s="102">
        <v>0.44127314814814816</v>
      </c>
      <c r="AB24" s="16"/>
      <c r="AC24" s="16"/>
      <c r="AD24" s="93">
        <v>17130</v>
      </c>
      <c r="AE24" s="93">
        <f t="shared" si="0"/>
        <v>17.13</v>
      </c>
      <c r="AF24" s="16">
        <v>16.559999999999999</v>
      </c>
      <c r="AG24" s="103">
        <f t="shared" si="1"/>
        <v>14</v>
      </c>
      <c r="AH24" s="37">
        <f t="shared" si="2"/>
        <v>17.13</v>
      </c>
      <c r="AJ24" s="97">
        <v>45874</v>
      </c>
      <c r="AK24" t="s">
        <v>1565</v>
      </c>
      <c r="AL24" t="s">
        <v>5</v>
      </c>
      <c r="AN24" s="81" t="s">
        <v>1698</v>
      </c>
      <c r="AO24" t="s">
        <v>1699</v>
      </c>
      <c r="AP24" s="37">
        <v>3290</v>
      </c>
      <c r="AR24" s="97"/>
      <c r="AU24" s="97">
        <v>45874</v>
      </c>
      <c r="AW24" t="s">
        <v>5</v>
      </c>
      <c r="AY24" s="81">
        <v>0.4133680555555555</v>
      </c>
      <c r="AZ24">
        <v>0.42920138888888887</v>
      </c>
      <c r="BA24" s="37">
        <v>3128</v>
      </c>
      <c r="BB24" t="s">
        <v>1500</v>
      </c>
      <c r="BC24" s="97">
        <v>45874</v>
      </c>
    </row>
    <row r="25" spans="2:55" ht="16" x14ac:dyDescent="0.4">
      <c r="B25" s="1">
        <v>45885</v>
      </c>
      <c r="C25" s="2">
        <f t="shared" si="3"/>
        <v>297.85399999999998</v>
      </c>
      <c r="D25" s="2">
        <f t="shared" si="4"/>
        <v>10.19</v>
      </c>
      <c r="E25" s="2">
        <f t="shared" si="4"/>
        <v>0</v>
      </c>
      <c r="F25" s="32">
        <f t="shared" si="5"/>
        <v>0</v>
      </c>
      <c r="G25" s="3">
        <f t="shared" si="12"/>
        <v>308.04399999999998</v>
      </c>
      <c r="H25" s="51">
        <f t="shared" si="6"/>
        <v>297.54961999999995</v>
      </c>
      <c r="I25" s="52">
        <f t="shared" si="13"/>
        <v>307.73961999999995</v>
      </c>
      <c r="J25" s="59">
        <f t="shared" si="7"/>
        <v>0</v>
      </c>
      <c r="K25" s="4"/>
      <c r="L25" s="20">
        <f t="shared" si="8"/>
        <v>0</v>
      </c>
      <c r="N25" s="43">
        <f t="shared" si="9"/>
        <v>15</v>
      </c>
      <c r="O25" s="44">
        <f t="shared" si="10"/>
        <v>4</v>
      </c>
      <c r="P25" s="41">
        <f t="shared" si="11"/>
        <v>0</v>
      </c>
      <c r="Q25" s="45">
        <f t="shared" si="14"/>
        <v>19</v>
      </c>
      <c r="V25" s="97">
        <v>45871</v>
      </c>
      <c r="W25" s="16">
        <v>179236</v>
      </c>
      <c r="X25" s="101" t="s">
        <v>36</v>
      </c>
      <c r="Y25" s="105"/>
      <c r="Z25" s="102">
        <v>0.16870370370370369</v>
      </c>
      <c r="AA25" s="102">
        <v>0.53508101851851853</v>
      </c>
      <c r="AB25" s="16"/>
      <c r="AC25" s="16"/>
      <c r="AD25" s="93">
        <v>20718</v>
      </c>
      <c r="AE25" s="93">
        <f t="shared" si="0"/>
        <v>20.718</v>
      </c>
      <c r="AF25" s="16">
        <v>15.31</v>
      </c>
      <c r="AG25" s="103">
        <f t="shared" si="1"/>
        <v>14</v>
      </c>
      <c r="AH25" s="37">
        <f t="shared" si="2"/>
        <v>20.718</v>
      </c>
      <c r="AJ25" s="97">
        <v>45874</v>
      </c>
      <c r="AK25" t="s">
        <v>1566</v>
      </c>
      <c r="AL25" t="s">
        <v>5</v>
      </c>
      <c r="AN25" s="81" t="s">
        <v>1700</v>
      </c>
      <c r="AO25" t="s">
        <v>1700</v>
      </c>
      <c r="AP25" s="37">
        <v>4350</v>
      </c>
      <c r="AR25" s="97"/>
      <c r="AU25" s="97">
        <v>45875</v>
      </c>
      <c r="AW25" t="s">
        <v>5</v>
      </c>
      <c r="AY25" s="81">
        <v>0.56927083333333328</v>
      </c>
      <c r="AZ25">
        <v>0.58384259259259264</v>
      </c>
      <c r="BA25" s="37">
        <v>3388</v>
      </c>
      <c r="BB25" t="s">
        <v>1510</v>
      </c>
      <c r="BC25" s="97">
        <v>45875</v>
      </c>
    </row>
    <row r="26" spans="2:55" ht="16" x14ac:dyDescent="0.4">
      <c r="B26" s="1">
        <v>45886</v>
      </c>
      <c r="C26" s="2">
        <f t="shared" si="3"/>
        <v>75.801999999999992</v>
      </c>
      <c r="D26" s="2">
        <f t="shared" si="4"/>
        <v>0</v>
      </c>
      <c r="E26" s="2">
        <f t="shared" si="4"/>
        <v>0</v>
      </c>
      <c r="F26" s="32">
        <f t="shared" si="5"/>
        <v>0</v>
      </c>
      <c r="G26" s="3">
        <f t="shared" si="12"/>
        <v>75.801999999999992</v>
      </c>
      <c r="H26" s="51">
        <f t="shared" si="6"/>
        <v>75.66770714285714</v>
      </c>
      <c r="I26" s="52">
        <f t="shared" si="13"/>
        <v>75.66770714285714</v>
      </c>
      <c r="J26" s="59">
        <f t="shared" si="7"/>
        <v>0</v>
      </c>
      <c r="K26" s="4"/>
      <c r="L26" s="20">
        <f t="shared" si="8"/>
        <v>0</v>
      </c>
      <c r="N26" s="43">
        <f t="shared" si="9"/>
        <v>4</v>
      </c>
      <c r="O26" s="44">
        <f t="shared" si="10"/>
        <v>0</v>
      </c>
      <c r="P26" s="41">
        <f t="shared" si="11"/>
        <v>0</v>
      </c>
      <c r="Q26" s="45">
        <f t="shared" si="14"/>
        <v>4</v>
      </c>
      <c r="V26" s="97">
        <v>45871</v>
      </c>
      <c r="W26" s="16">
        <v>179279</v>
      </c>
      <c r="X26" s="101" t="s">
        <v>36</v>
      </c>
      <c r="Y26" s="105"/>
      <c r="Z26" s="102">
        <v>0.1137962962962963</v>
      </c>
      <c r="AA26" s="102">
        <v>0.61526620370370366</v>
      </c>
      <c r="AB26" s="16"/>
      <c r="AC26" s="16"/>
      <c r="AD26" s="93">
        <v>18112</v>
      </c>
      <c r="AE26" s="93">
        <f t="shared" si="0"/>
        <v>18.111999999999998</v>
      </c>
      <c r="AF26" s="16">
        <v>15.55</v>
      </c>
      <c r="AG26" s="103">
        <f t="shared" si="1"/>
        <v>14</v>
      </c>
      <c r="AH26" s="37">
        <f t="shared" si="2"/>
        <v>18.111999999999998</v>
      </c>
      <c r="AJ26" s="97">
        <v>45875</v>
      </c>
      <c r="AK26" t="s">
        <v>1567</v>
      </c>
      <c r="AL26" t="s">
        <v>5</v>
      </c>
      <c r="AN26" s="81" t="s">
        <v>1701</v>
      </c>
      <c r="AO26" s="81" t="s">
        <v>1701</v>
      </c>
      <c r="AP26" s="37">
        <v>3330</v>
      </c>
      <c r="AR26" s="97"/>
      <c r="AU26" s="97">
        <v>45875</v>
      </c>
      <c r="AW26" t="s">
        <v>5</v>
      </c>
      <c r="AY26" s="81">
        <v>0.58394675925925921</v>
      </c>
      <c r="AZ26" s="81">
        <v>0.49975694444444446</v>
      </c>
      <c r="BA26" s="37">
        <v>2916</v>
      </c>
      <c r="BB26" t="s">
        <v>1511</v>
      </c>
      <c r="BC26" s="97">
        <v>45875</v>
      </c>
    </row>
    <row r="27" spans="2:55" ht="16" x14ac:dyDescent="0.4">
      <c r="B27" s="1">
        <v>45887</v>
      </c>
      <c r="C27" s="2">
        <f t="shared" si="3"/>
        <v>150.792</v>
      </c>
      <c r="D27" s="2">
        <f t="shared" si="4"/>
        <v>7.01</v>
      </c>
      <c r="E27" s="2">
        <f t="shared" si="4"/>
        <v>0</v>
      </c>
      <c r="F27" s="32">
        <f t="shared" si="5"/>
        <v>0</v>
      </c>
      <c r="G27" s="3">
        <f t="shared" si="12"/>
        <v>157.80199999999999</v>
      </c>
      <c r="H27" s="51">
        <f t="shared" si="6"/>
        <v>150.792</v>
      </c>
      <c r="I27" s="52">
        <f t="shared" si="13"/>
        <v>157.80199999999999</v>
      </c>
      <c r="J27" s="59">
        <f t="shared" si="7"/>
        <v>0</v>
      </c>
      <c r="K27" s="4"/>
      <c r="L27" s="20">
        <f t="shared" si="8"/>
        <v>0</v>
      </c>
      <c r="N27" s="43">
        <f t="shared" si="9"/>
        <v>8</v>
      </c>
      <c r="O27" s="44">
        <f t="shared" si="10"/>
        <v>3</v>
      </c>
      <c r="P27" s="41">
        <f t="shared" si="11"/>
        <v>0</v>
      </c>
      <c r="Q27" s="45">
        <f t="shared" si="14"/>
        <v>11</v>
      </c>
      <c r="V27" s="97">
        <v>45871</v>
      </c>
      <c r="W27" s="16">
        <v>179307</v>
      </c>
      <c r="X27" s="101" t="s">
        <v>36</v>
      </c>
      <c r="Y27" s="105"/>
      <c r="Z27" s="102">
        <v>0.38241898148148151</v>
      </c>
      <c r="AA27" s="102">
        <v>0.67199074074074072</v>
      </c>
      <c r="AB27" s="16"/>
      <c r="AC27" s="16"/>
      <c r="AD27" s="93">
        <v>19484</v>
      </c>
      <c r="AE27" s="93">
        <f t="shared" si="0"/>
        <v>19.484000000000002</v>
      </c>
      <c r="AF27" s="16">
        <v>15.11</v>
      </c>
      <c r="AG27" s="103">
        <f t="shared" si="1"/>
        <v>14</v>
      </c>
      <c r="AH27" s="37">
        <f t="shared" si="2"/>
        <v>19.484000000000002</v>
      </c>
      <c r="AJ27" s="97">
        <v>45875</v>
      </c>
      <c r="AK27" t="s">
        <v>1568</v>
      </c>
      <c r="AL27" t="s">
        <v>5</v>
      </c>
      <c r="AN27" s="81" t="s">
        <v>1702</v>
      </c>
      <c r="AO27" s="81" t="s">
        <v>1703</v>
      </c>
      <c r="AP27" s="37">
        <v>3590</v>
      </c>
      <c r="AR27" s="97"/>
      <c r="AU27" s="97">
        <v>45875</v>
      </c>
      <c r="AW27" t="s">
        <v>5</v>
      </c>
      <c r="AY27" s="81">
        <v>0.52160879629629631</v>
      </c>
      <c r="AZ27" s="81">
        <v>0.54748842592592595</v>
      </c>
      <c r="BA27" s="37">
        <v>3780</v>
      </c>
      <c r="BB27" t="s">
        <v>1510</v>
      </c>
      <c r="BC27" s="97">
        <v>45875</v>
      </c>
    </row>
    <row r="28" spans="2:55" ht="16" x14ac:dyDescent="0.4">
      <c r="B28" s="1">
        <v>45888</v>
      </c>
      <c r="C28" s="2">
        <f t="shared" si="3"/>
        <v>261.43400000000003</v>
      </c>
      <c r="D28" s="2">
        <f t="shared" si="4"/>
        <v>12.07</v>
      </c>
      <c r="E28" s="2">
        <f t="shared" si="4"/>
        <v>0</v>
      </c>
      <c r="F28" s="32">
        <f t="shared" si="5"/>
        <v>0</v>
      </c>
      <c r="G28" s="3">
        <f t="shared" si="12"/>
        <v>273.50400000000002</v>
      </c>
      <c r="H28" s="51">
        <f t="shared" si="6"/>
        <v>261.43399999999997</v>
      </c>
      <c r="I28" s="52">
        <f t="shared" si="13"/>
        <v>273.50399999999996</v>
      </c>
      <c r="J28" s="59">
        <f t="shared" si="7"/>
        <v>0</v>
      </c>
      <c r="K28" s="4"/>
      <c r="L28" s="20">
        <f t="shared" si="8"/>
        <v>0</v>
      </c>
      <c r="N28" s="43">
        <f t="shared" si="9"/>
        <v>13</v>
      </c>
      <c r="O28" s="44">
        <f t="shared" si="10"/>
        <v>3</v>
      </c>
      <c r="P28" s="41">
        <f t="shared" si="11"/>
        <v>0</v>
      </c>
      <c r="Q28" s="45">
        <f t="shared" si="14"/>
        <v>16</v>
      </c>
      <c r="V28" s="97">
        <v>45871</v>
      </c>
      <c r="W28" s="16">
        <v>179323</v>
      </c>
      <c r="X28" s="101" t="s">
        <v>36</v>
      </c>
      <c r="Y28" s="105"/>
      <c r="Z28" s="102">
        <v>0.11370370370370371</v>
      </c>
      <c r="AA28" s="102">
        <v>0.73553240740740744</v>
      </c>
      <c r="AB28" s="16"/>
      <c r="AC28" s="16"/>
      <c r="AD28" s="93">
        <v>18594</v>
      </c>
      <c r="AE28" s="93">
        <f t="shared" si="0"/>
        <v>18.594000000000001</v>
      </c>
      <c r="AF28" s="16">
        <v>15.58</v>
      </c>
      <c r="AG28" s="103">
        <f t="shared" si="1"/>
        <v>14</v>
      </c>
      <c r="AH28" s="37">
        <f t="shared" si="2"/>
        <v>18.594000000000001</v>
      </c>
      <c r="AJ28" s="97">
        <v>45875</v>
      </c>
      <c r="AK28" t="s">
        <v>1569</v>
      </c>
      <c r="AL28" t="s">
        <v>5</v>
      </c>
      <c r="AN28" s="81" t="s">
        <v>1704</v>
      </c>
      <c r="AO28" s="81" t="s">
        <v>1705</v>
      </c>
      <c r="AP28" s="37">
        <v>2970</v>
      </c>
      <c r="AR28" s="97"/>
      <c r="AU28" s="97">
        <v>45875</v>
      </c>
      <c r="AW28" t="s">
        <v>5</v>
      </c>
      <c r="AY28" s="81">
        <v>0.40548611111111116</v>
      </c>
      <c r="AZ28" s="81">
        <v>0.47313657407407406</v>
      </c>
      <c r="BA28" s="37">
        <v>2446</v>
      </c>
      <c r="BC28" s="97">
        <v>45875</v>
      </c>
    </row>
    <row r="29" spans="2:55" ht="16" x14ac:dyDescent="0.4">
      <c r="B29" s="1">
        <v>45889</v>
      </c>
      <c r="C29" s="2">
        <f t="shared" si="3"/>
        <v>303.74199999999996</v>
      </c>
      <c r="D29" s="2">
        <f t="shared" si="4"/>
        <v>8.52</v>
      </c>
      <c r="E29" s="2">
        <f t="shared" si="4"/>
        <v>0</v>
      </c>
      <c r="F29" s="32">
        <f t="shared" si="5"/>
        <v>0</v>
      </c>
      <c r="G29" s="3">
        <f t="shared" si="12"/>
        <v>312.26199999999994</v>
      </c>
      <c r="H29" s="51">
        <f t="shared" si="6"/>
        <v>303.74200000000002</v>
      </c>
      <c r="I29" s="52">
        <f t="shared" si="13"/>
        <v>312.262</v>
      </c>
      <c r="J29" s="59">
        <f t="shared" si="7"/>
        <v>0</v>
      </c>
      <c r="K29" s="4"/>
      <c r="L29" s="20">
        <f t="shared" si="8"/>
        <v>0</v>
      </c>
      <c r="N29" s="43">
        <f t="shared" si="9"/>
        <v>15</v>
      </c>
      <c r="O29" s="44">
        <f t="shared" si="10"/>
        <v>3</v>
      </c>
      <c r="P29" s="41">
        <f t="shared" si="11"/>
        <v>0</v>
      </c>
      <c r="Q29" s="45">
        <f t="shared" si="14"/>
        <v>18</v>
      </c>
      <c r="V29" s="97">
        <v>45871</v>
      </c>
      <c r="W29" s="16">
        <v>179340</v>
      </c>
      <c r="X29" s="101" t="s">
        <v>36</v>
      </c>
      <c r="Y29" s="105"/>
      <c r="Z29" s="102">
        <v>0.58472222222222225</v>
      </c>
      <c r="AA29" s="102">
        <v>0.81041666666666667</v>
      </c>
      <c r="AB29" s="16"/>
      <c r="AC29" s="16"/>
      <c r="AD29" s="93">
        <v>20672</v>
      </c>
      <c r="AE29" s="93">
        <f t="shared" si="0"/>
        <v>20.672000000000001</v>
      </c>
      <c r="AF29" s="16">
        <v>14.27</v>
      </c>
      <c r="AG29" s="103">
        <f t="shared" si="1"/>
        <v>14</v>
      </c>
      <c r="AH29" s="37">
        <f t="shared" si="2"/>
        <v>20.672000000000001</v>
      </c>
      <c r="AJ29" s="97">
        <v>45875</v>
      </c>
      <c r="AK29" t="s">
        <v>1570</v>
      </c>
      <c r="AL29" t="s">
        <v>5</v>
      </c>
      <c r="AN29" t="s">
        <v>1706</v>
      </c>
      <c r="AO29" t="s">
        <v>1706</v>
      </c>
      <c r="AP29" s="37">
        <v>2900</v>
      </c>
      <c r="AR29" s="97"/>
      <c r="AU29" s="97">
        <v>45875</v>
      </c>
      <c r="AW29" t="s">
        <v>5</v>
      </c>
      <c r="AY29">
        <v>0.54418981481481488</v>
      </c>
      <c r="AZ29">
        <v>0.41591435185185183</v>
      </c>
      <c r="BA29" s="37">
        <v>3266</v>
      </c>
      <c r="BB29" t="s">
        <v>1510</v>
      </c>
      <c r="BC29" s="97">
        <v>45875</v>
      </c>
    </row>
    <row r="30" spans="2:55" ht="16" x14ac:dyDescent="0.4">
      <c r="B30" s="1">
        <v>45890</v>
      </c>
      <c r="C30" s="2">
        <f t="shared" si="3"/>
        <v>264.20000000000005</v>
      </c>
      <c r="D30" s="2">
        <f t="shared" si="4"/>
        <v>13.44</v>
      </c>
      <c r="E30" s="2">
        <f t="shared" si="4"/>
        <v>0</v>
      </c>
      <c r="F30" s="32">
        <f t="shared" si="5"/>
        <v>0</v>
      </c>
      <c r="G30" s="3">
        <f t="shared" si="12"/>
        <v>277.64000000000004</v>
      </c>
      <c r="H30" s="51">
        <f t="shared" si="6"/>
        <v>263.70530571428571</v>
      </c>
      <c r="I30" s="52">
        <f t="shared" si="13"/>
        <v>277.14530571428571</v>
      </c>
      <c r="J30" s="59">
        <f t="shared" si="7"/>
        <v>0</v>
      </c>
      <c r="K30" s="4"/>
      <c r="L30" s="20">
        <f t="shared" si="8"/>
        <v>0</v>
      </c>
      <c r="N30" s="43">
        <f t="shared" si="9"/>
        <v>13</v>
      </c>
      <c r="O30" s="44">
        <f t="shared" si="10"/>
        <v>4</v>
      </c>
      <c r="P30" s="41">
        <f t="shared" si="11"/>
        <v>0</v>
      </c>
      <c r="Q30" s="45">
        <f t="shared" si="14"/>
        <v>17</v>
      </c>
      <c r="V30" s="97">
        <v>45871</v>
      </c>
      <c r="W30" s="16">
        <v>179358</v>
      </c>
      <c r="X30" s="101" t="s">
        <v>36</v>
      </c>
      <c r="Y30" s="105"/>
      <c r="Z30" s="102">
        <v>0.88194444444444453</v>
      </c>
      <c r="AA30" s="102"/>
      <c r="AB30" s="16"/>
      <c r="AC30" s="16"/>
      <c r="AD30" s="93">
        <v>22262</v>
      </c>
      <c r="AE30" s="93">
        <f t="shared" si="0"/>
        <v>22.262</v>
      </c>
      <c r="AF30" s="16">
        <v>15.38</v>
      </c>
      <c r="AG30" s="103">
        <f t="shared" si="1"/>
        <v>14</v>
      </c>
      <c r="AH30" s="37">
        <f t="shared" si="2"/>
        <v>22.262</v>
      </c>
      <c r="AJ30" s="97">
        <v>45875</v>
      </c>
      <c r="AK30" t="s">
        <v>1571</v>
      </c>
      <c r="AL30" t="s">
        <v>5</v>
      </c>
      <c r="AN30" s="39" t="s">
        <v>1707</v>
      </c>
      <c r="AO30" t="s">
        <v>1707</v>
      </c>
      <c r="AP30" s="37">
        <v>3780</v>
      </c>
      <c r="AR30" s="97"/>
      <c r="AU30" s="97">
        <v>45875</v>
      </c>
      <c r="AW30" t="s">
        <v>5</v>
      </c>
      <c r="AY30" s="39">
        <v>0.53084490740740742</v>
      </c>
      <c r="AZ30">
        <v>0.54413194444444446</v>
      </c>
      <c r="BA30" s="37">
        <v>1090</v>
      </c>
      <c r="BB30" t="s">
        <v>1508</v>
      </c>
      <c r="BC30" s="97">
        <v>45875</v>
      </c>
    </row>
    <row r="31" spans="2:55" ht="16" x14ac:dyDescent="0.4">
      <c r="B31" s="1">
        <v>45891</v>
      </c>
      <c r="C31" s="2">
        <f t="shared" si="3"/>
        <v>324.67599999999999</v>
      </c>
      <c r="D31" s="2">
        <f t="shared" si="4"/>
        <v>25.15</v>
      </c>
      <c r="E31" s="2">
        <f t="shared" si="4"/>
        <v>0</v>
      </c>
      <c r="F31" s="32">
        <f t="shared" si="5"/>
        <v>0</v>
      </c>
      <c r="G31" s="3">
        <f t="shared" si="12"/>
        <v>349.82599999999996</v>
      </c>
      <c r="H31" s="51">
        <f t="shared" si="6"/>
        <v>324.67599999999999</v>
      </c>
      <c r="I31" s="52">
        <f t="shared" si="13"/>
        <v>349.82599999999996</v>
      </c>
      <c r="J31" s="59">
        <f t="shared" si="7"/>
        <v>0</v>
      </c>
      <c r="K31" s="4"/>
      <c r="L31" s="20">
        <f t="shared" si="8"/>
        <v>0</v>
      </c>
      <c r="N31" s="43">
        <f t="shared" si="9"/>
        <v>16</v>
      </c>
      <c r="O31" s="44">
        <f t="shared" si="10"/>
        <v>8</v>
      </c>
      <c r="P31" s="41">
        <f t="shared" si="11"/>
        <v>0</v>
      </c>
      <c r="Q31" s="45">
        <f t="shared" si="14"/>
        <v>24</v>
      </c>
      <c r="V31" s="97">
        <v>45871</v>
      </c>
      <c r="W31" s="16">
        <v>179375</v>
      </c>
      <c r="X31" s="101" t="s">
        <v>36</v>
      </c>
      <c r="Y31" s="105"/>
      <c r="Z31" s="102">
        <v>0.84722222222222221</v>
      </c>
      <c r="AA31" s="102">
        <v>0.95833333333333337</v>
      </c>
      <c r="AB31" s="16"/>
      <c r="AC31" s="16"/>
      <c r="AD31" s="93">
        <v>22084</v>
      </c>
      <c r="AE31" s="93">
        <f t="shared" si="0"/>
        <v>22.084</v>
      </c>
      <c r="AF31" s="16">
        <v>15.09</v>
      </c>
      <c r="AG31" s="103">
        <f t="shared" si="1"/>
        <v>14</v>
      </c>
      <c r="AH31" s="37">
        <f t="shared" si="2"/>
        <v>22.084</v>
      </c>
      <c r="AJ31" s="97">
        <v>45875</v>
      </c>
      <c r="AK31" t="s">
        <v>1572</v>
      </c>
      <c r="AL31" t="s">
        <v>5</v>
      </c>
      <c r="AN31" s="39" t="s">
        <v>1708</v>
      </c>
      <c r="AO31" t="s">
        <v>1709</v>
      </c>
      <c r="AP31" s="37">
        <v>3900</v>
      </c>
      <c r="AR31" s="97"/>
      <c r="AU31" s="97">
        <v>45875</v>
      </c>
      <c r="AW31" t="s">
        <v>5</v>
      </c>
      <c r="AY31" s="39">
        <v>0.42329861111111117</v>
      </c>
      <c r="AZ31">
        <v>0.43659722222222225</v>
      </c>
      <c r="BA31" s="37">
        <v>3634</v>
      </c>
      <c r="BB31" t="s">
        <v>1512</v>
      </c>
      <c r="BC31" s="97">
        <v>45875</v>
      </c>
    </row>
    <row r="32" spans="2:55" ht="16" x14ac:dyDescent="0.4">
      <c r="B32" s="1">
        <v>45892</v>
      </c>
      <c r="C32" s="2">
        <f t="shared" si="3"/>
        <v>318.8</v>
      </c>
      <c r="D32" s="2">
        <f t="shared" si="4"/>
        <v>28.49</v>
      </c>
      <c r="E32" s="2">
        <f t="shared" si="4"/>
        <v>0</v>
      </c>
      <c r="F32" s="32">
        <f t="shared" si="5"/>
        <v>0</v>
      </c>
      <c r="G32" s="3">
        <f t="shared" si="12"/>
        <v>347.29</v>
      </c>
      <c r="H32" s="51">
        <f t="shared" si="6"/>
        <v>317.85401714285712</v>
      </c>
      <c r="I32" s="52">
        <f t="shared" si="13"/>
        <v>346.34401714285713</v>
      </c>
      <c r="J32" s="59">
        <f t="shared" si="7"/>
        <v>0</v>
      </c>
      <c r="K32" s="4"/>
      <c r="L32" s="20">
        <f t="shared" si="8"/>
        <v>0</v>
      </c>
      <c r="N32" s="43">
        <f t="shared" si="9"/>
        <v>16</v>
      </c>
      <c r="O32" s="44">
        <f t="shared" si="10"/>
        <v>9</v>
      </c>
      <c r="P32" s="41">
        <f t="shared" si="11"/>
        <v>0</v>
      </c>
      <c r="Q32" s="45">
        <f t="shared" si="14"/>
        <v>25</v>
      </c>
      <c r="V32" s="97">
        <v>45872</v>
      </c>
      <c r="W32" s="16">
        <v>179388</v>
      </c>
      <c r="X32" s="101" t="s">
        <v>36</v>
      </c>
      <c r="Y32" s="105"/>
      <c r="Z32" s="102">
        <v>0.77777777777777779</v>
      </c>
      <c r="AA32" s="102">
        <v>2.7777777777777776E-2</v>
      </c>
      <c r="AB32" s="16"/>
      <c r="AC32" s="16"/>
      <c r="AD32" s="93">
        <v>20698</v>
      </c>
      <c r="AE32" s="93">
        <f t="shared" si="0"/>
        <v>20.698</v>
      </c>
      <c r="AF32" s="16">
        <v>14.38</v>
      </c>
      <c r="AG32" s="103">
        <f t="shared" si="1"/>
        <v>14</v>
      </c>
      <c r="AH32" s="37">
        <f t="shared" si="2"/>
        <v>20.698</v>
      </c>
      <c r="AJ32" s="97">
        <v>45875</v>
      </c>
      <c r="AK32" t="s">
        <v>1573</v>
      </c>
      <c r="AL32" t="s">
        <v>5</v>
      </c>
      <c r="AN32" s="39" t="s">
        <v>1710</v>
      </c>
      <c r="AO32" t="s">
        <v>1703</v>
      </c>
      <c r="AP32" s="37">
        <v>3000</v>
      </c>
      <c r="AR32" s="97"/>
      <c r="AU32" s="97">
        <v>45875</v>
      </c>
      <c r="AW32" t="s">
        <v>5</v>
      </c>
      <c r="AY32" s="39">
        <v>0.61994212962962958</v>
      </c>
      <c r="AZ32">
        <v>0.62962962962962965</v>
      </c>
      <c r="BA32" s="37">
        <v>3934</v>
      </c>
      <c r="BB32" t="s">
        <v>1513</v>
      </c>
      <c r="BC32" s="97">
        <v>45875</v>
      </c>
    </row>
    <row r="33" spans="2:55" ht="16" x14ac:dyDescent="0.4">
      <c r="B33" s="1">
        <v>45893</v>
      </c>
      <c r="C33" s="2">
        <f t="shared" si="3"/>
        <v>93.600000000000009</v>
      </c>
      <c r="D33" s="2">
        <f t="shared" si="4"/>
        <v>0</v>
      </c>
      <c r="E33" s="2">
        <f t="shared" si="4"/>
        <v>0</v>
      </c>
      <c r="F33" s="32">
        <f t="shared" si="5"/>
        <v>0</v>
      </c>
      <c r="G33" s="3">
        <f t="shared" si="12"/>
        <v>93.600000000000009</v>
      </c>
      <c r="H33" s="51">
        <f t="shared" si="6"/>
        <v>93.600000000000009</v>
      </c>
      <c r="I33" s="52">
        <f t="shared" si="13"/>
        <v>93.600000000000009</v>
      </c>
      <c r="J33" s="59">
        <f t="shared" si="7"/>
        <v>0</v>
      </c>
      <c r="K33" s="4"/>
      <c r="L33" s="20" t="s">
        <v>48</v>
      </c>
      <c r="N33" s="43">
        <f t="shared" si="9"/>
        <v>5</v>
      </c>
      <c r="O33" s="44">
        <f t="shared" si="10"/>
        <v>0</v>
      </c>
      <c r="P33" s="41">
        <f t="shared" si="11"/>
        <v>0</v>
      </c>
      <c r="Q33" s="45">
        <f t="shared" si="14"/>
        <v>5</v>
      </c>
      <c r="V33" s="97">
        <v>45872</v>
      </c>
      <c r="W33" s="16">
        <v>179393</v>
      </c>
      <c r="X33" s="101" t="s">
        <v>36</v>
      </c>
      <c r="Y33" s="105"/>
      <c r="Z33" s="102">
        <v>0.58472222222222225</v>
      </c>
      <c r="AA33" s="102">
        <v>8.819444444444445E-2</v>
      </c>
      <c r="AB33" s="16"/>
      <c r="AC33" s="16"/>
      <c r="AD33" s="93">
        <v>21506</v>
      </c>
      <c r="AE33" s="93">
        <f t="shared" si="0"/>
        <v>21.506</v>
      </c>
      <c r="AF33" s="16">
        <v>15.36</v>
      </c>
      <c r="AG33" s="103">
        <f t="shared" si="1"/>
        <v>14</v>
      </c>
      <c r="AH33" s="37">
        <f t="shared" si="2"/>
        <v>21.506</v>
      </c>
      <c r="AJ33" s="97">
        <v>45875</v>
      </c>
      <c r="AK33" t="s">
        <v>1574</v>
      </c>
      <c r="AL33" t="s">
        <v>5</v>
      </c>
      <c r="AN33" s="39" t="s">
        <v>1711</v>
      </c>
      <c r="AO33" t="s">
        <v>1712</v>
      </c>
      <c r="AP33" s="37">
        <v>4000</v>
      </c>
      <c r="AR33" s="97"/>
      <c r="AU33" s="97">
        <v>45875</v>
      </c>
      <c r="AW33" t="s">
        <v>5</v>
      </c>
      <c r="AY33" s="39">
        <v>0.61478009259259259</v>
      </c>
      <c r="AZ33">
        <v>0.63771990740740747</v>
      </c>
      <c r="BA33" s="37">
        <v>3020</v>
      </c>
      <c r="BB33" t="s">
        <v>1512</v>
      </c>
      <c r="BC33" s="97">
        <v>45875</v>
      </c>
    </row>
    <row r="34" spans="2:55" ht="16" x14ac:dyDescent="0.4">
      <c r="B34" s="1">
        <v>45894</v>
      </c>
      <c r="C34" s="2">
        <f t="shared" si="3"/>
        <v>0</v>
      </c>
      <c r="D34" s="2">
        <f t="shared" si="4"/>
        <v>15.7</v>
      </c>
      <c r="E34" s="2">
        <f t="shared" si="4"/>
        <v>0</v>
      </c>
      <c r="F34" s="32">
        <f t="shared" si="5"/>
        <v>0</v>
      </c>
      <c r="G34" s="3">
        <f t="shared" si="12"/>
        <v>15.7</v>
      </c>
      <c r="H34" s="51">
        <f t="shared" si="6"/>
        <v>0</v>
      </c>
      <c r="I34" s="52">
        <f t="shared" si="13"/>
        <v>15.7</v>
      </c>
      <c r="J34" s="59">
        <f t="shared" si="7"/>
        <v>0</v>
      </c>
      <c r="K34" s="4"/>
      <c r="L34" s="20">
        <f t="shared" si="8"/>
        <v>0</v>
      </c>
      <c r="N34" s="43">
        <f t="shared" si="9"/>
        <v>0</v>
      </c>
      <c r="O34" s="44">
        <f t="shared" si="10"/>
        <v>5</v>
      </c>
      <c r="P34" s="41">
        <f t="shared" si="11"/>
        <v>0</v>
      </c>
      <c r="Q34" s="45">
        <f t="shared" si="14"/>
        <v>5</v>
      </c>
      <c r="V34" s="97">
        <v>45872</v>
      </c>
      <c r="W34" s="16">
        <v>179395</v>
      </c>
      <c r="X34" s="101" t="s">
        <v>36</v>
      </c>
      <c r="Y34" s="105"/>
      <c r="Z34" s="102">
        <v>0.77708333333333324</v>
      </c>
      <c r="AA34" s="102">
        <v>0.15555555555555556</v>
      </c>
      <c r="AB34" s="16"/>
      <c r="AC34" s="16"/>
      <c r="AD34" s="93">
        <v>20920</v>
      </c>
      <c r="AE34" s="93">
        <f t="shared" si="0"/>
        <v>20.92</v>
      </c>
      <c r="AF34" s="16">
        <v>14.31</v>
      </c>
      <c r="AG34" s="103">
        <f t="shared" si="1"/>
        <v>14</v>
      </c>
      <c r="AH34" s="37">
        <f t="shared" si="2"/>
        <v>20.919999999999998</v>
      </c>
      <c r="AJ34" s="97">
        <v>45876</v>
      </c>
      <c r="AK34" t="s">
        <v>1575</v>
      </c>
      <c r="AL34" t="s">
        <v>5</v>
      </c>
      <c r="AN34" s="39" t="s">
        <v>1713</v>
      </c>
      <c r="AO34" t="s">
        <v>1714</v>
      </c>
      <c r="AP34" s="37">
        <v>5590</v>
      </c>
      <c r="AR34" s="97"/>
      <c r="AU34" s="97">
        <v>45876</v>
      </c>
      <c r="AW34" t="s">
        <v>5</v>
      </c>
      <c r="AY34" s="39">
        <v>0.64150462962962962</v>
      </c>
      <c r="AZ34">
        <v>0.54995370370370367</v>
      </c>
      <c r="BA34" s="37">
        <v>1320</v>
      </c>
      <c r="BB34" t="s">
        <v>1514</v>
      </c>
      <c r="BC34" s="97">
        <v>45876</v>
      </c>
    </row>
    <row r="35" spans="2:55" ht="16" x14ac:dyDescent="0.4">
      <c r="B35" s="1">
        <v>45895</v>
      </c>
      <c r="C35" s="2">
        <f t="shared" si="3"/>
        <v>166.34800000000001</v>
      </c>
      <c r="D35" s="2">
        <f t="shared" si="4"/>
        <v>12.17</v>
      </c>
      <c r="E35" s="2">
        <f t="shared" si="4"/>
        <v>0</v>
      </c>
      <c r="F35" s="32">
        <f t="shared" si="5"/>
        <v>0</v>
      </c>
      <c r="G35" s="3">
        <f t="shared" si="12"/>
        <v>178.518</v>
      </c>
      <c r="H35" s="51">
        <f t="shared" si="6"/>
        <v>166.34800000000001</v>
      </c>
      <c r="I35" s="52">
        <f t="shared" si="13"/>
        <v>178.518</v>
      </c>
      <c r="J35" s="59">
        <f t="shared" si="7"/>
        <v>0</v>
      </c>
      <c r="K35" s="4"/>
      <c r="L35" s="20">
        <f t="shared" si="8"/>
        <v>0</v>
      </c>
      <c r="N35" s="43">
        <f t="shared" si="9"/>
        <v>8</v>
      </c>
      <c r="O35" s="44">
        <f t="shared" si="10"/>
        <v>3</v>
      </c>
      <c r="P35" s="41">
        <f t="shared" si="11"/>
        <v>0</v>
      </c>
      <c r="Q35" s="45">
        <f t="shared" si="14"/>
        <v>11</v>
      </c>
      <c r="V35" s="97">
        <v>45872</v>
      </c>
      <c r="W35" s="16">
        <v>179400</v>
      </c>
      <c r="X35" s="101" t="s">
        <v>36</v>
      </c>
      <c r="Y35" s="105"/>
      <c r="Z35" s="102">
        <v>0.58472222222222225</v>
      </c>
      <c r="AA35" s="102">
        <v>0.19791666666666666</v>
      </c>
      <c r="AB35" s="16"/>
      <c r="AC35" s="16"/>
      <c r="AD35" s="93">
        <v>21436</v>
      </c>
      <c r="AE35" s="93">
        <f t="shared" si="0"/>
        <v>21.436</v>
      </c>
      <c r="AF35" s="16">
        <v>14.74</v>
      </c>
      <c r="AG35" s="103">
        <f t="shared" si="1"/>
        <v>14</v>
      </c>
      <c r="AH35" s="37">
        <f t="shared" si="2"/>
        <v>21.436</v>
      </c>
      <c r="AJ35" s="97">
        <v>45876</v>
      </c>
      <c r="AK35" t="s">
        <v>1576</v>
      </c>
      <c r="AL35" t="s">
        <v>5</v>
      </c>
      <c r="AN35" s="39" t="s">
        <v>1715</v>
      </c>
      <c r="AO35" t="s">
        <v>1715</v>
      </c>
      <c r="AP35" s="37">
        <v>3520</v>
      </c>
      <c r="AR35" s="97"/>
      <c r="AU35" s="97">
        <v>45876</v>
      </c>
      <c r="AW35" t="s">
        <v>5</v>
      </c>
      <c r="AY35" s="39">
        <v>0.38755787037037037</v>
      </c>
      <c r="AZ35">
        <v>0.42505787037037041</v>
      </c>
      <c r="BA35" s="37">
        <v>3522</v>
      </c>
      <c r="BB35" t="s">
        <v>1515</v>
      </c>
      <c r="BC35" s="97">
        <v>45876</v>
      </c>
    </row>
    <row r="36" spans="2:55" ht="16" x14ac:dyDescent="0.4">
      <c r="B36" s="1">
        <v>45896</v>
      </c>
      <c r="C36" s="2">
        <f t="shared" si="3"/>
        <v>372.18400000000008</v>
      </c>
      <c r="D36" s="2">
        <f t="shared" si="4"/>
        <v>21.62</v>
      </c>
      <c r="E36" s="2">
        <f t="shared" si="4"/>
        <v>0</v>
      </c>
      <c r="F36" s="32">
        <f t="shared" si="5"/>
        <v>0</v>
      </c>
      <c r="G36" s="3">
        <f t="shared" si="12"/>
        <v>393.80400000000009</v>
      </c>
      <c r="H36" s="51">
        <f t="shared" si="6"/>
        <v>372.18400000000008</v>
      </c>
      <c r="I36" s="52">
        <f t="shared" si="13"/>
        <v>393.80400000000009</v>
      </c>
      <c r="J36" s="59">
        <f t="shared" si="7"/>
        <v>0</v>
      </c>
      <c r="K36" s="4"/>
      <c r="L36" s="20">
        <f t="shared" si="8"/>
        <v>0</v>
      </c>
      <c r="N36" s="43">
        <f t="shared" si="9"/>
        <v>18</v>
      </c>
      <c r="O36" s="44">
        <f t="shared" si="10"/>
        <v>7</v>
      </c>
      <c r="P36" s="41">
        <f t="shared" si="11"/>
        <v>0</v>
      </c>
      <c r="Q36" s="45">
        <f t="shared" si="14"/>
        <v>25</v>
      </c>
      <c r="V36" s="97">
        <v>45872</v>
      </c>
      <c r="W36" s="16">
        <v>179403</v>
      </c>
      <c r="X36" s="101" t="s">
        <v>36</v>
      </c>
      <c r="Y36" s="105"/>
      <c r="Z36" s="102">
        <v>0.92881944444444453</v>
      </c>
      <c r="AA36" s="102">
        <v>0.26262731481481483</v>
      </c>
      <c r="AB36" s="16"/>
      <c r="AC36" s="16"/>
      <c r="AD36" s="93">
        <v>18580</v>
      </c>
      <c r="AE36" s="93">
        <f t="shared" si="0"/>
        <v>18.579999999999998</v>
      </c>
      <c r="AF36" s="16">
        <v>13.24</v>
      </c>
      <c r="AG36" s="103">
        <f t="shared" si="1"/>
        <v>13.24</v>
      </c>
      <c r="AH36" s="37">
        <f t="shared" si="2"/>
        <v>17.571371428571428</v>
      </c>
      <c r="AJ36" s="97">
        <v>45876</v>
      </c>
      <c r="AK36" t="s">
        <v>1577</v>
      </c>
      <c r="AL36" t="s">
        <v>5</v>
      </c>
      <c r="AN36" s="81" t="s">
        <v>1716</v>
      </c>
      <c r="AO36" t="s">
        <v>1717</v>
      </c>
      <c r="AP36" s="37">
        <v>3190</v>
      </c>
      <c r="AR36" s="97"/>
      <c r="AU36" s="97">
        <v>45876</v>
      </c>
      <c r="AW36" t="s">
        <v>5</v>
      </c>
      <c r="AY36" s="81">
        <v>0.54818287037037039</v>
      </c>
      <c r="AZ36">
        <v>0.41629629629629633</v>
      </c>
      <c r="BA36" s="37">
        <v>3050</v>
      </c>
      <c r="BB36" t="s">
        <v>1515</v>
      </c>
      <c r="BC36" s="97">
        <v>45876</v>
      </c>
    </row>
    <row r="37" spans="2:55" ht="16" x14ac:dyDescent="0.4">
      <c r="B37" s="1">
        <v>45897</v>
      </c>
      <c r="C37" s="2">
        <f t="shared" si="3"/>
        <v>350.18199999999996</v>
      </c>
      <c r="D37" s="2">
        <f t="shared" si="4"/>
        <v>9.81</v>
      </c>
      <c r="E37" s="2">
        <f t="shared" si="4"/>
        <v>7.27</v>
      </c>
      <c r="F37" s="32">
        <f t="shared" si="5"/>
        <v>0</v>
      </c>
      <c r="G37" s="3">
        <f t="shared" si="12"/>
        <v>367.26199999999994</v>
      </c>
      <c r="H37" s="51">
        <f t="shared" si="6"/>
        <v>348.58472</v>
      </c>
      <c r="I37" s="52">
        <f t="shared" si="13"/>
        <v>365.66471999999999</v>
      </c>
      <c r="J37" s="59">
        <f t="shared" si="7"/>
        <v>0</v>
      </c>
      <c r="K37" s="4"/>
      <c r="L37" s="20">
        <f t="shared" si="8"/>
        <v>0</v>
      </c>
      <c r="N37" s="43">
        <f t="shared" si="9"/>
        <v>17</v>
      </c>
      <c r="O37" s="44">
        <f t="shared" si="10"/>
        <v>4</v>
      </c>
      <c r="P37" s="41">
        <f t="shared" si="11"/>
        <v>1</v>
      </c>
      <c r="Q37" s="45">
        <f t="shared" si="14"/>
        <v>22</v>
      </c>
      <c r="AG37" s="103">
        <f t="shared" si="1"/>
        <v>0</v>
      </c>
      <c r="AH37" s="37">
        <f t="shared" si="2"/>
        <v>0</v>
      </c>
      <c r="AJ37" s="97">
        <v>45876</v>
      </c>
      <c r="AK37" t="s">
        <v>1578</v>
      </c>
      <c r="AL37" t="s">
        <v>5</v>
      </c>
      <c r="AN37" s="81" t="s">
        <v>1718</v>
      </c>
      <c r="AO37" t="s">
        <v>1719</v>
      </c>
      <c r="AP37" s="37">
        <v>4710</v>
      </c>
      <c r="AR37" s="97"/>
      <c r="AU37" s="97">
        <v>45876</v>
      </c>
      <c r="AV37">
        <v>180925</v>
      </c>
      <c r="AW37" t="s">
        <v>5</v>
      </c>
      <c r="AY37" s="81">
        <v>9.9212962962962961E-2</v>
      </c>
      <c r="AZ37">
        <v>0.10533564814814815</v>
      </c>
      <c r="BA37" s="37">
        <v>5792</v>
      </c>
      <c r="BB37" t="s">
        <v>49</v>
      </c>
      <c r="BC37" s="97">
        <v>45876</v>
      </c>
    </row>
    <row r="38" spans="2:55" ht="16" x14ac:dyDescent="0.4">
      <c r="B38" s="1">
        <v>45898</v>
      </c>
      <c r="C38" s="2">
        <f t="shared" si="3"/>
        <v>251.61799999999999</v>
      </c>
      <c r="D38" s="2">
        <f t="shared" si="4"/>
        <v>24.11</v>
      </c>
      <c r="E38" s="2">
        <f t="shared" si="4"/>
        <v>0</v>
      </c>
      <c r="F38" s="32">
        <f t="shared" si="5"/>
        <v>0</v>
      </c>
      <c r="G38" s="3">
        <f t="shared" si="12"/>
        <v>275.72800000000001</v>
      </c>
      <c r="H38" s="51">
        <f t="shared" si="6"/>
        <v>251.61799999999999</v>
      </c>
      <c r="I38" s="52">
        <f t="shared" si="13"/>
        <v>275.72800000000001</v>
      </c>
      <c r="J38" s="59">
        <f t="shared" si="7"/>
        <v>0</v>
      </c>
      <c r="K38" s="4"/>
      <c r="L38" s="20">
        <f t="shared" si="8"/>
        <v>0</v>
      </c>
      <c r="N38" s="43">
        <f t="shared" si="9"/>
        <v>12</v>
      </c>
      <c r="O38" s="44">
        <f t="shared" si="10"/>
        <v>7</v>
      </c>
      <c r="P38" s="41">
        <f t="shared" si="11"/>
        <v>0</v>
      </c>
      <c r="Q38" s="45">
        <f t="shared" si="14"/>
        <v>19</v>
      </c>
      <c r="V38" s="97">
        <v>45873</v>
      </c>
      <c r="W38" s="16">
        <v>179853</v>
      </c>
      <c r="X38" s="101" t="s">
        <v>36</v>
      </c>
      <c r="Y38" s="105"/>
      <c r="Z38" s="102">
        <v>0.63194444444444442</v>
      </c>
      <c r="AA38" s="102">
        <v>0.88194444444444453</v>
      </c>
      <c r="AB38" s="16"/>
      <c r="AC38" s="16"/>
      <c r="AD38" s="93">
        <v>20550</v>
      </c>
      <c r="AE38" s="93">
        <f t="shared" ref="AE38:AE70" si="15">AD38/1000</f>
        <v>20.55</v>
      </c>
      <c r="AF38" s="16">
        <v>15.09</v>
      </c>
      <c r="AG38" s="103">
        <f t="shared" si="1"/>
        <v>14</v>
      </c>
      <c r="AH38" s="37">
        <f t="shared" si="2"/>
        <v>20.55</v>
      </c>
      <c r="AJ38" s="97">
        <v>45876</v>
      </c>
      <c r="AK38" t="s">
        <v>1579</v>
      </c>
      <c r="AL38" t="s">
        <v>5</v>
      </c>
      <c r="AN38" s="81" t="s">
        <v>1720</v>
      </c>
      <c r="AO38" t="s">
        <v>1721</v>
      </c>
      <c r="AP38" s="37">
        <v>5010</v>
      </c>
      <c r="AR38" s="97"/>
      <c r="AU38" s="97">
        <v>45876</v>
      </c>
      <c r="AV38">
        <v>180923</v>
      </c>
      <c r="AW38" t="s">
        <v>5</v>
      </c>
      <c r="AY38" s="81">
        <v>0.83703703703703702</v>
      </c>
      <c r="AZ38">
        <v>0.1052199074074074</v>
      </c>
      <c r="BA38" s="37">
        <v>5120</v>
      </c>
      <c r="BB38" t="s">
        <v>49</v>
      </c>
      <c r="BC38" s="97">
        <v>45876</v>
      </c>
    </row>
    <row r="39" spans="2:55" ht="16" x14ac:dyDescent="0.4">
      <c r="B39" s="1">
        <v>45899</v>
      </c>
      <c r="C39" s="2">
        <f t="shared" si="3"/>
        <v>370.01499999999993</v>
      </c>
      <c r="D39" s="2">
        <f t="shared" si="4"/>
        <v>27.33</v>
      </c>
      <c r="E39" s="2">
        <f t="shared" si="4"/>
        <v>0</v>
      </c>
      <c r="F39" s="32">
        <f t="shared" si="5"/>
        <v>0</v>
      </c>
      <c r="G39" s="3">
        <f t="shared" si="12"/>
        <v>397.34499999999991</v>
      </c>
      <c r="H39" s="51">
        <f t="shared" si="6"/>
        <v>369.99997571428565</v>
      </c>
      <c r="I39" s="52">
        <f t="shared" si="13"/>
        <v>397.32997571428564</v>
      </c>
      <c r="J39" s="59">
        <f t="shared" si="7"/>
        <v>0</v>
      </c>
      <c r="K39" s="4"/>
      <c r="L39" s="20">
        <f t="shared" si="8"/>
        <v>0</v>
      </c>
      <c r="N39" s="43">
        <f t="shared" si="9"/>
        <v>18</v>
      </c>
      <c r="O39" s="44">
        <f t="shared" si="10"/>
        <v>9</v>
      </c>
      <c r="P39" s="41">
        <f t="shared" si="11"/>
        <v>0</v>
      </c>
      <c r="Q39" s="45">
        <f t="shared" si="14"/>
        <v>27</v>
      </c>
      <c r="V39" s="97">
        <v>45873</v>
      </c>
      <c r="W39" s="16">
        <v>179892</v>
      </c>
      <c r="X39" s="101" t="s">
        <v>36</v>
      </c>
      <c r="Y39" s="105"/>
      <c r="Z39" s="102">
        <v>0.77708333333333324</v>
      </c>
      <c r="AA39" s="102">
        <v>0.96250000000000002</v>
      </c>
      <c r="AB39" s="16"/>
      <c r="AC39" s="16"/>
      <c r="AD39" s="93">
        <v>18988</v>
      </c>
      <c r="AE39" s="93">
        <f t="shared" si="15"/>
        <v>18.988</v>
      </c>
      <c r="AF39" s="16">
        <v>14.14</v>
      </c>
      <c r="AG39" s="103">
        <f t="shared" si="1"/>
        <v>14</v>
      </c>
      <c r="AH39" s="37">
        <f t="shared" si="2"/>
        <v>18.988</v>
      </c>
      <c r="AJ39" s="97">
        <v>45876</v>
      </c>
      <c r="AK39" t="s">
        <v>1580</v>
      </c>
      <c r="AL39" t="s">
        <v>5</v>
      </c>
      <c r="AN39" t="s">
        <v>1722</v>
      </c>
      <c r="AO39" t="s">
        <v>1722</v>
      </c>
      <c r="AP39" s="37">
        <v>5440</v>
      </c>
      <c r="AR39" s="97"/>
      <c r="AU39" s="97">
        <v>45876</v>
      </c>
      <c r="AV39">
        <v>180926</v>
      </c>
      <c r="AW39" t="s">
        <v>5</v>
      </c>
      <c r="AY39">
        <v>9.0555555555555556E-2</v>
      </c>
      <c r="AZ39">
        <v>0.10454861111111112</v>
      </c>
      <c r="BA39" s="37">
        <v>4896</v>
      </c>
      <c r="BB39" t="s">
        <v>49</v>
      </c>
      <c r="BC39" s="97">
        <v>45876</v>
      </c>
    </row>
    <row r="40" spans="2:55" ht="16.5" thickBot="1" x14ac:dyDescent="0.45">
      <c r="B40" s="1">
        <v>45900</v>
      </c>
      <c r="C40" s="2">
        <f t="shared" si="3"/>
        <v>115.631</v>
      </c>
      <c r="D40" s="2">
        <f t="shared" si="4"/>
        <v>0</v>
      </c>
      <c r="E40" s="2">
        <f t="shared" si="4"/>
        <v>0</v>
      </c>
      <c r="F40" s="32">
        <f t="shared" si="5"/>
        <v>0</v>
      </c>
      <c r="G40" s="3">
        <f t="shared" si="12"/>
        <v>115.631</v>
      </c>
      <c r="H40" s="51">
        <f t="shared" si="6"/>
        <v>113.36840571428571</v>
      </c>
      <c r="I40" s="52">
        <f t="shared" si="13"/>
        <v>113.36840571428571</v>
      </c>
      <c r="J40" s="59">
        <f t="shared" si="7"/>
        <v>0</v>
      </c>
      <c r="K40" s="4"/>
      <c r="L40" s="20">
        <f t="shared" si="8"/>
        <v>0</v>
      </c>
      <c r="N40" s="43">
        <f t="shared" si="9"/>
        <v>6</v>
      </c>
      <c r="O40" s="44">
        <f t="shared" si="10"/>
        <v>0</v>
      </c>
      <c r="P40" s="41">
        <f t="shared" si="11"/>
        <v>0</v>
      </c>
      <c r="Q40" s="45">
        <f t="shared" si="14"/>
        <v>6</v>
      </c>
      <c r="V40" s="97">
        <v>45874</v>
      </c>
      <c r="W40" s="16">
        <v>179912</v>
      </c>
      <c r="X40" s="101" t="s">
        <v>36</v>
      </c>
      <c r="Y40" s="105"/>
      <c r="Z40" s="102">
        <v>0.63124999999999998</v>
      </c>
      <c r="AA40" s="102">
        <v>3.6111111111111115E-2</v>
      </c>
      <c r="AB40" s="16"/>
      <c r="AC40" s="16"/>
      <c r="AD40" s="93">
        <v>18494</v>
      </c>
      <c r="AE40" s="93">
        <f t="shared" si="15"/>
        <v>18.494</v>
      </c>
      <c r="AF40" s="16">
        <v>15.37</v>
      </c>
      <c r="AG40" s="103">
        <f t="shared" si="1"/>
        <v>14</v>
      </c>
      <c r="AH40" s="37">
        <f t="shared" si="2"/>
        <v>18.494</v>
      </c>
      <c r="AJ40" s="97">
        <v>45876</v>
      </c>
      <c r="AK40" t="s">
        <v>1581</v>
      </c>
      <c r="AL40" t="s">
        <v>5</v>
      </c>
      <c r="AN40" s="81" t="s">
        <v>1723</v>
      </c>
      <c r="AO40" t="s">
        <v>1723</v>
      </c>
      <c r="AP40" s="37">
        <v>2670</v>
      </c>
      <c r="AR40" s="97"/>
      <c r="AU40" s="97">
        <v>45877</v>
      </c>
      <c r="AV40">
        <v>181365</v>
      </c>
      <c r="AW40" t="s">
        <v>5</v>
      </c>
      <c r="AY40" s="81">
        <v>9.6956018518518525E-2</v>
      </c>
      <c r="AZ40">
        <v>0.10381944444444445</v>
      </c>
      <c r="BA40" s="37">
        <v>5606</v>
      </c>
      <c r="BB40" t="s">
        <v>49</v>
      </c>
      <c r="BC40" s="97">
        <v>45877</v>
      </c>
    </row>
    <row r="41" spans="2:55" ht="16" x14ac:dyDescent="0.4">
      <c r="B41" s="5" t="s">
        <v>23</v>
      </c>
      <c r="C41" s="6">
        <f t="shared" ref="C41:K41" si="16">SUM(C10:C40)</f>
        <v>7104.5520000000015</v>
      </c>
      <c r="D41" s="31">
        <f>SUM(D10:D40)</f>
        <v>494</v>
      </c>
      <c r="E41" s="31">
        <f t="shared" ref="E41" si="17">SUM(E10:E40)</f>
        <v>7.27</v>
      </c>
      <c r="F41" s="6">
        <f t="shared" si="16"/>
        <v>0</v>
      </c>
      <c r="G41" s="7">
        <f t="shared" si="16"/>
        <v>7605.8219999999992</v>
      </c>
      <c r="H41" s="54">
        <f>SUM(H10:H40)</f>
        <v>7088.8601628571432</v>
      </c>
      <c r="I41" s="7">
        <f>SUM(I10:I40)</f>
        <v>7590.1301628571418</v>
      </c>
      <c r="J41" s="8">
        <f t="shared" si="16"/>
        <v>0</v>
      </c>
      <c r="K41" s="8">
        <f t="shared" si="16"/>
        <v>0</v>
      </c>
      <c r="L41" s="7">
        <f>SUM(L10:L40)-J41</f>
        <v>0</v>
      </c>
      <c r="N41" s="46">
        <f>SUM(N10:N40)</f>
        <v>358</v>
      </c>
      <c r="O41" s="46">
        <f t="shared" ref="O41" si="18">SUM(O10:O40)</f>
        <v>153</v>
      </c>
      <c r="P41" s="46">
        <f>SUM(P10:P40)</f>
        <v>1</v>
      </c>
      <c r="Q41" s="46">
        <f>SUM(Q10:Q40)-Q42</f>
        <v>368</v>
      </c>
      <c r="V41" s="97">
        <v>45874</v>
      </c>
      <c r="W41" s="16">
        <v>179923</v>
      </c>
      <c r="X41" s="101" t="s">
        <v>36</v>
      </c>
      <c r="Y41" s="105"/>
      <c r="Z41" s="102">
        <v>0.74791666666666667</v>
      </c>
      <c r="AA41" s="102">
        <v>9.9999999999999992E-2</v>
      </c>
      <c r="AB41" s="16"/>
      <c r="AC41" s="16"/>
      <c r="AD41" s="93">
        <v>18672</v>
      </c>
      <c r="AE41" s="93">
        <f t="shared" si="15"/>
        <v>18.672000000000001</v>
      </c>
      <c r="AF41" s="16">
        <v>15.06</v>
      </c>
      <c r="AG41" s="103">
        <f t="shared" si="1"/>
        <v>14</v>
      </c>
      <c r="AH41" s="37">
        <f t="shared" si="2"/>
        <v>18.672000000000001</v>
      </c>
      <c r="AJ41" s="97">
        <v>45877</v>
      </c>
      <c r="AK41" t="s">
        <v>1582</v>
      </c>
      <c r="AL41" t="s">
        <v>5</v>
      </c>
      <c r="AN41" s="39" t="s">
        <v>1724</v>
      </c>
      <c r="AO41" t="s">
        <v>1725</v>
      </c>
      <c r="AP41" s="37">
        <v>3190</v>
      </c>
      <c r="AR41" s="97"/>
      <c r="AU41" s="97">
        <v>45877</v>
      </c>
      <c r="AV41">
        <v>181363</v>
      </c>
      <c r="AW41" t="s">
        <v>5</v>
      </c>
      <c r="AY41" s="39">
        <v>9.3518518518518515E-2</v>
      </c>
      <c r="AZ41">
        <v>0.10456018518518519</v>
      </c>
      <c r="BA41" s="37">
        <v>1372</v>
      </c>
      <c r="BB41" t="s">
        <v>49</v>
      </c>
      <c r="BC41" s="97">
        <v>45877</v>
      </c>
    </row>
    <row r="42" spans="2:55" ht="16.5" thickBot="1" x14ac:dyDescent="0.45">
      <c r="B42" s="9"/>
      <c r="C42" s="10">
        <f>C41/$G$41</f>
        <v>0.9340939085873956</v>
      </c>
      <c r="D42" s="10">
        <f t="shared" ref="D42:E42" si="19">D41/$G$41</f>
        <v>6.4950244694130368E-2</v>
      </c>
      <c r="E42" s="10">
        <f t="shared" si="19"/>
        <v>9.5584671847434772E-4</v>
      </c>
      <c r="F42" s="10">
        <f>F41/$G$41</f>
        <v>0</v>
      </c>
      <c r="G42" s="9"/>
      <c r="H42" s="9"/>
      <c r="I42" s="9"/>
      <c r="J42" s="10" t="e">
        <f t="shared" ref="J42:K42" si="20">J41/$L$41</f>
        <v>#DIV/0!</v>
      </c>
      <c r="K42" s="10" t="e">
        <f t="shared" si="20"/>
        <v>#DIV/0!</v>
      </c>
      <c r="L42" s="11">
        <f>G41+L41</f>
        <v>7605.8219999999992</v>
      </c>
      <c r="N42" s="28" t="s">
        <v>24</v>
      </c>
      <c r="O42" s="28"/>
      <c r="P42" s="28"/>
      <c r="Q42" s="28">
        <f>COUNTBLANK(AP5:AP302)</f>
        <v>144</v>
      </c>
      <c r="V42" s="97">
        <v>45874</v>
      </c>
      <c r="W42" s="16">
        <v>179931</v>
      </c>
      <c r="X42" s="101" t="s">
        <v>36</v>
      </c>
      <c r="Y42" s="105"/>
      <c r="Z42" s="102">
        <v>0.92499999999999993</v>
      </c>
      <c r="AA42" s="102">
        <v>0.18055555555555555</v>
      </c>
      <c r="AB42" s="16"/>
      <c r="AC42" s="16"/>
      <c r="AD42" s="93">
        <v>18778</v>
      </c>
      <c r="AE42" s="93">
        <f t="shared" si="15"/>
        <v>18.777999999999999</v>
      </c>
      <c r="AF42" s="16">
        <v>14.09</v>
      </c>
      <c r="AG42" s="103">
        <f t="shared" si="1"/>
        <v>14</v>
      </c>
      <c r="AH42" s="37">
        <f t="shared" si="2"/>
        <v>18.777999999999999</v>
      </c>
      <c r="AJ42" s="97">
        <v>45877</v>
      </c>
      <c r="AK42" t="s">
        <v>1583</v>
      </c>
      <c r="AL42" t="s">
        <v>5</v>
      </c>
      <c r="AN42" s="81" t="s">
        <v>1726</v>
      </c>
      <c r="AO42" s="81" t="s">
        <v>1727</v>
      </c>
      <c r="AP42" s="37">
        <v>1130</v>
      </c>
      <c r="AR42" s="97"/>
      <c r="AU42" s="97">
        <v>45877</v>
      </c>
      <c r="AW42" t="s">
        <v>5</v>
      </c>
      <c r="AY42" s="81">
        <v>0.42254629629629631</v>
      </c>
      <c r="AZ42" s="81">
        <v>0.44677083333333334</v>
      </c>
      <c r="BA42" s="37">
        <v>772</v>
      </c>
      <c r="BB42" t="s">
        <v>1512</v>
      </c>
      <c r="BC42" s="97">
        <v>45877</v>
      </c>
    </row>
    <row r="43" spans="2:55" ht="16.5" thickTop="1" x14ac:dyDescent="0.4">
      <c r="G43" s="12"/>
      <c r="H43" s="12"/>
      <c r="I43" s="12"/>
      <c r="J43" s="13"/>
      <c r="K43" s="14"/>
      <c r="V43" s="97">
        <v>45874</v>
      </c>
      <c r="W43" s="16">
        <v>179936</v>
      </c>
      <c r="X43" s="101" t="s">
        <v>36</v>
      </c>
      <c r="Y43" s="105"/>
      <c r="Z43" s="102">
        <v>0.75208333333333333</v>
      </c>
      <c r="AA43" s="102">
        <v>0.22708333333333333</v>
      </c>
      <c r="AB43" s="16"/>
      <c r="AC43" s="16"/>
      <c r="AD43" s="93">
        <v>13202</v>
      </c>
      <c r="AE43" s="93">
        <f t="shared" si="15"/>
        <v>13.202</v>
      </c>
      <c r="AF43" s="16">
        <v>14.84</v>
      </c>
      <c r="AG43" s="103">
        <f t="shared" si="1"/>
        <v>14</v>
      </c>
      <c r="AH43" s="37">
        <f t="shared" si="2"/>
        <v>13.202</v>
      </c>
      <c r="AJ43" s="97">
        <v>45877</v>
      </c>
      <c r="AK43" t="s">
        <v>1584</v>
      </c>
      <c r="AL43" t="s">
        <v>5</v>
      </c>
      <c r="AN43" s="81" t="s">
        <v>1728</v>
      </c>
      <c r="AO43" s="81" t="s">
        <v>1729</v>
      </c>
      <c r="AP43" s="37">
        <v>5470</v>
      </c>
      <c r="AR43" s="97"/>
      <c r="AU43" s="97">
        <v>45877</v>
      </c>
      <c r="AW43" t="s">
        <v>5</v>
      </c>
      <c r="AY43" s="81">
        <v>0.42254629629629631</v>
      </c>
      <c r="AZ43" s="81">
        <v>0.4271064814814815</v>
      </c>
      <c r="BA43" s="37">
        <v>2746</v>
      </c>
      <c r="BB43" t="s">
        <v>1516</v>
      </c>
      <c r="BC43" s="97">
        <v>45877</v>
      </c>
    </row>
    <row r="44" spans="2:55" ht="16" x14ac:dyDescent="0.4">
      <c r="B44" s="15" t="s">
        <v>6</v>
      </c>
      <c r="G44" s="16"/>
      <c r="H44" s="16"/>
      <c r="I44" s="16"/>
      <c r="J44" s="16"/>
      <c r="K44" s="14"/>
      <c r="V44" s="97">
        <v>45874</v>
      </c>
      <c r="W44" s="16">
        <v>180010</v>
      </c>
      <c r="X44" s="101" t="s">
        <v>36</v>
      </c>
      <c r="Y44" s="105"/>
      <c r="Z44" s="102">
        <v>0.34376157407407404</v>
      </c>
      <c r="AA44" s="102">
        <v>0.34403935185185186</v>
      </c>
      <c r="AB44" s="16"/>
      <c r="AC44" s="16"/>
      <c r="AD44" s="93">
        <v>17554</v>
      </c>
      <c r="AE44" s="93">
        <f t="shared" si="15"/>
        <v>17.553999999999998</v>
      </c>
      <c r="AF44" s="16">
        <v>15.13</v>
      </c>
      <c r="AG44" s="103">
        <f t="shared" si="1"/>
        <v>14</v>
      </c>
      <c r="AH44" s="37">
        <f t="shared" si="2"/>
        <v>17.553999999999998</v>
      </c>
      <c r="AJ44" s="97">
        <v>45877</v>
      </c>
      <c r="AK44" t="s">
        <v>1585</v>
      </c>
      <c r="AL44" t="s">
        <v>5</v>
      </c>
      <c r="AN44" s="81" t="s">
        <v>1730</v>
      </c>
      <c r="AO44" t="s">
        <v>1730</v>
      </c>
      <c r="AP44" s="37">
        <v>760</v>
      </c>
      <c r="AR44" s="97"/>
      <c r="AU44" s="97">
        <v>45877</v>
      </c>
      <c r="AW44" t="s">
        <v>5</v>
      </c>
      <c r="AY44" s="81">
        <v>0.69210648148148157</v>
      </c>
      <c r="AZ44">
        <v>0.37206018518518519</v>
      </c>
      <c r="BA44" s="37">
        <v>3612</v>
      </c>
      <c r="BB44" t="s">
        <v>49</v>
      </c>
      <c r="BC44" s="97">
        <v>45877</v>
      </c>
    </row>
    <row r="45" spans="2:55" ht="16" x14ac:dyDescent="0.4">
      <c r="B45" t="s">
        <v>7</v>
      </c>
      <c r="G45" s="23"/>
      <c r="H45" s="23"/>
      <c r="I45" s="23"/>
      <c r="J45" s="17"/>
      <c r="K45" s="18"/>
      <c r="V45" s="97">
        <v>45874</v>
      </c>
      <c r="W45" s="16">
        <v>180078</v>
      </c>
      <c r="X45" s="101" t="s">
        <v>36</v>
      </c>
      <c r="Y45" s="105"/>
      <c r="Z45" s="102">
        <v>0.75260416666666663</v>
      </c>
      <c r="AA45" s="102">
        <v>0.41431712962962958</v>
      </c>
      <c r="AB45" s="16"/>
      <c r="AC45" s="16"/>
      <c r="AD45" s="93">
        <v>18588</v>
      </c>
      <c r="AE45" s="93">
        <f t="shared" si="15"/>
        <v>18.588000000000001</v>
      </c>
      <c r="AF45" s="16">
        <v>15.81</v>
      </c>
      <c r="AG45" s="103">
        <f t="shared" si="1"/>
        <v>14</v>
      </c>
      <c r="AH45" s="37">
        <f t="shared" si="2"/>
        <v>18.588000000000001</v>
      </c>
      <c r="AJ45" s="97">
        <v>45877</v>
      </c>
      <c r="AK45" t="s">
        <v>1586</v>
      </c>
      <c r="AL45" t="s">
        <v>5</v>
      </c>
      <c r="AN45" s="81" t="s">
        <v>1731</v>
      </c>
      <c r="AO45" t="s">
        <v>1732</v>
      </c>
      <c r="AP45" s="37">
        <v>2530</v>
      </c>
      <c r="AR45" s="97"/>
      <c r="AU45" s="97">
        <v>45878</v>
      </c>
      <c r="AW45" t="s">
        <v>5</v>
      </c>
      <c r="AY45" s="81">
        <v>0.4279513888888889</v>
      </c>
      <c r="AZ45">
        <v>0.52930555555555558</v>
      </c>
      <c r="BA45" s="37">
        <v>2988</v>
      </c>
      <c r="BB45" t="s">
        <v>1517</v>
      </c>
      <c r="BC45" s="97">
        <v>45878</v>
      </c>
    </row>
    <row r="46" spans="2:55" ht="16" x14ac:dyDescent="0.4">
      <c r="B46" t="s">
        <v>8</v>
      </c>
      <c r="F46" s="23"/>
      <c r="G46" s="23"/>
      <c r="H46" s="23"/>
      <c r="I46" s="23"/>
      <c r="J46" s="23"/>
      <c r="K46" s="23"/>
      <c r="V46" s="97">
        <v>45874</v>
      </c>
      <c r="W46" s="16">
        <v>180121</v>
      </c>
      <c r="X46" s="101" t="s">
        <v>36</v>
      </c>
      <c r="Y46" s="105"/>
      <c r="Z46" s="102">
        <v>0.40195601851851853</v>
      </c>
      <c r="AA46" s="102">
        <v>0.51159722222222215</v>
      </c>
      <c r="AB46" s="16"/>
      <c r="AC46" s="16"/>
      <c r="AD46" s="93">
        <v>19080</v>
      </c>
      <c r="AE46" s="93">
        <f t="shared" si="15"/>
        <v>19.079999999999998</v>
      </c>
      <c r="AF46" s="16">
        <v>15.24</v>
      </c>
      <c r="AG46" s="103">
        <f t="shared" si="1"/>
        <v>14</v>
      </c>
      <c r="AH46" s="37">
        <f t="shared" si="2"/>
        <v>19.080000000000002</v>
      </c>
      <c r="AJ46" s="97">
        <v>45878</v>
      </c>
      <c r="AK46" t="s">
        <v>1587</v>
      </c>
      <c r="AL46" t="s">
        <v>5</v>
      </c>
      <c r="AN46" s="81" t="s">
        <v>1733</v>
      </c>
      <c r="AO46" s="81" t="s">
        <v>1734</v>
      </c>
      <c r="AP46" s="37">
        <v>1510</v>
      </c>
      <c r="AR46" s="97"/>
      <c r="AU46" s="97">
        <v>45878</v>
      </c>
      <c r="AW46" t="s">
        <v>5</v>
      </c>
      <c r="AY46" s="81">
        <v>0.41133101851851855</v>
      </c>
      <c r="AZ46" s="81">
        <v>0.42747685185185186</v>
      </c>
      <c r="BA46" s="37">
        <v>2946</v>
      </c>
      <c r="BB46" t="s">
        <v>1518</v>
      </c>
      <c r="BC46" s="97">
        <v>45878</v>
      </c>
    </row>
    <row r="47" spans="2:55" ht="16" x14ac:dyDescent="0.4">
      <c r="B47" t="s">
        <v>9</v>
      </c>
      <c r="F47" s="23"/>
      <c r="G47" s="30"/>
      <c r="H47" s="30"/>
      <c r="I47" s="30"/>
      <c r="V47" s="97">
        <v>45874</v>
      </c>
      <c r="W47" s="16">
        <v>180167</v>
      </c>
      <c r="X47" s="101" t="s">
        <v>36</v>
      </c>
      <c r="Y47" s="105"/>
      <c r="Z47" s="102">
        <v>0.49532407407407408</v>
      </c>
      <c r="AA47" s="102">
        <v>0.58284722222222218</v>
      </c>
      <c r="AB47" s="16"/>
      <c r="AC47" s="16"/>
      <c r="AD47" s="93">
        <v>20040</v>
      </c>
      <c r="AE47" s="93">
        <f t="shared" si="15"/>
        <v>20.04</v>
      </c>
      <c r="AF47" s="16">
        <v>15.16</v>
      </c>
      <c r="AG47" s="103">
        <f t="shared" si="1"/>
        <v>14</v>
      </c>
      <c r="AH47" s="37">
        <f t="shared" si="2"/>
        <v>20.04</v>
      </c>
      <c r="AJ47" s="97">
        <v>45878</v>
      </c>
      <c r="AK47" t="s">
        <v>1588</v>
      </c>
      <c r="AL47" t="s">
        <v>5</v>
      </c>
      <c r="AN47" s="81" t="s">
        <v>1735</v>
      </c>
      <c r="AO47" t="s">
        <v>1735</v>
      </c>
      <c r="AP47" s="37">
        <v>3000</v>
      </c>
      <c r="AR47" s="97"/>
      <c r="AU47" s="97">
        <v>45878</v>
      </c>
      <c r="AW47" t="s">
        <v>5</v>
      </c>
      <c r="AY47" s="81">
        <v>0.45119212962962968</v>
      </c>
      <c r="AZ47">
        <v>0.47918981481481482</v>
      </c>
      <c r="BA47" s="37">
        <v>3330</v>
      </c>
      <c r="BB47" t="s">
        <v>1499</v>
      </c>
      <c r="BC47" s="97">
        <v>45878</v>
      </c>
    </row>
    <row r="48" spans="2:55" ht="16" x14ac:dyDescent="0.4">
      <c r="B48" t="s">
        <v>10</v>
      </c>
      <c r="V48" s="97">
        <v>45874</v>
      </c>
      <c r="W48" s="16">
        <v>180220</v>
      </c>
      <c r="X48" s="101" t="s">
        <v>36</v>
      </c>
      <c r="Y48" s="105"/>
      <c r="Z48" s="102">
        <v>0.40146990740740746</v>
      </c>
      <c r="AA48" s="102">
        <v>0.65532407407407411</v>
      </c>
      <c r="AB48" s="16"/>
      <c r="AC48" s="16"/>
      <c r="AD48" s="93">
        <v>18132</v>
      </c>
      <c r="AE48" s="93">
        <f t="shared" si="15"/>
        <v>18.132000000000001</v>
      </c>
      <c r="AF48" s="16">
        <v>14.59</v>
      </c>
      <c r="AG48" s="103">
        <f t="shared" si="1"/>
        <v>14</v>
      </c>
      <c r="AH48" s="37">
        <f t="shared" si="2"/>
        <v>18.132000000000001</v>
      </c>
      <c r="AJ48" s="97">
        <v>45878</v>
      </c>
      <c r="AK48" t="s">
        <v>1589</v>
      </c>
      <c r="AL48" t="s">
        <v>5</v>
      </c>
      <c r="AN48" t="s">
        <v>1736</v>
      </c>
      <c r="AO48" t="s">
        <v>1736</v>
      </c>
      <c r="AP48" s="37">
        <v>3540</v>
      </c>
      <c r="AR48" s="97"/>
      <c r="AU48" s="97">
        <v>45878</v>
      </c>
      <c r="AW48" t="s">
        <v>5</v>
      </c>
      <c r="AY48">
        <v>0.57991898148148147</v>
      </c>
      <c r="AZ48">
        <v>0.59902777777777783</v>
      </c>
      <c r="BA48" s="37">
        <v>2764</v>
      </c>
      <c r="BB48" t="s">
        <v>1519</v>
      </c>
      <c r="BC48" s="97">
        <v>45878</v>
      </c>
    </row>
    <row r="49" spans="2:56" ht="16" x14ac:dyDescent="0.4">
      <c r="V49" s="97">
        <v>45874</v>
      </c>
      <c r="W49" s="16">
        <v>180252</v>
      </c>
      <c r="X49" s="101" t="s">
        <v>36</v>
      </c>
      <c r="Y49" s="105"/>
      <c r="Z49" s="102">
        <v>0.49519675925925927</v>
      </c>
      <c r="AA49" s="102">
        <v>0.7190509259259259</v>
      </c>
      <c r="AB49" s="16"/>
      <c r="AC49" s="16"/>
      <c r="AD49" s="93">
        <v>19914</v>
      </c>
      <c r="AE49" s="93">
        <f t="shared" si="15"/>
        <v>19.914000000000001</v>
      </c>
      <c r="AF49" s="16">
        <v>16.48</v>
      </c>
      <c r="AG49" s="103">
        <f t="shared" si="1"/>
        <v>14</v>
      </c>
      <c r="AH49" s="37">
        <f t="shared" si="2"/>
        <v>19.914000000000005</v>
      </c>
      <c r="AJ49" s="97">
        <v>45878</v>
      </c>
      <c r="AK49" t="s">
        <v>1590</v>
      </c>
      <c r="AL49" t="s">
        <v>5</v>
      </c>
      <c r="AN49" s="81" t="s">
        <v>1737</v>
      </c>
      <c r="AO49" t="s">
        <v>1737</v>
      </c>
      <c r="AP49" s="37">
        <v>3020</v>
      </c>
      <c r="AR49" s="97"/>
      <c r="AU49" s="97">
        <v>45878</v>
      </c>
      <c r="AW49" t="s">
        <v>5</v>
      </c>
      <c r="AY49" s="81">
        <v>0.38346064814814818</v>
      </c>
      <c r="AZ49">
        <v>0.40636574074074078</v>
      </c>
      <c r="BA49" s="37">
        <v>3126</v>
      </c>
      <c r="BB49" t="s">
        <v>1520</v>
      </c>
      <c r="BC49" s="97">
        <v>45878</v>
      </c>
    </row>
    <row r="50" spans="2:56" ht="16" x14ac:dyDescent="0.4">
      <c r="B50" t="s">
        <v>11</v>
      </c>
      <c r="J50" t="s">
        <v>11</v>
      </c>
      <c r="V50" s="97">
        <v>45874</v>
      </c>
      <c r="W50" s="16">
        <v>180267</v>
      </c>
      <c r="X50" s="101" t="s">
        <v>36</v>
      </c>
      <c r="Y50" s="105"/>
      <c r="Z50" s="102">
        <v>0.70277777777777783</v>
      </c>
      <c r="AA50" s="102">
        <v>0.77916666666666667</v>
      </c>
      <c r="AB50" s="16"/>
      <c r="AC50" s="16"/>
      <c r="AD50" s="93">
        <v>19670</v>
      </c>
      <c r="AE50" s="93">
        <f t="shared" si="15"/>
        <v>19.670000000000002</v>
      </c>
      <c r="AF50" s="16">
        <v>14.08</v>
      </c>
      <c r="AG50" s="103">
        <f t="shared" si="1"/>
        <v>14</v>
      </c>
      <c r="AH50" s="37">
        <f t="shared" si="2"/>
        <v>19.669999999999998</v>
      </c>
      <c r="AJ50" s="97">
        <v>45878</v>
      </c>
      <c r="AK50" t="s">
        <v>1591</v>
      </c>
      <c r="AL50" t="s">
        <v>5</v>
      </c>
      <c r="AN50" s="81" t="s">
        <v>1738</v>
      </c>
      <c r="AO50" t="s">
        <v>1738</v>
      </c>
      <c r="AP50" s="37">
        <v>2950</v>
      </c>
      <c r="AR50" s="97"/>
      <c r="AU50" s="97">
        <v>45878</v>
      </c>
      <c r="AW50" t="s">
        <v>5</v>
      </c>
      <c r="AY50" s="81">
        <v>0.44207175925925929</v>
      </c>
      <c r="AZ50">
        <v>0.34567129629629628</v>
      </c>
      <c r="BA50" s="37">
        <v>2898</v>
      </c>
      <c r="BB50" t="s">
        <v>1518</v>
      </c>
      <c r="BC50" s="97">
        <v>45878</v>
      </c>
    </row>
    <row r="51" spans="2:56" ht="16" x14ac:dyDescent="0.4">
      <c r="V51" s="97">
        <v>45874</v>
      </c>
      <c r="W51" s="16">
        <v>180307</v>
      </c>
      <c r="X51" s="101" t="s">
        <v>36</v>
      </c>
      <c r="Y51" s="105"/>
      <c r="Z51" s="102">
        <v>0.49444444444444446</v>
      </c>
      <c r="AA51" s="102">
        <v>0.86111111111111116</v>
      </c>
      <c r="AB51" s="16"/>
      <c r="AC51" s="16"/>
      <c r="AD51" s="93">
        <v>19510</v>
      </c>
      <c r="AE51" s="93">
        <f t="shared" si="15"/>
        <v>19.510000000000002</v>
      </c>
      <c r="AF51" s="16">
        <v>15.06</v>
      </c>
      <c r="AG51" s="103">
        <f t="shared" si="1"/>
        <v>14</v>
      </c>
      <c r="AH51" s="37">
        <f t="shared" si="2"/>
        <v>19.510000000000002</v>
      </c>
      <c r="AJ51" s="97">
        <v>45878</v>
      </c>
      <c r="AK51" t="s">
        <v>1592</v>
      </c>
      <c r="AL51" t="s">
        <v>5</v>
      </c>
      <c r="AN51" s="81" t="s">
        <v>1739</v>
      </c>
      <c r="AO51" t="s">
        <v>1739</v>
      </c>
      <c r="AP51" s="37">
        <v>3330</v>
      </c>
      <c r="AR51" s="97"/>
      <c r="AU51" s="97">
        <v>45878</v>
      </c>
      <c r="AW51" t="s">
        <v>5</v>
      </c>
      <c r="AY51" s="81">
        <v>0.4878587962962963</v>
      </c>
      <c r="BA51" s="37">
        <v>4970</v>
      </c>
      <c r="BB51" t="s">
        <v>1506</v>
      </c>
      <c r="BC51" s="97">
        <v>45878</v>
      </c>
    </row>
    <row r="52" spans="2:56" ht="16" x14ac:dyDescent="0.4">
      <c r="V52" s="97">
        <v>45874</v>
      </c>
      <c r="W52" s="16">
        <v>180339</v>
      </c>
      <c r="X52" s="101" t="s">
        <v>36</v>
      </c>
      <c r="Y52" s="105"/>
      <c r="Z52" s="102">
        <v>0.70208333333333339</v>
      </c>
      <c r="AA52" s="102">
        <v>0.1013888888888889</v>
      </c>
      <c r="AB52" s="16"/>
      <c r="AC52" s="16"/>
      <c r="AD52" s="93">
        <v>19762</v>
      </c>
      <c r="AE52" s="93">
        <f t="shared" si="15"/>
        <v>19.762</v>
      </c>
      <c r="AF52" s="16">
        <v>14.88</v>
      </c>
      <c r="AG52" s="103">
        <f t="shared" si="1"/>
        <v>14</v>
      </c>
      <c r="AH52" s="37">
        <f t="shared" si="2"/>
        <v>19.762</v>
      </c>
      <c r="AJ52" s="97">
        <v>45878</v>
      </c>
      <c r="AK52" t="s">
        <v>1593</v>
      </c>
      <c r="AL52" t="s">
        <v>5</v>
      </c>
      <c r="AN52" s="81" t="s">
        <v>1740</v>
      </c>
      <c r="AO52" t="s">
        <v>1740</v>
      </c>
      <c r="AP52" s="37">
        <v>2830</v>
      </c>
      <c r="AR52" s="97"/>
      <c r="AU52" s="97">
        <v>45878</v>
      </c>
      <c r="AW52" t="s">
        <v>5</v>
      </c>
      <c r="AY52" s="81">
        <v>0.3558101851851852</v>
      </c>
      <c r="AZ52">
        <v>0.37986111111111115</v>
      </c>
      <c r="BA52" s="37">
        <v>3610</v>
      </c>
      <c r="BB52" t="s">
        <v>1521</v>
      </c>
      <c r="BC52" s="97">
        <v>45878</v>
      </c>
    </row>
    <row r="53" spans="2:56" ht="16.5" thickBot="1" x14ac:dyDescent="0.45">
      <c r="B53" s="19" t="s">
        <v>12</v>
      </c>
      <c r="C53" s="19"/>
      <c r="J53" s="19"/>
      <c r="K53" s="19"/>
      <c r="L53" s="19"/>
      <c r="V53" s="97">
        <v>45875</v>
      </c>
      <c r="W53" s="16">
        <v>180356</v>
      </c>
      <c r="X53" s="101" t="s">
        <v>36</v>
      </c>
      <c r="Y53" s="105"/>
      <c r="Z53" s="102">
        <v>0.14444444444444446</v>
      </c>
      <c r="AA53" s="102">
        <v>1.1805555555555555E-2</v>
      </c>
      <c r="AB53" s="16"/>
      <c r="AC53" s="16"/>
      <c r="AD53" s="93">
        <v>16664</v>
      </c>
      <c r="AE53" s="93">
        <f t="shared" si="15"/>
        <v>16.664000000000001</v>
      </c>
      <c r="AF53" s="16">
        <v>14.68</v>
      </c>
      <c r="AG53" s="103">
        <f t="shared" si="1"/>
        <v>14</v>
      </c>
      <c r="AH53" s="37">
        <f t="shared" si="2"/>
        <v>16.664000000000001</v>
      </c>
      <c r="AJ53" s="97">
        <v>45878</v>
      </c>
      <c r="AK53" t="s">
        <v>1594</v>
      </c>
      <c r="AL53" t="s">
        <v>5</v>
      </c>
      <c r="AN53" s="81" t="s">
        <v>1741</v>
      </c>
      <c r="AO53" t="s">
        <v>1742</v>
      </c>
      <c r="AP53" s="37">
        <v>5000</v>
      </c>
      <c r="AR53" s="97"/>
      <c r="AS53" s="88"/>
      <c r="AU53" s="97">
        <v>45878</v>
      </c>
      <c r="AW53" t="s">
        <v>5</v>
      </c>
      <c r="AY53" s="81">
        <v>0.6256828703703704</v>
      </c>
      <c r="AZ53">
        <v>0.64254629629629634</v>
      </c>
      <c r="BA53" s="37">
        <v>2522</v>
      </c>
      <c r="BB53" t="s">
        <v>1520</v>
      </c>
      <c r="BC53" s="97">
        <v>45878</v>
      </c>
      <c r="BD53" s="88"/>
    </row>
    <row r="54" spans="2:56" ht="16" x14ac:dyDescent="0.4">
      <c r="B54" t="s">
        <v>13</v>
      </c>
      <c r="J54" t="s">
        <v>14</v>
      </c>
      <c r="V54" s="97">
        <v>45875</v>
      </c>
      <c r="W54" s="16">
        <v>180371</v>
      </c>
      <c r="X54" s="101" t="s">
        <v>36</v>
      </c>
      <c r="Y54" s="105"/>
      <c r="Z54" s="102">
        <v>0.40069444444444446</v>
      </c>
      <c r="AA54" s="102">
        <v>7.8472222222222221E-2</v>
      </c>
      <c r="AB54" s="16"/>
      <c r="AC54" s="16"/>
      <c r="AD54" s="93">
        <v>19072</v>
      </c>
      <c r="AE54" s="93">
        <f t="shared" si="15"/>
        <v>19.071999999999999</v>
      </c>
      <c r="AF54" s="16">
        <v>15.38</v>
      </c>
      <c r="AG54" s="103">
        <f t="shared" si="1"/>
        <v>14</v>
      </c>
      <c r="AH54" s="37">
        <f t="shared" si="2"/>
        <v>19.071999999999999</v>
      </c>
      <c r="AJ54" s="97">
        <v>45878</v>
      </c>
      <c r="AK54" t="s">
        <v>1595</v>
      </c>
      <c r="AL54" t="s">
        <v>5</v>
      </c>
      <c r="AN54" t="s">
        <v>1743</v>
      </c>
      <c r="AO54" t="s">
        <v>1744</v>
      </c>
      <c r="AP54" s="37">
        <v>1880</v>
      </c>
      <c r="AR54" s="97"/>
      <c r="AS54" s="88"/>
      <c r="AU54" s="97">
        <v>45878</v>
      </c>
      <c r="AW54" t="s">
        <v>5</v>
      </c>
      <c r="AY54">
        <v>0.49800925925925926</v>
      </c>
      <c r="AZ54">
        <v>0.51515046296296296</v>
      </c>
      <c r="BA54" s="37">
        <v>3198</v>
      </c>
      <c r="BB54" t="s">
        <v>1522</v>
      </c>
      <c r="BC54" s="97">
        <v>45878</v>
      </c>
      <c r="BD54" s="88"/>
    </row>
    <row r="55" spans="2:56" ht="16" x14ac:dyDescent="0.4">
      <c r="V55" s="97">
        <v>45875</v>
      </c>
      <c r="W55" s="16">
        <v>180382</v>
      </c>
      <c r="X55" s="101" t="s">
        <v>36</v>
      </c>
      <c r="Y55" s="105"/>
      <c r="Z55" s="102">
        <v>0.90694444444444444</v>
      </c>
      <c r="AA55" s="102">
        <v>0.15486111111111112</v>
      </c>
      <c r="AB55" s="16"/>
      <c r="AC55" s="16"/>
      <c r="AD55" s="93">
        <v>19344</v>
      </c>
      <c r="AE55" s="93">
        <f t="shared" si="15"/>
        <v>19.344000000000001</v>
      </c>
      <c r="AF55" s="16">
        <v>14.77</v>
      </c>
      <c r="AG55" s="103">
        <f t="shared" si="1"/>
        <v>14</v>
      </c>
      <c r="AH55" s="37">
        <f t="shared" si="2"/>
        <v>19.344000000000001</v>
      </c>
      <c r="AJ55" s="97">
        <v>45878</v>
      </c>
      <c r="AK55" t="s">
        <v>1596</v>
      </c>
      <c r="AL55" t="s">
        <v>5</v>
      </c>
      <c r="AN55" s="81" t="s">
        <v>1745</v>
      </c>
      <c r="AO55" s="81" t="s">
        <v>1746</v>
      </c>
      <c r="AP55" s="37">
        <v>3120</v>
      </c>
      <c r="AR55" s="97"/>
      <c r="AS55" s="38"/>
      <c r="AU55" s="97">
        <v>45878</v>
      </c>
      <c r="AW55" t="s">
        <v>5</v>
      </c>
      <c r="AY55" s="81">
        <v>0.45914351851851848</v>
      </c>
      <c r="AZ55" s="81">
        <v>0.48011574074074076</v>
      </c>
      <c r="BA55" s="37">
        <v>2930</v>
      </c>
      <c r="BB55" t="s">
        <v>1523</v>
      </c>
      <c r="BC55" s="97">
        <v>45878</v>
      </c>
      <c r="BD55" s="38"/>
    </row>
    <row r="56" spans="2:56" ht="16" x14ac:dyDescent="0.4">
      <c r="V56" s="97">
        <v>45875</v>
      </c>
      <c r="W56" s="16">
        <v>180387</v>
      </c>
      <c r="X56" s="101" t="s">
        <v>36</v>
      </c>
      <c r="Y56" s="105"/>
      <c r="Z56" s="102">
        <v>0.98055555555555562</v>
      </c>
      <c r="AA56" s="102">
        <v>0.21666666666666667</v>
      </c>
      <c r="AB56" s="16"/>
      <c r="AC56" s="16"/>
      <c r="AD56" s="93">
        <v>19724</v>
      </c>
      <c r="AE56" s="93">
        <f t="shared" si="15"/>
        <v>19.724</v>
      </c>
      <c r="AF56" s="16">
        <v>15.59</v>
      </c>
      <c r="AG56" s="103">
        <f t="shared" si="1"/>
        <v>14</v>
      </c>
      <c r="AH56" s="37">
        <f t="shared" si="2"/>
        <v>19.724</v>
      </c>
      <c r="AJ56" s="97">
        <v>45878</v>
      </c>
      <c r="AK56" t="s">
        <v>1597</v>
      </c>
      <c r="AL56" t="s">
        <v>5</v>
      </c>
      <c r="AN56" s="81" t="s">
        <v>1747</v>
      </c>
      <c r="AO56" s="81" t="s">
        <v>1747</v>
      </c>
      <c r="AP56" s="37">
        <v>2990</v>
      </c>
      <c r="AR56" s="97"/>
      <c r="AS56" s="38"/>
      <c r="AU56" s="97">
        <v>45878</v>
      </c>
      <c r="AW56" t="s">
        <v>5</v>
      </c>
      <c r="AY56" s="81">
        <v>0.48019675925925925</v>
      </c>
      <c r="AZ56" s="81">
        <v>0.61586805555555557</v>
      </c>
      <c r="BA56" s="37">
        <v>2364</v>
      </c>
      <c r="BB56" t="s">
        <v>1524</v>
      </c>
      <c r="BC56" s="97">
        <v>45878</v>
      </c>
      <c r="BD56" s="38"/>
    </row>
    <row r="57" spans="2:56" ht="16" x14ac:dyDescent="0.4">
      <c r="V57" s="97">
        <v>45875</v>
      </c>
      <c r="W57" s="16">
        <v>180410</v>
      </c>
      <c r="X57" s="101" t="s">
        <v>36</v>
      </c>
      <c r="Y57" s="105"/>
      <c r="Z57" s="102">
        <v>0.90724537037037034</v>
      </c>
      <c r="AA57" s="102">
        <v>0.30261574074074077</v>
      </c>
      <c r="AB57" s="16"/>
      <c r="AC57" s="16"/>
      <c r="AD57" s="93">
        <v>18582</v>
      </c>
      <c r="AE57" s="93">
        <f t="shared" si="15"/>
        <v>18.582000000000001</v>
      </c>
      <c r="AF57" s="16">
        <v>16.18</v>
      </c>
      <c r="AG57" s="103">
        <f t="shared" si="1"/>
        <v>14</v>
      </c>
      <c r="AH57" s="37">
        <f t="shared" si="2"/>
        <v>18.582000000000001</v>
      </c>
      <c r="AJ57" s="97">
        <v>45878</v>
      </c>
      <c r="AK57" t="s">
        <v>1598</v>
      </c>
      <c r="AL57" t="s">
        <v>5</v>
      </c>
      <c r="AN57" s="81" t="s">
        <v>1748</v>
      </c>
      <c r="AO57" s="81" t="s">
        <v>1748</v>
      </c>
      <c r="AP57" s="37">
        <v>2170</v>
      </c>
      <c r="AR57" s="97"/>
      <c r="AS57" s="38"/>
      <c r="AU57" s="97">
        <v>45878</v>
      </c>
      <c r="AW57" t="s">
        <v>5</v>
      </c>
      <c r="AY57" s="81">
        <v>0.50375000000000003</v>
      </c>
      <c r="AZ57" s="81">
        <v>0.69483796296296296</v>
      </c>
      <c r="BA57" s="37">
        <v>4854</v>
      </c>
      <c r="BB57" t="s">
        <v>1506</v>
      </c>
      <c r="BC57" s="97">
        <v>45878</v>
      </c>
      <c r="BD57" s="38"/>
    </row>
    <row r="58" spans="2:56" ht="16" x14ac:dyDescent="0.4">
      <c r="V58" s="97">
        <v>45875</v>
      </c>
      <c r="W58" s="16">
        <v>180503</v>
      </c>
      <c r="X58" s="101" t="s">
        <v>36</v>
      </c>
      <c r="Y58" s="105"/>
      <c r="Z58" s="102">
        <v>1.3558796296296298</v>
      </c>
      <c r="AA58" s="102">
        <v>0.38158564814814816</v>
      </c>
      <c r="AB58" s="16"/>
      <c r="AC58" s="16"/>
      <c r="AD58" s="93">
        <v>18922</v>
      </c>
      <c r="AE58" s="93">
        <f t="shared" si="15"/>
        <v>18.922000000000001</v>
      </c>
      <c r="AF58" s="16">
        <v>16.02</v>
      </c>
      <c r="AG58" s="103">
        <f t="shared" si="1"/>
        <v>14</v>
      </c>
      <c r="AH58" s="37">
        <f t="shared" si="2"/>
        <v>18.922000000000001</v>
      </c>
      <c r="AJ58" s="97">
        <v>45878</v>
      </c>
      <c r="AK58" t="s">
        <v>1599</v>
      </c>
      <c r="AL58" t="s">
        <v>5</v>
      </c>
      <c r="AN58" s="81" t="s">
        <v>1746</v>
      </c>
      <c r="AO58" s="81" t="s">
        <v>1746</v>
      </c>
      <c r="AP58" s="37">
        <v>2460</v>
      </c>
      <c r="AR58" s="97"/>
      <c r="AS58" s="38"/>
      <c r="AU58" s="97">
        <v>45880</v>
      </c>
      <c r="AW58" t="s">
        <v>5</v>
      </c>
      <c r="AY58" s="81">
        <v>0.54305555555555551</v>
      </c>
      <c r="AZ58" s="81">
        <v>0.41944444444444445</v>
      </c>
      <c r="BA58" s="37">
        <v>3106</v>
      </c>
      <c r="BB58" t="s">
        <v>1525</v>
      </c>
      <c r="BC58" s="97">
        <v>45880</v>
      </c>
      <c r="BD58" s="38"/>
    </row>
    <row r="59" spans="2:56" ht="16" x14ac:dyDescent="0.4">
      <c r="V59" s="97">
        <v>45875</v>
      </c>
      <c r="W59" s="16">
        <v>180560</v>
      </c>
      <c r="X59" s="101" t="s">
        <v>36</v>
      </c>
      <c r="Y59" s="105"/>
      <c r="Z59" s="102">
        <v>0.34640046296296295</v>
      </c>
      <c r="AA59" s="102">
        <v>0.4848958333333333</v>
      </c>
      <c r="AB59" s="16"/>
      <c r="AC59" s="16"/>
      <c r="AD59" s="93">
        <v>20270</v>
      </c>
      <c r="AE59" s="93">
        <f t="shared" si="15"/>
        <v>20.27</v>
      </c>
      <c r="AF59" s="16">
        <v>14.95</v>
      </c>
      <c r="AG59" s="103">
        <f t="shared" si="1"/>
        <v>14</v>
      </c>
      <c r="AH59" s="37">
        <f t="shared" si="2"/>
        <v>20.27</v>
      </c>
      <c r="AJ59" s="97">
        <v>45878</v>
      </c>
      <c r="AK59" t="s">
        <v>1600</v>
      </c>
      <c r="AL59" t="s">
        <v>5</v>
      </c>
      <c r="AN59" s="81" t="s">
        <v>1749</v>
      </c>
      <c r="AO59" s="81" t="s">
        <v>1749</v>
      </c>
      <c r="AP59" s="37">
        <v>4910</v>
      </c>
      <c r="AR59" s="97"/>
      <c r="AS59" s="38"/>
      <c r="AU59" s="97">
        <v>45879</v>
      </c>
      <c r="AW59" t="s">
        <v>5</v>
      </c>
      <c r="AY59" s="81">
        <v>0.12916666666666668</v>
      </c>
      <c r="AZ59" s="81">
        <v>0.13263888888888889</v>
      </c>
      <c r="BA59" s="37">
        <v>3928</v>
      </c>
      <c r="BC59" s="97">
        <v>45880</v>
      </c>
      <c r="BD59" s="38"/>
    </row>
    <row r="60" spans="2:56" ht="16" x14ac:dyDescent="0.4">
      <c r="V60" s="97">
        <v>45875</v>
      </c>
      <c r="W60" s="16">
        <v>180601</v>
      </c>
      <c r="X60" s="101" t="s">
        <v>36</v>
      </c>
      <c r="Y60" s="105"/>
      <c r="Z60" s="102">
        <v>0.44436342592592593</v>
      </c>
      <c r="AA60" s="102">
        <v>0.54945601851851855</v>
      </c>
      <c r="AB60" s="16"/>
      <c r="AC60" s="16"/>
      <c r="AD60" s="93">
        <v>18050</v>
      </c>
      <c r="AE60" s="93">
        <f t="shared" si="15"/>
        <v>18.05</v>
      </c>
      <c r="AF60" s="16">
        <v>15.95</v>
      </c>
      <c r="AG60" s="103">
        <f t="shared" si="1"/>
        <v>14</v>
      </c>
      <c r="AH60" s="37">
        <f t="shared" si="2"/>
        <v>18.05</v>
      </c>
      <c r="AJ60" s="97">
        <v>45880</v>
      </c>
      <c r="AK60" t="s">
        <v>1601</v>
      </c>
      <c r="AL60" t="s">
        <v>5</v>
      </c>
      <c r="AN60" s="81" t="s">
        <v>1750</v>
      </c>
      <c r="AO60" s="81" t="s">
        <v>1750</v>
      </c>
      <c r="AP60" s="37">
        <v>3130</v>
      </c>
      <c r="AR60" s="97"/>
      <c r="AS60" s="38"/>
      <c r="AU60" s="97">
        <v>45878</v>
      </c>
      <c r="AW60" t="s">
        <v>5</v>
      </c>
      <c r="AY60" s="81">
        <v>0.27986111111111112</v>
      </c>
      <c r="AZ60" s="81">
        <v>0.33749999999999997</v>
      </c>
      <c r="BA60" s="37">
        <v>1530</v>
      </c>
      <c r="BC60" s="97">
        <v>45880</v>
      </c>
      <c r="BD60" s="38"/>
    </row>
    <row r="61" spans="2:56" ht="16" x14ac:dyDescent="0.4">
      <c r="V61" s="97">
        <v>45875</v>
      </c>
      <c r="W61" s="16">
        <v>180649</v>
      </c>
      <c r="X61" s="101" t="s">
        <v>36</v>
      </c>
      <c r="Y61" s="105"/>
      <c r="Z61" s="102">
        <v>0.34627314814814819</v>
      </c>
      <c r="AA61" s="102">
        <v>0.61796296296296294</v>
      </c>
      <c r="AB61" s="16"/>
      <c r="AC61" s="16"/>
      <c r="AD61" s="93">
        <v>21112</v>
      </c>
      <c r="AE61" s="93">
        <f t="shared" si="15"/>
        <v>21.111999999999998</v>
      </c>
      <c r="AF61" s="16">
        <v>13.02</v>
      </c>
      <c r="AG61" s="103">
        <f t="shared" si="1"/>
        <v>13.02</v>
      </c>
      <c r="AH61" s="37">
        <f t="shared" si="2"/>
        <v>19.634159999999998</v>
      </c>
      <c r="AJ61" s="97">
        <v>45880</v>
      </c>
      <c r="AK61" t="s">
        <v>1602</v>
      </c>
      <c r="AL61" t="s">
        <v>5</v>
      </c>
      <c r="AN61" s="81" t="s">
        <v>1751</v>
      </c>
      <c r="AO61" s="81" t="s">
        <v>1751</v>
      </c>
      <c r="AP61" s="37">
        <v>3740</v>
      </c>
      <c r="AR61" s="97"/>
      <c r="AS61" s="38"/>
      <c r="AU61" s="97">
        <v>45880</v>
      </c>
      <c r="AW61" t="s">
        <v>5</v>
      </c>
      <c r="AY61" s="81">
        <v>0.44027777777777777</v>
      </c>
      <c r="AZ61" s="81">
        <v>0.47013888888888888</v>
      </c>
      <c r="BA61" s="37">
        <v>3766</v>
      </c>
      <c r="BB61" t="s">
        <v>1525</v>
      </c>
      <c r="BC61" s="97">
        <v>45880</v>
      </c>
      <c r="BD61" s="38"/>
    </row>
    <row r="62" spans="2:56" ht="16" x14ac:dyDescent="0.4">
      <c r="V62" s="97">
        <v>45875</v>
      </c>
      <c r="W62" s="16">
        <v>180695</v>
      </c>
      <c r="X62" s="101" t="s">
        <v>36</v>
      </c>
      <c r="Y62" s="105"/>
      <c r="Z62" s="102">
        <v>0.44420138888888888</v>
      </c>
      <c r="AA62" s="102">
        <v>0.67699074074074073</v>
      </c>
      <c r="AB62" s="16"/>
      <c r="AC62" s="16"/>
      <c r="AD62" s="93">
        <v>20792</v>
      </c>
      <c r="AE62" s="93">
        <f t="shared" si="15"/>
        <v>20.792000000000002</v>
      </c>
      <c r="AF62" s="16">
        <v>15.27</v>
      </c>
      <c r="AG62" s="103">
        <f t="shared" si="1"/>
        <v>14</v>
      </c>
      <c r="AH62" s="37">
        <f t="shared" si="2"/>
        <v>20.792000000000002</v>
      </c>
      <c r="AJ62" s="97">
        <v>45880</v>
      </c>
      <c r="AK62" t="s">
        <v>1603</v>
      </c>
      <c r="AL62" t="s">
        <v>5</v>
      </c>
      <c r="AN62" s="81" t="s">
        <v>1752</v>
      </c>
      <c r="AO62" s="81" t="s">
        <v>1753</v>
      </c>
      <c r="AP62" s="37">
        <v>2970</v>
      </c>
      <c r="AR62" s="97"/>
      <c r="AS62" s="38"/>
      <c r="AU62" s="97">
        <v>45880</v>
      </c>
      <c r="AW62" t="s">
        <v>5</v>
      </c>
      <c r="AY62" s="81">
        <v>0.48819444444444443</v>
      </c>
      <c r="AZ62" s="81">
        <v>0.5444444444444444</v>
      </c>
      <c r="BA62" s="37">
        <v>1720</v>
      </c>
      <c r="BB62" t="s">
        <v>1520</v>
      </c>
      <c r="BC62" s="97">
        <v>45880</v>
      </c>
      <c r="BD62" s="38"/>
    </row>
    <row r="63" spans="2:56" ht="16" x14ac:dyDescent="0.4">
      <c r="V63" s="97">
        <v>45875</v>
      </c>
      <c r="W63" s="16">
        <v>180717</v>
      </c>
      <c r="X63" s="101" t="s">
        <v>36</v>
      </c>
      <c r="Y63" s="105"/>
      <c r="Z63" s="102">
        <v>0.34612268518518513</v>
      </c>
      <c r="AA63" s="102">
        <v>72.354166666666671</v>
      </c>
      <c r="AB63" s="16"/>
      <c r="AC63" s="16"/>
      <c r="AD63" s="93">
        <v>16790</v>
      </c>
      <c r="AE63" s="93">
        <f t="shared" si="15"/>
        <v>16.79</v>
      </c>
      <c r="AF63" s="16">
        <v>14.77</v>
      </c>
      <c r="AG63" s="103">
        <f t="shared" si="1"/>
        <v>14</v>
      </c>
      <c r="AH63" s="37">
        <f t="shared" si="2"/>
        <v>16.79</v>
      </c>
      <c r="AJ63" s="97">
        <v>45880</v>
      </c>
      <c r="AK63" t="s">
        <v>1604</v>
      </c>
      <c r="AL63" t="s">
        <v>5</v>
      </c>
      <c r="AN63" s="81" t="s">
        <v>1754</v>
      </c>
      <c r="AO63" s="81" t="s">
        <v>1755</v>
      </c>
      <c r="AP63" s="37">
        <v>3920</v>
      </c>
      <c r="AR63" s="97"/>
      <c r="AS63" s="38"/>
      <c r="AU63" s="97">
        <v>45880</v>
      </c>
      <c r="AW63" t="s">
        <v>5</v>
      </c>
      <c r="AY63" s="81">
        <v>0.46249999999999997</v>
      </c>
      <c r="AZ63" s="81">
        <v>0.48749999999999999</v>
      </c>
      <c r="BA63" s="37">
        <v>950</v>
      </c>
      <c r="BC63" s="97">
        <v>45880</v>
      </c>
      <c r="BD63" s="38"/>
    </row>
    <row r="64" spans="2:56" ht="16" x14ac:dyDescent="0.4">
      <c r="V64" s="97">
        <v>45875</v>
      </c>
      <c r="W64" s="16">
        <v>180728</v>
      </c>
      <c r="X64" s="101" t="s">
        <v>36</v>
      </c>
      <c r="Y64" s="105"/>
      <c r="Z64" s="102">
        <v>0.44375000000000003</v>
      </c>
      <c r="AA64" s="102">
        <v>0.79305555555555562</v>
      </c>
      <c r="AB64" s="16"/>
      <c r="AC64" s="16"/>
      <c r="AD64" s="93">
        <v>15568</v>
      </c>
      <c r="AE64" s="93">
        <f t="shared" si="15"/>
        <v>15.568</v>
      </c>
      <c r="AF64" s="16">
        <v>16.329999999999998</v>
      </c>
      <c r="AG64" s="103">
        <f t="shared" si="1"/>
        <v>14</v>
      </c>
      <c r="AH64" s="37">
        <f t="shared" si="2"/>
        <v>15.568</v>
      </c>
      <c r="AJ64" s="97">
        <v>45880</v>
      </c>
      <c r="AK64" t="s">
        <v>1605</v>
      </c>
      <c r="AL64" t="s">
        <v>5</v>
      </c>
      <c r="AN64" s="81" t="s">
        <v>1756</v>
      </c>
      <c r="AO64" s="81" t="s">
        <v>1756</v>
      </c>
      <c r="AP64" s="37">
        <v>880</v>
      </c>
      <c r="AR64" s="97"/>
      <c r="AS64" s="38"/>
      <c r="AU64" s="97">
        <v>45880</v>
      </c>
      <c r="AW64" t="s">
        <v>5</v>
      </c>
      <c r="AY64" s="81">
        <v>0.44791666666666669</v>
      </c>
      <c r="AZ64" s="81">
        <v>0.51388888888888895</v>
      </c>
      <c r="BA64" s="37">
        <v>3054</v>
      </c>
      <c r="BB64" t="s">
        <v>1527</v>
      </c>
      <c r="BC64" s="97">
        <v>45880</v>
      </c>
      <c r="BD64" s="38"/>
    </row>
    <row r="65" spans="22:56" ht="16" x14ac:dyDescent="0.4">
      <c r="V65" s="97">
        <v>45875</v>
      </c>
      <c r="W65" s="16">
        <v>180767</v>
      </c>
      <c r="X65" s="101" t="s">
        <v>36</v>
      </c>
      <c r="Y65" s="105"/>
      <c r="Z65" s="102">
        <v>5.486111111111111E-2</v>
      </c>
      <c r="AA65" s="102">
        <v>0.85069444444444453</v>
      </c>
      <c r="AB65" s="16"/>
      <c r="AC65" s="16"/>
      <c r="AD65" s="93">
        <v>20310</v>
      </c>
      <c r="AE65" s="93">
        <f t="shared" si="15"/>
        <v>20.309999999999999</v>
      </c>
      <c r="AF65" s="16">
        <v>15.35</v>
      </c>
      <c r="AG65" s="103">
        <f t="shared" si="1"/>
        <v>14</v>
      </c>
      <c r="AH65" s="37">
        <f t="shared" si="2"/>
        <v>20.309999999999999</v>
      </c>
      <c r="AJ65" s="97">
        <v>45880</v>
      </c>
      <c r="AK65" t="s">
        <v>1606</v>
      </c>
      <c r="AL65" t="s">
        <v>5</v>
      </c>
      <c r="AN65" s="81" t="s">
        <v>1757</v>
      </c>
      <c r="AO65" s="81" t="s">
        <v>1757</v>
      </c>
      <c r="AP65" s="37">
        <v>1590</v>
      </c>
      <c r="AR65" s="97"/>
      <c r="AS65" s="38"/>
      <c r="AU65" s="97">
        <v>45880</v>
      </c>
      <c r="AW65" t="s">
        <v>5</v>
      </c>
      <c r="AY65" s="81">
        <v>0.51388888888888895</v>
      </c>
      <c r="AZ65" s="81">
        <v>0.6381944444444444</v>
      </c>
      <c r="BA65" s="37">
        <v>3296</v>
      </c>
      <c r="BB65" t="s">
        <v>1528</v>
      </c>
      <c r="BC65" s="97">
        <v>45880</v>
      </c>
      <c r="BD65" s="38"/>
    </row>
    <row r="66" spans="22:56" ht="16" x14ac:dyDescent="0.4">
      <c r="V66" s="97">
        <v>45875</v>
      </c>
      <c r="W66" s="16">
        <v>181811</v>
      </c>
      <c r="X66" s="101" t="s">
        <v>36</v>
      </c>
      <c r="Y66" s="105"/>
      <c r="Z66" s="102">
        <v>0.72430555555555554</v>
      </c>
      <c r="AA66" s="102">
        <v>0.94930555555555562</v>
      </c>
      <c r="AB66" s="16"/>
      <c r="AC66" s="16"/>
      <c r="AD66" s="93">
        <v>21414</v>
      </c>
      <c r="AE66" s="93">
        <f t="shared" si="15"/>
        <v>21.414000000000001</v>
      </c>
      <c r="AF66" s="16">
        <v>15.94</v>
      </c>
      <c r="AG66" s="103">
        <f t="shared" si="1"/>
        <v>14</v>
      </c>
      <c r="AH66" s="37">
        <f t="shared" si="2"/>
        <v>21.414000000000005</v>
      </c>
      <c r="AJ66" s="97">
        <v>45880</v>
      </c>
      <c r="AK66" t="s">
        <v>1607</v>
      </c>
      <c r="AL66" t="s">
        <v>5</v>
      </c>
      <c r="AN66" s="81" t="s">
        <v>1758</v>
      </c>
      <c r="AO66" s="81" t="s">
        <v>1759</v>
      </c>
      <c r="AP66" s="37">
        <v>3280</v>
      </c>
      <c r="AR66" s="97"/>
      <c r="AS66" s="38"/>
      <c r="AU66" s="97">
        <v>45881</v>
      </c>
      <c r="AW66" t="s">
        <v>5</v>
      </c>
      <c r="AY66" s="81">
        <v>0.55902777777777779</v>
      </c>
      <c r="AZ66" s="81">
        <v>0.43402777777777773</v>
      </c>
      <c r="BA66" s="37">
        <v>1978</v>
      </c>
      <c r="BB66" t="s">
        <v>1529</v>
      </c>
      <c r="BC66" s="97">
        <v>45881</v>
      </c>
      <c r="BD66" s="38"/>
    </row>
    <row r="67" spans="22:56" ht="16" x14ac:dyDescent="0.4">
      <c r="V67" s="97">
        <v>45876</v>
      </c>
      <c r="W67" s="16">
        <v>180829</v>
      </c>
      <c r="X67" s="101" t="s">
        <v>36</v>
      </c>
      <c r="Y67" s="105"/>
      <c r="Z67" s="102">
        <v>0.76874999999999993</v>
      </c>
      <c r="AA67" s="102">
        <v>1.1111111111111112E-2</v>
      </c>
      <c r="AB67" s="16"/>
      <c r="AC67" s="16"/>
      <c r="AD67" s="93">
        <v>20194</v>
      </c>
      <c r="AE67" s="93">
        <f t="shared" si="15"/>
        <v>20.193999999999999</v>
      </c>
      <c r="AF67" s="16">
        <v>15.88</v>
      </c>
      <c r="AG67" s="103">
        <f t="shared" si="1"/>
        <v>14</v>
      </c>
      <c r="AH67" s="37">
        <f t="shared" si="2"/>
        <v>20.193999999999999</v>
      </c>
      <c r="AJ67" s="97">
        <v>45880</v>
      </c>
      <c r="AK67" t="s">
        <v>1608</v>
      </c>
      <c r="AL67" t="s">
        <v>5</v>
      </c>
      <c r="AN67" s="81" t="s">
        <v>1760</v>
      </c>
      <c r="AO67" s="81" t="s">
        <v>1760</v>
      </c>
      <c r="AP67" s="37">
        <v>3070</v>
      </c>
      <c r="AR67" s="97"/>
      <c r="AS67" s="38"/>
      <c r="AU67" s="97">
        <v>45881</v>
      </c>
      <c r="AW67" t="s">
        <v>5</v>
      </c>
      <c r="AY67" s="81">
        <v>0.51111111111111118</v>
      </c>
      <c r="AZ67" s="81">
        <v>0.55833333333333335</v>
      </c>
      <c r="BA67" s="37">
        <v>3616</v>
      </c>
      <c r="BB67" t="s">
        <v>1527</v>
      </c>
      <c r="BC67" s="97">
        <v>45881</v>
      </c>
      <c r="BD67" s="38"/>
    </row>
    <row r="68" spans="22:56" ht="16" x14ac:dyDescent="0.4">
      <c r="V68" s="97">
        <v>45876</v>
      </c>
      <c r="W68" s="16">
        <v>180837</v>
      </c>
      <c r="X68" s="101" t="s">
        <v>36</v>
      </c>
      <c r="Y68" s="105"/>
      <c r="Z68" s="102">
        <v>0.72430555555555554</v>
      </c>
      <c r="AA68" s="102">
        <v>6.1805555555555558E-2</v>
      </c>
      <c r="AB68" s="16"/>
      <c r="AC68" s="16"/>
      <c r="AD68" s="93">
        <v>21360</v>
      </c>
      <c r="AE68" s="93">
        <f t="shared" si="15"/>
        <v>21.36</v>
      </c>
      <c r="AF68" s="16">
        <v>14.32</v>
      </c>
      <c r="AG68" s="103">
        <f t="shared" si="1"/>
        <v>14</v>
      </c>
      <c r="AH68" s="37">
        <f t="shared" si="2"/>
        <v>21.359999999999996</v>
      </c>
      <c r="AJ68" s="97">
        <v>45880</v>
      </c>
      <c r="AK68" t="s">
        <v>1609</v>
      </c>
      <c r="AL68" t="s">
        <v>5</v>
      </c>
      <c r="AN68" s="81" t="s">
        <v>1761</v>
      </c>
      <c r="AO68" s="81" t="s">
        <v>1761</v>
      </c>
      <c r="AP68" s="37">
        <v>3100</v>
      </c>
      <c r="AR68" s="97"/>
      <c r="AS68" s="38"/>
      <c r="AU68" s="97">
        <v>45881</v>
      </c>
      <c r="AW68" t="s">
        <v>5</v>
      </c>
      <c r="AY68" s="81">
        <v>0.73263888888888884</v>
      </c>
      <c r="AZ68" s="81">
        <v>0.68333333333333324</v>
      </c>
      <c r="BA68" s="37">
        <v>4228</v>
      </c>
      <c r="BB68" t="s">
        <v>1528</v>
      </c>
      <c r="BC68" s="97">
        <v>45881</v>
      </c>
      <c r="BD68" s="38"/>
    </row>
    <row r="69" spans="22:56" ht="16" x14ac:dyDescent="0.4">
      <c r="V69" s="97">
        <v>45876</v>
      </c>
      <c r="W69" s="16">
        <v>180847</v>
      </c>
      <c r="X69" s="101" t="s">
        <v>36</v>
      </c>
      <c r="Y69" s="105"/>
      <c r="Z69" s="102">
        <v>0.76874999999999993</v>
      </c>
      <c r="AA69" s="102">
        <v>0.10486111111111111</v>
      </c>
      <c r="AB69" s="16"/>
      <c r="AC69" s="16"/>
      <c r="AD69" s="93">
        <v>21032</v>
      </c>
      <c r="AE69" s="93">
        <f t="shared" si="15"/>
        <v>21.032</v>
      </c>
      <c r="AF69" s="16">
        <v>14.99</v>
      </c>
      <c r="AG69" s="103">
        <f t="shared" ref="AG69:AG132" si="21">IF($AF69&gt;14,14,$AF69)</f>
        <v>14</v>
      </c>
      <c r="AH69" s="37">
        <f t="shared" ref="AH69:AH132" si="22">AE69*AG69/14</f>
        <v>21.032</v>
      </c>
      <c r="AJ69" s="97">
        <v>45881</v>
      </c>
      <c r="AK69" t="s">
        <v>1610</v>
      </c>
      <c r="AL69" t="s">
        <v>5</v>
      </c>
      <c r="AN69" s="81" t="s">
        <v>1762</v>
      </c>
      <c r="AO69" s="81" t="s">
        <v>1762</v>
      </c>
      <c r="AP69" s="37">
        <v>2030</v>
      </c>
      <c r="AR69" s="97"/>
      <c r="AS69" s="38"/>
      <c r="AU69" s="97">
        <v>45881</v>
      </c>
      <c r="AW69" t="s">
        <v>5</v>
      </c>
      <c r="AY69" s="81">
        <v>0.64236111111111105</v>
      </c>
      <c r="AZ69" s="81">
        <v>0.66666666666666663</v>
      </c>
      <c r="BA69" s="37">
        <v>4422</v>
      </c>
      <c r="BB69" t="s">
        <v>1530</v>
      </c>
      <c r="BC69" s="97">
        <v>45881</v>
      </c>
      <c r="BD69" s="38"/>
    </row>
    <row r="70" spans="22:56" ht="16" x14ac:dyDescent="0.4">
      <c r="V70" s="97">
        <v>45876</v>
      </c>
      <c r="W70" s="16">
        <v>180857</v>
      </c>
      <c r="X70" s="101" t="s">
        <v>36</v>
      </c>
      <c r="Y70" s="105"/>
      <c r="Z70" s="102">
        <v>0.98333333333333339</v>
      </c>
      <c r="AA70" s="102">
        <v>0.16041666666666668</v>
      </c>
      <c r="AB70" s="16"/>
      <c r="AC70" s="16"/>
      <c r="AD70" s="93">
        <v>14226</v>
      </c>
      <c r="AE70" s="93">
        <f t="shared" si="15"/>
        <v>14.226000000000001</v>
      </c>
      <c r="AF70" s="16">
        <v>9.44</v>
      </c>
      <c r="AG70" s="103">
        <f t="shared" si="21"/>
        <v>9.44</v>
      </c>
      <c r="AH70" s="37">
        <f t="shared" si="22"/>
        <v>9.5923885714285717</v>
      </c>
      <c r="AJ70" s="97">
        <v>45881</v>
      </c>
      <c r="AK70" t="s">
        <v>1611</v>
      </c>
      <c r="AL70" t="s">
        <v>5</v>
      </c>
      <c r="AN70" s="81" t="s">
        <v>1763</v>
      </c>
      <c r="AO70" s="81" t="s">
        <v>1763</v>
      </c>
      <c r="AP70" s="37">
        <v>3610</v>
      </c>
      <c r="AR70" s="97"/>
      <c r="AS70" s="38"/>
      <c r="AU70" s="97">
        <v>45882</v>
      </c>
      <c r="AW70" t="s">
        <v>5</v>
      </c>
      <c r="AY70" s="81">
        <v>0.41944444444444445</v>
      </c>
      <c r="AZ70" s="81">
        <v>0.43194444444444446</v>
      </c>
      <c r="BA70" s="37">
        <v>2896</v>
      </c>
      <c r="BB70" t="s">
        <v>1531</v>
      </c>
      <c r="BC70" s="97">
        <v>45882</v>
      </c>
      <c r="BD70" s="38"/>
    </row>
    <row r="71" spans="22:56" ht="16" x14ac:dyDescent="0.4">
      <c r="AG71" s="103">
        <f t="shared" si="21"/>
        <v>0</v>
      </c>
      <c r="AH71" s="37">
        <f t="shared" si="22"/>
        <v>0</v>
      </c>
      <c r="AJ71" s="97">
        <v>45881</v>
      </c>
      <c r="AK71" t="s">
        <v>1612</v>
      </c>
      <c r="AL71" t="s">
        <v>5</v>
      </c>
      <c r="AN71" s="81" t="s">
        <v>1764</v>
      </c>
      <c r="AO71" s="81" t="s">
        <v>1764</v>
      </c>
      <c r="AP71" s="37">
        <v>4330</v>
      </c>
      <c r="AR71" s="97"/>
      <c r="AS71" s="38"/>
      <c r="AU71" s="97">
        <v>45882</v>
      </c>
      <c r="AW71" t="s">
        <v>5</v>
      </c>
      <c r="AY71" s="81">
        <v>0.69652777777777775</v>
      </c>
      <c r="AZ71" s="81">
        <v>0.49861111111111112</v>
      </c>
      <c r="BA71" s="37">
        <v>5428</v>
      </c>
      <c r="BB71" t="s">
        <v>1532</v>
      </c>
      <c r="BC71" s="97">
        <v>45882</v>
      </c>
      <c r="BD71" s="38"/>
    </row>
    <row r="72" spans="22:56" ht="16" x14ac:dyDescent="0.4">
      <c r="V72" s="90">
        <v>45876</v>
      </c>
      <c r="W72" s="16">
        <v>181008</v>
      </c>
      <c r="X72" s="101" t="s">
        <v>36</v>
      </c>
      <c r="Y72" s="105"/>
      <c r="Z72" s="50">
        <v>0.98343749999999996</v>
      </c>
      <c r="AA72" s="50">
        <v>0.42171296296296296</v>
      </c>
      <c r="AD72" s="37">
        <v>18548</v>
      </c>
      <c r="AE72" s="93">
        <f t="shared" ref="AE72:AE116" si="23">AD72/1000</f>
        <v>18.547999999999998</v>
      </c>
      <c r="AF72" s="16">
        <v>14.56</v>
      </c>
      <c r="AG72" s="103">
        <f t="shared" si="21"/>
        <v>14</v>
      </c>
      <c r="AH72" s="37">
        <f t="shared" si="22"/>
        <v>18.547999999999998</v>
      </c>
      <c r="AJ72" s="97">
        <v>45881</v>
      </c>
      <c r="AK72" t="s">
        <v>1613</v>
      </c>
      <c r="AL72" t="s">
        <v>5</v>
      </c>
      <c r="AN72" s="81" t="s">
        <v>1765</v>
      </c>
      <c r="AO72" s="81" t="s">
        <v>1765</v>
      </c>
      <c r="AP72" s="37">
        <v>4190</v>
      </c>
      <c r="AR72" s="97"/>
      <c r="AS72" s="38"/>
      <c r="AU72" s="97">
        <v>45882</v>
      </c>
      <c r="AW72" t="s">
        <v>5</v>
      </c>
      <c r="AY72" s="81">
        <v>0.43194444444444446</v>
      </c>
      <c r="AZ72" s="81">
        <v>0.53541666666666665</v>
      </c>
      <c r="BA72" s="37">
        <v>3372</v>
      </c>
      <c r="BB72" t="s">
        <v>1531</v>
      </c>
      <c r="BC72" s="97">
        <v>45882</v>
      </c>
      <c r="BD72" s="38"/>
    </row>
    <row r="73" spans="22:56" ht="16" x14ac:dyDescent="0.4">
      <c r="V73" s="97">
        <v>45876</v>
      </c>
      <c r="W73" s="16">
        <v>181056</v>
      </c>
      <c r="X73" s="101" t="s">
        <v>36</v>
      </c>
      <c r="Y73" s="105"/>
      <c r="Z73" s="50">
        <v>0.41711805555555559</v>
      </c>
      <c r="AA73" s="50">
        <v>0.52497685185185183</v>
      </c>
      <c r="AD73" s="37">
        <v>20884</v>
      </c>
      <c r="AE73" s="93">
        <f t="shared" si="23"/>
        <v>20.884</v>
      </c>
      <c r="AF73" s="16">
        <v>14.31</v>
      </c>
      <c r="AG73" s="103">
        <f t="shared" si="21"/>
        <v>14</v>
      </c>
      <c r="AH73" s="37">
        <f t="shared" si="22"/>
        <v>20.883999999999997</v>
      </c>
      <c r="AJ73" s="97">
        <v>45882</v>
      </c>
      <c r="AK73" t="s">
        <v>1614</v>
      </c>
      <c r="AL73" t="s">
        <v>5</v>
      </c>
      <c r="AN73" s="81" t="s">
        <v>1766</v>
      </c>
      <c r="AO73" s="81" t="s">
        <v>1766</v>
      </c>
      <c r="AP73" s="37">
        <v>2930</v>
      </c>
      <c r="AR73" s="97"/>
      <c r="AS73" s="38"/>
      <c r="AU73" s="97">
        <v>45882</v>
      </c>
      <c r="AW73" t="s">
        <v>5</v>
      </c>
      <c r="AY73" s="81">
        <v>0.50902777777777775</v>
      </c>
      <c r="AZ73" s="81">
        <v>0.54722222222222217</v>
      </c>
      <c r="BA73" s="37">
        <v>3016</v>
      </c>
      <c r="BB73" t="s">
        <v>1533</v>
      </c>
      <c r="BC73" s="97">
        <v>45882</v>
      </c>
      <c r="BD73" s="38"/>
    </row>
    <row r="74" spans="22:56" ht="16" x14ac:dyDescent="0.4">
      <c r="V74" s="97">
        <v>45876</v>
      </c>
      <c r="W74" s="16">
        <v>181107</v>
      </c>
      <c r="X74" s="101" t="s">
        <v>36</v>
      </c>
      <c r="Y74" s="105"/>
      <c r="Z74" s="50">
        <v>0.62752314814814814</v>
      </c>
      <c r="AA74" s="50">
        <v>0.59655092592592596</v>
      </c>
      <c r="AD74" s="37">
        <v>19314</v>
      </c>
      <c r="AE74" s="93">
        <f t="shared" si="23"/>
        <v>19.314</v>
      </c>
      <c r="AF74" s="16">
        <v>15.2</v>
      </c>
      <c r="AG74" s="103">
        <f t="shared" si="21"/>
        <v>14</v>
      </c>
      <c r="AH74" s="37">
        <f t="shared" si="22"/>
        <v>19.314</v>
      </c>
      <c r="AJ74" s="97">
        <v>45882</v>
      </c>
      <c r="AK74" t="s">
        <v>1615</v>
      </c>
      <c r="AL74" t="s">
        <v>5</v>
      </c>
      <c r="AN74" s="81" t="s">
        <v>1767</v>
      </c>
      <c r="AO74" s="81" t="s">
        <v>1767</v>
      </c>
      <c r="AP74" s="37">
        <v>5520</v>
      </c>
      <c r="AR74" s="97"/>
      <c r="AS74" s="38"/>
      <c r="AU74" s="97">
        <v>45882</v>
      </c>
      <c r="AW74" t="s">
        <v>5</v>
      </c>
      <c r="AY74" s="81">
        <v>0.66666666666666663</v>
      </c>
      <c r="AZ74" s="81">
        <v>0.59861111111111109</v>
      </c>
      <c r="BA74" s="37">
        <v>3556</v>
      </c>
      <c r="BC74" s="97">
        <v>45882</v>
      </c>
      <c r="BD74" s="38"/>
    </row>
    <row r="75" spans="22:56" ht="16" x14ac:dyDescent="0.4">
      <c r="V75" s="97">
        <v>45876</v>
      </c>
      <c r="W75" s="16">
        <v>181149</v>
      </c>
      <c r="X75" s="101" t="s">
        <v>36</v>
      </c>
      <c r="Y75" s="105"/>
      <c r="Z75" s="50">
        <v>0.41726851851851854</v>
      </c>
      <c r="AA75" s="50">
        <v>0.66622685185185182</v>
      </c>
      <c r="AD75" s="37">
        <v>18706</v>
      </c>
      <c r="AE75" s="93">
        <f t="shared" si="23"/>
        <v>18.706</v>
      </c>
      <c r="AF75" s="16">
        <v>16.13</v>
      </c>
      <c r="AG75" s="103">
        <f t="shared" si="21"/>
        <v>14</v>
      </c>
      <c r="AH75" s="37">
        <f t="shared" si="22"/>
        <v>18.706</v>
      </c>
      <c r="AJ75" s="97">
        <v>45882</v>
      </c>
      <c r="AK75" t="s">
        <v>1616</v>
      </c>
      <c r="AL75" t="s">
        <v>5</v>
      </c>
      <c r="AN75" s="81" t="s">
        <v>1768</v>
      </c>
      <c r="AO75" s="81" t="s">
        <v>1768</v>
      </c>
      <c r="AP75" s="37">
        <v>3000</v>
      </c>
      <c r="AR75" s="97"/>
      <c r="AS75" s="38"/>
      <c r="AU75" s="97">
        <v>45882</v>
      </c>
      <c r="AW75" t="s">
        <v>5</v>
      </c>
      <c r="AY75" s="81">
        <v>0.62777777777777777</v>
      </c>
      <c r="AZ75" s="81">
        <v>0.64513888888888882</v>
      </c>
      <c r="BA75" s="37">
        <v>3240</v>
      </c>
      <c r="BC75" s="97">
        <v>45882</v>
      </c>
      <c r="BD75" s="38"/>
    </row>
    <row r="76" spans="22:56" ht="16" x14ac:dyDescent="0.4">
      <c r="V76" s="97">
        <v>45876</v>
      </c>
      <c r="W76" s="16">
        <v>181184</v>
      </c>
      <c r="X76" s="101" t="s">
        <v>36</v>
      </c>
      <c r="Y76" s="105"/>
      <c r="Z76" s="50">
        <v>0.48113425925925929</v>
      </c>
      <c r="AA76" s="50">
        <v>0.72690972222222217</v>
      </c>
      <c r="AD76" s="37">
        <v>19156</v>
      </c>
      <c r="AE76" s="93">
        <f t="shared" si="23"/>
        <v>19.155999999999999</v>
      </c>
      <c r="AF76" s="16">
        <v>16.3</v>
      </c>
      <c r="AG76" s="103">
        <f t="shared" si="21"/>
        <v>14</v>
      </c>
      <c r="AH76" s="37">
        <f t="shared" si="22"/>
        <v>19.155999999999999</v>
      </c>
      <c r="AJ76" s="97">
        <v>45882</v>
      </c>
      <c r="AK76" t="s">
        <v>1617</v>
      </c>
      <c r="AL76" t="s">
        <v>5</v>
      </c>
      <c r="AN76" s="81" t="s">
        <v>1769</v>
      </c>
      <c r="AO76" s="81" t="s">
        <v>1769</v>
      </c>
      <c r="AP76" s="37">
        <v>3130</v>
      </c>
      <c r="AR76" s="97"/>
      <c r="AS76" s="38"/>
      <c r="AU76" s="97">
        <v>45882</v>
      </c>
      <c r="AW76" t="s">
        <v>5</v>
      </c>
      <c r="AY76" s="81">
        <v>0.50972222222222219</v>
      </c>
      <c r="AZ76" s="81">
        <v>0.70763888888888893</v>
      </c>
      <c r="BA76" s="37">
        <v>3002</v>
      </c>
      <c r="BB76" t="s">
        <v>1534</v>
      </c>
      <c r="BC76" s="97">
        <v>45882</v>
      </c>
      <c r="BD76" s="38"/>
    </row>
    <row r="77" spans="22:56" ht="16" x14ac:dyDescent="0.4">
      <c r="V77" s="97">
        <v>45876</v>
      </c>
      <c r="W77" s="16">
        <v>181207</v>
      </c>
      <c r="X77" s="101" t="s">
        <v>36</v>
      </c>
      <c r="Y77" s="105"/>
      <c r="Z77" s="50">
        <v>0.41666666666666669</v>
      </c>
      <c r="AA77" s="50">
        <v>0.77986111111111101</v>
      </c>
      <c r="AD77" s="37">
        <v>19558</v>
      </c>
      <c r="AE77" s="93">
        <f t="shared" si="23"/>
        <v>19.558</v>
      </c>
      <c r="AF77" s="16">
        <v>14.69</v>
      </c>
      <c r="AG77" s="103">
        <f t="shared" si="21"/>
        <v>14</v>
      </c>
      <c r="AH77" s="37">
        <f t="shared" si="22"/>
        <v>19.558</v>
      </c>
      <c r="AJ77" s="97">
        <v>45882</v>
      </c>
      <c r="AK77" t="s">
        <v>1618</v>
      </c>
      <c r="AL77" t="s">
        <v>5</v>
      </c>
      <c r="AN77" s="81" t="s">
        <v>1770</v>
      </c>
      <c r="AO77" s="81" t="s">
        <v>1770</v>
      </c>
      <c r="AP77" s="37">
        <v>3310</v>
      </c>
      <c r="AR77" s="97"/>
      <c r="AS77" s="38"/>
      <c r="AU77" s="97">
        <v>45882</v>
      </c>
      <c r="AW77" t="s">
        <v>5</v>
      </c>
      <c r="AY77" s="81">
        <v>0.5131944444444444</v>
      </c>
      <c r="AZ77" s="81">
        <v>0.53125</v>
      </c>
      <c r="BA77" s="37">
        <v>3220</v>
      </c>
      <c r="BB77" t="s">
        <v>1535</v>
      </c>
      <c r="BC77" s="97">
        <v>45883</v>
      </c>
      <c r="BD77" s="38"/>
    </row>
    <row r="78" spans="22:56" ht="16" x14ac:dyDescent="0.4">
      <c r="V78" s="97">
        <v>45876</v>
      </c>
      <c r="W78" s="16">
        <v>181230</v>
      </c>
      <c r="X78" s="101" t="s">
        <v>36</v>
      </c>
      <c r="Y78" s="105"/>
      <c r="Z78" s="50">
        <v>0.76388888888888884</v>
      </c>
      <c r="AA78" s="50">
        <v>0.83819444444444446</v>
      </c>
      <c r="AD78" s="37">
        <v>18706</v>
      </c>
      <c r="AE78" s="93">
        <f t="shared" si="23"/>
        <v>18.706</v>
      </c>
      <c r="AF78">
        <v>15.88</v>
      </c>
      <c r="AG78" s="103">
        <f t="shared" si="21"/>
        <v>14</v>
      </c>
      <c r="AH78" s="37">
        <f t="shared" si="22"/>
        <v>18.706</v>
      </c>
      <c r="AJ78" s="97">
        <v>45882</v>
      </c>
      <c r="AK78" t="s">
        <v>1619</v>
      </c>
      <c r="AL78" t="s">
        <v>5</v>
      </c>
      <c r="AN78" s="81" t="s">
        <v>1771</v>
      </c>
      <c r="AO78" s="81" t="s">
        <v>1771</v>
      </c>
      <c r="AP78" s="37">
        <v>3420</v>
      </c>
      <c r="AR78" s="97"/>
      <c r="AS78" s="38"/>
      <c r="AU78" s="97">
        <v>45883</v>
      </c>
      <c r="AW78" t="s">
        <v>5</v>
      </c>
      <c r="AY78" s="81">
        <v>0.53125</v>
      </c>
      <c r="AZ78" s="81">
        <v>0.45347222222222222</v>
      </c>
      <c r="BA78" s="37">
        <v>2996</v>
      </c>
      <c r="BB78" t="s">
        <v>1536</v>
      </c>
      <c r="BC78" s="97">
        <v>45883</v>
      </c>
      <c r="BD78" s="38"/>
    </row>
    <row r="79" spans="22:56" ht="16" x14ac:dyDescent="0.4">
      <c r="V79" s="97">
        <v>45876</v>
      </c>
      <c r="W79" s="16">
        <v>181268</v>
      </c>
      <c r="X79" s="101" t="s">
        <v>36</v>
      </c>
      <c r="Y79" s="105"/>
      <c r="Z79" s="50">
        <v>0.89097222222222217</v>
      </c>
      <c r="AA79" s="50"/>
      <c r="AD79" s="37">
        <v>18412</v>
      </c>
      <c r="AE79" s="93">
        <f t="shared" si="23"/>
        <v>18.411999999999999</v>
      </c>
      <c r="AF79">
        <v>14.16</v>
      </c>
      <c r="AG79" s="103">
        <f t="shared" si="21"/>
        <v>14</v>
      </c>
      <c r="AH79" s="37">
        <f t="shared" si="22"/>
        <v>18.411999999999999</v>
      </c>
      <c r="AJ79" s="97">
        <v>45882</v>
      </c>
      <c r="AK79" t="s">
        <v>1620</v>
      </c>
      <c r="AL79" t="s">
        <v>5</v>
      </c>
      <c r="AN79" s="81" t="s">
        <v>1772</v>
      </c>
      <c r="AO79" s="81" t="s">
        <v>1772</v>
      </c>
      <c r="AP79" s="37">
        <v>3060</v>
      </c>
      <c r="AR79" s="97"/>
      <c r="AS79" s="38"/>
      <c r="AU79" s="97">
        <v>45883</v>
      </c>
      <c r="AW79" t="s">
        <v>5</v>
      </c>
      <c r="AY79" s="81">
        <v>0.41736111111111113</v>
      </c>
      <c r="AZ79" s="81">
        <v>0.46180555555555558</v>
      </c>
      <c r="BA79" s="37">
        <v>3438</v>
      </c>
      <c r="BB79" t="s">
        <v>1537</v>
      </c>
      <c r="BC79" s="97">
        <v>45883</v>
      </c>
      <c r="BD79" s="38"/>
    </row>
    <row r="80" spans="22:56" ht="16" x14ac:dyDescent="0.4">
      <c r="V80" s="97">
        <v>45876</v>
      </c>
      <c r="W80" s="16">
        <v>181293</v>
      </c>
      <c r="X80" s="101" t="s">
        <v>36</v>
      </c>
      <c r="Y80" s="105"/>
      <c r="Z80" s="50">
        <v>0.88750000000000007</v>
      </c>
      <c r="AA80" s="50">
        <v>0.9868055555555556</v>
      </c>
      <c r="AD80" s="37">
        <v>21102</v>
      </c>
      <c r="AE80" s="93">
        <f t="shared" si="23"/>
        <v>21.102</v>
      </c>
      <c r="AF80">
        <v>15.41</v>
      </c>
      <c r="AG80" s="103">
        <f t="shared" si="21"/>
        <v>14</v>
      </c>
      <c r="AH80" s="37">
        <f t="shared" si="22"/>
        <v>21.102</v>
      </c>
      <c r="AJ80" s="97">
        <v>45883</v>
      </c>
      <c r="AK80" t="s">
        <v>1621</v>
      </c>
      <c r="AL80" t="s">
        <v>5</v>
      </c>
      <c r="AN80" s="81" t="s">
        <v>1773</v>
      </c>
      <c r="AO80" s="81" t="s">
        <v>1773</v>
      </c>
      <c r="AP80" s="37">
        <v>3290</v>
      </c>
      <c r="AR80" s="97"/>
      <c r="AS80" s="38"/>
      <c r="AU80" s="97">
        <v>45883</v>
      </c>
      <c r="AW80" t="s">
        <v>5</v>
      </c>
      <c r="AY80" s="81">
        <v>0.55347222222222225</v>
      </c>
      <c r="AZ80" s="81">
        <v>0.47847222222222219</v>
      </c>
      <c r="BA80" s="37">
        <v>3216</v>
      </c>
      <c r="BB80" t="s">
        <v>1538</v>
      </c>
      <c r="BC80" s="97">
        <v>45883</v>
      </c>
      <c r="BD80" s="38"/>
    </row>
    <row r="81" spans="22:56" ht="16" x14ac:dyDescent="0.4">
      <c r="V81" s="97">
        <v>45877</v>
      </c>
      <c r="W81" s="16">
        <v>181309</v>
      </c>
      <c r="X81" s="101" t="s">
        <v>36</v>
      </c>
      <c r="Y81" s="105"/>
      <c r="Z81" s="50">
        <v>0.82361111111111107</v>
      </c>
      <c r="AA81" s="50">
        <v>0.20555555555555557</v>
      </c>
      <c r="AD81" s="37">
        <v>19546</v>
      </c>
      <c r="AE81" s="93">
        <f t="shared" si="23"/>
        <v>19.545999999999999</v>
      </c>
      <c r="AF81">
        <v>14.88</v>
      </c>
      <c r="AG81" s="103">
        <f t="shared" si="21"/>
        <v>14</v>
      </c>
      <c r="AH81" s="37">
        <f t="shared" si="22"/>
        <v>19.545999999999999</v>
      </c>
      <c r="AJ81" s="97">
        <v>45883</v>
      </c>
      <c r="AK81" t="s">
        <v>1622</v>
      </c>
      <c r="AL81" t="s">
        <v>5</v>
      </c>
      <c r="AN81" s="81" t="s">
        <v>1774</v>
      </c>
      <c r="AO81" s="81" t="s">
        <v>1774</v>
      </c>
      <c r="AP81" s="37">
        <v>3000</v>
      </c>
      <c r="AR81" s="97"/>
      <c r="AS81" s="38"/>
      <c r="AU81" s="97">
        <v>45883</v>
      </c>
      <c r="AW81" t="s">
        <v>5</v>
      </c>
      <c r="AY81" s="81">
        <v>0.72152777777777777</v>
      </c>
      <c r="AZ81" s="81">
        <v>0.60555555555555551</v>
      </c>
      <c r="BA81" s="37">
        <v>5484</v>
      </c>
      <c r="BB81" t="s">
        <v>1536</v>
      </c>
      <c r="BC81" s="97">
        <v>45883</v>
      </c>
      <c r="BD81" s="38"/>
    </row>
    <row r="82" spans="22:56" ht="16" x14ac:dyDescent="0.4">
      <c r="V82" s="97">
        <v>45877</v>
      </c>
      <c r="W82" s="16">
        <v>181322</v>
      </c>
      <c r="X82" s="101" t="s">
        <v>36</v>
      </c>
      <c r="Y82" s="105"/>
      <c r="Z82" s="50">
        <v>2.7777777777777776E-2</v>
      </c>
      <c r="AA82" s="50">
        <v>0.11597222222222221</v>
      </c>
      <c r="AD82" s="37">
        <v>18786</v>
      </c>
      <c r="AE82" s="93">
        <f t="shared" si="23"/>
        <v>18.786000000000001</v>
      </c>
      <c r="AF82">
        <v>14.74</v>
      </c>
      <c r="AG82" s="103">
        <f t="shared" si="21"/>
        <v>14</v>
      </c>
      <c r="AH82" s="37">
        <f t="shared" si="22"/>
        <v>18.786000000000001</v>
      </c>
      <c r="AJ82" s="97">
        <v>45883</v>
      </c>
      <c r="AK82" t="s">
        <v>1623</v>
      </c>
      <c r="AL82" t="s">
        <v>5</v>
      </c>
      <c r="AN82" s="81" t="s">
        <v>1775</v>
      </c>
      <c r="AO82" s="81" t="s">
        <v>1775</v>
      </c>
      <c r="AP82" s="37">
        <v>3470</v>
      </c>
      <c r="AR82" s="97"/>
      <c r="AS82" s="38"/>
      <c r="AU82" s="97">
        <v>45883</v>
      </c>
      <c r="AW82" t="s">
        <v>5</v>
      </c>
      <c r="AY82" s="81">
        <v>0.62361111111111112</v>
      </c>
      <c r="AZ82" s="81">
        <v>0.65</v>
      </c>
      <c r="BA82" s="37">
        <v>3946</v>
      </c>
      <c r="BB82" t="s">
        <v>1537</v>
      </c>
      <c r="BC82" s="97">
        <v>45883</v>
      </c>
      <c r="BD82" s="38"/>
    </row>
    <row r="83" spans="22:56" ht="16" x14ac:dyDescent="0.4">
      <c r="V83" s="97">
        <v>45877</v>
      </c>
      <c r="W83" s="16">
        <v>181331</v>
      </c>
      <c r="X83" s="101" t="s">
        <v>36</v>
      </c>
      <c r="Y83" s="105"/>
      <c r="Z83" s="50">
        <v>0.82361111111111107</v>
      </c>
      <c r="AA83" s="50">
        <v>0.16805555555555554</v>
      </c>
      <c r="AD83" s="37">
        <v>18756</v>
      </c>
      <c r="AE83" s="93">
        <f t="shared" si="23"/>
        <v>18.756</v>
      </c>
      <c r="AF83">
        <v>14.84</v>
      </c>
      <c r="AG83" s="103">
        <f t="shared" si="21"/>
        <v>14</v>
      </c>
      <c r="AH83" s="37">
        <f t="shared" si="22"/>
        <v>18.756</v>
      </c>
      <c r="AJ83" s="97">
        <v>45883</v>
      </c>
      <c r="AK83" t="s">
        <v>1624</v>
      </c>
      <c r="AL83" t="s">
        <v>5</v>
      </c>
      <c r="AN83" s="81" t="s">
        <v>1776</v>
      </c>
      <c r="AO83" s="81" t="s">
        <v>1776</v>
      </c>
      <c r="AP83" s="37">
        <v>5570</v>
      </c>
      <c r="AR83" s="97"/>
      <c r="AS83" s="38"/>
      <c r="AU83" s="97">
        <v>45884</v>
      </c>
      <c r="AW83" t="s">
        <v>5</v>
      </c>
      <c r="AY83" s="81">
        <v>0.39583333333333331</v>
      </c>
      <c r="AZ83" s="81">
        <v>0.43402777777777773</v>
      </c>
      <c r="BA83" s="37">
        <v>276</v>
      </c>
      <c r="BB83" t="s">
        <v>1539</v>
      </c>
      <c r="BC83" s="97">
        <v>45884</v>
      </c>
      <c r="BD83" s="38"/>
    </row>
    <row r="84" spans="22:56" ht="16" x14ac:dyDescent="0.4">
      <c r="V84" s="97">
        <v>45877</v>
      </c>
      <c r="W84" s="16">
        <v>181337</v>
      </c>
      <c r="X84" s="101" t="s">
        <v>36</v>
      </c>
      <c r="Y84" s="105"/>
      <c r="Z84" s="50">
        <v>0.48125000000000001</v>
      </c>
      <c r="AA84" s="50">
        <v>0.21666666666666667</v>
      </c>
      <c r="AD84" s="37">
        <v>17720</v>
      </c>
      <c r="AE84" s="93">
        <f t="shared" si="23"/>
        <v>17.72</v>
      </c>
      <c r="AF84">
        <v>15.09</v>
      </c>
      <c r="AG84" s="103">
        <f t="shared" si="21"/>
        <v>14</v>
      </c>
      <c r="AH84" s="37">
        <f t="shared" si="22"/>
        <v>17.72</v>
      </c>
      <c r="AJ84" s="97">
        <v>45883</v>
      </c>
      <c r="AK84" t="s">
        <v>1625</v>
      </c>
      <c r="AL84" t="s">
        <v>5</v>
      </c>
      <c r="AN84" s="81" t="s">
        <v>1777</v>
      </c>
      <c r="AO84" s="81" t="s">
        <v>1778</v>
      </c>
      <c r="AP84" s="37">
        <v>3960</v>
      </c>
      <c r="AR84" s="97"/>
      <c r="AS84" s="38"/>
      <c r="AU84" s="97">
        <v>45884</v>
      </c>
      <c r="AW84" t="s">
        <v>5</v>
      </c>
      <c r="AY84" s="81">
        <v>0.625</v>
      </c>
      <c r="AZ84" s="81">
        <v>0.57222222222222219</v>
      </c>
      <c r="BA84" s="37">
        <v>5148</v>
      </c>
      <c r="BB84" t="s">
        <v>1536</v>
      </c>
      <c r="BC84" s="97">
        <v>45884</v>
      </c>
      <c r="BD84" s="38"/>
    </row>
    <row r="85" spans="22:56" ht="16" x14ac:dyDescent="0.4">
      <c r="V85" s="97">
        <v>45877</v>
      </c>
      <c r="W85" s="16">
        <v>181347</v>
      </c>
      <c r="X85" s="101" t="s">
        <v>36</v>
      </c>
      <c r="Y85" s="105"/>
      <c r="Z85" s="50">
        <v>0.82387731481481474</v>
      </c>
      <c r="AA85" s="50">
        <v>0.28673611111111114</v>
      </c>
      <c r="AD85" s="37">
        <v>19556</v>
      </c>
      <c r="AE85" s="93">
        <f t="shared" si="23"/>
        <v>19.556000000000001</v>
      </c>
      <c r="AF85">
        <v>16.52</v>
      </c>
      <c r="AG85" s="103">
        <f t="shared" si="21"/>
        <v>14</v>
      </c>
      <c r="AH85" s="37">
        <f t="shared" si="22"/>
        <v>19.556000000000001</v>
      </c>
      <c r="AJ85" s="97">
        <v>45884</v>
      </c>
      <c r="AK85" t="s">
        <v>1626</v>
      </c>
      <c r="AL85" t="s">
        <v>5</v>
      </c>
      <c r="AN85" s="81" t="s">
        <v>1779</v>
      </c>
      <c r="AO85" s="81" t="s">
        <v>1780</v>
      </c>
      <c r="AP85" s="37">
        <v>250</v>
      </c>
      <c r="AR85" s="97"/>
      <c r="AS85" s="38"/>
      <c r="AU85" s="97">
        <v>45884</v>
      </c>
      <c r="AW85" t="s">
        <v>5</v>
      </c>
      <c r="AY85" s="81">
        <v>0.62013888888888891</v>
      </c>
      <c r="AZ85" s="81">
        <v>0.65138888888888891</v>
      </c>
      <c r="BA85" s="37">
        <v>3440</v>
      </c>
      <c r="BB85" t="s">
        <v>1536</v>
      </c>
      <c r="BC85" s="97">
        <v>45884</v>
      </c>
      <c r="BD85" s="38"/>
    </row>
    <row r="86" spans="22:56" ht="16" x14ac:dyDescent="0.4">
      <c r="V86" s="97">
        <v>45877</v>
      </c>
      <c r="W86" s="16">
        <v>181404</v>
      </c>
      <c r="X86" s="101" t="s">
        <v>36</v>
      </c>
      <c r="Y86" s="105"/>
      <c r="Z86" s="50">
        <v>2.8460648148148148E-2</v>
      </c>
      <c r="AA86" s="50">
        <v>0.35267361111111112</v>
      </c>
      <c r="AD86" s="37">
        <v>18532</v>
      </c>
      <c r="AE86" s="93">
        <f t="shared" si="23"/>
        <v>18.532</v>
      </c>
      <c r="AF86">
        <v>16.09</v>
      </c>
      <c r="AG86" s="103">
        <f t="shared" si="21"/>
        <v>14</v>
      </c>
      <c r="AH86" s="37">
        <f t="shared" si="22"/>
        <v>18.532</v>
      </c>
      <c r="AJ86" s="97">
        <v>45884</v>
      </c>
      <c r="AK86" t="s">
        <v>1627</v>
      </c>
      <c r="AL86" t="s">
        <v>5</v>
      </c>
      <c r="AN86" s="81" t="s">
        <v>1781</v>
      </c>
      <c r="AO86" s="81" t="s">
        <v>1781</v>
      </c>
      <c r="AP86" s="37">
        <v>3060</v>
      </c>
      <c r="AR86" s="97"/>
      <c r="AS86" s="38"/>
      <c r="AU86" s="97">
        <v>45884</v>
      </c>
      <c r="AW86" t="s">
        <v>5</v>
      </c>
      <c r="AY86" s="81">
        <v>0.46111111111111108</v>
      </c>
      <c r="AZ86" s="81">
        <v>0.46180555555555558</v>
      </c>
      <c r="BA86" s="37">
        <v>3240</v>
      </c>
      <c r="BB86" t="s">
        <v>1536</v>
      </c>
      <c r="BC86" s="97">
        <v>45885</v>
      </c>
      <c r="BD86" s="38"/>
    </row>
    <row r="87" spans="22:56" ht="16" x14ac:dyDescent="0.4">
      <c r="V87" s="97">
        <v>45877</v>
      </c>
      <c r="W87" s="16">
        <v>181484</v>
      </c>
      <c r="X87" s="101" t="s">
        <v>36</v>
      </c>
      <c r="Y87" s="105"/>
      <c r="Z87" s="50">
        <v>0.34546296296296292</v>
      </c>
      <c r="AA87" s="50">
        <v>0.44050925925925927</v>
      </c>
      <c r="AD87" s="37">
        <v>20212</v>
      </c>
      <c r="AE87" s="93">
        <f t="shared" si="23"/>
        <v>20.212</v>
      </c>
      <c r="AF87">
        <v>15.98</v>
      </c>
      <c r="AG87" s="103">
        <f t="shared" si="21"/>
        <v>14</v>
      </c>
      <c r="AH87" s="37">
        <f t="shared" si="22"/>
        <v>20.212</v>
      </c>
      <c r="AJ87" s="97">
        <v>45884</v>
      </c>
      <c r="AK87" t="s">
        <v>1628</v>
      </c>
      <c r="AL87" t="s">
        <v>5</v>
      </c>
      <c r="AN87" s="81" t="s">
        <v>1782</v>
      </c>
      <c r="AO87" s="81" t="s">
        <v>1782</v>
      </c>
      <c r="AP87" s="37">
        <v>5170</v>
      </c>
      <c r="AR87" s="97"/>
      <c r="AS87" s="38"/>
      <c r="AU87" s="97">
        <v>45885</v>
      </c>
      <c r="AW87" t="s">
        <v>5</v>
      </c>
      <c r="AY87" s="81">
        <v>0.46111111111111108</v>
      </c>
      <c r="AZ87" s="81">
        <v>0.53125</v>
      </c>
      <c r="BA87" s="37">
        <v>3298</v>
      </c>
      <c r="BB87" t="s">
        <v>1540</v>
      </c>
      <c r="BC87" s="97">
        <v>45885</v>
      </c>
      <c r="BD87" s="38"/>
    </row>
    <row r="88" spans="22:56" ht="16" x14ac:dyDescent="0.4">
      <c r="V88" s="97">
        <v>45877</v>
      </c>
      <c r="W88" s="16">
        <v>181535</v>
      </c>
      <c r="X88" s="101" t="s">
        <v>36</v>
      </c>
      <c r="Y88" s="105"/>
      <c r="Z88" s="50">
        <v>0.39219907407407412</v>
      </c>
      <c r="AA88" s="50">
        <v>0.51701388888888888</v>
      </c>
      <c r="AD88" s="37">
        <v>19956</v>
      </c>
      <c r="AE88" s="93">
        <f t="shared" si="23"/>
        <v>19.956</v>
      </c>
      <c r="AF88">
        <v>15.99</v>
      </c>
      <c r="AG88" s="103">
        <f t="shared" si="21"/>
        <v>14</v>
      </c>
      <c r="AH88" s="37">
        <f t="shared" si="22"/>
        <v>19.956</v>
      </c>
      <c r="AJ88" s="97">
        <v>45884</v>
      </c>
      <c r="AK88" t="s">
        <v>1629</v>
      </c>
      <c r="AL88" t="s">
        <v>5</v>
      </c>
      <c r="AN88" s="81" t="s">
        <v>1783</v>
      </c>
      <c r="AO88" s="81" t="s">
        <v>1783</v>
      </c>
      <c r="AP88" s="37">
        <v>3440</v>
      </c>
      <c r="AR88" s="97"/>
      <c r="AS88" s="38"/>
      <c r="AU88" s="97">
        <v>45885</v>
      </c>
      <c r="AW88" t="s">
        <v>5</v>
      </c>
      <c r="AY88" s="81">
        <v>0.57777777777777783</v>
      </c>
      <c r="AZ88" s="81">
        <v>0.59722222222222221</v>
      </c>
      <c r="BA88" s="37">
        <v>668</v>
      </c>
      <c r="BB88" t="s">
        <v>1541</v>
      </c>
      <c r="BC88" s="97">
        <v>45885</v>
      </c>
      <c r="BD88" s="38"/>
    </row>
    <row r="89" spans="22:56" ht="16" x14ac:dyDescent="0.4">
      <c r="V89" s="97">
        <v>45877</v>
      </c>
      <c r="W89" s="16">
        <v>181595</v>
      </c>
      <c r="X89" s="101" t="s">
        <v>36</v>
      </c>
      <c r="Y89" s="105"/>
      <c r="Z89" s="50">
        <v>0.34532407407407412</v>
      </c>
      <c r="AA89" s="50">
        <v>0.60521990740740739</v>
      </c>
      <c r="AD89" s="37">
        <v>20512</v>
      </c>
      <c r="AE89" s="93">
        <f t="shared" si="23"/>
        <v>20.512</v>
      </c>
      <c r="AF89">
        <v>14.06</v>
      </c>
      <c r="AG89" s="103">
        <f t="shared" si="21"/>
        <v>14</v>
      </c>
      <c r="AH89" s="37">
        <f t="shared" si="22"/>
        <v>20.512</v>
      </c>
      <c r="AJ89" s="97">
        <v>45885</v>
      </c>
      <c r="AK89" t="s">
        <v>1630</v>
      </c>
      <c r="AL89" t="s">
        <v>5</v>
      </c>
      <c r="AN89" s="81" t="s">
        <v>1784</v>
      </c>
      <c r="AO89" s="81" t="s">
        <v>1784</v>
      </c>
      <c r="AP89" s="37">
        <v>2630</v>
      </c>
      <c r="AR89" s="97"/>
      <c r="AS89" s="38"/>
      <c r="AU89" s="97">
        <v>45885</v>
      </c>
      <c r="AW89" t="s">
        <v>5</v>
      </c>
      <c r="AY89" s="81">
        <v>0.4368055555555555</v>
      </c>
      <c r="AZ89" s="81">
        <v>0.5756944444444444</v>
      </c>
      <c r="BA89" s="37">
        <v>1910</v>
      </c>
      <c r="BB89" t="s">
        <v>1542</v>
      </c>
      <c r="BC89" s="97">
        <v>45885</v>
      </c>
      <c r="BD89" s="38"/>
    </row>
    <row r="90" spans="22:56" ht="16" x14ac:dyDescent="0.4">
      <c r="V90" s="97">
        <v>45877</v>
      </c>
      <c r="W90" s="16">
        <v>181658</v>
      </c>
      <c r="X90" s="101" t="s">
        <v>36</v>
      </c>
      <c r="Y90" s="105"/>
      <c r="Z90" s="50">
        <v>0.39658564814814817</v>
      </c>
      <c r="AA90" s="50">
        <v>0.64693287037037039</v>
      </c>
      <c r="AD90" s="37">
        <v>18860</v>
      </c>
      <c r="AE90" s="93">
        <f t="shared" si="23"/>
        <v>18.86</v>
      </c>
      <c r="AF90">
        <v>16.239999999999998</v>
      </c>
      <c r="AG90" s="103">
        <f t="shared" si="21"/>
        <v>14</v>
      </c>
      <c r="AH90" s="37">
        <f t="shared" si="22"/>
        <v>18.859999999999996</v>
      </c>
      <c r="AJ90" s="97">
        <v>45885</v>
      </c>
      <c r="AK90" t="s">
        <v>1631</v>
      </c>
      <c r="AL90" t="s">
        <v>5</v>
      </c>
      <c r="AN90" s="81" t="s">
        <v>1785</v>
      </c>
      <c r="AO90" s="81" t="s">
        <v>1785</v>
      </c>
      <c r="AP90" s="37">
        <v>3190</v>
      </c>
      <c r="AR90" s="97"/>
      <c r="AS90" s="38"/>
      <c r="AU90" s="97">
        <v>45887</v>
      </c>
      <c r="AW90" t="s">
        <v>5</v>
      </c>
      <c r="AY90" s="81">
        <v>0.4916666666666667</v>
      </c>
      <c r="AZ90" s="81">
        <v>0.45347222222222222</v>
      </c>
      <c r="BA90" s="37">
        <v>3088</v>
      </c>
      <c r="BB90" t="s">
        <v>1543</v>
      </c>
      <c r="BC90" s="97">
        <v>45887</v>
      </c>
      <c r="BD90" s="38"/>
    </row>
    <row r="91" spans="22:56" ht="16" x14ac:dyDescent="0.4">
      <c r="V91" s="97">
        <v>45877</v>
      </c>
      <c r="W91" s="16">
        <v>181696</v>
      </c>
      <c r="X91" s="101" t="s">
        <v>36</v>
      </c>
      <c r="Y91" s="105"/>
      <c r="Z91" s="50">
        <v>0.34570601851851851</v>
      </c>
      <c r="AA91" s="50">
        <v>0.7104166666666667</v>
      </c>
      <c r="AD91" s="37">
        <v>19382</v>
      </c>
      <c r="AE91" s="93">
        <f t="shared" si="23"/>
        <v>19.382000000000001</v>
      </c>
      <c r="AF91">
        <v>14.59</v>
      </c>
      <c r="AG91" s="103">
        <f t="shared" si="21"/>
        <v>14</v>
      </c>
      <c r="AH91" s="37">
        <f t="shared" si="22"/>
        <v>19.382000000000001</v>
      </c>
      <c r="AJ91" s="97">
        <v>45885</v>
      </c>
      <c r="AK91" t="s">
        <v>1632</v>
      </c>
      <c r="AL91" t="s">
        <v>5</v>
      </c>
      <c r="AN91" s="39" t="s">
        <v>1786</v>
      </c>
      <c r="AO91" s="39" t="s">
        <v>1787</v>
      </c>
      <c r="AP91" s="37">
        <v>780</v>
      </c>
      <c r="AR91" s="97"/>
      <c r="AS91" s="38"/>
      <c r="AU91" s="97">
        <v>45888</v>
      </c>
      <c r="AW91" t="s">
        <v>5</v>
      </c>
      <c r="AY91" s="39">
        <v>0.46180555555555558</v>
      </c>
      <c r="AZ91" s="39">
        <v>0.4770833333333333</v>
      </c>
      <c r="BA91" s="37">
        <v>5661</v>
      </c>
      <c r="BB91" t="s">
        <v>1827</v>
      </c>
      <c r="BC91" s="97">
        <v>45888</v>
      </c>
      <c r="BD91" s="38"/>
    </row>
    <row r="92" spans="22:56" ht="16" x14ac:dyDescent="0.4">
      <c r="V92" s="97">
        <v>45877</v>
      </c>
      <c r="W92" s="16">
        <v>181725</v>
      </c>
      <c r="X92" s="101" t="s">
        <v>36</v>
      </c>
      <c r="Y92" s="105"/>
      <c r="Z92" s="50">
        <v>0.57361111111111118</v>
      </c>
      <c r="AA92" s="50">
        <v>0.76388888888888884</v>
      </c>
      <c r="AD92" s="37">
        <v>17818</v>
      </c>
      <c r="AE92" s="93">
        <f t="shared" si="23"/>
        <v>17.818000000000001</v>
      </c>
      <c r="AF92">
        <v>15.07</v>
      </c>
      <c r="AG92" s="103">
        <f t="shared" si="21"/>
        <v>14</v>
      </c>
      <c r="AH92" s="37">
        <f t="shared" si="22"/>
        <v>17.818000000000001</v>
      </c>
      <c r="AJ92" s="97">
        <v>45885</v>
      </c>
      <c r="AK92" t="s">
        <v>1633</v>
      </c>
      <c r="AL92" t="s">
        <v>5</v>
      </c>
      <c r="AN92" s="39" t="s">
        <v>1788</v>
      </c>
      <c r="AO92" s="39" t="s">
        <v>1788</v>
      </c>
      <c r="AP92" s="37">
        <v>3590</v>
      </c>
      <c r="AR92" s="97"/>
      <c r="AS92" s="38"/>
      <c r="AU92" s="97">
        <v>45887</v>
      </c>
      <c r="AW92" t="s">
        <v>5</v>
      </c>
      <c r="AY92" s="39">
        <v>0.52361111111111114</v>
      </c>
      <c r="AZ92" s="39">
        <v>0.53819444444444442</v>
      </c>
      <c r="BA92" s="37">
        <v>850</v>
      </c>
      <c r="BB92" t="s">
        <v>1828</v>
      </c>
      <c r="BC92" s="97">
        <v>45888</v>
      </c>
      <c r="BD92" s="38"/>
    </row>
    <row r="93" spans="22:56" ht="16" x14ac:dyDescent="0.4">
      <c r="V93" s="97">
        <v>45877</v>
      </c>
      <c r="W93" s="16">
        <v>181747</v>
      </c>
      <c r="X93" s="101" t="s">
        <v>36</v>
      </c>
      <c r="Y93" s="105"/>
      <c r="Z93" s="50">
        <v>0.7729166666666667</v>
      </c>
      <c r="AA93" s="50">
        <v>0.82291666666666663</v>
      </c>
      <c r="AD93" s="37">
        <v>19946</v>
      </c>
      <c r="AE93" s="93">
        <f t="shared" si="23"/>
        <v>19.946000000000002</v>
      </c>
      <c r="AF93">
        <v>14.59</v>
      </c>
      <c r="AG93" s="103">
        <f t="shared" si="21"/>
        <v>14</v>
      </c>
      <c r="AH93" s="37">
        <f t="shared" si="22"/>
        <v>19.946000000000002</v>
      </c>
      <c r="AJ93" s="97">
        <v>45887</v>
      </c>
      <c r="AK93" t="s">
        <v>1634</v>
      </c>
      <c r="AL93" t="s">
        <v>5</v>
      </c>
      <c r="AN93" s="81" t="s">
        <v>1789</v>
      </c>
      <c r="AO93" s="81" t="s">
        <v>1789</v>
      </c>
      <c r="AP93" s="37">
        <v>2960</v>
      </c>
      <c r="AR93" s="97"/>
      <c r="AS93" s="38"/>
      <c r="AU93" s="97">
        <v>45888</v>
      </c>
      <c r="AW93" t="s">
        <v>5</v>
      </c>
      <c r="AY93" s="39">
        <v>0.56111111111111112</v>
      </c>
      <c r="AZ93" s="39">
        <v>0.59236111111111112</v>
      </c>
      <c r="BA93" s="37">
        <v>3652</v>
      </c>
      <c r="BB93" t="s">
        <v>1829</v>
      </c>
      <c r="BC93" s="97">
        <v>45888</v>
      </c>
      <c r="BD93" s="38"/>
    </row>
    <row r="94" spans="22:56" ht="16" x14ac:dyDescent="0.4">
      <c r="V94" s="97">
        <v>45877</v>
      </c>
      <c r="W94" s="16">
        <v>181798</v>
      </c>
      <c r="X94" s="101" t="s">
        <v>36</v>
      </c>
      <c r="Y94" s="105"/>
      <c r="Z94" s="50">
        <v>0.7055555555555556</v>
      </c>
      <c r="AA94" s="50">
        <v>0.90138888888888891</v>
      </c>
      <c r="AD94" s="37">
        <v>18576</v>
      </c>
      <c r="AE94" s="93">
        <f t="shared" si="23"/>
        <v>18.576000000000001</v>
      </c>
      <c r="AF94">
        <v>14.09</v>
      </c>
      <c r="AG94" s="103">
        <f t="shared" si="21"/>
        <v>14</v>
      </c>
      <c r="AH94" s="37">
        <f t="shared" si="22"/>
        <v>18.576000000000001</v>
      </c>
      <c r="AJ94" s="97">
        <v>45887</v>
      </c>
      <c r="AK94" t="s">
        <v>1635</v>
      </c>
      <c r="AL94" t="s">
        <v>5</v>
      </c>
      <c r="AN94" s="81" t="s">
        <v>1790</v>
      </c>
      <c r="AO94" s="81" t="s">
        <v>1790</v>
      </c>
      <c r="AP94" s="37">
        <v>3190</v>
      </c>
      <c r="AR94" s="97"/>
      <c r="AS94" s="38"/>
      <c r="AU94" s="97">
        <v>45889</v>
      </c>
      <c r="AW94" t="s">
        <v>5</v>
      </c>
      <c r="AY94" s="39">
        <v>0.47847222222222219</v>
      </c>
      <c r="AZ94" s="39">
        <v>0.58819444444444446</v>
      </c>
      <c r="BA94" s="37">
        <v>3586</v>
      </c>
      <c r="BB94" t="s">
        <v>1830</v>
      </c>
      <c r="BC94" s="97">
        <v>45889</v>
      </c>
      <c r="BD94" s="38"/>
    </row>
    <row r="95" spans="22:56" ht="16" x14ac:dyDescent="0.4">
      <c r="V95" s="97">
        <v>45877</v>
      </c>
      <c r="W95" s="16">
        <v>181822</v>
      </c>
      <c r="X95" s="101" t="s">
        <v>36</v>
      </c>
      <c r="Y95" s="105"/>
      <c r="Z95" s="50">
        <v>0.7729166666666667</v>
      </c>
      <c r="AA95" s="50">
        <v>0.97361111111111109</v>
      </c>
      <c r="AD95" s="37">
        <v>19210</v>
      </c>
      <c r="AE95" s="93">
        <f t="shared" si="23"/>
        <v>19.21</v>
      </c>
      <c r="AF95">
        <v>15.63</v>
      </c>
      <c r="AG95" s="103">
        <f t="shared" si="21"/>
        <v>14</v>
      </c>
      <c r="AH95" s="37">
        <f t="shared" si="22"/>
        <v>19.21</v>
      </c>
      <c r="AJ95" s="97">
        <v>45887</v>
      </c>
      <c r="AK95" t="s">
        <v>1636</v>
      </c>
      <c r="AL95" t="s">
        <v>5</v>
      </c>
      <c r="AN95" s="81" t="s">
        <v>1791</v>
      </c>
      <c r="AO95" s="81" t="s">
        <v>1791</v>
      </c>
      <c r="AP95" s="37">
        <v>860</v>
      </c>
      <c r="AR95" s="97"/>
      <c r="AS95" s="38"/>
      <c r="AU95" s="97">
        <v>45889</v>
      </c>
      <c r="AW95" t="s">
        <v>5</v>
      </c>
      <c r="AY95" s="39">
        <v>0.40486111111111112</v>
      </c>
      <c r="AZ95" s="39">
        <v>0.41944444444444445</v>
      </c>
      <c r="BA95" s="37">
        <v>3168</v>
      </c>
      <c r="BC95" s="97">
        <v>45889</v>
      </c>
      <c r="BD95" s="38"/>
    </row>
    <row r="96" spans="22:56" ht="16" x14ac:dyDescent="0.4">
      <c r="V96" s="97">
        <v>45878</v>
      </c>
      <c r="W96" s="16">
        <v>181839</v>
      </c>
      <c r="X96" s="101" t="s">
        <v>36</v>
      </c>
      <c r="Y96" s="105"/>
      <c r="Z96" s="50">
        <v>0.39652777777777781</v>
      </c>
      <c r="AA96" s="50">
        <v>3.1944444444444449E-2</v>
      </c>
      <c r="AD96" s="37">
        <v>20046</v>
      </c>
      <c r="AE96" s="93">
        <f t="shared" si="23"/>
        <v>20.045999999999999</v>
      </c>
      <c r="AF96">
        <v>14.56</v>
      </c>
      <c r="AG96" s="103">
        <f t="shared" si="21"/>
        <v>14</v>
      </c>
      <c r="AH96" s="37">
        <f t="shared" si="22"/>
        <v>20.045999999999999</v>
      </c>
      <c r="AJ96" s="97">
        <v>45888</v>
      </c>
      <c r="AK96" t="s">
        <v>1637</v>
      </c>
      <c r="AL96" t="s">
        <v>5</v>
      </c>
      <c r="AN96" s="81" t="s">
        <v>1792</v>
      </c>
      <c r="AO96" s="81" t="s">
        <v>1792</v>
      </c>
      <c r="AP96" s="37">
        <v>5660</v>
      </c>
      <c r="AR96" s="97"/>
      <c r="AS96" s="38"/>
      <c r="AU96" s="97">
        <v>45889</v>
      </c>
      <c r="AW96" t="s">
        <v>5</v>
      </c>
      <c r="AY96" s="39">
        <v>0.5625</v>
      </c>
      <c r="AZ96" s="39">
        <v>0.58194444444444449</v>
      </c>
      <c r="BA96" s="37">
        <v>2850</v>
      </c>
      <c r="BB96" t="s">
        <v>1827</v>
      </c>
      <c r="BC96" s="97">
        <v>45889</v>
      </c>
      <c r="BD96" s="38"/>
    </row>
    <row r="97" spans="22:56" ht="16" x14ac:dyDescent="0.4">
      <c r="V97" s="97">
        <v>45878</v>
      </c>
      <c r="W97" s="16">
        <v>181856</v>
      </c>
      <c r="X97" s="101" t="s">
        <v>36</v>
      </c>
      <c r="Y97" s="105"/>
      <c r="Z97" s="50">
        <v>0.7729166666666667</v>
      </c>
      <c r="AA97" s="50">
        <v>9.0277777777777776E-2</v>
      </c>
      <c r="AD97" s="37">
        <v>18878</v>
      </c>
      <c r="AE97" s="93">
        <f t="shared" si="23"/>
        <v>18.878</v>
      </c>
      <c r="AF97">
        <v>14.81</v>
      </c>
      <c r="AG97" s="103">
        <f t="shared" si="21"/>
        <v>14</v>
      </c>
      <c r="AH97" s="37">
        <f t="shared" si="22"/>
        <v>18.878000000000004</v>
      </c>
      <c r="AJ97" s="97">
        <v>45888</v>
      </c>
      <c r="AK97" t="s">
        <v>1638</v>
      </c>
      <c r="AL97" t="s">
        <v>5</v>
      </c>
      <c r="AN97" s="81" t="s">
        <v>1793</v>
      </c>
      <c r="AO97" s="81" t="s">
        <v>1793</v>
      </c>
      <c r="AP97" s="37">
        <v>3570</v>
      </c>
      <c r="AR97" s="97"/>
      <c r="AS97" s="38"/>
      <c r="AU97" s="97">
        <v>45889</v>
      </c>
      <c r="AW97" t="s">
        <v>5</v>
      </c>
      <c r="AY97" s="39">
        <v>0.58194444444444449</v>
      </c>
      <c r="AZ97" s="39">
        <v>0.6</v>
      </c>
      <c r="BA97" s="37">
        <v>2774</v>
      </c>
      <c r="BB97" t="s">
        <v>1540</v>
      </c>
      <c r="BC97" s="97">
        <v>45889</v>
      </c>
      <c r="BD97" s="38"/>
    </row>
    <row r="98" spans="22:56" ht="16" x14ac:dyDescent="0.4">
      <c r="V98" s="97">
        <v>45878</v>
      </c>
      <c r="W98" s="16">
        <v>181865</v>
      </c>
      <c r="X98" s="101" t="s">
        <v>36</v>
      </c>
      <c r="Y98" s="105"/>
      <c r="Z98" s="50">
        <v>0.39652777777777781</v>
      </c>
      <c r="AA98" s="50">
        <v>0.1423611111111111</v>
      </c>
      <c r="AD98" s="37">
        <v>18264</v>
      </c>
      <c r="AE98" s="93">
        <f t="shared" si="23"/>
        <v>18.263999999999999</v>
      </c>
      <c r="AF98">
        <v>16.059999999999999</v>
      </c>
      <c r="AG98" s="103">
        <f t="shared" si="21"/>
        <v>14</v>
      </c>
      <c r="AH98" s="37">
        <f t="shared" si="22"/>
        <v>18.263999999999999</v>
      </c>
      <c r="AJ98" s="97">
        <v>45888</v>
      </c>
      <c r="AK98" t="s">
        <v>1639</v>
      </c>
      <c r="AL98" t="s">
        <v>5</v>
      </c>
      <c r="AN98" s="81" t="s">
        <v>1794</v>
      </c>
      <c r="AO98" s="81" t="s">
        <v>1794</v>
      </c>
      <c r="AP98" s="37">
        <v>2840</v>
      </c>
      <c r="AR98" s="97"/>
      <c r="AS98" s="38"/>
      <c r="AU98" s="97">
        <v>45890</v>
      </c>
      <c r="AW98" t="s">
        <v>5</v>
      </c>
      <c r="AY98" s="39">
        <v>0.61875000000000002</v>
      </c>
      <c r="AZ98" s="39">
        <v>0.50138888888888888</v>
      </c>
      <c r="BA98" s="37">
        <v>2708</v>
      </c>
      <c r="BB98" t="s">
        <v>1506</v>
      </c>
      <c r="BC98" s="97">
        <v>45890</v>
      </c>
      <c r="BD98" s="38"/>
    </row>
    <row r="99" spans="22:56" ht="16" x14ac:dyDescent="0.4">
      <c r="V99" s="97">
        <v>45878</v>
      </c>
      <c r="W99" s="16">
        <v>181877</v>
      </c>
      <c r="X99" s="101" t="s">
        <v>36</v>
      </c>
      <c r="Y99" s="105"/>
      <c r="Z99" s="50">
        <v>0.7680555555555556</v>
      </c>
      <c r="AA99" s="50">
        <v>0.19513888888888889</v>
      </c>
      <c r="AD99" s="37">
        <v>18722</v>
      </c>
      <c r="AE99" s="93">
        <f t="shared" si="23"/>
        <v>18.722000000000001</v>
      </c>
      <c r="AF99">
        <v>15.73</v>
      </c>
      <c r="AG99" s="103">
        <f t="shared" si="21"/>
        <v>14</v>
      </c>
      <c r="AH99" s="37">
        <f t="shared" si="22"/>
        <v>18.722000000000001</v>
      </c>
      <c r="AJ99" s="97">
        <v>45889</v>
      </c>
      <c r="AK99" t="s">
        <v>1640</v>
      </c>
      <c r="AL99" t="s">
        <v>5</v>
      </c>
      <c r="AN99" s="81" t="s">
        <v>1795</v>
      </c>
      <c r="AO99" s="81" t="s">
        <v>1795</v>
      </c>
      <c r="AP99" s="37">
        <v>3580</v>
      </c>
      <c r="AR99" s="97"/>
      <c r="AS99" s="38"/>
      <c r="AU99" s="97">
        <v>45889</v>
      </c>
      <c r="AW99" t="s">
        <v>5</v>
      </c>
      <c r="AY99" s="39">
        <v>0.62152777777777779</v>
      </c>
      <c r="AZ99" s="39">
        <v>0.63958333333333328</v>
      </c>
      <c r="BA99" s="37">
        <v>2352</v>
      </c>
      <c r="BB99" t="s">
        <v>1540</v>
      </c>
      <c r="BC99" s="97">
        <v>45890</v>
      </c>
      <c r="BD99" s="38"/>
    </row>
    <row r="100" spans="22:56" ht="16" x14ac:dyDescent="0.4">
      <c r="V100" s="97">
        <v>45878</v>
      </c>
      <c r="W100" s="16">
        <v>181879</v>
      </c>
      <c r="X100" s="101" t="s">
        <v>36</v>
      </c>
      <c r="Y100" s="105"/>
      <c r="Z100" s="50">
        <v>0.94480324074074085</v>
      </c>
      <c r="AA100" s="50">
        <v>0.24123842592592593</v>
      </c>
      <c r="AD100" s="37">
        <v>16136</v>
      </c>
      <c r="AE100" s="93">
        <f t="shared" si="23"/>
        <v>16.135999999999999</v>
      </c>
      <c r="AF100">
        <v>15.25</v>
      </c>
      <c r="AG100" s="103">
        <f t="shared" si="21"/>
        <v>14</v>
      </c>
      <c r="AH100" s="37">
        <f t="shared" si="22"/>
        <v>16.135999999999999</v>
      </c>
      <c r="AJ100" s="97">
        <v>45889</v>
      </c>
      <c r="AK100" t="s">
        <v>1641</v>
      </c>
      <c r="AL100" t="s">
        <v>5</v>
      </c>
      <c r="AN100" s="81" t="s">
        <v>1796</v>
      </c>
      <c r="AO100" s="81" t="s">
        <v>1796</v>
      </c>
      <c r="AP100" s="37">
        <v>2770</v>
      </c>
      <c r="AR100" s="97"/>
      <c r="AS100" s="38"/>
      <c r="AU100" s="97">
        <v>45890</v>
      </c>
      <c r="AW100" t="s">
        <v>5</v>
      </c>
      <c r="AY100" s="39">
        <v>0.63958333333333328</v>
      </c>
      <c r="AZ100" s="39">
        <v>0.57222222222222219</v>
      </c>
      <c r="BA100" s="37">
        <v>3202</v>
      </c>
      <c r="BB100" t="s">
        <v>1831</v>
      </c>
      <c r="BC100" s="97">
        <v>45890</v>
      </c>
      <c r="BD100" s="38"/>
    </row>
    <row r="101" spans="22:56" ht="16" x14ac:dyDescent="0.4">
      <c r="V101" s="97">
        <v>45878</v>
      </c>
      <c r="W101" s="16">
        <v>181900</v>
      </c>
      <c r="X101" s="101" t="s">
        <v>36</v>
      </c>
      <c r="Y101" s="105"/>
      <c r="Z101" s="50">
        <v>0.24001157407407406</v>
      </c>
      <c r="AA101" s="50">
        <v>0.30526620370370372</v>
      </c>
      <c r="AD101" s="37">
        <v>18896</v>
      </c>
      <c r="AE101" s="93">
        <f t="shared" si="23"/>
        <v>18.896000000000001</v>
      </c>
      <c r="AF101">
        <v>17.63</v>
      </c>
      <c r="AG101" s="103">
        <f t="shared" si="21"/>
        <v>14</v>
      </c>
      <c r="AH101" s="37">
        <f t="shared" si="22"/>
        <v>18.895999999999997</v>
      </c>
      <c r="AJ101" s="97">
        <v>45889</v>
      </c>
      <c r="AK101" t="s">
        <v>1642</v>
      </c>
      <c r="AL101" t="s">
        <v>5</v>
      </c>
      <c r="AN101" s="81" t="s">
        <v>1797</v>
      </c>
      <c r="AO101" s="81" t="s">
        <v>1797</v>
      </c>
      <c r="AP101" s="37">
        <v>2170</v>
      </c>
      <c r="AR101" s="97"/>
      <c r="AS101" s="38"/>
      <c r="AU101" s="97">
        <v>45890</v>
      </c>
      <c r="AW101" t="s">
        <v>5</v>
      </c>
      <c r="AY101" s="81">
        <v>0.58900462962962963</v>
      </c>
      <c r="AZ101" s="81">
        <v>0.77776620370370375</v>
      </c>
      <c r="BA101" s="37">
        <v>3616</v>
      </c>
      <c r="BB101" t="s">
        <v>1506</v>
      </c>
      <c r="BC101" s="97">
        <v>45890</v>
      </c>
      <c r="BD101" s="38"/>
    </row>
    <row r="102" spans="22:56" ht="16" x14ac:dyDescent="0.4">
      <c r="V102" s="97">
        <v>45878</v>
      </c>
      <c r="W102" s="16">
        <v>181954</v>
      </c>
      <c r="X102" s="101" t="s">
        <v>36</v>
      </c>
      <c r="Y102" s="105"/>
      <c r="Z102" s="50">
        <v>0.18444444444444444</v>
      </c>
      <c r="AA102" s="50">
        <v>0.37418981481481484</v>
      </c>
      <c r="AD102" s="37">
        <v>18580</v>
      </c>
      <c r="AE102" s="93">
        <f t="shared" si="23"/>
        <v>18.579999999999998</v>
      </c>
      <c r="AF102">
        <v>17.559999999999999</v>
      </c>
      <c r="AG102" s="103">
        <f t="shared" si="21"/>
        <v>14</v>
      </c>
      <c r="AH102" s="37">
        <f t="shared" si="22"/>
        <v>18.580000000000002</v>
      </c>
      <c r="AJ102" s="97">
        <v>45890</v>
      </c>
      <c r="AK102" t="s">
        <v>1643</v>
      </c>
      <c r="AL102" t="s">
        <v>5</v>
      </c>
      <c r="AN102" s="81" t="s">
        <v>1798</v>
      </c>
      <c r="AO102" s="81" t="s">
        <v>1798</v>
      </c>
      <c r="AP102" s="37">
        <v>2820</v>
      </c>
      <c r="AR102" s="97"/>
      <c r="AS102" s="38"/>
      <c r="AU102" s="97">
        <v>45890</v>
      </c>
      <c r="AW102" t="s">
        <v>5</v>
      </c>
      <c r="AY102" s="39">
        <v>0.5083333333333333</v>
      </c>
      <c r="AZ102" s="39">
        <v>0.53125</v>
      </c>
      <c r="BA102" s="37">
        <v>4058</v>
      </c>
      <c r="BB102" t="s">
        <v>1832</v>
      </c>
      <c r="BC102" s="97">
        <v>45891</v>
      </c>
      <c r="BD102" s="38"/>
    </row>
    <row r="103" spans="22:56" ht="16" x14ac:dyDescent="0.4">
      <c r="V103" s="97">
        <v>45878</v>
      </c>
      <c r="W103" s="16">
        <v>182004</v>
      </c>
      <c r="X103" s="101" t="s">
        <v>36</v>
      </c>
      <c r="Y103" s="105"/>
      <c r="Z103" s="50">
        <v>0.23989583333333334</v>
      </c>
      <c r="AA103" s="50">
        <v>0.44468749999999996</v>
      </c>
      <c r="AD103" s="37">
        <v>19530</v>
      </c>
      <c r="AE103" s="93">
        <f t="shared" si="23"/>
        <v>19.53</v>
      </c>
      <c r="AF103">
        <v>14.49</v>
      </c>
      <c r="AG103" s="103">
        <f t="shared" si="21"/>
        <v>14</v>
      </c>
      <c r="AH103" s="37">
        <f t="shared" si="22"/>
        <v>19.53</v>
      </c>
      <c r="AJ103" s="97">
        <v>45890</v>
      </c>
      <c r="AK103" t="s">
        <v>1644</v>
      </c>
      <c r="AL103" t="s">
        <v>5</v>
      </c>
      <c r="AN103" s="81" t="s">
        <v>1799</v>
      </c>
      <c r="AO103" s="81" t="s">
        <v>1799</v>
      </c>
      <c r="AP103" s="37">
        <v>4010</v>
      </c>
      <c r="AR103" s="97"/>
      <c r="AS103" s="38"/>
      <c r="AU103" s="97">
        <v>45891</v>
      </c>
      <c r="AW103" t="s">
        <v>5</v>
      </c>
      <c r="AY103" s="39">
        <v>0.52430555555555558</v>
      </c>
      <c r="AZ103" s="39">
        <v>0.40277777777777773</v>
      </c>
      <c r="BA103" s="37">
        <v>2784</v>
      </c>
      <c r="BB103" t="s">
        <v>1833</v>
      </c>
      <c r="BC103" s="97">
        <v>45891</v>
      </c>
      <c r="BD103" s="38"/>
    </row>
    <row r="104" spans="22:56" ht="16" x14ac:dyDescent="0.4">
      <c r="V104" s="97">
        <v>45878</v>
      </c>
      <c r="W104" s="16">
        <v>182043</v>
      </c>
      <c r="X104" s="101" t="s">
        <v>36</v>
      </c>
      <c r="Y104" s="105"/>
      <c r="Z104" s="50">
        <v>0.18432870370370369</v>
      </c>
      <c r="AA104" s="50">
        <v>0.5148611111111111</v>
      </c>
      <c r="AD104" s="37">
        <v>19268</v>
      </c>
      <c r="AE104" s="93">
        <f t="shared" si="23"/>
        <v>19.268000000000001</v>
      </c>
      <c r="AF104">
        <v>16.239999999999998</v>
      </c>
      <c r="AG104" s="103">
        <f t="shared" si="21"/>
        <v>14</v>
      </c>
      <c r="AH104" s="37">
        <f t="shared" si="22"/>
        <v>19.268000000000001</v>
      </c>
      <c r="AJ104" s="97">
        <v>45890</v>
      </c>
      <c r="AK104" t="s">
        <v>1645</v>
      </c>
      <c r="AL104" t="s">
        <v>5</v>
      </c>
      <c r="AN104" s="81" t="s">
        <v>1800</v>
      </c>
      <c r="AO104" s="81" t="s">
        <v>1800</v>
      </c>
      <c r="AP104" s="37">
        <v>3120</v>
      </c>
      <c r="AR104" s="97"/>
      <c r="AS104" s="38"/>
      <c r="AU104" s="97">
        <v>45891</v>
      </c>
      <c r="AW104" t="s">
        <v>5</v>
      </c>
      <c r="AY104" s="39">
        <v>0.40138888888888885</v>
      </c>
      <c r="AZ104" s="39">
        <v>0.56527777777777777</v>
      </c>
      <c r="BA104" s="37">
        <v>3866</v>
      </c>
      <c r="BB104" t="s">
        <v>1829</v>
      </c>
      <c r="BC104" s="97">
        <v>45891</v>
      </c>
      <c r="BD104" s="38"/>
    </row>
    <row r="105" spans="22:56" ht="16" x14ac:dyDescent="0.4">
      <c r="V105" s="97">
        <v>45878</v>
      </c>
      <c r="W105" s="16">
        <v>182061</v>
      </c>
      <c r="X105" s="101" t="s">
        <v>36</v>
      </c>
      <c r="Y105" s="105"/>
      <c r="Z105" s="50">
        <v>0.23980324074074075</v>
      </c>
      <c r="AA105" s="50">
        <v>0.57690972222222225</v>
      </c>
      <c r="AD105" s="37">
        <v>18688</v>
      </c>
      <c r="AE105" s="93">
        <f t="shared" si="23"/>
        <v>18.687999999999999</v>
      </c>
      <c r="AF105">
        <v>16.23</v>
      </c>
      <c r="AG105" s="103">
        <f t="shared" si="21"/>
        <v>14</v>
      </c>
      <c r="AH105" s="37">
        <f t="shared" si="22"/>
        <v>18.687999999999999</v>
      </c>
      <c r="AJ105" s="97">
        <v>45890</v>
      </c>
      <c r="AK105" t="s">
        <v>1646</v>
      </c>
      <c r="AL105" t="s">
        <v>5</v>
      </c>
      <c r="AN105" s="81" t="s">
        <v>1801</v>
      </c>
      <c r="AO105" s="81" t="s">
        <v>1802</v>
      </c>
      <c r="AP105" s="37">
        <v>3490</v>
      </c>
      <c r="AR105" s="97"/>
      <c r="AS105" s="38"/>
      <c r="AU105" s="97">
        <v>45891</v>
      </c>
      <c r="AW105" t="s">
        <v>5</v>
      </c>
      <c r="AY105" s="39">
        <v>0.38611111111111113</v>
      </c>
      <c r="AZ105" s="39">
        <v>0.40069444444444446</v>
      </c>
      <c r="BA105" s="37">
        <v>3754</v>
      </c>
      <c r="BB105" t="s">
        <v>1829</v>
      </c>
      <c r="BC105" s="97">
        <v>45891</v>
      </c>
      <c r="BD105" s="38"/>
    </row>
    <row r="106" spans="22:56" ht="16" x14ac:dyDescent="0.4">
      <c r="V106" s="97">
        <v>45878</v>
      </c>
      <c r="W106" s="16">
        <v>182084</v>
      </c>
      <c r="X106" s="101" t="s">
        <v>36</v>
      </c>
      <c r="Y106" s="105"/>
      <c r="Z106" s="50">
        <v>0.56081018518518522</v>
      </c>
      <c r="AA106" s="50">
        <v>0.63040509259259259</v>
      </c>
      <c r="AD106" s="37">
        <v>19548</v>
      </c>
      <c r="AE106" s="93">
        <f t="shared" si="23"/>
        <v>19.547999999999998</v>
      </c>
      <c r="AF106">
        <v>14.59</v>
      </c>
      <c r="AG106" s="103">
        <f t="shared" si="21"/>
        <v>14</v>
      </c>
      <c r="AH106" s="37">
        <f t="shared" si="22"/>
        <v>19.547999999999998</v>
      </c>
      <c r="AJ106" s="97">
        <v>45891</v>
      </c>
      <c r="AK106" t="s">
        <v>1647</v>
      </c>
      <c r="AL106" t="s">
        <v>5</v>
      </c>
      <c r="AN106" s="81" t="s">
        <v>1803</v>
      </c>
      <c r="AO106" s="81" t="s">
        <v>1803</v>
      </c>
      <c r="AP106" s="37">
        <v>3720</v>
      </c>
      <c r="AR106" s="97"/>
      <c r="AS106" s="38"/>
      <c r="AU106" s="97">
        <v>45891</v>
      </c>
      <c r="AW106" t="s">
        <v>5</v>
      </c>
      <c r="AY106" s="39">
        <v>0.45902777777777781</v>
      </c>
      <c r="AZ106" s="39">
        <v>0.62777777777777777</v>
      </c>
      <c r="BA106" s="37">
        <v>3126</v>
      </c>
      <c r="BB106" t="s">
        <v>1834</v>
      </c>
      <c r="BC106" s="97">
        <v>45891</v>
      </c>
      <c r="BD106" s="38"/>
    </row>
    <row r="107" spans="22:56" ht="16" x14ac:dyDescent="0.4">
      <c r="V107" s="97">
        <v>45878</v>
      </c>
      <c r="W107" s="16">
        <v>182108</v>
      </c>
      <c r="X107" s="101" t="s">
        <v>36</v>
      </c>
      <c r="Y107" s="105"/>
      <c r="Z107" s="50">
        <v>0.62928240740740737</v>
      </c>
      <c r="AA107" s="50">
        <v>0.6987268518518519</v>
      </c>
      <c r="AD107" s="37">
        <v>18942</v>
      </c>
      <c r="AE107" s="93">
        <f t="shared" si="23"/>
        <v>18.942</v>
      </c>
      <c r="AF107">
        <v>15.09</v>
      </c>
      <c r="AG107" s="103">
        <f t="shared" si="21"/>
        <v>14</v>
      </c>
      <c r="AH107" s="37">
        <f t="shared" si="22"/>
        <v>18.942</v>
      </c>
      <c r="AJ107" s="97">
        <v>45891</v>
      </c>
      <c r="AK107" t="s">
        <v>1648</v>
      </c>
      <c r="AL107" t="s">
        <v>5</v>
      </c>
      <c r="AN107" s="81" t="s">
        <v>1804</v>
      </c>
      <c r="AO107" s="81" t="s">
        <v>1804</v>
      </c>
      <c r="AP107" s="37">
        <v>2810</v>
      </c>
      <c r="AR107" s="97"/>
      <c r="AS107" s="38"/>
      <c r="AU107" s="97">
        <v>45891</v>
      </c>
      <c r="AW107" t="s">
        <v>5</v>
      </c>
      <c r="AY107" s="39">
        <v>0.44097222222222227</v>
      </c>
      <c r="AZ107" s="39">
        <v>0.45902777777777781</v>
      </c>
      <c r="BA107" s="37">
        <v>3150</v>
      </c>
      <c r="BB107" t="s">
        <v>1835</v>
      </c>
      <c r="BC107" s="97">
        <v>45891</v>
      </c>
      <c r="BD107" s="38"/>
    </row>
    <row r="108" spans="22:56" ht="16" x14ac:dyDescent="0.4">
      <c r="V108" s="97">
        <v>45878</v>
      </c>
      <c r="W108" s="16">
        <v>182118</v>
      </c>
      <c r="X108" s="101" t="s">
        <v>36</v>
      </c>
      <c r="Y108" s="105"/>
      <c r="Z108" s="50">
        <v>0.67638888888888893</v>
      </c>
      <c r="AA108" s="50">
        <v>0.73402777777777783</v>
      </c>
      <c r="AD108" s="37">
        <v>17712</v>
      </c>
      <c r="AE108" s="93">
        <f t="shared" si="23"/>
        <v>17.712</v>
      </c>
      <c r="AF108">
        <v>15.55</v>
      </c>
      <c r="AG108" s="103">
        <f t="shared" si="21"/>
        <v>14</v>
      </c>
      <c r="AH108" s="37">
        <f t="shared" si="22"/>
        <v>17.712</v>
      </c>
      <c r="AJ108" s="97">
        <v>45891</v>
      </c>
      <c r="AK108" t="s">
        <v>1649</v>
      </c>
      <c r="AL108" t="s">
        <v>5</v>
      </c>
      <c r="AN108" s="81" t="s">
        <v>1805</v>
      </c>
      <c r="AO108" s="81" t="s">
        <v>1805</v>
      </c>
      <c r="AP108" s="37">
        <v>2980</v>
      </c>
      <c r="AR108" s="97"/>
      <c r="AU108" s="97">
        <v>45891</v>
      </c>
      <c r="AW108" t="s">
        <v>5</v>
      </c>
      <c r="AY108" s="81">
        <v>0.60579861111111111</v>
      </c>
      <c r="AZ108" s="81">
        <v>0.74179398148148146</v>
      </c>
      <c r="BA108" s="37">
        <v>3118</v>
      </c>
      <c r="BB108" t="s">
        <v>1836</v>
      </c>
      <c r="BC108" s="97">
        <v>45891</v>
      </c>
    </row>
    <row r="109" spans="22:56" ht="16" x14ac:dyDescent="0.4">
      <c r="V109" s="97">
        <v>45878</v>
      </c>
      <c r="W109" s="16">
        <v>182134</v>
      </c>
      <c r="X109" s="101" t="s">
        <v>36</v>
      </c>
      <c r="Y109" s="105"/>
      <c r="Z109" s="50">
        <v>0.62916666666666665</v>
      </c>
      <c r="AA109" s="50">
        <v>0.7909722222222223</v>
      </c>
      <c r="AD109" s="37">
        <v>18922</v>
      </c>
      <c r="AE109" s="93">
        <f t="shared" si="23"/>
        <v>18.922000000000001</v>
      </c>
      <c r="AF109">
        <v>16.55</v>
      </c>
      <c r="AG109" s="103">
        <f t="shared" si="21"/>
        <v>14</v>
      </c>
      <c r="AH109" s="37">
        <f t="shared" si="22"/>
        <v>18.922000000000001</v>
      </c>
      <c r="AJ109" s="97">
        <v>45891</v>
      </c>
      <c r="AK109" t="s">
        <v>1650</v>
      </c>
      <c r="AL109" t="s">
        <v>5</v>
      </c>
      <c r="AN109" s="39" t="s">
        <v>1806</v>
      </c>
      <c r="AO109" s="39" t="s">
        <v>1806</v>
      </c>
      <c r="AP109" s="37">
        <v>2810</v>
      </c>
      <c r="AR109" s="97"/>
      <c r="AU109" s="97">
        <v>45891</v>
      </c>
      <c r="AW109" t="s">
        <v>5</v>
      </c>
      <c r="AY109" s="81">
        <v>0.51663194444444438</v>
      </c>
      <c r="AZ109" s="81">
        <v>0.53067129629629628</v>
      </c>
      <c r="BA109" s="37">
        <v>2872</v>
      </c>
      <c r="BB109" t="s">
        <v>1836</v>
      </c>
      <c r="BC109" s="97">
        <v>45891</v>
      </c>
    </row>
    <row r="110" spans="22:56" ht="16" x14ac:dyDescent="0.4">
      <c r="V110" s="97">
        <v>45878</v>
      </c>
      <c r="W110" s="16">
        <v>182158</v>
      </c>
      <c r="X110" s="101" t="s">
        <v>36</v>
      </c>
      <c r="Y110" s="105"/>
      <c r="Z110" s="50">
        <v>0.76874999999999993</v>
      </c>
      <c r="AA110" s="50">
        <v>0.8520833333333333</v>
      </c>
      <c r="AD110" s="37">
        <v>18270</v>
      </c>
      <c r="AE110" s="93">
        <f t="shared" si="23"/>
        <v>18.27</v>
      </c>
      <c r="AF110">
        <v>16.239999999999998</v>
      </c>
      <c r="AG110" s="103">
        <f t="shared" si="21"/>
        <v>14</v>
      </c>
      <c r="AH110" s="37">
        <f t="shared" si="22"/>
        <v>18.27</v>
      </c>
      <c r="AJ110" s="97">
        <v>45891</v>
      </c>
      <c r="AK110" s="98" t="s">
        <v>1651</v>
      </c>
      <c r="AL110" t="s">
        <v>5</v>
      </c>
      <c r="AN110" s="81" t="s">
        <v>1807</v>
      </c>
      <c r="AO110" s="81" t="s">
        <v>1807</v>
      </c>
      <c r="AP110" s="37">
        <v>3810</v>
      </c>
      <c r="AR110" s="38"/>
      <c r="AU110" s="97">
        <v>45891</v>
      </c>
      <c r="AV110" s="98"/>
      <c r="AW110" t="s">
        <v>5</v>
      </c>
      <c r="AY110" s="81">
        <v>0.77285879629629628</v>
      </c>
      <c r="AZ110" s="81">
        <v>0.83475694444444448</v>
      </c>
      <c r="BA110" s="37">
        <v>2936</v>
      </c>
      <c r="BB110" t="s">
        <v>1836</v>
      </c>
      <c r="BC110" s="97">
        <v>45891</v>
      </c>
    </row>
    <row r="111" spans="22:56" ht="16" x14ac:dyDescent="0.4">
      <c r="V111" s="97">
        <v>45878</v>
      </c>
      <c r="W111" s="16">
        <v>182178</v>
      </c>
      <c r="X111" s="101" t="s">
        <v>36</v>
      </c>
      <c r="Y111" s="105"/>
      <c r="Z111" s="50">
        <v>0.62916666666666665</v>
      </c>
      <c r="AA111" s="50">
        <v>0.90972222222222221</v>
      </c>
      <c r="AD111" s="37">
        <v>19110</v>
      </c>
      <c r="AE111" s="93">
        <f t="shared" si="23"/>
        <v>19.11</v>
      </c>
      <c r="AF111">
        <v>14.84</v>
      </c>
      <c r="AG111" s="103">
        <f t="shared" si="21"/>
        <v>14</v>
      </c>
      <c r="AH111" s="37">
        <f t="shared" si="22"/>
        <v>19.109999999999996</v>
      </c>
      <c r="AJ111" s="97">
        <v>45891</v>
      </c>
      <c r="AK111" s="16" t="s">
        <v>1652</v>
      </c>
      <c r="AL111" t="s">
        <v>5</v>
      </c>
      <c r="AN111" s="81" t="s">
        <v>1808</v>
      </c>
      <c r="AO111" s="81" t="s">
        <v>1809</v>
      </c>
      <c r="AP111" s="37">
        <v>3060</v>
      </c>
      <c r="AR111" s="38"/>
      <c r="AU111" s="97">
        <v>45892</v>
      </c>
      <c r="AV111" s="16"/>
      <c r="AW111" t="s">
        <v>5</v>
      </c>
      <c r="AY111" s="39">
        <v>0.53055555555555556</v>
      </c>
      <c r="AZ111" s="39">
        <v>0.4284722222222222</v>
      </c>
      <c r="BA111" s="37">
        <v>2700</v>
      </c>
      <c r="BB111" t="s">
        <v>1837</v>
      </c>
      <c r="BC111" s="97">
        <v>45892</v>
      </c>
    </row>
    <row r="112" spans="22:56" ht="16" x14ac:dyDescent="0.4">
      <c r="V112" s="97">
        <v>45879</v>
      </c>
      <c r="W112" s="16">
        <v>182194</v>
      </c>
      <c r="X112" s="101" t="s">
        <v>36</v>
      </c>
      <c r="Y112" s="105"/>
      <c r="Z112" s="50">
        <v>0.56041666666666667</v>
      </c>
      <c r="AA112" s="50">
        <v>0.99375000000000002</v>
      </c>
      <c r="AD112" s="37">
        <v>19840</v>
      </c>
      <c r="AE112" s="93">
        <f t="shared" si="23"/>
        <v>19.84</v>
      </c>
      <c r="AF112">
        <v>15.52</v>
      </c>
      <c r="AG112" s="103">
        <f t="shared" si="21"/>
        <v>14</v>
      </c>
      <c r="AH112" s="37">
        <f t="shared" si="22"/>
        <v>19.84</v>
      </c>
      <c r="AJ112" s="97">
        <v>45891</v>
      </c>
      <c r="AK112" s="16" t="s">
        <v>1653</v>
      </c>
      <c r="AL112" t="s">
        <v>5</v>
      </c>
      <c r="AN112" s="81" t="s">
        <v>1810</v>
      </c>
      <c r="AO112" s="81" t="s">
        <v>1810</v>
      </c>
      <c r="AP112" s="37">
        <v>3090</v>
      </c>
      <c r="AR112" s="38"/>
      <c r="AU112" s="97">
        <v>45892</v>
      </c>
      <c r="AV112" s="16"/>
      <c r="AW112" t="s">
        <v>5</v>
      </c>
      <c r="AY112" s="39">
        <v>0.4777777777777778</v>
      </c>
      <c r="AZ112" s="39">
        <v>0.42708333333333331</v>
      </c>
      <c r="BA112" s="37">
        <v>4954</v>
      </c>
      <c r="BB112" t="s">
        <v>1838</v>
      </c>
      <c r="BC112" s="97">
        <v>45892</v>
      </c>
    </row>
    <row r="113" spans="22:55" ht="16" x14ac:dyDescent="0.4">
      <c r="V113" s="97">
        <v>45879</v>
      </c>
      <c r="W113" s="16">
        <v>182207</v>
      </c>
      <c r="X113" s="101" t="s">
        <v>36</v>
      </c>
      <c r="Y113" s="105"/>
      <c r="Z113" s="50">
        <v>0.94305555555555554</v>
      </c>
      <c r="AA113" s="50">
        <v>4.2361111111111106E-2</v>
      </c>
      <c r="AD113" s="37">
        <v>20000</v>
      </c>
      <c r="AE113" s="93">
        <f t="shared" si="23"/>
        <v>20</v>
      </c>
      <c r="AF113">
        <v>15.02</v>
      </c>
      <c r="AG113" s="103">
        <f t="shared" si="21"/>
        <v>14</v>
      </c>
      <c r="AH113" s="37">
        <f t="shared" si="22"/>
        <v>20</v>
      </c>
      <c r="AJ113" s="97">
        <v>45891</v>
      </c>
      <c r="AK113" s="16" t="s">
        <v>1654</v>
      </c>
      <c r="AL113" t="s">
        <v>5</v>
      </c>
      <c r="AN113" s="81" t="s">
        <v>1811</v>
      </c>
      <c r="AO113" s="81" t="s">
        <v>1811</v>
      </c>
      <c r="AP113" s="37">
        <v>2870</v>
      </c>
      <c r="AR113" s="38"/>
      <c r="AU113" s="97">
        <v>45892</v>
      </c>
      <c r="AV113" s="16"/>
      <c r="AW113" t="s">
        <v>5</v>
      </c>
      <c r="AY113" s="39">
        <v>0.43055555555555558</v>
      </c>
      <c r="AZ113" s="39">
        <v>0.59097222222222223</v>
      </c>
      <c r="BA113" s="37">
        <v>3306</v>
      </c>
      <c r="BB113" t="s">
        <v>1839</v>
      </c>
      <c r="BC113" s="97">
        <v>45892</v>
      </c>
    </row>
    <row r="114" spans="22:55" ht="16" x14ac:dyDescent="0.4">
      <c r="V114" s="97">
        <v>45879</v>
      </c>
      <c r="W114" s="16">
        <v>182218</v>
      </c>
      <c r="X114" s="101" t="s">
        <v>36</v>
      </c>
      <c r="Y114" s="105"/>
      <c r="Z114" s="50">
        <v>5.5604166666666659</v>
      </c>
      <c r="AA114" s="50">
        <v>0.10625</v>
      </c>
      <c r="AD114" s="37">
        <v>19404</v>
      </c>
      <c r="AE114" s="93">
        <f t="shared" si="23"/>
        <v>19.404</v>
      </c>
      <c r="AF114">
        <v>14.98</v>
      </c>
      <c r="AG114" s="103">
        <f t="shared" si="21"/>
        <v>14</v>
      </c>
      <c r="AH114" s="37">
        <f t="shared" si="22"/>
        <v>19.404</v>
      </c>
      <c r="AJ114" s="97">
        <v>45892</v>
      </c>
      <c r="AK114" s="16" t="s">
        <v>1655</v>
      </c>
      <c r="AL114" t="s">
        <v>5</v>
      </c>
      <c r="AN114" s="81" t="s">
        <v>1812</v>
      </c>
      <c r="AO114" s="81" t="s">
        <v>1812</v>
      </c>
      <c r="AP114" s="37">
        <v>3040</v>
      </c>
      <c r="AR114" s="38"/>
      <c r="AU114" s="97">
        <v>45892</v>
      </c>
      <c r="AV114" s="16"/>
      <c r="AW114" t="s">
        <v>5</v>
      </c>
      <c r="AY114" s="39">
        <v>0.41180555555555554</v>
      </c>
      <c r="AZ114" s="39">
        <v>0.43055555555555558</v>
      </c>
      <c r="BA114" s="37">
        <v>3244</v>
      </c>
      <c r="BB114" t="s">
        <v>1839</v>
      </c>
      <c r="BC114" s="97">
        <v>45892</v>
      </c>
    </row>
    <row r="115" spans="22:55" ht="16" x14ac:dyDescent="0.4">
      <c r="V115" s="97">
        <v>45879</v>
      </c>
      <c r="W115" s="16">
        <v>182219</v>
      </c>
      <c r="X115" s="101" t="s">
        <v>36</v>
      </c>
      <c r="Y115" s="105"/>
      <c r="Z115" s="50">
        <v>9.5833333333333326E-2</v>
      </c>
      <c r="AA115" s="50">
        <v>0.14652777777777778</v>
      </c>
      <c r="AD115" s="37">
        <v>18476</v>
      </c>
      <c r="AE115" s="93">
        <f t="shared" si="23"/>
        <v>18.475999999999999</v>
      </c>
      <c r="AF115">
        <v>14.41</v>
      </c>
      <c r="AG115" s="103">
        <f t="shared" si="21"/>
        <v>14</v>
      </c>
      <c r="AH115" s="37">
        <f t="shared" si="22"/>
        <v>18.475999999999999</v>
      </c>
      <c r="AJ115" s="97">
        <v>45892</v>
      </c>
      <c r="AK115" s="16" t="s">
        <v>1656</v>
      </c>
      <c r="AL115" t="s">
        <v>5</v>
      </c>
      <c r="AN115" s="81" t="s">
        <v>1813</v>
      </c>
      <c r="AO115" s="81" t="s">
        <v>1813</v>
      </c>
      <c r="AP115" s="37">
        <v>4970</v>
      </c>
      <c r="AR115" s="38"/>
      <c r="AU115" s="97">
        <v>45892</v>
      </c>
      <c r="AV115" s="16"/>
      <c r="AW115" t="s">
        <v>5</v>
      </c>
      <c r="AY115" s="39">
        <v>0.45694444444444443</v>
      </c>
      <c r="AZ115" s="39">
        <v>0.62708333333333333</v>
      </c>
      <c r="BA115" s="37">
        <v>5594</v>
      </c>
      <c r="BB115" t="s">
        <v>1838</v>
      </c>
      <c r="BC115" s="97">
        <v>45892</v>
      </c>
    </row>
    <row r="116" spans="22:55" ht="16" x14ac:dyDescent="0.4">
      <c r="V116" s="97">
        <v>45879</v>
      </c>
      <c r="W116" s="16">
        <v>182229</v>
      </c>
      <c r="X116" s="101" t="s">
        <v>36</v>
      </c>
      <c r="Y116" s="105"/>
      <c r="Z116" s="50">
        <v>0.76388888888888884</v>
      </c>
      <c r="AA116" s="50">
        <v>0.26527777777777778</v>
      </c>
      <c r="AD116" s="37">
        <v>13110</v>
      </c>
      <c r="AE116" s="93">
        <f t="shared" si="23"/>
        <v>13.11</v>
      </c>
      <c r="AF116">
        <v>12.95</v>
      </c>
      <c r="AG116" s="103">
        <f t="shared" si="21"/>
        <v>12.95</v>
      </c>
      <c r="AH116" s="37">
        <f t="shared" si="22"/>
        <v>12.126749999999999</v>
      </c>
      <c r="AJ116" s="97">
        <v>45892</v>
      </c>
      <c r="AK116" s="16" t="s">
        <v>1657</v>
      </c>
      <c r="AL116" t="s">
        <v>5</v>
      </c>
      <c r="AN116" s="81" t="s">
        <v>1814</v>
      </c>
      <c r="AO116" s="81" t="s">
        <v>1814</v>
      </c>
      <c r="AP116" s="37">
        <v>2770</v>
      </c>
      <c r="AR116" s="38"/>
      <c r="AU116" s="97">
        <v>45892</v>
      </c>
      <c r="AV116" s="16"/>
      <c r="AW116" t="s">
        <v>5</v>
      </c>
      <c r="AY116" s="39">
        <v>0.5395833333333333</v>
      </c>
      <c r="AZ116" s="39">
        <v>0.60347222222222219</v>
      </c>
      <c r="BA116" s="37">
        <v>1646</v>
      </c>
      <c r="BB116" t="s">
        <v>1840</v>
      </c>
      <c r="BC116" s="97">
        <v>45892</v>
      </c>
    </row>
    <row r="117" spans="22:55" ht="16" x14ac:dyDescent="0.4">
      <c r="AG117" s="103">
        <f t="shared" si="21"/>
        <v>0</v>
      </c>
      <c r="AH117" s="37">
        <f t="shared" si="22"/>
        <v>0</v>
      </c>
      <c r="AJ117" s="97">
        <v>45892</v>
      </c>
      <c r="AK117" s="16" t="s">
        <v>1658</v>
      </c>
      <c r="AL117" t="s">
        <v>5</v>
      </c>
      <c r="AN117" s="81" t="s">
        <v>1815</v>
      </c>
      <c r="AO117" s="81" t="s">
        <v>1815</v>
      </c>
      <c r="AP117" s="37">
        <v>3100</v>
      </c>
      <c r="AR117" s="38"/>
      <c r="AU117" s="97">
        <v>45892</v>
      </c>
      <c r="AV117" s="16"/>
      <c r="AW117" t="s">
        <v>5</v>
      </c>
      <c r="AY117" s="39">
        <v>0.52708333333333335</v>
      </c>
      <c r="AZ117" s="39">
        <v>0.5395833333333333</v>
      </c>
      <c r="BA117" s="100">
        <v>3176</v>
      </c>
      <c r="BB117" t="s">
        <v>1829</v>
      </c>
      <c r="BC117" s="97">
        <v>45892</v>
      </c>
    </row>
    <row r="118" spans="22:55" ht="16" x14ac:dyDescent="0.4">
      <c r="V118" s="97">
        <v>45880</v>
      </c>
      <c r="W118" s="16">
        <v>182386</v>
      </c>
      <c r="X118" s="101" t="s">
        <v>36</v>
      </c>
      <c r="Y118" s="105"/>
      <c r="Z118" s="50">
        <v>0.26597222222222222</v>
      </c>
      <c r="AA118" s="50">
        <v>0.37361111111111112</v>
      </c>
      <c r="AD118" s="37">
        <v>21378</v>
      </c>
      <c r="AE118" s="93">
        <f t="shared" ref="AE118:AE132" si="24">AD118/1000</f>
        <v>21.378</v>
      </c>
      <c r="AF118">
        <v>14.24</v>
      </c>
      <c r="AG118" s="103">
        <f t="shared" si="21"/>
        <v>14</v>
      </c>
      <c r="AH118" s="37">
        <f t="shared" si="22"/>
        <v>21.378000000000004</v>
      </c>
      <c r="AJ118" s="97">
        <v>45892</v>
      </c>
      <c r="AK118" s="16" t="s">
        <v>1659</v>
      </c>
      <c r="AL118" t="s">
        <v>5</v>
      </c>
      <c r="AN118" s="81" t="s">
        <v>1816</v>
      </c>
      <c r="AO118" s="81" t="s">
        <v>1816</v>
      </c>
      <c r="AP118" s="37">
        <v>3570</v>
      </c>
      <c r="AR118" s="38"/>
      <c r="AU118" s="97">
        <v>45892</v>
      </c>
      <c r="AV118" s="16"/>
      <c r="AW118" t="s">
        <v>5</v>
      </c>
      <c r="AY118" s="39">
        <v>0.55763888888888891</v>
      </c>
      <c r="AZ118" s="39">
        <v>0.57638888888888895</v>
      </c>
      <c r="BA118" s="100">
        <v>3642</v>
      </c>
      <c r="BB118" t="s">
        <v>1841</v>
      </c>
      <c r="BC118" s="97">
        <v>45892</v>
      </c>
    </row>
    <row r="119" spans="22:55" ht="16" x14ac:dyDescent="0.4">
      <c r="V119" s="97">
        <v>45880</v>
      </c>
      <c r="W119" s="16">
        <v>182446</v>
      </c>
      <c r="X119" s="101" t="s">
        <v>36</v>
      </c>
      <c r="Y119" s="105"/>
      <c r="Z119" s="50">
        <v>0.15</v>
      </c>
      <c r="AA119" s="50">
        <v>0.43888888888888888</v>
      </c>
      <c r="AD119" s="37">
        <v>19950</v>
      </c>
      <c r="AE119" s="93">
        <f t="shared" si="24"/>
        <v>19.95</v>
      </c>
      <c r="AF119">
        <v>15.11</v>
      </c>
      <c r="AG119" s="103">
        <f t="shared" si="21"/>
        <v>14</v>
      </c>
      <c r="AH119" s="37">
        <f t="shared" si="22"/>
        <v>19.95</v>
      </c>
      <c r="AJ119" s="97">
        <v>45892</v>
      </c>
      <c r="AK119" s="16" t="s">
        <v>1660</v>
      </c>
      <c r="AL119" t="s">
        <v>5</v>
      </c>
      <c r="AN119" s="81" t="s">
        <v>1817</v>
      </c>
      <c r="AO119" s="81" t="s">
        <v>1817</v>
      </c>
      <c r="AP119" s="37">
        <v>3150</v>
      </c>
      <c r="AR119" s="38"/>
      <c r="AU119" s="97">
        <v>45894</v>
      </c>
      <c r="AV119" s="16"/>
      <c r="AW119" t="s">
        <v>5</v>
      </c>
      <c r="AY119" s="81">
        <v>0.57831018518518518</v>
      </c>
      <c r="AZ119" s="81">
        <v>0.62353009259259262</v>
      </c>
      <c r="BA119" s="37">
        <v>3446</v>
      </c>
      <c r="BB119" t="s">
        <v>1914</v>
      </c>
      <c r="BC119" s="97">
        <v>45894</v>
      </c>
    </row>
    <row r="120" spans="22:55" ht="16" x14ac:dyDescent="0.4">
      <c r="V120" s="97">
        <v>45880</v>
      </c>
      <c r="W120" s="16">
        <v>182508</v>
      </c>
      <c r="X120" s="101" t="s">
        <v>36</v>
      </c>
      <c r="Y120" s="105"/>
      <c r="Z120" s="50">
        <v>0.26597222222222222</v>
      </c>
      <c r="AA120" s="50">
        <v>0.53888888888888886</v>
      </c>
      <c r="AD120" s="37">
        <v>22298</v>
      </c>
      <c r="AE120" s="93">
        <f t="shared" si="24"/>
        <v>22.297999999999998</v>
      </c>
      <c r="AF120">
        <v>14.17</v>
      </c>
      <c r="AG120" s="103">
        <f t="shared" si="21"/>
        <v>14</v>
      </c>
      <c r="AH120" s="37">
        <f t="shared" si="22"/>
        <v>22.297999999999998</v>
      </c>
      <c r="AJ120" s="97">
        <v>45892</v>
      </c>
      <c r="AK120" s="16" t="s">
        <v>1661</v>
      </c>
      <c r="AL120" t="s">
        <v>5</v>
      </c>
      <c r="AN120" s="81" t="s">
        <v>1818</v>
      </c>
      <c r="AO120" s="81" t="s">
        <v>1818</v>
      </c>
      <c r="AP120" s="37">
        <v>700</v>
      </c>
      <c r="AR120" s="38"/>
      <c r="AU120" s="97">
        <v>45894</v>
      </c>
      <c r="AV120" s="16"/>
      <c r="AW120" t="s">
        <v>5</v>
      </c>
      <c r="AY120" s="81">
        <v>0.61474537037037036</v>
      </c>
      <c r="AZ120" s="81">
        <v>0.62958333333333327</v>
      </c>
      <c r="BA120" s="37">
        <v>726</v>
      </c>
      <c r="BB120" t="s">
        <v>1915</v>
      </c>
      <c r="BC120" s="97">
        <v>45894</v>
      </c>
    </row>
    <row r="121" spans="22:55" ht="16" x14ac:dyDescent="0.4">
      <c r="V121" s="97">
        <v>45880</v>
      </c>
      <c r="W121" s="16">
        <v>182547</v>
      </c>
      <c r="X121" s="101" t="s">
        <v>36</v>
      </c>
      <c r="Y121" s="105"/>
      <c r="Z121" s="50">
        <v>0.15</v>
      </c>
      <c r="AA121" s="50">
        <v>0.59791666666666665</v>
      </c>
      <c r="AD121" s="37">
        <v>19718</v>
      </c>
      <c r="AE121" s="93">
        <f t="shared" si="24"/>
        <v>19.718</v>
      </c>
      <c r="AF121">
        <v>14.13</v>
      </c>
      <c r="AG121" s="103">
        <f t="shared" si="21"/>
        <v>14</v>
      </c>
      <c r="AH121" s="37">
        <f t="shared" si="22"/>
        <v>19.718</v>
      </c>
      <c r="AJ121" s="97">
        <v>45892</v>
      </c>
      <c r="AK121" t="s">
        <v>1662</v>
      </c>
      <c r="AL121" t="s">
        <v>5</v>
      </c>
      <c r="AN121" s="81" t="s">
        <v>1819</v>
      </c>
      <c r="AO121" s="81" t="s">
        <v>1819</v>
      </c>
      <c r="AP121" s="37">
        <v>5550</v>
      </c>
      <c r="AR121" s="38"/>
      <c r="AU121" s="97">
        <v>45894</v>
      </c>
      <c r="AW121" t="s">
        <v>5</v>
      </c>
      <c r="AY121" s="81">
        <v>0.46127314814814818</v>
      </c>
      <c r="AZ121" s="81">
        <v>0.57446759259259261</v>
      </c>
      <c r="BA121" s="37">
        <v>2674</v>
      </c>
      <c r="BB121" t="s">
        <v>1916</v>
      </c>
      <c r="BC121" s="97">
        <v>45894</v>
      </c>
    </row>
    <row r="122" spans="22:55" ht="16" x14ac:dyDescent="0.4">
      <c r="V122" s="97">
        <v>45880</v>
      </c>
      <c r="W122" s="16">
        <v>182607</v>
      </c>
      <c r="X122" s="101" t="s">
        <v>36</v>
      </c>
      <c r="Y122" s="105"/>
      <c r="Z122" s="50">
        <v>0.26597222222222222</v>
      </c>
      <c r="AA122" s="50">
        <v>0.67847222222222225</v>
      </c>
      <c r="AD122" s="37">
        <v>20662</v>
      </c>
      <c r="AE122" s="93">
        <f t="shared" si="24"/>
        <v>20.661999999999999</v>
      </c>
      <c r="AF122">
        <v>15.61</v>
      </c>
      <c r="AG122" s="103">
        <f t="shared" si="21"/>
        <v>14</v>
      </c>
      <c r="AH122" s="37">
        <f t="shared" si="22"/>
        <v>20.661999999999999</v>
      </c>
      <c r="AJ122" s="97">
        <v>45892</v>
      </c>
      <c r="AK122" t="s">
        <v>1663</v>
      </c>
      <c r="AL122" t="s">
        <v>5</v>
      </c>
      <c r="AN122" s="81" t="s">
        <v>1820</v>
      </c>
      <c r="AO122" s="81" t="s">
        <v>1820</v>
      </c>
      <c r="AP122" s="37">
        <v>1640</v>
      </c>
      <c r="AR122" s="38"/>
      <c r="AU122" s="97">
        <v>45894</v>
      </c>
      <c r="AW122" t="s">
        <v>5</v>
      </c>
      <c r="AY122" s="81">
        <v>0.42769675925925926</v>
      </c>
      <c r="AZ122" s="81">
        <v>0.46090277777777783</v>
      </c>
      <c r="BA122" s="37">
        <v>2640</v>
      </c>
      <c r="BC122" s="97">
        <v>45894</v>
      </c>
    </row>
    <row r="123" spans="22:55" ht="16" x14ac:dyDescent="0.4">
      <c r="V123" s="97">
        <v>45880</v>
      </c>
      <c r="W123" s="16">
        <v>182660</v>
      </c>
      <c r="X123" s="101" t="s">
        <v>36</v>
      </c>
      <c r="Y123" s="105"/>
      <c r="Z123" s="50">
        <v>0.64636574074074071</v>
      </c>
      <c r="AA123" s="50">
        <v>0.80224537037037036</v>
      </c>
      <c r="AD123" s="37">
        <v>19668</v>
      </c>
      <c r="AE123" s="93">
        <f t="shared" si="24"/>
        <v>19.667999999999999</v>
      </c>
      <c r="AF123">
        <v>15.38</v>
      </c>
      <c r="AG123" s="103">
        <f t="shared" si="21"/>
        <v>14</v>
      </c>
      <c r="AH123" s="37">
        <f t="shared" si="22"/>
        <v>19.667999999999999</v>
      </c>
      <c r="AJ123" s="97">
        <v>45894</v>
      </c>
      <c r="AK123" t="s">
        <v>1664</v>
      </c>
      <c r="AL123" t="s">
        <v>5</v>
      </c>
      <c r="AN123" s="81" t="s">
        <v>1821</v>
      </c>
      <c r="AO123" s="81" t="s">
        <v>1821</v>
      </c>
      <c r="AP123" s="37">
        <v>2590</v>
      </c>
      <c r="AR123" s="38"/>
      <c r="AU123" s="97">
        <v>45894</v>
      </c>
      <c r="AW123" t="s">
        <v>5</v>
      </c>
      <c r="AY123" s="81">
        <v>0.58024305555555555</v>
      </c>
      <c r="AZ123" s="81">
        <v>0.60509259259259263</v>
      </c>
      <c r="BA123" s="37">
        <v>3976</v>
      </c>
      <c r="BB123" t="s">
        <v>1914</v>
      </c>
      <c r="BC123" s="97">
        <v>45894</v>
      </c>
    </row>
    <row r="124" spans="22:55" ht="16" x14ac:dyDescent="0.4">
      <c r="V124" s="97">
        <v>45880</v>
      </c>
      <c r="W124" s="16">
        <v>182684</v>
      </c>
      <c r="X124" s="101" t="s">
        <v>36</v>
      </c>
      <c r="Y124" s="105"/>
      <c r="Z124" s="50">
        <v>0.73552083333333329</v>
      </c>
      <c r="AA124" s="50">
        <v>0.88828703703703704</v>
      </c>
      <c r="AD124" s="37">
        <v>21998</v>
      </c>
      <c r="AE124" s="93">
        <f t="shared" si="24"/>
        <v>21.998000000000001</v>
      </c>
      <c r="AF124">
        <v>14.45</v>
      </c>
      <c r="AG124" s="103">
        <f t="shared" si="21"/>
        <v>14</v>
      </c>
      <c r="AH124" s="37">
        <f t="shared" si="22"/>
        <v>21.998000000000001</v>
      </c>
      <c r="AJ124" s="97">
        <v>45894</v>
      </c>
      <c r="AK124" t="s">
        <v>1665</v>
      </c>
      <c r="AL124" t="s">
        <v>5</v>
      </c>
      <c r="AN124" s="81" t="s">
        <v>1822</v>
      </c>
      <c r="AO124" s="81" t="s">
        <v>1822</v>
      </c>
      <c r="AP124" s="37">
        <v>3050</v>
      </c>
      <c r="AR124" s="38"/>
      <c r="AU124" s="97">
        <v>45895</v>
      </c>
      <c r="AW124" t="s">
        <v>5</v>
      </c>
      <c r="AY124" s="81">
        <v>0.64656250000000004</v>
      </c>
      <c r="AZ124" s="81">
        <v>0.41263888888888894</v>
      </c>
      <c r="BA124" s="37">
        <v>5036</v>
      </c>
      <c r="BB124" t="s">
        <v>1917</v>
      </c>
      <c r="BC124" s="97">
        <v>45895</v>
      </c>
    </row>
    <row r="125" spans="22:55" ht="16" x14ac:dyDescent="0.4">
      <c r="V125" s="97">
        <v>45881</v>
      </c>
      <c r="W125" s="16">
        <v>182731</v>
      </c>
      <c r="X125" s="101" t="s">
        <v>36</v>
      </c>
      <c r="Y125" s="105"/>
      <c r="Z125" s="50">
        <v>0.23343749999999999</v>
      </c>
      <c r="AA125" s="50">
        <v>0.97056712962962965</v>
      </c>
      <c r="AD125" s="37">
        <v>20830</v>
      </c>
      <c r="AE125" s="93">
        <f t="shared" si="24"/>
        <v>20.83</v>
      </c>
      <c r="AF125">
        <v>14.8</v>
      </c>
      <c r="AG125" s="103">
        <f t="shared" si="21"/>
        <v>14</v>
      </c>
      <c r="AH125" s="37">
        <f t="shared" si="22"/>
        <v>20.830000000000002</v>
      </c>
      <c r="AJ125" s="97">
        <v>45894</v>
      </c>
      <c r="AK125" t="s">
        <v>1666</v>
      </c>
      <c r="AL125" t="s">
        <v>5</v>
      </c>
      <c r="AN125" s="81" t="s">
        <v>1823</v>
      </c>
      <c r="AO125" s="81" t="s">
        <v>1823</v>
      </c>
      <c r="AP125" s="37">
        <v>2710</v>
      </c>
      <c r="AR125" s="38"/>
      <c r="AU125" s="97">
        <v>45895</v>
      </c>
      <c r="AW125" t="s">
        <v>5</v>
      </c>
      <c r="AY125" s="81">
        <v>0.59642361111111108</v>
      </c>
      <c r="AZ125" s="81">
        <v>0.54743055555555553</v>
      </c>
      <c r="BA125" s="37">
        <v>2942</v>
      </c>
      <c r="BB125" t="s">
        <v>1918</v>
      </c>
      <c r="BC125" s="97">
        <v>45895</v>
      </c>
    </row>
    <row r="126" spans="22:55" ht="16" x14ac:dyDescent="0.4">
      <c r="V126" s="97">
        <v>45881</v>
      </c>
      <c r="W126" s="16">
        <v>182739</v>
      </c>
      <c r="X126" s="101" t="s">
        <v>36</v>
      </c>
      <c r="Y126" s="105"/>
      <c r="Z126" s="50">
        <v>0.7356597222222222</v>
      </c>
      <c r="AA126" s="50">
        <v>4.4108796296296299E-2</v>
      </c>
      <c r="AD126" s="37">
        <v>20666</v>
      </c>
      <c r="AE126" s="93">
        <f t="shared" si="24"/>
        <v>20.666</v>
      </c>
      <c r="AF126">
        <v>14.73</v>
      </c>
      <c r="AG126" s="103">
        <f t="shared" si="21"/>
        <v>14</v>
      </c>
      <c r="AH126" s="37">
        <f t="shared" si="22"/>
        <v>20.666</v>
      </c>
      <c r="AJ126" s="97">
        <v>45894</v>
      </c>
      <c r="AK126" t="s">
        <v>1667</v>
      </c>
      <c r="AL126" t="s">
        <v>5</v>
      </c>
      <c r="AN126" s="81" t="s">
        <v>1824</v>
      </c>
      <c r="AO126" s="81" t="s">
        <v>1825</v>
      </c>
      <c r="AP126" s="37">
        <v>3920</v>
      </c>
      <c r="AR126" s="38"/>
      <c r="AU126" s="97">
        <v>45895</v>
      </c>
      <c r="AW126" t="s">
        <v>5</v>
      </c>
      <c r="AY126" s="81">
        <v>0.49017361111111107</v>
      </c>
      <c r="AZ126" s="81">
        <v>0.53445601851851854</v>
      </c>
      <c r="BA126" s="37">
        <v>394</v>
      </c>
      <c r="BB126" t="s">
        <v>1919</v>
      </c>
      <c r="BC126" s="97">
        <v>45896</v>
      </c>
    </row>
    <row r="127" spans="22:55" ht="16" x14ac:dyDescent="0.4">
      <c r="V127" s="97">
        <v>45881</v>
      </c>
      <c r="W127" s="16">
        <v>182755</v>
      </c>
      <c r="X127" s="101" t="s">
        <v>36</v>
      </c>
      <c r="Y127" s="105"/>
      <c r="Z127" s="50">
        <v>0.64680555555555552</v>
      </c>
      <c r="AA127" s="50">
        <v>0.11510416666666667</v>
      </c>
      <c r="AD127" s="37">
        <v>19896</v>
      </c>
      <c r="AE127" s="93">
        <f t="shared" si="24"/>
        <v>19.896000000000001</v>
      </c>
      <c r="AF127">
        <v>15.52</v>
      </c>
      <c r="AG127" s="103">
        <f t="shared" si="21"/>
        <v>14</v>
      </c>
      <c r="AH127" s="37">
        <f t="shared" si="22"/>
        <v>19.895999999999997</v>
      </c>
      <c r="AJ127" s="97">
        <v>45894</v>
      </c>
      <c r="AK127" t="s">
        <v>1668</v>
      </c>
      <c r="AL127" t="s">
        <v>5</v>
      </c>
      <c r="AN127" s="81" t="s">
        <v>1826</v>
      </c>
      <c r="AO127" s="81" t="s">
        <v>1826</v>
      </c>
      <c r="AP127" s="37">
        <v>3430</v>
      </c>
      <c r="AR127" s="38"/>
      <c r="AU127" s="97">
        <v>45896</v>
      </c>
      <c r="AW127" t="s">
        <v>5</v>
      </c>
      <c r="AY127" s="81">
        <v>0.47370370370370374</v>
      </c>
      <c r="AZ127" s="81">
        <v>0.4886226851851852</v>
      </c>
      <c r="BA127" s="37">
        <v>3072</v>
      </c>
      <c r="BB127" t="s">
        <v>1920</v>
      </c>
      <c r="BC127" s="97">
        <v>45896</v>
      </c>
    </row>
    <row r="128" spans="22:55" ht="16" x14ac:dyDescent="0.4">
      <c r="V128" s="97">
        <v>45881</v>
      </c>
      <c r="W128" s="16">
        <v>182765</v>
      </c>
      <c r="X128" s="101" t="s">
        <v>36</v>
      </c>
      <c r="Y128" s="105"/>
      <c r="Z128" s="50">
        <v>0.73576388888888899</v>
      </c>
      <c r="AA128" s="50">
        <v>0.18260416666666668</v>
      </c>
      <c r="AD128" s="37">
        <v>20018</v>
      </c>
      <c r="AE128" s="93">
        <f t="shared" si="24"/>
        <v>20.018000000000001</v>
      </c>
      <c r="AF128">
        <v>14.05</v>
      </c>
      <c r="AG128" s="103">
        <f t="shared" si="21"/>
        <v>14</v>
      </c>
      <c r="AH128" s="37">
        <f t="shared" si="22"/>
        <v>20.018000000000001</v>
      </c>
      <c r="AJ128" s="97">
        <v>45895</v>
      </c>
      <c r="AK128" t="s">
        <v>1842</v>
      </c>
      <c r="AL128" t="s">
        <v>5</v>
      </c>
      <c r="AN128" s="81" t="s">
        <v>1873</v>
      </c>
      <c r="AO128" s="81" t="s">
        <v>1873</v>
      </c>
      <c r="AP128" s="37">
        <v>5120</v>
      </c>
      <c r="AR128" s="38"/>
      <c r="AU128" s="97">
        <v>45896</v>
      </c>
      <c r="AW128" t="s">
        <v>5</v>
      </c>
      <c r="AY128" s="81">
        <v>0.43081018518518516</v>
      </c>
      <c r="AZ128" s="81">
        <v>0.61116898148148147</v>
      </c>
      <c r="BA128" s="37">
        <v>3036</v>
      </c>
      <c r="BB128" t="s">
        <v>1921</v>
      </c>
      <c r="BC128" s="97">
        <v>45896</v>
      </c>
    </row>
    <row r="129" spans="22:55" ht="16" x14ac:dyDescent="0.4">
      <c r="V129" s="97">
        <v>45881</v>
      </c>
      <c r="W129" s="16">
        <v>182820</v>
      </c>
      <c r="X129" s="101" t="s">
        <v>36</v>
      </c>
      <c r="Y129" s="105"/>
      <c r="Z129" s="50">
        <v>0.15277777777777776</v>
      </c>
      <c r="AA129" s="50">
        <v>0.31805555555555554</v>
      </c>
      <c r="AD129" s="37">
        <v>20960</v>
      </c>
      <c r="AE129" s="93">
        <f t="shared" si="24"/>
        <v>20.96</v>
      </c>
      <c r="AF129">
        <v>16.239999999999998</v>
      </c>
      <c r="AG129" s="103">
        <f t="shared" si="21"/>
        <v>14</v>
      </c>
      <c r="AH129" s="37">
        <f t="shared" si="22"/>
        <v>20.96</v>
      </c>
      <c r="AJ129" s="97">
        <v>45895</v>
      </c>
      <c r="AK129" t="s">
        <v>1843</v>
      </c>
      <c r="AL129" t="s">
        <v>5</v>
      </c>
      <c r="AN129" s="81" t="s">
        <v>1874</v>
      </c>
      <c r="AO129" s="81" t="s">
        <v>1874</v>
      </c>
      <c r="AP129" s="37">
        <v>4030</v>
      </c>
      <c r="AR129" s="38"/>
      <c r="AU129" s="97">
        <v>45896</v>
      </c>
      <c r="AW129" t="s">
        <v>5</v>
      </c>
      <c r="AY129" s="81">
        <v>0.39446759259259262</v>
      </c>
      <c r="AZ129" s="81">
        <v>0.43059027777777775</v>
      </c>
      <c r="BA129" s="37">
        <v>3280</v>
      </c>
      <c r="BB129" t="s">
        <v>1921</v>
      </c>
      <c r="BC129" s="97">
        <v>45896</v>
      </c>
    </row>
    <row r="130" spans="22:55" ht="16" x14ac:dyDescent="0.4">
      <c r="V130" s="97">
        <v>45881</v>
      </c>
      <c r="W130" s="16">
        <v>182882</v>
      </c>
      <c r="X130" s="101" t="s">
        <v>36</v>
      </c>
      <c r="Y130" s="105"/>
      <c r="Z130" s="50">
        <v>0.39652777777777781</v>
      </c>
      <c r="AA130" s="50">
        <v>0.40833333333333338</v>
      </c>
      <c r="AD130" s="37">
        <v>18468</v>
      </c>
      <c r="AE130" s="93">
        <f t="shared" si="24"/>
        <v>18.468</v>
      </c>
      <c r="AF130">
        <v>15.09</v>
      </c>
      <c r="AG130" s="103">
        <f t="shared" si="21"/>
        <v>14</v>
      </c>
      <c r="AH130" s="37">
        <f t="shared" si="22"/>
        <v>18.468</v>
      </c>
      <c r="AJ130" s="97">
        <v>45895</v>
      </c>
      <c r="AK130" t="s">
        <v>1844</v>
      </c>
      <c r="AL130" t="s">
        <v>5</v>
      </c>
      <c r="AN130" s="81" t="s">
        <v>1875</v>
      </c>
      <c r="AO130" s="81" t="s">
        <v>1875</v>
      </c>
      <c r="AP130" s="37">
        <v>3020</v>
      </c>
      <c r="AR130" s="38"/>
      <c r="AU130" s="97">
        <v>45896</v>
      </c>
      <c r="AW130" t="s">
        <v>5</v>
      </c>
      <c r="AY130" s="81">
        <v>0.56362268518518521</v>
      </c>
      <c r="AZ130" s="81">
        <v>0.38218749999999996</v>
      </c>
      <c r="BA130" s="37">
        <v>2750</v>
      </c>
      <c r="BB130" t="s">
        <v>1919</v>
      </c>
      <c r="BC130" s="97">
        <v>45896</v>
      </c>
    </row>
    <row r="131" spans="22:55" ht="16" x14ac:dyDescent="0.4">
      <c r="V131" s="97">
        <v>45881</v>
      </c>
      <c r="W131" s="16">
        <v>182951</v>
      </c>
      <c r="X131" s="101" t="s">
        <v>36</v>
      </c>
      <c r="Y131" s="105"/>
      <c r="Z131" s="50">
        <v>0.15277777777777776</v>
      </c>
      <c r="AA131" s="50">
        <v>0.49444444444444446</v>
      </c>
      <c r="AD131" s="37">
        <v>19868</v>
      </c>
      <c r="AE131" s="93">
        <f t="shared" si="24"/>
        <v>19.867999999999999</v>
      </c>
      <c r="AF131">
        <v>15.16</v>
      </c>
      <c r="AG131" s="103">
        <f t="shared" si="21"/>
        <v>14</v>
      </c>
      <c r="AH131" s="37">
        <f t="shared" si="22"/>
        <v>19.867999999999999</v>
      </c>
      <c r="AJ131" s="97">
        <v>45896</v>
      </c>
      <c r="AK131" t="s">
        <v>1845</v>
      </c>
      <c r="AL131" t="s">
        <v>5</v>
      </c>
      <c r="AN131" s="81" t="s">
        <v>1876</v>
      </c>
      <c r="AO131" s="81" t="s">
        <v>1876</v>
      </c>
      <c r="AP131" s="37">
        <v>2920</v>
      </c>
      <c r="AR131" s="38"/>
      <c r="AU131" s="97">
        <v>45896</v>
      </c>
      <c r="AW131" t="s">
        <v>5</v>
      </c>
      <c r="AY131" s="81">
        <v>0.46706018518518522</v>
      </c>
      <c r="AZ131" s="81">
        <v>0.48972222222222223</v>
      </c>
      <c r="BA131" s="37">
        <v>4148</v>
      </c>
      <c r="BB131" t="s">
        <v>1922</v>
      </c>
      <c r="BC131" s="97">
        <v>45896</v>
      </c>
    </row>
    <row r="132" spans="22:55" ht="16" x14ac:dyDescent="0.4">
      <c r="V132" s="97">
        <v>45881</v>
      </c>
      <c r="W132" s="16">
        <v>183003</v>
      </c>
      <c r="X132" s="101" t="s">
        <v>36</v>
      </c>
      <c r="Y132" s="105"/>
      <c r="Z132" s="50">
        <v>0.22361111111111109</v>
      </c>
      <c r="AA132" s="50">
        <v>0.55486111111111114</v>
      </c>
      <c r="AD132" s="37">
        <v>18584</v>
      </c>
      <c r="AE132" s="93">
        <f t="shared" si="24"/>
        <v>18.584</v>
      </c>
      <c r="AF132">
        <v>14.37</v>
      </c>
      <c r="AG132" s="103">
        <f t="shared" si="21"/>
        <v>14</v>
      </c>
      <c r="AH132" s="37">
        <f t="shared" si="22"/>
        <v>18.584</v>
      </c>
      <c r="AJ132" s="97">
        <v>45896</v>
      </c>
      <c r="AK132" t="s">
        <v>1846</v>
      </c>
      <c r="AL132" t="s">
        <v>5</v>
      </c>
      <c r="AN132" s="81" t="s">
        <v>1877</v>
      </c>
      <c r="AO132" s="81" t="s">
        <v>1877</v>
      </c>
      <c r="AP132" s="37">
        <v>3340</v>
      </c>
      <c r="AR132" s="38"/>
      <c r="AU132" s="97">
        <v>45896</v>
      </c>
      <c r="AW132" t="s">
        <v>5</v>
      </c>
      <c r="AY132" s="81">
        <v>0.42730324074074072</v>
      </c>
      <c r="AZ132" s="81">
        <v>0.6650462962962963</v>
      </c>
      <c r="BA132" s="37">
        <v>5068</v>
      </c>
      <c r="BB132" t="s">
        <v>1923</v>
      </c>
      <c r="BC132" s="97">
        <v>45896</v>
      </c>
    </row>
    <row r="133" spans="22:55" ht="16" x14ac:dyDescent="0.4">
      <c r="V133" s="97">
        <v>45881</v>
      </c>
      <c r="W133" s="16">
        <v>183045</v>
      </c>
      <c r="X133" s="101" t="s">
        <v>36</v>
      </c>
      <c r="Y133" s="105"/>
      <c r="Z133" s="50">
        <v>0.62638888888888888</v>
      </c>
      <c r="AA133" s="50"/>
      <c r="AD133" s="37">
        <v>19118</v>
      </c>
      <c r="AE133" s="93">
        <f t="shared" ref="AE133:AE196" si="25">AD133/1000</f>
        <v>19.117999999999999</v>
      </c>
      <c r="AF133">
        <v>14.77</v>
      </c>
      <c r="AG133" s="103">
        <f t="shared" ref="AG133:AG196" si="26">IF($AF133&gt;14,14,$AF133)</f>
        <v>14</v>
      </c>
      <c r="AH133" s="37">
        <f t="shared" ref="AH133:AH196" si="27">AE133*AG133/14</f>
        <v>19.117999999999999</v>
      </c>
      <c r="AJ133" s="97">
        <v>45896</v>
      </c>
      <c r="AK133" t="s">
        <v>1847</v>
      </c>
      <c r="AL133" t="s">
        <v>5</v>
      </c>
      <c r="AN133" s="81" t="s">
        <v>1878</v>
      </c>
      <c r="AO133" s="81" t="s">
        <v>1878</v>
      </c>
      <c r="AP133" s="37">
        <v>3610</v>
      </c>
      <c r="AR133" s="38"/>
      <c r="AU133" s="97">
        <v>45897</v>
      </c>
      <c r="AW133" t="s">
        <v>5</v>
      </c>
      <c r="AY133" s="81">
        <v>0.48866898148148147</v>
      </c>
      <c r="AZ133" s="81">
        <v>0.43787037037037035</v>
      </c>
      <c r="BA133" s="37">
        <v>2332</v>
      </c>
      <c r="BB133" t="s">
        <v>1921</v>
      </c>
      <c r="BC133" s="97">
        <v>45897</v>
      </c>
    </row>
    <row r="134" spans="22:55" ht="16" x14ac:dyDescent="0.4">
      <c r="V134" s="97">
        <v>45881</v>
      </c>
      <c r="W134" s="16">
        <v>183094</v>
      </c>
      <c r="X134" s="101" t="s">
        <v>36</v>
      </c>
      <c r="Y134" s="105"/>
      <c r="Z134" s="50">
        <v>0.26111111111111113</v>
      </c>
      <c r="AA134" s="50">
        <v>0.6958333333333333</v>
      </c>
      <c r="AD134" s="37">
        <v>20836</v>
      </c>
      <c r="AE134" s="93">
        <f t="shared" si="25"/>
        <v>20.835999999999999</v>
      </c>
      <c r="AF134">
        <v>15.31</v>
      </c>
      <c r="AG134" s="103">
        <f t="shared" si="26"/>
        <v>14</v>
      </c>
      <c r="AH134" s="37">
        <f t="shared" si="27"/>
        <v>20.835999999999995</v>
      </c>
      <c r="AJ134" s="97">
        <v>45896</v>
      </c>
      <c r="AK134" t="s">
        <v>1848</v>
      </c>
      <c r="AL134" t="s">
        <v>5</v>
      </c>
      <c r="AN134" s="81" t="s">
        <v>1879</v>
      </c>
      <c r="AO134" s="81" t="s">
        <v>1879</v>
      </c>
      <c r="AP134" s="37">
        <v>3110</v>
      </c>
      <c r="AR134" s="38"/>
      <c r="AU134" s="97">
        <v>45897</v>
      </c>
      <c r="AW134" t="s">
        <v>5</v>
      </c>
      <c r="AY134" s="81">
        <v>0.46190972222222221</v>
      </c>
      <c r="AZ134" s="81">
        <v>0.48099537037037038</v>
      </c>
      <c r="BA134" s="37">
        <v>3260</v>
      </c>
      <c r="BB134" t="s">
        <v>1924</v>
      </c>
      <c r="BC134" s="97">
        <v>45897</v>
      </c>
    </row>
    <row r="135" spans="22:55" ht="16" x14ac:dyDescent="0.4">
      <c r="V135" s="97">
        <v>45881</v>
      </c>
      <c r="W135" s="16">
        <v>183120</v>
      </c>
      <c r="X135" s="101" t="s">
        <v>36</v>
      </c>
      <c r="Y135" s="105"/>
      <c r="Z135" s="50">
        <v>0.5607523148148148</v>
      </c>
      <c r="AA135" s="50">
        <v>0.77032407407407411</v>
      </c>
      <c r="AD135" s="37">
        <v>17630</v>
      </c>
      <c r="AE135" s="93">
        <f t="shared" si="25"/>
        <v>17.63</v>
      </c>
      <c r="AF135">
        <v>16.16</v>
      </c>
      <c r="AG135" s="103">
        <f t="shared" si="26"/>
        <v>14</v>
      </c>
      <c r="AH135" s="37">
        <f t="shared" si="27"/>
        <v>17.63</v>
      </c>
      <c r="AJ135" s="97">
        <v>45896</v>
      </c>
      <c r="AK135" t="s">
        <v>1849</v>
      </c>
      <c r="AL135" t="s">
        <v>5</v>
      </c>
      <c r="AN135" s="81" t="s">
        <v>1880</v>
      </c>
      <c r="AO135" s="81" t="s">
        <v>1880</v>
      </c>
      <c r="AP135" s="37">
        <v>410</v>
      </c>
      <c r="AR135" s="38"/>
      <c r="AU135" s="97">
        <v>45897</v>
      </c>
      <c r="AW135" t="s">
        <v>5</v>
      </c>
      <c r="AY135" s="81">
        <v>0.49024305555555553</v>
      </c>
      <c r="AZ135" s="81">
        <v>0.4725462962962963</v>
      </c>
      <c r="BA135" s="37">
        <v>3670</v>
      </c>
      <c r="BB135" t="s">
        <v>1506</v>
      </c>
      <c r="BC135" s="97">
        <v>45897</v>
      </c>
    </row>
    <row r="136" spans="22:55" ht="16" x14ac:dyDescent="0.4">
      <c r="V136" s="97">
        <v>45881</v>
      </c>
      <c r="W136" s="16">
        <v>183170</v>
      </c>
      <c r="X136" s="101" t="s">
        <v>36</v>
      </c>
      <c r="Y136" s="105"/>
      <c r="Z136" s="50">
        <v>0.64306712962962964</v>
      </c>
      <c r="AA136" s="50">
        <v>0.83178240740740739</v>
      </c>
      <c r="AD136" s="37">
        <v>19278</v>
      </c>
      <c r="AE136" s="93">
        <f t="shared" si="25"/>
        <v>19.277999999999999</v>
      </c>
      <c r="AF136">
        <v>15.45</v>
      </c>
      <c r="AG136" s="103">
        <f t="shared" si="26"/>
        <v>14</v>
      </c>
      <c r="AH136" s="37">
        <f t="shared" si="27"/>
        <v>19.277999999999999</v>
      </c>
      <c r="AJ136" s="97">
        <v>45896</v>
      </c>
      <c r="AK136" t="s">
        <v>1850</v>
      </c>
      <c r="AL136" t="s">
        <v>5</v>
      </c>
      <c r="AN136" s="81" t="s">
        <v>1881</v>
      </c>
      <c r="AO136" s="81" t="s">
        <v>1881</v>
      </c>
      <c r="AP136" s="37">
        <v>3120</v>
      </c>
      <c r="AR136" s="38"/>
      <c r="AU136" s="97">
        <v>45897</v>
      </c>
      <c r="AW136" t="s">
        <v>5</v>
      </c>
      <c r="AY136" s="81">
        <v>54.829166666666673</v>
      </c>
      <c r="AZ136" s="81">
        <v>0.36965277777777777</v>
      </c>
      <c r="BA136" s="37">
        <v>2834</v>
      </c>
      <c r="BB136" t="s">
        <v>1917</v>
      </c>
      <c r="BC136" s="97">
        <v>45897</v>
      </c>
    </row>
    <row r="137" spans="22:55" ht="16" x14ac:dyDescent="0.4">
      <c r="V137" s="97">
        <v>45881</v>
      </c>
      <c r="W137" s="16">
        <v>183184</v>
      </c>
      <c r="X137" s="101" t="s">
        <v>36</v>
      </c>
      <c r="Y137" s="105"/>
      <c r="Z137" s="50">
        <v>0.56063657407407408</v>
      </c>
      <c r="AA137" s="50">
        <v>0.88761574074074068</v>
      </c>
      <c r="AD137" s="37">
        <v>19246</v>
      </c>
      <c r="AE137" s="93">
        <f t="shared" si="25"/>
        <v>19.245999999999999</v>
      </c>
      <c r="AF137">
        <v>15.66</v>
      </c>
      <c r="AG137" s="103">
        <f t="shared" si="26"/>
        <v>14</v>
      </c>
      <c r="AH137" s="37">
        <f t="shared" si="27"/>
        <v>19.245999999999999</v>
      </c>
      <c r="AJ137" s="97">
        <v>45896</v>
      </c>
      <c r="AK137" t="s">
        <v>1851</v>
      </c>
      <c r="AL137" t="s">
        <v>5</v>
      </c>
      <c r="AN137" s="81" t="s">
        <v>1882</v>
      </c>
      <c r="AO137" s="81" t="s">
        <v>1882</v>
      </c>
      <c r="AP137" s="37">
        <v>5110</v>
      </c>
      <c r="AR137" s="38"/>
      <c r="AU137" s="97">
        <v>45897</v>
      </c>
      <c r="AW137" t="s">
        <v>5</v>
      </c>
      <c r="AY137" s="81">
        <v>0.48119212962962959</v>
      </c>
      <c r="AZ137" s="81">
        <v>0.43319444444444444</v>
      </c>
      <c r="BA137" s="37">
        <v>2548</v>
      </c>
      <c r="BB137" t="s">
        <v>1921</v>
      </c>
      <c r="BC137" s="97">
        <v>45897</v>
      </c>
    </row>
    <row r="138" spans="22:55" ht="16" x14ac:dyDescent="0.4">
      <c r="V138" s="97">
        <v>45881</v>
      </c>
      <c r="W138" s="16">
        <v>183224</v>
      </c>
      <c r="X138" s="101" t="s">
        <v>36</v>
      </c>
      <c r="Y138" s="105"/>
      <c r="Z138" s="50">
        <v>0.64284722222222224</v>
      </c>
      <c r="AA138" s="50">
        <v>0.96234953703703707</v>
      </c>
      <c r="AD138" s="37">
        <v>19866</v>
      </c>
      <c r="AE138" s="93">
        <f t="shared" si="25"/>
        <v>19.866</v>
      </c>
      <c r="AF138">
        <v>15.02</v>
      </c>
      <c r="AG138" s="103">
        <f t="shared" si="26"/>
        <v>14</v>
      </c>
      <c r="AH138" s="37">
        <f t="shared" si="27"/>
        <v>19.866000000000003</v>
      </c>
      <c r="AJ138" s="97">
        <v>45897</v>
      </c>
      <c r="AK138" t="s">
        <v>1852</v>
      </c>
      <c r="AL138" t="s">
        <v>5</v>
      </c>
      <c r="AN138" s="81" t="s">
        <v>1883</v>
      </c>
      <c r="AO138" s="81" t="s">
        <v>1883</v>
      </c>
      <c r="AP138" s="37">
        <v>2910</v>
      </c>
      <c r="AR138" s="38"/>
      <c r="AU138" s="97">
        <v>45897</v>
      </c>
      <c r="AW138" t="s">
        <v>5</v>
      </c>
      <c r="AY138" s="81">
        <v>0.46149305555555559</v>
      </c>
      <c r="AZ138" s="81">
        <v>0.49357638888888888</v>
      </c>
      <c r="BA138" s="37">
        <v>2080</v>
      </c>
      <c r="BB138" t="s">
        <v>1918</v>
      </c>
      <c r="BC138" s="97">
        <v>45897</v>
      </c>
    </row>
    <row r="139" spans="22:55" ht="16" x14ac:dyDescent="0.4">
      <c r="V139" s="97">
        <v>45882</v>
      </c>
      <c r="W139" s="16">
        <v>183236</v>
      </c>
      <c r="X139" s="101" t="s">
        <v>36</v>
      </c>
      <c r="Y139" s="105"/>
      <c r="Z139" s="50">
        <v>0.93086805555555552</v>
      </c>
      <c r="AA139" s="50">
        <v>3.259259259259259E-2</v>
      </c>
      <c r="AD139" s="37">
        <v>19752</v>
      </c>
      <c r="AE139" s="93">
        <f t="shared" si="25"/>
        <v>19.751999999999999</v>
      </c>
      <c r="AF139">
        <v>14.84</v>
      </c>
      <c r="AG139" s="103">
        <f t="shared" si="26"/>
        <v>14</v>
      </c>
      <c r="AH139" s="37">
        <f t="shared" si="27"/>
        <v>19.751999999999999</v>
      </c>
      <c r="AJ139" s="97">
        <v>45897</v>
      </c>
      <c r="AK139" t="s">
        <v>1853</v>
      </c>
      <c r="AL139" t="s">
        <v>5</v>
      </c>
      <c r="AN139" s="81" t="s">
        <v>1884</v>
      </c>
      <c r="AO139" s="81" t="s">
        <v>1884</v>
      </c>
      <c r="AP139" s="37">
        <v>2440</v>
      </c>
      <c r="AR139" s="38"/>
      <c r="AU139" s="97">
        <v>45897</v>
      </c>
      <c r="AV139">
        <v>189375</v>
      </c>
      <c r="AW139" t="s">
        <v>1913</v>
      </c>
      <c r="AY139" s="81">
        <v>0.57281250000000006</v>
      </c>
      <c r="AZ139" s="81">
        <v>0.6053587962962963</v>
      </c>
      <c r="BA139" s="37">
        <v>7682</v>
      </c>
      <c r="BB139" t="s">
        <v>49</v>
      </c>
      <c r="BC139" s="97">
        <v>45897</v>
      </c>
    </row>
    <row r="140" spans="22:55" ht="16" x14ac:dyDescent="0.4">
      <c r="V140" s="97">
        <v>45882</v>
      </c>
      <c r="W140" s="16">
        <v>183254</v>
      </c>
      <c r="X140" s="101" t="s">
        <v>36</v>
      </c>
      <c r="Y140" s="105"/>
      <c r="Z140" s="50">
        <v>0.6427546296296297</v>
      </c>
      <c r="AA140" s="50">
        <v>0.10141203703703704</v>
      </c>
      <c r="AD140" s="37">
        <v>19140</v>
      </c>
      <c r="AE140" s="93">
        <f t="shared" si="25"/>
        <v>19.14</v>
      </c>
      <c r="AF140">
        <v>16.11</v>
      </c>
      <c r="AG140" s="103">
        <f t="shared" si="26"/>
        <v>14</v>
      </c>
      <c r="AH140" s="37">
        <f t="shared" si="27"/>
        <v>19.140000000000004</v>
      </c>
      <c r="AJ140" s="97">
        <v>45897</v>
      </c>
      <c r="AK140" t="s">
        <v>1854</v>
      </c>
      <c r="AL140" t="s">
        <v>5</v>
      </c>
      <c r="AN140" s="81" t="s">
        <v>1885</v>
      </c>
      <c r="AO140" s="81" t="s">
        <v>1885</v>
      </c>
      <c r="AP140" s="37">
        <v>2280</v>
      </c>
      <c r="AR140" s="38"/>
      <c r="AU140" s="97">
        <v>45898</v>
      </c>
      <c r="AW140" t="s">
        <v>5</v>
      </c>
      <c r="AY140" s="81">
        <v>0.38819444444444445</v>
      </c>
      <c r="AZ140" s="81">
        <v>0.37953703703703701</v>
      </c>
      <c r="BA140" s="37">
        <v>2690</v>
      </c>
      <c r="BB140" t="s">
        <v>1919</v>
      </c>
      <c r="BC140" s="97">
        <v>45898</v>
      </c>
    </row>
    <row r="141" spans="22:55" ht="16" x14ac:dyDescent="0.4">
      <c r="V141" s="97">
        <v>45882</v>
      </c>
      <c r="W141" s="16">
        <v>183268</v>
      </c>
      <c r="X141" s="101" t="s">
        <v>36</v>
      </c>
      <c r="Y141" s="105"/>
      <c r="Z141" s="50">
        <v>0.93060185185185185</v>
      </c>
      <c r="AA141" s="50">
        <v>0.15219907407407407</v>
      </c>
      <c r="AD141" s="37">
        <v>19286</v>
      </c>
      <c r="AE141" s="93">
        <f t="shared" si="25"/>
        <v>19.286000000000001</v>
      </c>
      <c r="AF141">
        <v>16.7</v>
      </c>
      <c r="AG141" s="103">
        <f t="shared" si="26"/>
        <v>14</v>
      </c>
      <c r="AH141" s="37">
        <f t="shared" si="27"/>
        <v>19.286000000000001</v>
      </c>
      <c r="AJ141" s="97">
        <v>45897</v>
      </c>
      <c r="AK141" t="s">
        <v>1855</v>
      </c>
      <c r="AL141" t="s">
        <v>5</v>
      </c>
      <c r="AN141" s="81" t="s">
        <v>1886</v>
      </c>
      <c r="AO141" s="81" t="s">
        <v>1886</v>
      </c>
      <c r="AP141" s="48">
        <v>2180</v>
      </c>
      <c r="AR141" s="38"/>
      <c r="AU141" s="97">
        <v>45898</v>
      </c>
      <c r="AW141" t="s">
        <v>5</v>
      </c>
      <c r="AY141" s="81">
        <v>0.61401620370370369</v>
      </c>
      <c r="AZ141" s="81">
        <v>0.63961805555555562</v>
      </c>
      <c r="BA141" s="48">
        <v>3022</v>
      </c>
      <c r="BB141" t="s">
        <v>1925</v>
      </c>
      <c r="BC141" s="97">
        <v>45898</v>
      </c>
    </row>
    <row r="142" spans="22:55" ht="16" x14ac:dyDescent="0.4">
      <c r="V142" s="97">
        <v>45882</v>
      </c>
      <c r="W142" s="16">
        <v>183275</v>
      </c>
      <c r="X142" s="101" t="s">
        <v>36</v>
      </c>
      <c r="Y142" s="105"/>
      <c r="Z142" s="102">
        <v>0.13849537037037038</v>
      </c>
      <c r="AA142" s="102">
        <v>0.2144675925925926</v>
      </c>
      <c r="AB142" s="16"/>
      <c r="AC142" s="16"/>
      <c r="AD142" s="93">
        <v>20018</v>
      </c>
      <c r="AE142" s="93">
        <f t="shared" si="25"/>
        <v>20.018000000000001</v>
      </c>
      <c r="AF142">
        <v>15.13</v>
      </c>
      <c r="AG142" s="103">
        <f t="shared" si="26"/>
        <v>14</v>
      </c>
      <c r="AH142" s="37">
        <f t="shared" si="27"/>
        <v>20.018000000000001</v>
      </c>
      <c r="AJ142" s="97">
        <v>45897</v>
      </c>
      <c r="AK142" t="s">
        <v>1856</v>
      </c>
      <c r="AL142" t="s">
        <v>4</v>
      </c>
      <c r="AN142" s="81" t="s">
        <v>1887</v>
      </c>
      <c r="AO142" s="81" t="s">
        <v>1888</v>
      </c>
      <c r="AP142" s="48">
        <v>7270</v>
      </c>
      <c r="AR142" s="38"/>
      <c r="AU142" s="97">
        <v>45898</v>
      </c>
      <c r="AW142" t="s">
        <v>5</v>
      </c>
      <c r="AY142" s="81">
        <v>0.47392361111111114</v>
      </c>
      <c r="AZ142" s="81">
        <v>0.48895833333333333</v>
      </c>
      <c r="BA142" s="48">
        <v>2906</v>
      </c>
      <c r="BB142" t="s">
        <v>1919</v>
      </c>
      <c r="BC142" s="97">
        <v>45898</v>
      </c>
    </row>
    <row r="143" spans="22:55" ht="16" x14ac:dyDescent="0.4">
      <c r="V143" s="97">
        <v>45882</v>
      </c>
      <c r="W143" s="16">
        <v>183286</v>
      </c>
      <c r="X143" s="101" t="s">
        <v>36</v>
      </c>
      <c r="Y143" s="105"/>
      <c r="Z143" s="102">
        <v>0.92986111111111114</v>
      </c>
      <c r="AA143" s="102">
        <v>0.28819444444444448</v>
      </c>
      <c r="AB143" s="16"/>
      <c r="AC143" s="16"/>
      <c r="AD143" s="93">
        <v>17492</v>
      </c>
      <c r="AE143" s="93">
        <f t="shared" si="25"/>
        <v>17.492000000000001</v>
      </c>
      <c r="AF143" s="16">
        <v>14.87</v>
      </c>
      <c r="AG143" s="103">
        <f t="shared" si="26"/>
        <v>14</v>
      </c>
      <c r="AH143" s="37">
        <f t="shared" si="27"/>
        <v>17.492000000000001</v>
      </c>
      <c r="AJ143" s="97">
        <v>45898</v>
      </c>
      <c r="AK143" t="s">
        <v>1857</v>
      </c>
      <c r="AL143" t="s">
        <v>5</v>
      </c>
      <c r="AN143" s="81" t="s">
        <v>1889</v>
      </c>
      <c r="AO143" s="81" t="s">
        <v>1890</v>
      </c>
      <c r="AP143" s="48">
        <v>2820</v>
      </c>
      <c r="AR143" s="38"/>
      <c r="AU143" s="97">
        <v>45898</v>
      </c>
      <c r="AW143" t="s">
        <v>5</v>
      </c>
      <c r="AY143" s="81">
        <v>0.48907407407407405</v>
      </c>
      <c r="AZ143" s="81">
        <v>0.56637731481481479</v>
      </c>
      <c r="BA143" s="48">
        <v>2641</v>
      </c>
      <c r="BB143" t="s">
        <v>1919</v>
      </c>
      <c r="BC143" s="97">
        <v>45898</v>
      </c>
    </row>
    <row r="144" spans="22:55" ht="16" x14ac:dyDescent="0.4">
      <c r="V144" s="97">
        <v>45882</v>
      </c>
      <c r="W144" s="16">
        <v>183355</v>
      </c>
      <c r="X144" s="101" t="s">
        <v>36</v>
      </c>
      <c r="Y144" s="105"/>
      <c r="Z144" s="102">
        <v>0.36180555555555555</v>
      </c>
      <c r="AA144" s="102">
        <v>0.39652777777777781</v>
      </c>
      <c r="AB144" s="16"/>
      <c r="AC144" s="16"/>
      <c r="AD144" s="93">
        <v>18052</v>
      </c>
      <c r="AE144" s="93">
        <f t="shared" si="25"/>
        <v>18.052</v>
      </c>
      <c r="AF144" s="16">
        <v>14.75</v>
      </c>
      <c r="AG144" s="103">
        <f t="shared" si="26"/>
        <v>14</v>
      </c>
      <c r="AH144" s="37">
        <f t="shared" si="27"/>
        <v>18.052</v>
      </c>
      <c r="AJ144" s="97">
        <v>45898</v>
      </c>
      <c r="AK144" t="s">
        <v>1858</v>
      </c>
      <c r="AL144" t="s">
        <v>5</v>
      </c>
      <c r="AN144" s="81" t="s">
        <v>1891</v>
      </c>
      <c r="AO144" s="81" t="s">
        <v>1891</v>
      </c>
      <c r="AP144" s="48">
        <v>3240</v>
      </c>
      <c r="AR144" s="38"/>
      <c r="AU144" s="97">
        <v>45898</v>
      </c>
      <c r="AW144" t="s">
        <v>5</v>
      </c>
      <c r="AY144" s="81">
        <v>0.67876157407407411</v>
      </c>
      <c r="AZ144" s="81">
        <v>0.55737268518518512</v>
      </c>
      <c r="BA144" s="48">
        <v>5644</v>
      </c>
      <c r="BB144" t="s">
        <v>1926</v>
      </c>
      <c r="BC144" s="97">
        <v>45898</v>
      </c>
    </row>
    <row r="145" spans="22:55" ht="16" x14ac:dyDescent="0.4">
      <c r="V145" s="97">
        <v>45882</v>
      </c>
      <c r="W145" s="16">
        <v>183412</v>
      </c>
      <c r="X145" s="101" t="s">
        <v>36</v>
      </c>
      <c r="Y145" s="105"/>
      <c r="Z145" s="102">
        <v>0.35000000000000003</v>
      </c>
      <c r="AA145" s="102">
        <v>0.43124999999999997</v>
      </c>
      <c r="AB145" s="16"/>
      <c r="AC145" s="16"/>
      <c r="AD145" s="93">
        <v>21182</v>
      </c>
      <c r="AE145" s="93">
        <f t="shared" si="25"/>
        <v>21.181999999999999</v>
      </c>
      <c r="AF145" s="16">
        <v>15.02</v>
      </c>
      <c r="AG145" s="103">
        <f t="shared" si="26"/>
        <v>14</v>
      </c>
      <c r="AH145" s="37">
        <f t="shared" si="27"/>
        <v>21.181999999999999</v>
      </c>
      <c r="AJ145" s="97">
        <v>45898</v>
      </c>
      <c r="AK145" t="s">
        <v>1859</v>
      </c>
      <c r="AL145" t="s">
        <v>5</v>
      </c>
      <c r="AN145" s="81" t="s">
        <v>1892</v>
      </c>
      <c r="AO145" s="81" t="s">
        <v>1892</v>
      </c>
      <c r="AP145" s="48">
        <v>3780</v>
      </c>
      <c r="AR145" s="38"/>
      <c r="AU145" s="97">
        <v>45899</v>
      </c>
      <c r="AW145" t="s">
        <v>5</v>
      </c>
      <c r="AY145" s="81">
        <v>0.58422453703703703</v>
      </c>
      <c r="AZ145" s="81">
        <v>0.44579861111111113</v>
      </c>
      <c r="BA145" s="48">
        <v>2696</v>
      </c>
      <c r="BB145" t="s">
        <v>1927</v>
      </c>
      <c r="BC145" s="97">
        <v>45899</v>
      </c>
    </row>
    <row r="146" spans="22:55" ht="16" x14ac:dyDescent="0.4">
      <c r="V146" s="97">
        <v>45882</v>
      </c>
      <c r="W146" s="16">
        <v>183465</v>
      </c>
      <c r="X146" s="101" t="s">
        <v>36</v>
      </c>
      <c r="Y146" s="105"/>
      <c r="Z146" s="102">
        <v>0.43888888888888888</v>
      </c>
      <c r="AA146" s="102">
        <v>0.52708333333333335</v>
      </c>
      <c r="AB146" s="16"/>
      <c r="AC146" s="16"/>
      <c r="AD146" s="93">
        <v>19648</v>
      </c>
      <c r="AE146" s="93">
        <f t="shared" si="25"/>
        <v>19.648</v>
      </c>
      <c r="AF146" s="16">
        <v>14.99</v>
      </c>
      <c r="AG146" s="103">
        <f t="shared" si="26"/>
        <v>14</v>
      </c>
      <c r="AH146" s="37">
        <f t="shared" si="27"/>
        <v>19.648</v>
      </c>
      <c r="AJ146" s="97">
        <v>45898</v>
      </c>
      <c r="AK146" t="s">
        <v>1860</v>
      </c>
      <c r="AL146" t="s">
        <v>5</v>
      </c>
      <c r="AN146" s="81" t="s">
        <v>1893</v>
      </c>
      <c r="AO146" s="81" t="s">
        <v>1893</v>
      </c>
      <c r="AP146" s="48">
        <v>2910</v>
      </c>
      <c r="AR146" s="38"/>
      <c r="AU146" s="97">
        <v>45899</v>
      </c>
      <c r="AW146" t="s">
        <v>5</v>
      </c>
      <c r="AY146" s="81">
        <v>0.44041666666666668</v>
      </c>
      <c r="AZ146" s="81">
        <v>0.51440972222222225</v>
      </c>
      <c r="BA146" s="48">
        <v>3830</v>
      </c>
      <c r="BB146" t="s">
        <v>1928</v>
      </c>
      <c r="BC146" s="97">
        <v>45899</v>
      </c>
    </row>
    <row r="147" spans="22:55" ht="16" x14ac:dyDescent="0.4">
      <c r="V147" s="97">
        <v>45882</v>
      </c>
      <c r="W147" s="16">
        <v>183507</v>
      </c>
      <c r="X147" s="101" t="s">
        <v>36</v>
      </c>
      <c r="Y147" s="105"/>
      <c r="Z147" s="102">
        <v>0.35000000000000003</v>
      </c>
      <c r="AA147" s="102">
        <v>0.60138888888888886</v>
      </c>
      <c r="AB147" s="16"/>
      <c r="AC147" s="16"/>
      <c r="AD147" s="93">
        <v>19922</v>
      </c>
      <c r="AE147" s="93">
        <f t="shared" si="25"/>
        <v>19.922000000000001</v>
      </c>
      <c r="AF147" s="16">
        <v>15.88</v>
      </c>
      <c r="AG147" s="103">
        <f t="shared" si="26"/>
        <v>14</v>
      </c>
      <c r="AH147" s="37">
        <f t="shared" si="27"/>
        <v>19.922000000000001</v>
      </c>
      <c r="AJ147" s="97">
        <v>45898</v>
      </c>
      <c r="AK147" t="s">
        <v>1861</v>
      </c>
      <c r="AL147" t="s">
        <v>5</v>
      </c>
      <c r="AN147" s="81" t="s">
        <v>1894</v>
      </c>
      <c r="AO147" s="81" t="s">
        <v>1894</v>
      </c>
      <c r="AP147" s="48">
        <v>5650</v>
      </c>
      <c r="AR147" s="38"/>
      <c r="AU147" s="97">
        <v>45899</v>
      </c>
      <c r="AW147" t="s">
        <v>5</v>
      </c>
      <c r="AY147" s="81">
        <v>0.42254629629629631</v>
      </c>
      <c r="AZ147" s="81">
        <v>0.44031250000000005</v>
      </c>
      <c r="BA147" s="48">
        <v>3344</v>
      </c>
      <c r="BB147" t="s">
        <v>1929</v>
      </c>
      <c r="BC147" s="97">
        <v>45899</v>
      </c>
    </row>
    <row r="148" spans="22:55" ht="16" x14ac:dyDescent="0.4">
      <c r="V148" s="97">
        <v>45882</v>
      </c>
      <c r="W148" s="16">
        <v>183549</v>
      </c>
      <c r="X148" s="101" t="s">
        <v>36</v>
      </c>
      <c r="Y148" s="105"/>
      <c r="Z148" s="102">
        <v>0.73819444444444438</v>
      </c>
      <c r="AA148" s="102">
        <v>0.65972222222222221</v>
      </c>
      <c r="AB148" s="16"/>
      <c r="AC148" s="16"/>
      <c r="AD148" s="93">
        <v>18610</v>
      </c>
      <c r="AE148" s="93">
        <f t="shared" si="25"/>
        <v>18.61</v>
      </c>
      <c r="AF148" s="16">
        <v>14.24</v>
      </c>
      <c r="AG148" s="103">
        <f t="shared" si="26"/>
        <v>14</v>
      </c>
      <c r="AH148" s="37">
        <f t="shared" si="27"/>
        <v>18.609999999999996</v>
      </c>
      <c r="AJ148" s="97">
        <v>45898</v>
      </c>
      <c r="AK148" t="s">
        <v>1862</v>
      </c>
      <c r="AL148" t="s">
        <v>5</v>
      </c>
      <c r="AN148" s="81" t="s">
        <v>1895</v>
      </c>
      <c r="AO148" s="81" t="s">
        <v>1895</v>
      </c>
      <c r="AP148" s="48">
        <v>2730</v>
      </c>
      <c r="AR148" s="38"/>
      <c r="AU148" s="97">
        <v>45899</v>
      </c>
      <c r="AW148" t="s">
        <v>5</v>
      </c>
      <c r="AY148" s="81">
        <v>0.57469907407407406</v>
      </c>
      <c r="AZ148" s="81">
        <v>0.60363425925925929</v>
      </c>
      <c r="BA148" s="48">
        <v>2642</v>
      </c>
      <c r="BB148" t="s">
        <v>1924</v>
      </c>
      <c r="BC148" s="97">
        <v>45899</v>
      </c>
    </row>
    <row r="149" spans="22:55" ht="16" x14ac:dyDescent="0.4">
      <c r="V149" s="97">
        <v>45882</v>
      </c>
      <c r="W149" s="16">
        <v>183577</v>
      </c>
      <c r="X149" s="101" t="s">
        <v>36</v>
      </c>
      <c r="Y149" s="105"/>
      <c r="Z149" s="102">
        <v>0.35000000000000003</v>
      </c>
      <c r="AA149" s="102">
        <v>0.72638888888888886</v>
      </c>
      <c r="AB149" s="16"/>
      <c r="AC149" s="16"/>
      <c r="AD149" s="93">
        <v>19580</v>
      </c>
      <c r="AE149" s="93">
        <f t="shared" si="25"/>
        <v>19.579999999999998</v>
      </c>
      <c r="AF149" s="16">
        <v>14.58</v>
      </c>
      <c r="AG149" s="103">
        <f t="shared" si="26"/>
        <v>14</v>
      </c>
      <c r="AH149" s="37">
        <f t="shared" si="27"/>
        <v>19.580000000000002</v>
      </c>
      <c r="AJ149" s="97">
        <v>45898</v>
      </c>
      <c r="AK149" t="s">
        <v>1863</v>
      </c>
      <c r="AL149" t="s">
        <v>5</v>
      </c>
      <c r="AN149" s="81" t="s">
        <v>1896</v>
      </c>
      <c r="AO149" s="81" t="s">
        <v>1896</v>
      </c>
      <c r="AP149" s="48">
        <v>2980</v>
      </c>
      <c r="AR149" s="38"/>
      <c r="AU149" s="97">
        <v>45899</v>
      </c>
      <c r="AW149" t="s">
        <v>5</v>
      </c>
      <c r="AY149" s="81">
        <v>0.57802083333333332</v>
      </c>
      <c r="AZ149" s="81">
        <v>0.59659722222222222</v>
      </c>
      <c r="BA149" s="48">
        <v>4620</v>
      </c>
      <c r="BC149" s="97">
        <v>45899</v>
      </c>
    </row>
    <row r="150" spans="22:55" ht="16" x14ac:dyDescent="0.4">
      <c r="V150" s="97">
        <v>45882</v>
      </c>
      <c r="W150" s="16">
        <v>186300</v>
      </c>
      <c r="X150" s="101" t="s">
        <v>36</v>
      </c>
      <c r="Y150" s="105"/>
      <c r="Z150" s="102">
        <v>0.1383101851851852</v>
      </c>
      <c r="AA150" s="102">
        <v>0.79103009259259249</v>
      </c>
      <c r="AB150" s="16"/>
      <c r="AC150" s="16"/>
      <c r="AD150" s="93">
        <v>20848</v>
      </c>
      <c r="AE150" s="93">
        <f t="shared" si="25"/>
        <v>20.847999999999999</v>
      </c>
      <c r="AF150" s="16">
        <v>13.19</v>
      </c>
      <c r="AG150" s="103">
        <f t="shared" si="26"/>
        <v>13.19</v>
      </c>
      <c r="AH150" s="37">
        <f t="shared" si="27"/>
        <v>19.641794285714287</v>
      </c>
      <c r="AJ150" s="97">
        <v>45899</v>
      </c>
      <c r="AK150" t="s">
        <v>1864</v>
      </c>
      <c r="AL150" t="s">
        <v>5</v>
      </c>
      <c r="AN150" s="81" t="s">
        <v>1897</v>
      </c>
      <c r="AO150" s="81" t="s">
        <v>1897</v>
      </c>
      <c r="AP150" s="48">
        <v>3430</v>
      </c>
      <c r="AR150" s="38"/>
      <c r="AU150" s="97">
        <v>45899</v>
      </c>
      <c r="AW150" t="s">
        <v>5</v>
      </c>
      <c r="AY150" s="81">
        <v>0.47008101851851852</v>
      </c>
      <c r="AZ150" s="81">
        <v>0.34585648148148151</v>
      </c>
      <c r="BA150" s="48">
        <v>3510</v>
      </c>
      <c r="BB150" t="s">
        <v>1929</v>
      </c>
      <c r="BC150" s="97">
        <v>45899</v>
      </c>
    </row>
    <row r="151" spans="22:55" ht="16" x14ac:dyDescent="0.4">
      <c r="V151" s="97">
        <v>45882</v>
      </c>
      <c r="W151" s="16">
        <v>183611</v>
      </c>
      <c r="X151" s="101" t="s">
        <v>36</v>
      </c>
      <c r="Y151" s="105"/>
      <c r="Z151" s="102">
        <v>0.66069444444444447</v>
      </c>
      <c r="AA151" s="102">
        <v>0.83976851851851853</v>
      </c>
      <c r="AB151" s="16"/>
      <c r="AC151" s="16"/>
      <c r="AD151" s="93">
        <v>18432</v>
      </c>
      <c r="AE151" s="93">
        <f t="shared" si="25"/>
        <v>18.431999999999999</v>
      </c>
      <c r="AF151" s="16">
        <v>13.99</v>
      </c>
      <c r="AG151" s="103">
        <f t="shared" si="26"/>
        <v>13.99</v>
      </c>
      <c r="AH151" s="37">
        <f t="shared" si="27"/>
        <v>18.418834285714286</v>
      </c>
      <c r="AJ151" s="97">
        <v>45899</v>
      </c>
      <c r="AK151" t="s">
        <v>1865</v>
      </c>
      <c r="AL151" t="s">
        <v>5</v>
      </c>
      <c r="AN151" s="81" t="s">
        <v>1898</v>
      </c>
      <c r="AO151" s="81" t="s">
        <v>1899</v>
      </c>
      <c r="AP151" s="48">
        <v>2700</v>
      </c>
      <c r="AR151" s="38"/>
      <c r="AU151" s="97">
        <v>45899</v>
      </c>
      <c r="AW151" t="s">
        <v>5</v>
      </c>
      <c r="AY151" s="81">
        <v>0.45187500000000003</v>
      </c>
      <c r="AZ151" s="81">
        <v>0.46993055555555552</v>
      </c>
      <c r="BA151" s="48">
        <v>3798</v>
      </c>
      <c r="BB151" t="s">
        <v>1930</v>
      </c>
      <c r="BC151" s="97">
        <v>45899</v>
      </c>
    </row>
    <row r="152" spans="22:55" ht="16" x14ac:dyDescent="0.4">
      <c r="V152" s="97">
        <v>45882</v>
      </c>
      <c r="W152" s="16">
        <v>183650</v>
      </c>
      <c r="X152" s="101" t="s">
        <v>36</v>
      </c>
      <c r="Y152" s="105"/>
      <c r="Z152" s="102">
        <v>0.85259259259259268</v>
      </c>
      <c r="AA152" s="102">
        <v>0.90417824074074071</v>
      </c>
      <c r="AB152" s="16"/>
      <c r="AC152" s="16"/>
      <c r="AD152" s="93">
        <v>19668</v>
      </c>
      <c r="AE152" s="93">
        <f t="shared" si="25"/>
        <v>19.667999999999999</v>
      </c>
      <c r="AF152" s="16">
        <v>14.2</v>
      </c>
      <c r="AG152" s="103">
        <f t="shared" si="26"/>
        <v>14</v>
      </c>
      <c r="AH152" s="37">
        <f t="shared" si="27"/>
        <v>19.667999999999999</v>
      </c>
      <c r="AJ152" s="97">
        <v>45899</v>
      </c>
      <c r="AK152" t="s">
        <v>1866</v>
      </c>
      <c r="AL152" t="s">
        <v>5</v>
      </c>
      <c r="AN152" s="81" t="s">
        <v>1900</v>
      </c>
      <c r="AO152" s="81" t="s">
        <v>1901</v>
      </c>
      <c r="AP152" s="48">
        <v>3280</v>
      </c>
      <c r="AR152" s="38"/>
      <c r="AU152" s="97">
        <v>45899</v>
      </c>
      <c r="AW152" t="s">
        <v>5</v>
      </c>
      <c r="AY152" s="81">
        <v>0.46226851851851852</v>
      </c>
      <c r="AZ152" s="81">
        <v>0.41811342592592587</v>
      </c>
      <c r="BA152" s="48">
        <v>2860</v>
      </c>
      <c r="BB152" t="s">
        <v>1930</v>
      </c>
      <c r="BC152" s="97">
        <v>45899</v>
      </c>
    </row>
    <row r="153" spans="22:55" ht="16" x14ac:dyDescent="0.4">
      <c r="V153" s="97">
        <v>45882</v>
      </c>
      <c r="W153" s="16">
        <v>183677</v>
      </c>
      <c r="X153" s="101" t="s">
        <v>36</v>
      </c>
      <c r="Y153" s="105"/>
      <c r="Z153" s="102">
        <v>0.66079861111111116</v>
      </c>
      <c r="AA153" s="102">
        <v>0.97841435185185188</v>
      </c>
      <c r="AB153" s="16"/>
      <c r="AC153" s="16"/>
      <c r="AD153" s="93">
        <v>19452</v>
      </c>
      <c r="AE153" s="93">
        <f t="shared" si="25"/>
        <v>19.452000000000002</v>
      </c>
      <c r="AF153" s="16">
        <v>14.6</v>
      </c>
      <c r="AG153" s="103">
        <f t="shared" si="26"/>
        <v>14</v>
      </c>
      <c r="AH153" s="37">
        <f t="shared" si="27"/>
        <v>19.452000000000002</v>
      </c>
      <c r="AJ153" s="97">
        <v>45899</v>
      </c>
      <c r="AK153" t="s">
        <v>1867</v>
      </c>
      <c r="AL153" t="s">
        <v>5</v>
      </c>
      <c r="AN153" s="81" t="s">
        <v>1902</v>
      </c>
      <c r="AO153" s="81" t="s">
        <v>1903</v>
      </c>
      <c r="AP153" s="48">
        <v>2790</v>
      </c>
      <c r="AR153" s="38"/>
      <c r="AU153" s="97">
        <v>45899</v>
      </c>
      <c r="AW153" t="s">
        <v>5</v>
      </c>
      <c r="AY153" s="81">
        <v>0.44429398148148147</v>
      </c>
      <c r="AZ153" s="81">
        <v>0.46210648148148148</v>
      </c>
      <c r="BA153" s="48">
        <v>3236</v>
      </c>
      <c r="BB153" t="s">
        <v>1532</v>
      </c>
      <c r="BC153" s="97">
        <v>45899</v>
      </c>
    </row>
    <row r="154" spans="22:55" ht="16" x14ac:dyDescent="0.4">
      <c r="V154" s="97">
        <v>45883</v>
      </c>
      <c r="W154" s="16">
        <v>183688</v>
      </c>
      <c r="X154" s="101" t="s">
        <v>36</v>
      </c>
      <c r="Y154" s="105"/>
      <c r="Z154" s="102">
        <v>0.43925925925925924</v>
      </c>
      <c r="AA154" s="102">
        <v>3.0011574074074076E-2</v>
      </c>
      <c r="AB154" s="16"/>
      <c r="AC154" s="16"/>
      <c r="AD154" s="93">
        <v>18274</v>
      </c>
      <c r="AE154" s="93">
        <f t="shared" si="25"/>
        <v>18.274000000000001</v>
      </c>
      <c r="AF154" s="16">
        <v>14.15</v>
      </c>
      <c r="AG154" s="103">
        <f t="shared" si="26"/>
        <v>14</v>
      </c>
      <c r="AH154" s="37">
        <f t="shared" si="27"/>
        <v>18.274000000000001</v>
      </c>
      <c r="AJ154" s="97">
        <v>45899</v>
      </c>
      <c r="AK154" t="s">
        <v>1868</v>
      </c>
      <c r="AL154" t="s">
        <v>5</v>
      </c>
      <c r="AN154" s="81" t="s">
        <v>1904</v>
      </c>
      <c r="AO154" s="81" t="s">
        <v>1905</v>
      </c>
      <c r="AP154" s="48">
        <v>3760</v>
      </c>
      <c r="AR154" s="38"/>
      <c r="AU154" s="38"/>
      <c r="AY154" s="81"/>
      <c r="AZ154" s="81"/>
      <c r="BA154" s="48"/>
      <c r="BC154" s="38"/>
    </row>
    <row r="155" spans="22:55" ht="16" x14ac:dyDescent="0.4">
      <c r="V155" s="97">
        <v>45883</v>
      </c>
      <c r="W155" s="16">
        <v>183697</v>
      </c>
      <c r="X155" s="101" t="s">
        <v>36</v>
      </c>
      <c r="Y155" s="105"/>
      <c r="Z155" s="102">
        <v>2.8576388888888887E-2</v>
      </c>
      <c r="AA155" s="102">
        <v>7.9502314814814817E-2</v>
      </c>
      <c r="AB155" s="16"/>
      <c r="AC155" s="16"/>
      <c r="AD155" s="93">
        <v>18006</v>
      </c>
      <c r="AE155" s="93">
        <f t="shared" si="25"/>
        <v>18.006</v>
      </c>
      <c r="AF155" s="16">
        <v>14.88</v>
      </c>
      <c r="AG155" s="103">
        <f t="shared" si="26"/>
        <v>14</v>
      </c>
      <c r="AH155" s="37">
        <f t="shared" si="27"/>
        <v>18.006</v>
      </c>
      <c r="AJ155" s="97">
        <v>45899</v>
      </c>
      <c r="AK155" t="s">
        <v>1869</v>
      </c>
      <c r="AL155" t="s">
        <v>5</v>
      </c>
      <c r="AN155" s="81" t="s">
        <v>1906</v>
      </c>
      <c r="AO155" s="81" t="s">
        <v>1907</v>
      </c>
      <c r="AP155" s="48">
        <v>1490</v>
      </c>
      <c r="AR155" s="38"/>
      <c r="AU155" s="38"/>
      <c r="AY155" s="81"/>
      <c r="AZ155" s="81"/>
      <c r="BA155" s="48"/>
      <c r="BC155" s="38"/>
    </row>
    <row r="156" spans="22:55" ht="16" x14ac:dyDescent="0.4">
      <c r="V156" s="97">
        <v>45883</v>
      </c>
      <c r="W156" s="16">
        <v>183712</v>
      </c>
      <c r="X156" s="101" t="s">
        <v>36</v>
      </c>
      <c r="Y156" s="105"/>
      <c r="Z156" s="102">
        <v>0.43913194444444442</v>
      </c>
      <c r="AA156" s="102">
        <v>0.17804398148148148</v>
      </c>
      <c r="AB156" s="16"/>
      <c r="AC156" s="16"/>
      <c r="AD156" s="93">
        <v>18290</v>
      </c>
      <c r="AE156" s="93">
        <f t="shared" si="25"/>
        <v>18.29</v>
      </c>
      <c r="AF156" s="16">
        <v>14.92</v>
      </c>
      <c r="AG156" s="103">
        <f t="shared" si="26"/>
        <v>14</v>
      </c>
      <c r="AH156" s="37">
        <f t="shared" si="27"/>
        <v>18.29</v>
      </c>
      <c r="AJ156" s="97">
        <v>45899</v>
      </c>
      <c r="AK156" t="s">
        <v>1870</v>
      </c>
      <c r="AL156" t="s">
        <v>5</v>
      </c>
      <c r="AN156" s="81" t="s">
        <v>1908</v>
      </c>
      <c r="AO156" s="81" t="s">
        <v>1909</v>
      </c>
      <c r="AP156" s="48">
        <v>2510</v>
      </c>
      <c r="AR156" s="38"/>
      <c r="AU156" s="38"/>
      <c r="AY156" s="81"/>
      <c r="AZ156" s="81"/>
      <c r="BA156" s="48"/>
      <c r="BC156" s="38"/>
    </row>
    <row r="157" spans="22:55" ht="16" x14ac:dyDescent="0.4">
      <c r="V157" s="97"/>
      <c r="W157" s="16"/>
      <c r="X157" s="101"/>
      <c r="Y157" s="105"/>
      <c r="Z157" s="102"/>
      <c r="AA157" s="102"/>
      <c r="AB157" s="16"/>
      <c r="AC157" s="16"/>
      <c r="AD157" s="93"/>
      <c r="AE157" s="93"/>
      <c r="AF157" s="16"/>
      <c r="AG157" s="103">
        <f t="shared" si="26"/>
        <v>0</v>
      </c>
      <c r="AH157" s="37">
        <f t="shared" si="27"/>
        <v>0</v>
      </c>
      <c r="AJ157" s="97">
        <v>45899</v>
      </c>
      <c r="AK157" t="s">
        <v>1871</v>
      </c>
      <c r="AL157" t="s">
        <v>5</v>
      </c>
      <c r="AN157" s="81" t="s">
        <v>1910</v>
      </c>
      <c r="AO157" s="81" t="s">
        <v>1910</v>
      </c>
      <c r="AP157" s="48">
        <v>2670</v>
      </c>
      <c r="AR157" s="38"/>
      <c r="AU157" s="38"/>
      <c r="AY157" s="81"/>
      <c r="AZ157" s="81"/>
      <c r="BA157" s="48"/>
      <c r="BC157" s="38"/>
    </row>
    <row r="158" spans="22:55" ht="16" x14ac:dyDescent="0.4">
      <c r="V158" s="97">
        <v>45883</v>
      </c>
      <c r="W158" s="16">
        <v>183838</v>
      </c>
      <c r="X158" s="101" t="s">
        <v>36</v>
      </c>
      <c r="Y158" s="105"/>
      <c r="Z158" s="102">
        <v>0.27152777777777776</v>
      </c>
      <c r="AA158" s="102">
        <v>0.40902777777777777</v>
      </c>
      <c r="AB158" s="16"/>
      <c r="AC158" s="16"/>
      <c r="AD158" s="93">
        <v>18058</v>
      </c>
      <c r="AE158" s="93">
        <f t="shared" si="25"/>
        <v>18.058</v>
      </c>
      <c r="AF158" s="16">
        <v>16.84</v>
      </c>
      <c r="AG158" s="103">
        <f t="shared" si="26"/>
        <v>14</v>
      </c>
      <c r="AH158" s="37">
        <f t="shared" si="27"/>
        <v>18.058</v>
      </c>
      <c r="AJ158" s="97">
        <v>45899</v>
      </c>
      <c r="AK158" t="s">
        <v>1872</v>
      </c>
      <c r="AL158" t="s">
        <v>5</v>
      </c>
      <c r="AN158" s="81" t="s">
        <v>1911</v>
      </c>
      <c r="AO158" s="81" t="s">
        <v>1912</v>
      </c>
      <c r="AP158" s="48">
        <v>4700</v>
      </c>
      <c r="AR158" s="38"/>
      <c r="AU158" s="38"/>
      <c r="AY158" s="81"/>
      <c r="AZ158" s="81"/>
      <c r="BA158" s="48"/>
      <c r="BC158" s="38"/>
    </row>
    <row r="159" spans="22:55" ht="16" x14ac:dyDescent="0.4">
      <c r="V159" s="97">
        <v>45883</v>
      </c>
      <c r="W159" s="16">
        <v>183909</v>
      </c>
      <c r="X159" s="101" t="s">
        <v>36</v>
      </c>
      <c r="Y159" s="105"/>
      <c r="Z159" s="102">
        <v>0.4145833333333333</v>
      </c>
      <c r="AA159" s="102">
        <v>0.49444444444444446</v>
      </c>
      <c r="AB159" s="16"/>
      <c r="AC159" s="16"/>
      <c r="AD159" s="93">
        <v>22390</v>
      </c>
      <c r="AE159" s="93">
        <f t="shared" si="25"/>
        <v>22.39</v>
      </c>
      <c r="AF159" s="16">
        <v>15.63</v>
      </c>
      <c r="AG159" s="103">
        <f t="shared" si="26"/>
        <v>14</v>
      </c>
      <c r="AH159" s="37">
        <f t="shared" si="27"/>
        <v>22.390000000000004</v>
      </c>
      <c r="AJ159" s="38"/>
      <c r="AN159" s="81"/>
      <c r="AO159" s="81"/>
      <c r="AP159" s="48"/>
      <c r="AQ159" s="39"/>
      <c r="AR159" s="38"/>
      <c r="AU159" s="38"/>
      <c r="AY159" s="81"/>
      <c r="AZ159" s="81"/>
      <c r="BA159" s="48"/>
      <c r="BB159" s="39"/>
      <c r="BC159" s="38"/>
    </row>
    <row r="160" spans="22:55" ht="16" x14ac:dyDescent="0.4">
      <c r="V160" s="97">
        <v>45883</v>
      </c>
      <c r="W160" s="16">
        <v>183953</v>
      </c>
      <c r="X160" s="101" t="s">
        <v>36</v>
      </c>
      <c r="Y160" s="105"/>
      <c r="Z160" s="102">
        <v>0.47430555555555554</v>
      </c>
      <c r="AA160" s="102">
        <v>0.56944444444444442</v>
      </c>
      <c r="AB160" s="16"/>
      <c r="AC160" s="16"/>
      <c r="AD160" s="93">
        <v>19214</v>
      </c>
      <c r="AE160" s="93">
        <f t="shared" si="25"/>
        <v>19.213999999999999</v>
      </c>
      <c r="AF160" s="16">
        <v>14.38</v>
      </c>
      <c r="AG160" s="103">
        <f t="shared" si="26"/>
        <v>14</v>
      </c>
      <c r="AH160" s="37">
        <f t="shared" si="27"/>
        <v>19.213999999999999</v>
      </c>
      <c r="AJ160" s="38"/>
      <c r="AN160" s="81"/>
      <c r="AO160" s="81"/>
      <c r="AP160" s="48"/>
      <c r="AR160" s="38"/>
      <c r="AU160" s="38"/>
      <c r="AY160" s="81"/>
      <c r="AZ160" s="81"/>
      <c r="BA160" s="48"/>
      <c r="BC160" s="38"/>
    </row>
    <row r="161" spans="22:55" ht="16" x14ac:dyDescent="0.4">
      <c r="V161" s="97">
        <v>45883</v>
      </c>
      <c r="W161" s="16">
        <v>184020</v>
      </c>
      <c r="X161" s="101" t="s">
        <v>36</v>
      </c>
      <c r="Y161" s="105"/>
      <c r="Z161" s="102">
        <v>0.4145833333333333</v>
      </c>
      <c r="AA161" s="102">
        <v>0.6381944444444444</v>
      </c>
      <c r="AB161" s="16"/>
      <c r="AC161" s="16"/>
      <c r="AD161" s="93">
        <v>18284</v>
      </c>
      <c r="AE161" s="93">
        <f t="shared" si="25"/>
        <v>18.283999999999999</v>
      </c>
      <c r="AF161" s="16">
        <v>14.66</v>
      </c>
      <c r="AG161" s="103">
        <f t="shared" si="26"/>
        <v>14</v>
      </c>
      <c r="AH161" s="37">
        <f t="shared" si="27"/>
        <v>18.283999999999999</v>
      </c>
      <c r="AJ161" s="38"/>
      <c r="AN161" s="81"/>
      <c r="AO161" s="81"/>
      <c r="AP161" s="48"/>
      <c r="AR161" s="38"/>
      <c r="AU161" s="38"/>
      <c r="AY161" s="81"/>
      <c r="AZ161" s="81"/>
      <c r="BA161" s="48"/>
      <c r="BC161" s="38"/>
    </row>
    <row r="162" spans="22:55" ht="16" x14ac:dyDescent="0.4">
      <c r="V162" s="97">
        <v>45883</v>
      </c>
      <c r="W162" s="16">
        <v>184078</v>
      </c>
      <c r="X162" s="101" t="s">
        <v>36</v>
      </c>
      <c r="Y162" s="105"/>
      <c r="Z162" s="102">
        <v>0.47430555555555554</v>
      </c>
      <c r="AA162" s="102">
        <v>0.69513888888888886</v>
      </c>
      <c r="AB162" s="16"/>
      <c r="AC162" s="16"/>
      <c r="AD162" s="93">
        <v>19504</v>
      </c>
      <c r="AE162" s="93">
        <f t="shared" si="25"/>
        <v>19.504000000000001</v>
      </c>
      <c r="AF162" s="16">
        <v>15.52</v>
      </c>
      <c r="AG162" s="103">
        <f t="shared" si="26"/>
        <v>14</v>
      </c>
      <c r="AH162" s="37">
        <f t="shared" si="27"/>
        <v>19.504000000000001</v>
      </c>
      <c r="AJ162" s="38"/>
      <c r="AN162" s="81"/>
      <c r="AO162" s="81"/>
      <c r="AP162" s="48"/>
      <c r="AR162" s="38"/>
      <c r="AU162" s="38"/>
      <c r="AY162" s="81"/>
      <c r="AZ162" s="81"/>
      <c r="BA162" s="48"/>
      <c r="BC162" s="38"/>
    </row>
    <row r="163" spans="22:55" ht="16" x14ac:dyDescent="0.4">
      <c r="V163" s="97">
        <v>45883</v>
      </c>
      <c r="W163" s="16">
        <v>184091</v>
      </c>
      <c r="X163" s="101" t="s">
        <v>36</v>
      </c>
      <c r="Y163" s="105"/>
      <c r="Z163" s="102">
        <v>0.6869791666666667</v>
      </c>
      <c r="AA163" s="102">
        <v>0.74199074074074067</v>
      </c>
      <c r="AB163" s="16"/>
      <c r="AC163" s="16"/>
      <c r="AD163" s="93">
        <v>15160</v>
      </c>
      <c r="AE163" s="93">
        <f t="shared" si="25"/>
        <v>15.16</v>
      </c>
      <c r="AF163" s="16">
        <v>14.77</v>
      </c>
      <c r="AG163" s="103">
        <f t="shared" si="26"/>
        <v>14</v>
      </c>
      <c r="AH163" s="37">
        <f t="shared" si="27"/>
        <v>15.16</v>
      </c>
      <c r="AJ163" s="38"/>
      <c r="AN163" s="81"/>
      <c r="AO163" s="81"/>
      <c r="AP163" s="48"/>
      <c r="AR163" s="38"/>
      <c r="AU163" s="38"/>
      <c r="AY163" s="81"/>
      <c r="AZ163" s="81"/>
      <c r="BA163" s="48"/>
      <c r="BC163" s="38"/>
    </row>
    <row r="164" spans="22:55" ht="16" x14ac:dyDescent="0.4">
      <c r="V164" s="97">
        <v>45883</v>
      </c>
      <c r="W164" s="16">
        <v>184113</v>
      </c>
      <c r="X164" s="101" t="s">
        <v>36</v>
      </c>
      <c r="Y164" s="105"/>
      <c r="Z164" s="102">
        <v>0.47469907407407402</v>
      </c>
      <c r="AA164" s="102">
        <v>0.79547453703703708</v>
      </c>
      <c r="AB164" s="16"/>
      <c r="AC164" s="16"/>
      <c r="AD164" s="93">
        <v>17244</v>
      </c>
      <c r="AE164" s="93">
        <f t="shared" si="25"/>
        <v>17.244</v>
      </c>
      <c r="AF164" s="16">
        <v>16.12</v>
      </c>
      <c r="AG164" s="103">
        <f t="shared" si="26"/>
        <v>14</v>
      </c>
      <c r="AH164" s="37">
        <f t="shared" si="27"/>
        <v>17.244</v>
      </c>
      <c r="AJ164" s="38"/>
      <c r="AN164" s="39"/>
      <c r="AO164" s="39"/>
      <c r="AP164" s="48"/>
      <c r="AR164" s="38"/>
      <c r="AU164" s="38"/>
      <c r="AY164" s="39"/>
      <c r="AZ164" s="39"/>
      <c r="BA164" s="48"/>
      <c r="BC164" s="38"/>
    </row>
    <row r="165" spans="22:55" ht="16" x14ac:dyDescent="0.4">
      <c r="V165" s="97">
        <v>45883</v>
      </c>
      <c r="W165" s="16">
        <v>184142</v>
      </c>
      <c r="X165" s="101" t="s">
        <v>36</v>
      </c>
      <c r="Y165" s="105"/>
      <c r="Z165" s="102">
        <v>0.68675925925925929</v>
      </c>
      <c r="AA165" s="102">
        <v>0.85150462962962958</v>
      </c>
      <c r="AB165" s="16"/>
      <c r="AC165" s="16"/>
      <c r="AD165" s="93">
        <v>20166</v>
      </c>
      <c r="AE165" s="93">
        <f t="shared" si="25"/>
        <v>20.166</v>
      </c>
      <c r="AF165" s="16">
        <v>15.48</v>
      </c>
      <c r="AG165" s="103">
        <f t="shared" si="26"/>
        <v>14</v>
      </c>
      <c r="AH165" s="37">
        <f t="shared" si="27"/>
        <v>20.166</v>
      </c>
      <c r="AJ165" s="38"/>
      <c r="AN165" s="39"/>
      <c r="AO165" s="39"/>
      <c r="AP165" s="48"/>
      <c r="AR165" s="38"/>
      <c r="AU165" s="38"/>
      <c r="AY165" s="39"/>
      <c r="AZ165" s="39"/>
      <c r="BA165" s="48"/>
      <c r="BC165" s="38"/>
    </row>
    <row r="166" spans="22:55" ht="16" x14ac:dyDescent="0.4">
      <c r="V166" s="97">
        <v>45883</v>
      </c>
      <c r="W166" s="16">
        <v>184183</v>
      </c>
      <c r="X166" s="101" t="s">
        <v>36</v>
      </c>
      <c r="Y166" s="105"/>
      <c r="Z166" s="102">
        <v>0.87065972222222221</v>
      </c>
      <c r="AA166" s="102">
        <v>0.12344907407407407</v>
      </c>
      <c r="AB166" s="16"/>
      <c r="AC166" s="16"/>
      <c r="AD166" s="93">
        <v>19698</v>
      </c>
      <c r="AE166" s="93">
        <f t="shared" si="25"/>
        <v>19.698</v>
      </c>
      <c r="AF166" s="16">
        <v>15.66</v>
      </c>
      <c r="AG166" s="103">
        <f t="shared" si="26"/>
        <v>14</v>
      </c>
      <c r="AH166" s="37">
        <f t="shared" si="27"/>
        <v>19.698</v>
      </c>
      <c r="AJ166" s="38"/>
      <c r="AN166" s="39"/>
      <c r="AO166" s="39"/>
      <c r="AP166" s="48"/>
      <c r="AR166" s="38"/>
      <c r="AU166" s="38"/>
      <c r="AY166" s="39"/>
      <c r="AZ166" s="39"/>
      <c r="BA166" s="48"/>
      <c r="BC166" s="38"/>
    </row>
    <row r="167" spans="22:55" ht="16" x14ac:dyDescent="0.4">
      <c r="V167" s="97">
        <v>45884</v>
      </c>
      <c r="W167" s="16">
        <v>184206</v>
      </c>
      <c r="X167" s="101" t="s">
        <v>36</v>
      </c>
      <c r="Y167" s="105"/>
      <c r="Z167" s="102">
        <v>0.68686342592592586</v>
      </c>
      <c r="AA167" s="102">
        <v>0.99269675925925915</v>
      </c>
      <c r="AB167" s="16"/>
      <c r="AC167" s="16"/>
      <c r="AD167" s="93">
        <v>19730</v>
      </c>
      <c r="AE167" s="93">
        <f t="shared" si="25"/>
        <v>19.73</v>
      </c>
      <c r="AF167" s="16">
        <v>14.59</v>
      </c>
      <c r="AG167" s="103">
        <f t="shared" si="26"/>
        <v>14</v>
      </c>
      <c r="AH167" s="37">
        <f t="shared" si="27"/>
        <v>19.73</v>
      </c>
      <c r="AJ167" s="38"/>
      <c r="AN167" s="39"/>
      <c r="AO167" s="39"/>
      <c r="AP167" s="48"/>
      <c r="AR167" s="38"/>
      <c r="AU167" s="38"/>
      <c r="AY167" s="39"/>
      <c r="AZ167" s="39"/>
      <c r="BA167" s="48"/>
      <c r="BC167" s="38"/>
    </row>
    <row r="168" spans="22:55" ht="16" x14ac:dyDescent="0.4">
      <c r="V168" s="97">
        <v>45884</v>
      </c>
      <c r="W168" s="16">
        <v>184213</v>
      </c>
      <c r="X168" s="101" t="s">
        <v>36</v>
      </c>
      <c r="Y168" s="105"/>
      <c r="Z168" s="102">
        <v>0.87037037037037035</v>
      </c>
      <c r="AA168" s="102">
        <v>5.5763888888888891E-2</v>
      </c>
      <c r="AB168" s="16"/>
      <c r="AC168" s="16"/>
      <c r="AD168" s="93">
        <v>19144</v>
      </c>
      <c r="AE168" s="93">
        <f t="shared" si="25"/>
        <v>19.143999999999998</v>
      </c>
      <c r="AF168" s="16">
        <v>14.52</v>
      </c>
      <c r="AG168" s="103">
        <f t="shared" si="26"/>
        <v>14</v>
      </c>
      <c r="AH168" s="37">
        <f t="shared" si="27"/>
        <v>19.143999999999998</v>
      </c>
      <c r="AJ168" s="38"/>
      <c r="AN168" s="39"/>
      <c r="AO168" s="39"/>
      <c r="AP168" s="48"/>
      <c r="AR168" s="38"/>
      <c r="AU168" s="38"/>
      <c r="AY168" s="39"/>
      <c r="AZ168" s="39"/>
      <c r="BA168" s="48"/>
      <c r="BC168" s="38"/>
    </row>
    <row r="169" spans="22:55" ht="16" x14ac:dyDescent="0.4">
      <c r="V169" s="97">
        <v>45884</v>
      </c>
      <c r="W169" s="16">
        <v>184228</v>
      </c>
      <c r="X169" s="101" t="s">
        <v>36</v>
      </c>
      <c r="Y169" s="105"/>
      <c r="Z169" s="102">
        <v>0.93148148148148147</v>
      </c>
      <c r="AA169" s="102">
        <v>0.1102662037037037</v>
      </c>
      <c r="AB169" s="16"/>
      <c r="AC169" s="16"/>
      <c r="AD169" s="93">
        <v>19482</v>
      </c>
      <c r="AE169" s="93">
        <f t="shared" si="25"/>
        <v>19.481999999999999</v>
      </c>
      <c r="AF169" s="16">
        <v>15.91</v>
      </c>
      <c r="AG169" s="103">
        <f t="shared" si="26"/>
        <v>14</v>
      </c>
      <c r="AH169" s="37">
        <f t="shared" si="27"/>
        <v>19.481999999999999</v>
      </c>
      <c r="AJ169" s="38"/>
      <c r="AN169" s="39"/>
      <c r="AO169" s="39"/>
      <c r="AP169" s="48"/>
      <c r="AR169" s="38"/>
      <c r="AU169" s="38"/>
      <c r="AY169" s="39"/>
      <c r="AZ169" s="39"/>
      <c r="BA169" s="48"/>
      <c r="BC169" s="38"/>
    </row>
    <row r="170" spans="22:55" ht="16" x14ac:dyDescent="0.4">
      <c r="V170" s="97">
        <v>45884</v>
      </c>
      <c r="W170" s="16">
        <v>184234</v>
      </c>
      <c r="X170" s="101" t="s">
        <v>36</v>
      </c>
      <c r="Y170" s="105"/>
      <c r="Z170" s="102">
        <v>0.87049768518518522</v>
      </c>
      <c r="AA170" s="102">
        <v>0.18835648148148146</v>
      </c>
      <c r="AB170" s="16"/>
      <c r="AC170" s="16"/>
      <c r="AD170" s="93">
        <v>20314</v>
      </c>
      <c r="AE170" s="93">
        <f t="shared" si="25"/>
        <v>20.314</v>
      </c>
      <c r="AF170" s="16">
        <v>15.24</v>
      </c>
      <c r="AG170" s="103">
        <f t="shared" si="26"/>
        <v>14</v>
      </c>
      <c r="AH170" s="37">
        <f t="shared" si="27"/>
        <v>20.314</v>
      </c>
      <c r="AJ170" s="38"/>
      <c r="AN170" s="39"/>
      <c r="AO170" s="39"/>
      <c r="AP170" s="48"/>
      <c r="AR170" s="38"/>
      <c r="AU170" s="38"/>
      <c r="AY170" s="39"/>
      <c r="AZ170" s="39"/>
      <c r="BA170" s="48"/>
      <c r="BC170" s="38"/>
    </row>
    <row r="171" spans="22:55" ht="16" x14ac:dyDescent="0.4">
      <c r="V171" s="97">
        <v>45884</v>
      </c>
      <c r="W171" s="16">
        <v>184238</v>
      </c>
      <c r="X171" s="101" t="s">
        <v>36</v>
      </c>
      <c r="Y171" s="105"/>
      <c r="Z171" s="102">
        <v>0.16336805555555556</v>
      </c>
      <c r="AA171" s="102">
        <v>0.24173611111111112</v>
      </c>
      <c r="AB171" s="16"/>
      <c r="AC171" s="16"/>
      <c r="AD171" s="93">
        <v>18552</v>
      </c>
      <c r="AE171" s="93">
        <f t="shared" si="25"/>
        <v>18.552</v>
      </c>
      <c r="AF171" s="16">
        <v>15.7</v>
      </c>
      <c r="AG171" s="103">
        <f t="shared" si="26"/>
        <v>14</v>
      </c>
      <c r="AH171" s="37">
        <f t="shared" si="27"/>
        <v>18.552</v>
      </c>
      <c r="AJ171" s="38"/>
      <c r="AN171" s="39"/>
      <c r="AO171" s="39"/>
      <c r="AP171" s="48"/>
      <c r="AR171" s="38"/>
      <c r="AU171" s="38"/>
      <c r="AY171" s="39"/>
      <c r="AZ171" s="39"/>
      <c r="BA171" s="48"/>
      <c r="BC171" s="38"/>
    </row>
    <row r="172" spans="22:55" ht="16" x14ac:dyDescent="0.4">
      <c r="V172" s="97">
        <v>45884</v>
      </c>
      <c r="W172" s="16">
        <v>184292</v>
      </c>
      <c r="X172" s="101" t="s">
        <v>36</v>
      </c>
      <c r="Y172" s="105"/>
      <c r="Z172" s="102">
        <v>0.23333333333333331</v>
      </c>
      <c r="AA172" s="102">
        <v>0.31458333333333333</v>
      </c>
      <c r="AB172" s="16"/>
      <c r="AC172" s="16"/>
      <c r="AD172" s="93">
        <v>19356</v>
      </c>
      <c r="AE172" s="93">
        <f t="shared" si="25"/>
        <v>19.356000000000002</v>
      </c>
      <c r="AF172" s="16">
        <v>14.68</v>
      </c>
      <c r="AG172" s="103">
        <f t="shared" si="26"/>
        <v>14</v>
      </c>
      <c r="AH172" s="37">
        <f t="shared" si="27"/>
        <v>19.356000000000002</v>
      </c>
      <c r="AJ172" s="38"/>
      <c r="AN172" s="39"/>
      <c r="AO172" s="39"/>
      <c r="AP172" s="48"/>
      <c r="AR172" s="38"/>
      <c r="AU172" s="38"/>
      <c r="AY172" s="39"/>
      <c r="AZ172" s="39"/>
      <c r="BA172" s="48"/>
      <c r="BC172" s="38"/>
    </row>
    <row r="173" spans="22:55" ht="16" x14ac:dyDescent="0.4">
      <c r="V173" s="97">
        <v>45884</v>
      </c>
      <c r="W173" s="16">
        <v>184329</v>
      </c>
      <c r="X173" s="101" t="s">
        <v>36</v>
      </c>
      <c r="Y173" s="105"/>
      <c r="Z173" s="102">
        <v>0.16250000000000001</v>
      </c>
      <c r="AA173" s="102">
        <v>0.37708333333333338</v>
      </c>
      <c r="AB173" s="16"/>
      <c r="AC173" s="16"/>
      <c r="AD173" s="93">
        <v>21070</v>
      </c>
      <c r="AE173" s="93">
        <f t="shared" si="25"/>
        <v>21.07</v>
      </c>
      <c r="AF173" s="16">
        <v>15.37</v>
      </c>
      <c r="AG173" s="103">
        <f t="shared" si="26"/>
        <v>14</v>
      </c>
      <c r="AH173" s="37">
        <f t="shared" si="27"/>
        <v>21.07</v>
      </c>
      <c r="AJ173" s="38"/>
      <c r="AN173" s="39"/>
      <c r="AO173" s="39"/>
      <c r="AP173" s="48"/>
      <c r="AR173" s="38"/>
      <c r="AU173" s="38"/>
      <c r="AY173" s="39"/>
      <c r="AZ173" s="39"/>
      <c r="BA173" s="48"/>
      <c r="BC173" s="38"/>
    </row>
    <row r="174" spans="22:55" ht="16" x14ac:dyDescent="0.4">
      <c r="V174" s="97">
        <v>45884</v>
      </c>
      <c r="W174" s="16">
        <v>184398</v>
      </c>
      <c r="X174" s="101" t="s">
        <v>36</v>
      </c>
      <c r="Y174" s="105"/>
      <c r="Z174" s="102">
        <v>0.23263888888888887</v>
      </c>
      <c r="AA174" s="102">
        <v>0.4458333333333333</v>
      </c>
      <c r="AB174" s="16"/>
      <c r="AC174" s="16"/>
      <c r="AD174" s="93">
        <v>20498</v>
      </c>
      <c r="AE174" s="93">
        <f t="shared" si="25"/>
        <v>20.498000000000001</v>
      </c>
      <c r="AF174" s="16">
        <v>15.17</v>
      </c>
      <c r="AG174" s="103">
        <f t="shared" si="26"/>
        <v>14</v>
      </c>
      <c r="AH174" s="37">
        <f t="shared" si="27"/>
        <v>20.498000000000001</v>
      </c>
      <c r="AJ174" s="38"/>
      <c r="AN174" s="39"/>
      <c r="AO174" s="39"/>
      <c r="AP174" s="48"/>
      <c r="AR174" s="38"/>
      <c r="AU174" s="38"/>
      <c r="AY174" s="39"/>
      <c r="AZ174" s="39"/>
      <c r="BA174" s="48"/>
      <c r="BC174" s="38"/>
    </row>
    <row r="175" spans="22:55" ht="16" x14ac:dyDescent="0.4">
      <c r="V175" s="97">
        <v>45884</v>
      </c>
      <c r="W175" s="16">
        <v>184430</v>
      </c>
      <c r="X175" s="101" t="s">
        <v>36</v>
      </c>
      <c r="Y175" s="105"/>
      <c r="Z175" s="102">
        <v>0.16250000000000001</v>
      </c>
      <c r="AA175" s="102">
        <v>0.53263888888888888</v>
      </c>
      <c r="AB175" s="16"/>
      <c r="AC175" s="16"/>
      <c r="AD175" s="93">
        <v>21538</v>
      </c>
      <c r="AE175" s="93">
        <f t="shared" si="25"/>
        <v>21.538</v>
      </c>
      <c r="AF175" s="16">
        <v>14.84</v>
      </c>
      <c r="AG175" s="103">
        <f t="shared" si="26"/>
        <v>14</v>
      </c>
      <c r="AH175" s="37">
        <f t="shared" si="27"/>
        <v>21.538</v>
      </c>
      <c r="AJ175" s="38"/>
      <c r="AN175" s="39"/>
      <c r="AO175" s="39"/>
      <c r="AP175" s="48"/>
      <c r="AR175" s="38"/>
      <c r="AU175" s="38"/>
      <c r="AY175" s="39"/>
      <c r="AZ175" s="39"/>
      <c r="BA175" s="48"/>
      <c r="BC175" s="38"/>
    </row>
    <row r="176" spans="22:55" ht="16" x14ac:dyDescent="0.4">
      <c r="V176" s="97">
        <v>45884</v>
      </c>
      <c r="W176" s="16">
        <v>184470</v>
      </c>
      <c r="X176" s="101" t="s">
        <v>36</v>
      </c>
      <c r="Y176" s="105"/>
      <c r="Z176" s="102">
        <v>0.62638888888888888</v>
      </c>
      <c r="AA176" s="102">
        <v>0.58819444444444446</v>
      </c>
      <c r="AB176" s="16"/>
      <c r="AC176" s="16"/>
      <c r="AD176" s="93">
        <v>20808</v>
      </c>
      <c r="AE176" s="93">
        <f t="shared" si="25"/>
        <v>20.808</v>
      </c>
      <c r="AF176" s="16">
        <v>14.66</v>
      </c>
      <c r="AG176" s="103">
        <f t="shared" si="26"/>
        <v>14</v>
      </c>
      <c r="AH176" s="37">
        <f t="shared" si="27"/>
        <v>20.808</v>
      </c>
      <c r="AJ176" s="38"/>
      <c r="AN176" s="39"/>
      <c r="AO176" s="39"/>
      <c r="AP176" s="48"/>
      <c r="AR176" s="38"/>
      <c r="AU176" s="38"/>
      <c r="AY176" s="39"/>
      <c r="AZ176" s="39"/>
      <c r="BA176" s="48"/>
      <c r="BC176" s="38"/>
    </row>
    <row r="177" spans="22:56" ht="16" x14ac:dyDescent="0.4">
      <c r="V177" s="97">
        <v>45884</v>
      </c>
      <c r="W177" s="16">
        <v>184519</v>
      </c>
      <c r="X177" s="101" t="s">
        <v>36</v>
      </c>
      <c r="Y177" s="105"/>
      <c r="Z177" s="102">
        <v>0.58958333333333335</v>
      </c>
      <c r="AA177" s="102">
        <v>0.6694444444444444</v>
      </c>
      <c r="AB177" s="16"/>
      <c r="AC177" s="16"/>
      <c r="AD177" s="93">
        <v>21264</v>
      </c>
      <c r="AE177" s="93">
        <f t="shared" si="25"/>
        <v>21.263999999999999</v>
      </c>
      <c r="AF177" s="16">
        <v>15.13</v>
      </c>
      <c r="AG177" s="103">
        <f t="shared" si="26"/>
        <v>14</v>
      </c>
      <c r="AH177" s="37">
        <f t="shared" si="27"/>
        <v>21.263999999999999</v>
      </c>
      <c r="AJ177" s="38"/>
      <c r="AN177" s="39"/>
      <c r="AO177" s="39"/>
      <c r="AP177" s="48"/>
      <c r="AR177" s="38"/>
      <c r="AU177" s="38"/>
      <c r="AY177" s="39"/>
      <c r="AZ177" s="39"/>
      <c r="BA177" s="48"/>
      <c r="BC177" s="38"/>
    </row>
    <row r="178" spans="22:56" ht="16" x14ac:dyDescent="0.4">
      <c r="V178" s="97">
        <v>45884</v>
      </c>
      <c r="W178" s="16">
        <v>184531</v>
      </c>
      <c r="X178" s="101" t="s">
        <v>36</v>
      </c>
      <c r="Y178" s="105"/>
      <c r="Z178" s="102">
        <v>0.23318287037037036</v>
      </c>
      <c r="AA178" s="102">
        <v>0.7279282407407407</v>
      </c>
      <c r="AB178" s="16"/>
      <c r="AC178" s="16"/>
      <c r="AD178" s="93">
        <v>18708</v>
      </c>
      <c r="AE178" s="93">
        <f t="shared" si="25"/>
        <v>18.707999999999998</v>
      </c>
      <c r="AF178" s="16">
        <v>14.69</v>
      </c>
      <c r="AG178" s="103">
        <f t="shared" si="26"/>
        <v>14</v>
      </c>
      <c r="AH178" s="37">
        <f t="shared" si="27"/>
        <v>18.707999999999998</v>
      </c>
      <c r="AJ178" s="38"/>
      <c r="AN178" s="39"/>
      <c r="AO178" s="39"/>
      <c r="AP178" s="48"/>
      <c r="AR178" s="38"/>
      <c r="AU178" s="38"/>
      <c r="AY178" s="39"/>
      <c r="AZ178" s="39"/>
      <c r="BA178" s="48"/>
      <c r="BC178" s="38"/>
    </row>
    <row r="179" spans="22:56" ht="16" x14ac:dyDescent="0.4">
      <c r="V179" s="97">
        <v>45884</v>
      </c>
      <c r="W179" s="16">
        <v>184545</v>
      </c>
      <c r="X179" s="101" t="s">
        <v>36</v>
      </c>
      <c r="Y179" s="105"/>
      <c r="Z179" s="102">
        <v>0.58984953703703702</v>
      </c>
      <c r="AA179" s="102">
        <v>0.78768518518518515</v>
      </c>
      <c r="AB179" s="16"/>
      <c r="AC179" s="16"/>
      <c r="AD179" s="93">
        <v>19382</v>
      </c>
      <c r="AE179" s="93">
        <f t="shared" si="25"/>
        <v>19.382000000000001</v>
      </c>
      <c r="AF179" s="16">
        <v>15.7</v>
      </c>
      <c r="AG179" s="103">
        <f t="shared" si="26"/>
        <v>14</v>
      </c>
      <c r="AH179" s="37">
        <f t="shared" si="27"/>
        <v>19.382000000000001</v>
      </c>
      <c r="AJ179" s="38"/>
      <c r="AL179" s="16"/>
      <c r="AN179" s="39"/>
      <c r="AO179" s="39"/>
      <c r="AP179" s="48"/>
      <c r="AR179" s="38"/>
      <c r="AU179" s="38"/>
      <c r="AW179" s="16"/>
      <c r="AY179" s="39"/>
      <c r="AZ179" s="39"/>
      <c r="BA179" s="48"/>
      <c r="BC179" s="38"/>
    </row>
    <row r="180" spans="22:56" ht="16" x14ac:dyDescent="0.4">
      <c r="V180" s="97">
        <v>45884</v>
      </c>
      <c r="W180" s="16">
        <v>184573</v>
      </c>
      <c r="X180" s="101" t="s">
        <v>36</v>
      </c>
      <c r="Y180" s="105"/>
      <c r="Z180" s="102">
        <v>0.7694212962962963</v>
      </c>
      <c r="AA180" s="102">
        <v>0.84766203703703702</v>
      </c>
      <c r="AB180" s="16"/>
      <c r="AC180" s="16"/>
      <c r="AD180" s="93">
        <v>21376</v>
      </c>
      <c r="AE180" s="93">
        <f t="shared" si="25"/>
        <v>21.376000000000001</v>
      </c>
      <c r="AF180" s="16">
        <v>15.45</v>
      </c>
      <c r="AG180" s="103">
        <f t="shared" si="26"/>
        <v>14</v>
      </c>
      <c r="AH180" s="37">
        <f t="shared" si="27"/>
        <v>21.376000000000001</v>
      </c>
      <c r="AJ180" s="38"/>
      <c r="AL180" s="16"/>
      <c r="AN180" s="39"/>
      <c r="AO180" s="39"/>
      <c r="AP180" s="48"/>
      <c r="AR180" s="38"/>
      <c r="AU180" s="38"/>
      <c r="AW180" s="16"/>
      <c r="AY180" s="39"/>
      <c r="AZ180" s="39"/>
      <c r="BA180" s="48"/>
      <c r="BC180" s="38"/>
    </row>
    <row r="181" spans="22:56" ht="16" x14ac:dyDescent="0.4">
      <c r="V181" s="97">
        <v>45884</v>
      </c>
      <c r="W181" s="16">
        <v>184600</v>
      </c>
      <c r="X181" s="101" t="s">
        <v>36</v>
      </c>
      <c r="Y181" s="105"/>
      <c r="Z181" s="102">
        <v>0.58972222222222215</v>
      </c>
      <c r="AA181" s="102">
        <v>0.89071759259259264</v>
      </c>
      <c r="AB181" s="16"/>
      <c r="AC181" s="16"/>
      <c r="AD181" s="93">
        <v>19994</v>
      </c>
      <c r="AE181" s="93">
        <f t="shared" si="25"/>
        <v>19.994</v>
      </c>
      <c r="AF181" s="16">
        <v>13.59</v>
      </c>
      <c r="AG181" s="103">
        <f t="shared" si="26"/>
        <v>13.59</v>
      </c>
      <c r="AH181" s="37">
        <f t="shared" si="27"/>
        <v>19.408461428571428</v>
      </c>
      <c r="AJ181" s="38"/>
      <c r="AL181" s="16"/>
      <c r="AN181" s="39"/>
      <c r="AO181" s="39"/>
      <c r="AP181" s="48"/>
      <c r="AR181" s="38"/>
      <c r="AU181" s="38"/>
      <c r="AW181" s="16"/>
      <c r="AY181" s="39"/>
      <c r="AZ181" s="39"/>
      <c r="BA181" s="48"/>
      <c r="BC181" s="38"/>
    </row>
    <row r="182" spans="22:56" ht="16" x14ac:dyDescent="0.4">
      <c r="V182" s="97">
        <v>45884</v>
      </c>
      <c r="W182" s="16">
        <v>184617</v>
      </c>
      <c r="X182" s="101" t="s">
        <v>36</v>
      </c>
      <c r="Y182" s="105"/>
      <c r="Z182" s="102">
        <v>0.76951388888888894</v>
      </c>
      <c r="AA182" s="102">
        <v>0.94439814814814815</v>
      </c>
      <c r="AB182" s="16"/>
      <c r="AC182" s="16"/>
      <c r="AD182" s="93">
        <v>20544</v>
      </c>
      <c r="AE182" s="93">
        <f t="shared" si="25"/>
        <v>20.544</v>
      </c>
      <c r="AF182" s="16">
        <v>13.98</v>
      </c>
      <c r="AG182" s="103">
        <f t="shared" si="26"/>
        <v>13.98</v>
      </c>
      <c r="AH182" s="37">
        <f t="shared" si="27"/>
        <v>20.51465142857143</v>
      </c>
      <c r="AJ182" s="38"/>
      <c r="AL182" s="16"/>
      <c r="AN182" s="39"/>
      <c r="AO182" s="39"/>
      <c r="AP182" s="48"/>
      <c r="AR182" s="38"/>
      <c r="AU182" s="38"/>
      <c r="AW182" s="16"/>
      <c r="AY182" s="39"/>
      <c r="AZ182" s="39"/>
      <c r="BA182" s="48"/>
      <c r="BC182" s="38"/>
    </row>
    <row r="183" spans="22:56" ht="16" x14ac:dyDescent="0.4">
      <c r="V183" s="97">
        <v>45885</v>
      </c>
      <c r="W183" s="16">
        <v>184629</v>
      </c>
      <c r="X183" s="101" t="s">
        <v>36</v>
      </c>
      <c r="Y183" s="105"/>
      <c r="Z183" s="102">
        <v>0.9211921296296296</v>
      </c>
      <c r="AA183" s="102">
        <v>1.7291666666666667E-2</v>
      </c>
      <c r="AB183" s="16"/>
      <c r="AC183" s="16"/>
      <c r="AD183" s="93">
        <v>20868</v>
      </c>
      <c r="AE183" s="93">
        <f t="shared" si="25"/>
        <v>20.867999999999999</v>
      </c>
      <c r="AF183" s="16">
        <v>13.88</v>
      </c>
      <c r="AG183" s="103">
        <f t="shared" si="26"/>
        <v>13.88</v>
      </c>
      <c r="AH183" s="37">
        <f t="shared" si="27"/>
        <v>20.689131428571425</v>
      </c>
      <c r="AJ183" s="38"/>
      <c r="AL183" s="16"/>
      <c r="AN183" s="39"/>
      <c r="AO183" s="39"/>
      <c r="AP183" s="48"/>
      <c r="AR183" s="38"/>
      <c r="AU183" s="38"/>
      <c r="AW183" s="16"/>
      <c r="AY183" s="39"/>
      <c r="AZ183" s="39"/>
      <c r="BA183" s="48"/>
      <c r="BC183" s="38"/>
    </row>
    <row r="184" spans="22:56" ht="16" x14ac:dyDescent="0.4">
      <c r="V184" s="97">
        <v>45885</v>
      </c>
      <c r="W184" s="16">
        <v>184634</v>
      </c>
      <c r="X184" s="101" t="s">
        <v>36</v>
      </c>
      <c r="Y184" s="105"/>
      <c r="Z184" s="102">
        <v>0.76960648148148147</v>
      </c>
      <c r="AA184" s="102">
        <v>7.2488425925925928E-2</v>
      </c>
      <c r="AB184" s="16"/>
      <c r="AC184" s="16"/>
      <c r="AD184" s="93">
        <v>19594</v>
      </c>
      <c r="AE184" s="93">
        <f t="shared" si="25"/>
        <v>19.594000000000001</v>
      </c>
      <c r="AF184" s="16">
        <v>16.2</v>
      </c>
      <c r="AG184" s="103">
        <f t="shared" si="26"/>
        <v>14</v>
      </c>
      <c r="AH184" s="37">
        <f t="shared" si="27"/>
        <v>19.594000000000001</v>
      </c>
      <c r="AJ184" s="38"/>
      <c r="AL184" s="16"/>
      <c r="AN184" s="39"/>
      <c r="AO184" s="39"/>
      <c r="AP184" s="48"/>
      <c r="AR184" s="38"/>
      <c r="AS184" s="49"/>
      <c r="AU184" s="38"/>
      <c r="AW184" s="16"/>
      <c r="AY184" s="39"/>
      <c r="AZ184" s="39"/>
      <c r="BA184" s="48"/>
      <c r="BC184" s="38"/>
      <c r="BD184" s="49"/>
    </row>
    <row r="185" spans="22:56" ht="16" x14ac:dyDescent="0.4">
      <c r="V185" s="97">
        <v>45885</v>
      </c>
      <c r="W185" s="16">
        <v>184649</v>
      </c>
      <c r="X185" s="101" t="s">
        <v>36</v>
      </c>
      <c r="Y185" s="105"/>
      <c r="Z185" s="102">
        <v>0.92128472222222213</v>
      </c>
      <c r="AA185" s="102">
        <v>0.13427083333333334</v>
      </c>
      <c r="AB185" s="16"/>
      <c r="AC185" s="16"/>
      <c r="AD185" s="93">
        <v>21688</v>
      </c>
      <c r="AE185" s="93">
        <f t="shared" si="25"/>
        <v>21.687999999999999</v>
      </c>
      <c r="AF185" s="16">
        <v>16.16</v>
      </c>
      <c r="AG185" s="103">
        <f t="shared" si="26"/>
        <v>14</v>
      </c>
      <c r="AH185" s="37">
        <f t="shared" si="27"/>
        <v>21.687999999999999</v>
      </c>
      <c r="AJ185" s="38"/>
      <c r="AL185" s="16"/>
      <c r="AN185" s="39"/>
      <c r="AO185" s="39"/>
      <c r="AP185" s="48"/>
      <c r="AR185" s="38"/>
      <c r="AS185" s="49"/>
      <c r="AU185" s="38"/>
      <c r="AW185" s="16"/>
      <c r="AY185" s="39"/>
      <c r="AZ185" s="39"/>
      <c r="BA185" s="48"/>
      <c r="BC185" s="38"/>
      <c r="BD185" s="49"/>
    </row>
    <row r="186" spans="22:56" ht="16" x14ac:dyDescent="0.4">
      <c r="V186" s="97">
        <v>45885</v>
      </c>
      <c r="W186" s="16">
        <v>184650</v>
      </c>
      <c r="X186" s="101" t="s">
        <v>36</v>
      </c>
      <c r="Y186" s="105"/>
      <c r="Z186" s="102">
        <v>0.10665509259259259</v>
      </c>
      <c r="AA186" s="102">
        <v>0.17913194444444444</v>
      </c>
      <c r="AB186" s="16"/>
      <c r="AC186" s="16"/>
      <c r="AD186" s="93">
        <v>19524</v>
      </c>
      <c r="AE186" s="93">
        <f t="shared" si="25"/>
        <v>19.524000000000001</v>
      </c>
      <c r="AF186" s="16">
        <v>13.91</v>
      </c>
      <c r="AG186" s="103">
        <f t="shared" si="26"/>
        <v>13.91</v>
      </c>
      <c r="AH186" s="37">
        <f t="shared" si="27"/>
        <v>19.398488571428572</v>
      </c>
      <c r="AJ186" s="38"/>
      <c r="AL186" s="16"/>
      <c r="AN186" s="39"/>
      <c r="AO186" s="39"/>
      <c r="AP186" s="48"/>
      <c r="AR186" s="38"/>
      <c r="AS186" s="49"/>
      <c r="AU186" s="38"/>
      <c r="AW186" s="16"/>
      <c r="AY186" s="39"/>
      <c r="AZ186" s="39"/>
      <c r="BA186" s="48"/>
      <c r="BC186" s="38"/>
      <c r="BD186" s="49"/>
    </row>
    <row r="187" spans="22:56" ht="16" x14ac:dyDescent="0.4">
      <c r="V187" s="97">
        <v>45885</v>
      </c>
      <c r="W187" s="16">
        <v>184658</v>
      </c>
      <c r="X187" s="101" t="s">
        <v>36</v>
      </c>
      <c r="Y187" s="105"/>
      <c r="Z187" s="102">
        <v>0.921412037037037</v>
      </c>
      <c r="AA187" s="102">
        <v>0.22376157407407407</v>
      </c>
      <c r="AB187" s="16"/>
      <c r="AC187" s="16"/>
      <c r="AD187" s="93">
        <v>21880</v>
      </c>
      <c r="AE187" s="93">
        <f t="shared" si="25"/>
        <v>21.88</v>
      </c>
      <c r="AF187" s="16">
        <v>14.41</v>
      </c>
      <c r="AG187" s="103">
        <f t="shared" si="26"/>
        <v>14</v>
      </c>
      <c r="AH187" s="37">
        <f t="shared" si="27"/>
        <v>21.88</v>
      </c>
      <c r="AJ187" s="38"/>
      <c r="AL187" s="16"/>
      <c r="AN187" s="39"/>
      <c r="AO187" s="39"/>
      <c r="AP187" s="48"/>
      <c r="AR187" s="38"/>
      <c r="AS187" s="49"/>
      <c r="AU187" s="38"/>
      <c r="AW187" s="16"/>
      <c r="AY187" s="39"/>
      <c r="AZ187" s="39"/>
      <c r="BA187" s="48"/>
      <c r="BC187" s="38"/>
      <c r="BD187" s="49"/>
    </row>
    <row r="188" spans="22:56" ht="16" x14ac:dyDescent="0.4">
      <c r="V188" s="97">
        <v>45885</v>
      </c>
      <c r="W188" s="16">
        <v>184665</v>
      </c>
      <c r="X188" s="101" t="s">
        <v>36</v>
      </c>
      <c r="Y188" s="105"/>
      <c r="Z188" s="102">
        <v>0.10625</v>
      </c>
      <c r="AA188" s="102">
        <v>0.27013888888888887</v>
      </c>
      <c r="AB188" s="16"/>
      <c r="AC188" s="16"/>
      <c r="AD188" s="93">
        <v>20634</v>
      </c>
      <c r="AE188" s="93">
        <f t="shared" si="25"/>
        <v>20.634</v>
      </c>
      <c r="AF188" s="16">
        <v>15.62</v>
      </c>
      <c r="AG188" s="103">
        <f t="shared" si="26"/>
        <v>14</v>
      </c>
      <c r="AH188" s="37">
        <f t="shared" si="27"/>
        <v>20.633999999999997</v>
      </c>
      <c r="AJ188" s="38"/>
      <c r="AL188" s="16"/>
      <c r="AN188" s="39"/>
      <c r="AO188" s="39"/>
      <c r="AP188" s="48"/>
      <c r="AR188" s="38"/>
      <c r="AS188" s="49"/>
      <c r="AU188" s="38"/>
      <c r="AW188" s="16"/>
      <c r="AY188" s="39"/>
      <c r="AZ188" s="39"/>
      <c r="BA188" s="48"/>
      <c r="BC188" s="38"/>
      <c r="BD188" s="49"/>
    </row>
    <row r="189" spans="22:56" ht="16" x14ac:dyDescent="0.4">
      <c r="V189" s="97">
        <v>45885</v>
      </c>
      <c r="W189" s="16">
        <v>184675</v>
      </c>
      <c r="X189" s="101" t="s">
        <v>36</v>
      </c>
      <c r="Y189" s="105"/>
      <c r="Z189" s="102">
        <v>0.2673611111111111</v>
      </c>
      <c r="AA189" s="102">
        <v>0.30972222222222223</v>
      </c>
      <c r="AB189" s="16"/>
      <c r="AC189" s="16"/>
      <c r="AD189" s="93">
        <v>19830</v>
      </c>
      <c r="AE189" s="93">
        <f t="shared" si="25"/>
        <v>19.829999999999998</v>
      </c>
      <c r="AF189" s="16">
        <v>15.48</v>
      </c>
      <c r="AG189" s="103">
        <f t="shared" si="26"/>
        <v>14</v>
      </c>
      <c r="AH189" s="37">
        <f t="shared" si="27"/>
        <v>19.830000000000002</v>
      </c>
      <c r="AJ189" s="38"/>
      <c r="AL189" s="16"/>
      <c r="AN189" s="39"/>
      <c r="AO189" s="39"/>
      <c r="AP189" s="48"/>
      <c r="AR189" s="38"/>
      <c r="AS189" s="49"/>
      <c r="AU189" s="38"/>
      <c r="AW189" s="16"/>
      <c r="AY189" s="39"/>
      <c r="AZ189" s="39"/>
      <c r="BA189" s="48"/>
      <c r="BC189" s="38"/>
      <c r="BD189" s="49"/>
    </row>
    <row r="190" spans="22:56" ht="16" x14ac:dyDescent="0.4">
      <c r="V190" s="97">
        <v>45885</v>
      </c>
      <c r="W190" s="16">
        <v>184753</v>
      </c>
      <c r="X190" s="101" t="s">
        <v>36</v>
      </c>
      <c r="Y190" s="105"/>
      <c r="Z190" s="102">
        <v>0.10625</v>
      </c>
      <c r="AA190" s="102">
        <v>0.4236111111111111</v>
      </c>
      <c r="AB190" s="16"/>
      <c r="AC190" s="16"/>
      <c r="AD190" s="93">
        <v>20662</v>
      </c>
      <c r="AE190" s="93">
        <f t="shared" si="25"/>
        <v>20.661999999999999</v>
      </c>
      <c r="AF190" s="16">
        <v>14.51</v>
      </c>
      <c r="AG190" s="103">
        <f t="shared" si="26"/>
        <v>14</v>
      </c>
      <c r="AH190" s="37">
        <f t="shared" si="27"/>
        <v>20.661999999999999</v>
      </c>
      <c r="AJ190" s="38"/>
      <c r="AL190" s="16"/>
      <c r="AN190" s="39"/>
      <c r="AO190" s="39"/>
      <c r="AP190" s="48"/>
      <c r="AR190" s="38"/>
      <c r="AS190" s="49"/>
      <c r="AU190" s="38"/>
      <c r="AW190" s="16"/>
      <c r="AY190" s="39"/>
      <c r="AZ190" s="39"/>
      <c r="BA190" s="48"/>
      <c r="BC190" s="38"/>
      <c r="BD190" s="49"/>
    </row>
    <row r="191" spans="22:56" ht="16" x14ac:dyDescent="0.4">
      <c r="V191" s="97">
        <v>45885</v>
      </c>
      <c r="W191" s="16">
        <v>184787</v>
      </c>
      <c r="X191" s="101" t="s">
        <v>36</v>
      </c>
      <c r="Y191" s="105"/>
      <c r="Z191" s="102">
        <v>0.26805555555555555</v>
      </c>
      <c r="AA191" s="102">
        <v>0.50763888888888886</v>
      </c>
      <c r="AB191" s="16"/>
      <c r="AC191" s="16"/>
      <c r="AD191" s="93">
        <v>20720</v>
      </c>
      <c r="AE191" s="93">
        <f t="shared" si="25"/>
        <v>20.72</v>
      </c>
      <c r="AF191" s="16">
        <v>14.06</v>
      </c>
      <c r="AG191" s="103">
        <f t="shared" si="26"/>
        <v>14</v>
      </c>
      <c r="AH191" s="37">
        <f t="shared" si="27"/>
        <v>20.72</v>
      </c>
      <c r="AJ191" s="38"/>
      <c r="AL191" s="16"/>
      <c r="AN191" s="39"/>
      <c r="AO191" s="39"/>
      <c r="AP191" s="48"/>
      <c r="AR191" s="38"/>
      <c r="AS191" s="49"/>
      <c r="AU191" s="38"/>
      <c r="AW191" s="16"/>
      <c r="AY191" s="39"/>
      <c r="AZ191" s="39"/>
      <c r="BA191" s="48"/>
      <c r="BC191" s="38"/>
      <c r="BD191" s="49"/>
    </row>
    <row r="192" spans="22:56" ht="16" x14ac:dyDescent="0.4">
      <c r="V192" s="97">
        <v>45885</v>
      </c>
      <c r="W192" s="16">
        <v>184810</v>
      </c>
      <c r="X192" s="101" t="s">
        <v>36</v>
      </c>
      <c r="Y192" s="105"/>
      <c r="Z192" s="102">
        <v>0.7583333333333333</v>
      </c>
      <c r="AA192" s="102">
        <v>0.57430555555555551</v>
      </c>
      <c r="AB192" s="16"/>
      <c r="AC192" s="16"/>
      <c r="AD192" s="93">
        <v>19738</v>
      </c>
      <c r="AE192" s="93">
        <f t="shared" si="25"/>
        <v>19.738</v>
      </c>
      <c r="AF192" s="16">
        <v>15.39</v>
      </c>
      <c r="AG192" s="103">
        <f t="shared" si="26"/>
        <v>14</v>
      </c>
      <c r="AH192" s="37">
        <f t="shared" si="27"/>
        <v>19.738</v>
      </c>
      <c r="AJ192" s="38"/>
      <c r="AL192" s="16"/>
      <c r="AN192" s="39"/>
      <c r="AO192" s="39"/>
      <c r="AP192" s="48"/>
      <c r="AR192" s="38"/>
      <c r="AS192" s="49"/>
      <c r="AU192" s="38"/>
      <c r="AW192" s="16"/>
      <c r="AY192" s="39"/>
      <c r="AZ192" s="39"/>
      <c r="BA192" s="48"/>
      <c r="BC192" s="38"/>
      <c r="BD192" s="49"/>
    </row>
    <row r="193" spans="22:56" ht="16" x14ac:dyDescent="0.4">
      <c r="V193" s="97">
        <v>45885</v>
      </c>
      <c r="W193" s="16">
        <v>184847</v>
      </c>
      <c r="X193" s="101" t="s">
        <v>36</v>
      </c>
      <c r="Y193" s="105"/>
      <c r="Z193" s="102">
        <v>0.55763888888888891</v>
      </c>
      <c r="AA193" s="102">
        <v>0.65763888888888888</v>
      </c>
      <c r="AB193" s="16"/>
      <c r="AC193" s="16"/>
      <c r="AD193" s="93">
        <v>18814</v>
      </c>
      <c r="AE193" s="93">
        <f t="shared" si="25"/>
        <v>18.814</v>
      </c>
      <c r="AF193" s="16">
        <v>14.99</v>
      </c>
      <c r="AG193" s="103">
        <f t="shared" si="26"/>
        <v>14</v>
      </c>
      <c r="AH193" s="37">
        <f t="shared" si="27"/>
        <v>18.814</v>
      </c>
      <c r="AJ193" s="38"/>
      <c r="AL193" s="16"/>
      <c r="AN193" s="39"/>
      <c r="AO193" s="39"/>
      <c r="AP193" s="48"/>
      <c r="AR193" s="38"/>
      <c r="AS193" s="49"/>
      <c r="AU193" s="38"/>
      <c r="AW193" s="16"/>
      <c r="AY193" s="39"/>
      <c r="AZ193" s="39"/>
      <c r="BA193" s="48"/>
      <c r="BC193" s="38"/>
      <c r="BD193" s="49"/>
    </row>
    <row r="194" spans="22:56" ht="16" x14ac:dyDescent="0.4">
      <c r="V194" s="97">
        <v>45885</v>
      </c>
      <c r="W194" s="16">
        <v>184886</v>
      </c>
      <c r="X194" s="101" t="s">
        <v>36</v>
      </c>
      <c r="Y194" s="105"/>
      <c r="Z194" s="102">
        <v>0.62607638888888884</v>
      </c>
      <c r="AA194" s="102">
        <v>0.71423611111111107</v>
      </c>
      <c r="AB194" s="16"/>
      <c r="AC194" s="16"/>
      <c r="AD194" s="93">
        <v>17510</v>
      </c>
      <c r="AE194" s="93">
        <f t="shared" si="25"/>
        <v>17.510000000000002</v>
      </c>
      <c r="AF194" s="16">
        <v>14.56</v>
      </c>
      <c r="AG194" s="103">
        <f t="shared" si="26"/>
        <v>14</v>
      </c>
      <c r="AH194" s="37">
        <f t="shared" si="27"/>
        <v>17.510000000000002</v>
      </c>
      <c r="AJ194" s="38"/>
      <c r="AL194" s="16"/>
      <c r="AN194" s="39"/>
      <c r="AO194" s="39"/>
      <c r="AP194" s="48"/>
      <c r="AR194" s="38"/>
      <c r="AS194" s="49"/>
      <c r="AU194" s="38"/>
      <c r="AW194" s="16"/>
      <c r="AY194" s="39"/>
      <c r="AZ194" s="39"/>
      <c r="BA194" s="48"/>
      <c r="BC194" s="38"/>
      <c r="BD194" s="49"/>
    </row>
    <row r="195" spans="22:56" ht="16" x14ac:dyDescent="0.4">
      <c r="V195" s="97">
        <v>45885</v>
      </c>
      <c r="W195" s="16">
        <v>184898</v>
      </c>
      <c r="X195" s="101" t="s">
        <v>36</v>
      </c>
      <c r="Y195" s="105"/>
      <c r="Z195" s="102">
        <v>0.1582523148148148</v>
      </c>
      <c r="AA195" s="102">
        <v>0.7888425925925926</v>
      </c>
      <c r="AB195" s="16"/>
      <c r="AC195" s="16"/>
      <c r="AD195" s="93">
        <v>16836</v>
      </c>
      <c r="AE195" s="93">
        <f t="shared" si="25"/>
        <v>16.835999999999999</v>
      </c>
      <c r="AF195" s="16">
        <v>15.24</v>
      </c>
      <c r="AG195" s="103">
        <f t="shared" si="26"/>
        <v>14</v>
      </c>
      <c r="AH195" s="37">
        <f t="shared" si="27"/>
        <v>16.835999999999999</v>
      </c>
      <c r="AJ195" s="38"/>
      <c r="AL195" s="16"/>
      <c r="AN195" s="39"/>
      <c r="AO195" s="39"/>
      <c r="AP195" s="48"/>
      <c r="AQ195" s="16"/>
      <c r="AR195" s="38"/>
      <c r="AS195" s="49"/>
      <c r="AU195" s="38"/>
      <c r="AW195" s="16"/>
      <c r="AY195" s="39"/>
      <c r="AZ195" s="39"/>
      <c r="BA195" s="48"/>
      <c r="BB195" s="16"/>
      <c r="BC195" s="38"/>
      <c r="BD195" s="49"/>
    </row>
    <row r="196" spans="22:56" ht="16" x14ac:dyDescent="0.4">
      <c r="V196" s="97">
        <v>45885</v>
      </c>
      <c r="W196" s="16">
        <v>184952</v>
      </c>
      <c r="X196" s="101" t="s">
        <v>36</v>
      </c>
      <c r="Y196" s="105"/>
      <c r="Z196" s="102">
        <v>0.7782175925925926</v>
      </c>
      <c r="AA196" s="102">
        <v>0.88762731481481483</v>
      </c>
      <c r="AB196" s="16"/>
      <c r="AC196" s="16"/>
      <c r="AD196" s="93">
        <v>19900</v>
      </c>
      <c r="AE196" s="93">
        <f t="shared" si="25"/>
        <v>19.899999999999999</v>
      </c>
      <c r="AF196" s="16">
        <v>14.27</v>
      </c>
      <c r="AG196" s="103">
        <f t="shared" si="26"/>
        <v>14</v>
      </c>
      <c r="AH196" s="37">
        <f t="shared" si="27"/>
        <v>19.899999999999999</v>
      </c>
      <c r="AJ196" s="38"/>
      <c r="AL196" s="16"/>
      <c r="AM196" s="17"/>
      <c r="AN196" s="81"/>
      <c r="AO196" s="39"/>
      <c r="AP196" s="48"/>
      <c r="AR196" s="38"/>
      <c r="AS196" s="49"/>
      <c r="AU196" s="38"/>
      <c r="AW196" s="16"/>
      <c r="AX196" s="17"/>
      <c r="AY196" s="81"/>
      <c r="AZ196" s="39"/>
      <c r="BA196" s="48"/>
      <c r="BC196" s="38"/>
      <c r="BD196" s="49"/>
    </row>
    <row r="197" spans="22:56" ht="16" x14ac:dyDescent="0.4">
      <c r="V197" s="97">
        <v>45885</v>
      </c>
      <c r="W197" s="16">
        <v>184975</v>
      </c>
      <c r="X197" s="101" t="s">
        <v>36</v>
      </c>
      <c r="Y197" s="105"/>
      <c r="Z197" s="102">
        <v>0.47473379629629631</v>
      </c>
      <c r="AA197" s="102">
        <v>0.95634259259259258</v>
      </c>
      <c r="AB197" s="16"/>
      <c r="AC197" s="16"/>
      <c r="AD197" s="93">
        <v>19656</v>
      </c>
      <c r="AE197" s="93">
        <f t="shared" ref="AE197:AE260" si="28">AD197/1000</f>
        <v>19.655999999999999</v>
      </c>
      <c r="AF197" s="16">
        <v>14.02</v>
      </c>
      <c r="AG197" s="103">
        <f t="shared" ref="AG197:AG260" si="29">IF($AF197&gt;14,14,$AF197)</f>
        <v>14</v>
      </c>
      <c r="AH197" s="37">
        <f t="shared" ref="AH197:AH260" si="30">AE197*AG197/14</f>
        <v>19.655999999999999</v>
      </c>
      <c r="AJ197" s="38"/>
      <c r="AL197" s="16"/>
      <c r="AN197" s="81"/>
      <c r="AO197" s="39"/>
      <c r="AP197" s="48"/>
      <c r="AR197" s="38"/>
      <c r="AS197" s="16"/>
      <c r="AU197" s="38"/>
      <c r="AW197" s="16"/>
      <c r="AY197" s="81"/>
      <c r="AZ197" s="39"/>
      <c r="BA197" s="48"/>
      <c r="BC197" s="38"/>
      <c r="BD197" s="16"/>
    </row>
    <row r="198" spans="22:56" ht="16" x14ac:dyDescent="0.4">
      <c r="V198" s="97">
        <v>45886</v>
      </c>
      <c r="W198" s="16">
        <v>185002</v>
      </c>
      <c r="X198" s="101" t="s">
        <v>36</v>
      </c>
      <c r="Y198" s="105"/>
      <c r="Z198" s="102">
        <v>0.86335648148148147</v>
      </c>
      <c r="AA198" s="102">
        <v>4.4675925925925924E-2</v>
      </c>
      <c r="AB198" s="16"/>
      <c r="AC198" s="16"/>
      <c r="AD198" s="93">
        <v>20890</v>
      </c>
      <c r="AE198" s="93">
        <f t="shared" si="28"/>
        <v>20.89</v>
      </c>
      <c r="AF198" s="16">
        <v>13.91</v>
      </c>
      <c r="AG198" s="103">
        <f t="shared" si="29"/>
        <v>13.91</v>
      </c>
      <c r="AH198" s="37">
        <f t="shared" si="30"/>
        <v>20.755707142857144</v>
      </c>
      <c r="AJ198" s="38"/>
      <c r="AL198" s="16"/>
      <c r="AN198" s="81"/>
      <c r="AO198" s="39"/>
      <c r="AP198" s="48"/>
      <c r="AR198" s="38"/>
      <c r="AS198" s="16"/>
      <c r="AU198" s="38"/>
      <c r="AW198" s="16"/>
      <c r="AY198" s="81"/>
      <c r="AZ198" s="39"/>
      <c r="BA198" s="48"/>
      <c r="BC198" s="38"/>
      <c r="BD198" s="16"/>
    </row>
    <row r="199" spans="22:56" ht="16" x14ac:dyDescent="0.4">
      <c r="V199" s="97">
        <v>45886</v>
      </c>
      <c r="W199" s="16">
        <v>185013</v>
      </c>
      <c r="X199" s="101" t="s">
        <v>36</v>
      </c>
      <c r="Y199" s="105"/>
      <c r="Z199" s="102">
        <v>0.4745949074074074</v>
      </c>
      <c r="AA199" s="102">
        <v>0.13145833333333332</v>
      </c>
      <c r="AB199" s="16"/>
      <c r="AC199" s="16"/>
      <c r="AD199" s="93">
        <v>19990</v>
      </c>
      <c r="AE199" s="93">
        <f t="shared" si="28"/>
        <v>19.989999999999998</v>
      </c>
      <c r="AF199" s="16">
        <v>14.88</v>
      </c>
      <c r="AG199" s="103">
        <f t="shared" si="29"/>
        <v>14</v>
      </c>
      <c r="AH199" s="37">
        <f t="shared" si="30"/>
        <v>19.989999999999998</v>
      </c>
      <c r="AJ199" s="38"/>
      <c r="AL199" s="16"/>
      <c r="AN199" s="81"/>
      <c r="AO199" s="39"/>
      <c r="AP199" s="48"/>
      <c r="AR199" s="38"/>
      <c r="AS199" s="16"/>
      <c r="AU199" s="38"/>
      <c r="AW199" s="16"/>
      <c r="AY199" s="81"/>
      <c r="AZ199" s="39"/>
      <c r="BA199" s="48"/>
      <c r="BC199" s="38"/>
      <c r="BD199" s="16"/>
    </row>
    <row r="200" spans="22:56" ht="16" x14ac:dyDescent="0.4">
      <c r="V200" s="97">
        <v>45886</v>
      </c>
      <c r="W200" s="16">
        <v>185018</v>
      </c>
      <c r="X200" s="101" t="s">
        <v>36</v>
      </c>
      <c r="Y200" s="105"/>
      <c r="Z200" s="102">
        <v>0.86843750000000008</v>
      </c>
      <c r="AA200" s="102">
        <v>0.19333333333333333</v>
      </c>
      <c r="AB200" s="16"/>
      <c r="AC200" s="16"/>
      <c r="AD200" s="93">
        <v>19784</v>
      </c>
      <c r="AE200" s="93">
        <f t="shared" si="28"/>
        <v>19.783999999999999</v>
      </c>
      <c r="AF200" s="16">
        <v>15.02</v>
      </c>
      <c r="AG200" s="103">
        <f t="shared" si="29"/>
        <v>14</v>
      </c>
      <c r="AH200" s="37">
        <f t="shared" si="30"/>
        <v>19.783999999999999</v>
      </c>
      <c r="AJ200" s="38"/>
      <c r="AL200" s="16"/>
      <c r="AN200" s="81"/>
      <c r="AO200" s="39"/>
      <c r="AP200" s="48"/>
      <c r="AR200" s="38"/>
      <c r="AS200" s="16"/>
      <c r="AU200" s="38"/>
      <c r="AW200" s="16"/>
      <c r="AY200" s="81"/>
      <c r="AZ200" s="39"/>
      <c r="BA200" s="48"/>
      <c r="BC200" s="38"/>
      <c r="BD200" s="16"/>
    </row>
    <row r="201" spans="22:56" ht="16" x14ac:dyDescent="0.4">
      <c r="V201" s="97">
        <v>45886</v>
      </c>
      <c r="W201" s="16">
        <v>185019</v>
      </c>
      <c r="X201" s="101" t="s">
        <v>36</v>
      </c>
      <c r="Y201" s="105"/>
      <c r="Z201" s="102">
        <v>0.79791666666666661</v>
      </c>
      <c r="AA201" s="102">
        <v>0.23402777777777781</v>
      </c>
      <c r="AB201" s="16"/>
      <c r="AC201" s="16"/>
      <c r="AD201" s="93">
        <v>15138</v>
      </c>
      <c r="AE201" s="93">
        <f t="shared" si="28"/>
        <v>15.138</v>
      </c>
      <c r="AF201" s="16">
        <v>15.02</v>
      </c>
      <c r="AG201" s="103">
        <f t="shared" si="29"/>
        <v>14</v>
      </c>
      <c r="AH201" s="37">
        <f t="shared" si="30"/>
        <v>15.138</v>
      </c>
      <c r="AJ201" s="38"/>
      <c r="AL201" s="16"/>
      <c r="AN201" s="81"/>
      <c r="AO201" s="39"/>
      <c r="AP201" s="48"/>
      <c r="AR201" s="38"/>
      <c r="AS201" s="16"/>
      <c r="AU201" s="38"/>
      <c r="AW201" s="16"/>
      <c r="AY201" s="81"/>
      <c r="AZ201" s="39"/>
      <c r="BA201" s="48"/>
      <c r="BC201" s="38"/>
      <c r="BD201" s="16"/>
    </row>
    <row r="202" spans="22:56" ht="16" x14ac:dyDescent="0.4">
      <c r="V202" s="97"/>
      <c r="W202" s="16"/>
      <c r="X202" s="101"/>
      <c r="Y202" s="105"/>
      <c r="Z202" s="102"/>
      <c r="AA202" s="102"/>
      <c r="AB202" s="16"/>
      <c r="AC202" s="16"/>
      <c r="AD202" s="93"/>
      <c r="AE202" s="93"/>
      <c r="AF202" s="16"/>
      <c r="AG202" s="103">
        <f t="shared" si="29"/>
        <v>0</v>
      </c>
      <c r="AH202" s="37">
        <f t="shared" si="30"/>
        <v>0</v>
      </c>
      <c r="AJ202" s="38"/>
      <c r="AL202" s="16"/>
      <c r="AN202" s="81"/>
      <c r="AO202" s="39"/>
      <c r="AP202" s="48"/>
      <c r="AR202" s="38"/>
      <c r="AS202" s="16"/>
      <c r="AU202" s="38"/>
      <c r="AW202" s="16"/>
      <c r="AY202" s="81"/>
      <c r="AZ202" s="39"/>
      <c r="BA202" s="48"/>
      <c r="BC202" s="38"/>
      <c r="BD202" s="16"/>
    </row>
    <row r="203" spans="22:56" ht="16" x14ac:dyDescent="0.4">
      <c r="V203" s="97">
        <v>45887</v>
      </c>
      <c r="W203" s="16">
        <v>185197</v>
      </c>
      <c r="X203" s="101" t="s">
        <v>36</v>
      </c>
      <c r="Y203" s="105"/>
      <c r="Z203" s="102">
        <v>0.47430555555555554</v>
      </c>
      <c r="AA203" s="102">
        <v>0.37361111111111112</v>
      </c>
      <c r="AB203" s="16"/>
      <c r="AC203" s="16"/>
      <c r="AD203" s="93">
        <v>17790</v>
      </c>
      <c r="AE203" s="93">
        <f t="shared" si="28"/>
        <v>17.79</v>
      </c>
      <c r="AF203">
        <v>14.45</v>
      </c>
      <c r="AG203" s="103">
        <f t="shared" si="29"/>
        <v>14</v>
      </c>
      <c r="AH203" s="37">
        <f t="shared" si="30"/>
        <v>17.79</v>
      </c>
      <c r="AJ203" s="38"/>
      <c r="AL203" s="16"/>
      <c r="AN203" s="81"/>
      <c r="AO203" s="39"/>
      <c r="AP203" s="48"/>
      <c r="AR203" s="38"/>
      <c r="AS203" s="16"/>
      <c r="AU203" s="38"/>
      <c r="AW203" s="16"/>
      <c r="AY203" s="81"/>
      <c r="AZ203" s="39"/>
      <c r="BA203" s="48"/>
      <c r="BC203" s="38"/>
      <c r="BD203" s="16"/>
    </row>
    <row r="204" spans="22:56" ht="16" x14ac:dyDescent="0.4">
      <c r="V204" s="97">
        <v>45887</v>
      </c>
      <c r="W204" s="16">
        <v>185243</v>
      </c>
      <c r="X204" s="101" t="s">
        <v>36</v>
      </c>
      <c r="Y204" s="105"/>
      <c r="Z204" s="102">
        <v>0.55763888888888891</v>
      </c>
      <c r="AA204" s="102">
        <v>0.4597222222222222</v>
      </c>
      <c r="AB204" s="16"/>
      <c r="AC204" s="16"/>
      <c r="AD204" s="93">
        <v>20916</v>
      </c>
      <c r="AE204" s="93">
        <f t="shared" si="28"/>
        <v>20.916</v>
      </c>
      <c r="AF204">
        <v>15.68</v>
      </c>
      <c r="AG204" s="103">
        <f t="shared" si="29"/>
        <v>14</v>
      </c>
      <c r="AH204" s="37">
        <f t="shared" si="30"/>
        <v>20.916</v>
      </c>
      <c r="AJ204" s="38"/>
      <c r="AL204" s="16"/>
      <c r="AN204" s="81"/>
      <c r="AO204" s="39"/>
      <c r="AP204" s="48"/>
      <c r="AR204" s="38"/>
      <c r="AS204" s="16"/>
      <c r="AU204" s="38"/>
      <c r="AW204" s="16"/>
      <c r="AY204" s="81"/>
      <c r="AZ204" s="39"/>
      <c r="BA204" s="48"/>
      <c r="BC204" s="38"/>
      <c r="BD204" s="16"/>
    </row>
    <row r="205" spans="22:56" ht="16" x14ac:dyDescent="0.4">
      <c r="V205" s="97">
        <v>45887</v>
      </c>
      <c r="W205" s="16">
        <v>185278</v>
      </c>
      <c r="X205" s="101" t="s">
        <v>36</v>
      </c>
      <c r="Y205" s="105"/>
      <c r="Z205" s="102">
        <v>0.45902777777777781</v>
      </c>
      <c r="AA205" s="102">
        <v>0.55138888888888882</v>
      </c>
      <c r="AB205" s="16"/>
      <c r="AC205" s="16"/>
      <c r="AD205" s="93">
        <v>21036</v>
      </c>
      <c r="AE205" s="93">
        <f t="shared" si="28"/>
        <v>21.036000000000001</v>
      </c>
      <c r="AF205">
        <v>15.02</v>
      </c>
      <c r="AG205" s="103">
        <f t="shared" si="29"/>
        <v>14</v>
      </c>
      <c r="AH205" s="37">
        <f t="shared" si="30"/>
        <v>21.036000000000001</v>
      </c>
      <c r="AJ205" s="38"/>
      <c r="AL205" s="16"/>
      <c r="AN205" s="81"/>
      <c r="AO205" s="39"/>
      <c r="AP205" s="48"/>
      <c r="AR205" s="38"/>
      <c r="AS205" s="16"/>
      <c r="AU205" s="38"/>
      <c r="AW205" s="16"/>
      <c r="AY205" s="81"/>
      <c r="AZ205" s="39"/>
      <c r="BA205" s="48"/>
      <c r="BC205" s="38"/>
      <c r="BD205" s="16"/>
    </row>
    <row r="206" spans="22:56" ht="16" x14ac:dyDescent="0.4">
      <c r="V206" s="97">
        <v>45887</v>
      </c>
      <c r="W206" s="16">
        <v>185338</v>
      </c>
      <c r="X206" s="101" t="s">
        <v>36</v>
      </c>
      <c r="Y206" s="105"/>
      <c r="Z206" s="102">
        <v>0.86805555555555547</v>
      </c>
      <c r="AA206" s="102">
        <v>0.61875000000000002</v>
      </c>
      <c r="AB206" s="16"/>
      <c r="AC206" s="16"/>
      <c r="AD206" s="93">
        <v>18050</v>
      </c>
      <c r="AE206" s="93">
        <f t="shared" si="28"/>
        <v>18.05</v>
      </c>
      <c r="AF206">
        <v>14.56</v>
      </c>
      <c r="AG206" s="103">
        <f t="shared" si="29"/>
        <v>14</v>
      </c>
      <c r="AH206" s="37">
        <f t="shared" si="30"/>
        <v>18.05</v>
      </c>
      <c r="AJ206" s="38"/>
      <c r="AL206" s="16"/>
      <c r="AN206" s="81"/>
      <c r="AO206" s="39"/>
      <c r="AP206" s="48"/>
      <c r="AR206" s="38"/>
      <c r="AS206" s="16"/>
      <c r="AU206" s="38"/>
      <c r="AW206" s="16"/>
      <c r="AY206" s="81"/>
      <c r="AZ206" s="39"/>
      <c r="BA206" s="48"/>
      <c r="BC206" s="38"/>
      <c r="BD206" s="16"/>
    </row>
    <row r="207" spans="22:56" ht="16" x14ac:dyDescent="0.4">
      <c r="V207" s="97">
        <v>45887</v>
      </c>
      <c r="W207" s="16">
        <v>185386</v>
      </c>
      <c r="X207" s="101" t="s">
        <v>36</v>
      </c>
      <c r="Y207" s="105"/>
      <c r="Z207" s="50">
        <v>0.45902777777777781</v>
      </c>
      <c r="AA207" s="50">
        <v>0.68680555555555556</v>
      </c>
      <c r="AD207" s="37">
        <v>20546</v>
      </c>
      <c r="AE207" s="93">
        <f t="shared" si="28"/>
        <v>20.545999999999999</v>
      </c>
      <c r="AF207">
        <v>15.13</v>
      </c>
      <c r="AG207" s="103">
        <f t="shared" si="29"/>
        <v>14</v>
      </c>
      <c r="AH207" s="37">
        <f t="shared" si="30"/>
        <v>20.545999999999999</v>
      </c>
      <c r="AJ207" s="38"/>
      <c r="AL207" s="16"/>
      <c r="AN207" s="81"/>
      <c r="AO207" s="39"/>
      <c r="AP207" s="48"/>
      <c r="AR207" s="38"/>
      <c r="AS207" s="16"/>
      <c r="AU207" s="38"/>
      <c r="AW207" s="16"/>
      <c r="AY207" s="81"/>
      <c r="AZ207" s="39"/>
      <c r="BA207" s="48"/>
      <c r="BC207" s="38"/>
      <c r="BD207" s="16"/>
    </row>
    <row r="208" spans="22:56" ht="16" x14ac:dyDescent="0.4">
      <c r="V208" s="97">
        <v>45887</v>
      </c>
      <c r="W208" s="16">
        <v>185408</v>
      </c>
      <c r="X208" s="101" t="s">
        <v>36</v>
      </c>
      <c r="Y208" s="105"/>
      <c r="Z208" s="50">
        <v>0.68435185185185177</v>
      </c>
      <c r="AA208" s="50">
        <v>0.73709490740740735</v>
      </c>
      <c r="AD208" s="37">
        <v>15168</v>
      </c>
      <c r="AE208" s="93">
        <f t="shared" si="28"/>
        <v>15.167999999999999</v>
      </c>
      <c r="AF208">
        <v>14.98</v>
      </c>
      <c r="AG208" s="103">
        <f t="shared" si="29"/>
        <v>14</v>
      </c>
      <c r="AH208" s="37">
        <f t="shared" si="30"/>
        <v>15.167999999999997</v>
      </c>
      <c r="AJ208" s="38"/>
      <c r="AL208" s="16"/>
      <c r="AN208" s="81"/>
      <c r="AO208" s="39"/>
      <c r="AP208" s="48"/>
      <c r="AR208" s="38"/>
      <c r="AS208" s="16"/>
      <c r="AU208" s="38"/>
      <c r="AW208" s="16"/>
      <c r="AY208" s="81"/>
      <c r="AZ208" s="39"/>
      <c r="BA208" s="48"/>
      <c r="BC208" s="38"/>
      <c r="BD208" s="16"/>
    </row>
    <row r="209" spans="18:56" ht="16" x14ac:dyDescent="0.4">
      <c r="V209" s="97">
        <v>45887</v>
      </c>
      <c r="W209" s="16">
        <v>185428</v>
      </c>
      <c r="X209" s="101" t="s">
        <v>36</v>
      </c>
      <c r="Y209" s="105"/>
      <c r="Z209" s="50">
        <v>0.73423611111111109</v>
      </c>
      <c r="AA209" s="50">
        <v>0.80539351851851848</v>
      </c>
      <c r="AD209" s="37">
        <v>18260</v>
      </c>
      <c r="AE209" s="93">
        <f t="shared" si="28"/>
        <v>18.260000000000002</v>
      </c>
      <c r="AF209">
        <v>17.34</v>
      </c>
      <c r="AG209" s="103">
        <f t="shared" si="29"/>
        <v>14</v>
      </c>
      <c r="AH209" s="37">
        <f t="shared" si="30"/>
        <v>18.260000000000002</v>
      </c>
      <c r="AJ209" s="38"/>
      <c r="AL209" s="16"/>
      <c r="AN209" s="81"/>
      <c r="AO209" s="81"/>
      <c r="AP209" s="48"/>
      <c r="AR209" s="38"/>
      <c r="AS209" s="16"/>
      <c r="AU209" s="38"/>
      <c r="AW209" s="16"/>
      <c r="AY209" s="81"/>
      <c r="AZ209" s="81"/>
      <c r="BA209" s="48"/>
      <c r="BC209" s="38"/>
      <c r="BD209" s="16"/>
    </row>
    <row r="210" spans="18:56" ht="16" x14ac:dyDescent="0.4">
      <c r="V210" s="97">
        <v>45887</v>
      </c>
      <c r="W210" s="16">
        <v>185461</v>
      </c>
      <c r="X210" s="101" t="s">
        <v>36</v>
      </c>
      <c r="Y210" s="105"/>
      <c r="Z210" s="50">
        <v>0.68424768518518519</v>
      </c>
      <c r="AA210" s="50">
        <v>0.86913194444444442</v>
      </c>
      <c r="AD210" s="37">
        <v>19026</v>
      </c>
      <c r="AE210" s="93">
        <f t="shared" si="28"/>
        <v>19.026</v>
      </c>
      <c r="AF210">
        <v>17.2</v>
      </c>
      <c r="AG210" s="103">
        <f t="shared" si="29"/>
        <v>14</v>
      </c>
      <c r="AH210" s="37">
        <f t="shared" si="30"/>
        <v>19.026</v>
      </c>
      <c r="AJ210" s="38"/>
      <c r="AL210" s="16"/>
      <c r="AN210" s="81"/>
      <c r="AO210" s="81"/>
      <c r="AP210" s="48"/>
      <c r="AR210" s="38"/>
      <c r="AS210" s="16"/>
      <c r="AU210" s="38"/>
      <c r="AW210" s="16"/>
      <c r="AY210" s="81"/>
      <c r="AZ210" s="81"/>
      <c r="BA210" s="48"/>
      <c r="BC210" s="38"/>
      <c r="BD210" s="16"/>
    </row>
    <row r="211" spans="18:56" ht="16" x14ac:dyDescent="0.4">
      <c r="V211" s="97">
        <v>45888</v>
      </c>
      <c r="W211" s="16">
        <v>185492</v>
      </c>
      <c r="X211" s="101" t="s">
        <v>36</v>
      </c>
      <c r="Y211" s="105"/>
      <c r="Z211" s="50">
        <v>0.86989583333333342</v>
      </c>
      <c r="AA211" s="50">
        <v>0.9381018518518518</v>
      </c>
      <c r="AD211" s="37">
        <v>19554</v>
      </c>
      <c r="AE211" s="93">
        <f t="shared" si="28"/>
        <v>19.553999999999998</v>
      </c>
      <c r="AF211">
        <v>16.62</v>
      </c>
      <c r="AG211" s="103">
        <f t="shared" si="29"/>
        <v>14</v>
      </c>
      <c r="AH211" s="37">
        <f t="shared" si="30"/>
        <v>19.553999999999998</v>
      </c>
      <c r="AJ211" s="38"/>
      <c r="AL211" s="16"/>
      <c r="AN211" s="81"/>
      <c r="AO211" s="81"/>
      <c r="AP211" s="48"/>
      <c r="AR211" s="38"/>
      <c r="AS211" s="16"/>
      <c r="AU211" s="38"/>
      <c r="AW211" s="16"/>
      <c r="AY211" s="81"/>
      <c r="AZ211" s="81"/>
      <c r="BA211" s="48"/>
      <c r="BC211" s="38"/>
      <c r="BD211" s="16"/>
    </row>
    <row r="212" spans="18:56" ht="16" x14ac:dyDescent="0.4">
      <c r="V212" s="97">
        <v>45888</v>
      </c>
      <c r="W212" s="16">
        <v>185521</v>
      </c>
      <c r="X212" s="101" t="s">
        <v>36</v>
      </c>
      <c r="Y212" s="105"/>
      <c r="Z212" s="50">
        <v>0.68412037037037043</v>
      </c>
      <c r="AA212" s="50">
        <v>2.6863425925925926E-2</v>
      </c>
      <c r="AD212" s="37">
        <v>20974</v>
      </c>
      <c r="AE212" s="93">
        <f t="shared" si="28"/>
        <v>20.974</v>
      </c>
      <c r="AF212">
        <v>14.84</v>
      </c>
      <c r="AG212" s="103">
        <f t="shared" si="29"/>
        <v>14</v>
      </c>
      <c r="AH212" s="37">
        <f t="shared" si="30"/>
        <v>20.974</v>
      </c>
      <c r="AJ212" s="38"/>
      <c r="AL212" s="16"/>
      <c r="AN212" s="81"/>
      <c r="AO212" s="81"/>
      <c r="AP212" s="48"/>
      <c r="AR212" s="38"/>
      <c r="AS212" s="16"/>
      <c r="AU212" s="38"/>
      <c r="AW212" s="16"/>
      <c r="AY212" s="81"/>
      <c r="AZ212" s="81"/>
      <c r="BA212" s="48"/>
      <c r="BC212" s="38"/>
      <c r="BD212" s="16"/>
    </row>
    <row r="213" spans="18:56" ht="16" x14ac:dyDescent="0.4">
      <c r="V213" s="97">
        <v>45888</v>
      </c>
      <c r="W213" s="16">
        <v>185537</v>
      </c>
      <c r="X213" s="101" t="s">
        <v>36</v>
      </c>
      <c r="Y213" s="105"/>
      <c r="Z213" s="50">
        <v>0.73449074074074072</v>
      </c>
      <c r="AA213" s="50">
        <v>9.8958333333333329E-2</v>
      </c>
      <c r="AD213" s="37">
        <v>19860</v>
      </c>
      <c r="AE213" s="93">
        <f t="shared" si="28"/>
        <v>19.86</v>
      </c>
      <c r="AF213">
        <v>16.59</v>
      </c>
      <c r="AG213" s="103">
        <f t="shared" si="29"/>
        <v>14</v>
      </c>
      <c r="AH213" s="37">
        <f t="shared" si="30"/>
        <v>19.859999999999996</v>
      </c>
      <c r="AJ213" s="38"/>
      <c r="AL213" s="16"/>
      <c r="AN213" s="81"/>
      <c r="AO213" s="81"/>
      <c r="AP213" s="48"/>
      <c r="AR213" s="38"/>
      <c r="AS213" s="16"/>
      <c r="AU213" s="38"/>
      <c r="AW213" s="16"/>
      <c r="AY213" s="81"/>
      <c r="AZ213" s="81"/>
      <c r="BA213" s="48"/>
      <c r="BC213" s="38"/>
      <c r="BD213" s="16"/>
    </row>
    <row r="214" spans="18:56" ht="16" x14ac:dyDescent="0.4">
      <c r="V214" s="97">
        <v>45888</v>
      </c>
      <c r="W214" s="16">
        <v>185552</v>
      </c>
      <c r="X214" s="101" t="s">
        <v>36</v>
      </c>
      <c r="Y214" s="105"/>
      <c r="Z214" s="50">
        <v>6.8692129629629631E-2</v>
      </c>
      <c r="AA214" s="50">
        <v>0.16840277777777779</v>
      </c>
      <c r="AD214" s="37">
        <v>20470</v>
      </c>
      <c r="AE214" s="93">
        <f t="shared" si="28"/>
        <v>20.47</v>
      </c>
      <c r="AF214">
        <v>15.16</v>
      </c>
      <c r="AG214" s="103">
        <f t="shared" si="29"/>
        <v>14</v>
      </c>
      <c r="AH214" s="37">
        <f t="shared" si="30"/>
        <v>20.47</v>
      </c>
      <c r="AJ214" s="38"/>
      <c r="AL214" s="16"/>
      <c r="AN214" s="81"/>
      <c r="AO214" s="81"/>
      <c r="AP214" s="48"/>
      <c r="AR214" s="38"/>
      <c r="AS214" s="16"/>
      <c r="AU214" s="38"/>
      <c r="AW214" s="16"/>
      <c r="AY214" s="81"/>
      <c r="AZ214" s="81"/>
      <c r="BA214" s="48"/>
      <c r="BC214" s="38"/>
      <c r="BD214" s="16"/>
    </row>
    <row r="215" spans="18:56" ht="16" x14ac:dyDescent="0.4">
      <c r="V215" s="97">
        <v>45888</v>
      </c>
      <c r="W215" s="16">
        <v>185598</v>
      </c>
      <c r="X215" s="101" t="s">
        <v>36</v>
      </c>
      <c r="Y215" s="105"/>
      <c r="Z215" s="50">
        <v>0.73402777777777783</v>
      </c>
      <c r="AA215" s="50">
        <v>0.31875000000000003</v>
      </c>
      <c r="AD215" s="37">
        <v>21450</v>
      </c>
      <c r="AE215" s="93">
        <f t="shared" si="28"/>
        <v>21.45</v>
      </c>
      <c r="AF215">
        <v>15.75</v>
      </c>
      <c r="AG215" s="103">
        <f t="shared" si="29"/>
        <v>14</v>
      </c>
      <c r="AH215" s="37">
        <f t="shared" si="30"/>
        <v>21.45</v>
      </c>
      <c r="AJ215" s="38"/>
      <c r="AL215" s="16"/>
      <c r="AN215" s="81"/>
      <c r="AO215" s="81"/>
      <c r="AP215" s="48"/>
      <c r="AR215" s="38"/>
      <c r="AS215" s="16"/>
      <c r="AU215" s="38"/>
      <c r="AW215" s="16"/>
      <c r="AY215" s="81"/>
      <c r="AZ215" s="81"/>
      <c r="BA215" s="48"/>
      <c r="BC215" s="38"/>
      <c r="BD215" s="16"/>
    </row>
    <row r="216" spans="18:56" ht="16" x14ac:dyDescent="0.4">
      <c r="V216" s="97">
        <v>45888</v>
      </c>
      <c r="W216" s="16">
        <v>185656</v>
      </c>
      <c r="X216" s="101" t="s">
        <v>36</v>
      </c>
      <c r="Y216" s="105"/>
      <c r="Z216" s="50">
        <v>6.805555555555555E-2</v>
      </c>
      <c r="AA216" s="50">
        <v>0.38263888888888892</v>
      </c>
      <c r="AD216" s="37">
        <v>20356</v>
      </c>
      <c r="AE216" s="93">
        <f t="shared" si="28"/>
        <v>20.356000000000002</v>
      </c>
      <c r="AF216">
        <v>14.21</v>
      </c>
      <c r="AG216" s="103">
        <f t="shared" si="29"/>
        <v>14</v>
      </c>
      <c r="AH216" s="37">
        <f t="shared" si="30"/>
        <v>20.356000000000002</v>
      </c>
      <c r="AJ216" s="38"/>
      <c r="AL216" s="16"/>
      <c r="AN216" s="81"/>
      <c r="AO216" s="81"/>
      <c r="AP216" s="48"/>
      <c r="AR216" s="38"/>
      <c r="AS216" s="16"/>
      <c r="AU216" s="38"/>
      <c r="AW216" s="16"/>
      <c r="AY216" s="81"/>
      <c r="AZ216" s="81"/>
      <c r="BA216" s="48"/>
      <c r="BC216" s="38"/>
      <c r="BD216" s="16"/>
    </row>
    <row r="217" spans="18:56" ht="16" x14ac:dyDescent="0.4">
      <c r="V217" s="97">
        <v>45888</v>
      </c>
      <c r="W217" s="16">
        <v>185728</v>
      </c>
      <c r="X217" s="101" t="s">
        <v>36</v>
      </c>
      <c r="Y217" s="105"/>
      <c r="Z217" s="50">
        <v>0.37986111111111115</v>
      </c>
      <c r="AA217" s="50">
        <v>0.48333333333333334</v>
      </c>
      <c r="AD217" s="37">
        <v>20738</v>
      </c>
      <c r="AE217" s="93">
        <f t="shared" si="28"/>
        <v>20.738</v>
      </c>
      <c r="AF217">
        <v>16.09</v>
      </c>
      <c r="AG217" s="103">
        <f t="shared" si="29"/>
        <v>14</v>
      </c>
      <c r="AH217" s="37">
        <f t="shared" si="30"/>
        <v>20.738</v>
      </c>
      <c r="AJ217" s="38"/>
      <c r="AL217" s="16"/>
      <c r="AN217" s="81"/>
      <c r="AO217" s="81"/>
      <c r="AP217" s="48"/>
      <c r="AR217" s="38"/>
      <c r="AS217" s="16"/>
      <c r="AU217" s="38"/>
      <c r="AW217" s="16"/>
      <c r="AY217" s="81"/>
      <c r="AZ217" s="81"/>
      <c r="BA217" s="48"/>
      <c r="BC217" s="38"/>
      <c r="BD217" s="16"/>
    </row>
    <row r="218" spans="18:56" ht="16" x14ac:dyDescent="0.4">
      <c r="V218" s="97">
        <v>45888</v>
      </c>
      <c r="W218" s="16">
        <v>185755</v>
      </c>
      <c r="X218" s="101" t="s">
        <v>36</v>
      </c>
      <c r="Y218" s="105"/>
      <c r="Z218" s="50">
        <v>0.4597222222222222</v>
      </c>
      <c r="AA218" s="50">
        <v>0.5625</v>
      </c>
      <c r="AD218" s="37">
        <v>20644</v>
      </c>
      <c r="AE218" s="93">
        <f t="shared" si="28"/>
        <v>20.643999999999998</v>
      </c>
      <c r="AF218">
        <v>15.74</v>
      </c>
      <c r="AG218" s="103">
        <f t="shared" si="29"/>
        <v>14</v>
      </c>
      <c r="AH218" s="37">
        <f t="shared" si="30"/>
        <v>20.643999999999998</v>
      </c>
      <c r="AJ218" s="38"/>
      <c r="AL218" s="16"/>
      <c r="AN218" s="81"/>
      <c r="AO218" s="81"/>
      <c r="AP218" s="48"/>
      <c r="AR218" s="38"/>
      <c r="AS218" s="16"/>
      <c r="AU218" s="38"/>
      <c r="AW218" s="16"/>
      <c r="AY218" s="81"/>
      <c r="AZ218" s="81"/>
      <c r="BA218" s="48"/>
      <c r="BC218" s="38"/>
      <c r="BD218" s="16"/>
    </row>
    <row r="219" spans="18:56" ht="16" x14ac:dyDescent="0.4">
      <c r="R219" s="33"/>
      <c r="V219" s="97">
        <v>45888</v>
      </c>
      <c r="W219" s="16">
        <v>185810</v>
      </c>
      <c r="X219" s="101" t="s">
        <v>36</v>
      </c>
      <c r="Y219" s="105"/>
      <c r="Z219" s="50">
        <v>0.37986111111111115</v>
      </c>
      <c r="AA219" s="50">
        <v>0.63750000000000007</v>
      </c>
      <c r="AD219" s="37">
        <v>20146</v>
      </c>
      <c r="AE219" s="93">
        <f t="shared" si="28"/>
        <v>20.146000000000001</v>
      </c>
      <c r="AF219">
        <v>15.49</v>
      </c>
      <c r="AG219" s="103">
        <f t="shared" si="29"/>
        <v>14</v>
      </c>
      <c r="AH219" s="37">
        <f t="shared" si="30"/>
        <v>20.145999999999997</v>
      </c>
      <c r="AJ219" s="38"/>
      <c r="AL219" s="16"/>
      <c r="AN219" s="81"/>
      <c r="AO219" s="81"/>
      <c r="AP219" s="48"/>
      <c r="AR219" s="38"/>
      <c r="AU219" s="38"/>
      <c r="AW219" s="16"/>
      <c r="AY219" s="81"/>
      <c r="AZ219" s="81"/>
      <c r="BA219" s="48"/>
      <c r="BC219" s="38"/>
    </row>
    <row r="220" spans="18:56" ht="16" x14ac:dyDescent="0.4">
      <c r="R220" s="33"/>
      <c r="V220" s="97">
        <v>45888</v>
      </c>
      <c r="W220" s="16">
        <v>185856</v>
      </c>
      <c r="X220" s="101" t="s">
        <v>36</v>
      </c>
      <c r="Y220" s="105"/>
      <c r="Z220" s="50">
        <v>0.45902777777777781</v>
      </c>
      <c r="AA220" s="50">
        <v>0.70347222222222217</v>
      </c>
      <c r="AD220" s="37">
        <v>18790</v>
      </c>
      <c r="AE220" s="93">
        <f t="shared" si="28"/>
        <v>18.79</v>
      </c>
      <c r="AF220">
        <v>14.13</v>
      </c>
      <c r="AG220" s="103">
        <f t="shared" si="29"/>
        <v>14</v>
      </c>
      <c r="AH220" s="37">
        <f t="shared" si="30"/>
        <v>18.79</v>
      </c>
      <c r="AJ220" s="38"/>
      <c r="AL220" s="16"/>
      <c r="AN220" s="81"/>
      <c r="AO220" s="81"/>
      <c r="AP220" s="48"/>
      <c r="AR220" s="38"/>
      <c r="AU220" s="38"/>
      <c r="AW220" s="16"/>
      <c r="AY220" s="81"/>
      <c r="AZ220" s="81"/>
      <c r="BA220" s="48"/>
      <c r="BC220" s="38"/>
    </row>
    <row r="221" spans="18:56" ht="16" x14ac:dyDescent="0.4">
      <c r="V221" s="97">
        <v>45888</v>
      </c>
      <c r="W221" s="16">
        <v>185878</v>
      </c>
      <c r="X221" s="101" t="s">
        <v>36</v>
      </c>
      <c r="Y221" s="105"/>
      <c r="Z221" s="50">
        <v>0.37663194444444442</v>
      </c>
      <c r="AA221" s="50">
        <v>0.77657407407407408</v>
      </c>
      <c r="AD221" s="37">
        <v>19400</v>
      </c>
      <c r="AE221" s="93">
        <f t="shared" si="28"/>
        <v>19.399999999999999</v>
      </c>
      <c r="AF221">
        <v>16.34</v>
      </c>
      <c r="AG221" s="103">
        <f t="shared" si="29"/>
        <v>14</v>
      </c>
      <c r="AH221" s="37">
        <f t="shared" si="30"/>
        <v>19.399999999999999</v>
      </c>
      <c r="AJ221" s="38"/>
      <c r="AL221" s="16"/>
      <c r="AN221" s="81"/>
      <c r="AO221" s="81"/>
      <c r="AP221" s="48"/>
      <c r="AR221" s="38"/>
      <c r="AU221" s="38"/>
      <c r="AW221" s="16"/>
      <c r="AY221" s="81"/>
      <c r="AZ221" s="81"/>
      <c r="BA221" s="48"/>
      <c r="BC221" s="38"/>
    </row>
    <row r="222" spans="18:56" ht="16" x14ac:dyDescent="0.4">
      <c r="V222" s="97">
        <v>45888</v>
      </c>
      <c r="W222" s="16">
        <v>185904</v>
      </c>
      <c r="X222" s="101" t="s">
        <v>36</v>
      </c>
      <c r="Y222" s="105"/>
      <c r="Z222" s="50">
        <v>0.45946759259259262</v>
      </c>
      <c r="AA222" s="50">
        <v>0.83203703703703702</v>
      </c>
      <c r="AD222" s="37">
        <v>18418</v>
      </c>
      <c r="AE222" s="93">
        <f t="shared" si="28"/>
        <v>18.417999999999999</v>
      </c>
      <c r="AF222">
        <v>16.62</v>
      </c>
      <c r="AG222" s="103">
        <f t="shared" si="29"/>
        <v>14</v>
      </c>
      <c r="AH222" s="37">
        <f t="shared" si="30"/>
        <v>18.417999999999999</v>
      </c>
      <c r="AJ222" s="38"/>
      <c r="AL222" s="16"/>
      <c r="AN222" s="81"/>
      <c r="AO222" s="81"/>
      <c r="AP222" s="48"/>
      <c r="AR222" s="38"/>
      <c r="AU222" s="38"/>
      <c r="AW222" s="16"/>
      <c r="AY222" s="81"/>
      <c r="AZ222" s="81"/>
      <c r="BA222" s="48"/>
      <c r="BC222" s="38"/>
    </row>
    <row r="223" spans="18:56" ht="16" x14ac:dyDescent="0.4">
      <c r="V223" s="97">
        <v>45888</v>
      </c>
      <c r="W223" s="16">
        <v>185950</v>
      </c>
      <c r="X223" s="101" t="s">
        <v>36</v>
      </c>
      <c r="Y223" s="105"/>
      <c r="Z223" s="50">
        <v>0.82233796296296291</v>
      </c>
      <c r="AA223" s="50">
        <v>0.8924305555555555</v>
      </c>
      <c r="AD223" s="37">
        <v>20634</v>
      </c>
      <c r="AE223" s="93">
        <f t="shared" si="28"/>
        <v>20.634</v>
      </c>
      <c r="AF223">
        <v>15.95</v>
      </c>
      <c r="AG223" s="103">
        <f t="shared" si="29"/>
        <v>14</v>
      </c>
      <c r="AH223" s="37">
        <f t="shared" si="30"/>
        <v>20.633999999999997</v>
      </c>
      <c r="AJ223" s="38"/>
      <c r="AL223" s="16"/>
      <c r="AN223" s="81"/>
      <c r="AO223" s="81"/>
      <c r="AP223" s="48"/>
      <c r="AR223" s="38"/>
      <c r="AU223" s="38"/>
      <c r="AW223" s="16"/>
      <c r="AY223" s="81"/>
      <c r="AZ223" s="81"/>
      <c r="BA223" s="48"/>
      <c r="BC223" s="38"/>
    </row>
    <row r="224" spans="18:56" ht="16" x14ac:dyDescent="0.4">
      <c r="V224" s="97">
        <v>45889</v>
      </c>
      <c r="W224" s="16">
        <v>185988</v>
      </c>
      <c r="X224" s="101" t="s">
        <v>36</v>
      </c>
      <c r="Y224" s="105"/>
      <c r="Z224" s="50">
        <v>0.89822916666666675</v>
      </c>
      <c r="AA224" s="50">
        <v>0.97124999999999995</v>
      </c>
      <c r="AD224" s="37">
        <v>21404</v>
      </c>
      <c r="AE224" s="93">
        <f t="shared" si="28"/>
        <v>21.404</v>
      </c>
      <c r="AF224">
        <v>14.24</v>
      </c>
      <c r="AG224" s="103">
        <f t="shared" si="29"/>
        <v>14</v>
      </c>
      <c r="AH224" s="37">
        <f t="shared" si="30"/>
        <v>21.404</v>
      </c>
      <c r="AJ224" s="38"/>
      <c r="AL224" s="16"/>
      <c r="AN224" s="81"/>
      <c r="AO224" s="81"/>
      <c r="AP224" s="48"/>
      <c r="AR224" s="38"/>
      <c r="AU224" s="38"/>
      <c r="AW224" s="16"/>
      <c r="AY224" s="81"/>
      <c r="AZ224" s="81"/>
      <c r="BA224" s="48"/>
      <c r="BC224" s="38"/>
    </row>
    <row r="225" spans="22:56" ht="16" x14ac:dyDescent="0.4">
      <c r="V225" s="97">
        <v>45889</v>
      </c>
      <c r="W225" s="16">
        <v>185998</v>
      </c>
      <c r="X225" s="101" t="s">
        <v>36</v>
      </c>
      <c r="Y225" s="105"/>
      <c r="Z225" s="50">
        <v>0.82270833333333337</v>
      </c>
      <c r="AA225" s="50">
        <v>3.7928240740740742E-2</v>
      </c>
      <c r="AD225" s="37">
        <v>21126</v>
      </c>
      <c r="AE225" s="93">
        <f t="shared" si="28"/>
        <v>21.126000000000001</v>
      </c>
      <c r="AF225">
        <v>15.62</v>
      </c>
      <c r="AG225" s="103">
        <f t="shared" si="29"/>
        <v>14</v>
      </c>
      <c r="AH225" s="37">
        <f t="shared" si="30"/>
        <v>21.126000000000001</v>
      </c>
      <c r="AJ225" s="38"/>
      <c r="AL225" s="16"/>
      <c r="AN225" s="39"/>
      <c r="AO225" s="39"/>
      <c r="AP225" s="48"/>
      <c r="AR225" s="38"/>
      <c r="AU225" s="38"/>
      <c r="AW225" s="16"/>
      <c r="AY225" s="39"/>
      <c r="AZ225" s="39"/>
      <c r="BA225" s="48"/>
      <c r="BC225" s="38"/>
    </row>
    <row r="226" spans="22:56" ht="16" x14ac:dyDescent="0.4">
      <c r="V226" s="97">
        <v>45889</v>
      </c>
      <c r="W226" s="16">
        <v>186014</v>
      </c>
      <c r="X226" s="101" t="s">
        <v>36</v>
      </c>
      <c r="Y226" s="105"/>
      <c r="Z226" s="50">
        <v>0.89802083333333327</v>
      </c>
      <c r="AA226" s="50">
        <v>0.10339120370370369</v>
      </c>
      <c r="AD226" s="37">
        <v>21340</v>
      </c>
      <c r="AE226" s="93">
        <f t="shared" si="28"/>
        <v>21.34</v>
      </c>
      <c r="AF226">
        <v>15.23</v>
      </c>
      <c r="AG226" s="103">
        <f t="shared" si="29"/>
        <v>14</v>
      </c>
      <c r="AH226" s="37">
        <f t="shared" si="30"/>
        <v>21.34</v>
      </c>
      <c r="AJ226" s="38"/>
      <c r="AL226" s="16"/>
      <c r="AN226" s="39"/>
      <c r="AO226" s="39"/>
      <c r="AP226" s="48"/>
      <c r="AR226" s="38"/>
      <c r="AU226" s="38"/>
      <c r="AW226" s="16"/>
      <c r="AY226" s="39"/>
      <c r="AZ226" s="39"/>
      <c r="BA226" s="48"/>
      <c r="BC226" s="38"/>
    </row>
    <row r="227" spans="22:56" ht="16" x14ac:dyDescent="0.4">
      <c r="V227" s="97">
        <v>45889</v>
      </c>
      <c r="W227" s="16">
        <v>186022</v>
      </c>
      <c r="X227" s="101" t="s">
        <v>36</v>
      </c>
      <c r="Y227" s="105"/>
      <c r="Z227" s="50">
        <v>0.82251157407407405</v>
      </c>
      <c r="AA227" s="50">
        <v>0.15270833333333333</v>
      </c>
      <c r="AD227" s="37">
        <v>20224</v>
      </c>
      <c r="AE227" s="93">
        <f t="shared" si="28"/>
        <v>20.224</v>
      </c>
      <c r="AF227">
        <v>15.2</v>
      </c>
      <c r="AG227" s="103">
        <f t="shared" si="29"/>
        <v>14</v>
      </c>
      <c r="AH227" s="37">
        <f t="shared" si="30"/>
        <v>20.224</v>
      </c>
      <c r="AJ227" s="38"/>
      <c r="AL227" s="16"/>
      <c r="AN227" s="39"/>
      <c r="AO227" s="39"/>
      <c r="AP227" s="48"/>
      <c r="AR227" s="38"/>
      <c r="AU227" s="38"/>
      <c r="AW227" s="16"/>
      <c r="AY227" s="39"/>
      <c r="AZ227" s="39"/>
      <c r="BA227" s="48"/>
      <c r="BC227" s="38"/>
    </row>
    <row r="228" spans="22:56" ht="16" x14ac:dyDescent="0.4">
      <c r="V228" s="97">
        <v>45889</v>
      </c>
      <c r="W228" s="16">
        <v>186028</v>
      </c>
      <c r="X228" s="101" t="s">
        <v>36</v>
      </c>
      <c r="Y228" s="105"/>
      <c r="Z228" s="50">
        <v>0.89812499999999995</v>
      </c>
      <c r="AA228" s="50">
        <v>0.22479166666666664</v>
      </c>
      <c r="AD228" s="37">
        <v>19932</v>
      </c>
      <c r="AE228" s="93">
        <f t="shared" si="28"/>
        <v>19.931999999999999</v>
      </c>
      <c r="AF228">
        <v>14.88</v>
      </c>
      <c r="AG228" s="103">
        <f t="shared" si="29"/>
        <v>14</v>
      </c>
      <c r="AH228" s="37">
        <f t="shared" si="30"/>
        <v>19.931999999999999</v>
      </c>
      <c r="AJ228" s="38"/>
      <c r="AL228" s="16"/>
      <c r="AM228" s="16"/>
      <c r="AN228" s="81"/>
      <c r="AO228" s="81"/>
      <c r="AP228" s="48"/>
      <c r="AR228" s="38"/>
      <c r="AU228" s="38"/>
      <c r="AW228" s="16"/>
      <c r="AX228" s="16"/>
      <c r="AY228" s="81"/>
      <c r="AZ228" s="81"/>
      <c r="BA228" s="48"/>
      <c r="BC228" s="38"/>
    </row>
    <row r="229" spans="22:56" ht="16" x14ac:dyDescent="0.4">
      <c r="V229" s="97">
        <v>45889</v>
      </c>
      <c r="W229" s="16">
        <v>186090</v>
      </c>
      <c r="X229" s="101" t="s">
        <v>36</v>
      </c>
      <c r="Y229" s="105"/>
      <c r="Z229" s="50">
        <v>0.18958333333333333</v>
      </c>
      <c r="AA229" s="50">
        <v>0.33333333333333331</v>
      </c>
      <c r="AD229" s="37">
        <v>20514</v>
      </c>
      <c r="AE229" s="93">
        <f t="shared" si="28"/>
        <v>20.513999999999999</v>
      </c>
      <c r="AF229">
        <v>14.84</v>
      </c>
      <c r="AG229" s="103">
        <f t="shared" si="29"/>
        <v>14</v>
      </c>
      <c r="AH229" s="37">
        <f t="shared" si="30"/>
        <v>20.513999999999999</v>
      </c>
      <c r="AJ229" s="38"/>
      <c r="AL229" s="16"/>
      <c r="AM229" s="16"/>
      <c r="AN229" s="81"/>
      <c r="AP229" s="48"/>
      <c r="AR229" s="38"/>
      <c r="AU229" s="38"/>
      <c r="AW229" s="16"/>
      <c r="AX229" s="16"/>
      <c r="AY229" s="81"/>
      <c r="BA229" s="48"/>
      <c r="BC229" s="38"/>
    </row>
    <row r="230" spans="22:56" ht="16" x14ac:dyDescent="0.4">
      <c r="V230" s="97">
        <v>45889</v>
      </c>
      <c r="W230" s="16">
        <v>186137</v>
      </c>
      <c r="X230" s="101" t="s">
        <v>36</v>
      </c>
      <c r="Y230" s="105"/>
      <c r="Z230" s="50">
        <v>0.26041666666666669</v>
      </c>
      <c r="AA230" s="50">
        <v>0.38611111111111113</v>
      </c>
      <c r="AD230" s="37">
        <v>20500</v>
      </c>
      <c r="AE230" s="93">
        <f t="shared" si="28"/>
        <v>20.5</v>
      </c>
      <c r="AF230">
        <v>15.57</v>
      </c>
      <c r="AG230" s="103">
        <f t="shared" si="29"/>
        <v>14</v>
      </c>
      <c r="AH230" s="37">
        <f t="shared" si="30"/>
        <v>20.5</v>
      </c>
      <c r="AJ230" s="38"/>
      <c r="AL230" s="16"/>
      <c r="AM230" s="16"/>
      <c r="AN230" s="81"/>
      <c r="AO230" s="81"/>
      <c r="AP230" s="48"/>
      <c r="AR230" s="38"/>
      <c r="AS230" s="49"/>
      <c r="AU230" s="38"/>
      <c r="AW230" s="16"/>
      <c r="AX230" s="16"/>
      <c r="AY230" s="81"/>
      <c r="AZ230" s="81"/>
      <c r="BA230" s="48"/>
      <c r="BC230" s="38"/>
      <c r="BD230" s="49"/>
    </row>
    <row r="231" spans="22:56" ht="16" x14ac:dyDescent="0.4">
      <c r="V231" s="97">
        <v>45889</v>
      </c>
      <c r="W231" s="16">
        <v>186233</v>
      </c>
      <c r="X231" s="101" t="s">
        <v>36</v>
      </c>
      <c r="Y231" s="105"/>
      <c r="Z231" s="50">
        <v>0.69444444444444453</v>
      </c>
      <c r="AA231" s="50">
        <v>0.46527777777777773</v>
      </c>
      <c r="AD231" s="37">
        <v>20796</v>
      </c>
      <c r="AE231" s="93">
        <f t="shared" si="28"/>
        <v>20.795999999999999</v>
      </c>
      <c r="AF231">
        <v>14.74</v>
      </c>
      <c r="AG231" s="103">
        <f t="shared" si="29"/>
        <v>14</v>
      </c>
      <c r="AH231" s="37">
        <f t="shared" si="30"/>
        <v>20.795999999999999</v>
      </c>
      <c r="AJ231" s="38"/>
      <c r="AL231" s="16"/>
      <c r="AM231" s="16"/>
      <c r="AN231" s="81"/>
      <c r="AO231" s="81"/>
      <c r="AP231" s="48"/>
      <c r="AR231" s="38"/>
      <c r="AS231" s="49"/>
      <c r="AU231" s="38"/>
      <c r="AW231" s="16"/>
      <c r="AX231" s="16"/>
      <c r="AY231" s="81"/>
      <c r="AZ231" s="81"/>
      <c r="BA231" s="48"/>
      <c r="BC231" s="38"/>
      <c r="BD231" s="49"/>
    </row>
    <row r="232" spans="22:56" ht="16" x14ac:dyDescent="0.4">
      <c r="V232" s="97">
        <v>45889</v>
      </c>
      <c r="W232" s="16">
        <v>186253</v>
      </c>
      <c r="X232" s="101" t="s">
        <v>36</v>
      </c>
      <c r="Y232" s="105"/>
      <c r="Z232" s="50">
        <v>0.43888888888888888</v>
      </c>
      <c r="AA232" s="50">
        <v>0.54999999999999993</v>
      </c>
      <c r="AD232" s="37">
        <v>19414</v>
      </c>
      <c r="AE232" s="93">
        <f t="shared" si="28"/>
        <v>19.414000000000001</v>
      </c>
      <c r="AF232">
        <v>14.19</v>
      </c>
      <c r="AG232" s="103">
        <f t="shared" si="29"/>
        <v>14</v>
      </c>
      <c r="AH232" s="37">
        <f t="shared" si="30"/>
        <v>19.414000000000005</v>
      </c>
      <c r="AJ232" s="38"/>
      <c r="AL232" s="16"/>
      <c r="AM232" s="16"/>
      <c r="AN232" s="81"/>
      <c r="AO232" s="81"/>
      <c r="AP232" s="48"/>
      <c r="AR232" s="38"/>
      <c r="AS232" s="49"/>
      <c r="AU232" s="38"/>
      <c r="AW232" s="16"/>
      <c r="AX232" s="16"/>
      <c r="AY232" s="81"/>
      <c r="AZ232" s="81"/>
      <c r="BA232" s="48"/>
      <c r="BC232" s="38"/>
      <c r="BD232" s="49"/>
    </row>
    <row r="233" spans="22:56" ht="16" x14ac:dyDescent="0.4">
      <c r="V233" s="97">
        <v>45889</v>
      </c>
      <c r="W233" s="16">
        <v>186332</v>
      </c>
      <c r="X233" s="101" t="s">
        <v>36</v>
      </c>
      <c r="Y233" s="105"/>
      <c r="Z233" s="50">
        <v>0.52013888888888882</v>
      </c>
      <c r="AA233" s="50">
        <v>0.61249999999999993</v>
      </c>
      <c r="AD233" s="37">
        <v>20040</v>
      </c>
      <c r="AE233" s="93">
        <f t="shared" si="28"/>
        <v>20.04</v>
      </c>
      <c r="AF233">
        <v>15.77</v>
      </c>
      <c r="AG233" s="103">
        <f t="shared" si="29"/>
        <v>14</v>
      </c>
      <c r="AH233" s="37">
        <f t="shared" si="30"/>
        <v>20.04</v>
      </c>
      <c r="AJ233" s="38"/>
      <c r="AL233" s="16"/>
      <c r="AN233" s="81"/>
      <c r="AO233" s="81"/>
      <c r="AP233" s="48"/>
      <c r="AR233" s="38"/>
      <c r="AS233" s="49"/>
      <c r="AU233" s="38"/>
      <c r="AW233" s="16"/>
      <c r="AY233" s="81"/>
      <c r="AZ233" s="81"/>
      <c r="BA233" s="48"/>
      <c r="BC233" s="38"/>
      <c r="BD233" s="49"/>
    </row>
    <row r="234" spans="22:56" ht="16" x14ac:dyDescent="0.4">
      <c r="V234" s="97">
        <v>45889</v>
      </c>
      <c r="W234" s="16">
        <v>186384</v>
      </c>
      <c r="X234" s="101" t="s">
        <v>36</v>
      </c>
      <c r="Y234" s="105"/>
      <c r="Z234" s="50">
        <v>0.26111111111111113</v>
      </c>
      <c r="AA234" s="50">
        <v>0.67847222222222225</v>
      </c>
      <c r="AD234" s="37">
        <v>19648</v>
      </c>
      <c r="AE234" s="93">
        <f t="shared" si="28"/>
        <v>19.648</v>
      </c>
      <c r="AF234">
        <v>14.13</v>
      </c>
      <c r="AG234" s="103">
        <f t="shared" si="29"/>
        <v>14</v>
      </c>
      <c r="AH234" s="37">
        <f t="shared" si="30"/>
        <v>19.648</v>
      </c>
      <c r="AJ234" s="38"/>
      <c r="AL234" s="16"/>
      <c r="AN234" s="81"/>
      <c r="AO234" s="81"/>
      <c r="AP234" s="48"/>
      <c r="AR234" s="38"/>
      <c r="AS234" s="49"/>
      <c r="AU234" s="38"/>
      <c r="AW234" s="16"/>
      <c r="AY234" s="81"/>
      <c r="AZ234" s="81"/>
      <c r="BA234" s="48"/>
      <c r="BC234" s="38"/>
      <c r="BD234" s="49"/>
    </row>
    <row r="235" spans="22:56" ht="16" x14ac:dyDescent="0.4">
      <c r="V235" s="97">
        <v>45889</v>
      </c>
      <c r="W235" s="16">
        <v>186414</v>
      </c>
      <c r="X235" s="101" t="s">
        <v>36</v>
      </c>
      <c r="Y235" s="105"/>
      <c r="Z235" s="50">
        <v>0.18998842592592591</v>
      </c>
      <c r="AA235" s="50">
        <v>0.60600694444444447</v>
      </c>
      <c r="AD235" s="37">
        <v>20076</v>
      </c>
      <c r="AE235" s="93">
        <f t="shared" si="28"/>
        <v>20.076000000000001</v>
      </c>
      <c r="AF235">
        <v>16.91</v>
      </c>
      <c r="AG235" s="103">
        <f t="shared" si="29"/>
        <v>14</v>
      </c>
      <c r="AH235" s="37">
        <f t="shared" si="30"/>
        <v>20.076000000000001</v>
      </c>
      <c r="AJ235" s="38"/>
      <c r="AL235" s="16"/>
      <c r="AN235" s="81"/>
      <c r="AO235" s="81"/>
      <c r="AP235" s="48"/>
      <c r="AR235" s="38"/>
      <c r="AS235" s="49"/>
      <c r="AU235" s="38"/>
      <c r="AW235" s="16"/>
      <c r="AY235" s="81"/>
      <c r="AZ235" s="81"/>
      <c r="BA235" s="48"/>
      <c r="BC235" s="38"/>
      <c r="BD235" s="49"/>
    </row>
    <row r="236" spans="22:56" ht="16" x14ac:dyDescent="0.4">
      <c r="V236" s="97">
        <v>45889</v>
      </c>
      <c r="W236" s="16">
        <v>186441</v>
      </c>
      <c r="X236" s="101" t="s">
        <v>36</v>
      </c>
      <c r="Y236" s="105"/>
      <c r="Z236" s="50">
        <v>0.59185185185185185</v>
      </c>
      <c r="AA236" s="50">
        <v>0.79443287037037036</v>
      </c>
      <c r="AD236" s="37">
        <v>18072</v>
      </c>
      <c r="AE236" s="93">
        <f t="shared" si="28"/>
        <v>18.071999999999999</v>
      </c>
      <c r="AF236">
        <v>16.62</v>
      </c>
      <c r="AG236" s="103">
        <f t="shared" si="29"/>
        <v>14</v>
      </c>
      <c r="AH236" s="37">
        <f t="shared" si="30"/>
        <v>18.071999999999999</v>
      </c>
      <c r="AJ236" s="38"/>
      <c r="AL236" s="16"/>
      <c r="AN236" s="81"/>
      <c r="AP236" s="48"/>
      <c r="AR236" s="38"/>
      <c r="AS236" s="49"/>
      <c r="AU236" s="38"/>
      <c r="AW236" s="16"/>
      <c r="AY236" s="81"/>
      <c r="BA236" s="48"/>
      <c r="BC236" s="38"/>
      <c r="BD236" s="49"/>
    </row>
    <row r="237" spans="22:56" ht="16" x14ac:dyDescent="0.4">
      <c r="V237" s="97">
        <v>45889</v>
      </c>
      <c r="W237" s="16">
        <v>186472</v>
      </c>
      <c r="X237" s="101" t="s">
        <v>36</v>
      </c>
      <c r="Y237" s="105"/>
      <c r="Z237" s="50">
        <v>0.18986111111111112</v>
      </c>
      <c r="AA237" s="50">
        <v>0.84881944444444446</v>
      </c>
      <c r="AD237" s="37">
        <v>19892</v>
      </c>
      <c r="AE237" s="93">
        <f t="shared" si="28"/>
        <v>19.891999999999999</v>
      </c>
      <c r="AF237">
        <v>14.49</v>
      </c>
      <c r="AG237" s="103">
        <f t="shared" si="29"/>
        <v>14</v>
      </c>
      <c r="AH237" s="37">
        <f t="shared" si="30"/>
        <v>19.891999999999999</v>
      </c>
      <c r="AJ237" s="38"/>
      <c r="AL237" s="16"/>
      <c r="AN237" s="81"/>
      <c r="AO237" s="81"/>
      <c r="AP237" s="48"/>
      <c r="AR237" s="38"/>
      <c r="AS237" s="49"/>
      <c r="AU237" s="38"/>
      <c r="AW237" s="16"/>
      <c r="AY237" s="81"/>
      <c r="AZ237" s="81"/>
      <c r="BA237" s="48"/>
      <c r="BC237" s="38"/>
      <c r="BD237" s="49"/>
    </row>
    <row r="238" spans="22:56" ht="16" x14ac:dyDescent="0.4">
      <c r="V238" s="97">
        <v>45889</v>
      </c>
      <c r="W238" s="16">
        <v>186509</v>
      </c>
      <c r="X238" s="101" t="s">
        <v>36</v>
      </c>
      <c r="Y238" s="105"/>
      <c r="Z238" s="50">
        <v>0.59195601851851853</v>
      </c>
      <c r="AA238" s="50">
        <v>0.91731481481481481</v>
      </c>
      <c r="AD238" s="37">
        <v>20764</v>
      </c>
      <c r="AE238" s="93">
        <f t="shared" si="28"/>
        <v>20.763999999999999</v>
      </c>
      <c r="AF238">
        <v>14.13</v>
      </c>
      <c r="AG238" s="103">
        <f t="shared" si="29"/>
        <v>14</v>
      </c>
      <c r="AH238" s="37">
        <f t="shared" si="30"/>
        <v>20.763999999999999</v>
      </c>
      <c r="AJ238" s="38"/>
      <c r="AL238" s="16"/>
      <c r="AN238" s="81"/>
      <c r="AO238" s="81"/>
      <c r="AP238" s="48"/>
      <c r="AR238" s="38"/>
      <c r="AS238" s="49"/>
      <c r="AU238" s="38"/>
      <c r="AW238" s="16"/>
      <c r="AY238" s="81"/>
      <c r="AZ238" s="81"/>
      <c r="BA238" s="48"/>
      <c r="BC238" s="38"/>
      <c r="BD238" s="49"/>
    </row>
    <row r="239" spans="22:56" ht="16" x14ac:dyDescent="0.4">
      <c r="V239" s="97">
        <v>45890</v>
      </c>
      <c r="W239" s="16">
        <v>186540</v>
      </c>
      <c r="X239" s="101" t="s">
        <v>36</v>
      </c>
      <c r="Y239" s="105"/>
      <c r="Z239" s="50">
        <v>0.76979166666666676</v>
      </c>
      <c r="AA239" s="50">
        <v>2.9745370370370373E-3</v>
      </c>
      <c r="AD239" s="37">
        <v>20174</v>
      </c>
      <c r="AE239" s="93">
        <f t="shared" si="28"/>
        <v>20.173999999999999</v>
      </c>
      <c r="AF239">
        <v>14.91</v>
      </c>
      <c r="AG239" s="103">
        <f t="shared" si="29"/>
        <v>14</v>
      </c>
      <c r="AH239" s="37">
        <f t="shared" si="30"/>
        <v>20.173999999999999</v>
      </c>
      <c r="AJ239" s="38"/>
      <c r="AL239" s="16"/>
      <c r="AP239" s="48"/>
      <c r="AR239" s="38"/>
      <c r="AS239" s="49"/>
      <c r="AU239" s="38"/>
      <c r="AW239" s="16"/>
      <c r="BA239" s="48"/>
      <c r="BC239" s="38"/>
      <c r="BD239" s="49"/>
    </row>
    <row r="240" spans="22:56" ht="16" x14ac:dyDescent="0.4">
      <c r="V240" s="97">
        <v>45890</v>
      </c>
      <c r="W240" s="16">
        <v>186548</v>
      </c>
      <c r="X240" s="101" t="s">
        <v>36</v>
      </c>
      <c r="Y240" s="105"/>
      <c r="Z240" s="50">
        <v>0.9437037037037036</v>
      </c>
      <c r="AA240" s="50">
        <v>5.0543981481481481E-2</v>
      </c>
      <c r="AD240" s="37">
        <v>19960</v>
      </c>
      <c r="AE240" s="93">
        <f t="shared" si="28"/>
        <v>19.96</v>
      </c>
      <c r="AF240">
        <v>14.8</v>
      </c>
      <c r="AG240" s="103">
        <f t="shared" si="29"/>
        <v>14</v>
      </c>
      <c r="AH240" s="37">
        <f t="shared" si="30"/>
        <v>19.96</v>
      </c>
      <c r="AJ240" s="38"/>
      <c r="AL240" s="16"/>
      <c r="AN240" s="81"/>
      <c r="AO240" s="81"/>
      <c r="AP240" s="48"/>
      <c r="AR240" s="38"/>
      <c r="AS240" s="49"/>
      <c r="AU240" s="38"/>
      <c r="AW240" s="16"/>
      <c r="AY240" s="81"/>
      <c r="AZ240" s="81"/>
      <c r="BA240" s="48"/>
      <c r="BC240" s="38"/>
      <c r="BD240" s="49"/>
    </row>
    <row r="241" spans="22:56" ht="16" x14ac:dyDescent="0.4">
      <c r="V241" s="97">
        <v>45890</v>
      </c>
      <c r="W241" s="16">
        <v>186557</v>
      </c>
      <c r="X241" s="101" t="s">
        <v>36</v>
      </c>
      <c r="Y241" s="105"/>
      <c r="Z241" s="50">
        <v>0.76989583333333333</v>
      </c>
      <c r="AA241" s="50">
        <v>9.1446759259259255E-2</v>
      </c>
      <c r="AD241" s="37">
        <v>19404</v>
      </c>
      <c r="AE241" s="93">
        <f t="shared" si="28"/>
        <v>19.404</v>
      </c>
      <c r="AF241">
        <v>15.55</v>
      </c>
      <c r="AG241" s="103">
        <f t="shared" si="29"/>
        <v>14</v>
      </c>
      <c r="AH241" s="37">
        <f t="shared" si="30"/>
        <v>19.404</v>
      </c>
      <c r="AJ241" s="38"/>
      <c r="AL241" s="16"/>
      <c r="AN241" s="81"/>
      <c r="AO241" s="81"/>
      <c r="AP241" s="48"/>
      <c r="AR241" s="38"/>
      <c r="AS241" s="49"/>
      <c r="AU241" s="38"/>
      <c r="AW241" s="16"/>
      <c r="AY241" s="81"/>
      <c r="AZ241" s="81"/>
      <c r="BA241" s="48"/>
      <c r="BC241" s="38"/>
      <c r="BD241" s="49"/>
    </row>
    <row r="242" spans="22:56" ht="16" x14ac:dyDescent="0.4">
      <c r="V242" s="97">
        <v>45890</v>
      </c>
      <c r="W242" s="16">
        <v>186569</v>
      </c>
      <c r="X242" s="101" t="s">
        <v>36</v>
      </c>
      <c r="Y242" s="105"/>
      <c r="Z242" s="50">
        <v>0.94395833333333334</v>
      </c>
      <c r="AA242" s="50">
        <v>0.15630787037037039</v>
      </c>
      <c r="AD242" s="37">
        <v>16892</v>
      </c>
      <c r="AE242" s="93">
        <f t="shared" si="28"/>
        <v>16.891999999999999</v>
      </c>
      <c r="AF242">
        <v>13.59</v>
      </c>
      <c r="AG242" s="103">
        <f t="shared" si="29"/>
        <v>13.59</v>
      </c>
      <c r="AH242" s="37">
        <f t="shared" si="30"/>
        <v>16.397305714285714</v>
      </c>
      <c r="AJ242" s="38"/>
      <c r="AL242" s="16"/>
      <c r="AN242" s="81"/>
      <c r="AO242" s="81"/>
      <c r="AP242" s="48"/>
      <c r="AR242" s="38"/>
      <c r="AS242" s="49"/>
      <c r="AU242" s="38"/>
      <c r="AW242" s="16"/>
      <c r="AY242" s="81"/>
      <c r="AZ242" s="81"/>
      <c r="BA242" s="48"/>
      <c r="BC242" s="38"/>
      <c r="BD242" s="49"/>
    </row>
    <row r="243" spans="22:56" ht="16" x14ac:dyDescent="0.4">
      <c r="V243" s="97"/>
      <c r="W243" s="16"/>
      <c r="X243" s="101"/>
      <c r="Y243" s="105"/>
      <c r="Z243" s="50"/>
      <c r="AA243" s="50"/>
      <c r="AD243" s="37"/>
      <c r="AE243" s="93"/>
      <c r="AG243" s="103">
        <f t="shared" si="29"/>
        <v>0</v>
      </c>
      <c r="AH243" s="37">
        <f t="shared" si="30"/>
        <v>0</v>
      </c>
      <c r="AJ243" s="38"/>
      <c r="AL243" s="16"/>
      <c r="AN243" s="39"/>
      <c r="AO243" s="39"/>
      <c r="AP243" s="48"/>
      <c r="AR243" s="38"/>
      <c r="AS243" s="49"/>
      <c r="AU243" s="38"/>
      <c r="AW243" s="16"/>
      <c r="AY243" s="39"/>
      <c r="AZ243" s="39"/>
      <c r="BA243" s="48"/>
      <c r="BC243" s="38"/>
      <c r="BD243" s="49"/>
    </row>
    <row r="244" spans="22:56" ht="16" x14ac:dyDescent="0.4">
      <c r="V244" s="97">
        <v>45890</v>
      </c>
      <c r="W244" s="16">
        <v>186680</v>
      </c>
      <c r="X244" s="101" t="s">
        <v>36</v>
      </c>
      <c r="Y244" s="105"/>
      <c r="Z244" s="50">
        <v>0.94305555555555554</v>
      </c>
      <c r="AA244" s="50">
        <v>0.40416666666666662</v>
      </c>
      <c r="AD244" s="37">
        <v>21588</v>
      </c>
      <c r="AE244" s="93">
        <f t="shared" si="28"/>
        <v>21.588000000000001</v>
      </c>
      <c r="AF244">
        <v>16.02</v>
      </c>
      <c r="AG244" s="103">
        <f t="shared" si="29"/>
        <v>14</v>
      </c>
      <c r="AH244" s="37">
        <f t="shared" si="30"/>
        <v>21.588000000000001</v>
      </c>
      <c r="AJ244" s="38"/>
      <c r="AL244" s="16"/>
      <c r="AN244" s="81"/>
      <c r="AO244" s="81"/>
      <c r="AP244" s="48"/>
      <c r="AR244" s="38"/>
      <c r="AS244" s="49"/>
      <c r="AU244" s="38"/>
      <c r="AW244" s="16"/>
      <c r="AY244" s="81"/>
      <c r="AZ244" s="81"/>
      <c r="BA244" s="48"/>
      <c r="BC244" s="38"/>
      <c r="BD244" s="49"/>
    </row>
    <row r="245" spans="22:56" ht="16" x14ac:dyDescent="0.4">
      <c r="V245" s="97">
        <v>45890</v>
      </c>
      <c r="W245" s="16">
        <v>186737</v>
      </c>
      <c r="X245" s="101" t="s">
        <v>36</v>
      </c>
      <c r="Y245" s="105"/>
      <c r="Z245" s="50">
        <v>0.4548611111111111</v>
      </c>
      <c r="AA245" s="50">
        <v>0.52986111111111112</v>
      </c>
      <c r="AD245" s="37">
        <v>20774</v>
      </c>
      <c r="AE245" s="93">
        <f t="shared" si="28"/>
        <v>20.774000000000001</v>
      </c>
      <c r="AF245">
        <v>15.29</v>
      </c>
      <c r="AG245" s="103">
        <f t="shared" si="29"/>
        <v>14</v>
      </c>
      <c r="AH245" s="37">
        <f t="shared" si="30"/>
        <v>20.774000000000001</v>
      </c>
      <c r="AJ245" s="38"/>
      <c r="AK245" s="81"/>
      <c r="AL245" s="16"/>
      <c r="AN245" s="81"/>
      <c r="AO245" s="81"/>
      <c r="AP245" s="48"/>
      <c r="AR245" s="38"/>
      <c r="AS245" s="49"/>
      <c r="AU245" s="38"/>
      <c r="AV245" s="81"/>
      <c r="AW245" s="16"/>
      <c r="AY245" s="81"/>
      <c r="AZ245" s="81"/>
      <c r="BA245" s="48"/>
      <c r="BC245" s="38"/>
      <c r="BD245" s="49"/>
    </row>
    <row r="246" spans="22:56" ht="16" x14ac:dyDescent="0.4">
      <c r="V246" s="97">
        <v>45890</v>
      </c>
      <c r="W246" s="16">
        <v>186753</v>
      </c>
      <c r="X246" s="101" t="s">
        <v>36</v>
      </c>
      <c r="Y246" s="105"/>
      <c r="Z246" s="50">
        <v>0.27152777777777776</v>
      </c>
      <c r="AA246" s="50">
        <v>0.48125000000000001</v>
      </c>
      <c r="AD246" s="37">
        <v>21642</v>
      </c>
      <c r="AE246" s="93">
        <f t="shared" si="28"/>
        <v>21.641999999999999</v>
      </c>
      <c r="AF246">
        <v>15.12</v>
      </c>
      <c r="AG246" s="103">
        <f t="shared" si="29"/>
        <v>14</v>
      </c>
      <c r="AH246" s="37">
        <f t="shared" si="30"/>
        <v>21.641999999999999</v>
      </c>
      <c r="AJ246" s="38"/>
      <c r="AL246" s="16"/>
      <c r="AN246" s="81"/>
      <c r="AO246" s="81"/>
      <c r="AP246" s="48"/>
      <c r="AR246" s="38"/>
      <c r="AS246" s="49"/>
      <c r="AU246" s="38"/>
      <c r="AW246" s="16"/>
      <c r="AY246" s="81"/>
      <c r="AZ246" s="81"/>
      <c r="BA246" s="48"/>
      <c r="BC246" s="38"/>
      <c r="BD246" s="49"/>
    </row>
    <row r="247" spans="22:56" ht="16" x14ac:dyDescent="0.4">
      <c r="V247" s="97">
        <v>45890</v>
      </c>
      <c r="W247" s="16">
        <v>186800</v>
      </c>
      <c r="X247" s="101" t="s">
        <v>36</v>
      </c>
      <c r="Y247" s="105"/>
      <c r="Z247" s="50">
        <v>0.27152777777777776</v>
      </c>
      <c r="AA247" s="50">
        <v>0.58124999999999993</v>
      </c>
      <c r="AD247" s="37">
        <v>21216</v>
      </c>
      <c r="AE247" s="93">
        <f t="shared" si="28"/>
        <v>21.216000000000001</v>
      </c>
      <c r="AF247">
        <v>14.13</v>
      </c>
      <c r="AG247" s="103">
        <f t="shared" si="29"/>
        <v>14</v>
      </c>
      <c r="AH247" s="37">
        <f t="shared" si="30"/>
        <v>21.216000000000001</v>
      </c>
      <c r="AJ247" s="38"/>
      <c r="AL247" s="16"/>
      <c r="AN247" s="81"/>
      <c r="AO247" s="81"/>
      <c r="AP247" s="48"/>
      <c r="AR247" s="38"/>
      <c r="AS247" s="49"/>
      <c r="AU247" s="38"/>
      <c r="AW247" s="16"/>
      <c r="AY247" s="81"/>
      <c r="AZ247" s="81"/>
      <c r="BA247" s="48"/>
      <c r="BC247" s="38"/>
      <c r="BD247" s="49"/>
    </row>
    <row r="248" spans="22:56" ht="16" x14ac:dyDescent="0.4">
      <c r="V248" s="97">
        <v>45890</v>
      </c>
      <c r="W248" s="16">
        <v>186826</v>
      </c>
      <c r="X248" s="101" t="s">
        <v>36</v>
      </c>
      <c r="Y248" s="105"/>
      <c r="Z248" s="50">
        <v>0.4548611111111111</v>
      </c>
      <c r="AA248" s="50">
        <v>0.63541666666666663</v>
      </c>
      <c r="AD248" s="37">
        <v>20008</v>
      </c>
      <c r="AE248" s="93">
        <f t="shared" si="28"/>
        <v>20.007999999999999</v>
      </c>
      <c r="AF248">
        <v>15.38</v>
      </c>
      <c r="AG248" s="103">
        <f t="shared" si="29"/>
        <v>14</v>
      </c>
      <c r="AH248" s="37">
        <f t="shared" si="30"/>
        <v>20.007999999999999</v>
      </c>
      <c r="AJ248" s="38"/>
      <c r="AL248" s="16"/>
      <c r="AN248" s="81"/>
      <c r="AO248" s="81"/>
      <c r="AP248" s="48"/>
      <c r="AR248" s="38"/>
      <c r="AS248" s="49"/>
      <c r="AU248" s="38"/>
      <c r="AW248" s="16"/>
      <c r="AY248" s="81"/>
      <c r="AZ248" s="81"/>
      <c r="BA248" s="48"/>
      <c r="BC248" s="38"/>
      <c r="BD248" s="49"/>
    </row>
    <row r="249" spans="22:56" ht="16" x14ac:dyDescent="0.4">
      <c r="V249" s="97">
        <v>45890</v>
      </c>
      <c r="W249" s="16">
        <v>186856</v>
      </c>
      <c r="X249" s="101" t="s">
        <v>36</v>
      </c>
      <c r="Y249" s="105"/>
      <c r="Z249" s="50">
        <v>0.63472222222222219</v>
      </c>
      <c r="AA249" s="50">
        <v>0.68611111111111101</v>
      </c>
      <c r="AD249" s="37">
        <v>21190</v>
      </c>
      <c r="AE249" s="93">
        <f t="shared" si="28"/>
        <v>21.19</v>
      </c>
      <c r="AF249">
        <v>14.95</v>
      </c>
      <c r="AG249" s="103">
        <f t="shared" si="29"/>
        <v>14</v>
      </c>
      <c r="AH249" s="37">
        <f t="shared" si="30"/>
        <v>21.19</v>
      </c>
      <c r="AJ249" s="38"/>
      <c r="AN249" s="81"/>
      <c r="AO249" s="81"/>
      <c r="AP249" s="48"/>
      <c r="AR249" s="38"/>
      <c r="AS249" s="49"/>
      <c r="AU249" s="38"/>
      <c r="AY249" s="81"/>
      <c r="AZ249" s="81"/>
      <c r="BA249" s="48"/>
      <c r="BC249" s="38"/>
      <c r="BD249" s="49"/>
    </row>
    <row r="250" spans="22:56" ht="16" x14ac:dyDescent="0.4">
      <c r="V250" s="97">
        <v>45890</v>
      </c>
      <c r="W250" s="16">
        <v>186884</v>
      </c>
      <c r="X250" s="101" t="s">
        <v>36</v>
      </c>
      <c r="Y250" s="105"/>
      <c r="Z250" s="50">
        <v>0.45528935185185188</v>
      </c>
      <c r="AA250" s="50">
        <v>0.77828703703703705</v>
      </c>
      <c r="AD250" s="37">
        <v>20806</v>
      </c>
      <c r="AE250" s="93">
        <f t="shared" si="28"/>
        <v>20.806000000000001</v>
      </c>
      <c r="AF250">
        <v>14.22</v>
      </c>
      <c r="AG250" s="103">
        <f t="shared" si="29"/>
        <v>14</v>
      </c>
      <c r="AH250" s="37">
        <f t="shared" si="30"/>
        <v>20.806000000000001</v>
      </c>
      <c r="AJ250" s="38"/>
      <c r="AN250" s="81"/>
      <c r="AO250" s="81"/>
      <c r="AP250" s="48"/>
      <c r="AR250" s="38"/>
      <c r="AS250" s="49"/>
      <c r="AU250" s="38"/>
      <c r="AY250" s="81"/>
      <c r="AZ250" s="81"/>
      <c r="BA250" s="48"/>
      <c r="BC250" s="38"/>
      <c r="BD250" s="49"/>
    </row>
    <row r="251" spans="22:56" ht="16" x14ac:dyDescent="0.4">
      <c r="V251" s="97">
        <v>45890</v>
      </c>
      <c r="W251" s="16">
        <v>186907</v>
      </c>
      <c r="X251" s="101" t="s">
        <v>36</v>
      </c>
      <c r="Y251" s="105"/>
      <c r="Z251" s="50">
        <v>0.1164236111111111</v>
      </c>
      <c r="AA251" s="50">
        <v>0.8461574074074073</v>
      </c>
      <c r="AD251" s="37">
        <v>20794</v>
      </c>
      <c r="AE251" s="93">
        <f t="shared" si="28"/>
        <v>20.794</v>
      </c>
      <c r="AF251">
        <v>15.74</v>
      </c>
      <c r="AG251" s="103">
        <f t="shared" si="29"/>
        <v>14</v>
      </c>
      <c r="AH251" s="37">
        <f t="shared" si="30"/>
        <v>20.794</v>
      </c>
      <c r="AJ251" s="38"/>
      <c r="AN251" s="81"/>
      <c r="AO251" s="81"/>
      <c r="AP251" s="48"/>
      <c r="AR251" s="38"/>
      <c r="AS251" s="49"/>
      <c r="AU251" s="38"/>
      <c r="AY251" s="81"/>
      <c r="AZ251" s="81"/>
      <c r="BA251" s="48"/>
      <c r="BC251" s="38"/>
      <c r="BD251" s="49"/>
    </row>
    <row r="252" spans="22:56" ht="16" x14ac:dyDescent="0.4">
      <c r="V252" s="97">
        <v>45890</v>
      </c>
      <c r="W252" s="16">
        <v>186922</v>
      </c>
      <c r="X252" s="101" t="s">
        <v>36</v>
      </c>
      <c r="Y252" s="105"/>
      <c r="Z252" s="50">
        <v>0.67842592592592599</v>
      </c>
      <c r="AA252" s="50">
        <v>0.89863425925925933</v>
      </c>
      <c r="AD252" s="37">
        <v>19752</v>
      </c>
      <c r="AE252" s="93">
        <f t="shared" si="28"/>
        <v>19.751999999999999</v>
      </c>
      <c r="AF252">
        <v>16.59</v>
      </c>
      <c r="AG252" s="103">
        <f t="shared" si="29"/>
        <v>14</v>
      </c>
      <c r="AH252" s="37">
        <f t="shared" si="30"/>
        <v>19.751999999999999</v>
      </c>
      <c r="AJ252" s="38"/>
      <c r="AN252" s="81"/>
      <c r="AO252" s="81"/>
      <c r="AP252" s="48"/>
      <c r="AR252" s="38"/>
      <c r="AS252" s="49"/>
      <c r="AU252" s="38"/>
      <c r="AY252" s="81"/>
      <c r="AZ252" s="81"/>
      <c r="BA252" s="48"/>
      <c r="BC252" s="38"/>
      <c r="BD252" s="49"/>
    </row>
    <row r="253" spans="22:56" ht="16" x14ac:dyDescent="0.4">
      <c r="V253" s="97">
        <v>45891</v>
      </c>
      <c r="W253" s="16">
        <v>186953</v>
      </c>
      <c r="X253" s="101" t="s">
        <v>36</v>
      </c>
      <c r="Y253" s="105"/>
      <c r="Z253" s="50">
        <v>0.11652777777777779</v>
      </c>
      <c r="AA253" s="50">
        <v>0.97309027777777779</v>
      </c>
      <c r="AD253" s="37">
        <v>21150</v>
      </c>
      <c r="AE253" s="93">
        <f t="shared" si="28"/>
        <v>21.15</v>
      </c>
      <c r="AF253">
        <v>14.41</v>
      </c>
      <c r="AG253" s="103">
        <f t="shared" si="29"/>
        <v>14</v>
      </c>
      <c r="AH253" s="37">
        <f t="shared" si="30"/>
        <v>21.15</v>
      </c>
      <c r="AJ253" s="38"/>
      <c r="AN253" s="81"/>
      <c r="AO253" s="81"/>
      <c r="AP253" s="48"/>
      <c r="AR253" s="38"/>
      <c r="AS253" s="49"/>
      <c r="AU253" s="38"/>
      <c r="AY253" s="81"/>
      <c r="AZ253" s="81"/>
      <c r="BA253" s="48"/>
      <c r="BC253" s="38"/>
      <c r="BD253" s="49"/>
    </row>
    <row r="254" spans="22:56" ht="16" x14ac:dyDescent="0.4">
      <c r="V254" s="97">
        <v>45891</v>
      </c>
      <c r="W254" s="16">
        <v>186959</v>
      </c>
      <c r="X254" s="101" t="s">
        <v>36</v>
      </c>
      <c r="Y254" s="105"/>
      <c r="Z254" s="50">
        <v>0.81936342592592604</v>
      </c>
      <c r="AA254" s="50">
        <v>3.2696759259259259E-2</v>
      </c>
      <c r="AD254" s="37">
        <v>20564</v>
      </c>
      <c r="AE254" s="93">
        <f t="shared" si="28"/>
        <v>20.564</v>
      </c>
      <c r="AF254">
        <v>15.8</v>
      </c>
      <c r="AG254" s="103">
        <f t="shared" si="29"/>
        <v>14</v>
      </c>
      <c r="AH254" s="37">
        <f t="shared" si="30"/>
        <v>20.564</v>
      </c>
      <c r="AJ254" s="38"/>
      <c r="AP254" s="48"/>
      <c r="AR254" s="38"/>
      <c r="AS254" s="49"/>
      <c r="AU254" s="38"/>
      <c r="BA254" s="48"/>
      <c r="BC254" s="38"/>
      <c r="BD254" s="49"/>
    </row>
    <row r="255" spans="22:56" ht="16" x14ac:dyDescent="0.4">
      <c r="V255" s="97">
        <v>45891</v>
      </c>
      <c r="W255" s="16">
        <v>186967</v>
      </c>
      <c r="X255" s="101" t="s">
        <v>36</v>
      </c>
      <c r="Y255" s="105"/>
      <c r="Z255" s="50">
        <v>3.8171296296296293E-2</v>
      </c>
      <c r="AA255" s="50">
        <v>8.5775462962962956E-2</v>
      </c>
      <c r="AD255" s="37">
        <v>20394</v>
      </c>
      <c r="AE255" s="93">
        <f t="shared" si="28"/>
        <v>20.393999999999998</v>
      </c>
      <c r="AF255">
        <v>15.62</v>
      </c>
      <c r="AG255" s="103">
        <f t="shared" si="29"/>
        <v>14</v>
      </c>
      <c r="AH255" s="37">
        <f t="shared" si="30"/>
        <v>20.393999999999998</v>
      </c>
      <c r="AJ255" s="38"/>
      <c r="AN255" s="81"/>
      <c r="AO255" s="81"/>
      <c r="AP255" s="48"/>
      <c r="AR255" s="38"/>
      <c r="AS255" s="71"/>
      <c r="AU255" s="38"/>
      <c r="AY255" s="81"/>
      <c r="AZ255" s="81"/>
      <c r="BA255" s="48"/>
      <c r="BC255" s="38"/>
      <c r="BD255" s="71"/>
    </row>
    <row r="256" spans="22:56" ht="16" x14ac:dyDescent="0.4">
      <c r="V256" s="97">
        <v>45891</v>
      </c>
      <c r="W256" s="16">
        <v>186976</v>
      </c>
      <c r="X256" s="101" t="s">
        <v>36</v>
      </c>
      <c r="Y256" s="105"/>
      <c r="Z256" s="50">
        <v>0.67831018518518515</v>
      </c>
      <c r="AA256" s="50">
        <v>0.1479398148148148</v>
      </c>
      <c r="AD256" s="37">
        <v>21798</v>
      </c>
      <c r="AE256" s="93">
        <f t="shared" si="28"/>
        <v>21.797999999999998</v>
      </c>
      <c r="AF256">
        <v>14.98</v>
      </c>
      <c r="AG256" s="103">
        <f t="shared" si="29"/>
        <v>14</v>
      </c>
      <c r="AH256" s="37">
        <f t="shared" si="30"/>
        <v>21.797999999999998</v>
      </c>
      <c r="AJ256" s="38"/>
      <c r="AN256" s="81"/>
      <c r="AO256" s="81"/>
      <c r="AP256" s="48"/>
      <c r="AR256" s="38"/>
      <c r="AS256" s="49"/>
      <c r="AU256" s="38"/>
      <c r="AY256" s="81"/>
      <c r="AZ256" s="81"/>
      <c r="BA256" s="48"/>
      <c r="BC256" s="38"/>
      <c r="BD256" s="49"/>
    </row>
    <row r="257" spans="22:56" ht="16" x14ac:dyDescent="0.4">
      <c r="V257" s="97">
        <v>45891</v>
      </c>
      <c r="W257" s="16">
        <v>186982</v>
      </c>
      <c r="X257" s="101" t="s">
        <v>36</v>
      </c>
      <c r="Y257" s="105"/>
      <c r="Z257" s="50">
        <v>3.8287037037037036E-2</v>
      </c>
      <c r="AA257" s="50">
        <v>0.20315972222222223</v>
      </c>
      <c r="AD257" s="37">
        <v>19636</v>
      </c>
      <c r="AE257" s="93">
        <f t="shared" si="28"/>
        <v>19.635999999999999</v>
      </c>
      <c r="AF257">
        <v>15.63</v>
      </c>
      <c r="AG257" s="103">
        <f t="shared" si="29"/>
        <v>14</v>
      </c>
      <c r="AH257" s="37">
        <f t="shared" si="30"/>
        <v>19.635999999999999</v>
      </c>
      <c r="AJ257" s="38"/>
      <c r="AN257" s="81"/>
      <c r="AO257" s="81"/>
      <c r="AP257" s="48"/>
      <c r="AR257" s="38"/>
      <c r="AS257" s="49"/>
      <c r="AU257" s="38"/>
      <c r="AY257" s="81"/>
      <c r="AZ257" s="81"/>
      <c r="BA257" s="48"/>
      <c r="BC257" s="38"/>
      <c r="BD257" s="49"/>
    </row>
    <row r="258" spans="22:56" ht="16" x14ac:dyDescent="0.4">
      <c r="V258" s="97">
        <v>45891</v>
      </c>
      <c r="W258" s="16">
        <v>186987</v>
      </c>
      <c r="X258" s="101" t="s">
        <v>36</v>
      </c>
      <c r="Y258" s="105"/>
      <c r="Z258" s="50">
        <v>0.19678240740740741</v>
      </c>
      <c r="AA258" s="50">
        <v>0.23756944444444442</v>
      </c>
      <c r="AD258" s="37">
        <v>15436</v>
      </c>
      <c r="AE258" s="93">
        <f t="shared" si="28"/>
        <v>15.436</v>
      </c>
      <c r="AF258">
        <v>14.49</v>
      </c>
      <c r="AG258" s="103">
        <f t="shared" si="29"/>
        <v>14</v>
      </c>
      <c r="AH258" s="37">
        <f t="shared" si="30"/>
        <v>15.435999999999998</v>
      </c>
      <c r="AJ258" s="97"/>
      <c r="AN258" s="39"/>
      <c r="AO258" s="39"/>
      <c r="AP258" s="47"/>
      <c r="AR258" s="38"/>
      <c r="AS258" s="49"/>
      <c r="AU258" s="97"/>
      <c r="AY258" s="39"/>
      <c r="AZ258" s="39"/>
      <c r="BA258" s="47"/>
      <c r="BC258" s="38"/>
      <c r="BD258" s="49"/>
    </row>
    <row r="259" spans="22:56" ht="16" x14ac:dyDescent="0.4">
      <c r="V259" s="97">
        <v>45891</v>
      </c>
      <c r="W259" s="16">
        <v>187026</v>
      </c>
      <c r="X259" s="101" t="s">
        <v>36</v>
      </c>
      <c r="Y259" s="105"/>
      <c r="Z259" s="50">
        <v>3.8194444444444441E-2</v>
      </c>
      <c r="AA259" s="50">
        <v>0.30763888888888891</v>
      </c>
      <c r="AD259" s="37">
        <v>19630</v>
      </c>
      <c r="AE259" s="93">
        <f t="shared" si="28"/>
        <v>19.63</v>
      </c>
      <c r="AF259">
        <v>17.73</v>
      </c>
      <c r="AG259" s="103">
        <f t="shared" si="29"/>
        <v>14</v>
      </c>
      <c r="AH259" s="37">
        <f t="shared" si="30"/>
        <v>19.63</v>
      </c>
      <c r="AJ259" s="97"/>
      <c r="AP259" s="47"/>
      <c r="AR259" s="38"/>
      <c r="AS259" s="49"/>
      <c r="AU259" s="97"/>
      <c r="BA259" s="47"/>
      <c r="BC259" s="38"/>
      <c r="BD259" s="49"/>
    </row>
    <row r="260" spans="22:56" ht="16" x14ac:dyDescent="0.4">
      <c r="V260" s="97">
        <v>45891</v>
      </c>
      <c r="W260" s="16">
        <v>187073</v>
      </c>
      <c r="X260" s="101" t="s">
        <v>36</v>
      </c>
      <c r="Y260" s="105"/>
      <c r="Z260" s="50">
        <v>0.63472222222222219</v>
      </c>
      <c r="AA260" s="50">
        <v>0.38194444444444442</v>
      </c>
      <c r="AD260" s="37">
        <v>20180</v>
      </c>
      <c r="AE260" s="93">
        <f t="shared" si="28"/>
        <v>20.18</v>
      </c>
      <c r="AF260">
        <v>16.77</v>
      </c>
      <c r="AG260" s="103">
        <f t="shared" si="29"/>
        <v>14</v>
      </c>
      <c r="AH260" s="37">
        <f t="shared" si="30"/>
        <v>20.18</v>
      </c>
      <c r="AJ260" s="97"/>
      <c r="AN260" s="39"/>
      <c r="AO260" s="39"/>
      <c r="AP260" s="47"/>
      <c r="AR260" s="38"/>
      <c r="AS260" s="49"/>
      <c r="AU260" s="97"/>
      <c r="AY260" s="39"/>
      <c r="AZ260" s="39"/>
      <c r="BA260" s="47"/>
      <c r="BC260" s="38"/>
      <c r="BD260" s="49"/>
    </row>
    <row r="261" spans="22:56" ht="16" x14ac:dyDescent="0.4">
      <c r="V261" s="97">
        <v>45891</v>
      </c>
      <c r="W261" s="16">
        <v>187131</v>
      </c>
      <c r="X261" s="101" t="s">
        <v>36</v>
      </c>
      <c r="Y261" s="105"/>
      <c r="Z261" s="50">
        <v>0.39097222222222222</v>
      </c>
      <c r="AA261" s="50">
        <v>0.44444444444444442</v>
      </c>
      <c r="AD261" s="37">
        <v>22204</v>
      </c>
      <c r="AE261" s="93">
        <f t="shared" ref="AE261:AE324" si="31">AD261/1000</f>
        <v>22.204000000000001</v>
      </c>
      <c r="AF261">
        <v>15.88</v>
      </c>
      <c r="AG261" s="103">
        <f t="shared" ref="AG261:AG324" si="32">IF($AF261&gt;14,14,$AF261)</f>
        <v>14</v>
      </c>
      <c r="AH261" s="37">
        <f t="shared" ref="AH261:AH324" si="33">AE261*AG261/14</f>
        <v>22.204000000000001</v>
      </c>
      <c r="AJ261" s="97"/>
      <c r="AN261" s="39"/>
      <c r="AO261" s="39"/>
      <c r="AP261" s="47"/>
      <c r="AR261" s="38"/>
      <c r="AS261" s="49"/>
      <c r="AU261" s="97"/>
      <c r="AY261" s="39"/>
      <c r="AZ261" s="39"/>
      <c r="BA261" s="47"/>
      <c r="BC261" s="38"/>
      <c r="BD261" s="49"/>
    </row>
    <row r="262" spans="22:56" ht="16" x14ac:dyDescent="0.4">
      <c r="V262" s="97">
        <v>45891</v>
      </c>
      <c r="W262" s="16">
        <v>187183</v>
      </c>
      <c r="X262" s="101" t="s">
        <v>36</v>
      </c>
      <c r="Y262" s="105"/>
      <c r="Z262" s="50">
        <v>0.19652777777777777</v>
      </c>
      <c r="AA262" s="50">
        <v>0.51874999999999993</v>
      </c>
      <c r="AD262" s="37">
        <v>20890</v>
      </c>
      <c r="AE262" s="93">
        <f t="shared" si="31"/>
        <v>20.89</v>
      </c>
      <c r="AF262">
        <v>15.25</v>
      </c>
      <c r="AG262" s="103">
        <f t="shared" si="32"/>
        <v>14</v>
      </c>
      <c r="AH262" s="37">
        <f t="shared" si="33"/>
        <v>20.890000000000004</v>
      </c>
      <c r="AJ262" s="97"/>
      <c r="AN262" s="39"/>
      <c r="AO262" s="39"/>
      <c r="AP262" s="94"/>
      <c r="AR262" s="38"/>
      <c r="AS262" s="49"/>
      <c r="AU262" s="97"/>
      <c r="AY262" s="39"/>
      <c r="AZ262" s="39"/>
      <c r="BA262" s="94"/>
      <c r="BC262" s="38"/>
      <c r="BD262" s="49"/>
    </row>
    <row r="263" spans="22:56" ht="16" x14ac:dyDescent="0.4">
      <c r="V263" s="97">
        <v>45891</v>
      </c>
      <c r="W263" s="16">
        <v>187271</v>
      </c>
      <c r="X263" s="101" t="s">
        <v>36</v>
      </c>
      <c r="Y263" s="105"/>
      <c r="Z263" s="50">
        <v>0.39097222222222222</v>
      </c>
      <c r="AA263" s="50">
        <v>0.58263888888888882</v>
      </c>
      <c r="AD263" s="37">
        <v>20122</v>
      </c>
      <c r="AE263" s="93">
        <f t="shared" si="31"/>
        <v>20.122</v>
      </c>
      <c r="AF263">
        <v>14.95</v>
      </c>
      <c r="AG263" s="103">
        <f t="shared" si="32"/>
        <v>14</v>
      </c>
      <c r="AH263" s="37">
        <f t="shared" si="33"/>
        <v>20.121999999999996</v>
      </c>
      <c r="AJ263" s="97"/>
      <c r="AN263" s="39"/>
      <c r="AO263" s="39"/>
      <c r="AP263" s="94"/>
      <c r="AR263" s="38"/>
      <c r="AS263" s="49"/>
      <c r="AU263" s="97"/>
      <c r="AY263" s="39"/>
      <c r="AZ263" s="39"/>
      <c r="BA263" s="94"/>
      <c r="BC263" s="38"/>
      <c r="BD263" s="49"/>
    </row>
    <row r="264" spans="22:56" ht="16" x14ac:dyDescent="0.4">
      <c r="V264" s="97">
        <v>45891</v>
      </c>
      <c r="W264" s="16">
        <v>187308</v>
      </c>
      <c r="X264" s="101" t="s">
        <v>36</v>
      </c>
      <c r="Y264" s="105"/>
      <c r="Z264" s="50">
        <v>0.19652777777777777</v>
      </c>
      <c r="AA264" s="50">
        <v>0.65138888888888891</v>
      </c>
      <c r="AD264" s="37">
        <v>19594</v>
      </c>
      <c r="AE264" s="93">
        <f t="shared" si="31"/>
        <v>19.594000000000001</v>
      </c>
      <c r="AF264">
        <v>14.66</v>
      </c>
      <c r="AG264" s="103">
        <f t="shared" si="32"/>
        <v>14</v>
      </c>
      <c r="AH264" s="37">
        <f t="shared" si="33"/>
        <v>19.594000000000001</v>
      </c>
      <c r="AJ264" s="97"/>
      <c r="AN264" s="39"/>
      <c r="AO264" s="39"/>
      <c r="AP264" s="94"/>
      <c r="AR264" s="38"/>
      <c r="AS264" s="49"/>
      <c r="AU264" s="97"/>
      <c r="AY264" s="39"/>
      <c r="AZ264" s="39"/>
      <c r="BA264" s="94"/>
      <c r="BC264" s="38"/>
      <c r="BD264" s="49"/>
    </row>
    <row r="265" spans="22:56" ht="16" x14ac:dyDescent="0.4">
      <c r="V265" s="97">
        <v>45891</v>
      </c>
      <c r="W265" s="16">
        <v>187338</v>
      </c>
      <c r="X265" s="101" t="s">
        <v>36</v>
      </c>
      <c r="Y265" s="105"/>
      <c r="Z265" s="50">
        <v>0.39097222222222222</v>
      </c>
      <c r="AA265" s="50">
        <v>0.72361111111111109</v>
      </c>
      <c r="AD265" s="37">
        <v>22674</v>
      </c>
      <c r="AE265" s="93">
        <f t="shared" si="31"/>
        <v>22.673999999999999</v>
      </c>
      <c r="AF265">
        <v>14.41</v>
      </c>
      <c r="AG265" s="103">
        <f t="shared" si="32"/>
        <v>14</v>
      </c>
      <c r="AH265" s="37">
        <f t="shared" si="33"/>
        <v>22.673999999999999</v>
      </c>
      <c r="AJ265" s="97"/>
      <c r="AN265" s="39"/>
      <c r="AO265" s="39"/>
      <c r="AP265" s="94"/>
      <c r="AR265" s="38"/>
      <c r="AS265" s="49"/>
      <c r="AU265" s="97"/>
      <c r="AY265" s="39"/>
      <c r="AZ265" s="39"/>
      <c r="BA265" s="94"/>
      <c r="BC265" s="38"/>
      <c r="BD265" s="49"/>
    </row>
    <row r="266" spans="22:56" ht="16" x14ac:dyDescent="0.4">
      <c r="V266" s="97">
        <v>45891</v>
      </c>
      <c r="W266" s="16">
        <v>187357</v>
      </c>
      <c r="X266" s="101" t="s">
        <v>36</v>
      </c>
      <c r="Y266" s="105"/>
      <c r="Z266" s="50">
        <v>0.56768518518518518</v>
      </c>
      <c r="AA266" s="50">
        <v>0.77965277777777775</v>
      </c>
      <c r="AD266" s="37">
        <v>19692</v>
      </c>
      <c r="AE266" s="93">
        <f t="shared" si="31"/>
        <v>19.692</v>
      </c>
      <c r="AF266">
        <v>15.09</v>
      </c>
      <c r="AG266" s="103">
        <f t="shared" si="32"/>
        <v>14</v>
      </c>
      <c r="AH266" s="37">
        <f t="shared" si="33"/>
        <v>19.692</v>
      </c>
      <c r="AJ266" s="97"/>
      <c r="AN266" s="39"/>
      <c r="AO266" s="39"/>
      <c r="AP266" s="94"/>
      <c r="AR266" s="38"/>
      <c r="AS266" s="49"/>
      <c r="AU266" s="97"/>
      <c r="AY266" s="39"/>
      <c r="AZ266" s="39"/>
      <c r="BA266" s="94"/>
      <c r="BC266" s="38"/>
      <c r="BD266" s="49"/>
    </row>
    <row r="267" spans="22:56" ht="16" x14ac:dyDescent="0.4">
      <c r="V267" s="97">
        <v>45891</v>
      </c>
      <c r="W267" s="16">
        <v>187394</v>
      </c>
      <c r="X267" s="101" t="s">
        <v>36</v>
      </c>
      <c r="Y267" s="105"/>
      <c r="Z267" s="50">
        <v>0.76563657407407415</v>
      </c>
      <c r="AA267" s="50">
        <v>0.8583912037037037</v>
      </c>
      <c r="AD267" s="37">
        <v>20604</v>
      </c>
      <c r="AE267" s="93">
        <f t="shared" si="31"/>
        <v>20.603999999999999</v>
      </c>
      <c r="AF267">
        <v>15.05</v>
      </c>
      <c r="AG267" s="103">
        <f t="shared" si="32"/>
        <v>14</v>
      </c>
      <c r="AH267" s="37">
        <f t="shared" si="33"/>
        <v>20.604000000000003</v>
      </c>
      <c r="AJ267" s="97"/>
      <c r="AN267" s="39"/>
      <c r="AO267" s="39"/>
      <c r="AP267" s="47"/>
      <c r="AR267" s="38"/>
      <c r="AS267" s="49"/>
      <c r="AU267" s="97"/>
      <c r="AY267" s="39"/>
      <c r="AZ267" s="39"/>
      <c r="BA267" s="47"/>
      <c r="BC267" s="38"/>
      <c r="BD267" s="49"/>
    </row>
    <row r="268" spans="22:56" ht="16" x14ac:dyDescent="0.4">
      <c r="V268" s="97">
        <v>45891</v>
      </c>
      <c r="W268" s="16">
        <v>187422</v>
      </c>
      <c r="X268" s="101" t="s">
        <v>36</v>
      </c>
      <c r="Y268" s="105"/>
      <c r="Z268" s="50">
        <v>0.56756944444444446</v>
      </c>
      <c r="AA268" s="50">
        <v>0.91721064814814823</v>
      </c>
      <c r="AD268" s="37">
        <v>20108</v>
      </c>
      <c r="AE268" s="93">
        <f t="shared" si="31"/>
        <v>20.108000000000001</v>
      </c>
      <c r="AF268">
        <v>14.59</v>
      </c>
      <c r="AG268" s="103">
        <f t="shared" si="32"/>
        <v>14</v>
      </c>
      <c r="AH268" s="37">
        <f t="shared" si="33"/>
        <v>20.108000000000001</v>
      </c>
      <c r="AJ268" s="97"/>
      <c r="AN268" s="39"/>
      <c r="AO268" s="39"/>
      <c r="AP268" s="47"/>
      <c r="AR268" s="38"/>
      <c r="AS268" s="49"/>
      <c r="AU268" s="97"/>
      <c r="AY268" s="39"/>
      <c r="AZ268" s="39"/>
      <c r="BA268" s="47"/>
      <c r="BC268" s="38"/>
      <c r="BD268" s="49"/>
    </row>
    <row r="269" spans="22:56" ht="16" x14ac:dyDescent="0.4">
      <c r="V269" s="97">
        <v>45892</v>
      </c>
      <c r="W269" s="16">
        <v>187449</v>
      </c>
      <c r="X269" s="101" t="s">
        <v>36</v>
      </c>
      <c r="Y269" s="105"/>
      <c r="Z269" s="50">
        <v>0.76553240740740736</v>
      </c>
      <c r="AA269" s="50">
        <v>3.3912037037037036E-3</v>
      </c>
      <c r="AD269" s="37">
        <v>20386</v>
      </c>
      <c r="AE269" s="93">
        <f t="shared" si="31"/>
        <v>20.385999999999999</v>
      </c>
      <c r="AF269">
        <v>14.49</v>
      </c>
      <c r="AG269" s="103">
        <f t="shared" si="32"/>
        <v>14</v>
      </c>
      <c r="AH269" s="37">
        <f t="shared" si="33"/>
        <v>20.385999999999999</v>
      </c>
      <c r="AJ269" s="97"/>
      <c r="AN269" s="39"/>
      <c r="AO269" s="39"/>
      <c r="AP269" s="47"/>
      <c r="AR269" s="38"/>
      <c r="AS269" s="49"/>
      <c r="AU269" s="97"/>
      <c r="AY269" s="39"/>
      <c r="AZ269" s="39"/>
      <c r="BA269" s="47"/>
      <c r="BC269" s="38"/>
      <c r="BD269" s="49"/>
    </row>
    <row r="270" spans="22:56" ht="16" x14ac:dyDescent="0.4">
      <c r="V270" s="97">
        <v>45892</v>
      </c>
      <c r="W270" s="16">
        <v>187463</v>
      </c>
      <c r="X270" s="101" t="s">
        <v>36</v>
      </c>
      <c r="Y270" s="105"/>
      <c r="Z270" s="50">
        <v>0.95392361111111112</v>
      </c>
      <c r="AA270" s="50">
        <v>6.1226851851851859E-2</v>
      </c>
      <c r="AD270" s="37">
        <v>19332</v>
      </c>
      <c r="AE270" s="93">
        <f t="shared" si="31"/>
        <v>19.332000000000001</v>
      </c>
      <c r="AF270">
        <v>16.09</v>
      </c>
      <c r="AG270" s="103">
        <f t="shared" si="32"/>
        <v>14</v>
      </c>
      <c r="AH270" s="37">
        <f t="shared" si="33"/>
        <v>19.332000000000001</v>
      </c>
      <c r="AJ270" s="97"/>
      <c r="AN270" s="39"/>
      <c r="AO270" s="39"/>
      <c r="AP270" s="47"/>
      <c r="AR270" s="38"/>
      <c r="AS270" s="49"/>
      <c r="AU270" s="97"/>
      <c r="AY270" s="39"/>
      <c r="AZ270" s="39"/>
      <c r="BA270" s="47"/>
      <c r="BC270" s="38"/>
      <c r="BD270" s="49"/>
    </row>
    <row r="271" spans="22:56" ht="16" x14ac:dyDescent="0.4">
      <c r="V271" s="97">
        <v>45892</v>
      </c>
      <c r="W271" s="16">
        <v>187474</v>
      </c>
      <c r="X271" s="101" t="s">
        <v>36</v>
      </c>
      <c r="Y271" s="105"/>
      <c r="Z271" s="50">
        <v>0.76572916666666668</v>
      </c>
      <c r="AA271" s="50">
        <v>0.12510416666666666</v>
      </c>
      <c r="AD271" s="37">
        <v>19578</v>
      </c>
      <c r="AE271" s="93">
        <f t="shared" si="31"/>
        <v>19.577999999999999</v>
      </c>
      <c r="AF271">
        <v>15.41</v>
      </c>
      <c r="AG271" s="103">
        <f t="shared" si="32"/>
        <v>14</v>
      </c>
      <c r="AH271" s="37">
        <f t="shared" si="33"/>
        <v>19.577999999999999</v>
      </c>
      <c r="AJ271" s="97"/>
      <c r="AN271" s="39"/>
      <c r="AO271" s="39"/>
      <c r="AP271" s="47"/>
      <c r="AR271" s="38"/>
      <c r="AS271" s="49"/>
      <c r="AU271" s="97"/>
      <c r="AY271" s="39"/>
      <c r="AZ271" s="39"/>
      <c r="BA271" s="47"/>
      <c r="BC271" s="38"/>
      <c r="BD271" s="49"/>
    </row>
    <row r="272" spans="22:56" ht="16" x14ac:dyDescent="0.4">
      <c r="V272" s="97">
        <v>45892</v>
      </c>
      <c r="W272" s="16">
        <v>187482</v>
      </c>
      <c r="X272" s="101" t="s">
        <v>36</v>
      </c>
      <c r="Y272" s="105"/>
      <c r="Z272" s="50">
        <v>0.9538078703703704</v>
      </c>
      <c r="AA272" s="50">
        <v>0.1804050925925926</v>
      </c>
      <c r="AD272" s="37">
        <v>20150</v>
      </c>
      <c r="AE272" s="93">
        <f t="shared" si="31"/>
        <v>20.149999999999999</v>
      </c>
      <c r="AF272">
        <v>15.33</v>
      </c>
      <c r="AG272" s="103">
        <f t="shared" si="32"/>
        <v>14</v>
      </c>
      <c r="AH272" s="37">
        <f t="shared" si="33"/>
        <v>20.149999999999999</v>
      </c>
      <c r="AJ272" s="97"/>
      <c r="AN272" s="39"/>
      <c r="AO272" s="39"/>
      <c r="AP272" s="47"/>
      <c r="AR272" s="38"/>
      <c r="AS272" s="49"/>
      <c r="AU272" s="97"/>
      <c r="AY272" s="39"/>
      <c r="AZ272" s="39"/>
      <c r="BA272" s="47"/>
      <c r="BC272" s="38"/>
      <c r="BD272" s="49"/>
    </row>
    <row r="273" spans="22:56" ht="16" x14ac:dyDescent="0.4">
      <c r="V273" s="97">
        <v>45892</v>
      </c>
      <c r="W273" s="16">
        <v>215824</v>
      </c>
      <c r="X273" s="101" t="s">
        <v>36</v>
      </c>
      <c r="Y273" s="105"/>
      <c r="Z273" s="50">
        <v>1.5409722222222222</v>
      </c>
      <c r="AA273" s="50">
        <v>0.23750000000000002</v>
      </c>
      <c r="AD273" s="37">
        <v>17426</v>
      </c>
      <c r="AE273" s="93">
        <f t="shared" si="31"/>
        <v>17.425999999999998</v>
      </c>
      <c r="AF273">
        <v>13.24</v>
      </c>
      <c r="AG273" s="103">
        <f t="shared" si="32"/>
        <v>13.24</v>
      </c>
      <c r="AH273" s="37">
        <f t="shared" si="33"/>
        <v>16.480017142857143</v>
      </c>
      <c r="AJ273" s="97"/>
      <c r="AN273" s="39"/>
      <c r="AO273" s="39"/>
      <c r="AP273" s="47"/>
      <c r="AR273" s="38"/>
      <c r="AS273" s="49"/>
      <c r="AU273" s="97"/>
      <c r="AY273" s="39"/>
      <c r="AZ273" s="39"/>
      <c r="BA273" s="47"/>
      <c r="BC273" s="38"/>
      <c r="BD273" s="49"/>
    </row>
    <row r="274" spans="22:56" ht="16" x14ac:dyDescent="0.4">
      <c r="V274" s="97">
        <v>45892</v>
      </c>
      <c r="W274" s="16">
        <v>187527</v>
      </c>
      <c r="X274" s="101" t="s">
        <v>36</v>
      </c>
      <c r="Y274" s="105"/>
      <c r="Z274" s="50">
        <v>0.22500000000000001</v>
      </c>
      <c r="AA274" s="50">
        <v>0.35625000000000001</v>
      </c>
      <c r="AD274" s="37">
        <v>20808</v>
      </c>
      <c r="AE274" s="93">
        <f t="shared" si="31"/>
        <v>20.808</v>
      </c>
      <c r="AF274">
        <v>14.69</v>
      </c>
      <c r="AG274" s="103">
        <f t="shared" si="32"/>
        <v>14</v>
      </c>
      <c r="AH274" s="37">
        <f t="shared" si="33"/>
        <v>20.808</v>
      </c>
      <c r="AJ274" s="97"/>
      <c r="AN274" s="39"/>
      <c r="AO274" s="39"/>
      <c r="AP274" s="47"/>
      <c r="AR274" s="38"/>
      <c r="AS274" s="49"/>
      <c r="AU274" s="97"/>
      <c r="AY274" s="39"/>
      <c r="AZ274" s="39"/>
      <c r="BA274" s="47"/>
      <c r="BC274" s="38"/>
      <c r="BD274" s="49"/>
    </row>
    <row r="275" spans="22:56" ht="16" x14ac:dyDescent="0.4">
      <c r="V275" s="97">
        <v>45892</v>
      </c>
      <c r="W275" s="16">
        <v>187569</v>
      </c>
      <c r="X275" s="101" t="s">
        <v>36</v>
      </c>
      <c r="Y275" s="105"/>
      <c r="Z275" s="50">
        <v>0.16597222222222222</v>
      </c>
      <c r="AA275" s="50">
        <v>0.41111111111111115</v>
      </c>
      <c r="AD275" s="37">
        <v>20110</v>
      </c>
      <c r="AE275" s="93">
        <f t="shared" si="31"/>
        <v>20.11</v>
      </c>
      <c r="AF275">
        <v>15.66</v>
      </c>
      <c r="AG275" s="103">
        <f t="shared" si="32"/>
        <v>14</v>
      </c>
      <c r="AH275" s="37">
        <f t="shared" si="33"/>
        <v>20.109999999999996</v>
      </c>
      <c r="AJ275" s="97"/>
      <c r="AN275" s="39"/>
      <c r="AO275" s="39"/>
      <c r="AP275" s="47"/>
      <c r="AR275" s="38"/>
      <c r="AS275" s="49"/>
      <c r="AU275" s="97"/>
      <c r="AY275" s="39"/>
      <c r="AZ275" s="39"/>
      <c r="BA275" s="47"/>
      <c r="BC275" s="38"/>
      <c r="BD275" s="49"/>
    </row>
    <row r="276" spans="22:56" ht="16" x14ac:dyDescent="0.4">
      <c r="V276" s="97">
        <v>45892</v>
      </c>
      <c r="W276" s="16">
        <v>187624</v>
      </c>
      <c r="X276" s="101" t="s">
        <v>36</v>
      </c>
      <c r="Y276" s="105"/>
      <c r="Z276" s="50">
        <v>0.95347222222222217</v>
      </c>
      <c r="AA276" s="50">
        <v>0.4826388888888889</v>
      </c>
      <c r="AD276" s="37">
        <v>21314</v>
      </c>
      <c r="AE276" s="93">
        <f t="shared" si="31"/>
        <v>21.314</v>
      </c>
      <c r="AF276">
        <v>14.09</v>
      </c>
      <c r="AG276" s="103">
        <f t="shared" si="32"/>
        <v>14</v>
      </c>
      <c r="AH276" s="37">
        <f t="shared" si="33"/>
        <v>21.314</v>
      </c>
      <c r="AJ276" s="97"/>
      <c r="AN276" s="39"/>
      <c r="AO276" s="39"/>
      <c r="AP276" s="47"/>
      <c r="AR276" s="38"/>
      <c r="AS276" s="49"/>
      <c r="AU276" s="97"/>
      <c r="AY276" s="39"/>
      <c r="AZ276" s="39"/>
      <c r="BA276" s="47"/>
      <c r="BC276" s="38"/>
      <c r="BD276" s="49"/>
    </row>
    <row r="277" spans="22:56" ht="16" x14ac:dyDescent="0.4">
      <c r="V277" s="97">
        <v>45892</v>
      </c>
      <c r="W277" s="16">
        <v>187649</v>
      </c>
      <c r="X277" s="101" t="s">
        <v>36</v>
      </c>
      <c r="Y277" s="105"/>
      <c r="Z277" s="50">
        <v>0.16597222222222222</v>
      </c>
      <c r="AA277" s="50">
        <v>0.55347222222222225</v>
      </c>
      <c r="AD277" s="37">
        <v>20494</v>
      </c>
      <c r="AE277" s="93">
        <f t="shared" si="31"/>
        <v>20.494</v>
      </c>
      <c r="AF277">
        <v>15.27</v>
      </c>
      <c r="AG277" s="103">
        <f t="shared" si="32"/>
        <v>14</v>
      </c>
      <c r="AH277" s="37">
        <f t="shared" si="33"/>
        <v>20.494</v>
      </c>
      <c r="AJ277" s="97"/>
      <c r="AN277" s="39"/>
      <c r="AO277" s="39"/>
      <c r="AP277" s="47"/>
      <c r="AR277" s="38"/>
      <c r="AS277" s="49"/>
      <c r="AU277" s="97"/>
      <c r="AY277" s="39"/>
      <c r="AZ277" s="39"/>
      <c r="BA277" s="47"/>
      <c r="BC277" s="38"/>
      <c r="BD277" s="49"/>
    </row>
    <row r="278" spans="22:56" ht="16" x14ac:dyDescent="0.4">
      <c r="V278" s="97">
        <v>45892</v>
      </c>
      <c r="W278" s="16">
        <v>187692</v>
      </c>
      <c r="X278" s="101" t="s">
        <v>36</v>
      </c>
      <c r="Y278" s="105"/>
      <c r="Z278" s="50">
        <v>0.54097222222222219</v>
      </c>
      <c r="AA278" s="50">
        <v>0.62777777777777777</v>
      </c>
      <c r="AD278" s="37">
        <v>21812</v>
      </c>
      <c r="AE278" s="93">
        <f t="shared" si="31"/>
        <v>21.812000000000001</v>
      </c>
      <c r="AF278">
        <v>14.34</v>
      </c>
      <c r="AG278" s="103">
        <f t="shared" si="32"/>
        <v>14</v>
      </c>
      <c r="AH278" s="37">
        <f t="shared" si="33"/>
        <v>21.812000000000001</v>
      </c>
      <c r="AJ278" s="97"/>
      <c r="AN278" s="39"/>
      <c r="AO278" s="39"/>
      <c r="AP278" s="47"/>
      <c r="AR278" s="38"/>
      <c r="AS278" s="49"/>
      <c r="AU278" s="97"/>
      <c r="AY278" s="39"/>
      <c r="AZ278" s="39"/>
      <c r="BA278" s="47"/>
      <c r="BC278" s="38"/>
      <c r="BD278" s="49"/>
    </row>
    <row r="279" spans="22:56" ht="16" x14ac:dyDescent="0.4">
      <c r="V279" s="97">
        <v>45892</v>
      </c>
      <c r="W279" s="16">
        <v>187723</v>
      </c>
      <c r="X279" s="101" t="s">
        <v>36</v>
      </c>
      <c r="Y279" s="105"/>
      <c r="Z279" s="50">
        <v>0.60972222222222217</v>
      </c>
      <c r="AA279" s="50">
        <v>0.68819444444444444</v>
      </c>
      <c r="AD279" s="37">
        <v>22638</v>
      </c>
      <c r="AE279" s="93">
        <f t="shared" si="31"/>
        <v>22.638000000000002</v>
      </c>
      <c r="AF279">
        <v>14.52</v>
      </c>
      <c r="AG279" s="103">
        <f t="shared" si="32"/>
        <v>14</v>
      </c>
      <c r="AH279" s="37">
        <f t="shared" si="33"/>
        <v>22.638000000000002</v>
      </c>
      <c r="AJ279" s="97"/>
      <c r="AN279" s="39"/>
      <c r="AO279" s="39"/>
      <c r="AP279" s="47"/>
      <c r="AR279" s="38"/>
      <c r="AS279" s="49"/>
      <c r="AU279" s="97"/>
      <c r="AY279" s="39"/>
      <c r="AZ279" s="39"/>
      <c r="BA279" s="47"/>
      <c r="BC279" s="38"/>
      <c r="BD279" s="49"/>
    </row>
    <row r="280" spans="22:56" ht="16" x14ac:dyDescent="0.4">
      <c r="V280" s="97">
        <v>45892</v>
      </c>
      <c r="W280" s="16">
        <v>187738</v>
      </c>
      <c r="X280" s="101" t="s">
        <v>36</v>
      </c>
      <c r="Y280" s="105"/>
      <c r="Z280" s="50">
        <v>0.54097222222222219</v>
      </c>
      <c r="AA280" s="50">
        <v>0.7319444444444444</v>
      </c>
      <c r="AD280" s="37">
        <v>17528</v>
      </c>
      <c r="AE280" s="93">
        <f t="shared" si="31"/>
        <v>17.527999999999999</v>
      </c>
      <c r="AF280">
        <v>15.45</v>
      </c>
      <c r="AG280" s="103">
        <f t="shared" si="32"/>
        <v>14</v>
      </c>
      <c r="AH280" s="37">
        <f t="shared" si="33"/>
        <v>17.527999999999999</v>
      </c>
      <c r="AJ280" s="97"/>
      <c r="AN280" s="39"/>
      <c r="AO280" s="39"/>
      <c r="AP280" s="47"/>
      <c r="AR280" s="38"/>
      <c r="AS280" s="49"/>
      <c r="AU280" s="97"/>
      <c r="AY280" s="39"/>
      <c r="AZ280" s="39"/>
      <c r="BA280" s="47"/>
      <c r="BC280" s="38"/>
      <c r="BD280" s="49"/>
    </row>
    <row r="281" spans="22:56" ht="16" x14ac:dyDescent="0.4">
      <c r="V281" s="97">
        <v>45892</v>
      </c>
      <c r="W281" s="16">
        <v>187753</v>
      </c>
      <c r="X281" s="101" t="s">
        <v>36</v>
      </c>
      <c r="Y281" s="105"/>
      <c r="Z281" s="50">
        <v>0.7361805555555555</v>
      </c>
      <c r="AA281" s="50">
        <v>0.78268518518518526</v>
      </c>
      <c r="AD281" s="37">
        <v>18486</v>
      </c>
      <c r="AE281" s="93">
        <f t="shared" si="31"/>
        <v>18.486000000000001</v>
      </c>
      <c r="AF281">
        <v>16.059999999999999</v>
      </c>
      <c r="AG281" s="103">
        <f t="shared" si="32"/>
        <v>14</v>
      </c>
      <c r="AH281" s="37">
        <f t="shared" si="33"/>
        <v>18.486000000000001</v>
      </c>
      <c r="AJ281" s="97"/>
      <c r="AN281" s="39"/>
      <c r="AO281" s="39"/>
      <c r="AP281" s="47"/>
      <c r="AR281" s="38"/>
      <c r="AS281" s="49"/>
      <c r="AU281" s="97"/>
      <c r="AY281" s="39"/>
      <c r="AZ281" s="39"/>
      <c r="BA281" s="47"/>
      <c r="BC281" s="38"/>
      <c r="BD281" s="49"/>
    </row>
    <row r="282" spans="22:56" ht="16" x14ac:dyDescent="0.4">
      <c r="V282" s="97">
        <v>45892</v>
      </c>
      <c r="W282" s="16">
        <v>187769</v>
      </c>
      <c r="X282" s="101" t="s">
        <v>36</v>
      </c>
      <c r="Y282" s="105"/>
      <c r="Z282" s="50">
        <v>0.54136574074074073</v>
      </c>
      <c r="AA282" s="50">
        <v>0.84490740740740744</v>
      </c>
      <c r="AD282" s="37">
        <v>20118</v>
      </c>
      <c r="AE282" s="93">
        <f t="shared" si="31"/>
        <v>20.117999999999999</v>
      </c>
      <c r="AF282">
        <v>14.91</v>
      </c>
      <c r="AG282" s="103">
        <f t="shared" si="32"/>
        <v>14</v>
      </c>
      <c r="AH282" s="37">
        <f t="shared" si="33"/>
        <v>20.117999999999999</v>
      </c>
      <c r="AJ282" s="97"/>
      <c r="AN282" s="39"/>
      <c r="AO282" s="39"/>
      <c r="AP282" s="47"/>
      <c r="AR282" s="38"/>
      <c r="AS282" s="49"/>
      <c r="AU282" s="97"/>
      <c r="AY282" s="39"/>
      <c r="AZ282" s="39"/>
      <c r="BA282" s="47"/>
      <c r="BC282" s="38"/>
      <c r="BD282" s="49"/>
    </row>
    <row r="283" spans="22:56" ht="16" x14ac:dyDescent="0.4">
      <c r="V283" s="97">
        <v>45892</v>
      </c>
      <c r="W283" s="16">
        <v>187484</v>
      </c>
      <c r="X283" s="101" t="s">
        <v>36</v>
      </c>
      <c r="Y283" s="105"/>
      <c r="Z283" s="50">
        <v>0.63526620370370368</v>
      </c>
      <c r="AA283" s="50">
        <v>0.89725694444444448</v>
      </c>
      <c r="AD283" s="37">
        <v>18024</v>
      </c>
      <c r="AE283" s="93">
        <f t="shared" si="31"/>
        <v>18.024000000000001</v>
      </c>
      <c r="AF283">
        <v>16.88</v>
      </c>
      <c r="AG283" s="103">
        <f t="shared" si="32"/>
        <v>14</v>
      </c>
      <c r="AH283" s="37">
        <f t="shared" si="33"/>
        <v>18.024000000000001</v>
      </c>
      <c r="AJ283" s="97"/>
      <c r="AN283" s="39"/>
      <c r="AO283" s="39"/>
      <c r="AP283" s="47"/>
      <c r="AR283" s="38"/>
      <c r="AS283" s="49"/>
      <c r="AU283" s="97"/>
      <c r="AY283" s="39"/>
      <c r="AZ283" s="39"/>
      <c r="BA283" s="47"/>
      <c r="BC283" s="38"/>
      <c r="BD283" s="49"/>
    </row>
    <row r="284" spans="22:56" ht="16" x14ac:dyDescent="0.4">
      <c r="V284" s="97">
        <v>45892</v>
      </c>
      <c r="W284" s="16">
        <v>187483</v>
      </c>
      <c r="X284" s="101" t="s">
        <v>36</v>
      </c>
      <c r="Y284" s="105"/>
      <c r="Z284" s="50">
        <v>0.88429398148148142</v>
      </c>
      <c r="AA284" s="50">
        <v>0.98630787037037038</v>
      </c>
      <c r="AD284" s="37">
        <v>20596</v>
      </c>
      <c r="AE284" s="93">
        <f t="shared" si="31"/>
        <v>20.596</v>
      </c>
      <c r="AF284">
        <v>14.41</v>
      </c>
      <c r="AG284" s="103">
        <f t="shared" si="32"/>
        <v>14</v>
      </c>
      <c r="AH284" s="37">
        <f t="shared" si="33"/>
        <v>20.596</v>
      </c>
      <c r="AJ284" s="97"/>
      <c r="AN284" s="39"/>
      <c r="AO284" s="39"/>
      <c r="AP284" s="47"/>
      <c r="AR284" s="38"/>
      <c r="AS284" s="49"/>
      <c r="AU284" s="97"/>
      <c r="AY284" s="39"/>
      <c r="AZ284" s="39"/>
      <c r="BA284" s="47"/>
      <c r="BC284" s="38"/>
      <c r="BD284" s="49"/>
    </row>
    <row r="285" spans="22:56" ht="16" x14ac:dyDescent="0.4">
      <c r="V285" s="97">
        <v>45893</v>
      </c>
      <c r="W285" s="16">
        <v>187822</v>
      </c>
      <c r="X285" s="101" t="s">
        <v>36</v>
      </c>
      <c r="Y285" s="105"/>
      <c r="Z285" s="50">
        <v>0.73609953703703701</v>
      </c>
      <c r="AA285" s="50">
        <v>4.7094907407407405E-2</v>
      </c>
      <c r="AD285" s="37">
        <v>19364</v>
      </c>
      <c r="AE285" s="93">
        <f t="shared" si="31"/>
        <v>19.364000000000001</v>
      </c>
      <c r="AF285">
        <v>15.3</v>
      </c>
      <c r="AG285" s="103">
        <f t="shared" si="32"/>
        <v>14</v>
      </c>
      <c r="AH285" s="37">
        <f t="shared" si="33"/>
        <v>19.364000000000001</v>
      </c>
      <c r="AJ285" s="97"/>
      <c r="AN285" s="39"/>
      <c r="AO285" s="39"/>
      <c r="AP285" s="47"/>
      <c r="AR285" s="38"/>
      <c r="AS285" s="49"/>
      <c r="AU285" s="97"/>
      <c r="AY285" s="39"/>
      <c r="AZ285" s="39"/>
      <c r="BA285" s="47"/>
      <c r="BC285" s="38"/>
      <c r="BD285" s="49"/>
    </row>
    <row r="286" spans="22:56" ht="16" x14ac:dyDescent="0.4">
      <c r="V286" s="97">
        <v>45893</v>
      </c>
      <c r="W286" s="16">
        <v>187828</v>
      </c>
      <c r="X286" s="101" t="s">
        <v>36</v>
      </c>
      <c r="Y286" s="105"/>
      <c r="Z286" s="50">
        <v>0.8841782407407407</v>
      </c>
      <c r="AA286" s="50">
        <v>0.10133101851851851</v>
      </c>
      <c r="AD286" s="37">
        <v>19660</v>
      </c>
      <c r="AE286" s="93">
        <f t="shared" si="31"/>
        <v>19.66</v>
      </c>
      <c r="AF286">
        <v>15.16</v>
      </c>
      <c r="AG286" s="103">
        <f t="shared" si="32"/>
        <v>14</v>
      </c>
      <c r="AH286" s="37">
        <f t="shared" si="33"/>
        <v>19.66</v>
      </c>
      <c r="AJ286" s="97"/>
      <c r="AN286" s="39"/>
      <c r="AP286" s="47"/>
      <c r="AR286" s="38"/>
      <c r="AS286" s="49"/>
      <c r="AU286" s="97"/>
      <c r="AY286" s="39"/>
      <c r="BA286" s="47"/>
      <c r="BC286" s="38"/>
      <c r="BD286" s="49"/>
    </row>
    <row r="287" spans="22:56" ht="16" x14ac:dyDescent="0.4">
      <c r="V287" s="97">
        <v>45893</v>
      </c>
      <c r="W287" s="16">
        <v>187837</v>
      </c>
      <c r="X287" s="101" t="s">
        <v>36</v>
      </c>
      <c r="Y287" s="105"/>
      <c r="Z287" s="50">
        <v>0.73103009259259266</v>
      </c>
      <c r="AA287" s="50">
        <v>0.15541666666666668</v>
      </c>
      <c r="AD287" s="37">
        <v>20004</v>
      </c>
      <c r="AE287" s="93">
        <f t="shared" si="31"/>
        <v>20.004000000000001</v>
      </c>
      <c r="AF287">
        <v>15.31</v>
      </c>
      <c r="AG287" s="103">
        <f t="shared" si="32"/>
        <v>14</v>
      </c>
      <c r="AH287" s="37">
        <f t="shared" si="33"/>
        <v>20.004000000000001</v>
      </c>
      <c r="AJ287" s="97"/>
      <c r="AN287" s="39"/>
      <c r="AO287" s="39"/>
      <c r="AP287" s="47"/>
      <c r="AR287" s="38"/>
      <c r="AS287" s="49"/>
      <c r="AU287" s="97"/>
      <c r="AY287" s="39"/>
      <c r="AZ287" s="39"/>
      <c r="BA287" s="47"/>
      <c r="BC287" s="38"/>
      <c r="BD287" s="49"/>
    </row>
    <row r="288" spans="22:56" ht="16" x14ac:dyDescent="0.4">
      <c r="V288" s="97">
        <v>45893</v>
      </c>
      <c r="W288" s="16">
        <v>187842</v>
      </c>
      <c r="X288" s="101" t="s">
        <v>36</v>
      </c>
      <c r="Y288" s="105"/>
      <c r="Z288" s="50">
        <v>0.81421296296296297</v>
      </c>
      <c r="AA288" s="50">
        <v>0.20340277777777779</v>
      </c>
      <c r="AD288" s="37">
        <v>19030</v>
      </c>
      <c r="AE288" s="93">
        <f t="shared" si="31"/>
        <v>19.03</v>
      </c>
      <c r="AF288">
        <v>15.13</v>
      </c>
      <c r="AG288" s="103">
        <f t="shared" si="32"/>
        <v>14</v>
      </c>
      <c r="AH288" s="37">
        <f t="shared" si="33"/>
        <v>19.03</v>
      </c>
      <c r="AJ288" s="97"/>
      <c r="AN288" s="39"/>
      <c r="AO288" s="39"/>
      <c r="AP288" s="47"/>
      <c r="AR288" s="38"/>
      <c r="AS288" s="49"/>
      <c r="AU288" s="97"/>
      <c r="AY288" s="39"/>
      <c r="AZ288" s="39"/>
      <c r="BA288" s="47"/>
      <c r="BC288" s="38"/>
      <c r="BD288" s="49"/>
    </row>
    <row r="289" spans="22:56" ht="16" x14ac:dyDescent="0.4">
      <c r="V289" s="97">
        <v>45893</v>
      </c>
      <c r="W289" s="16">
        <v>187845</v>
      </c>
      <c r="X289" s="101" t="s">
        <v>36</v>
      </c>
      <c r="Y289" s="105"/>
      <c r="Z289" s="50">
        <v>0.19166666666666665</v>
      </c>
      <c r="AA289" s="50">
        <v>0.2638888888888889</v>
      </c>
      <c r="AD289" s="37">
        <v>15542</v>
      </c>
      <c r="AE289" s="93">
        <f t="shared" si="31"/>
        <v>15.542</v>
      </c>
      <c r="AF289">
        <v>14.24</v>
      </c>
      <c r="AG289" s="103">
        <f t="shared" si="32"/>
        <v>14</v>
      </c>
      <c r="AH289" s="37">
        <f t="shared" si="33"/>
        <v>15.542</v>
      </c>
      <c r="AJ289" s="97"/>
      <c r="AN289" s="39"/>
      <c r="AO289" s="39"/>
      <c r="AP289" s="47"/>
      <c r="AR289" s="38"/>
      <c r="AS289" s="49"/>
      <c r="AU289" s="97"/>
      <c r="AY289" s="39"/>
      <c r="AZ289" s="39"/>
      <c r="BA289" s="47"/>
      <c r="BC289" s="38"/>
      <c r="BD289" s="49"/>
    </row>
    <row r="290" spans="22:56" ht="16" x14ac:dyDescent="0.4">
      <c r="V290" s="97"/>
      <c r="W290" s="16"/>
      <c r="X290" s="101"/>
      <c r="Y290" s="105"/>
      <c r="Z290" s="50"/>
      <c r="AA290" s="50"/>
      <c r="AD290" s="37"/>
      <c r="AE290" s="93"/>
      <c r="AG290" s="103"/>
      <c r="AH290" s="37"/>
      <c r="AJ290" s="97"/>
      <c r="AN290" s="39"/>
      <c r="AO290" s="39"/>
      <c r="AP290" s="47"/>
      <c r="AR290" s="38"/>
      <c r="AS290" s="38"/>
      <c r="AU290" s="97"/>
      <c r="AY290" s="39"/>
      <c r="AZ290" s="39"/>
      <c r="BA290" s="47"/>
      <c r="BC290" s="38"/>
      <c r="BD290" s="38"/>
    </row>
    <row r="291" spans="22:56" ht="16" x14ac:dyDescent="0.4">
      <c r="V291" s="97">
        <v>45895</v>
      </c>
      <c r="W291" s="16">
        <v>188209</v>
      </c>
      <c r="X291" s="101" t="s">
        <v>36</v>
      </c>
      <c r="Y291" s="105"/>
      <c r="Z291" s="102">
        <v>0.88443287037037033</v>
      </c>
      <c r="AA291" s="102">
        <v>0.41741898148148149</v>
      </c>
      <c r="AB291" s="16"/>
      <c r="AC291" s="16"/>
      <c r="AD291" s="93">
        <v>21620</v>
      </c>
      <c r="AE291" s="93">
        <f t="shared" si="31"/>
        <v>21.62</v>
      </c>
      <c r="AF291" s="16">
        <v>14.63</v>
      </c>
      <c r="AG291" s="103">
        <f t="shared" si="32"/>
        <v>14</v>
      </c>
      <c r="AH291" s="37">
        <f t="shared" si="33"/>
        <v>21.62</v>
      </c>
      <c r="AJ291" s="97"/>
      <c r="AN291" s="39"/>
      <c r="AO291" s="39"/>
      <c r="AP291" s="47"/>
      <c r="AR291" s="38"/>
      <c r="AS291" s="38"/>
      <c r="AU291" s="97"/>
      <c r="AY291" s="39"/>
      <c r="AZ291" s="39"/>
      <c r="BA291" s="47"/>
      <c r="BC291" s="38"/>
      <c r="BD291" s="38"/>
    </row>
    <row r="292" spans="22:56" ht="16" x14ac:dyDescent="0.4">
      <c r="V292" s="97">
        <v>45895</v>
      </c>
      <c r="W292" s="16">
        <v>188296</v>
      </c>
      <c r="X292" s="101" t="s">
        <v>36</v>
      </c>
      <c r="Y292" s="105"/>
      <c r="Z292" s="102">
        <v>9.0104166666666666E-2</v>
      </c>
      <c r="AA292" s="102">
        <v>0.51915509259259263</v>
      </c>
      <c r="AB292" s="16"/>
      <c r="AC292" s="16"/>
      <c r="AD292" s="93">
        <v>21738</v>
      </c>
      <c r="AE292" s="93">
        <f t="shared" si="31"/>
        <v>21.738</v>
      </c>
      <c r="AF292" s="16">
        <v>15.02</v>
      </c>
      <c r="AG292" s="103">
        <f t="shared" si="32"/>
        <v>14</v>
      </c>
      <c r="AH292" s="37">
        <f t="shared" si="33"/>
        <v>21.738</v>
      </c>
      <c r="AJ292" s="97"/>
      <c r="AN292" s="39"/>
      <c r="AO292" s="39"/>
      <c r="AP292" s="47"/>
      <c r="AR292" s="38"/>
      <c r="AS292" s="38"/>
      <c r="AU292" s="97"/>
      <c r="AY292" s="39"/>
      <c r="AZ292" s="39"/>
      <c r="BA292" s="47"/>
      <c r="BC292" s="38"/>
      <c r="BD292" s="38"/>
    </row>
    <row r="293" spans="22:56" ht="16" x14ac:dyDescent="0.4">
      <c r="V293" s="97">
        <v>45895</v>
      </c>
      <c r="W293" s="16">
        <v>188346</v>
      </c>
      <c r="X293" s="101" t="s">
        <v>36</v>
      </c>
      <c r="Y293" s="105"/>
      <c r="Z293" s="102">
        <v>0.47565972222222225</v>
      </c>
      <c r="AA293" s="102">
        <v>0.5881481481481482</v>
      </c>
      <c r="AB293" s="16"/>
      <c r="AC293" s="16"/>
      <c r="AD293" s="93">
        <v>19652</v>
      </c>
      <c r="AE293" s="93">
        <f t="shared" si="31"/>
        <v>19.652000000000001</v>
      </c>
      <c r="AF293" s="16">
        <v>15.91</v>
      </c>
      <c r="AG293" s="103">
        <f t="shared" si="32"/>
        <v>14</v>
      </c>
      <c r="AH293" s="37">
        <f t="shared" si="33"/>
        <v>19.652000000000005</v>
      </c>
      <c r="AJ293" s="97"/>
      <c r="AN293" s="39"/>
      <c r="AO293" s="39"/>
      <c r="AP293" s="47"/>
      <c r="AR293" s="38"/>
      <c r="AS293" s="38"/>
      <c r="AU293" s="97"/>
      <c r="AY293" s="39"/>
      <c r="AZ293" s="39"/>
      <c r="BA293" s="47"/>
      <c r="BC293" s="38"/>
      <c r="BD293" s="38"/>
    </row>
    <row r="294" spans="22:56" ht="16" x14ac:dyDescent="0.4">
      <c r="V294" s="97">
        <v>45895</v>
      </c>
      <c r="W294" s="16">
        <v>188408</v>
      </c>
      <c r="X294" s="101" t="s">
        <v>36</v>
      </c>
      <c r="Y294" s="105"/>
      <c r="Z294" s="102">
        <v>9.043981481481482E-2</v>
      </c>
      <c r="AA294" s="102">
        <v>0.65954861111111118</v>
      </c>
      <c r="AB294" s="16"/>
      <c r="AC294" s="16"/>
      <c r="AD294" s="93">
        <v>21464</v>
      </c>
      <c r="AE294" s="93">
        <f t="shared" si="31"/>
        <v>21.463999999999999</v>
      </c>
      <c r="AF294" s="16">
        <v>16.13</v>
      </c>
      <c r="AG294" s="103">
        <f t="shared" si="32"/>
        <v>14</v>
      </c>
      <c r="AH294" s="37">
        <f t="shared" si="33"/>
        <v>21.463999999999999</v>
      </c>
      <c r="AJ294" s="97"/>
      <c r="AN294" s="39"/>
      <c r="AO294" s="39"/>
      <c r="AP294" s="47"/>
      <c r="AR294" s="38"/>
      <c r="AS294" s="38"/>
      <c r="AU294" s="97"/>
      <c r="AY294" s="39"/>
      <c r="AZ294" s="39"/>
      <c r="BA294" s="47"/>
      <c r="BC294" s="38"/>
      <c r="BD294" s="38"/>
    </row>
    <row r="295" spans="22:56" ht="16" x14ac:dyDescent="0.4">
      <c r="V295" s="97">
        <v>45895</v>
      </c>
      <c r="W295" s="16">
        <v>188434</v>
      </c>
      <c r="X295" s="101" t="s">
        <v>36</v>
      </c>
      <c r="Y295" s="105"/>
      <c r="Z295" s="102">
        <v>0.47553240740740743</v>
      </c>
      <c r="AA295" s="102">
        <v>0.72532407407407407</v>
      </c>
      <c r="AB295" s="16"/>
      <c r="AC295" s="16"/>
      <c r="AD295" s="93">
        <v>21852</v>
      </c>
      <c r="AE295" s="93">
        <f t="shared" si="31"/>
        <v>21.852</v>
      </c>
      <c r="AF295" s="16">
        <v>16.2</v>
      </c>
      <c r="AG295" s="103">
        <f t="shared" si="32"/>
        <v>14</v>
      </c>
      <c r="AH295" s="37">
        <f t="shared" si="33"/>
        <v>21.852</v>
      </c>
      <c r="AJ295" s="97"/>
      <c r="AN295" s="39"/>
      <c r="AP295" s="47"/>
      <c r="AR295" s="38"/>
      <c r="AS295" s="38"/>
      <c r="AU295" s="97"/>
      <c r="AY295" s="39"/>
      <c r="BA295" s="47"/>
      <c r="BC295" s="38"/>
      <c r="BD295" s="38"/>
    </row>
    <row r="296" spans="22:56" ht="16" x14ac:dyDescent="0.4">
      <c r="V296" s="97">
        <v>45895</v>
      </c>
      <c r="W296" s="16">
        <v>188449</v>
      </c>
      <c r="X296" s="101" t="s">
        <v>36</v>
      </c>
      <c r="Y296" s="105"/>
      <c r="Z296" s="102">
        <v>8.9583333333333334E-2</v>
      </c>
      <c r="AA296" s="102">
        <v>0.7895833333333333</v>
      </c>
      <c r="AB296" s="16"/>
      <c r="AC296" s="16"/>
      <c r="AD296" s="93">
        <v>18058</v>
      </c>
      <c r="AE296" s="93">
        <f t="shared" si="31"/>
        <v>18.058</v>
      </c>
      <c r="AF296" s="16">
        <v>15.16</v>
      </c>
      <c r="AG296" s="103">
        <f t="shared" si="32"/>
        <v>14</v>
      </c>
      <c r="AH296" s="37">
        <f t="shared" si="33"/>
        <v>18.058</v>
      </c>
      <c r="AJ296" s="97"/>
      <c r="AN296" s="39"/>
      <c r="AO296" s="39"/>
      <c r="AP296" s="47"/>
      <c r="AR296" s="38"/>
      <c r="AS296" s="38"/>
      <c r="AU296" s="97"/>
      <c r="AY296" s="39"/>
      <c r="AZ296" s="39"/>
      <c r="BA296" s="47"/>
      <c r="BC296" s="38"/>
      <c r="BD296" s="38"/>
    </row>
    <row r="297" spans="22:56" ht="16" x14ac:dyDescent="0.4">
      <c r="V297" s="97">
        <v>45895</v>
      </c>
      <c r="W297" s="16">
        <v>188478</v>
      </c>
      <c r="X297" s="101" t="s">
        <v>36</v>
      </c>
      <c r="Y297" s="105"/>
      <c r="Z297" s="102">
        <v>0.76944444444444438</v>
      </c>
      <c r="AA297" s="102">
        <v>0.84722222222222221</v>
      </c>
      <c r="AB297" s="16"/>
      <c r="AC297" s="16"/>
      <c r="AD297" s="93">
        <v>20772</v>
      </c>
      <c r="AE297" s="93">
        <f t="shared" si="31"/>
        <v>20.771999999999998</v>
      </c>
      <c r="AF297" s="16">
        <v>14.88</v>
      </c>
      <c r="AG297" s="103">
        <f t="shared" si="32"/>
        <v>14</v>
      </c>
      <c r="AH297" s="37">
        <f t="shared" si="33"/>
        <v>20.771999999999998</v>
      </c>
      <c r="AJ297" s="97"/>
      <c r="AN297" s="39"/>
      <c r="AO297" s="39"/>
      <c r="AP297" s="47"/>
      <c r="AR297" s="38"/>
      <c r="AS297" s="38"/>
      <c r="AU297" s="97"/>
      <c r="AY297" s="39"/>
      <c r="AZ297" s="39"/>
      <c r="BA297" s="47"/>
      <c r="BC297" s="38"/>
      <c r="BD297" s="38"/>
    </row>
    <row r="298" spans="22:56" ht="16" x14ac:dyDescent="0.4">
      <c r="V298" s="97">
        <v>45895</v>
      </c>
      <c r="W298" s="16">
        <v>188504</v>
      </c>
      <c r="X298" s="101" t="s">
        <v>36</v>
      </c>
      <c r="Y298" s="105"/>
      <c r="Z298" s="102">
        <v>0.84305555555555556</v>
      </c>
      <c r="AA298" s="102">
        <v>0.90486111111111101</v>
      </c>
      <c r="AB298" s="16"/>
      <c r="AC298" s="16"/>
      <c r="AD298" s="93">
        <v>21192</v>
      </c>
      <c r="AE298" s="93">
        <f t="shared" si="31"/>
        <v>21.192</v>
      </c>
      <c r="AF298" s="16">
        <v>15.45</v>
      </c>
      <c r="AG298" s="103">
        <f t="shared" si="32"/>
        <v>14</v>
      </c>
      <c r="AH298" s="37">
        <f t="shared" si="33"/>
        <v>21.192</v>
      </c>
      <c r="AJ298" s="97"/>
      <c r="AN298" s="39"/>
      <c r="AO298" s="39"/>
      <c r="AP298" s="47"/>
      <c r="AR298" s="38"/>
      <c r="AS298" s="38"/>
      <c r="AU298" s="97"/>
      <c r="AY298" s="39"/>
      <c r="AZ298" s="39"/>
      <c r="BA298" s="47"/>
      <c r="BC298" s="38"/>
      <c r="BD298" s="38"/>
    </row>
    <row r="299" spans="22:56" ht="16" x14ac:dyDescent="0.4">
      <c r="V299" s="97">
        <v>45896</v>
      </c>
      <c r="W299" s="16">
        <v>188539</v>
      </c>
      <c r="X299" s="101" t="s">
        <v>36</v>
      </c>
      <c r="Y299" s="105"/>
      <c r="Z299" s="102">
        <v>0.60972222222222217</v>
      </c>
      <c r="AA299" s="102">
        <v>0.97916666666666663</v>
      </c>
      <c r="AB299" s="16"/>
      <c r="AC299" s="16"/>
      <c r="AD299" s="93">
        <v>21326</v>
      </c>
      <c r="AE299" s="93">
        <f t="shared" si="31"/>
        <v>21.326000000000001</v>
      </c>
      <c r="AF299" s="16">
        <v>15.24</v>
      </c>
      <c r="AG299" s="103">
        <f t="shared" si="32"/>
        <v>14</v>
      </c>
      <c r="AH299" s="37">
        <f t="shared" si="33"/>
        <v>21.326000000000001</v>
      </c>
      <c r="AJ299" s="97"/>
      <c r="AO299" s="39"/>
      <c r="AP299" s="47"/>
      <c r="AR299" s="38"/>
      <c r="AS299" s="38"/>
      <c r="AU299" s="97"/>
      <c r="AZ299" s="39"/>
      <c r="BA299" s="47"/>
      <c r="BC299" s="38"/>
      <c r="BD299" s="38"/>
    </row>
    <row r="300" spans="22:56" ht="16" x14ac:dyDescent="0.4">
      <c r="V300" s="97">
        <v>45896</v>
      </c>
      <c r="W300" s="16">
        <v>188547</v>
      </c>
      <c r="X300" s="101" t="s">
        <v>36</v>
      </c>
      <c r="Y300" s="105"/>
      <c r="Z300" s="102">
        <v>0.84305555555555556</v>
      </c>
      <c r="AA300" s="102">
        <v>4.4444444444444446E-2</v>
      </c>
      <c r="AB300" s="16"/>
      <c r="AC300" s="16"/>
      <c r="AD300" s="93">
        <v>21104</v>
      </c>
      <c r="AE300" s="93">
        <f t="shared" si="31"/>
        <v>21.103999999999999</v>
      </c>
      <c r="AF300" s="16">
        <v>14.55</v>
      </c>
      <c r="AG300" s="103">
        <f t="shared" si="32"/>
        <v>14</v>
      </c>
      <c r="AH300" s="37">
        <f t="shared" si="33"/>
        <v>21.104000000000003</v>
      </c>
      <c r="AJ300" s="97"/>
      <c r="AN300" s="39"/>
      <c r="AO300" s="39"/>
      <c r="AP300" s="47"/>
      <c r="AR300" s="38"/>
      <c r="AS300" s="38"/>
      <c r="AU300" s="97"/>
      <c r="AY300" s="39"/>
      <c r="AZ300" s="39"/>
      <c r="BA300" s="47"/>
      <c r="BC300" s="38"/>
      <c r="BD300" s="38"/>
    </row>
    <row r="301" spans="22:56" ht="16" x14ac:dyDescent="0.4">
      <c r="V301" s="97">
        <v>45896</v>
      </c>
      <c r="W301" s="16">
        <v>188561</v>
      </c>
      <c r="X301" s="101" t="s">
        <v>36</v>
      </c>
      <c r="Y301" s="105"/>
      <c r="Z301" s="102">
        <v>0.60972222222222217</v>
      </c>
      <c r="AA301" s="102">
        <v>9.7222222222222224E-2</v>
      </c>
      <c r="AB301" s="16"/>
      <c r="AC301" s="16"/>
      <c r="AD301" s="93">
        <v>21022</v>
      </c>
      <c r="AE301" s="93">
        <f t="shared" si="31"/>
        <v>21.021999999999998</v>
      </c>
      <c r="AF301" s="16">
        <v>15.37</v>
      </c>
      <c r="AG301" s="103">
        <f t="shared" si="32"/>
        <v>14</v>
      </c>
      <c r="AH301" s="37">
        <f t="shared" si="33"/>
        <v>21.021999999999998</v>
      </c>
      <c r="AJ301" s="97"/>
      <c r="AN301" s="39"/>
      <c r="AO301" s="39"/>
      <c r="AP301" s="47"/>
      <c r="AR301" s="38"/>
      <c r="AS301" s="38"/>
      <c r="AU301" s="97"/>
      <c r="AY301" s="39"/>
      <c r="AZ301" s="39"/>
      <c r="BA301" s="47"/>
      <c r="BC301" s="38"/>
      <c r="BD301" s="38"/>
    </row>
    <row r="302" spans="22:56" ht="16" x14ac:dyDescent="0.4">
      <c r="V302" s="97">
        <v>45896</v>
      </c>
      <c r="W302" s="16">
        <v>188575</v>
      </c>
      <c r="X302" s="101" t="s">
        <v>36</v>
      </c>
      <c r="Y302" s="105"/>
      <c r="Z302" s="102">
        <v>0.84305555555555556</v>
      </c>
      <c r="AA302" s="102">
        <v>0.14930555555555555</v>
      </c>
      <c r="AB302" s="16"/>
      <c r="AC302" s="16"/>
      <c r="AD302" s="105">
        <v>19782</v>
      </c>
      <c r="AE302" s="93">
        <f t="shared" si="31"/>
        <v>19.782</v>
      </c>
      <c r="AF302" s="16">
        <v>15.09</v>
      </c>
      <c r="AG302" s="103">
        <f t="shared" si="32"/>
        <v>14</v>
      </c>
      <c r="AH302" s="37">
        <f t="shared" si="33"/>
        <v>19.782</v>
      </c>
      <c r="AJ302" s="97"/>
      <c r="AN302" s="39"/>
      <c r="AO302" s="39"/>
      <c r="AP302" s="47"/>
      <c r="AR302" s="38"/>
      <c r="AS302" s="38"/>
      <c r="AU302" s="97"/>
      <c r="AY302" s="39"/>
      <c r="AZ302" s="39"/>
      <c r="BA302" s="47"/>
      <c r="BC302" s="38"/>
      <c r="BD302" s="38"/>
    </row>
    <row r="303" spans="22:56" ht="16" x14ac:dyDescent="0.4">
      <c r="V303" s="97">
        <v>45896</v>
      </c>
      <c r="W303" s="16">
        <v>188582</v>
      </c>
      <c r="X303" s="101" t="s">
        <v>36</v>
      </c>
      <c r="Y303" s="107"/>
      <c r="Z303" s="102">
        <v>0.76458333333333339</v>
      </c>
      <c r="AA303" s="102">
        <v>0.19027777777777777</v>
      </c>
      <c r="AB303" s="16"/>
      <c r="AC303" s="16"/>
      <c r="AD303" s="105">
        <v>21094</v>
      </c>
      <c r="AE303" s="93">
        <f t="shared" si="31"/>
        <v>21.094000000000001</v>
      </c>
      <c r="AF303" s="16">
        <v>14.09</v>
      </c>
      <c r="AG303" s="103">
        <f t="shared" si="32"/>
        <v>14</v>
      </c>
      <c r="AH303" s="37">
        <f t="shared" si="33"/>
        <v>21.094000000000001</v>
      </c>
      <c r="AJ303" s="97"/>
      <c r="AK303" s="34"/>
      <c r="AN303" s="39"/>
      <c r="AO303" s="39"/>
      <c r="AP303" s="47"/>
      <c r="AR303" s="38"/>
      <c r="AS303" s="38"/>
      <c r="AU303" s="97"/>
      <c r="AV303" s="34"/>
      <c r="AY303" s="39"/>
      <c r="AZ303" s="39"/>
      <c r="BA303" s="47"/>
      <c r="BC303" s="38"/>
      <c r="BD303" s="38"/>
    </row>
    <row r="304" spans="22:56" ht="16" x14ac:dyDescent="0.4">
      <c r="V304" s="97">
        <v>45896</v>
      </c>
      <c r="W304" s="16">
        <v>188587</v>
      </c>
      <c r="X304" s="101" t="s">
        <v>36</v>
      </c>
      <c r="Y304" s="107"/>
      <c r="Z304" s="102">
        <v>8.819444444444445E-2</v>
      </c>
      <c r="AA304" s="102">
        <v>0.23611111111111113</v>
      </c>
      <c r="AB304" s="16"/>
      <c r="AC304" s="16"/>
      <c r="AD304" s="105">
        <v>19156</v>
      </c>
      <c r="AE304" s="93">
        <f t="shared" si="31"/>
        <v>19.155999999999999</v>
      </c>
      <c r="AF304" s="16">
        <v>14.57</v>
      </c>
      <c r="AG304" s="103">
        <f t="shared" si="32"/>
        <v>14</v>
      </c>
      <c r="AH304" s="37">
        <f t="shared" si="33"/>
        <v>19.155999999999999</v>
      </c>
      <c r="AJ304" s="97"/>
      <c r="AK304" s="34"/>
      <c r="AN304" s="39"/>
      <c r="AP304" s="47"/>
      <c r="AR304" s="38"/>
      <c r="AS304" s="38"/>
      <c r="AU304" s="97"/>
      <c r="AV304" s="34"/>
      <c r="AY304" s="39"/>
      <c r="BA304" s="47"/>
      <c r="BC304" s="38"/>
      <c r="BD304" s="38"/>
    </row>
    <row r="305" spans="22:56" ht="16" x14ac:dyDescent="0.4">
      <c r="V305" s="97">
        <v>45896</v>
      </c>
      <c r="W305" s="16">
        <v>188604</v>
      </c>
      <c r="X305" s="101" t="s">
        <v>36</v>
      </c>
      <c r="Y305" s="107"/>
      <c r="Z305" s="102">
        <v>0.47576388888888888</v>
      </c>
      <c r="AA305" s="102">
        <v>0.28856481481481483</v>
      </c>
      <c r="AB305" s="16"/>
      <c r="AC305" s="16"/>
      <c r="AD305" s="105">
        <v>22140</v>
      </c>
      <c r="AE305" s="93">
        <f t="shared" si="31"/>
        <v>22.14</v>
      </c>
      <c r="AF305" s="16">
        <v>14.41</v>
      </c>
      <c r="AG305" s="103">
        <f t="shared" si="32"/>
        <v>14</v>
      </c>
      <c r="AH305" s="37">
        <f t="shared" si="33"/>
        <v>22.140000000000004</v>
      </c>
      <c r="AJ305" s="97"/>
      <c r="AK305" s="34"/>
      <c r="AN305" s="39"/>
      <c r="AO305" s="39"/>
      <c r="AP305" s="47"/>
      <c r="AR305" s="38"/>
      <c r="AS305" s="84"/>
      <c r="AU305" s="97"/>
      <c r="AV305" s="34"/>
      <c r="AY305" s="39"/>
      <c r="AZ305" s="39"/>
      <c r="BA305" s="47"/>
      <c r="BC305" s="38"/>
      <c r="BD305" s="84"/>
    </row>
    <row r="306" spans="22:56" ht="16" x14ac:dyDescent="0.4">
      <c r="V306" s="97">
        <v>45896</v>
      </c>
      <c r="W306" s="16">
        <v>188642</v>
      </c>
      <c r="X306" s="101" t="s">
        <v>36</v>
      </c>
      <c r="Y306" s="107"/>
      <c r="Z306" s="102">
        <v>0.94988425925925923</v>
      </c>
      <c r="AA306" s="102">
        <v>0.34182870370370372</v>
      </c>
      <c r="AB306" s="16"/>
      <c r="AC306" s="16"/>
      <c r="AD306" s="105">
        <v>20446</v>
      </c>
      <c r="AE306" s="93">
        <f t="shared" si="31"/>
        <v>20.446000000000002</v>
      </c>
      <c r="AF306" s="16">
        <v>15.77</v>
      </c>
      <c r="AG306" s="103">
        <f t="shared" si="32"/>
        <v>14</v>
      </c>
      <c r="AH306" s="37">
        <f t="shared" si="33"/>
        <v>20.446000000000002</v>
      </c>
      <c r="AJ306" s="97"/>
      <c r="AK306" s="34"/>
      <c r="AN306" s="39"/>
      <c r="AO306" s="39"/>
      <c r="AP306" s="47"/>
      <c r="AR306" s="38"/>
      <c r="AS306" s="38"/>
      <c r="AU306" s="97"/>
      <c r="AV306" s="34"/>
      <c r="AY306" s="39"/>
      <c r="AZ306" s="39"/>
      <c r="BA306" s="47"/>
      <c r="BC306" s="38"/>
      <c r="BD306" s="38"/>
    </row>
    <row r="307" spans="22:56" ht="16" x14ac:dyDescent="0.4">
      <c r="V307" s="97">
        <v>45896</v>
      </c>
      <c r="W307" s="16">
        <v>188705</v>
      </c>
      <c r="X307" s="101" t="s">
        <v>36</v>
      </c>
      <c r="Y307" s="107"/>
      <c r="Z307" s="102">
        <v>0.3291782407407407</v>
      </c>
      <c r="AA307" s="102">
        <v>0.40402777777777782</v>
      </c>
      <c r="AB307" s="16"/>
      <c r="AC307" s="16"/>
      <c r="AD307" s="105">
        <v>19948</v>
      </c>
      <c r="AE307" s="93">
        <f t="shared" si="31"/>
        <v>19.948</v>
      </c>
      <c r="AF307" s="16">
        <v>16.45</v>
      </c>
      <c r="AG307" s="103">
        <f t="shared" si="32"/>
        <v>14</v>
      </c>
      <c r="AH307" s="37">
        <f t="shared" si="33"/>
        <v>19.948</v>
      </c>
      <c r="AJ307" s="38"/>
      <c r="AK307" s="34"/>
      <c r="AL307" s="16"/>
      <c r="AN307" s="39"/>
      <c r="AO307" s="39"/>
      <c r="AP307" s="47"/>
      <c r="AR307" s="38"/>
      <c r="AS307" s="38"/>
      <c r="AU307" s="38"/>
      <c r="AV307" s="34"/>
      <c r="AW307" s="16"/>
      <c r="AY307" s="39"/>
      <c r="AZ307" s="39"/>
      <c r="BA307" s="47"/>
      <c r="BC307" s="38"/>
      <c r="BD307" s="38"/>
    </row>
    <row r="308" spans="22:56" ht="16" x14ac:dyDescent="0.4">
      <c r="V308" s="97">
        <v>45896</v>
      </c>
      <c r="W308" s="16">
        <v>188770</v>
      </c>
      <c r="X308" s="101" t="s">
        <v>36</v>
      </c>
      <c r="Y308" s="107"/>
      <c r="Z308" s="102">
        <v>0.19005787037037036</v>
      </c>
      <c r="AA308" s="102">
        <v>0.4774768518518519</v>
      </c>
      <c r="AB308" s="16"/>
      <c r="AC308" s="16"/>
      <c r="AD308" s="105">
        <v>21792</v>
      </c>
      <c r="AE308" s="93">
        <f t="shared" si="31"/>
        <v>21.792000000000002</v>
      </c>
      <c r="AF308" s="16">
        <v>15.27</v>
      </c>
      <c r="AG308" s="103">
        <f t="shared" si="32"/>
        <v>14</v>
      </c>
      <c r="AH308" s="37">
        <f t="shared" si="33"/>
        <v>21.792000000000002</v>
      </c>
      <c r="AJ308" s="38"/>
      <c r="AK308" s="34"/>
      <c r="AL308" s="16"/>
      <c r="AN308" s="39"/>
      <c r="AO308" s="39"/>
      <c r="AP308" s="47"/>
      <c r="AR308" s="38"/>
      <c r="AS308" s="38"/>
      <c r="AU308" s="38"/>
      <c r="AV308" s="34"/>
      <c r="AW308" s="16"/>
      <c r="AY308" s="39"/>
      <c r="AZ308" s="39"/>
      <c r="BA308" s="47"/>
      <c r="BC308" s="38"/>
      <c r="BD308" s="38"/>
    </row>
    <row r="309" spans="22:56" ht="16" x14ac:dyDescent="0.4">
      <c r="V309" s="97">
        <v>45896</v>
      </c>
      <c r="W309" s="16">
        <v>188805</v>
      </c>
      <c r="X309" s="101" t="s">
        <v>36</v>
      </c>
      <c r="Y309" s="107"/>
      <c r="Z309" s="102">
        <v>0.14131944444444444</v>
      </c>
      <c r="AA309" s="102">
        <v>0.55299768518518522</v>
      </c>
      <c r="AB309" s="16"/>
      <c r="AC309" s="16"/>
      <c r="AD309" s="105">
        <v>22080</v>
      </c>
      <c r="AE309" s="93">
        <f t="shared" si="31"/>
        <v>22.08</v>
      </c>
      <c r="AF309" s="16">
        <v>14.05</v>
      </c>
      <c r="AG309" s="103">
        <f t="shared" si="32"/>
        <v>14</v>
      </c>
      <c r="AH309" s="37">
        <f t="shared" si="33"/>
        <v>22.080000000000002</v>
      </c>
      <c r="AJ309" s="38"/>
      <c r="AK309" s="34"/>
      <c r="AL309" s="16"/>
      <c r="AN309" s="39"/>
      <c r="AO309" s="39"/>
      <c r="AP309" s="47"/>
      <c r="AR309" s="38"/>
      <c r="AS309" s="38"/>
      <c r="AU309" s="38"/>
      <c r="AV309" s="34"/>
      <c r="AW309" s="16"/>
      <c r="AY309" s="39"/>
      <c r="AZ309" s="39"/>
      <c r="BA309" s="47"/>
      <c r="BC309" s="38"/>
      <c r="BD309" s="38"/>
    </row>
    <row r="310" spans="22:56" ht="16" x14ac:dyDescent="0.4">
      <c r="V310" s="97">
        <v>45896</v>
      </c>
      <c r="W310" s="16">
        <v>188871</v>
      </c>
      <c r="X310" s="101" t="s">
        <v>36</v>
      </c>
      <c r="Y310" s="107"/>
      <c r="Z310" s="102">
        <v>0.26233796296296297</v>
      </c>
      <c r="AA310" s="102">
        <v>0.60474537037037035</v>
      </c>
      <c r="AB310" s="16"/>
      <c r="AC310" s="16"/>
      <c r="AD310" s="105">
        <v>21606</v>
      </c>
      <c r="AE310" s="93">
        <f t="shared" si="31"/>
        <v>21.606000000000002</v>
      </c>
      <c r="AF310" s="16">
        <v>16.88</v>
      </c>
      <c r="AG310" s="103">
        <f t="shared" si="32"/>
        <v>14</v>
      </c>
      <c r="AH310" s="37">
        <f t="shared" si="33"/>
        <v>21.606000000000002</v>
      </c>
      <c r="AJ310" s="38"/>
      <c r="AK310" s="34"/>
      <c r="AL310" s="16"/>
      <c r="AN310" s="39"/>
      <c r="AO310" s="39"/>
      <c r="AP310" s="47"/>
      <c r="AR310" s="38"/>
      <c r="AS310" s="38"/>
      <c r="AU310" s="38"/>
      <c r="AV310" s="34"/>
      <c r="AW310" s="16"/>
      <c r="AY310" s="39"/>
      <c r="AZ310" s="39"/>
      <c r="BA310" s="47"/>
      <c r="BC310" s="38"/>
      <c r="BD310" s="38"/>
    </row>
    <row r="311" spans="22:56" ht="16" x14ac:dyDescent="0.4">
      <c r="V311" s="97">
        <v>45896</v>
      </c>
      <c r="W311" s="16">
        <v>188919</v>
      </c>
      <c r="X311" s="101" t="s">
        <v>36</v>
      </c>
      <c r="Y311" s="107"/>
      <c r="Z311" s="102">
        <v>0.14115740740740743</v>
      </c>
      <c r="AA311" s="102">
        <v>0.67100694444444453</v>
      </c>
      <c r="AB311" s="16"/>
      <c r="AC311" s="16"/>
      <c r="AD311" s="105">
        <v>19228</v>
      </c>
      <c r="AE311" s="93">
        <f t="shared" si="31"/>
        <v>19.228000000000002</v>
      </c>
      <c r="AF311" s="16">
        <v>15.16</v>
      </c>
      <c r="AG311" s="103">
        <f t="shared" si="32"/>
        <v>14</v>
      </c>
      <c r="AH311" s="37">
        <f t="shared" si="33"/>
        <v>19.228000000000002</v>
      </c>
      <c r="AJ311" s="38"/>
      <c r="AK311" s="34"/>
      <c r="AL311" s="16"/>
      <c r="AN311" s="39"/>
      <c r="AO311" s="39"/>
      <c r="AP311" s="47"/>
      <c r="AR311" s="38"/>
      <c r="AS311" s="38"/>
      <c r="AU311" s="38"/>
      <c r="AV311" s="34"/>
      <c r="AW311" s="16"/>
      <c r="AY311" s="39"/>
      <c r="AZ311" s="39"/>
      <c r="BA311" s="47"/>
      <c r="BC311" s="38"/>
      <c r="BD311" s="38"/>
    </row>
    <row r="312" spans="22:56" ht="16" x14ac:dyDescent="0.4">
      <c r="V312" s="97">
        <v>45896</v>
      </c>
      <c r="W312" s="16">
        <v>188950</v>
      </c>
      <c r="X312" s="101" t="s">
        <v>36</v>
      </c>
      <c r="Y312" s="107"/>
      <c r="Z312" s="102">
        <v>0.65500000000000003</v>
      </c>
      <c r="AA312" s="102">
        <v>0.72526620370370365</v>
      </c>
      <c r="AB312" s="16"/>
      <c r="AC312" s="16"/>
      <c r="AD312" s="105">
        <v>19862</v>
      </c>
      <c r="AE312" s="93">
        <f t="shared" si="31"/>
        <v>19.861999999999998</v>
      </c>
      <c r="AF312" s="16">
        <v>14.81</v>
      </c>
      <c r="AG312" s="103">
        <f t="shared" si="32"/>
        <v>14</v>
      </c>
      <c r="AH312" s="37">
        <f t="shared" si="33"/>
        <v>19.861999999999998</v>
      </c>
      <c r="AJ312" s="38"/>
      <c r="AK312" s="34"/>
      <c r="AL312" s="16"/>
      <c r="AN312" s="39"/>
      <c r="AO312" s="39"/>
      <c r="AP312" s="47"/>
      <c r="AR312" s="38"/>
      <c r="AS312" s="38"/>
      <c r="AU312" s="38"/>
      <c r="AV312" s="34"/>
      <c r="AW312" s="16"/>
      <c r="AY312" s="39"/>
      <c r="AZ312" s="39"/>
      <c r="BA312" s="47"/>
      <c r="BC312" s="38"/>
      <c r="BD312" s="38"/>
    </row>
    <row r="313" spans="22:56" ht="16" x14ac:dyDescent="0.4">
      <c r="V313" s="97">
        <v>45896</v>
      </c>
      <c r="W313" s="16">
        <v>188975</v>
      </c>
      <c r="X313" s="101" t="s">
        <v>36</v>
      </c>
      <c r="Y313" s="107"/>
      <c r="Z313" s="102">
        <v>0.14097222222222222</v>
      </c>
      <c r="AA313" s="102">
        <v>0.77986111111111101</v>
      </c>
      <c r="AB313" s="16"/>
      <c r="AC313" s="16"/>
      <c r="AD313" s="105">
        <v>18840</v>
      </c>
      <c r="AE313" s="93">
        <f t="shared" si="31"/>
        <v>18.84</v>
      </c>
      <c r="AF313" s="16">
        <v>16.559999999999999</v>
      </c>
      <c r="AG313" s="103">
        <f t="shared" si="32"/>
        <v>14</v>
      </c>
      <c r="AH313" s="37">
        <f t="shared" si="33"/>
        <v>18.84</v>
      </c>
      <c r="AJ313" s="38"/>
      <c r="AK313" s="34"/>
      <c r="AL313" s="16"/>
      <c r="AN313" s="39"/>
      <c r="AO313" s="39"/>
      <c r="AP313" s="47"/>
      <c r="AR313" s="38"/>
      <c r="AS313" s="38"/>
      <c r="AU313" s="38"/>
      <c r="AV313" s="34"/>
      <c r="AW313" s="16"/>
      <c r="AY313" s="39"/>
      <c r="AZ313" s="39"/>
      <c r="BA313" s="47"/>
      <c r="BC313" s="38"/>
      <c r="BD313" s="38"/>
    </row>
    <row r="314" spans="22:56" ht="16" x14ac:dyDescent="0.4">
      <c r="V314" s="97">
        <v>45896</v>
      </c>
      <c r="W314" s="16">
        <v>188999</v>
      </c>
      <c r="X314" s="101" t="s">
        <v>36</v>
      </c>
      <c r="Y314" s="107"/>
      <c r="Z314" s="102">
        <v>0.65486111111111112</v>
      </c>
      <c r="AA314" s="102">
        <v>0.83263888888888893</v>
      </c>
      <c r="AB314" s="16"/>
      <c r="AC314" s="16"/>
      <c r="AD314" s="105">
        <v>21752</v>
      </c>
      <c r="AE314" s="93">
        <f t="shared" si="31"/>
        <v>21.751999999999999</v>
      </c>
      <c r="AF314" s="16">
        <v>15.52</v>
      </c>
      <c r="AG314" s="103">
        <f t="shared" si="32"/>
        <v>14</v>
      </c>
      <c r="AH314" s="37">
        <f t="shared" si="33"/>
        <v>21.751999999999999</v>
      </c>
      <c r="AJ314" s="38"/>
      <c r="AK314" s="34"/>
      <c r="AL314" s="16"/>
      <c r="AN314" s="39"/>
      <c r="AO314" s="39"/>
      <c r="AP314" s="47"/>
      <c r="AR314" s="38"/>
      <c r="AS314" s="38"/>
      <c r="AU314" s="38"/>
      <c r="AV314" s="34"/>
      <c r="AW314" s="16"/>
      <c r="AY314" s="39"/>
      <c r="AZ314" s="39"/>
      <c r="BA314" s="47"/>
      <c r="BC314" s="38"/>
      <c r="BD314" s="38"/>
    </row>
    <row r="315" spans="22:56" ht="16" x14ac:dyDescent="0.4">
      <c r="V315" s="97">
        <v>45896</v>
      </c>
      <c r="W315" s="16">
        <v>189029</v>
      </c>
      <c r="X315" s="101" t="s">
        <v>36</v>
      </c>
      <c r="Y315" s="107"/>
      <c r="Z315" s="102">
        <v>0.73125000000000007</v>
      </c>
      <c r="AA315" s="102">
        <v>0.88541666666666663</v>
      </c>
      <c r="AB315" s="16"/>
      <c r="AC315" s="16"/>
      <c r="AD315" s="105">
        <v>19858</v>
      </c>
      <c r="AE315" s="93">
        <f t="shared" si="31"/>
        <v>19.858000000000001</v>
      </c>
      <c r="AF315" s="16">
        <v>14.24</v>
      </c>
      <c r="AG315" s="103">
        <f t="shared" si="32"/>
        <v>14</v>
      </c>
      <c r="AH315" s="37">
        <f t="shared" si="33"/>
        <v>19.858000000000001</v>
      </c>
      <c r="AJ315" s="38"/>
      <c r="AK315" s="34"/>
      <c r="AL315" s="16"/>
      <c r="AN315" s="39"/>
      <c r="AO315" s="39"/>
      <c r="AP315" s="47"/>
      <c r="AR315" s="38"/>
      <c r="AS315" s="38"/>
      <c r="AU315" s="38"/>
      <c r="AV315" s="34"/>
      <c r="AW315" s="16"/>
      <c r="AY315" s="39"/>
      <c r="AZ315" s="39"/>
      <c r="BA315" s="47"/>
      <c r="BC315" s="38"/>
      <c r="BD315" s="38"/>
    </row>
    <row r="316" spans="22:56" ht="16" x14ac:dyDescent="0.4">
      <c r="V316" s="97">
        <v>45896</v>
      </c>
      <c r="W316" s="16">
        <v>189046</v>
      </c>
      <c r="X316" s="101" t="s">
        <v>36</v>
      </c>
      <c r="Y316" s="107"/>
      <c r="Z316" s="102">
        <v>0.65486111111111112</v>
      </c>
      <c r="AA316" s="102">
        <v>0.93819444444444444</v>
      </c>
      <c r="AB316" s="16"/>
      <c r="AC316" s="16"/>
      <c r="AD316" s="105">
        <v>21148</v>
      </c>
      <c r="AE316" s="93">
        <f t="shared" si="31"/>
        <v>21.148</v>
      </c>
      <c r="AF316" s="16">
        <v>14.29</v>
      </c>
      <c r="AG316" s="103">
        <f t="shared" si="32"/>
        <v>14</v>
      </c>
      <c r="AH316" s="37">
        <f t="shared" si="33"/>
        <v>21.148</v>
      </c>
      <c r="AJ316" s="38"/>
      <c r="AK316" s="34"/>
      <c r="AL316" s="16"/>
      <c r="AN316" s="39"/>
      <c r="AP316" s="47"/>
      <c r="AR316" s="38"/>
      <c r="AS316" s="38"/>
      <c r="AU316" s="38"/>
      <c r="AV316" s="34"/>
      <c r="AW316" s="16"/>
      <c r="AY316" s="39"/>
      <c r="BA316" s="47"/>
      <c r="BC316" s="38"/>
      <c r="BD316" s="38"/>
    </row>
    <row r="317" spans="22:56" ht="16" x14ac:dyDescent="0.4">
      <c r="V317" s="97">
        <v>45897</v>
      </c>
      <c r="W317" s="16">
        <v>189066</v>
      </c>
      <c r="X317" s="101" t="s">
        <v>36</v>
      </c>
      <c r="Y317" s="107"/>
      <c r="Z317" s="102">
        <v>0.73055555555555562</v>
      </c>
      <c r="AA317" s="102">
        <v>1.8055555555555557E-2</v>
      </c>
      <c r="AB317" s="16"/>
      <c r="AC317" s="16"/>
      <c r="AD317" s="105">
        <v>20952</v>
      </c>
      <c r="AE317" s="93">
        <f t="shared" si="31"/>
        <v>20.952000000000002</v>
      </c>
      <c r="AF317" s="16">
        <v>15.43</v>
      </c>
      <c r="AG317" s="103">
        <f t="shared" si="32"/>
        <v>14</v>
      </c>
      <c r="AH317" s="37">
        <f t="shared" si="33"/>
        <v>20.952000000000002</v>
      </c>
      <c r="AJ317" s="38"/>
      <c r="AK317" s="34"/>
      <c r="AL317" s="16"/>
      <c r="AN317" s="39"/>
      <c r="AO317" s="39"/>
      <c r="AP317" s="47"/>
      <c r="AR317" s="38"/>
      <c r="AS317" s="38"/>
      <c r="AU317" s="38"/>
      <c r="AV317" s="34"/>
      <c r="AW317" s="16"/>
      <c r="AY317" s="39"/>
      <c r="AZ317" s="39"/>
      <c r="BA317" s="47"/>
      <c r="BC317" s="38"/>
      <c r="BD317" s="38"/>
    </row>
    <row r="318" spans="22:56" ht="16" x14ac:dyDescent="0.4">
      <c r="V318" s="97">
        <v>45897</v>
      </c>
      <c r="W318" s="16">
        <v>189076</v>
      </c>
      <c r="X318" s="101" t="s">
        <v>36</v>
      </c>
      <c r="Y318" s="107"/>
      <c r="Z318" s="102">
        <v>0.97986111111111107</v>
      </c>
      <c r="AA318" s="102">
        <v>6.25E-2</v>
      </c>
      <c r="AB318" s="16"/>
      <c r="AC318" s="16"/>
      <c r="AD318" s="105">
        <v>20140</v>
      </c>
      <c r="AE318" s="93">
        <f t="shared" si="31"/>
        <v>20.14</v>
      </c>
      <c r="AF318" s="16">
        <v>14.68</v>
      </c>
      <c r="AG318" s="103">
        <f t="shared" si="32"/>
        <v>14</v>
      </c>
      <c r="AH318" s="37">
        <f t="shared" si="33"/>
        <v>20.140000000000004</v>
      </c>
      <c r="AJ318" s="38"/>
      <c r="AK318" s="34"/>
      <c r="AL318" s="16"/>
      <c r="AN318" s="39"/>
      <c r="AO318" s="39"/>
      <c r="AP318" s="47"/>
      <c r="AR318" s="38"/>
      <c r="AS318" s="38"/>
      <c r="AU318" s="38"/>
      <c r="AV318" s="34"/>
      <c r="AW318" s="16"/>
      <c r="AY318" s="39"/>
      <c r="AZ318" s="39"/>
      <c r="BA318" s="47"/>
      <c r="BC318" s="38"/>
      <c r="BD318" s="38"/>
    </row>
    <row r="319" spans="22:56" ht="16" x14ac:dyDescent="0.4">
      <c r="V319" s="97">
        <v>45897</v>
      </c>
      <c r="W319" s="16">
        <v>189084</v>
      </c>
      <c r="X319" s="101" t="s">
        <v>36</v>
      </c>
      <c r="Y319" s="107"/>
      <c r="Z319" s="102">
        <v>0.32916666666666666</v>
      </c>
      <c r="AA319" s="102">
        <v>0.11805555555555557</v>
      </c>
      <c r="AB319" s="16"/>
      <c r="AC319" s="16"/>
      <c r="AD319" s="105">
        <v>20786</v>
      </c>
      <c r="AE319" s="93">
        <f t="shared" si="31"/>
        <v>20.786000000000001</v>
      </c>
      <c r="AF319" s="16">
        <v>14.88</v>
      </c>
      <c r="AG319" s="103">
        <f t="shared" si="32"/>
        <v>14</v>
      </c>
      <c r="AH319" s="37">
        <f t="shared" si="33"/>
        <v>20.786000000000001</v>
      </c>
      <c r="AJ319" s="38"/>
      <c r="AK319" s="34"/>
      <c r="AL319" s="16"/>
      <c r="AN319" s="39"/>
      <c r="AP319" s="47"/>
      <c r="AR319" s="38"/>
      <c r="AS319" s="38"/>
      <c r="AU319" s="38"/>
      <c r="AV319" s="34"/>
      <c r="AW319" s="16"/>
      <c r="AY319" s="39"/>
      <c r="BA319" s="47"/>
      <c r="BC319" s="38"/>
      <c r="BD319" s="38"/>
    </row>
    <row r="320" spans="22:56" ht="16" x14ac:dyDescent="0.4">
      <c r="V320" s="97">
        <v>45897</v>
      </c>
      <c r="W320" s="16">
        <v>189090</v>
      </c>
      <c r="X320" s="101" t="s">
        <v>36</v>
      </c>
      <c r="Y320" s="107"/>
      <c r="Z320" s="102">
        <v>0.87777777777777777</v>
      </c>
      <c r="AA320" s="102">
        <v>0.16944444444444443</v>
      </c>
      <c r="AB320" s="16"/>
      <c r="AC320" s="16"/>
      <c r="AD320" s="105">
        <v>19714</v>
      </c>
      <c r="AE320" s="93">
        <f t="shared" si="31"/>
        <v>19.713999999999999</v>
      </c>
      <c r="AF320" s="16">
        <v>14.18</v>
      </c>
      <c r="AG320" s="103">
        <f t="shared" si="32"/>
        <v>14</v>
      </c>
      <c r="AH320" s="37">
        <f t="shared" si="33"/>
        <v>19.713999999999999</v>
      </c>
      <c r="AJ320" s="38"/>
      <c r="AK320" s="34"/>
      <c r="AL320" s="16"/>
      <c r="AN320" s="39"/>
      <c r="AO320" s="39"/>
      <c r="AP320" s="47"/>
      <c r="AR320" s="38"/>
      <c r="AS320" s="38"/>
      <c r="AU320" s="38"/>
      <c r="AV320" s="34"/>
      <c r="AW320" s="16"/>
      <c r="AY320" s="39"/>
      <c r="AZ320" s="39"/>
      <c r="BA320" s="47"/>
      <c r="BC320" s="38"/>
      <c r="BD320" s="38"/>
    </row>
    <row r="321" spans="22:56" ht="16" x14ac:dyDescent="0.4">
      <c r="V321" s="97">
        <v>45897</v>
      </c>
      <c r="W321" s="16">
        <v>189094</v>
      </c>
      <c r="X321" s="101" t="s">
        <v>36</v>
      </c>
      <c r="Y321" s="107"/>
      <c r="Z321" s="102">
        <v>6.5972222222222224E-2</v>
      </c>
      <c r="AA321" s="102">
        <v>0.22083333333333333</v>
      </c>
      <c r="AB321" s="16"/>
      <c r="AC321" s="16"/>
      <c r="AD321" s="105">
        <v>20728</v>
      </c>
      <c r="AE321" s="93">
        <f t="shared" si="31"/>
        <v>20.728000000000002</v>
      </c>
      <c r="AF321" s="16">
        <v>15.28</v>
      </c>
      <c r="AG321" s="103">
        <f t="shared" si="32"/>
        <v>14</v>
      </c>
      <c r="AH321" s="37">
        <f t="shared" si="33"/>
        <v>20.728000000000002</v>
      </c>
      <c r="AJ321" s="34"/>
      <c r="AK321" s="34"/>
      <c r="AL321" s="82"/>
      <c r="AN321" s="83"/>
      <c r="AO321" s="83"/>
      <c r="AP321" s="82"/>
      <c r="AQ321" s="84"/>
      <c r="AR321" s="84"/>
      <c r="AS321" s="38"/>
      <c r="AU321" s="34"/>
      <c r="AV321" s="34"/>
      <c r="AW321" s="82"/>
      <c r="AY321" s="83"/>
      <c r="AZ321" s="83"/>
      <c r="BA321" s="82"/>
      <c r="BB321" s="84"/>
      <c r="BC321" s="84"/>
      <c r="BD321" s="38"/>
    </row>
    <row r="322" spans="22:56" ht="16" x14ac:dyDescent="0.4">
      <c r="V322" s="97">
        <v>45897</v>
      </c>
      <c r="W322" s="16">
        <v>189111</v>
      </c>
      <c r="X322" s="101" t="s">
        <v>36</v>
      </c>
      <c r="Y322" s="107"/>
      <c r="Z322" s="102">
        <v>0.8778125</v>
      </c>
      <c r="AA322" s="102">
        <v>0.28523148148148147</v>
      </c>
      <c r="AB322" s="16"/>
      <c r="AC322" s="16"/>
      <c r="AD322" s="105">
        <v>21626</v>
      </c>
      <c r="AE322" s="93">
        <f t="shared" si="31"/>
        <v>21.626000000000001</v>
      </c>
      <c r="AF322" s="16">
        <v>14.34</v>
      </c>
      <c r="AG322" s="103">
        <f t="shared" si="32"/>
        <v>14</v>
      </c>
      <c r="AH322" s="37">
        <f t="shared" si="33"/>
        <v>21.626000000000001</v>
      </c>
      <c r="AJ322" s="34"/>
      <c r="AK322" s="34"/>
      <c r="AL322" s="82"/>
      <c r="AN322" s="83"/>
      <c r="AO322" s="83"/>
      <c r="AP322" s="82"/>
      <c r="AQ322" s="84"/>
      <c r="AR322" s="84"/>
      <c r="AS322" s="38"/>
      <c r="AU322" s="34"/>
      <c r="AV322" s="34"/>
      <c r="AW322" s="82"/>
      <c r="AY322" s="83"/>
      <c r="AZ322" s="83"/>
      <c r="BA322" s="82"/>
      <c r="BB322" s="84"/>
      <c r="BC322" s="84"/>
      <c r="BD322" s="38"/>
    </row>
    <row r="323" spans="22:56" ht="16" x14ac:dyDescent="0.4">
      <c r="V323" s="97">
        <v>45897</v>
      </c>
      <c r="W323" s="16">
        <v>189160</v>
      </c>
      <c r="X323" s="101" t="s">
        <v>36</v>
      </c>
      <c r="Y323" s="107"/>
      <c r="Z323" s="102">
        <v>0.32899305555555552</v>
      </c>
      <c r="AA323" s="102">
        <v>0.34152777777777782</v>
      </c>
      <c r="AB323" s="16"/>
      <c r="AC323" s="16"/>
      <c r="AD323" s="105">
        <v>20986</v>
      </c>
      <c r="AE323" s="93">
        <f t="shared" si="31"/>
        <v>20.986000000000001</v>
      </c>
      <c r="AF323" s="16">
        <v>14.84</v>
      </c>
      <c r="AG323" s="103">
        <f t="shared" si="32"/>
        <v>14</v>
      </c>
      <c r="AH323" s="37">
        <f t="shared" si="33"/>
        <v>20.986000000000001</v>
      </c>
      <c r="AJ323" s="34"/>
      <c r="AK323" s="34"/>
      <c r="AL323" s="82"/>
      <c r="AN323" s="83"/>
      <c r="AO323" s="83"/>
      <c r="AP323" s="82"/>
      <c r="AQ323" s="84"/>
      <c r="AR323" s="84"/>
      <c r="AS323" s="84"/>
      <c r="AU323" s="34"/>
      <c r="AV323" s="34"/>
      <c r="AW323" s="82"/>
      <c r="AY323" s="83"/>
      <c r="AZ323" s="83"/>
      <c r="BA323" s="82"/>
      <c r="BB323" s="84"/>
      <c r="BC323" s="84"/>
      <c r="BD323" s="84"/>
    </row>
    <row r="324" spans="22:56" ht="16" x14ac:dyDescent="0.4">
      <c r="V324" s="97">
        <v>45897</v>
      </c>
      <c r="W324" s="16">
        <v>189201</v>
      </c>
      <c r="X324" s="101" t="s">
        <v>36</v>
      </c>
      <c r="Y324" s="107"/>
      <c r="Z324" s="102">
        <v>0.21876157407407407</v>
      </c>
      <c r="AA324" s="102">
        <v>0.39402777777777781</v>
      </c>
      <c r="AB324" s="16"/>
      <c r="AC324" s="16"/>
      <c r="AD324" s="105">
        <v>18226</v>
      </c>
      <c r="AE324" s="93">
        <f t="shared" si="31"/>
        <v>18.225999999999999</v>
      </c>
      <c r="AF324" s="16">
        <v>16.91</v>
      </c>
      <c r="AG324" s="103">
        <f t="shared" si="32"/>
        <v>14</v>
      </c>
      <c r="AH324" s="37">
        <f t="shared" si="33"/>
        <v>18.225999999999999</v>
      </c>
      <c r="AJ324" s="34"/>
      <c r="AK324" s="34"/>
      <c r="AL324" s="82"/>
      <c r="AN324" s="83"/>
      <c r="AO324" s="83"/>
      <c r="AP324" s="82"/>
      <c r="AQ324" s="84"/>
      <c r="AR324" s="84"/>
      <c r="AS324" s="84"/>
      <c r="AU324" s="34"/>
      <c r="AV324" s="34"/>
      <c r="AW324" s="82"/>
      <c r="AY324" s="83"/>
      <c r="AZ324" s="83"/>
      <c r="BA324" s="82"/>
      <c r="BB324" s="84"/>
      <c r="BC324" s="84"/>
      <c r="BD324" s="84"/>
    </row>
    <row r="325" spans="22:56" ht="16" x14ac:dyDescent="0.4">
      <c r="V325" s="97">
        <v>45897</v>
      </c>
      <c r="W325" s="16">
        <v>189275</v>
      </c>
      <c r="X325" s="101" t="s">
        <v>36</v>
      </c>
      <c r="Y325" s="107"/>
      <c r="Z325" s="102">
        <v>0.38114583333333335</v>
      </c>
      <c r="AA325" s="102">
        <v>0.46179398148148149</v>
      </c>
      <c r="AB325" s="16"/>
      <c r="AC325" s="16"/>
      <c r="AD325" s="105">
        <v>22360</v>
      </c>
      <c r="AE325" s="93">
        <f t="shared" ref="AE325:AE388" si="34">AD325/1000</f>
        <v>22.36</v>
      </c>
      <c r="AF325" s="16">
        <v>13.16</v>
      </c>
      <c r="AG325" s="103">
        <f t="shared" ref="AG325:AG388" si="35">IF($AF325&gt;14,14,$AF325)</f>
        <v>13.16</v>
      </c>
      <c r="AH325" s="37">
        <f t="shared" ref="AH325:AH388" si="36">AE325*AG325/14</f>
        <v>21.018399999999996</v>
      </c>
      <c r="AJ325" s="34"/>
      <c r="AK325" s="34"/>
      <c r="AL325" s="82"/>
      <c r="AN325" s="83"/>
      <c r="AO325" s="83"/>
      <c r="AP325" s="82"/>
      <c r="AQ325" s="84"/>
      <c r="AR325" s="84"/>
      <c r="AS325" s="84"/>
      <c r="AU325" s="34"/>
      <c r="AV325" s="34"/>
      <c r="AW325" s="82"/>
      <c r="AY325" s="83"/>
      <c r="AZ325" s="83"/>
      <c r="BA325" s="82"/>
      <c r="BB325" s="84"/>
      <c r="BC325" s="84"/>
      <c r="BD325" s="84"/>
    </row>
    <row r="326" spans="22:56" ht="16" x14ac:dyDescent="0.4">
      <c r="V326" s="97">
        <v>45897</v>
      </c>
      <c r="W326" s="16">
        <v>189322</v>
      </c>
      <c r="X326" s="101" t="s">
        <v>36</v>
      </c>
      <c r="Y326" s="107"/>
      <c r="Z326" s="102">
        <v>0.10810185185185185</v>
      </c>
      <c r="AA326" s="102">
        <v>0.54655092592592591</v>
      </c>
      <c r="AB326" s="16"/>
      <c r="AC326" s="16"/>
      <c r="AD326" s="105">
        <v>22372</v>
      </c>
      <c r="AE326" s="93">
        <f t="shared" si="34"/>
        <v>22.372</v>
      </c>
      <c r="AF326" s="16">
        <v>13.84</v>
      </c>
      <c r="AG326" s="103">
        <f t="shared" si="35"/>
        <v>13.84</v>
      </c>
      <c r="AH326" s="37">
        <f t="shared" si="36"/>
        <v>22.116319999999998</v>
      </c>
      <c r="AJ326" s="34"/>
      <c r="AK326" s="34"/>
      <c r="AL326" s="82"/>
      <c r="AN326" s="83"/>
      <c r="AO326" s="83"/>
      <c r="AP326" s="82"/>
      <c r="AQ326" s="84"/>
      <c r="AR326" s="84"/>
      <c r="AS326" s="84"/>
      <c r="AU326" s="34"/>
      <c r="AV326" s="34"/>
      <c r="AW326" s="82"/>
      <c r="AY326" s="83"/>
      <c r="AZ326" s="83"/>
      <c r="BA326" s="82"/>
      <c r="BB326" s="84"/>
      <c r="BC326" s="84"/>
      <c r="BD326" s="84"/>
    </row>
    <row r="327" spans="22:56" ht="16" x14ac:dyDescent="0.4">
      <c r="V327" s="97">
        <v>45897</v>
      </c>
      <c r="W327" s="16">
        <v>189376</v>
      </c>
      <c r="X327" s="101" t="s">
        <v>36</v>
      </c>
      <c r="Y327" s="107"/>
      <c r="Z327" s="102">
        <v>0.37716435185185188</v>
      </c>
      <c r="AA327" s="102">
        <v>0.60758101851851853</v>
      </c>
      <c r="AB327" s="16"/>
      <c r="AC327" s="16"/>
      <c r="AD327" s="105">
        <v>20136</v>
      </c>
      <c r="AE327" s="93">
        <f t="shared" si="34"/>
        <v>20.135999999999999</v>
      </c>
      <c r="AF327" s="16">
        <v>14.49</v>
      </c>
      <c r="AG327" s="103">
        <f t="shared" si="35"/>
        <v>14</v>
      </c>
      <c r="AH327" s="37">
        <f t="shared" si="36"/>
        <v>20.135999999999999</v>
      </c>
      <c r="AJ327" s="34"/>
      <c r="AK327" s="34"/>
      <c r="AL327" s="82"/>
      <c r="AN327" s="83"/>
      <c r="AO327" s="83"/>
      <c r="AP327" s="82"/>
      <c r="AQ327" s="84"/>
      <c r="AR327" s="84"/>
      <c r="AS327" s="84"/>
      <c r="AU327" s="34"/>
      <c r="AV327" s="34"/>
      <c r="AW327" s="82"/>
      <c r="AY327" s="83"/>
      <c r="AZ327" s="83"/>
      <c r="BA327" s="82"/>
      <c r="BB327" s="84"/>
      <c r="BC327" s="84"/>
      <c r="BD327" s="84"/>
    </row>
    <row r="328" spans="22:56" ht="16" x14ac:dyDescent="0.4">
      <c r="V328" s="97">
        <v>45897</v>
      </c>
      <c r="W328" s="16">
        <v>189431</v>
      </c>
      <c r="X328" s="101" t="s">
        <v>36</v>
      </c>
      <c r="Y328" s="107"/>
      <c r="Z328" s="102">
        <v>0.57873842592592595</v>
      </c>
      <c r="AA328" s="102">
        <v>0.66918981481481488</v>
      </c>
      <c r="AB328" s="16"/>
      <c r="AC328" s="16"/>
      <c r="AD328" s="105">
        <v>20350</v>
      </c>
      <c r="AE328" s="93">
        <f t="shared" si="34"/>
        <v>20.350000000000001</v>
      </c>
      <c r="AF328" s="16">
        <v>14.31</v>
      </c>
      <c r="AG328" s="103">
        <f t="shared" si="35"/>
        <v>14</v>
      </c>
      <c r="AH328" s="37">
        <f t="shared" si="36"/>
        <v>20.350000000000001</v>
      </c>
      <c r="AJ328" s="34"/>
      <c r="AK328" s="34"/>
      <c r="AL328" s="82"/>
      <c r="AN328" s="83"/>
      <c r="AO328" s="83"/>
      <c r="AP328" s="82"/>
      <c r="AQ328" s="84"/>
      <c r="AR328" s="84"/>
      <c r="AS328" s="84"/>
      <c r="AU328" s="34"/>
      <c r="AV328" s="34"/>
      <c r="AW328" s="82"/>
      <c r="AY328" s="83"/>
      <c r="AZ328" s="83"/>
      <c r="BA328" s="82"/>
      <c r="BB328" s="84"/>
      <c r="BC328" s="84"/>
      <c r="BD328" s="84"/>
    </row>
    <row r="329" spans="22:56" ht="16" x14ac:dyDescent="0.4">
      <c r="V329" s="97">
        <v>45897</v>
      </c>
      <c r="W329" s="16">
        <v>189454</v>
      </c>
      <c r="X329" s="101" t="s">
        <v>36</v>
      </c>
      <c r="Y329" s="107"/>
      <c r="Z329" s="102">
        <v>0.38097222222222221</v>
      </c>
      <c r="AA329" s="102">
        <v>0.71680555555555558</v>
      </c>
      <c r="AB329" s="16"/>
      <c r="AC329" s="16"/>
      <c r="AD329" s="105">
        <v>19596</v>
      </c>
      <c r="AE329" s="93">
        <f t="shared" si="34"/>
        <v>19.596</v>
      </c>
      <c r="AF329" s="16">
        <v>15.8</v>
      </c>
      <c r="AG329" s="103">
        <f t="shared" si="35"/>
        <v>14</v>
      </c>
      <c r="AH329" s="37">
        <f t="shared" si="36"/>
        <v>19.596</v>
      </c>
      <c r="AJ329" s="34"/>
      <c r="AK329" s="34"/>
      <c r="AL329" s="82"/>
      <c r="AN329" s="83"/>
      <c r="AO329" s="83"/>
      <c r="AP329" s="82"/>
      <c r="AQ329" s="84"/>
      <c r="AR329" s="84"/>
      <c r="AS329" s="84"/>
      <c r="AU329" s="34"/>
      <c r="AV329" s="34"/>
      <c r="AW329" s="82"/>
      <c r="AY329" s="83"/>
      <c r="AZ329" s="83"/>
      <c r="BA329" s="82"/>
      <c r="BB329" s="84"/>
      <c r="BC329" s="84"/>
      <c r="BD329" s="84"/>
    </row>
    <row r="330" spans="22:56" ht="16" x14ac:dyDescent="0.4">
      <c r="V330" s="97">
        <v>45897</v>
      </c>
      <c r="W330" s="16">
        <v>189474</v>
      </c>
      <c r="X330" s="101" t="s">
        <v>36</v>
      </c>
      <c r="Y330" s="107"/>
      <c r="Z330" s="102">
        <v>0.57847222222222217</v>
      </c>
      <c r="AA330" s="102">
        <v>0.7729166666666667</v>
      </c>
      <c r="AB330" s="16"/>
      <c r="AC330" s="16"/>
      <c r="AD330" s="105">
        <v>18958</v>
      </c>
      <c r="AE330" s="93">
        <f t="shared" si="34"/>
        <v>18.957999999999998</v>
      </c>
      <c r="AF330" s="16">
        <v>15.24</v>
      </c>
      <c r="AG330" s="103">
        <f t="shared" si="35"/>
        <v>14</v>
      </c>
      <c r="AH330" s="37">
        <f t="shared" si="36"/>
        <v>18.957999999999998</v>
      </c>
      <c r="AJ330" s="34"/>
      <c r="AK330" s="34"/>
      <c r="AL330" s="82"/>
      <c r="AN330" s="83"/>
      <c r="AO330" s="83"/>
      <c r="AP330" s="82"/>
      <c r="AQ330" s="84"/>
      <c r="AR330" s="84"/>
      <c r="AS330" s="84"/>
      <c r="AU330" s="34"/>
      <c r="AV330" s="34"/>
      <c r="AW330" s="82"/>
      <c r="AY330" s="83"/>
      <c r="AZ330" s="83"/>
      <c r="BA330" s="82"/>
      <c r="BB330" s="84"/>
      <c r="BC330" s="84"/>
      <c r="BD330" s="84"/>
    </row>
    <row r="331" spans="22:56" ht="16" x14ac:dyDescent="0.4">
      <c r="V331" s="97">
        <v>45897</v>
      </c>
      <c r="W331" s="16">
        <v>189510</v>
      </c>
      <c r="X331" s="101" t="s">
        <v>36</v>
      </c>
      <c r="Y331" s="107"/>
      <c r="Z331" s="102">
        <v>0.7583333333333333</v>
      </c>
      <c r="AA331" s="102">
        <v>0.83680555555555547</v>
      </c>
      <c r="AB331" s="16"/>
      <c r="AC331" s="16"/>
      <c r="AD331" s="105">
        <v>20500</v>
      </c>
      <c r="AE331" s="93">
        <f t="shared" si="34"/>
        <v>20.5</v>
      </c>
      <c r="AF331" s="16">
        <v>14.68</v>
      </c>
      <c r="AG331" s="103">
        <f t="shared" si="35"/>
        <v>14</v>
      </c>
      <c r="AH331" s="37">
        <f t="shared" si="36"/>
        <v>20.5</v>
      </c>
      <c r="AJ331" s="34"/>
      <c r="AK331" s="34"/>
      <c r="AL331" s="82"/>
      <c r="AN331" s="83"/>
      <c r="AO331" s="83"/>
      <c r="AP331" s="82"/>
      <c r="AQ331" s="84"/>
      <c r="AR331" s="84"/>
      <c r="AS331" s="84"/>
      <c r="AU331" s="34"/>
      <c r="AV331" s="34"/>
      <c r="AW331" s="82"/>
      <c r="AY331" s="83"/>
      <c r="AZ331" s="83"/>
      <c r="BA331" s="82"/>
      <c r="BB331" s="84"/>
      <c r="BC331" s="84"/>
      <c r="BD331" s="84"/>
    </row>
    <row r="332" spans="22:56" ht="16" x14ac:dyDescent="0.4">
      <c r="V332" s="97">
        <v>45897</v>
      </c>
      <c r="W332" s="16">
        <v>189540</v>
      </c>
      <c r="X332" s="101" t="s">
        <v>36</v>
      </c>
      <c r="Y332" s="107"/>
      <c r="Z332" s="102">
        <v>0.82430555555555562</v>
      </c>
      <c r="AA332" s="102">
        <v>0.87916666666666676</v>
      </c>
      <c r="AB332" s="16"/>
      <c r="AC332" s="16"/>
      <c r="AD332" s="105">
        <v>22062</v>
      </c>
      <c r="AE332" s="93">
        <f t="shared" si="34"/>
        <v>22.062000000000001</v>
      </c>
      <c r="AF332">
        <v>14.66</v>
      </c>
      <c r="AG332" s="103">
        <f t="shared" si="35"/>
        <v>14</v>
      </c>
      <c r="AH332" s="37">
        <f t="shared" si="36"/>
        <v>22.062000000000001</v>
      </c>
      <c r="AJ332" s="34"/>
      <c r="AK332" s="34"/>
      <c r="AL332" s="82"/>
      <c r="AN332" s="83"/>
      <c r="AO332" s="83"/>
      <c r="AP332" s="82"/>
      <c r="AQ332" s="84"/>
      <c r="AR332" s="84"/>
      <c r="AS332" s="84"/>
      <c r="AU332" s="34"/>
      <c r="AV332" s="34"/>
      <c r="AW332" s="82"/>
      <c r="AY332" s="83"/>
      <c r="AZ332" s="83"/>
      <c r="BA332" s="82"/>
      <c r="BB332" s="84"/>
      <c r="BC332" s="84"/>
      <c r="BD332" s="84"/>
    </row>
    <row r="333" spans="22:56" ht="16" x14ac:dyDescent="0.4">
      <c r="V333" s="97">
        <v>45897</v>
      </c>
      <c r="W333" s="16">
        <v>189568</v>
      </c>
      <c r="X333" s="101" t="s">
        <v>36</v>
      </c>
      <c r="Y333" s="107"/>
      <c r="Z333" s="102">
        <v>0.875</v>
      </c>
      <c r="AA333" s="102">
        <v>0.96597222222222223</v>
      </c>
      <c r="AB333" s="16"/>
      <c r="AC333" s="16"/>
      <c r="AD333" s="105">
        <v>20690</v>
      </c>
      <c r="AE333" s="93">
        <f t="shared" si="34"/>
        <v>20.69</v>
      </c>
      <c r="AF333">
        <v>14.33</v>
      </c>
      <c r="AG333" s="103">
        <f t="shared" si="35"/>
        <v>14</v>
      </c>
      <c r="AH333" s="37">
        <f t="shared" si="36"/>
        <v>20.69</v>
      </c>
      <c r="AJ333" s="34"/>
      <c r="AK333" s="34"/>
      <c r="AL333" s="82"/>
      <c r="AN333" s="83"/>
      <c r="AO333" s="83"/>
      <c r="AP333" s="82"/>
      <c r="AQ333" s="84"/>
      <c r="AR333" s="84"/>
      <c r="AS333" s="84"/>
      <c r="AU333" s="34"/>
      <c r="AV333" s="34"/>
      <c r="AW333" s="82"/>
      <c r="AY333" s="83"/>
      <c r="AZ333" s="83"/>
      <c r="BA333" s="82"/>
      <c r="BB333" s="84"/>
      <c r="BC333" s="84"/>
      <c r="BD333" s="84"/>
    </row>
    <row r="334" spans="22:56" ht="16" x14ac:dyDescent="0.4">
      <c r="V334" s="97">
        <v>45898</v>
      </c>
      <c r="W334" s="16">
        <v>189577</v>
      </c>
      <c r="X334" s="101" t="s">
        <v>36</v>
      </c>
      <c r="Y334" s="107"/>
      <c r="Z334" s="102">
        <v>0.82361111111111107</v>
      </c>
      <c r="AA334" s="102">
        <v>1.5972222222222224E-2</v>
      </c>
      <c r="AB334" s="16"/>
      <c r="AC334" s="16"/>
      <c r="AD334" s="105">
        <v>21102</v>
      </c>
      <c r="AE334" s="93">
        <f t="shared" si="34"/>
        <v>21.102</v>
      </c>
      <c r="AF334">
        <v>15.16</v>
      </c>
      <c r="AG334" s="103">
        <f t="shared" si="35"/>
        <v>14</v>
      </c>
      <c r="AH334" s="37">
        <f t="shared" si="36"/>
        <v>21.102</v>
      </c>
      <c r="AJ334" s="34"/>
      <c r="AK334" s="34"/>
      <c r="AL334" s="82"/>
      <c r="AN334" s="83"/>
      <c r="AO334" s="83"/>
      <c r="AP334" s="82"/>
      <c r="AQ334" s="84"/>
      <c r="AR334" s="84"/>
      <c r="AS334" s="84"/>
      <c r="AU334" s="34"/>
      <c r="AV334" s="34"/>
      <c r="AW334" s="82"/>
      <c r="AY334" s="83"/>
      <c r="AZ334" s="83"/>
      <c r="BA334" s="82"/>
      <c r="BB334" s="84"/>
      <c r="BC334" s="84"/>
      <c r="BD334" s="84"/>
    </row>
    <row r="335" spans="22:56" ht="16" x14ac:dyDescent="0.4">
      <c r="V335" s="97">
        <v>45898</v>
      </c>
      <c r="W335" s="16">
        <v>189585</v>
      </c>
      <c r="X335" s="101" t="s">
        <v>36</v>
      </c>
      <c r="Y335" s="107"/>
      <c r="Z335" s="102">
        <v>0.87430555555555556</v>
      </c>
      <c r="AA335" s="102">
        <v>6.3194444444444442E-2</v>
      </c>
      <c r="AB335" s="16"/>
      <c r="AC335" s="16"/>
      <c r="AD335" s="105">
        <v>22292</v>
      </c>
      <c r="AE335" s="93">
        <f t="shared" si="34"/>
        <v>22.292000000000002</v>
      </c>
      <c r="AF335">
        <v>15.02</v>
      </c>
      <c r="AG335" s="103">
        <f t="shared" si="35"/>
        <v>14</v>
      </c>
      <c r="AH335" s="37">
        <f t="shared" si="36"/>
        <v>22.292000000000002</v>
      </c>
      <c r="AJ335" s="34"/>
      <c r="AK335" s="34"/>
      <c r="AL335" s="82"/>
      <c r="AN335" s="83"/>
      <c r="AO335" s="83"/>
      <c r="AP335" s="82"/>
      <c r="AQ335" s="84"/>
      <c r="AR335" s="84"/>
      <c r="AS335" s="84"/>
      <c r="AU335" s="34"/>
      <c r="AV335" s="34"/>
      <c r="AW335" s="82"/>
      <c r="AY335" s="83"/>
      <c r="AZ335" s="83"/>
      <c r="BA335" s="82"/>
      <c r="BB335" s="84"/>
      <c r="BC335" s="84"/>
      <c r="BD335" s="84"/>
    </row>
    <row r="336" spans="22:56" ht="16" x14ac:dyDescent="0.4">
      <c r="V336" s="97">
        <v>45898</v>
      </c>
      <c r="W336" s="16">
        <v>189592</v>
      </c>
      <c r="X336" s="101" t="s">
        <v>36</v>
      </c>
      <c r="Y336" s="107"/>
      <c r="Z336" s="102">
        <v>0.57847222222222217</v>
      </c>
      <c r="AA336" s="102">
        <v>0.10416666666666667</v>
      </c>
      <c r="AB336" s="16"/>
      <c r="AC336" s="16"/>
      <c r="AD336" s="105">
        <v>21216</v>
      </c>
      <c r="AE336" s="93">
        <f t="shared" si="34"/>
        <v>21.216000000000001</v>
      </c>
      <c r="AF336">
        <v>14.81</v>
      </c>
      <c r="AG336" s="103">
        <f t="shared" si="35"/>
        <v>14</v>
      </c>
      <c r="AH336" s="37">
        <f t="shared" si="36"/>
        <v>21.216000000000001</v>
      </c>
      <c r="AJ336" s="34"/>
      <c r="AK336" s="34"/>
      <c r="AL336" s="82"/>
      <c r="AN336" s="83"/>
      <c r="AO336" s="83"/>
      <c r="AP336" s="82"/>
      <c r="AQ336" s="84"/>
      <c r="AR336" s="84"/>
      <c r="AS336" s="84"/>
      <c r="AU336" s="34"/>
      <c r="AV336" s="34"/>
      <c r="AW336" s="82"/>
      <c r="AY336" s="83"/>
      <c r="AZ336" s="83"/>
      <c r="BA336" s="82"/>
      <c r="BB336" s="84"/>
      <c r="BC336" s="84"/>
      <c r="BD336" s="84"/>
    </row>
    <row r="337" spans="22:56" ht="16" x14ac:dyDescent="0.4">
      <c r="V337" s="97"/>
      <c r="W337" s="16"/>
      <c r="X337" s="101"/>
      <c r="Y337" s="107"/>
      <c r="Z337" s="102"/>
      <c r="AA337" s="102"/>
      <c r="AB337" s="16"/>
      <c r="AC337" s="16"/>
      <c r="AD337" s="105"/>
      <c r="AE337" s="93"/>
      <c r="AG337" s="103"/>
      <c r="AH337" s="37"/>
      <c r="AJ337" s="34"/>
      <c r="AK337" s="34"/>
      <c r="AL337" s="82"/>
      <c r="AN337" s="83"/>
      <c r="AO337" s="83"/>
      <c r="AP337" s="82"/>
      <c r="AQ337" s="84"/>
      <c r="AR337" s="84"/>
      <c r="AS337" s="84"/>
      <c r="AU337" s="34"/>
      <c r="AV337" s="34"/>
      <c r="AW337" s="82"/>
      <c r="AY337" s="83"/>
      <c r="AZ337" s="83"/>
      <c r="BA337" s="82"/>
      <c r="BB337" s="84"/>
      <c r="BC337" s="84"/>
      <c r="BD337" s="84"/>
    </row>
    <row r="338" spans="22:56" ht="16" x14ac:dyDescent="0.4">
      <c r="V338" s="97"/>
      <c r="W338" s="16"/>
      <c r="X338" s="101"/>
      <c r="Y338" s="107"/>
      <c r="Z338" s="102"/>
      <c r="AA338" s="102"/>
      <c r="AB338" s="16"/>
      <c r="AC338" s="16"/>
      <c r="AD338" s="105"/>
      <c r="AE338" s="93"/>
      <c r="AG338" s="103"/>
      <c r="AH338" s="37"/>
      <c r="AJ338" s="34"/>
      <c r="AK338" s="34"/>
      <c r="AL338" s="82"/>
      <c r="AN338" s="83"/>
      <c r="AO338" s="83"/>
      <c r="AP338" s="82"/>
      <c r="AQ338" s="84"/>
      <c r="AR338" s="84"/>
      <c r="AS338" s="84"/>
      <c r="AU338" s="34"/>
      <c r="AV338" s="34"/>
      <c r="AW338" s="82"/>
      <c r="AY338" s="83"/>
      <c r="AZ338" s="83"/>
      <c r="BA338" s="82"/>
      <c r="BB338" s="84"/>
      <c r="BC338" s="84"/>
      <c r="BD338" s="84"/>
    </row>
    <row r="339" spans="22:56" ht="16" x14ac:dyDescent="0.4">
      <c r="V339" s="97">
        <v>45898</v>
      </c>
      <c r="W339" s="16">
        <v>189705</v>
      </c>
      <c r="X339" s="101" t="s">
        <v>36</v>
      </c>
      <c r="Y339" s="107"/>
      <c r="Z339" s="102">
        <v>0.26653935185185185</v>
      </c>
      <c r="AA339" s="102">
        <v>0.38493055555555555</v>
      </c>
      <c r="AB339" s="16"/>
      <c r="AC339" s="16"/>
      <c r="AD339" s="105">
        <v>21506</v>
      </c>
      <c r="AE339" s="93">
        <f t="shared" si="34"/>
        <v>21.506</v>
      </c>
      <c r="AF339">
        <v>14.7</v>
      </c>
      <c r="AG339" s="103">
        <f t="shared" si="35"/>
        <v>14</v>
      </c>
      <c r="AH339" s="37">
        <f t="shared" si="36"/>
        <v>21.506</v>
      </c>
      <c r="AJ339" s="34"/>
      <c r="AK339" s="34"/>
      <c r="AL339" s="82"/>
      <c r="AN339" s="83"/>
      <c r="AO339" s="83"/>
      <c r="AP339" s="82"/>
      <c r="AQ339" s="84"/>
      <c r="AR339" s="84"/>
      <c r="AS339" s="84"/>
      <c r="AU339" s="34"/>
      <c r="AV339" s="34"/>
      <c r="AW339" s="82"/>
      <c r="AY339" s="83"/>
      <c r="AZ339" s="83"/>
      <c r="BA339" s="82"/>
      <c r="BB339" s="84"/>
      <c r="BC339" s="84"/>
      <c r="BD339" s="84"/>
    </row>
    <row r="340" spans="22:56" ht="16" x14ac:dyDescent="0.4">
      <c r="V340" s="97">
        <v>45898</v>
      </c>
      <c r="W340" s="16">
        <v>189765</v>
      </c>
      <c r="X340" s="101" t="s">
        <v>36</v>
      </c>
      <c r="Y340" s="107"/>
      <c r="Z340" s="102">
        <v>0.15064814814814814</v>
      </c>
      <c r="AA340" s="102">
        <v>0.47072916666666664</v>
      </c>
      <c r="AB340" s="16"/>
      <c r="AC340" s="16"/>
      <c r="AD340" s="105">
        <v>21254</v>
      </c>
      <c r="AE340" s="93">
        <f t="shared" si="34"/>
        <v>21.254000000000001</v>
      </c>
      <c r="AF340">
        <v>14.41</v>
      </c>
      <c r="AG340" s="103">
        <f t="shared" si="35"/>
        <v>14</v>
      </c>
      <c r="AH340" s="37">
        <f t="shared" si="36"/>
        <v>21.254000000000001</v>
      </c>
      <c r="AJ340" s="34"/>
      <c r="AK340" s="34"/>
      <c r="AL340" s="82"/>
      <c r="AN340" s="83"/>
      <c r="AO340" s="83"/>
      <c r="AP340" s="82"/>
      <c r="AQ340" s="84"/>
      <c r="AR340" s="84"/>
      <c r="AS340" s="84"/>
      <c r="AU340" s="34"/>
      <c r="AV340" s="34"/>
      <c r="AW340" s="82"/>
      <c r="AY340" s="83"/>
      <c r="AZ340" s="83"/>
      <c r="BA340" s="82"/>
      <c r="BB340" s="84"/>
      <c r="BC340" s="84"/>
      <c r="BD340" s="84"/>
    </row>
    <row r="341" spans="22:56" ht="16" x14ac:dyDescent="0.4">
      <c r="V341" s="97">
        <v>45898</v>
      </c>
      <c r="W341" s="16">
        <v>189815</v>
      </c>
      <c r="X341" s="101" t="s">
        <v>36</v>
      </c>
      <c r="Y341" s="107"/>
      <c r="Z341" s="102">
        <v>0.26643518518518522</v>
      </c>
      <c r="AA341" s="102">
        <v>0.57201388888888893</v>
      </c>
      <c r="AB341" s="16"/>
      <c r="AC341" s="16"/>
      <c r="AD341" s="105">
        <v>22834</v>
      </c>
      <c r="AE341" s="93">
        <f t="shared" si="34"/>
        <v>22.834</v>
      </c>
      <c r="AF341">
        <v>14.87</v>
      </c>
      <c r="AG341" s="103">
        <f t="shared" si="35"/>
        <v>14</v>
      </c>
      <c r="AH341" s="37">
        <f t="shared" si="36"/>
        <v>22.834</v>
      </c>
      <c r="AJ341" s="34"/>
      <c r="AK341" s="34"/>
      <c r="AL341" s="82"/>
      <c r="AN341" s="83"/>
      <c r="AO341" s="83"/>
      <c r="AP341" s="82"/>
      <c r="AQ341" s="84"/>
      <c r="AR341" s="84"/>
      <c r="AS341" s="84"/>
      <c r="AU341" s="34"/>
      <c r="AV341" s="34"/>
      <c r="AW341" s="82"/>
      <c r="AY341" s="83"/>
      <c r="AZ341" s="83"/>
      <c r="BA341" s="82"/>
      <c r="BB341" s="84"/>
      <c r="BC341" s="84"/>
      <c r="BD341" s="84"/>
    </row>
    <row r="342" spans="22:56" ht="16" x14ac:dyDescent="0.4">
      <c r="V342" s="97">
        <v>45898</v>
      </c>
      <c r="W342" s="16">
        <v>189861</v>
      </c>
      <c r="X342" s="101" t="s">
        <v>36</v>
      </c>
      <c r="Y342" s="107"/>
      <c r="Z342" s="102">
        <v>0.15074074074074076</v>
      </c>
      <c r="AA342" s="102">
        <v>0.62520833333333337</v>
      </c>
      <c r="AB342" s="16"/>
      <c r="AC342" s="16"/>
      <c r="AD342" s="105">
        <v>20280</v>
      </c>
      <c r="AE342" s="93">
        <f t="shared" si="34"/>
        <v>20.28</v>
      </c>
      <c r="AF342">
        <v>15.48</v>
      </c>
      <c r="AG342" s="103">
        <f t="shared" si="35"/>
        <v>14</v>
      </c>
      <c r="AH342" s="37">
        <f t="shared" si="36"/>
        <v>20.28</v>
      </c>
      <c r="AJ342" s="34"/>
      <c r="AK342" s="34"/>
      <c r="AL342" s="82"/>
      <c r="AN342" s="83"/>
      <c r="AO342" s="83"/>
      <c r="AP342" s="82"/>
      <c r="AQ342" s="84"/>
      <c r="AR342" s="84"/>
      <c r="AS342" s="84"/>
      <c r="AU342" s="34"/>
      <c r="AV342" s="34"/>
      <c r="AW342" s="82"/>
      <c r="AY342" s="83"/>
      <c r="AZ342" s="83"/>
      <c r="BA342" s="82"/>
      <c r="BB342" s="84"/>
      <c r="BC342" s="84"/>
      <c r="BD342" s="84"/>
    </row>
    <row r="343" spans="22:56" ht="16" x14ac:dyDescent="0.4">
      <c r="V343" s="97">
        <v>45898</v>
      </c>
      <c r="W343" s="16">
        <v>189884</v>
      </c>
      <c r="X343" s="101" t="s">
        <v>36</v>
      </c>
      <c r="Y343" s="107"/>
      <c r="Z343" s="102">
        <v>0.26631944444444444</v>
      </c>
      <c r="AA343" s="102">
        <v>0.67268518518518527</v>
      </c>
      <c r="AB343" s="16"/>
      <c r="AC343" s="16"/>
      <c r="AD343" s="105">
        <v>20846</v>
      </c>
      <c r="AE343" s="93">
        <f t="shared" si="34"/>
        <v>20.846</v>
      </c>
      <c r="AF343">
        <v>15.41</v>
      </c>
      <c r="AG343" s="103">
        <f t="shared" si="35"/>
        <v>14</v>
      </c>
      <c r="AH343" s="37">
        <f t="shared" si="36"/>
        <v>20.846</v>
      </c>
      <c r="AJ343" s="34"/>
      <c r="AK343" s="34"/>
      <c r="AL343" s="82"/>
      <c r="AN343" s="83"/>
      <c r="AO343" s="83"/>
      <c r="AP343" s="82"/>
      <c r="AQ343" s="84"/>
      <c r="AR343" s="84"/>
      <c r="AS343" s="84"/>
      <c r="AU343" s="34"/>
      <c r="AV343" s="34"/>
      <c r="AW343" s="82"/>
      <c r="AY343" s="83"/>
      <c r="AZ343" s="83"/>
      <c r="BA343" s="82"/>
      <c r="BB343" s="84"/>
      <c r="BC343" s="84"/>
      <c r="BD343" s="84"/>
    </row>
    <row r="344" spans="22:56" ht="16" x14ac:dyDescent="0.4">
      <c r="V344" s="97">
        <v>45898</v>
      </c>
      <c r="W344" s="16">
        <v>189906</v>
      </c>
      <c r="X344" s="101" t="s">
        <v>36</v>
      </c>
      <c r="Y344" s="105"/>
      <c r="Z344" s="102">
        <v>0.66776620370370365</v>
      </c>
      <c r="AA344" s="102">
        <v>0.72282407407407412</v>
      </c>
      <c r="AB344" s="16"/>
      <c r="AC344" s="16"/>
      <c r="AD344" s="105">
        <v>19972</v>
      </c>
      <c r="AE344" s="93">
        <f t="shared" si="34"/>
        <v>19.972000000000001</v>
      </c>
      <c r="AF344">
        <v>16.23</v>
      </c>
      <c r="AG344" s="103">
        <f t="shared" si="35"/>
        <v>14</v>
      </c>
      <c r="AH344" s="37">
        <f t="shared" si="36"/>
        <v>19.972000000000001</v>
      </c>
      <c r="AJ344" s="34"/>
      <c r="AK344" s="34"/>
      <c r="AL344" s="82"/>
      <c r="AN344" s="83"/>
      <c r="AO344" s="83"/>
      <c r="AP344" s="82"/>
      <c r="AQ344" s="84"/>
      <c r="AR344" s="84"/>
      <c r="AS344" s="84"/>
      <c r="AU344" s="34"/>
      <c r="AV344" s="34"/>
      <c r="AW344" s="82"/>
      <c r="AY344" s="83"/>
      <c r="AZ344" s="83"/>
      <c r="BA344" s="82"/>
      <c r="BB344" s="84"/>
      <c r="BC344" s="84"/>
      <c r="BD344" s="84"/>
    </row>
    <row r="345" spans="22:56" ht="16" x14ac:dyDescent="0.4">
      <c r="V345" s="97">
        <v>45898</v>
      </c>
      <c r="W345" s="16">
        <v>189919</v>
      </c>
      <c r="X345" s="101" t="s">
        <v>36</v>
      </c>
      <c r="Z345" s="50">
        <v>0.72361111111111109</v>
      </c>
      <c r="AA345" s="50">
        <v>0.77222222222222225</v>
      </c>
      <c r="AD345" s="37">
        <v>19188</v>
      </c>
      <c r="AE345" s="48">
        <f t="shared" si="34"/>
        <v>19.187999999999999</v>
      </c>
      <c r="AF345">
        <v>16.62</v>
      </c>
      <c r="AG345" s="103">
        <f t="shared" si="35"/>
        <v>14</v>
      </c>
      <c r="AH345" s="37">
        <f t="shared" si="36"/>
        <v>19.187999999999999</v>
      </c>
      <c r="AJ345" s="34"/>
      <c r="AK345" s="34"/>
      <c r="AL345" s="82"/>
      <c r="AN345" s="83"/>
      <c r="AO345" s="83"/>
      <c r="AP345" s="82"/>
      <c r="AQ345" s="84"/>
      <c r="AR345" s="84"/>
      <c r="AS345" s="84"/>
      <c r="AU345" s="34"/>
      <c r="AV345" s="34"/>
      <c r="AW345" s="82"/>
      <c r="AY345" s="83"/>
      <c r="AZ345" s="83"/>
      <c r="BA345" s="82"/>
      <c r="BB345" s="84"/>
      <c r="BC345" s="84"/>
      <c r="BD345" s="84"/>
    </row>
    <row r="346" spans="22:56" ht="16" x14ac:dyDescent="0.4">
      <c r="V346" s="97">
        <v>45898</v>
      </c>
      <c r="W346" s="16">
        <v>189950</v>
      </c>
      <c r="X346" s="101" t="s">
        <v>36</v>
      </c>
      <c r="Z346" s="50">
        <v>0.14583333333333334</v>
      </c>
      <c r="AA346" s="50">
        <v>0.8208333333333333</v>
      </c>
      <c r="AD346" s="37">
        <v>20940</v>
      </c>
      <c r="AE346" s="48">
        <f t="shared" si="34"/>
        <v>20.94</v>
      </c>
      <c r="AF346">
        <v>15.74</v>
      </c>
      <c r="AG346" s="103">
        <f t="shared" si="35"/>
        <v>14</v>
      </c>
      <c r="AH346" s="37">
        <f t="shared" si="36"/>
        <v>20.94</v>
      </c>
      <c r="AJ346" s="34"/>
      <c r="AK346" s="34"/>
      <c r="AL346" s="82"/>
      <c r="AN346" s="83"/>
      <c r="AO346" s="83"/>
      <c r="AP346" s="82"/>
      <c r="AQ346" s="84"/>
      <c r="AR346" s="84"/>
      <c r="AS346" s="84"/>
      <c r="AU346" s="34"/>
      <c r="AV346" s="34"/>
      <c r="AW346" s="82"/>
      <c r="AY346" s="83"/>
      <c r="AZ346" s="83"/>
      <c r="BA346" s="82"/>
      <c r="BB346" s="84"/>
      <c r="BC346" s="84"/>
      <c r="BD346" s="84"/>
    </row>
    <row r="347" spans="22:56" ht="16" x14ac:dyDescent="0.4">
      <c r="V347" s="97">
        <v>45898</v>
      </c>
      <c r="W347" s="16">
        <v>189967</v>
      </c>
      <c r="X347" s="101" t="s">
        <v>36</v>
      </c>
      <c r="Z347" s="50">
        <v>0.72291666666666676</v>
      </c>
      <c r="AA347" s="50">
        <v>0.87638888888888899</v>
      </c>
      <c r="AD347" s="37">
        <v>20188</v>
      </c>
      <c r="AE347" s="48">
        <f t="shared" si="34"/>
        <v>20.187999999999999</v>
      </c>
      <c r="AF347">
        <v>14.77</v>
      </c>
      <c r="AG347" s="103">
        <f t="shared" si="35"/>
        <v>14</v>
      </c>
      <c r="AH347" s="37">
        <f t="shared" si="36"/>
        <v>20.187999999999999</v>
      </c>
      <c r="AJ347" s="34"/>
      <c r="AK347" s="34"/>
      <c r="AL347" s="82"/>
      <c r="AN347" s="83"/>
      <c r="AO347" s="83"/>
      <c r="AP347" s="82"/>
      <c r="AQ347" s="84"/>
      <c r="AR347" s="84"/>
      <c r="AS347" s="84"/>
      <c r="AU347" s="34"/>
      <c r="AV347" s="34"/>
      <c r="AW347" s="82"/>
      <c r="AY347" s="83"/>
      <c r="AZ347" s="83"/>
      <c r="BA347" s="82"/>
      <c r="BB347" s="84"/>
      <c r="BC347" s="84"/>
      <c r="BD347" s="84"/>
    </row>
    <row r="348" spans="22:56" ht="16" x14ac:dyDescent="0.4">
      <c r="V348" s="97">
        <v>45899</v>
      </c>
      <c r="W348" s="16">
        <v>190007</v>
      </c>
      <c r="X348" s="101" t="s">
        <v>36</v>
      </c>
      <c r="Z348" s="50">
        <v>0.66736111111111107</v>
      </c>
      <c r="AA348" s="50">
        <v>0.96458333333333324</v>
      </c>
      <c r="AD348" s="100">
        <v>21256</v>
      </c>
      <c r="AE348" s="48">
        <f t="shared" si="34"/>
        <v>21.256</v>
      </c>
      <c r="AF348" s="16">
        <v>15.02</v>
      </c>
      <c r="AG348" s="103">
        <f t="shared" si="35"/>
        <v>14</v>
      </c>
      <c r="AH348" s="37">
        <f t="shared" si="36"/>
        <v>21.256</v>
      </c>
      <c r="AJ348" s="34"/>
      <c r="AK348" s="34"/>
      <c r="AL348" s="82"/>
      <c r="AN348" s="83"/>
      <c r="AO348" s="83"/>
      <c r="AP348" s="82"/>
      <c r="AQ348" s="84"/>
      <c r="AR348" s="84"/>
      <c r="AS348" s="84"/>
      <c r="AU348" s="34"/>
      <c r="AV348" s="34"/>
      <c r="AW348" s="82"/>
      <c r="AY348" s="83"/>
      <c r="AZ348" s="83"/>
      <c r="BA348" s="82"/>
      <c r="BB348" s="84"/>
      <c r="BC348" s="84"/>
      <c r="BD348" s="84"/>
    </row>
    <row r="349" spans="22:56" ht="16" x14ac:dyDescent="0.4">
      <c r="V349" s="97">
        <v>45899</v>
      </c>
      <c r="W349" s="16">
        <v>190008</v>
      </c>
      <c r="X349" s="101" t="s">
        <v>36</v>
      </c>
      <c r="Z349" s="50">
        <v>0.72222222222222221</v>
      </c>
      <c r="AA349" s="50">
        <v>2.0833333333333332E-2</v>
      </c>
      <c r="AD349" s="100">
        <v>20020</v>
      </c>
      <c r="AE349" s="48">
        <f t="shared" si="34"/>
        <v>20.02</v>
      </c>
      <c r="AF349" s="16">
        <v>14.7</v>
      </c>
      <c r="AG349" s="103">
        <f t="shared" si="35"/>
        <v>14</v>
      </c>
      <c r="AH349" s="37">
        <f t="shared" si="36"/>
        <v>20.02</v>
      </c>
      <c r="AJ349" s="34"/>
      <c r="AK349" s="34"/>
      <c r="AL349" s="82"/>
      <c r="AN349" s="83"/>
      <c r="AO349" s="83"/>
      <c r="AP349" s="82"/>
      <c r="AQ349" s="84"/>
      <c r="AR349" s="84"/>
      <c r="AS349" s="84"/>
      <c r="AU349" s="34"/>
      <c r="AV349" s="34"/>
      <c r="AW349" s="82"/>
      <c r="AY349" s="83"/>
      <c r="AZ349" s="83"/>
      <c r="BA349" s="82"/>
      <c r="BB349" s="84"/>
      <c r="BC349" s="84"/>
      <c r="BD349" s="84"/>
    </row>
    <row r="350" spans="22:56" ht="16" x14ac:dyDescent="0.4">
      <c r="V350" s="97">
        <v>45899</v>
      </c>
      <c r="W350" s="16">
        <v>190016</v>
      </c>
      <c r="X350" s="101" t="s">
        <v>36</v>
      </c>
      <c r="Z350" s="50">
        <v>0.66736111111111107</v>
      </c>
      <c r="AA350" s="50">
        <v>8.1944444444444445E-2</v>
      </c>
      <c r="AD350" s="100">
        <v>19914</v>
      </c>
      <c r="AE350" s="48">
        <f t="shared" si="34"/>
        <v>19.914000000000001</v>
      </c>
      <c r="AF350" s="16">
        <v>15.48</v>
      </c>
      <c r="AG350" s="103">
        <f t="shared" si="35"/>
        <v>14</v>
      </c>
      <c r="AH350" s="37">
        <f t="shared" si="36"/>
        <v>19.914000000000005</v>
      </c>
      <c r="AJ350" s="34"/>
      <c r="AK350" s="34"/>
      <c r="AL350" s="82"/>
      <c r="AN350" s="83"/>
      <c r="AO350" s="83"/>
      <c r="AP350" s="82"/>
      <c r="AQ350" s="84"/>
      <c r="AR350" s="84"/>
      <c r="AS350" s="84"/>
      <c r="AU350" s="34"/>
      <c r="AV350" s="34"/>
      <c r="AW350" s="82"/>
      <c r="AY350" s="83"/>
      <c r="AZ350" s="83"/>
      <c r="BA350" s="82"/>
      <c r="BB350" s="84"/>
      <c r="BC350" s="84"/>
      <c r="BD350" s="84"/>
    </row>
    <row r="351" spans="22:56" ht="16" x14ac:dyDescent="0.4">
      <c r="V351" s="97">
        <v>45899</v>
      </c>
      <c r="W351" s="16">
        <v>190025</v>
      </c>
      <c r="X351" s="101" t="s">
        <v>36</v>
      </c>
      <c r="Z351" s="50">
        <v>0.91388888888888886</v>
      </c>
      <c r="AA351" s="50">
        <v>0.14166666666666666</v>
      </c>
      <c r="AD351" s="100">
        <v>19556</v>
      </c>
      <c r="AE351" s="48">
        <f t="shared" si="34"/>
        <v>19.556000000000001</v>
      </c>
      <c r="AF351" s="16">
        <v>15.81</v>
      </c>
      <c r="AG351" s="103">
        <f t="shared" si="35"/>
        <v>14</v>
      </c>
      <c r="AH351" s="37">
        <f t="shared" si="36"/>
        <v>19.556000000000001</v>
      </c>
      <c r="AJ351" s="34"/>
      <c r="AK351" s="34"/>
      <c r="AL351" s="82"/>
      <c r="AN351" s="83"/>
      <c r="AO351" s="83"/>
      <c r="AP351" s="82"/>
      <c r="AQ351" s="84"/>
      <c r="AR351" s="84"/>
      <c r="AS351" s="84"/>
      <c r="AU351" s="34"/>
      <c r="AV351" s="34"/>
      <c r="AW351" s="82"/>
      <c r="AY351" s="83"/>
      <c r="AZ351" s="83"/>
      <c r="BA351" s="82"/>
      <c r="BB351" s="84"/>
      <c r="BC351" s="84"/>
      <c r="BD351" s="84"/>
    </row>
    <row r="352" spans="22:56" ht="16" x14ac:dyDescent="0.4">
      <c r="V352" s="97">
        <v>45899</v>
      </c>
      <c r="W352" s="16">
        <v>190032</v>
      </c>
      <c r="X352" s="101" t="s">
        <v>36</v>
      </c>
      <c r="Z352" s="50">
        <v>0.12429398148148148</v>
      </c>
      <c r="AA352" s="50">
        <v>0.19182870370370372</v>
      </c>
      <c r="AD352" s="100">
        <v>20190</v>
      </c>
      <c r="AE352" s="48">
        <f t="shared" si="34"/>
        <v>20.190000000000001</v>
      </c>
      <c r="AF352" s="16">
        <v>14.88</v>
      </c>
      <c r="AG352" s="103">
        <f t="shared" si="35"/>
        <v>14</v>
      </c>
      <c r="AH352" s="37">
        <f t="shared" si="36"/>
        <v>20.190000000000001</v>
      </c>
      <c r="AJ352" s="34"/>
      <c r="AK352" s="34"/>
      <c r="AL352" s="82"/>
      <c r="AN352" s="83"/>
      <c r="AO352" s="83"/>
      <c r="AP352" s="82"/>
      <c r="AQ352" s="84"/>
      <c r="AR352" s="84"/>
      <c r="AS352" s="84"/>
      <c r="AU352" s="34"/>
      <c r="AV352" s="34"/>
      <c r="AW352" s="82"/>
      <c r="AY352" s="83"/>
      <c r="AZ352" s="83"/>
      <c r="BA352" s="82"/>
      <c r="BB352" s="84"/>
      <c r="BC352" s="84"/>
      <c r="BD352" s="84"/>
    </row>
    <row r="353" spans="22:56" ht="16" x14ac:dyDescent="0.4">
      <c r="V353" s="97">
        <v>45899</v>
      </c>
      <c r="W353" s="16">
        <v>190036</v>
      </c>
      <c r="X353" s="101" t="s">
        <v>36</v>
      </c>
      <c r="Z353" s="50">
        <v>0.18971064814814817</v>
      </c>
      <c r="AA353" s="50">
        <v>0.23385416666666667</v>
      </c>
      <c r="AD353" s="100">
        <v>18210</v>
      </c>
      <c r="AE353" s="48">
        <f t="shared" si="34"/>
        <v>18.21</v>
      </c>
      <c r="AF353" s="16">
        <v>14.41</v>
      </c>
      <c r="AG353" s="103">
        <f t="shared" si="35"/>
        <v>14</v>
      </c>
      <c r="AH353" s="37">
        <f t="shared" si="36"/>
        <v>18.21</v>
      </c>
      <c r="AJ353" s="34"/>
      <c r="AK353" s="34"/>
      <c r="AL353" s="82"/>
      <c r="AN353" s="83"/>
      <c r="AO353" s="83"/>
      <c r="AP353" s="82"/>
      <c r="AQ353" s="84"/>
      <c r="AR353" s="84"/>
      <c r="AS353" s="84"/>
      <c r="AU353" s="34"/>
      <c r="AV353" s="34"/>
      <c r="AW353" s="82"/>
      <c r="AY353" s="83"/>
      <c r="AZ353" s="83"/>
      <c r="BA353" s="82"/>
      <c r="BB353" s="84"/>
      <c r="BC353" s="84"/>
      <c r="BD353" s="84"/>
    </row>
    <row r="354" spans="22:56" ht="16" x14ac:dyDescent="0.4">
      <c r="V354" s="97">
        <v>45899</v>
      </c>
      <c r="W354" s="16">
        <v>190058</v>
      </c>
      <c r="X354" s="101" t="s">
        <v>36</v>
      </c>
      <c r="Z354" s="50">
        <v>0.12451388888888888</v>
      </c>
      <c r="AA354" s="50">
        <v>0.29412037037037037</v>
      </c>
      <c r="AD354" s="100">
        <v>20884</v>
      </c>
      <c r="AE354" s="48">
        <f t="shared" si="34"/>
        <v>20.884</v>
      </c>
      <c r="AF354" s="16">
        <v>16.559999999999999</v>
      </c>
      <c r="AG354" s="103">
        <f t="shared" si="35"/>
        <v>14</v>
      </c>
      <c r="AH354" s="37">
        <f t="shared" si="36"/>
        <v>20.883999999999997</v>
      </c>
      <c r="AJ354" s="34"/>
      <c r="AK354" s="34"/>
      <c r="AL354" s="82"/>
      <c r="AN354" s="83"/>
      <c r="AO354" s="83"/>
      <c r="AP354" s="82"/>
      <c r="AQ354" s="84"/>
      <c r="AR354" s="84"/>
      <c r="AS354" s="84"/>
      <c r="AU354" s="34"/>
      <c r="AV354" s="34"/>
      <c r="AW354" s="82"/>
      <c r="AY354" s="83"/>
      <c r="AZ354" s="83"/>
      <c r="BA354" s="82"/>
      <c r="BB354" s="84"/>
      <c r="BC354" s="84"/>
      <c r="BD354" s="84"/>
    </row>
    <row r="355" spans="22:56" ht="16" x14ac:dyDescent="0.4">
      <c r="V355" s="97">
        <v>45899</v>
      </c>
      <c r="W355" s="16">
        <v>190092</v>
      </c>
      <c r="X355" s="101" t="s">
        <v>36</v>
      </c>
      <c r="Z355" s="50">
        <v>5.9560185185185188E-2</v>
      </c>
      <c r="AA355" s="50">
        <v>0.35567129629629629</v>
      </c>
      <c r="AD355" s="100">
        <v>20048</v>
      </c>
      <c r="AE355" s="48">
        <f t="shared" si="34"/>
        <v>20.047999999999998</v>
      </c>
      <c r="AF355" s="16">
        <v>15.2</v>
      </c>
      <c r="AG355" s="103">
        <f t="shared" si="35"/>
        <v>14</v>
      </c>
      <c r="AH355" s="37">
        <f t="shared" si="36"/>
        <v>20.047999999999998</v>
      </c>
      <c r="AJ355" s="34"/>
      <c r="AK355" s="34"/>
      <c r="AL355" s="82"/>
      <c r="AN355" s="83"/>
      <c r="AO355" s="83"/>
      <c r="AP355" s="82"/>
      <c r="AQ355" s="84"/>
      <c r="AR355" s="84"/>
      <c r="AS355" s="84"/>
      <c r="AU355" s="34"/>
      <c r="AV355" s="34"/>
      <c r="AW355" s="82"/>
      <c r="AY355" s="83"/>
      <c r="AZ355" s="83"/>
      <c r="BA355" s="82"/>
      <c r="BB355" s="84"/>
      <c r="BC355" s="84"/>
      <c r="BD355" s="84"/>
    </row>
    <row r="356" spans="22:56" ht="16" x14ac:dyDescent="0.4">
      <c r="V356" s="97">
        <v>45899</v>
      </c>
      <c r="W356" s="16">
        <v>190140</v>
      </c>
      <c r="X356" s="101" t="s">
        <v>36</v>
      </c>
      <c r="Z356" s="50">
        <v>0.12439814814814815</v>
      </c>
      <c r="AA356" s="50">
        <v>0.41533564814814811</v>
      </c>
      <c r="AD356" s="100">
        <v>21834</v>
      </c>
      <c r="AE356" s="48">
        <f t="shared" si="34"/>
        <v>21.834</v>
      </c>
      <c r="AF356" s="16">
        <v>14.06</v>
      </c>
      <c r="AG356" s="103">
        <f t="shared" si="35"/>
        <v>14</v>
      </c>
      <c r="AH356" s="37">
        <f t="shared" si="36"/>
        <v>21.834</v>
      </c>
      <c r="AJ356" s="34"/>
      <c r="AK356" s="34"/>
      <c r="AL356" s="82"/>
      <c r="AN356" s="83"/>
      <c r="AO356" s="83"/>
      <c r="AP356" s="82"/>
      <c r="AQ356" s="84"/>
      <c r="AR356" s="84"/>
      <c r="AS356" s="84"/>
      <c r="AU356" s="34"/>
      <c r="AV356" s="34"/>
      <c r="AW356" s="82"/>
      <c r="AY356" s="83"/>
      <c r="AZ356" s="83"/>
      <c r="BA356" s="82"/>
      <c r="BB356" s="84"/>
      <c r="BC356" s="84"/>
      <c r="BD356" s="84"/>
    </row>
    <row r="357" spans="22:56" ht="16" x14ac:dyDescent="0.4">
      <c r="V357" s="97">
        <v>45899</v>
      </c>
      <c r="W357" s="16">
        <v>190202</v>
      </c>
      <c r="X357" s="101" t="s">
        <v>36</v>
      </c>
      <c r="Z357" s="50">
        <v>0.81940972222222219</v>
      </c>
      <c r="AA357" s="50">
        <v>0.51723379629629629</v>
      </c>
      <c r="AD357" s="100">
        <v>21034</v>
      </c>
      <c r="AE357" s="48">
        <f t="shared" si="34"/>
        <v>21.033999999999999</v>
      </c>
      <c r="AF357" s="16">
        <v>13.99</v>
      </c>
      <c r="AG357" s="103">
        <f t="shared" si="35"/>
        <v>13.99</v>
      </c>
      <c r="AH357" s="37">
        <f t="shared" si="36"/>
        <v>21.018975714285713</v>
      </c>
      <c r="AJ357" s="34"/>
      <c r="AK357" s="34"/>
      <c r="AL357" s="82"/>
      <c r="AN357" s="83"/>
      <c r="AO357" s="83"/>
      <c r="AP357" s="82"/>
      <c r="AQ357" s="84"/>
      <c r="AR357" s="84"/>
      <c r="AS357" s="84"/>
      <c r="AU357" s="34"/>
      <c r="AV357" s="34"/>
      <c r="AW357" s="82"/>
      <c r="AY357" s="83"/>
      <c r="AZ357" s="83"/>
      <c r="BA357" s="82"/>
      <c r="BB357" s="84"/>
      <c r="BC357" s="84"/>
      <c r="BD357" s="84"/>
    </row>
    <row r="358" spans="22:56" ht="16" x14ac:dyDescent="0.4">
      <c r="V358" s="97">
        <v>45899</v>
      </c>
      <c r="W358" s="16">
        <v>190226</v>
      </c>
      <c r="X358" s="101" t="s">
        <v>36</v>
      </c>
      <c r="Z358" s="50">
        <v>0.45444444444444443</v>
      </c>
      <c r="AA358" s="50">
        <v>0.57270833333333326</v>
      </c>
      <c r="AD358" s="100">
        <v>20802</v>
      </c>
      <c r="AE358" s="48">
        <f t="shared" si="34"/>
        <v>20.802</v>
      </c>
      <c r="AF358" s="16">
        <v>15.31</v>
      </c>
      <c r="AG358" s="103">
        <f t="shared" si="35"/>
        <v>14</v>
      </c>
      <c r="AH358" s="37">
        <f t="shared" si="36"/>
        <v>20.802</v>
      </c>
      <c r="AJ358" s="34"/>
      <c r="AK358" s="34"/>
      <c r="AL358" s="82"/>
      <c r="AN358" s="83"/>
      <c r="AO358" s="83"/>
      <c r="AP358" s="82"/>
      <c r="AQ358" s="84"/>
      <c r="AR358" s="84"/>
      <c r="AS358" s="84"/>
      <c r="AU358" s="34"/>
      <c r="AV358" s="34"/>
      <c r="AW358" s="82"/>
      <c r="AY358" s="83"/>
      <c r="AZ358" s="83"/>
      <c r="BA358" s="82"/>
      <c r="BB358" s="84"/>
      <c r="BC358" s="84"/>
      <c r="BD358" s="84"/>
    </row>
    <row r="359" spans="22:56" ht="16" x14ac:dyDescent="0.4">
      <c r="V359" s="97">
        <v>45899</v>
      </c>
      <c r="W359" s="16">
        <v>190258</v>
      </c>
      <c r="X359" s="101" t="s">
        <v>36</v>
      </c>
      <c r="Z359" s="50">
        <v>0.71851851851851845</v>
      </c>
      <c r="AA359" s="50">
        <v>0.63689814814814816</v>
      </c>
      <c r="AD359" s="100">
        <v>21263</v>
      </c>
      <c r="AE359" s="48">
        <f t="shared" si="34"/>
        <v>21.263000000000002</v>
      </c>
      <c r="AF359" s="16">
        <v>14.41</v>
      </c>
      <c r="AG359" s="103">
        <f t="shared" si="35"/>
        <v>14</v>
      </c>
      <c r="AH359" s="37">
        <f t="shared" si="36"/>
        <v>21.263000000000002</v>
      </c>
      <c r="AJ359" s="34"/>
      <c r="AK359" s="34"/>
      <c r="AL359" s="82"/>
      <c r="AN359" s="83"/>
      <c r="AO359" s="83"/>
      <c r="AP359" s="82"/>
      <c r="AQ359" s="84"/>
      <c r="AR359" s="84"/>
      <c r="AS359" s="84"/>
      <c r="AU359" s="34"/>
      <c r="AV359" s="34"/>
      <c r="AW359" s="82"/>
      <c r="AY359" s="83"/>
      <c r="AZ359" s="83"/>
      <c r="BA359" s="82"/>
      <c r="BB359" s="84"/>
      <c r="BC359" s="84"/>
      <c r="BD359" s="84"/>
    </row>
    <row r="360" spans="22:56" ht="16" x14ac:dyDescent="0.4">
      <c r="V360" s="97">
        <v>45899</v>
      </c>
      <c r="W360" s="16">
        <v>190279</v>
      </c>
      <c r="X360" s="101" t="s">
        <v>36</v>
      </c>
      <c r="Z360" s="50">
        <v>0.45405092592592594</v>
      </c>
      <c r="AA360" s="50">
        <v>0.69281250000000005</v>
      </c>
      <c r="AD360" s="100">
        <v>21068</v>
      </c>
      <c r="AE360" s="48">
        <f t="shared" si="34"/>
        <v>21.068000000000001</v>
      </c>
      <c r="AF360" s="16">
        <v>15.52</v>
      </c>
      <c r="AG360" s="103">
        <f t="shared" si="35"/>
        <v>14</v>
      </c>
      <c r="AH360" s="37">
        <f t="shared" si="36"/>
        <v>21.068000000000001</v>
      </c>
      <c r="AJ360" s="34"/>
      <c r="AK360" s="34"/>
      <c r="AL360" s="82"/>
      <c r="AN360" s="83"/>
      <c r="AO360" s="83"/>
      <c r="AP360" s="82"/>
      <c r="AQ360" s="84"/>
      <c r="AR360" s="84"/>
      <c r="AS360" s="84"/>
      <c r="AU360" s="34"/>
      <c r="AV360" s="34"/>
      <c r="AW360" s="82"/>
      <c r="AY360" s="83"/>
      <c r="AZ360" s="83"/>
      <c r="BA360" s="82"/>
      <c r="BB360" s="84"/>
      <c r="BC360" s="84"/>
      <c r="BD360" s="84"/>
    </row>
    <row r="361" spans="22:56" ht="16" x14ac:dyDescent="0.4">
      <c r="V361" s="97">
        <v>45899</v>
      </c>
      <c r="W361" s="16">
        <v>190286</v>
      </c>
      <c r="X361" s="101" t="s">
        <v>36</v>
      </c>
      <c r="Z361" s="50">
        <v>0.55938657407407411</v>
      </c>
      <c r="AA361" s="50">
        <v>0.73099537037037043</v>
      </c>
      <c r="AD361" s="100">
        <v>20650</v>
      </c>
      <c r="AE361" s="48">
        <f t="shared" si="34"/>
        <v>20.65</v>
      </c>
      <c r="AF361" s="16">
        <v>16.309999999999999</v>
      </c>
      <c r="AG361" s="103">
        <f t="shared" si="35"/>
        <v>14</v>
      </c>
      <c r="AH361" s="37">
        <f t="shared" si="36"/>
        <v>20.65</v>
      </c>
      <c r="AJ361" s="34"/>
      <c r="AK361" s="34"/>
      <c r="AL361" s="82"/>
      <c r="AN361" s="83"/>
      <c r="AO361" s="83"/>
      <c r="AP361" s="82"/>
      <c r="AQ361" s="84"/>
      <c r="AR361" s="84"/>
      <c r="AS361" s="84"/>
      <c r="AU361" s="34"/>
      <c r="AV361" s="34"/>
      <c r="AW361" s="82"/>
      <c r="AY361" s="83"/>
      <c r="AZ361" s="83"/>
      <c r="BA361" s="82"/>
      <c r="BB361" s="84"/>
      <c r="BC361" s="84"/>
      <c r="BD361" s="84"/>
    </row>
    <row r="362" spans="22:56" ht="16" x14ac:dyDescent="0.4">
      <c r="V362" s="97">
        <v>45899</v>
      </c>
      <c r="W362" s="16">
        <v>190300</v>
      </c>
      <c r="X362" s="101" t="s">
        <v>36</v>
      </c>
      <c r="Z362" s="50">
        <v>0.45405092592592594</v>
      </c>
      <c r="AA362" s="50">
        <v>0.77813657407407411</v>
      </c>
      <c r="AD362" s="100">
        <v>21888</v>
      </c>
      <c r="AE362" s="48">
        <f t="shared" si="34"/>
        <v>21.888000000000002</v>
      </c>
      <c r="AF362" s="16">
        <v>15.37</v>
      </c>
      <c r="AG362" s="103">
        <f t="shared" si="35"/>
        <v>14</v>
      </c>
      <c r="AH362" s="37">
        <f t="shared" si="36"/>
        <v>21.888000000000002</v>
      </c>
      <c r="AJ362" s="34"/>
      <c r="AK362" s="34"/>
      <c r="AL362" s="82"/>
      <c r="AN362" s="83"/>
      <c r="AO362" s="83"/>
      <c r="AP362" s="82"/>
      <c r="AQ362" s="84"/>
      <c r="AR362" s="84"/>
      <c r="AS362" s="84"/>
      <c r="AU362" s="34"/>
      <c r="AV362" s="34"/>
      <c r="AW362" s="82"/>
      <c r="AY362" s="83"/>
      <c r="AZ362" s="83"/>
      <c r="BA362" s="82"/>
      <c r="BB362" s="84"/>
      <c r="BC362" s="84"/>
      <c r="BD362" s="84"/>
    </row>
    <row r="363" spans="22:56" ht="16" x14ac:dyDescent="0.4">
      <c r="V363" s="97">
        <v>45899</v>
      </c>
      <c r="W363" s="16">
        <v>190320</v>
      </c>
      <c r="X363" s="101" t="s">
        <v>36</v>
      </c>
      <c r="Z363" s="50">
        <v>0.55908564814814821</v>
      </c>
      <c r="AA363" s="50">
        <v>0.83271990740740742</v>
      </c>
      <c r="AD363" s="100">
        <v>20370</v>
      </c>
      <c r="AE363" s="48">
        <f t="shared" si="34"/>
        <v>20.37</v>
      </c>
      <c r="AF363" s="16">
        <v>15.74</v>
      </c>
      <c r="AG363" s="103">
        <f t="shared" si="35"/>
        <v>14</v>
      </c>
      <c r="AH363" s="37">
        <f t="shared" si="36"/>
        <v>20.37</v>
      </c>
      <c r="AJ363" s="34"/>
      <c r="AK363" s="34"/>
      <c r="AL363" s="82"/>
      <c r="AN363" s="83"/>
      <c r="AO363" s="83"/>
      <c r="AP363" s="82"/>
      <c r="AQ363" s="84"/>
      <c r="AR363" s="84"/>
      <c r="AS363" s="84"/>
      <c r="AU363" s="34"/>
      <c r="AV363" s="34"/>
      <c r="AW363" s="82"/>
      <c r="AY363" s="83"/>
      <c r="AZ363" s="83"/>
      <c r="BA363" s="82"/>
      <c r="BB363" s="84"/>
      <c r="BC363" s="84"/>
      <c r="BD363" s="84"/>
    </row>
    <row r="364" spans="22:56" ht="16" x14ac:dyDescent="0.4">
      <c r="V364" s="97">
        <v>45899</v>
      </c>
      <c r="W364" s="16">
        <v>190340</v>
      </c>
      <c r="X364" s="101" t="s">
        <v>36</v>
      </c>
      <c r="Z364" s="50">
        <v>0.8128009259259259</v>
      </c>
      <c r="AA364" s="50">
        <v>0.89203703703703707</v>
      </c>
      <c r="AD364" s="100">
        <v>19036</v>
      </c>
      <c r="AE364" s="48">
        <f t="shared" si="34"/>
        <v>19.036000000000001</v>
      </c>
      <c r="AF364" s="16">
        <v>17.09</v>
      </c>
      <c r="AG364" s="103">
        <f t="shared" si="35"/>
        <v>14</v>
      </c>
      <c r="AH364" s="37">
        <f t="shared" si="36"/>
        <v>19.036000000000001</v>
      </c>
      <c r="AJ364" s="34"/>
      <c r="AK364" s="34"/>
      <c r="AL364" s="82"/>
      <c r="AN364" s="83"/>
      <c r="AO364" s="83"/>
      <c r="AP364" s="82"/>
      <c r="AQ364" s="84"/>
      <c r="AR364" s="84"/>
      <c r="AS364" s="84"/>
      <c r="AU364" s="34"/>
      <c r="AV364" s="34"/>
      <c r="AW364" s="82"/>
      <c r="AY364" s="83"/>
      <c r="AZ364" s="83"/>
      <c r="BA364" s="82"/>
      <c r="BB364" s="84"/>
      <c r="BC364" s="84"/>
      <c r="BD364" s="84"/>
    </row>
    <row r="365" spans="22:56" ht="16" x14ac:dyDescent="0.4">
      <c r="V365" s="97">
        <v>45899</v>
      </c>
      <c r="W365" s="16">
        <v>190359</v>
      </c>
      <c r="X365" s="101" t="s">
        <v>36</v>
      </c>
      <c r="Z365" s="50">
        <v>0.76487268518518514</v>
      </c>
      <c r="AA365" s="50">
        <v>0.96128472222222217</v>
      </c>
      <c r="AD365" s="100">
        <v>21992</v>
      </c>
      <c r="AE365" s="48">
        <f t="shared" si="34"/>
        <v>21.992000000000001</v>
      </c>
      <c r="AF365" s="16">
        <v>16.66</v>
      </c>
      <c r="AG365" s="103">
        <f t="shared" si="35"/>
        <v>14</v>
      </c>
      <c r="AH365" s="37">
        <f t="shared" si="36"/>
        <v>21.992000000000001</v>
      </c>
      <c r="AJ365" s="34"/>
      <c r="AK365" s="34"/>
      <c r="AL365" s="82"/>
      <c r="AN365" s="83"/>
      <c r="AO365" s="83"/>
      <c r="AP365" s="82"/>
      <c r="AQ365" s="84"/>
      <c r="AR365" s="84"/>
      <c r="AS365" s="84"/>
      <c r="AU365" s="34"/>
      <c r="AV365" s="34"/>
      <c r="AW365" s="82"/>
      <c r="AY365" s="83"/>
      <c r="AZ365" s="83"/>
      <c r="BA365" s="82"/>
      <c r="BB365" s="84"/>
      <c r="BC365" s="84"/>
      <c r="BD365" s="84"/>
    </row>
    <row r="366" spans="22:56" ht="16" x14ac:dyDescent="0.4">
      <c r="V366" s="97">
        <v>45900</v>
      </c>
      <c r="W366" s="16">
        <v>190374</v>
      </c>
      <c r="X366" s="101" t="s">
        <v>36</v>
      </c>
      <c r="Z366" s="50">
        <v>0.8122800925925926</v>
      </c>
      <c r="AA366" s="50">
        <v>2.4328703703703703E-2</v>
      </c>
      <c r="AD366" s="100">
        <v>20902</v>
      </c>
      <c r="AE366" s="48">
        <f t="shared" si="34"/>
        <v>20.902000000000001</v>
      </c>
      <c r="AF366" s="16">
        <v>15.72</v>
      </c>
      <c r="AG366" s="103">
        <f t="shared" si="35"/>
        <v>14</v>
      </c>
      <c r="AH366" s="37">
        <f t="shared" si="36"/>
        <v>20.902000000000005</v>
      </c>
      <c r="AJ366" s="34"/>
      <c r="AK366" s="34"/>
      <c r="AL366" s="82"/>
      <c r="AN366" s="83"/>
      <c r="AO366" s="83"/>
      <c r="AP366" s="82"/>
      <c r="AQ366" s="84"/>
      <c r="AR366" s="84"/>
      <c r="AS366" s="84"/>
      <c r="AU366" s="34"/>
      <c r="AV366" s="34"/>
      <c r="AW366" s="82"/>
      <c r="AY366" s="83"/>
      <c r="AZ366" s="83"/>
      <c r="BA366" s="82"/>
      <c r="BB366" s="84"/>
      <c r="BC366" s="84"/>
      <c r="BD366" s="84"/>
    </row>
    <row r="367" spans="22:56" ht="16" x14ac:dyDescent="0.4">
      <c r="V367" s="97">
        <v>45900</v>
      </c>
      <c r="W367" s="16">
        <v>190380</v>
      </c>
      <c r="X367" s="101" t="s">
        <v>36</v>
      </c>
      <c r="Z367" s="50">
        <v>3.5648148148148154E-3</v>
      </c>
      <c r="AA367" s="50">
        <v>7.9108796296296288E-2</v>
      </c>
      <c r="AD367" s="100">
        <v>19136</v>
      </c>
      <c r="AE367" s="48">
        <f t="shared" si="34"/>
        <v>19.135999999999999</v>
      </c>
      <c r="AF367" s="16">
        <v>16.809999999999999</v>
      </c>
      <c r="AG367" s="103">
        <f t="shared" si="35"/>
        <v>14</v>
      </c>
      <c r="AH367" s="37">
        <f t="shared" si="36"/>
        <v>19.135999999999999</v>
      </c>
      <c r="AJ367" s="34"/>
      <c r="AK367" s="34"/>
      <c r="AL367" s="82"/>
      <c r="AN367" s="83"/>
      <c r="AO367" s="83"/>
      <c r="AP367" s="82"/>
      <c r="AQ367" s="84"/>
      <c r="AR367" s="84"/>
      <c r="AS367" s="84"/>
      <c r="AU367" s="34"/>
      <c r="AV367" s="34"/>
      <c r="AW367" s="82"/>
      <c r="AY367" s="83"/>
      <c r="AZ367" s="83"/>
      <c r="BA367" s="82"/>
      <c r="BB367" s="84"/>
      <c r="BC367" s="84"/>
      <c r="BD367" s="84"/>
    </row>
    <row r="368" spans="22:56" ht="16" x14ac:dyDescent="0.4">
      <c r="V368" s="97">
        <v>45900</v>
      </c>
      <c r="W368" s="16">
        <v>190389</v>
      </c>
      <c r="X368" s="101" t="s">
        <v>36</v>
      </c>
      <c r="Z368" s="50">
        <v>0.13473379629629631</v>
      </c>
      <c r="AA368" s="50">
        <v>0.13473379629629631</v>
      </c>
      <c r="AD368" s="100">
        <v>20366</v>
      </c>
      <c r="AE368" s="48">
        <f t="shared" si="34"/>
        <v>20.366</v>
      </c>
      <c r="AF368" s="16">
        <v>15.34</v>
      </c>
      <c r="AG368" s="103">
        <f t="shared" si="35"/>
        <v>14</v>
      </c>
      <c r="AH368" s="37">
        <f t="shared" si="36"/>
        <v>20.366000000000003</v>
      </c>
      <c r="AJ368" s="34"/>
      <c r="AK368" s="34"/>
      <c r="AL368" s="82"/>
      <c r="AN368" s="83"/>
      <c r="AO368" s="83"/>
      <c r="AP368" s="82"/>
      <c r="AQ368" s="84"/>
      <c r="AR368" s="84"/>
      <c r="AS368" s="84"/>
      <c r="AU368" s="34"/>
      <c r="AV368" s="34"/>
      <c r="AW368" s="82"/>
      <c r="AY368" s="83"/>
      <c r="AZ368" s="83"/>
      <c r="BA368" s="82"/>
      <c r="BB368" s="84"/>
      <c r="BC368" s="84"/>
      <c r="BD368" s="84"/>
    </row>
    <row r="369" spans="22:56" ht="16" x14ac:dyDescent="0.4">
      <c r="V369" s="97">
        <v>45900</v>
      </c>
      <c r="W369" s="16">
        <v>190392</v>
      </c>
      <c r="X369" s="101" t="s">
        <v>36</v>
      </c>
      <c r="Z369" s="50">
        <v>3.3912037037037036E-3</v>
      </c>
      <c r="AA369" s="50">
        <v>0.18256944444444445</v>
      </c>
      <c r="AD369" s="100">
        <v>19499</v>
      </c>
      <c r="AE369" s="48">
        <f t="shared" si="34"/>
        <v>19.498999999999999</v>
      </c>
      <c r="AF369" s="16">
        <v>16.87</v>
      </c>
      <c r="AG369" s="103">
        <f t="shared" si="35"/>
        <v>14</v>
      </c>
      <c r="AH369" s="37">
        <f t="shared" si="36"/>
        <v>19.498999999999999</v>
      </c>
      <c r="AJ369" s="34"/>
      <c r="AK369" s="34"/>
      <c r="AL369" s="82"/>
      <c r="AN369" s="83"/>
      <c r="AO369" s="83"/>
      <c r="AP369" s="82"/>
      <c r="AQ369" s="84"/>
      <c r="AR369" s="84"/>
      <c r="AS369" s="84"/>
      <c r="AU369" s="34"/>
      <c r="AV369" s="34"/>
      <c r="AW369" s="82"/>
      <c r="AY369" s="83"/>
      <c r="AZ369" s="83"/>
      <c r="BA369" s="82"/>
      <c r="BB369" s="84"/>
      <c r="BC369" s="84"/>
      <c r="BD369" s="84"/>
    </row>
    <row r="370" spans="22:56" ht="16" x14ac:dyDescent="0.4">
      <c r="V370" s="97">
        <v>45900</v>
      </c>
      <c r="W370" s="16">
        <v>190395</v>
      </c>
      <c r="X370" s="101" t="s">
        <v>36</v>
      </c>
      <c r="Z370" s="50">
        <v>0.80746527777777777</v>
      </c>
      <c r="AA370" s="50">
        <v>0.21649305555555556</v>
      </c>
      <c r="AD370" s="100">
        <v>19400</v>
      </c>
      <c r="AE370" s="48">
        <f t="shared" si="34"/>
        <v>19.399999999999999</v>
      </c>
      <c r="AF370" s="16">
        <v>14.03</v>
      </c>
      <c r="AG370" s="103">
        <f t="shared" si="35"/>
        <v>14</v>
      </c>
      <c r="AH370" s="37">
        <f t="shared" si="36"/>
        <v>19.399999999999999</v>
      </c>
      <c r="AJ370" s="34"/>
      <c r="AK370" s="34"/>
      <c r="AL370" s="82"/>
      <c r="AN370" s="83"/>
      <c r="AO370" s="83"/>
      <c r="AP370" s="82"/>
      <c r="AQ370" s="84"/>
      <c r="AR370" s="84"/>
      <c r="AS370" s="84"/>
      <c r="AU370" s="34"/>
      <c r="AV370" s="34"/>
      <c r="AW370" s="82"/>
      <c r="AY370" s="83"/>
      <c r="AZ370" s="83"/>
      <c r="BA370" s="82"/>
      <c r="BB370" s="84"/>
      <c r="BC370" s="84"/>
      <c r="BD370" s="84"/>
    </row>
    <row r="371" spans="22:56" ht="16" x14ac:dyDescent="0.4">
      <c r="V371" s="97">
        <v>45900</v>
      </c>
      <c r="W371" s="16">
        <v>190398</v>
      </c>
      <c r="X371" s="101" t="s">
        <v>36</v>
      </c>
      <c r="Z371" s="50">
        <v>0.8653587962962962</v>
      </c>
      <c r="AA371" s="50">
        <v>0.26378472222222221</v>
      </c>
      <c r="AD371" s="100">
        <v>16328</v>
      </c>
      <c r="AE371" s="48">
        <f t="shared" si="34"/>
        <v>16.327999999999999</v>
      </c>
      <c r="AF371" s="16">
        <v>12.06</v>
      </c>
      <c r="AG371" s="103">
        <f t="shared" si="35"/>
        <v>12.06</v>
      </c>
      <c r="AH371" s="37">
        <f t="shared" si="36"/>
        <v>14.065405714285715</v>
      </c>
      <c r="AJ371" s="34"/>
      <c r="AK371" s="34"/>
      <c r="AL371" s="82"/>
      <c r="AN371" s="83"/>
      <c r="AO371" s="83"/>
      <c r="AP371" s="82"/>
      <c r="AQ371" s="84"/>
      <c r="AR371" s="84"/>
      <c r="AS371" s="84"/>
      <c r="AU371" s="34"/>
      <c r="AV371" s="34"/>
      <c r="AW371" s="82"/>
      <c r="AY371" s="83"/>
      <c r="AZ371" s="83"/>
      <c r="BA371" s="82"/>
      <c r="BB371" s="84"/>
      <c r="BC371" s="84"/>
      <c r="BD371" s="84"/>
    </row>
    <row r="372" spans="22:56" ht="16" x14ac:dyDescent="0.4">
      <c r="V372" s="97"/>
      <c r="W372" s="16"/>
      <c r="X372" s="101"/>
      <c r="Z372" s="50"/>
      <c r="AA372" s="50"/>
      <c r="AD372" s="100"/>
      <c r="AE372" s="48"/>
      <c r="AF372" s="16"/>
      <c r="AG372" s="103"/>
      <c r="AH372" s="37"/>
      <c r="AJ372" s="34"/>
      <c r="AK372" s="34"/>
      <c r="AL372" s="82"/>
      <c r="AN372" s="83"/>
      <c r="AO372" s="83"/>
      <c r="AP372" s="82"/>
      <c r="AQ372" s="84"/>
      <c r="AR372" s="84"/>
      <c r="AS372" s="84"/>
      <c r="AU372" s="34"/>
      <c r="AV372" s="34"/>
      <c r="AW372" s="82"/>
      <c r="AY372" s="83"/>
      <c r="AZ372" s="83"/>
      <c r="BA372" s="82"/>
      <c r="BB372" s="84"/>
      <c r="BC372" s="84"/>
      <c r="BD372" s="84"/>
    </row>
    <row r="373" spans="22:56" ht="16" x14ac:dyDescent="0.4">
      <c r="V373" s="97"/>
      <c r="W373" s="16"/>
      <c r="X373" s="89"/>
      <c r="Z373" s="50"/>
      <c r="AA373" s="50"/>
      <c r="AD373" s="100"/>
      <c r="AE373" s="48">
        <f t="shared" si="34"/>
        <v>0</v>
      </c>
      <c r="AF373" s="16"/>
      <c r="AG373" s="103">
        <f t="shared" si="35"/>
        <v>0</v>
      </c>
      <c r="AH373" s="37">
        <f t="shared" si="36"/>
        <v>0</v>
      </c>
      <c r="AJ373" s="34"/>
      <c r="AK373" s="34"/>
      <c r="AL373" s="82"/>
      <c r="AN373" s="83"/>
      <c r="AO373" s="83"/>
      <c r="AP373" s="82"/>
      <c r="AQ373" s="84"/>
      <c r="AR373" s="84"/>
      <c r="AS373" s="84"/>
      <c r="AU373" s="34"/>
      <c r="AV373" s="34"/>
      <c r="AW373" s="82"/>
      <c r="AY373" s="83"/>
      <c r="AZ373" s="83"/>
      <c r="BA373" s="82"/>
      <c r="BB373" s="84"/>
      <c r="BC373" s="84"/>
      <c r="BD373" s="84"/>
    </row>
    <row r="374" spans="22:56" ht="16" x14ac:dyDescent="0.4">
      <c r="V374" s="97"/>
      <c r="W374" s="16"/>
      <c r="X374" s="89"/>
      <c r="Z374" s="50"/>
      <c r="AA374" s="50"/>
      <c r="AD374" s="100"/>
      <c r="AE374" s="48">
        <f t="shared" si="34"/>
        <v>0</v>
      </c>
      <c r="AF374" s="16"/>
      <c r="AG374" s="103">
        <f t="shared" si="35"/>
        <v>0</v>
      </c>
      <c r="AH374" s="37">
        <f t="shared" si="36"/>
        <v>0</v>
      </c>
      <c r="AJ374" s="34"/>
      <c r="AK374" s="34"/>
      <c r="AL374" s="82"/>
      <c r="AN374" s="83"/>
      <c r="AO374" s="83"/>
      <c r="AP374" s="82"/>
      <c r="AQ374" s="84"/>
      <c r="AR374" s="84"/>
      <c r="AS374" s="84"/>
      <c r="AU374" s="34"/>
      <c r="AV374" s="34"/>
      <c r="AW374" s="82"/>
      <c r="AY374" s="83"/>
      <c r="AZ374" s="83"/>
      <c r="BA374" s="82"/>
      <c r="BB374" s="84"/>
      <c r="BC374" s="84"/>
      <c r="BD374" s="84"/>
    </row>
    <row r="375" spans="22:56" ht="16" x14ac:dyDescent="0.4">
      <c r="V375" s="97"/>
      <c r="W375" s="16"/>
      <c r="X375" s="89"/>
      <c r="Z375" s="50"/>
      <c r="AA375" s="50"/>
      <c r="AD375" s="100"/>
      <c r="AE375" s="48">
        <f t="shared" si="34"/>
        <v>0</v>
      </c>
      <c r="AF375" s="16"/>
      <c r="AG375" s="103">
        <f t="shared" si="35"/>
        <v>0</v>
      </c>
      <c r="AH375" s="37">
        <f t="shared" si="36"/>
        <v>0</v>
      </c>
      <c r="AJ375" s="34"/>
      <c r="AK375" s="34"/>
      <c r="AL375" s="82"/>
      <c r="AN375" s="83"/>
      <c r="AO375" s="83"/>
      <c r="AP375" s="82"/>
      <c r="AQ375" s="84"/>
      <c r="AR375" s="84"/>
      <c r="AS375" s="84"/>
      <c r="AU375" s="34"/>
      <c r="AV375" s="34"/>
      <c r="AW375" s="82"/>
      <c r="AY375" s="83"/>
      <c r="AZ375" s="83"/>
      <c r="BA375" s="82"/>
      <c r="BB375" s="84"/>
      <c r="BC375" s="84"/>
      <c r="BD375" s="84"/>
    </row>
    <row r="376" spans="22:56" ht="16" x14ac:dyDescent="0.4">
      <c r="V376" s="97"/>
      <c r="W376" s="16"/>
      <c r="X376" s="89"/>
      <c r="Z376" s="50"/>
      <c r="AA376" s="50"/>
      <c r="AD376" s="100"/>
      <c r="AE376" s="48">
        <f t="shared" si="34"/>
        <v>0</v>
      </c>
      <c r="AF376" s="16"/>
      <c r="AG376" s="103">
        <f t="shared" si="35"/>
        <v>0</v>
      </c>
      <c r="AH376" s="37">
        <f t="shared" si="36"/>
        <v>0</v>
      </c>
      <c r="AJ376" s="34"/>
      <c r="AK376" s="34"/>
      <c r="AL376" s="82"/>
      <c r="AN376" s="83"/>
      <c r="AO376" s="83"/>
      <c r="AP376" s="82"/>
      <c r="AQ376" s="84"/>
      <c r="AR376" s="84"/>
      <c r="AS376" s="84"/>
      <c r="AU376" s="34"/>
      <c r="AV376" s="34"/>
      <c r="AW376" s="82"/>
      <c r="AY376" s="83"/>
      <c r="AZ376" s="83"/>
      <c r="BA376" s="82"/>
      <c r="BB376" s="84"/>
      <c r="BC376" s="84"/>
      <c r="BD376" s="84"/>
    </row>
    <row r="377" spans="22:56" ht="16" x14ac:dyDescent="0.4">
      <c r="V377" s="97"/>
      <c r="W377" s="16"/>
      <c r="X377" s="89"/>
      <c r="Z377" s="50"/>
      <c r="AA377" s="50"/>
      <c r="AD377" s="100"/>
      <c r="AE377" s="48">
        <f t="shared" si="34"/>
        <v>0</v>
      </c>
      <c r="AF377" s="16"/>
      <c r="AG377" s="103">
        <f t="shared" si="35"/>
        <v>0</v>
      </c>
      <c r="AH377" s="37">
        <f t="shared" si="36"/>
        <v>0</v>
      </c>
      <c r="AJ377" s="34"/>
      <c r="AK377" s="34"/>
      <c r="AL377" s="82"/>
      <c r="AN377" s="83"/>
      <c r="AO377" s="83"/>
      <c r="AP377" s="82"/>
      <c r="AQ377" s="84"/>
      <c r="AR377" s="84"/>
      <c r="AS377" s="84"/>
      <c r="AU377" s="34"/>
      <c r="AV377" s="34"/>
      <c r="AW377" s="82"/>
      <c r="AY377" s="83"/>
      <c r="AZ377" s="83"/>
      <c r="BA377" s="82"/>
      <c r="BB377" s="84"/>
      <c r="BC377" s="84"/>
      <c r="BD377" s="84"/>
    </row>
    <row r="378" spans="22:56" ht="16" x14ac:dyDescent="0.4">
      <c r="V378" s="97"/>
      <c r="W378" s="16"/>
      <c r="X378" s="89"/>
      <c r="Z378" s="50"/>
      <c r="AA378" s="50"/>
      <c r="AD378" s="100"/>
      <c r="AE378" s="48">
        <f t="shared" si="34"/>
        <v>0</v>
      </c>
      <c r="AF378" s="16"/>
      <c r="AG378" s="103">
        <f t="shared" si="35"/>
        <v>0</v>
      </c>
      <c r="AH378" s="37">
        <f t="shared" si="36"/>
        <v>0</v>
      </c>
      <c r="AJ378" s="34"/>
      <c r="AK378" s="34"/>
      <c r="AL378" s="82"/>
      <c r="AN378" s="83"/>
      <c r="AO378" s="83"/>
      <c r="AP378" s="82"/>
      <c r="AQ378" s="84"/>
      <c r="AR378" s="84"/>
      <c r="AS378" s="84"/>
      <c r="AU378" s="34"/>
      <c r="AV378" s="34"/>
      <c r="AW378" s="82"/>
      <c r="AY378" s="83"/>
      <c r="AZ378" s="83"/>
      <c r="BA378" s="82"/>
      <c r="BB378" s="84"/>
      <c r="BC378" s="84"/>
      <c r="BD378" s="84"/>
    </row>
    <row r="379" spans="22:56" ht="16" x14ac:dyDescent="0.4">
      <c r="V379" s="97"/>
      <c r="W379" s="16"/>
      <c r="X379" s="89"/>
      <c r="Z379" s="50"/>
      <c r="AA379" s="50"/>
      <c r="AD379" s="100"/>
      <c r="AE379" s="48">
        <f t="shared" si="34"/>
        <v>0</v>
      </c>
      <c r="AF379" s="16"/>
      <c r="AG379" s="103">
        <f t="shared" si="35"/>
        <v>0</v>
      </c>
      <c r="AH379" s="37">
        <f t="shared" si="36"/>
        <v>0</v>
      </c>
      <c r="AJ379" s="34"/>
      <c r="AK379" s="34"/>
      <c r="AL379" s="82"/>
      <c r="AN379" s="83"/>
      <c r="AO379" s="83"/>
      <c r="AP379" s="82"/>
      <c r="AQ379" s="84"/>
      <c r="AR379" s="84"/>
      <c r="AS379" s="84"/>
      <c r="AU379" s="34"/>
      <c r="AV379" s="34"/>
      <c r="AW379" s="82"/>
      <c r="AY379" s="83"/>
      <c r="AZ379" s="83"/>
      <c r="BA379" s="82"/>
      <c r="BB379" s="84"/>
      <c r="BC379" s="84"/>
      <c r="BD379" s="84"/>
    </row>
    <row r="380" spans="22:56" ht="16" x14ac:dyDescent="0.4">
      <c r="V380" s="97"/>
      <c r="W380" s="16"/>
      <c r="X380" s="89"/>
      <c r="Z380" s="50"/>
      <c r="AA380" s="50"/>
      <c r="AD380" s="100"/>
      <c r="AE380" s="48">
        <f t="shared" si="34"/>
        <v>0</v>
      </c>
      <c r="AF380" s="16"/>
      <c r="AG380" s="103">
        <f t="shared" si="35"/>
        <v>0</v>
      </c>
      <c r="AH380" s="37">
        <f t="shared" si="36"/>
        <v>0</v>
      </c>
      <c r="AJ380" s="34"/>
      <c r="AK380" s="34"/>
      <c r="AL380" s="82"/>
      <c r="AN380" s="83"/>
      <c r="AO380" s="83"/>
      <c r="AP380" s="82"/>
      <c r="AQ380" s="84"/>
      <c r="AR380" s="84"/>
      <c r="AS380" s="84"/>
      <c r="AU380" s="34"/>
      <c r="AV380" s="34"/>
      <c r="AW380" s="82"/>
      <c r="AY380" s="83"/>
      <c r="AZ380" s="83"/>
      <c r="BA380" s="82"/>
      <c r="BB380" s="84"/>
      <c r="BC380" s="84"/>
      <c r="BD380" s="84"/>
    </row>
    <row r="381" spans="22:56" ht="16" x14ac:dyDescent="0.4">
      <c r="V381" s="97"/>
      <c r="W381" s="16"/>
      <c r="X381" s="89"/>
      <c r="Z381" s="50"/>
      <c r="AA381" s="50"/>
      <c r="AD381" s="100"/>
      <c r="AE381" s="48">
        <f t="shared" si="34"/>
        <v>0</v>
      </c>
      <c r="AF381" s="16"/>
      <c r="AG381" s="103">
        <f t="shared" si="35"/>
        <v>0</v>
      </c>
      <c r="AH381" s="37">
        <f t="shared" si="36"/>
        <v>0</v>
      </c>
      <c r="AJ381" s="34"/>
      <c r="AK381" s="34"/>
      <c r="AL381" s="82"/>
      <c r="AN381" s="83"/>
      <c r="AO381" s="83"/>
      <c r="AP381" s="82"/>
      <c r="AQ381" s="84"/>
      <c r="AR381" s="84"/>
      <c r="AS381" s="84"/>
      <c r="AU381" s="34"/>
      <c r="AV381" s="34"/>
      <c r="AW381" s="82"/>
      <c r="AY381" s="83"/>
      <c r="AZ381" s="83"/>
      <c r="BA381" s="82"/>
      <c r="BB381" s="84"/>
      <c r="BC381" s="84"/>
      <c r="BD381" s="84"/>
    </row>
    <row r="382" spans="22:56" ht="16" x14ac:dyDescent="0.4">
      <c r="V382" s="97"/>
      <c r="W382" s="16"/>
      <c r="X382" s="89"/>
      <c r="Z382" s="50"/>
      <c r="AA382" s="50"/>
      <c r="AD382" s="100"/>
      <c r="AE382" s="48">
        <f t="shared" si="34"/>
        <v>0</v>
      </c>
      <c r="AF382" s="16"/>
      <c r="AG382" s="103">
        <f t="shared" si="35"/>
        <v>0</v>
      </c>
      <c r="AH382" s="37">
        <f t="shared" si="36"/>
        <v>0</v>
      </c>
      <c r="AJ382" s="34"/>
      <c r="AK382" s="34"/>
      <c r="AL382" s="82"/>
      <c r="AN382" s="83"/>
      <c r="AO382" s="83"/>
      <c r="AP382" s="82"/>
      <c r="AQ382" s="84"/>
      <c r="AR382" s="84"/>
      <c r="AS382" s="84"/>
      <c r="AU382" s="34"/>
      <c r="AV382" s="34"/>
      <c r="AW382" s="82"/>
      <c r="AY382" s="83"/>
      <c r="AZ382" s="83"/>
      <c r="BA382" s="82"/>
      <c r="BB382" s="84"/>
      <c r="BC382" s="84"/>
      <c r="BD382" s="84"/>
    </row>
    <row r="383" spans="22:56" ht="16" x14ac:dyDescent="0.4">
      <c r="V383" s="97"/>
      <c r="W383" s="16"/>
      <c r="X383" s="89"/>
      <c r="Z383" s="50"/>
      <c r="AA383" s="50"/>
      <c r="AD383" s="100"/>
      <c r="AE383" s="48">
        <f t="shared" si="34"/>
        <v>0</v>
      </c>
      <c r="AF383" s="16"/>
      <c r="AG383" s="103">
        <f t="shared" si="35"/>
        <v>0</v>
      </c>
      <c r="AH383" s="37">
        <f t="shared" si="36"/>
        <v>0</v>
      </c>
      <c r="AJ383" s="34"/>
      <c r="AK383" s="34"/>
      <c r="AL383" s="82"/>
      <c r="AN383" s="83"/>
      <c r="AO383" s="83"/>
      <c r="AP383" s="82"/>
      <c r="AQ383" s="84"/>
      <c r="AR383" s="84"/>
      <c r="AS383" s="84"/>
      <c r="AU383" s="34"/>
      <c r="AV383" s="34"/>
      <c r="AW383" s="82"/>
      <c r="AY383" s="83"/>
      <c r="AZ383" s="83"/>
      <c r="BA383" s="82"/>
      <c r="BB383" s="84"/>
      <c r="BC383" s="84"/>
      <c r="BD383" s="84"/>
    </row>
    <row r="384" spans="22:56" ht="16" x14ac:dyDescent="0.4">
      <c r="V384" s="97"/>
      <c r="W384" s="16"/>
      <c r="X384" s="89"/>
      <c r="Z384" s="50"/>
      <c r="AA384" s="50"/>
      <c r="AD384" s="100"/>
      <c r="AE384" s="48">
        <f t="shared" si="34"/>
        <v>0</v>
      </c>
      <c r="AF384" s="16"/>
      <c r="AG384" s="103">
        <f t="shared" si="35"/>
        <v>0</v>
      </c>
      <c r="AH384" s="37">
        <f t="shared" si="36"/>
        <v>0</v>
      </c>
      <c r="AJ384" s="34"/>
      <c r="AK384" s="34"/>
      <c r="AL384" s="82"/>
      <c r="AN384" s="83"/>
      <c r="AO384" s="83"/>
      <c r="AP384" s="82"/>
      <c r="AQ384" s="84"/>
      <c r="AR384" s="84"/>
      <c r="AS384" s="84"/>
      <c r="AU384" s="34"/>
      <c r="AV384" s="34"/>
      <c r="AW384" s="82"/>
      <c r="AY384" s="83"/>
      <c r="AZ384" s="83"/>
      <c r="BA384" s="82"/>
      <c r="BB384" s="84"/>
      <c r="BC384" s="84"/>
      <c r="BD384" s="84"/>
    </row>
    <row r="385" spans="22:56" ht="16" x14ac:dyDescent="0.4">
      <c r="V385" s="97"/>
      <c r="W385" s="16"/>
      <c r="X385" s="89"/>
      <c r="Z385" s="50"/>
      <c r="AA385" s="50"/>
      <c r="AD385" s="100"/>
      <c r="AE385" s="48">
        <f t="shared" si="34"/>
        <v>0</v>
      </c>
      <c r="AF385" s="16"/>
      <c r="AG385" s="103">
        <f t="shared" si="35"/>
        <v>0</v>
      </c>
      <c r="AH385" s="37">
        <f t="shared" si="36"/>
        <v>0</v>
      </c>
      <c r="AJ385" s="34"/>
      <c r="AK385" s="34"/>
      <c r="AL385" s="82"/>
      <c r="AN385" s="83"/>
      <c r="AO385" s="83"/>
      <c r="AP385" s="82"/>
      <c r="AQ385" s="84"/>
      <c r="AR385" s="84"/>
      <c r="AS385" s="84"/>
      <c r="AU385" s="34"/>
      <c r="AV385" s="34"/>
      <c r="AW385" s="82"/>
      <c r="AY385" s="83"/>
      <c r="AZ385" s="83"/>
      <c r="BA385" s="82"/>
      <c r="BB385" s="84"/>
      <c r="BC385" s="84"/>
      <c r="BD385" s="84"/>
    </row>
    <row r="386" spans="22:56" ht="16" x14ac:dyDescent="0.4">
      <c r="V386" s="97"/>
      <c r="W386" s="16"/>
      <c r="X386" s="89"/>
      <c r="Z386" s="50"/>
      <c r="AA386" s="50"/>
      <c r="AD386" s="100"/>
      <c r="AE386" s="48">
        <f t="shared" si="34"/>
        <v>0</v>
      </c>
      <c r="AF386" s="16"/>
      <c r="AG386" s="103">
        <f t="shared" si="35"/>
        <v>0</v>
      </c>
      <c r="AH386" s="37">
        <f t="shared" si="36"/>
        <v>0</v>
      </c>
      <c r="AJ386" s="34"/>
      <c r="AK386" s="34"/>
      <c r="AL386" s="82"/>
      <c r="AN386" s="83"/>
      <c r="AO386" s="83"/>
      <c r="AP386" s="82"/>
      <c r="AQ386" s="84"/>
      <c r="AR386" s="84"/>
      <c r="AS386" s="84"/>
      <c r="AU386" s="34"/>
      <c r="AV386" s="34"/>
      <c r="AW386" s="82"/>
      <c r="AY386" s="83"/>
      <c r="AZ386" s="83"/>
      <c r="BA386" s="82"/>
      <c r="BB386" s="84"/>
      <c r="BC386" s="84"/>
      <c r="BD386" s="84"/>
    </row>
    <row r="387" spans="22:56" ht="16" x14ac:dyDescent="0.4">
      <c r="V387" s="97"/>
      <c r="W387" s="16"/>
      <c r="X387" s="89"/>
      <c r="Z387" s="50"/>
      <c r="AA387" s="50"/>
      <c r="AD387" s="100"/>
      <c r="AE387" s="48">
        <f t="shared" si="34"/>
        <v>0</v>
      </c>
      <c r="AF387" s="16"/>
      <c r="AG387" s="103">
        <f t="shared" si="35"/>
        <v>0</v>
      </c>
      <c r="AH387" s="37">
        <f t="shared" si="36"/>
        <v>0</v>
      </c>
      <c r="AJ387" s="34"/>
      <c r="AK387" s="34"/>
      <c r="AL387" s="82"/>
      <c r="AN387" s="83"/>
      <c r="AO387" s="83"/>
      <c r="AP387" s="82"/>
      <c r="AQ387" s="84"/>
      <c r="AR387" s="84"/>
      <c r="AS387" s="84"/>
      <c r="AU387" s="34"/>
      <c r="AV387" s="34"/>
      <c r="AW387" s="82"/>
      <c r="AY387" s="83"/>
      <c r="AZ387" s="83"/>
      <c r="BA387" s="82"/>
      <c r="BB387" s="84"/>
      <c r="BC387" s="84"/>
      <c r="BD387" s="84"/>
    </row>
    <row r="388" spans="22:56" ht="16" x14ac:dyDescent="0.4">
      <c r="V388" s="97"/>
      <c r="W388" s="16"/>
      <c r="X388" s="89"/>
      <c r="Z388" s="50"/>
      <c r="AA388" s="50"/>
      <c r="AD388" s="100"/>
      <c r="AE388" s="48">
        <f t="shared" si="34"/>
        <v>0</v>
      </c>
      <c r="AF388" s="16"/>
      <c r="AG388" s="103">
        <f t="shared" si="35"/>
        <v>0</v>
      </c>
      <c r="AH388" s="37">
        <f t="shared" si="36"/>
        <v>0</v>
      </c>
      <c r="AJ388" s="34"/>
      <c r="AK388" s="34"/>
      <c r="AL388" s="82"/>
      <c r="AN388" s="83"/>
      <c r="AO388" s="83"/>
      <c r="AP388" s="82"/>
      <c r="AQ388" s="84"/>
      <c r="AR388" s="84"/>
      <c r="AS388" s="84"/>
      <c r="AU388" s="34"/>
      <c r="AV388" s="34"/>
      <c r="AW388" s="82"/>
      <c r="AY388" s="83"/>
      <c r="AZ388" s="83"/>
      <c r="BA388" s="82"/>
      <c r="BB388" s="84"/>
      <c r="BC388" s="84"/>
      <c r="BD388" s="84"/>
    </row>
    <row r="389" spans="22:56" ht="16" x14ac:dyDescent="0.4">
      <c r="V389" s="97"/>
      <c r="W389" s="16"/>
      <c r="X389" s="89"/>
      <c r="Z389" s="50"/>
      <c r="AA389" s="50"/>
      <c r="AD389" s="100"/>
      <c r="AE389" s="48">
        <f t="shared" ref="AE389:AE452" si="37">AD389/1000</f>
        <v>0</v>
      </c>
      <c r="AF389" s="16"/>
      <c r="AG389" s="103">
        <f t="shared" ref="AG389:AG434" si="38">IF($AF389&gt;14,14,$AF389)</f>
        <v>0</v>
      </c>
      <c r="AH389" s="37">
        <f t="shared" ref="AH389:AH414" si="39">AE389*AG389/14</f>
        <v>0</v>
      </c>
      <c r="AJ389" s="34"/>
      <c r="AK389" s="34"/>
      <c r="AL389" s="82"/>
      <c r="AN389" s="83"/>
      <c r="AO389" s="83"/>
      <c r="AP389" s="82"/>
      <c r="AQ389" s="84"/>
      <c r="AR389" s="84"/>
      <c r="AS389" s="84"/>
      <c r="AU389" s="34"/>
      <c r="AV389" s="34"/>
      <c r="AW389" s="82"/>
      <c r="AY389" s="83"/>
      <c r="AZ389" s="83"/>
      <c r="BA389" s="82"/>
      <c r="BB389" s="84"/>
      <c r="BC389" s="84"/>
      <c r="BD389" s="84"/>
    </row>
    <row r="390" spans="22:56" ht="16" x14ac:dyDescent="0.4">
      <c r="V390" s="97"/>
      <c r="W390" s="16"/>
      <c r="X390" s="89"/>
      <c r="Z390" s="50"/>
      <c r="AA390" s="50"/>
      <c r="AD390" s="100"/>
      <c r="AE390" s="48">
        <f t="shared" si="37"/>
        <v>0</v>
      </c>
      <c r="AF390" s="16"/>
      <c r="AG390" s="103">
        <f t="shared" si="38"/>
        <v>0</v>
      </c>
      <c r="AH390" s="37">
        <f t="shared" si="39"/>
        <v>0</v>
      </c>
      <c r="AJ390" s="34"/>
      <c r="AK390" s="34"/>
      <c r="AL390" s="82"/>
      <c r="AN390" s="83"/>
      <c r="AO390" s="83"/>
      <c r="AP390" s="82"/>
      <c r="AQ390" s="84"/>
      <c r="AR390" s="84"/>
      <c r="AS390" s="84"/>
      <c r="AU390" s="34"/>
      <c r="AV390" s="34"/>
      <c r="AW390" s="82"/>
      <c r="AY390" s="83"/>
      <c r="AZ390" s="83"/>
      <c r="BA390" s="82"/>
      <c r="BB390" s="84"/>
      <c r="BC390" s="84"/>
      <c r="BD390" s="84"/>
    </row>
    <row r="391" spans="22:56" ht="16" x14ac:dyDescent="0.4">
      <c r="V391" s="97"/>
      <c r="W391" s="16"/>
      <c r="X391" s="89"/>
      <c r="Z391" s="50"/>
      <c r="AA391" s="50"/>
      <c r="AD391" s="100"/>
      <c r="AE391" s="48">
        <f t="shared" si="37"/>
        <v>0</v>
      </c>
      <c r="AF391" s="16"/>
      <c r="AG391" s="103">
        <f t="shared" si="38"/>
        <v>0</v>
      </c>
      <c r="AH391" s="37">
        <f t="shared" si="39"/>
        <v>0</v>
      </c>
      <c r="AJ391" s="34"/>
      <c r="AK391" s="34"/>
      <c r="AL391" s="82"/>
      <c r="AN391" s="83"/>
      <c r="AO391" s="83"/>
      <c r="AP391" s="82"/>
      <c r="AQ391" s="84"/>
      <c r="AR391" s="84"/>
      <c r="AS391" s="84"/>
      <c r="AU391" s="34"/>
      <c r="AV391" s="34"/>
      <c r="AW391" s="82"/>
      <c r="AY391" s="83"/>
      <c r="AZ391" s="83"/>
      <c r="BA391" s="82"/>
      <c r="BB391" s="84"/>
      <c r="BC391" s="84"/>
      <c r="BD391" s="84"/>
    </row>
    <row r="392" spans="22:56" ht="16" x14ac:dyDescent="0.4">
      <c r="V392" s="97"/>
      <c r="W392" s="16"/>
      <c r="X392" s="89"/>
      <c r="Z392" s="50"/>
      <c r="AA392" s="50"/>
      <c r="AD392" s="100"/>
      <c r="AE392" s="48">
        <f t="shared" si="37"/>
        <v>0</v>
      </c>
      <c r="AF392" s="16"/>
      <c r="AG392" s="103">
        <f t="shared" si="38"/>
        <v>0</v>
      </c>
      <c r="AH392" s="37">
        <f t="shared" si="39"/>
        <v>0</v>
      </c>
      <c r="AJ392" s="34"/>
      <c r="AK392" s="34"/>
      <c r="AL392" s="82"/>
      <c r="AN392" s="83"/>
      <c r="AO392" s="83"/>
      <c r="AP392" s="82"/>
      <c r="AQ392" s="84"/>
      <c r="AR392" s="84"/>
      <c r="AS392" s="84"/>
      <c r="AU392" s="34"/>
      <c r="AV392" s="34"/>
      <c r="AW392" s="82"/>
      <c r="AY392" s="83"/>
      <c r="AZ392" s="83"/>
      <c r="BA392" s="82"/>
      <c r="BB392" s="84"/>
      <c r="BC392" s="84"/>
      <c r="BD392" s="84"/>
    </row>
    <row r="393" spans="22:56" ht="16" x14ac:dyDescent="0.4">
      <c r="V393" s="97"/>
      <c r="W393" s="16"/>
      <c r="X393" s="89"/>
      <c r="Z393" s="50"/>
      <c r="AA393" s="50"/>
      <c r="AD393" s="100"/>
      <c r="AE393" s="48">
        <f t="shared" si="37"/>
        <v>0</v>
      </c>
      <c r="AF393" s="16"/>
      <c r="AG393" s="103">
        <f t="shared" si="38"/>
        <v>0</v>
      </c>
      <c r="AH393" s="37">
        <f t="shared" si="39"/>
        <v>0</v>
      </c>
      <c r="AJ393" s="34"/>
      <c r="AK393" s="34"/>
      <c r="AL393" s="82"/>
      <c r="AN393" s="83"/>
      <c r="AO393" s="83"/>
      <c r="AP393" s="82"/>
      <c r="AQ393" s="84"/>
      <c r="AR393" s="84"/>
      <c r="AS393" s="84"/>
      <c r="AU393" s="34"/>
      <c r="AV393" s="34"/>
      <c r="AW393" s="82"/>
      <c r="AY393" s="83"/>
      <c r="AZ393" s="83"/>
      <c r="BA393" s="82"/>
      <c r="BB393" s="84"/>
      <c r="BC393" s="84"/>
      <c r="BD393" s="84"/>
    </row>
    <row r="394" spans="22:56" ht="16" x14ac:dyDescent="0.4">
      <c r="V394" s="97"/>
      <c r="W394" s="16"/>
      <c r="X394" s="89"/>
      <c r="Z394" s="50"/>
      <c r="AA394" s="50"/>
      <c r="AD394" s="100"/>
      <c r="AE394" s="48">
        <f t="shared" si="37"/>
        <v>0</v>
      </c>
      <c r="AF394" s="16"/>
      <c r="AG394" s="103">
        <f t="shared" si="38"/>
        <v>0</v>
      </c>
      <c r="AH394" s="37">
        <f t="shared" si="39"/>
        <v>0</v>
      </c>
      <c r="AJ394" s="34"/>
      <c r="AK394" s="34"/>
      <c r="AL394" s="82"/>
      <c r="AN394" s="83"/>
      <c r="AO394" s="83"/>
      <c r="AP394" s="82"/>
      <c r="AQ394" s="84"/>
      <c r="AR394" s="84"/>
      <c r="AS394" s="84"/>
      <c r="AU394" s="34"/>
      <c r="AV394" s="34"/>
      <c r="AW394" s="82"/>
      <c r="AY394" s="83"/>
      <c r="AZ394" s="83"/>
      <c r="BA394" s="82"/>
      <c r="BB394" s="84"/>
      <c r="BC394" s="84"/>
      <c r="BD394" s="84"/>
    </row>
    <row r="395" spans="22:56" ht="16" x14ac:dyDescent="0.4">
      <c r="V395" s="97"/>
      <c r="W395" s="16"/>
      <c r="X395" s="89"/>
      <c r="Z395" s="50"/>
      <c r="AA395" s="50"/>
      <c r="AD395" s="100"/>
      <c r="AE395" s="48">
        <f t="shared" si="37"/>
        <v>0</v>
      </c>
      <c r="AF395" s="16"/>
      <c r="AG395" s="103">
        <f t="shared" si="38"/>
        <v>0</v>
      </c>
      <c r="AH395" s="37">
        <f t="shared" si="39"/>
        <v>0</v>
      </c>
      <c r="AJ395" s="34"/>
      <c r="AK395" s="34"/>
      <c r="AL395" s="82"/>
      <c r="AN395" s="83"/>
      <c r="AO395" s="83"/>
      <c r="AP395" s="82"/>
      <c r="AQ395" s="84"/>
      <c r="AR395" s="84"/>
      <c r="AS395" s="84"/>
      <c r="AU395" s="34"/>
      <c r="AV395" s="34"/>
      <c r="AW395" s="82"/>
      <c r="AY395" s="83"/>
      <c r="AZ395" s="83"/>
      <c r="BA395" s="82"/>
      <c r="BB395" s="84"/>
      <c r="BC395" s="84"/>
      <c r="BD395" s="84"/>
    </row>
    <row r="396" spans="22:56" ht="16" x14ac:dyDescent="0.4">
      <c r="V396" s="97"/>
      <c r="W396" s="16"/>
      <c r="X396" s="89"/>
      <c r="Z396" s="50"/>
      <c r="AA396" s="50"/>
      <c r="AD396" s="100"/>
      <c r="AE396" s="48">
        <f t="shared" si="37"/>
        <v>0</v>
      </c>
      <c r="AF396" s="16"/>
      <c r="AG396" s="103">
        <f t="shared" si="38"/>
        <v>0</v>
      </c>
      <c r="AH396" s="37">
        <f t="shared" si="39"/>
        <v>0</v>
      </c>
      <c r="AJ396" s="34"/>
      <c r="AK396" s="34"/>
      <c r="AL396" s="82"/>
      <c r="AN396" s="83"/>
      <c r="AO396" s="83"/>
      <c r="AP396" s="82"/>
      <c r="AQ396" s="84"/>
      <c r="AR396" s="84"/>
      <c r="AS396" s="84"/>
      <c r="AU396" s="34"/>
      <c r="AV396" s="34"/>
      <c r="AW396" s="82"/>
      <c r="AY396" s="83"/>
      <c r="AZ396" s="83"/>
      <c r="BA396" s="82"/>
      <c r="BB396" s="84"/>
      <c r="BC396" s="84"/>
      <c r="BD396" s="84"/>
    </row>
    <row r="397" spans="22:56" ht="16" x14ac:dyDescent="0.4">
      <c r="V397" s="97"/>
      <c r="W397" s="16"/>
      <c r="X397" s="89"/>
      <c r="Z397" s="50"/>
      <c r="AA397" s="50"/>
      <c r="AD397" s="48"/>
      <c r="AE397" s="48">
        <f t="shared" si="37"/>
        <v>0</v>
      </c>
      <c r="AF397" s="16"/>
      <c r="AG397" s="103">
        <f t="shared" si="38"/>
        <v>0</v>
      </c>
      <c r="AH397" s="37">
        <f t="shared" si="39"/>
        <v>0</v>
      </c>
      <c r="AJ397" s="34"/>
      <c r="AK397" s="34"/>
      <c r="AL397" s="82"/>
      <c r="AN397" s="83"/>
      <c r="AO397" s="83"/>
      <c r="AP397" s="82"/>
      <c r="AQ397" s="84"/>
      <c r="AR397" s="84"/>
      <c r="AS397" s="84"/>
      <c r="AU397" s="34"/>
      <c r="AV397" s="34"/>
      <c r="AW397" s="82"/>
      <c r="AY397" s="83"/>
      <c r="AZ397" s="83"/>
      <c r="BA397" s="82"/>
      <c r="BB397" s="84"/>
      <c r="BC397" s="84"/>
      <c r="BD397" s="84"/>
    </row>
    <row r="398" spans="22:56" ht="16" x14ac:dyDescent="0.4">
      <c r="V398" s="97"/>
      <c r="W398" s="16"/>
      <c r="X398" s="89"/>
      <c r="Z398" s="50"/>
      <c r="AA398" s="50"/>
      <c r="AD398" s="48"/>
      <c r="AE398" s="48">
        <f t="shared" si="37"/>
        <v>0</v>
      </c>
      <c r="AF398" s="16"/>
      <c r="AG398" s="103">
        <f t="shared" si="38"/>
        <v>0</v>
      </c>
      <c r="AH398" s="37">
        <f t="shared" si="39"/>
        <v>0</v>
      </c>
      <c r="AJ398" s="85"/>
      <c r="AK398" s="86"/>
      <c r="AL398" s="82"/>
      <c r="AP398" s="86"/>
      <c r="AS398" s="84"/>
      <c r="AU398" s="85"/>
      <c r="AV398" s="86"/>
      <c r="AW398" s="82"/>
      <c r="BA398" s="86"/>
      <c r="BD398" s="84"/>
    </row>
    <row r="399" spans="22:56" ht="16" x14ac:dyDescent="0.4">
      <c r="V399" s="97"/>
      <c r="W399" s="16"/>
      <c r="X399" s="89"/>
      <c r="Z399" s="50"/>
      <c r="AA399" s="50"/>
      <c r="AD399" s="48"/>
      <c r="AE399" s="48">
        <f t="shared" si="37"/>
        <v>0</v>
      </c>
      <c r="AF399" s="16"/>
      <c r="AG399" s="103">
        <f t="shared" si="38"/>
        <v>0</v>
      </c>
      <c r="AH399" s="37">
        <f t="shared" si="39"/>
        <v>0</v>
      </c>
      <c r="AJ399" s="85"/>
      <c r="AK399" s="86"/>
      <c r="AL399" s="82"/>
      <c r="AP399" s="86"/>
      <c r="AS399" s="84"/>
      <c r="AU399" s="85"/>
      <c r="AV399" s="86"/>
      <c r="AW399" s="82"/>
      <c r="BA399" s="86"/>
      <c r="BD399" s="84"/>
    </row>
    <row r="400" spans="22:56" ht="16" x14ac:dyDescent="0.4">
      <c r="V400" s="97"/>
      <c r="W400" s="16"/>
      <c r="X400" s="89"/>
      <c r="Z400" s="50"/>
      <c r="AA400" s="50"/>
      <c r="AD400" s="48"/>
      <c r="AE400" s="48">
        <f t="shared" si="37"/>
        <v>0</v>
      </c>
      <c r="AF400" s="16"/>
      <c r="AG400" s="103">
        <f t="shared" si="38"/>
        <v>0</v>
      </c>
      <c r="AH400" s="37">
        <f t="shared" si="39"/>
        <v>0</v>
      </c>
      <c r="AJ400" s="85"/>
      <c r="AK400" s="86"/>
      <c r="AL400" s="82"/>
      <c r="AP400" s="86"/>
      <c r="AU400" s="85"/>
      <c r="AV400" s="86"/>
      <c r="AW400" s="82"/>
      <c r="BA400" s="86"/>
    </row>
    <row r="401" spans="22:53" ht="16" x14ac:dyDescent="0.4">
      <c r="V401" s="97"/>
      <c r="W401" s="16"/>
      <c r="X401" s="89"/>
      <c r="Z401" s="50"/>
      <c r="AA401" s="50"/>
      <c r="AD401" s="48"/>
      <c r="AE401" s="48">
        <f t="shared" si="37"/>
        <v>0</v>
      </c>
      <c r="AF401" s="16"/>
      <c r="AG401" s="103">
        <f t="shared" si="38"/>
        <v>0</v>
      </c>
      <c r="AH401" s="37">
        <f t="shared" si="39"/>
        <v>0</v>
      </c>
      <c r="AJ401" s="85"/>
      <c r="AK401" s="86"/>
      <c r="AL401" s="82"/>
      <c r="AP401" s="86"/>
      <c r="AU401" s="85"/>
      <c r="AV401" s="86"/>
      <c r="AW401" s="82"/>
      <c r="BA401" s="86"/>
    </row>
    <row r="402" spans="22:53" ht="16" x14ac:dyDescent="0.4">
      <c r="V402" s="97"/>
      <c r="W402" s="16"/>
      <c r="X402" s="89"/>
      <c r="Z402" s="50"/>
      <c r="AA402" s="50"/>
      <c r="AD402" s="48"/>
      <c r="AE402" s="48">
        <f t="shared" si="37"/>
        <v>0</v>
      </c>
      <c r="AF402" s="16"/>
      <c r="AG402" s="103">
        <f t="shared" si="38"/>
        <v>0</v>
      </c>
      <c r="AH402" s="37">
        <f t="shared" si="39"/>
        <v>0</v>
      </c>
      <c r="AJ402" s="87"/>
      <c r="AK402" s="82"/>
      <c r="AL402" s="82"/>
      <c r="AP402" s="82"/>
      <c r="AU402" s="87"/>
      <c r="AV402" s="82"/>
      <c r="AW402" s="82"/>
      <c r="BA402" s="82"/>
    </row>
    <row r="403" spans="22:53" ht="16" x14ac:dyDescent="0.4">
      <c r="V403" s="97"/>
      <c r="W403" s="16"/>
      <c r="X403" s="89"/>
      <c r="Z403" s="50"/>
      <c r="AA403" s="50"/>
      <c r="AD403" s="48"/>
      <c r="AE403" s="48">
        <f t="shared" si="37"/>
        <v>0</v>
      </c>
      <c r="AF403" s="16"/>
      <c r="AG403" s="103">
        <f t="shared" si="38"/>
        <v>0</v>
      </c>
      <c r="AH403" s="37">
        <f t="shared" si="39"/>
        <v>0</v>
      </c>
    </row>
    <row r="404" spans="22:53" ht="16" x14ac:dyDescent="0.4">
      <c r="V404" s="97"/>
      <c r="W404" s="16"/>
      <c r="X404" s="89"/>
      <c r="Z404" s="50"/>
      <c r="AA404" s="50"/>
      <c r="AD404" s="48"/>
      <c r="AE404" s="48">
        <f t="shared" si="37"/>
        <v>0</v>
      </c>
      <c r="AF404" s="16"/>
      <c r="AG404" s="103">
        <f t="shared" si="38"/>
        <v>0</v>
      </c>
      <c r="AH404" s="37">
        <f t="shared" si="39"/>
        <v>0</v>
      </c>
    </row>
    <row r="405" spans="22:53" ht="16" x14ac:dyDescent="0.4">
      <c r="V405" s="97"/>
      <c r="W405" s="16"/>
      <c r="X405" s="89"/>
      <c r="Z405" s="50"/>
      <c r="AA405" s="50"/>
      <c r="AD405" s="48"/>
      <c r="AE405" s="48">
        <f t="shared" si="37"/>
        <v>0</v>
      </c>
      <c r="AF405" s="16"/>
      <c r="AG405" s="103">
        <f t="shared" si="38"/>
        <v>0</v>
      </c>
      <c r="AH405" s="37">
        <f t="shared" si="39"/>
        <v>0</v>
      </c>
    </row>
    <row r="406" spans="22:53" ht="16" x14ac:dyDescent="0.4">
      <c r="V406" s="97"/>
      <c r="W406" s="16"/>
      <c r="X406" s="89"/>
      <c r="Z406" s="50"/>
      <c r="AA406" s="50"/>
      <c r="AD406" s="48"/>
      <c r="AE406" s="48">
        <f t="shared" si="37"/>
        <v>0</v>
      </c>
      <c r="AF406" s="16"/>
      <c r="AG406" s="103">
        <f t="shared" si="38"/>
        <v>0</v>
      </c>
      <c r="AH406" s="37">
        <f t="shared" si="39"/>
        <v>0</v>
      </c>
    </row>
    <row r="407" spans="22:53" ht="16" x14ac:dyDescent="0.4">
      <c r="V407" s="97"/>
      <c r="W407" s="16"/>
      <c r="X407" s="89"/>
      <c r="Z407" s="50"/>
      <c r="AA407" s="50"/>
      <c r="AD407" s="48"/>
      <c r="AE407" s="48">
        <f t="shared" si="37"/>
        <v>0</v>
      </c>
      <c r="AF407" s="16"/>
      <c r="AG407" s="103">
        <f t="shared" si="38"/>
        <v>0</v>
      </c>
      <c r="AH407" s="37">
        <f t="shared" si="39"/>
        <v>0</v>
      </c>
      <c r="AJ407" s="34"/>
      <c r="AK407" s="34"/>
      <c r="AU407" s="34"/>
      <c r="AV407" s="34"/>
    </row>
    <row r="408" spans="22:53" ht="16" x14ac:dyDescent="0.4">
      <c r="V408" s="97"/>
      <c r="W408" s="16"/>
      <c r="X408" s="89"/>
      <c r="Z408" s="50"/>
      <c r="AA408" s="50"/>
      <c r="AD408" s="48"/>
      <c r="AE408" s="48">
        <f t="shared" si="37"/>
        <v>0</v>
      </c>
      <c r="AF408" s="16"/>
      <c r="AG408" s="103">
        <f t="shared" si="38"/>
        <v>0</v>
      </c>
      <c r="AH408" s="37">
        <f t="shared" si="39"/>
        <v>0</v>
      </c>
      <c r="AJ408" s="34"/>
      <c r="AK408" s="34"/>
      <c r="AU408" s="34"/>
      <c r="AV408" s="34"/>
    </row>
    <row r="409" spans="22:53" ht="16" x14ac:dyDescent="0.4">
      <c r="V409" s="97"/>
      <c r="W409" s="16"/>
      <c r="X409" s="89"/>
      <c r="Z409" s="50"/>
      <c r="AA409" s="50"/>
      <c r="AD409" s="48"/>
      <c r="AE409" s="48">
        <f t="shared" si="37"/>
        <v>0</v>
      </c>
      <c r="AF409" s="16"/>
      <c r="AG409" s="103">
        <f t="shared" si="38"/>
        <v>0</v>
      </c>
      <c r="AH409" s="37">
        <f t="shared" si="39"/>
        <v>0</v>
      </c>
      <c r="AJ409" s="34"/>
      <c r="AK409" s="34"/>
      <c r="AU409" s="34"/>
      <c r="AV409" s="34"/>
    </row>
    <row r="410" spans="22:53" ht="16" x14ac:dyDescent="0.4">
      <c r="V410" s="97"/>
      <c r="W410" s="16"/>
      <c r="X410" s="89"/>
      <c r="Z410" s="50"/>
      <c r="AA410" s="50"/>
      <c r="AD410" s="48"/>
      <c r="AE410" s="48">
        <f t="shared" si="37"/>
        <v>0</v>
      </c>
      <c r="AF410" s="16"/>
      <c r="AG410" s="103">
        <f t="shared" si="38"/>
        <v>0</v>
      </c>
      <c r="AH410" s="37">
        <f t="shared" si="39"/>
        <v>0</v>
      </c>
      <c r="AJ410" s="34"/>
      <c r="AK410" s="34"/>
      <c r="AU410" s="34"/>
      <c r="AV410" s="34"/>
    </row>
    <row r="411" spans="22:53" ht="16" x14ac:dyDescent="0.4">
      <c r="V411" s="97"/>
      <c r="W411" s="16"/>
      <c r="X411" s="89"/>
      <c r="Z411" s="50"/>
      <c r="AA411" s="50"/>
      <c r="AD411" s="48"/>
      <c r="AE411" s="48">
        <f t="shared" si="37"/>
        <v>0</v>
      </c>
      <c r="AF411" s="16"/>
      <c r="AG411" s="103">
        <f t="shared" si="38"/>
        <v>0</v>
      </c>
      <c r="AH411" s="37">
        <f t="shared" si="39"/>
        <v>0</v>
      </c>
      <c r="AJ411" s="34"/>
      <c r="AK411" s="34"/>
      <c r="AU411" s="34"/>
      <c r="AV411" s="34"/>
    </row>
    <row r="412" spans="22:53" ht="16" x14ac:dyDescent="0.4">
      <c r="V412" s="97"/>
      <c r="W412" s="16"/>
      <c r="X412" s="89"/>
      <c r="Z412" s="50"/>
      <c r="AA412" s="50"/>
      <c r="AD412" s="48"/>
      <c r="AE412" s="48">
        <f t="shared" si="37"/>
        <v>0</v>
      </c>
      <c r="AF412" s="16"/>
      <c r="AG412" s="103">
        <f t="shared" si="38"/>
        <v>0</v>
      </c>
      <c r="AH412" s="37">
        <f t="shared" si="39"/>
        <v>0</v>
      </c>
      <c r="AJ412" s="34"/>
      <c r="AK412" s="34"/>
      <c r="AU412" s="34"/>
      <c r="AV412" s="34"/>
    </row>
    <row r="413" spans="22:53" ht="16" x14ac:dyDescent="0.4">
      <c r="V413" s="97"/>
      <c r="W413" s="16"/>
      <c r="X413" s="89"/>
      <c r="Z413" s="50"/>
      <c r="AA413" s="50"/>
      <c r="AD413" s="48"/>
      <c r="AE413" s="48">
        <f t="shared" si="37"/>
        <v>0</v>
      </c>
      <c r="AF413" s="16"/>
      <c r="AG413" s="103">
        <f t="shared" si="38"/>
        <v>0</v>
      </c>
      <c r="AH413" s="37">
        <f t="shared" si="39"/>
        <v>0</v>
      </c>
      <c r="AJ413" s="34"/>
      <c r="AK413" s="34"/>
      <c r="AU413" s="34"/>
      <c r="AV413" s="34"/>
    </row>
    <row r="414" spans="22:53" ht="16" x14ac:dyDescent="0.4">
      <c r="V414" s="97"/>
      <c r="W414" s="16"/>
      <c r="X414" s="89"/>
      <c r="Z414" s="50"/>
      <c r="AA414" s="50"/>
      <c r="AD414" s="48"/>
      <c r="AE414" s="48">
        <f t="shared" si="37"/>
        <v>0</v>
      </c>
      <c r="AF414" s="16"/>
      <c r="AG414" s="103">
        <f t="shared" si="38"/>
        <v>0</v>
      </c>
      <c r="AH414" s="37">
        <f t="shared" si="39"/>
        <v>0</v>
      </c>
      <c r="AJ414" s="34"/>
      <c r="AK414" s="34"/>
      <c r="AU414" s="34"/>
      <c r="AV414" s="34"/>
    </row>
    <row r="415" spans="22:53" ht="16" x14ac:dyDescent="0.4">
      <c r="V415" s="97"/>
      <c r="W415" s="16"/>
      <c r="X415" s="89"/>
      <c r="Z415" s="50"/>
      <c r="AA415" s="50"/>
      <c r="AD415" s="48"/>
      <c r="AE415" s="48">
        <f t="shared" si="37"/>
        <v>0</v>
      </c>
      <c r="AF415" s="16"/>
      <c r="AG415" s="103">
        <f t="shared" si="38"/>
        <v>0</v>
      </c>
      <c r="AH415" s="37">
        <f t="shared" ref="AH415:AH453" si="40">AE415*AG415/14</f>
        <v>0</v>
      </c>
      <c r="AJ415" s="34"/>
      <c r="AK415" s="34"/>
      <c r="AU415" s="34"/>
      <c r="AV415" s="34"/>
    </row>
    <row r="416" spans="22:53" ht="16" x14ac:dyDescent="0.4">
      <c r="V416" s="97"/>
      <c r="W416" s="16"/>
      <c r="X416" s="89"/>
      <c r="Z416" s="50"/>
      <c r="AA416" s="50"/>
      <c r="AD416" s="48"/>
      <c r="AE416" s="48">
        <f t="shared" si="37"/>
        <v>0</v>
      </c>
      <c r="AF416" s="16"/>
      <c r="AG416" s="103">
        <f t="shared" si="38"/>
        <v>0</v>
      </c>
      <c r="AH416" s="37">
        <f t="shared" si="40"/>
        <v>0</v>
      </c>
      <c r="AJ416" s="34"/>
      <c r="AK416" s="34"/>
      <c r="AU416" s="34"/>
      <c r="AV416" s="34"/>
    </row>
    <row r="417" spans="22:48" ht="16" x14ac:dyDescent="0.4">
      <c r="V417" s="97"/>
      <c r="W417" s="16"/>
      <c r="X417" s="89"/>
      <c r="Z417" s="50"/>
      <c r="AA417" s="50"/>
      <c r="AD417" s="48"/>
      <c r="AE417" s="48">
        <f t="shared" si="37"/>
        <v>0</v>
      </c>
      <c r="AF417" s="16"/>
      <c r="AG417" s="103">
        <f t="shared" si="38"/>
        <v>0</v>
      </c>
      <c r="AH417" s="37">
        <f t="shared" si="40"/>
        <v>0</v>
      </c>
      <c r="AJ417" s="34"/>
      <c r="AK417" s="34"/>
      <c r="AU417" s="34"/>
      <c r="AV417" s="34"/>
    </row>
    <row r="418" spans="22:48" ht="16" x14ac:dyDescent="0.4">
      <c r="V418" s="97"/>
      <c r="W418" s="16"/>
      <c r="X418" s="89"/>
      <c r="Z418" s="50"/>
      <c r="AA418" s="50"/>
      <c r="AD418" s="48"/>
      <c r="AE418" s="48">
        <f t="shared" si="37"/>
        <v>0</v>
      </c>
      <c r="AF418" s="16"/>
      <c r="AG418" s="103">
        <f t="shared" si="38"/>
        <v>0</v>
      </c>
      <c r="AH418" s="37">
        <f t="shared" si="40"/>
        <v>0</v>
      </c>
      <c r="AJ418" s="34"/>
      <c r="AK418" s="34"/>
      <c r="AU418" s="34"/>
      <c r="AV418" s="34"/>
    </row>
    <row r="419" spans="22:48" ht="16" x14ac:dyDescent="0.4">
      <c r="V419" s="97"/>
      <c r="W419" s="16"/>
      <c r="X419" s="89"/>
      <c r="Z419" s="50"/>
      <c r="AA419" s="50"/>
      <c r="AD419" s="48"/>
      <c r="AE419" s="48">
        <f t="shared" si="37"/>
        <v>0</v>
      </c>
      <c r="AF419" s="16"/>
      <c r="AG419" s="103">
        <f t="shared" si="38"/>
        <v>0</v>
      </c>
      <c r="AH419" s="37">
        <f t="shared" si="40"/>
        <v>0</v>
      </c>
      <c r="AJ419" s="34"/>
      <c r="AK419" s="34"/>
      <c r="AU419" s="34"/>
      <c r="AV419" s="34"/>
    </row>
    <row r="420" spans="22:48" ht="16" x14ac:dyDescent="0.4">
      <c r="V420" s="97"/>
      <c r="W420" s="16"/>
      <c r="X420" s="89"/>
      <c r="Z420" s="50"/>
      <c r="AA420" s="50"/>
      <c r="AD420" s="48"/>
      <c r="AE420" s="48">
        <f t="shared" si="37"/>
        <v>0</v>
      </c>
      <c r="AF420" s="16"/>
      <c r="AG420" s="103">
        <f t="shared" si="38"/>
        <v>0</v>
      </c>
      <c r="AH420" s="37">
        <f t="shared" si="40"/>
        <v>0</v>
      </c>
      <c r="AJ420" s="34"/>
      <c r="AK420" s="34"/>
      <c r="AU420" s="34"/>
      <c r="AV420" s="34"/>
    </row>
    <row r="421" spans="22:48" ht="16" x14ac:dyDescent="0.4">
      <c r="V421" s="97"/>
      <c r="W421" s="16"/>
      <c r="X421" s="89"/>
      <c r="Z421" s="50"/>
      <c r="AA421" s="50"/>
      <c r="AD421" s="48"/>
      <c r="AE421" s="48">
        <f t="shared" si="37"/>
        <v>0</v>
      </c>
      <c r="AF421" s="16"/>
      <c r="AG421" s="103">
        <f t="shared" si="38"/>
        <v>0</v>
      </c>
      <c r="AH421" s="37">
        <f t="shared" si="40"/>
        <v>0</v>
      </c>
      <c r="AJ421" s="34"/>
      <c r="AK421" s="34"/>
      <c r="AU421" s="34"/>
      <c r="AV421" s="34"/>
    </row>
    <row r="422" spans="22:48" ht="16" x14ac:dyDescent="0.4">
      <c r="V422" s="97"/>
      <c r="W422" s="16"/>
      <c r="X422" s="89"/>
      <c r="Z422" s="50"/>
      <c r="AA422" s="50"/>
      <c r="AD422" s="48"/>
      <c r="AE422" s="48">
        <f t="shared" si="37"/>
        <v>0</v>
      </c>
      <c r="AF422" s="16"/>
      <c r="AG422" s="103">
        <f t="shared" si="38"/>
        <v>0</v>
      </c>
      <c r="AH422" s="37">
        <f t="shared" si="40"/>
        <v>0</v>
      </c>
      <c r="AJ422" s="34"/>
      <c r="AK422" s="34"/>
      <c r="AU422" s="34"/>
      <c r="AV422" s="34"/>
    </row>
    <row r="423" spans="22:48" ht="16" x14ac:dyDescent="0.4">
      <c r="V423" s="97"/>
      <c r="W423" s="16"/>
      <c r="X423" s="89"/>
      <c r="Z423" s="50"/>
      <c r="AA423" s="50"/>
      <c r="AD423" s="48"/>
      <c r="AE423" s="48">
        <f t="shared" si="37"/>
        <v>0</v>
      </c>
      <c r="AF423" s="16"/>
      <c r="AG423" s="103">
        <f t="shared" si="38"/>
        <v>0</v>
      </c>
      <c r="AH423" s="37">
        <f t="shared" si="40"/>
        <v>0</v>
      </c>
      <c r="AJ423" s="34"/>
      <c r="AK423" s="34"/>
      <c r="AU423" s="34"/>
      <c r="AV423" s="34"/>
    </row>
    <row r="424" spans="22:48" ht="16" x14ac:dyDescent="0.4">
      <c r="V424" s="97"/>
      <c r="W424" s="16"/>
      <c r="X424" s="89"/>
      <c r="Z424" s="50"/>
      <c r="AA424" s="50"/>
      <c r="AD424" s="48"/>
      <c r="AE424" s="48">
        <f t="shared" si="37"/>
        <v>0</v>
      </c>
      <c r="AF424" s="16"/>
      <c r="AG424" s="103">
        <f t="shared" si="38"/>
        <v>0</v>
      </c>
      <c r="AH424" s="37">
        <f t="shared" si="40"/>
        <v>0</v>
      </c>
      <c r="AJ424" s="34"/>
      <c r="AK424" s="34"/>
      <c r="AU424" s="34"/>
      <c r="AV424" s="34"/>
    </row>
    <row r="425" spans="22:48" ht="16" x14ac:dyDescent="0.4">
      <c r="V425" s="97"/>
      <c r="W425" s="16"/>
      <c r="X425" s="89"/>
      <c r="Z425" s="50"/>
      <c r="AA425" s="50"/>
      <c r="AD425" s="48"/>
      <c r="AE425" s="48">
        <f t="shared" si="37"/>
        <v>0</v>
      </c>
      <c r="AF425" s="16"/>
      <c r="AG425" s="103">
        <f t="shared" si="38"/>
        <v>0</v>
      </c>
      <c r="AH425" s="37">
        <f t="shared" si="40"/>
        <v>0</v>
      </c>
      <c r="AJ425" s="34"/>
      <c r="AK425" s="34"/>
      <c r="AU425" s="34"/>
      <c r="AV425" s="34"/>
    </row>
    <row r="426" spans="22:48" ht="16" x14ac:dyDescent="0.4">
      <c r="V426" s="97"/>
      <c r="W426" s="16"/>
      <c r="X426" s="89"/>
      <c r="Z426" s="50"/>
      <c r="AA426" s="50"/>
      <c r="AD426" s="48"/>
      <c r="AE426" s="48">
        <f t="shared" si="37"/>
        <v>0</v>
      </c>
      <c r="AF426" s="16"/>
      <c r="AG426" s="103">
        <f t="shared" si="38"/>
        <v>0</v>
      </c>
      <c r="AH426" s="37">
        <f t="shared" si="40"/>
        <v>0</v>
      </c>
      <c r="AJ426" s="34"/>
      <c r="AK426" s="34"/>
      <c r="AU426" s="34"/>
      <c r="AV426" s="34"/>
    </row>
    <row r="427" spans="22:48" ht="16" x14ac:dyDescent="0.4">
      <c r="V427" s="97"/>
      <c r="W427" s="16"/>
      <c r="X427" s="89"/>
      <c r="Z427" s="50"/>
      <c r="AA427" s="50"/>
      <c r="AD427" s="48"/>
      <c r="AE427" s="48">
        <f t="shared" si="37"/>
        <v>0</v>
      </c>
      <c r="AF427" s="16"/>
      <c r="AG427" s="103">
        <f t="shared" si="38"/>
        <v>0</v>
      </c>
      <c r="AH427" s="37">
        <f t="shared" si="40"/>
        <v>0</v>
      </c>
      <c r="AJ427" s="34"/>
      <c r="AK427" s="34"/>
      <c r="AU427" s="34"/>
      <c r="AV427" s="34"/>
    </row>
    <row r="428" spans="22:48" ht="16" x14ac:dyDescent="0.4">
      <c r="V428" s="97"/>
      <c r="W428" s="16"/>
      <c r="X428" s="89"/>
      <c r="Z428" s="50"/>
      <c r="AA428" s="50"/>
      <c r="AD428" s="48"/>
      <c r="AE428" s="48">
        <f t="shared" si="37"/>
        <v>0</v>
      </c>
      <c r="AF428" s="16"/>
      <c r="AG428" s="103">
        <f t="shared" si="38"/>
        <v>0</v>
      </c>
      <c r="AH428" s="37">
        <f t="shared" si="40"/>
        <v>0</v>
      </c>
      <c r="AJ428" s="34"/>
      <c r="AK428" s="34"/>
      <c r="AU428" s="34"/>
      <c r="AV428" s="34"/>
    </row>
    <row r="429" spans="22:48" ht="16" x14ac:dyDescent="0.4">
      <c r="V429" s="97"/>
      <c r="W429" s="16"/>
      <c r="X429" s="89"/>
      <c r="Z429" s="50"/>
      <c r="AA429" s="50"/>
      <c r="AD429" s="48"/>
      <c r="AE429" s="48">
        <f t="shared" si="37"/>
        <v>0</v>
      </c>
      <c r="AF429" s="16"/>
      <c r="AG429" s="103">
        <f t="shared" si="38"/>
        <v>0</v>
      </c>
      <c r="AH429" s="37">
        <f t="shared" si="40"/>
        <v>0</v>
      </c>
      <c r="AJ429" s="34"/>
      <c r="AK429" s="34"/>
      <c r="AU429" s="34"/>
      <c r="AV429" s="34"/>
    </row>
    <row r="430" spans="22:48" ht="16" x14ac:dyDescent="0.4">
      <c r="V430" s="97"/>
      <c r="W430" s="16"/>
      <c r="X430" s="89"/>
      <c r="Z430" s="50"/>
      <c r="AA430" s="50"/>
      <c r="AD430" s="48"/>
      <c r="AE430" s="48">
        <f t="shared" si="37"/>
        <v>0</v>
      </c>
      <c r="AF430" s="16"/>
      <c r="AG430" s="103">
        <f t="shared" si="38"/>
        <v>0</v>
      </c>
      <c r="AH430" s="37">
        <f t="shared" si="40"/>
        <v>0</v>
      </c>
      <c r="AJ430" s="34"/>
      <c r="AK430" s="34"/>
      <c r="AU430" s="34"/>
      <c r="AV430" s="34"/>
    </row>
    <row r="431" spans="22:48" ht="16" x14ac:dyDescent="0.4">
      <c r="V431" s="97"/>
      <c r="W431" s="16"/>
      <c r="X431" s="89"/>
      <c r="Z431" s="50"/>
      <c r="AA431" s="50"/>
      <c r="AD431" s="48"/>
      <c r="AE431" s="48">
        <f t="shared" si="37"/>
        <v>0</v>
      </c>
      <c r="AF431" s="16"/>
      <c r="AG431" s="103">
        <f t="shared" si="38"/>
        <v>0</v>
      </c>
      <c r="AH431" s="37">
        <f t="shared" si="40"/>
        <v>0</v>
      </c>
      <c r="AJ431" s="34"/>
      <c r="AK431" s="34"/>
      <c r="AU431" s="34"/>
      <c r="AV431" s="34"/>
    </row>
    <row r="432" spans="22:48" ht="16" x14ac:dyDescent="0.4">
      <c r="V432" s="97"/>
      <c r="W432" s="16"/>
      <c r="X432" s="89"/>
      <c r="Z432" s="50"/>
      <c r="AA432" s="50"/>
      <c r="AD432" s="48"/>
      <c r="AE432" s="48">
        <f t="shared" si="37"/>
        <v>0</v>
      </c>
      <c r="AF432" s="16"/>
      <c r="AG432" s="103">
        <f t="shared" si="38"/>
        <v>0</v>
      </c>
      <c r="AH432" s="37">
        <f t="shared" si="40"/>
        <v>0</v>
      </c>
      <c r="AJ432" s="34"/>
      <c r="AK432" s="34"/>
      <c r="AU432" s="34"/>
      <c r="AV432" s="34"/>
    </row>
    <row r="433" spans="22:48" ht="16" x14ac:dyDescent="0.4">
      <c r="V433" s="97"/>
      <c r="W433" s="16"/>
      <c r="X433" s="89"/>
      <c r="Z433" s="50"/>
      <c r="AA433" s="50"/>
      <c r="AD433" s="48"/>
      <c r="AE433" s="48">
        <f t="shared" si="37"/>
        <v>0</v>
      </c>
      <c r="AF433" s="16"/>
      <c r="AG433" s="103">
        <f t="shared" si="38"/>
        <v>0</v>
      </c>
      <c r="AH433" s="37">
        <f t="shared" si="40"/>
        <v>0</v>
      </c>
      <c r="AJ433" s="34"/>
      <c r="AK433" s="34"/>
      <c r="AU433" s="34"/>
      <c r="AV433" s="34"/>
    </row>
    <row r="434" spans="22:48" ht="16" x14ac:dyDescent="0.4">
      <c r="V434" s="97"/>
      <c r="W434" s="16"/>
      <c r="X434" s="89"/>
      <c r="Z434" s="50"/>
      <c r="AA434" s="50"/>
      <c r="AD434" s="48"/>
      <c r="AE434" s="48">
        <f t="shared" si="37"/>
        <v>0</v>
      </c>
      <c r="AF434" s="16"/>
      <c r="AG434" s="103">
        <f t="shared" si="38"/>
        <v>0</v>
      </c>
      <c r="AH434" s="37">
        <f t="shared" si="40"/>
        <v>0</v>
      </c>
      <c r="AJ434" s="34"/>
      <c r="AK434" s="34"/>
      <c r="AU434" s="34"/>
      <c r="AV434" s="34"/>
    </row>
    <row r="435" spans="22:48" ht="16" x14ac:dyDescent="0.4">
      <c r="V435" s="97"/>
      <c r="W435" s="16"/>
      <c r="X435" s="89"/>
      <c r="Z435" s="50"/>
      <c r="AA435" s="50"/>
      <c r="AD435" s="48"/>
      <c r="AE435" s="48">
        <f t="shared" si="37"/>
        <v>0</v>
      </c>
      <c r="AF435" s="16"/>
      <c r="AG435" s="72">
        <f t="shared" ref="AG435:AG453" si="41">IF($AF435&gt;14,14,$AF435)</f>
        <v>0</v>
      </c>
      <c r="AH435" s="37">
        <f t="shared" si="40"/>
        <v>0</v>
      </c>
      <c r="AJ435" s="34"/>
      <c r="AK435" s="34"/>
      <c r="AU435" s="34"/>
      <c r="AV435" s="34"/>
    </row>
    <row r="436" spans="22:48" ht="16" x14ac:dyDescent="0.4">
      <c r="V436" s="97"/>
      <c r="W436" s="16"/>
      <c r="X436" s="89"/>
      <c r="Z436" s="50"/>
      <c r="AA436" s="50"/>
      <c r="AD436" s="48"/>
      <c r="AE436" s="48">
        <f t="shared" si="37"/>
        <v>0</v>
      </c>
      <c r="AF436" s="16"/>
      <c r="AG436" s="72">
        <f t="shared" si="41"/>
        <v>0</v>
      </c>
      <c r="AH436" s="37">
        <f t="shared" si="40"/>
        <v>0</v>
      </c>
      <c r="AJ436" s="34"/>
      <c r="AK436" s="34"/>
      <c r="AU436" s="34"/>
      <c r="AV436" s="34"/>
    </row>
    <row r="437" spans="22:48" ht="16" x14ac:dyDescent="0.4">
      <c r="V437" s="97"/>
      <c r="W437" s="16"/>
      <c r="X437" s="89"/>
      <c r="Z437" s="50"/>
      <c r="AA437" s="50"/>
      <c r="AD437" s="48"/>
      <c r="AE437" s="48">
        <f t="shared" si="37"/>
        <v>0</v>
      </c>
      <c r="AF437" s="16"/>
      <c r="AG437" s="72">
        <f t="shared" si="41"/>
        <v>0</v>
      </c>
      <c r="AH437" s="37">
        <f t="shared" si="40"/>
        <v>0</v>
      </c>
      <c r="AJ437" s="34"/>
      <c r="AK437" s="34"/>
      <c r="AU437" s="34"/>
      <c r="AV437" s="34"/>
    </row>
    <row r="438" spans="22:48" ht="16" x14ac:dyDescent="0.4">
      <c r="V438" s="97"/>
      <c r="W438" s="16"/>
      <c r="X438" s="89"/>
      <c r="Z438" s="50"/>
      <c r="AA438" s="50"/>
      <c r="AD438" s="48"/>
      <c r="AE438" s="48">
        <f t="shared" si="37"/>
        <v>0</v>
      </c>
      <c r="AF438" s="16"/>
      <c r="AG438" s="72">
        <f t="shared" si="41"/>
        <v>0</v>
      </c>
      <c r="AH438" s="37">
        <f t="shared" si="40"/>
        <v>0</v>
      </c>
      <c r="AJ438" s="34"/>
      <c r="AK438" s="34"/>
      <c r="AU438" s="34"/>
      <c r="AV438" s="34"/>
    </row>
    <row r="439" spans="22:48" ht="16" x14ac:dyDescent="0.4">
      <c r="V439" s="97"/>
      <c r="W439" s="16"/>
      <c r="X439" s="89"/>
      <c r="Z439" s="50"/>
      <c r="AA439" s="50"/>
      <c r="AD439" s="48"/>
      <c r="AE439" s="48">
        <f t="shared" si="37"/>
        <v>0</v>
      </c>
      <c r="AF439" s="16"/>
      <c r="AG439" s="72">
        <f t="shared" si="41"/>
        <v>0</v>
      </c>
      <c r="AH439" s="37">
        <f t="shared" si="40"/>
        <v>0</v>
      </c>
      <c r="AJ439" s="34"/>
      <c r="AK439" s="34"/>
      <c r="AU439" s="34"/>
      <c r="AV439" s="34"/>
    </row>
    <row r="440" spans="22:48" ht="16" x14ac:dyDescent="0.4">
      <c r="V440" s="97"/>
      <c r="W440" s="16"/>
      <c r="X440" s="89"/>
      <c r="Z440" s="50"/>
      <c r="AA440" s="50"/>
      <c r="AD440" s="48"/>
      <c r="AE440" s="48">
        <f t="shared" si="37"/>
        <v>0</v>
      </c>
      <c r="AF440" s="16"/>
      <c r="AG440" s="72">
        <f t="shared" si="41"/>
        <v>0</v>
      </c>
      <c r="AH440" s="37">
        <f t="shared" si="40"/>
        <v>0</v>
      </c>
      <c r="AJ440" s="34"/>
      <c r="AK440" s="34"/>
      <c r="AU440" s="34"/>
      <c r="AV440" s="34"/>
    </row>
    <row r="441" spans="22:48" ht="16" x14ac:dyDescent="0.4">
      <c r="V441" s="97"/>
      <c r="W441" s="16"/>
      <c r="X441" s="89"/>
      <c r="Z441" s="50"/>
      <c r="AA441" s="50"/>
      <c r="AD441" s="48"/>
      <c r="AE441" s="48">
        <f t="shared" si="37"/>
        <v>0</v>
      </c>
      <c r="AF441" s="16"/>
      <c r="AG441" s="72">
        <f t="shared" si="41"/>
        <v>0</v>
      </c>
      <c r="AH441" s="37">
        <f t="shared" si="40"/>
        <v>0</v>
      </c>
      <c r="AJ441" s="34"/>
      <c r="AK441" s="34"/>
      <c r="AU441" s="34"/>
      <c r="AV441" s="34"/>
    </row>
    <row r="442" spans="22:48" ht="16" x14ac:dyDescent="0.4">
      <c r="V442" s="97"/>
      <c r="W442" s="16"/>
      <c r="X442" s="89"/>
      <c r="Z442" s="50"/>
      <c r="AA442" s="50"/>
      <c r="AD442" s="48"/>
      <c r="AE442" s="48">
        <f t="shared" si="37"/>
        <v>0</v>
      </c>
      <c r="AF442" s="16"/>
      <c r="AG442" s="72">
        <f t="shared" si="41"/>
        <v>0</v>
      </c>
      <c r="AH442" s="37">
        <f t="shared" si="40"/>
        <v>0</v>
      </c>
      <c r="AJ442" s="34"/>
      <c r="AK442" s="34"/>
      <c r="AU442" s="34"/>
      <c r="AV442" s="34"/>
    </row>
    <row r="443" spans="22:48" ht="16" x14ac:dyDescent="0.4">
      <c r="V443" s="97"/>
      <c r="W443" s="16"/>
      <c r="X443" s="89"/>
      <c r="Z443" s="50"/>
      <c r="AA443" s="50"/>
      <c r="AD443" s="48"/>
      <c r="AE443" s="48">
        <f t="shared" si="37"/>
        <v>0</v>
      </c>
      <c r="AF443" s="16"/>
      <c r="AG443" s="72">
        <f t="shared" si="41"/>
        <v>0</v>
      </c>
      <c r="AH443" s="37">
        <f t="shared" si="40"/>
        <v>0</v>
      </c>
      <c r="AJ443" s="34"/>
      <c r="AK443" s="34"/>
      <c r="AU443" s="34"/>
      <c r="AV443" s="34"/>
    </row>
    <row r="444" spans="22:48" ht="16" x14ac:dyDescent="0.4">
      <c r="V444" s="97"/>
      <c r="W444" s="16"/>
      <c r="X444" s="89"/>
      <c r="Z444" s="50"/>
      <c r="AA444" s="50"/>
      <c r="AD444" s="48"/>
      <c r="AE444" s="48">
        <f t="shared" si="37"/>
        <v>0</v>
      </c>
      <c r="AF444" s="16"/>
      <c r="AG444" s="72">
        <f t="shared" si="41"/>
        <v>0</v>
      </c>
      <c r="AH444" s="37">
        <f t="shared" si="40"/>
        <v>0</v>
      </c>
      <c r="AJ444" s="34"/>
      <c r="AK444" s="34"/>
      <c r="AU444" s="34"/>
      <c r="AV444" s="34"/>
    </row>
    <row r="445" spans="22:48" ht="16" x14ac:dyDescent="0.4">
      <c r="V445" s="97"/>
      <c r="W445" s="16"/>
      <c r="X445" s="89"/>
      <c r="Z445" s="50"/>
      <c r="AA445" s="50"/>
      <c r="AD445" s="48"/>
      <c r="AE445" s="48">
        <f t="shared" si="37"/>
        <v>0</v>
      </c>
      <c r="AF445" s="16"/>
      <c r="AG445" s="72">
        <f t="shared" si="41"/>
        <v>0</v>
      </c>
      <c r="AH445" s="37">
        <f t="shared" si="40"/>
        <v>0</v>
      </c>
      <c r="AJ445" s="34"/>
      <c r="AK445" s="34"/>
      <c r="AU445" s="34"/>
      <c r="AV445" s="34"/>
    </row>
    <row r="446" spans="22:48" ht="16" x14ac:dyDescent="0.4">
      <c r="V446" s="97"/>
      <c r="W446" s="16"/>
      <c r="X446" s="89"/>
      <c r="Z446" s="50"/>
      <c r="AA446" s="50"/>
      <c r="AD446" s="48"/>
      <c r="AE446" s="48">
        <f t="shared" si="37"/>
        <v>0</v>
      </c>
      <c r="AF446" s="16"/>
      <c r="AG446" s="72">
        <f t="shared" si="41"/>
        <v>0</v>
      </c>
      <c r="AH446" s="37">
        <f t="shared" si="40"/>
        <v>0</v>
      </c>
      <c r="AJ446" s="34"/>
      <c r="AK446" s="34"/>
      <c r="AU446" s="34"/>
      <c r="AV446" s="34"/>
    </row>
    <row r="447" spans="22:48" ht="16" x14ac:dyDescent="0.4">
      <c r="V447" s="97"/>
      <c r="W447" s="16"/>
      <c r="X447" s="89"/>
      <c r="Z447" s="50"/>
      <c r="AA447" s="50"/>
      <c r="AD447" s="48"/>
      <c r="AE447" s="48">
        <f t="shared" si="37"/>
        <v>0</v>
      </c>
      <c r="AF447" s="16"/>
      <c r="AG447" s="72">
        <f t="shared" si="41"/>
        <v>0</v>
      </c>
      <c r="AH447" s="37">
        <f t="shared" si="40"/>
        <v>0</v>
      </c>
      <c r="AJ447" s="34"/>
      <c r="AK447" s="34"/>
      <c r="AU447" s="34"/>
      <c r="AV447" s="34"/>
    </row>
    <row r="448" spans="22:48" ht="16" x14ac:dyDescent="0.4">
      <c r="V448" s="97"/>
      <c r="W448" s="16"/>
      <c r="X448" s="89"/>
      <c r="Z448" s="50"/>
      <c r="AA448" s="50"/>
      <c r="AD448" s="48"/>
      <c r="AE448" s="48">
        <f t="shared" si="37"/>
        <v>0</v>
      </c>
      <c r="AF448" s="16"/>
      <c r="AG448" s="72">
        <f t="shared" si="41"/>
        <v>0</v>
      </c>
      <c r="AH448" s="37">
        <f t="shared" si="40"/>
        <v>0</v>
      </c>
      <c r="AJ448" s="34"/>
      <c r="AK448" s="34"/>
      <c r="AU448" s="34"/>
      <c r="AV448" s="34"/>
    </row>
    <row r="449" spans="22:48" ht="16" x14ac:dyDescent="0.4">
      <c r="V449" s="97"/>
      <c r="W449" s="16"/>
      <c r="X449" s="89"/>
      <c r="Z449" s="50"/>
      <c r="AA449" s="50"/>
      <c r="AD449" s="48"/>
      <c r="AE449" s="48">
        <f t="shared" si="37"/>
        <v>0</v>
      </c>
      <c r="AF449" s="16"/>
      <c r="AG449" s="72">
        <f t="shared" si="41"/>
        <v>0</v>
      </c>
      <c r="AH449" s="37">
        <f t="shared" si="40"/>
        <v>0</v>
      </c>
      <c r="AJ449" s="34"/>
      <c r="AK449" s="34"/>
      <c r="AU449" s="34"/>
      <c r="AV449" s="34"/>
    </row>
    <row r="450" spans="22:48" ht="16" x14ac:dyDescent="0.4">
      <c r="V450" s="97"/>
      <c r="W450" s="16"/>
      <c r="X450" s="89"/>
      <c r="Z450" s="50"/>
      <c r="AA450" s="50"/>
      <c r="AD450" s="48"/>
      <c r="AE450" s="48">
        <f t="shared" si="37"/>
        <v>0</v>
      </c>
      <c r="AF450" s="16"/>
      <c r="AG450" s="72">
        <f t="shared" si="41"/>
        <v>0</v>
      </c>
      <c r="AH450" s="37">
        <f t="shared" si="40"/>
        <v>0</v>
      </c>
      <c r="AJ450" s="34"/>
      <c r="AK450" s="34"/>
      <c r="AU450" s="34"/>
      <c r="AV450" s="34"/>
    </row>
    <row r="451" spans="22:48" ht="16" x14ac:dyDescent="0.4">
      <c r="V451" s="97"/>
      <c r="W451" s="16"/>
      <c r="X451" s="89"/>
      <c r="Z451" s="50"/>
      <c r="AA451" s="50"/>
      <c r="AD451" s="48"/>
      <c r="AE451" s="48">
        <f t="shared" si="37"/>
        <v>0</v>
      </c>
      <c r="AF451" s="16"/>
      <c r="AG451" s="72">
        <f t="shared" si="41"/>
        <v>0</v>
      </c>
      <c r="AH451" s="37">
        <f t="shared" si="40"/>
        <v>0</v>
      </c>
      <c r="AJ451" s="34"/>
      <c r="AK451" s="34"/>
      <c r="AU451" s="34"/>
      <c r="AV451" s="34"/>
    </row>
    <row r="452" spans="22:48" ht="16" x14ac:dyDescent="0.4">
      <c r="V452" s="97"/>
      <c r="W452" s="16"/>
      <c r="X452" s="89"/>
      <c r="Z452" s="50"/>
      <c r="AA452" s="50"/>
      <c r="AD452" s="48"/>
      <c r="AE452" s="48">
        <f t="shared" si="37"/>
        <v>0</v>
      </c>
      <c r="AF452" s="16"/>
      <c r="AG452" s="72">
        <f t="shared" si="41"/>
        <v>0</v>
      </c>
      <c r="AH452" s="37">
        <f t="shared" si="40"/>
        <v>0</v>
      </c>
      <c r="AJ452" s="34"/>
      <c r="AK452" s="34"/>
      <c r="AU452" s="34"/>
      <c r="AV452" s="34"/>
    </row>
    <row r="453" spans="22:48" ht="16" x14ac:dyDescent="0.4">
      <c r="V453" s="97"/>
      <c r="W453" s="16"/>
      <c r="X453" s="89"/>
      <c r="Z453" s="50"/>
      <c r="AA453" s="50"/>
      <c r="AD453" s="48"/>
      <c r="AE453" s="48">
        <f t="shared" ref="AE453:AE483" si="42">AD453/1000</f>
        <v>0</v>
      </c>
      <c r="AF453" s="16"/>
      <c r="AG453" s="72">
        <f t="shared" si="41"/>
        <v>0</v>
      </c>
      <c r="AH453" s="37">
        <f t="shared" si="40"/>
        <v>0</v>
      </c>
      <c r="AJ453" s="34"/>
      <c r="AK453" s="34"/>
      <c r="AU453" s="34"/>
      <c r="AV453" s="34"/>
    </row>
    <row r="454" spans="22:48" ht="16" x14ac:dyDescent="0.4">
      <c r="V454" s="97"/>
      <c r="W454" s="16"/>
      <c r="X454" s="89"/>
      <c r="Z454" s="50"/>
      <c r="AA454" s="50"/>
      <c r="AD454" s="48"/>
      <c r="AE454" s="48">
        <f t="shared" si="42"/>
        <v>0</v>
      </c>
      <c r="AF454" s="16"/>
      <c r="AG454" s="72">
        <f t="shared" ref="AG454:AG455" si="43">IF($AF454&gt;14,14,$AF454)</f>
        <v>0</v>
      </c>
      <c r="AH454" s="37">
        <f t="shared" ref="AH454:AH487" si="44">AE454*AG454/14</f>
        <v>0</v>
      </c>
      <c r="AJ454" s="34"/>
      <c r="AK454" s="34"/>
      <c r="AU454" s="34"/>
      <c r="AV454" s="34"/>
    </row>
    <row r="455" spans="22:48" ht="16" x14ac:dyDescent="0.4">
      <c r="V455" s="97"/>
      <c r="X455" s="89"/>
      <c r="Z455" s="50"/>
      <c r="AA455" s="50"/>
      <c r="AD455" s="37"/>
      <c r="AE455" s="48">
        <f t="shared" si="42"/>
        <v>0</v>
      </c>
      <c r="AG455" s="72">
        <f t="shared" si="43"/>
        <v>0</v>
      </c>
      <c r="AH455" s="37">
        <f t="shared" si="44"/>
        <v>0</v>
      </c>
      <c r="AJ455" s="34"/>
      <c r="AK455" s="34"/>
      <c r="AU455" s="34"/>
      <c r="AV455" s="34"/>
    </row>
    <row r="456" spans="22:48" x14ac:dyDescent="0.35">
      <c r="AE456" s="48">
        <f t="shared" si="42"/>
        <v>0</v>
      </c>
      <c r="AH456" s="37">
        <f t="shared" si="44"/>
        <v>0</v>
      </c>
      <c r="AJ456" s="34"/>
      <c r="AK456" s="34"/>
      <c r="AU456" s="34"/>
      <c r="AV456" s="34"/>
    </row>
    <row r="457" spans="22:48" x14ac:dyDescent="0.35">
      <c r="AE457" s="48">
        <f t="shared" si="42"/>
        <v>0</v>
      </c>
      <c r="AH457" s="37">
        <f t="shared" si="44"/>
        <v>0</v>
      </c>
      <c r="AJ457" s="34"/>
      <c r="AK457" s="34"/>
      <c r="AU457" s="34"/>
      <c r="AV457" s="34"/>
    </row>
    <row r="458" spans="22:48" x14ac:dyDescent="0.35">
      <c r="AE458" s="48">
        <f t="shared" si="42"/>
        <v>0</v>
      </c>
      <c r="AH458" s="37">
        <f t="shared" si="44"/>
        <v>0</v>
      </c>
      <c r="AJ458" s="34"/>
      <c r="AK458" s="34"/>
      <c r="AU458" s="34"/>
      <c r="AV458" s="34"/>
    </row>
    <row r="459" spans="22:48" x14ac:dyDescent="0.35">
      <c r="AE459" s="48">
        <f t="shared" si="42"/>
        <v>0</v>
      </c>
      <c r="AH459" s="37">
        <f t="shared" si="44"/>
        <v>0</v>
      </c>
      <c r="AJ459" s="34"/>
      <c r="AK459" s="34"/>
      <c r="AU459" s="34"/>
      <c r="AV459" s="34"/>
    </row>
    <row r="460" spans="22:48" x14ac:dyDescent="0.35">
      <c r="AE460" s="48">
        <f t="shared" si="42"/>
        <v>0</v>
      </c>
      <c r="AH460" s="37">
        <f t="shared" si="44"/>
        <v>0</v>
      </c>
      <c r="AJ460" s="34"/>
      <c r="AK460" s="34"/>
      <c r="AU460" s="34"/>
      <c r="AV460" s="34"/>
    </row>
    <row r="461" spans="22:48" x14ac:dyDescent="0.35">
      <c r="AE461" s="48">
        <f t="shared" si="42"/>
        <v>0</v>
      </c>
      <c r="AH461" s="37">
        <f t="shared" si="44"/>
        <v>0</v>
      </c>
      <c r="AJ461" s="34"/>
      <c r="AK461" s="34"/>
      <c r="AU461" s="34"/>
      <c r="AV461" s="34"/>
    </row>
    <row r="462" spans="22:48" x14ac:dyDescent="0.35">
      <c r="AE462" s="48">
        <f t="shared" si="42"/>
        <v>0</v>
      </c>
      <c r="AH462" s="37">
        <f t="shared" si="44"/>
        <v>0</v>
      </c>
      <c r="AJ462" s="34"/>
      <c r="AK462" s="34"/>
      <c r="AU462" s="34"/>
      <c r="AV462" s="34"/>
    </row>
    <row r="463" spans="22:48" x14ac:dyDescent="0.35">
      <c r="AE463" s="48">
        <f t="shared" si="42"/>
        <v>0</v>
      </c>
      <c r="AH463" s="37">
        <f t="shared" si="44"/>
        <v>0</v>
      </c>
      <c r="AJ463" s="34"/>
      <c r="AK463" s="34"/>
      <c r="AU463" s="34"/>
      <c r="AV463" s="34"/>
    </row>
    <row r="464" spans="22:48" x14ac:dyDescent="0.35">
      <c r="AE464" s="48">
        <f t="shared" si="42"/>
        <v>0</v>
      </c>
      <c r="AH464" s="37">
        <f t="shared" si="44"/>
        <v>0</v>
      </c>
      <c r="AJ464" s="34"/>
      <c r="AK464" s="34"/>
      <c r="AU464" s="34"/>
      <c r="AV464" s="34"/>
    </row>
    <row r="465" spans="31:48" x14ac:dyDescent="0.35">
      <c r="AE465" s="48">
        <f t="shared" si="42"/>
        <v>0</v>
      </c>
      <c r="AH465" s="37">
        <f t="shared" si="44"/>
        <v>0</v>
      </c>
      <c r="AJ465" s="34"/>
      <c r="AK465" s="34"/>
      <c r="AU465" s="34"/>
      <c r="AV465" s="34"/>
    </row>
    <row r="466" spans="31:48" x14ac:dyDescent="0.35">
      <c r="AE466" s="48">
        <f t="shared" si="42"/>
        <v>0</v>
      </c>
      <c r="AH466" s="37">
        <f t="shared" si="44"/>
        <v>0</v>
      </c>
      <c r="AJ466" s="34"/>
      <c r="AK466" s="34"/>
      <c r="AU466" s="34"/>
      <c r="AV466" s="34"/>
    </row>
    <row r="467" spans="31:48" x14ac:dyDescent="0.35">
      <c r="AE467" s="48">
        <f t="shared" si="42"/>
        <v>0</v>
      </c>
      <c r="AH467" s="37">
        <f t="shared" si="44"/>
        <v>0</v>
      </c>
      <c r="AJ467" s="34"/>
      <c r="AK467" s="34"/>
      <c r="AU467" s="34"/>
      <c r="AV467" s="34"/>
    </row>
    <row r="468" spans="31:48" x14ac:dyDescent="0.35">
      <c r="AE468" s="48">
        <f t="shared" si="42"/>
        <v>0</v>
      </c>
      <c r="AH468" s="37">
        <f t="shared" si="44"/>
        <v>0</v>
      </c>
      <c r="AJ468" s="34"/>
      <c r="AK468" s="34"/>
      <c r="AU468" s="34"/>
      <c r="AV468" s="34"/>
    </row>
    <row r="469" spans="31:48" x14ac:dyDescent="0.35">
      <c r="AE469" s="48">
        <f t="shared" si="42"/>
        <v>0</v>
      </c>
      <c r="AH469" s="37">
        <f t="shared" si="44"/>
        <v>0</v>
      </c>
      <c r="AJ469" s="34"/>
      <c r="AK469" s="34"/>
      <c r="AU469" s="34"/>
      <c r="AV469" s="34"/>
    </row>
    <row r="470" spans="31:48" x14ac:dyDescent="0.35">
      <c r="AE470" s="48">
        <f t="shared" si="42"/>
        <v>0</v>
      </c>
      <c r="AH470" s="37">
        <f t="shared" si="44"/>
        <v>0</v>
      </c>
      <c r="AJ470" s="34"/>
      <c r="AK470" s="34"/>
      <c r="AU470" s="34"/>
      <c r="AV470" s="34"/>
    </row>
    <row r="471" spans="31:48" x14ac:dyDescent="0.35">
      <c r="AE471" s="48">
        <f t="shared" si="42"/>
        <v>0</v>
      </c>
      <c r="AH471" s="37">
        <f t="shared" si="44"/>
        <v>0</v>
      </c>
      <c r="AJ471" s="34"/>
      <c r="AK471" s="34"/>
      <c r="AU471" s="34"/>
      <c r="AV471" s="34"/>
    </row>
    <row r="472" spans="31:48" x14ac:dyDescent="0.35">
      <c r="AE472" s="48">
        <f t="shared" si="42"/>
        <v>0</v>
      </c>
      <c r="AH472" s="37">
        <f t="shared" si="44"/>
        <v>0</v>
      </c>
      <c r="AJ472" s="34"/>
      <c r="AK472" s="34"/>
      <c r="AU472" s="34"/>
      <c r="AV472" s="34"/>
    </row>
    <row r="473" spans="31:48" x14ac:dyDescent="0.35">
      <c r="AE473" s="48">
        <f t="shared" si="42"/>
        <v>0</v>
      </c>
      <c r="AH473" s="37">
        <f t="shared" si="44"/>
        <v>0</v>
      </c>
      <c r="AJ473" s="34"/>
      <c r="AK473" s="34"/>
      <c r="AU473" s="34"/>
      <c r="AV473" s="34"/>
    </row>
    <row r="474" spans="31:48" x14ac:dyDescent="0.35">
      <c r="AE474" s="48">
        <f t="shared" si="42"/>
        <v>0</v>
      </c>
      <c r="AH474" s="37">
        <f t="shared" si="44"/>
        <v>0</v>
      </c>
      <c r="AJ474" s="34"/>
      <c r="AK474" s="34"/>
      <c r="AU474" s="34"/>
      <c r="AV474" s="34"/>
    </row>
    <row r="475" spans="31:48" x14ac:dyDescent="0.35">
      <c r="AE475" s="48">
        <f t="shared" si="42"/>
        <v>0</v>
      </c>
      <c r="AH475" s="37">
        <f t="shared" si="44"/>
        <v>0</v>
      </c>
      <c r="AJ475" s="34"/>
      <c r="AK475" s="34"/>
      <c r="AU475" s="34"/>
      <c r="AV475" s="34"/>
    </row>
    <row r="476" spans="31:48" x14ac:dyDescent="0.35">
      <c r="AE476" s="48">
        <f t="shared" si="42"/>
        <v>0</v>
      </c>
      <c r="AH476" s="37">
        <f t="shared" si="44"/>
        <v>0</v>
      </c>
      <c r="AJ476" s="34"/>
      <c r="AK476" s="34"/>
      <c r="AU476" s="34"/>
      <c r="AV476" s="34"/>
    </row>
    <row r="477" spans="31:48" x14ac:dyDescent="0.35">
      <c r="AE477" s="48">
        <f t="shared" si="42"/>
        <v>0</v>
      </c>
      <c r="AH477" s="37">
        <f t="shared" si="44"/>
        <v>0</v>
      </c>
      <c r="AJ477" s="34"/>
      <c r="AK477" s="34"/>
      <c r="AU477" s="34"/>
      <c r="AV477" s="34"/>
    </row>
    <row r="478" spans="31:48" x14ac:dyDescent="0.35">
      <c r="AE478" s="48">
        <f t="shared" si="42"/>
        <v>0</v>
      </c>
      <c r="AH478" s="37">
        <f t="shared" si="44"/>
        <v>0</v>
      </c>
      <c r="AJ478" s="34"/>
      <c r="AK478" s="34"/>
      <c r="AU478" s="34"/>
      <c r="AV478" s="34"/>
    </row>
    <row r="479" spans="31:48" x14ac:dyDescent="0.35">
      <c r="AE479" s="48">
        <f t="shared" si="42"/>
        <v>0</v>
      </c>
      <c r="AH479" s="37">
        <f t="shared" si="44"/>
        <v>0</v>
      </c>
      <c r="AJ479" s="34"/>
      <c r="AK479" s="34"/>
      <c r="AU479" s="34"/>
      <c r="AV479" s="34"/>
    </row>
    <row r="480" spans="31:48" x14ac:dyDescent="0.35">
      <c r="AE480" s="48">
        <f t="shared" si="42"/>
        <v>0</v>
      </c>
      <c r="AH480" s="37">
        <f t="shared" si="44"/>
        <v>0</v>
      </c>
      <c r="AJ480" s="34"/>
      <c r="AK480" s="34"/>
      <c r="AU480" s="34"/>
      <c r="AV480" s="34"/>
    </row>
    <row r="481" spans="31:48" x14ac:dyDescent="0.35">
      <c r="AE481" s="48">
        <f t="shared" si="42"/>
        <v>0</v>
      </c>
      <c r="AH481" s="37">
        <f t="shared" si="44"/>
        <v>0</v>
      </c>
      <c r="AJ481" s="34"/>
      <c r="AK481" s="34"/>
      <c r="AU481" s="34"/>
      <c r="AV481" s="34"/>
    </row>
    <row r="482" spans="31:48" x14ac:dyDescent="0.35">
      <c r="AE482" s="48">
        <f t="shared" si="42"/>
        <v>0</v>
      </c>
      <c r="AH482" s="37">
        <f t="shared" si="44"/>
        <v>0</v>
      </c>
      <c r="AJ482" s="34"/>
      <c r="AK482" s="34"/>
      <c r="AU482" s="34"/>
      <c r="AV482" s="34"/>
    </row>
    <row r="483" spans="31:48" x14ac:dyDescent="0.35">
      <c r="AE483" s="48">
        <f t="shared" si="42"/>
        <v>0</v>
      </c>
      <c r="AH483" s="37">
        <f t="shared" si="44"/>
        <v>0</v>
      </c>
      <c r="AJ483" s="34"/>
      <c r="AK483" s="34"/>
      <c r="AU483" s="34"/>
      <c r="AV483" s="34"/>
    </row>
    <row r="484" spans="31:48" x14ac:dyDescent="0.35">
      <c r="AH484" s="37">
        <f t="shared" si="44"/>
        <v>0</v>
      </c>
      <c r="AJ484" s="34"/>
      <c r="AK484" s="34"/>
      <c r="AU484" s="34"/>
      <c r="AV484" s="34"/>
    </row>
    <row r="485" spans="31:48" x14ac:dyDescent="0.35">
      <c r="AH485" s="37">
        <f t="shared" si="44"/>
        <v>0</v>
      </c>
      <c r="AJ485" s="34"/>
      <c r="AK485" s="34"/>
      <c r="AU485" s="34"/>
      <c r="AV485" s="34"/>
    </row>
    <row r="486" spans="31:48" x14ac:dyDescent="0.35">
      <c r="AH486" s="37">
        <f t="shared" si="44"/>
        <v>0</v>
      </c>
      <c r="AJ486" s="34"/>
      <c r="AK486" s="34"/>
      <c r="AU486" s="34"/>
      <c r="AV486" s="34"/>
    </row>
    <row r="487" spans="31:48" x14ac:dyDescent="0.35">
      <c r="AH487" s="37">
        <f t="shared" si="44"/>
        <v>0</v>
      </c>
      <c r="AJ487" s="34"/>
      <c r="AK487" s="34"/>
      <c r="AU487" s="34"/>
      <c r="AV487" s="34"/>
    </row>
    <row r="488" spans="31:48" x14ac:dyDescent="0.35">
      <c r="AJ488" s="34"/>
      <c r="AK488" s="34"/>
      <c r="AU488" s="34"/>
      <c r="AV488" s="34"/>
    </row>
    <row r="489" spans="31:48" x14ac:dyDescent="0.35">
      <c r="AJ489" s="34"/>
      <c r="AK489" s="34"/>
      <c r="AU489" s="34"/>
      <c r="AV489" s="34"/>
    </row>
    <row r="490" spans="31:48" x14ac:dyDescent="0.35">
      <c r="AJ490" s="34"/>
      <c r="AK490" s="34"/>
      <c r="AU490" s="34"/>
      <c r="AV490" s="34"/>
    </row>
    <row r="491" spans="31:48" x14ac:dyDescent="0.35">
      <c r="AJ491" s="34"/>
      <c r="AK491" s="34"/>
      <c r="AU491" s="34"/>
      <c r="AV491" s="34"/>
    </row>
    <row r="492" spans="31:48" x14ac:dyDescent="0.35">
      <c r="AJ492" s="34"/>
      <c r="AK492" s="34"/>
      <c r="AU492" s="34"/>
      <c r="AV492" s="34"/>
    </row>
    <row r="493" spans="31:48" x14ac:dyDescent="0.35">
      <c r="AJ493" s="34"/>
      <c r="AK493" s="34"/>
      <c r="AU493" s="34"/>
      <c r="AV493" s="34"/>
    </row>
    <row r="494" spans="31:48" x14ac:dyDescent="0.35">
      <c r="AJ494" s="34"/>
      <c r="AK494" s="34"/>
      <c r="AU494" s="34"/>
      <c r="AV494" s="34"/>
    </row>
    <row r="495" spans="31:48" x14ac:dyDescent="0.35">
      <c r="AJ495" s="34"/>
      <c r="AK495" s="34"/>
      <c r="AU495" s="34"/>
      <c r="AV495" s="34"/>
    </row>
    <row r="496" spans="31:48" x14ac:dyDescent="0.35">
      <c r="AJ496" s="34"/>
      <c r="AK496" s="34"/>
      <c r="AU496" s="34"/>
      <c r="AV496" s="34"/>
    </row>
    <row r="497" spans="36:48" x14ac:dyDescent="0.35">
      <c r="AJ497" s="34"/>
      <c r="AK497" s="34"/>
      <c r="AU497" s="34"/>
      <c r="AV497" s="34"/>
    </row>
    <row r="498" spans="36:48" x14ac:dyDescent="0.35">
      <c r="AJ498" s="34"/>
      <c r="AK498" s="34"/>
      <c r="AU498" s="34"/>
      <c r="AV498" s="34"/>
    </row>
    <row r="499" spans="36:48" x14ac:dyDescent="0.35">
      <c r="AJ499" s="34"/>
      <c r="AK499" s="34"/>
      <c r="AU499" s="34"/>
      <c r="AV499" s="34"/>
    </row>
    <row r="500" spans="36:48" x14ac:dyDescent="0.35">
      <c r="AJ500" s="34"/>
      <c r="AK500" s="34"/>
      <c r="AU500" s="34"/>
      <c r="AV500" s="34"/>
    </row>
    <row r="501" spans="36:48" x14ac:dyDescent="0.35">
      <c r="AJ501" s="34"/>
      <c r="AK501" s="34"/>
      <c r="AU501" s="34"/>
      <c r="AV501" s="34"/>
    </row>
    <row r="502" spans="36:48" x14ac:dyDescent="0.35">
      <c r="AJ502" s="34"/>
      <c r="AK502" s="34"/>
      <c r="AU502" s="34"/>
      <c r="AV502" s="34"/>
    </row>
    <row r="503" spans="36:48" x14ac:dyDescent="0.35">
      <c r="AJ503" s="34"/>
      <c r="AK503" s="34"/>
      <c r="AU503" s="34"/>
      <c r="AV503" s="34"/>
    </row>
    <row r="504" spans="36:48" x14ac:dyDescent="0.35">
      <c r="AJ504" s="34"/>
      <c r="AK504" s="34"/>
      <c r="AU504" s="34"/>
      <c r="AV504" s="34"/>
    </row>
    <row r="505" spans="36:48" x14ac:dyDescent="0.35">
      <c r="AJ505" s="34"/>
      <c r="AK505" s="34"/>
      <c r="AU505" s="34"/>
      <c r="AV505" s="34"/>
    </row>
    <row r="506" spans="36:48" x14ac:dyDescent="0.35">
      <c r="AJ506" s="34"/>
      <c r="AK506" s="34"/>
      <c r="AU506" s="34"/>
      <c r="AV506" s="34"/>
    </row>
    <row r="507" spans="36:48" x14ac:dyDescent="0.35">
      <c r="AJ507" s="34"/>
      <c r="AK507" s="34"/>
      <c r="AU507" s="34"/>
      <c r="AV507" s="34"/>
    </row>
    <row r="508" spans="36:48" x14ac:dyDescent="0.35">
      <c r="AJ508" s="34"/>
      <c r="AK508" s="34"/>
      <c r="AU508" s="34"/>
      <c r="AV508" s="34"/>
    </row>
    <row r="509" spans="36:48" x14ac:dyDescent="0.35">
      <c r="AJ509" s="34"/>
      <c r="AK509" s="34"/>
      <c r="AU509" s="34"/>
      <c r="AV509" s="34"/>
    </row>
    <row r="510" spans="36:48" x14ac:dyDescent="0.35">
      <c r="AJ510" s="34"/>
      <c r="AK510" s="34"/>
      <c r="AU510" s="34"/>
      <c r="AV510" s="34"/>
    </row>
    <row r="511" spans="36:48" x14ac:dyDescent="0.35">
      <c r="AJ511" s="34"/>
      <c r="AK511" s="34"/>
      <c r="AU511" s="34"/>
      <c r="AV511" s="34"/>
    </row>
    <row r="512" spans="36:48" x14ac:dyDescent="0.35">
      <c r="AJ512" s="34"/>
      <c r="AK512" s="34"/>
      <c r="AU512" s="34"/>
      <c r="AV512" s="34"/>
    </row>
    <row r="513" spans="36:48" x14ac:dyDescent="0.35">
      <c r="AJ513" s="34"/>
      <c r="AK513" s="34"/>
      <c r="AU513" s="34"/>
      <c r="AV513" s="34"/>
    </row>
    <row r="514" spans="36:48" x14ac:dyDescent="0.35">
      <c r="AJ514" s="34"/>
      <c r="AK514" s="34"/>
      <c r="AU514" s="34"/>
      <c r="AV514" s="34"/>
    </row>
    <row r="515" spans="36:48" x14ac:dyDescent="0.35">
      <c r="AJ515" s="34"/>
      <c r="AK515" s="34"/>
      <c r="AU515" s="34"/>
      <c r="AV515" s="34"/>
    </row>
    <row r="516" spans="36:48" x14ac:dyDescent="0.35">
      <c r="AJ516" s="34"/>
      <c r="AK516" s="34"/>
      <c r="AU516" s="34"/>
      <c r="AV516" s="34"/>
    </row>
    <row r="517" spans="36:48" x14ac:dyDescent="0.35">
      <c r="AJ517" s="34"/>
      <c r="AK517" s="34"/>
      <c r="AU517" s="34"/>
      <c r="AV517" s="34"/>
    </row>
    <row r="518" spans="36:48" x14ac:dyDescent="0.35">
      <c r="AJ518" s="34"/>
      <c r="AK518" s="34"/>
      <c r="AU518" s="34"/>
      <c r="AV518" s="34"/>
    </row>
    <row r="519" spans="36:48" x14ac:dyDescent="0.35">
      <c r="AJ519" s="34"/>
      <c r="AK519" s="34"/>
      <c r="AU519" s="34"/>
      <c r="AV519" s="34"/>
    </row>
    <row r="520" spans="36:48" x14ac:dyDescent="0.35">
      <c r="AJ520" s="34"/>
      <c r="AK520" s="34"/>
      <c r="AU520" s="34"/>
      <c r="AV520" s="34"/>
    </row>
    <row r="521" spans="36:48" x14ac:dyDescent="0.35">
      <c r="AJ521" s="34"/>
      <c r="AK521" s="34"/>
      <c r="AU521" s="34"/>
      <c r="AV521" s="34"/>
    </row>
    <row r="522" spans="36:48" x14ac:dyDescent="0.35">
      <c r="AJ522" s="34"/>
      <c r="AK522" s="34"/>
      <c r="AU522" s="34"/>
      <c r="AV522" s="34"/>
    </row>
    <row r="523" spans="36:48" x14ac:dyDescent="0.35">
      <c r="AJ523" s="34"/>
      <c r="AK523" s="34"/>
      <c r="AU523" s="34"/>
      <c r="AV523" s="34"/>
    </row>
    <row r="524" spans="36:48" x14ac:dyDescent="0.35">
      <c r="AJ524" s="34"/>
      <c r="AK524" s="34"/>
      <c r="AU524" s="34"/>
      <c r="AV524" s="34"/>
    </row>
    <row r="525" spans="36:48" x14ac:dyDescent="0.35">
      <c r="AJ525" s="34"/>
      <c r="AK525" s="34"/>
      <c r="AU525" s="34"/>
      <c r="AV525" s="34"/>
    </row>
    <row r="526" spans="36:48" x14ac:dyDescent="0.35">
      <c r="AJ526" s="34"/>
      <c r="AK526" s="34"/>
      <c r="AU526" s="34"/>
      <c r="AV526" s="34"/>
    </row>
    <row r="527" spans="36:48" x14ac:dyDescent="0.35">
      <c r="AJ527" s="34"/>
      <c r="AK527" s="34"/>
      <c r="AU527" s="34"/>
      <c r="AV527" s="34"/>
    </row>
    <row r="528" spans="36:48" x14ac:dyDescent="0.35">
      <c r="AJ528" s="34"/>
      <c r="AK528" s="34"/>
      <c r="AU528" s="34"/>
      <c r="AV528" s="34"/>
    </row>
    <row r="529" spans="36:48" x14ac:dyDescent="0.35">
      <c r="AJ529" s="34"/>
      <c r="AK529" s="34"/>
      <c r="AU529" s="34"/>
      <c r="AV529" s="34"/>
    </row>
    <row r="530" spans="36:48" x14ac:dyDescent="0.35">
      <c r="AJ530" s="34"/>
      <c r="AK530" s="34"/>
      <c r="AU530" s="34"/>
      <c r="AV530" s="34"/>
    </row>
    <row r="531" spans="36:48" x14ac:dyDescent="0.35">
      <c r="AJ531" s="34"/>
      <c r="AK531" s="34"/>
      <c r="AU531" s="34"/>
      <c r="AV531" s="34"/>
    </row>
    <row r="532" spans="36:48" x14ac:dyDescent="0.35">
      <c r="AJ532" s="34"/>
      <c r="AK532" s="34"/>
      <c r="AU532" s="34"/>
      <c r="AV532" s="34"/>
    </row>
    <row r="533" spans="36:48" x14ac:dyDescent="0.35">
      <c r="AJ533" s="34"/>
      <c r="AK533" s="34"/>
      <c r="AU533" s="34"/>
      <c r="AV533" s="34"/>
    </row>
    <row r="534" spans="36:48" x14ac:dyDescent="0.35">
      <c r="AJ534" s="34"/>
      <c r="AK534" s="34"/>
      <c r="AU534" s="34"/>
      <c r="AV534" s="34"/>
    </row>
    <row r="535" spans="36:48" x14ac:dyDescent="0.35">
      <c r="AJ535" s="34"/>
      <c r="AK535" s="34"/>
      <c r="AU535" s="34"/>
      <c r="AV535" s="34"/>
    </row>
    <row r="536" spans="36:48" x14ac:dyDescent="0.35">
      <c r="AJ536" s="34"/>
      <c r="AK536" s="34"/>
      <c r="AU536" s="34"/>
      <c r="AV536" s="34"/>
    </row>
    <row r="537" spans="36:48" x14ac:dyDescent="0.35">
      <c r="AJ537" s="34"/>
      <c r="AK537" s="34"/>
      <c r="AU537" s="34"/>
      <c r="AV537" s="34"/>
    </row>
    <row r="538" spans="36:48" x14ac:dyDescent="0.35">
      <c r="AJ538" s="34"/>
      <c r="AK538" s="34"/>
      <c r="AU538" s="34"/>
      <c r="AV538" s="34"/>
    </row>
    <row r="539" spans="36:48" x14ac:dyDescent="0.35">
      <c r="AJ539" s="34"/>
      <c r="AK539" s="34"/>
      <c r="AU539" s="34"/>
      <c r="AV539" s="34"/>
    </row>
    <row r="540" spans="36:48" x14ac:dyDescent="0.35">
      <c r="AJ540" s="34"/>
      <c r="AK540" s="34"/>
      <c r="AU540" s="34"/>
      <c r="AV540" s="34"/>
    </row>
    <row r="541" spans="36:48" x14ac:dyDescent="0.35">
      <c r="AJ541" s="34"/>
      <c r="AK541" s="34"/>
      <c r="AU541" s="34"/>
      <c r="AV541" s="34"/>
    </row>
    <row r="542" spans="36:48" x14ac:dyDescent="0.35">
      <c r="AJ542" s="34"/>
      <c r="AK542" s="34"/>
      <c r="AU542" s="34"/>
      <c r="AV542" s="34"/>
    </row>
    <row r="543" spans="36:48" x14ac:dyDescent="0.35">
      <c r="AJ543" s="34"/>
      <c r="AK543" s="34"/>
      <c r="AU543" s="34"/>
      <c r="AV543" s="34"/>
    </row>
    <row r="544" spans="36:48" x14ac:dyDescent="0.35">
      <c r="AJ544" s="34"/>
      <c r="AK544" s="34"/>
      <c r="AU544" s="34"/>
      <c r="AV544" s="34"/>
    </row>
    <row r="545" spans="36:48" x14ac:dyDescent="0.35">
      <c r="AJ545" s="34"/>
      <c r="AK545" s="34"/>
      <c r="AU545" s="34"/>
      <c r="AV545" s="34"/>
    </row>
    <row r="546" spans="36:48" x14ac:dyDescent="0.35">
      <c r="AJ546" s="34"/>
      <c r="AK546" s="34"/>
      <c r="AU546" s="34"/>
      <c r="AV546" s="34"/>
    </row>
    <row r="547" spans="36:48" x14ac:dyDescent="0.35">
      <c r="AJ547" s="34"/>
      <c r="AK547" s="34"/>
      <c r="AU547" s="34"/>
      <c r="AV547" s="34"/>
    </row>
    <row r="548" spans="36:48" x14ac:dyDescent="0.35">
      <c r="AJ548" s="34"/>
      <c r="AK548" s="34"/>
      <c r="AU548" s="34"/>
      <c r="AV548" s="34"/>
    </row>
    <row r="549" spans="36:48" x14ac:dyDescent="0.35">
      <c r="AJ549" s="34"/>
      <c r="AK549" s="34"/>
      <c r="AU549" s="34"/>
      <c r="AV549" s="34"/>
    </row>
    <row r="550" spans="36:48" x14ac:dyDescent="0.35">
      <c r="AJ550" s="34"/>
      <c r="AK550" s="34"/>
      <c r="AU550" s="34"/>
      <c r="AV550" s="34"/>
    </row>
    <row r="551" spans="36:48" x14ac:dyDescent="0.35">
      <c r="AJ551" s="34"/>
      <c r="AK551" s="34"/>
      <c r="AU551" s="34"/>
      <c r="AV551" s="34"/>
    </row>
    <row r="552" spans="36:48" x14ac:dyDescent="0.35">
      <c r="AJ552" s="34"/>
      <c r="AK552" s="34"/>
      <c r="AU552" s="34"/>
      <c r="AV552" s="34"/>
    </row>
    <row r="553" spans="36:48" x14ac:dyDescent="0.35">
      <c r="AJ553" s="34"/>
      <c r="AK553" s="34"/>
      <c r="AU553" s="34"/>
      <c r="AV553" s="34"/>
    </row>
    <row r="554" spans="36:48" x14ac:dyDescent="0.35">
      <c r="AJ554" s="34"/>
      <c r="AK554" s="34"/>
      <c r="AU554" s="34"/>
      <c r="AV554" s="34"/>
    </row>
    <row r="555" spans="36:48" x14ac:dyDescent="0.35">
      <c r="AJ555" s="34"/>
      <c r="AK555" s="34"/>
      <c r="AU555" s="34"/>
      <c r="AV555" s="34"/>
    </row>
    <row r="556" spans="36:48" x14ac:dyDescent="0.35">
      <c r="AJ556" s="34"/>
      <c r="AK556" s="34"/>
      <c r="AU556" s="34"/>
      <c r="AV556" s="34"/>
    </row>
    <row r="557" spans="36:48" x14ac:dyDescent="0.35">
      <c r="AJ557" s="34"/>
      <c r="AK557" s="34"/>
      <c r="AU557" s="34"/>
      <c r="AV557" s="34"/>
    </row>
    <row r="558" spans="36:48" x14ac:dyDescent="0.35">
      <c r="AJ558" s="34"/>
      <c r="AK558" s="34"/>
      <c r="AU558" s="34"/>
      <c r="AV558" s="34"/>
    </row>
    <row r="559" spans="36:48" x14ac:dyDescent="0.35">
      <c r="AJ559" s="34"/>
      <c r="AK559" s="34"/>
      <c r="AU559" s="34"/>
      <c r="AV559" s="34"/>
    </row>
    <row r="560" spans="36:48" x14ac:dyDescent="0.35">
      <c r="AJ560" s="34"/>
      <c r="AK560" s="34"/>
      <c r="AU560" s="34"/>
      <c r="AV560" s="34"/>
    </row>
    <row r="561" spans="36:48" x14ac:dyDescent="0.35">
      <c r="AJ561" s="34"/>
      <c r="AK561" s="34"/>
      <c r="AU561" s="34"/>
      <c r="AV561" s="34"/>
    </row>
    <row r="562" spans="36:48" x14ac:dyDescent="0.35">
      <c r="AJ562" s="34"/>
      <c r="AK562" s="34"/>
      <c r="AU562" s="34"/>
      <c r="AV562" s="34"/>
    </row>
    <row r="563" spans="36:48" x14ac:dyDescent="0.35">
      <c r="AJ563" s="34"/>
      <c r="AK563" s="34"/>
      <c r="AU563" s="34"/>
      <c r="AV563" s="34"/>
    </row>
    <row r="564" spans="36:48" x14ac:dyDescent="0.35">
      <c r="AJ564" s="34"/>
      <c r="AK564" s="34"/>
      <c r="AU564" s="34"/>
      <c r="AV564" s="34"/>
    </row>
    <row r="565" spans="36:48" x14ac:dyDescent="0.35">
      <c r="AJ565" s="34"/>
      <c r="AK565" s="34"/>
      <c r="AU565" s="34"/>
      <c r="AV565" s="34"/>
    </row>
    <row r="566" spans="36:48" x14ac:dyDescent="0.35">
      <c r="AJ566" s="34"/>
      <c r="AK566" s="34"/>
      <c r="AU566" s="34"/>
      <c r="AV566" s="34"/>
    </row>
    <row r="567" spans="36:48" x14ac:dyDescent="0.35">
      <c r="AJ567" s="34"/>
      <c r="AK567" s="34"/>
      <c r="AU567" s="34"/>
      <c r="AV567" s="34"/>
    </row>
    <row r="568" spans="36:48" x14ac:dyDescent="0.35">
      <c r="AJ568" s="34"/>
      <c r="AK568" s="34"/>
      <c r="AU568" s="34"/>
      <c r="AV568" s="34"/>
    </row>
    <row r="569" spans="36:48" x14ac:dyDescent="0.35">
      <c r="AJ569" s="34"/>
      <c r="AK569" s="34"/>
      <c r="AU569" s="34"/>
      <c r="AV569" s="34"/>
    </row>
    <row r="570" spans="36:48" x14ac:dyDescent="0.35">
      <c r="AJ570" s="34"/>
      <c r="AK570" s="34"/>
      <c r="AU570" s="34"/>
      <c r="AV570" s="34"/>
    </row>
    <row r="571" spans="36:48" x14ac:dyDescent="0.35">
      <c r="AJ571" s="34"/>
      <c r="AK571" s="34"/>
      <c r="AU571" s="34"/>
      <c r="AV571" s="34"/>
    </row>
    <row r="572" spans="36:48" x14ac:dyDescent="0.35">
      <c r="AJ572" s="34"/>
      <c r="AK572" s="34"/>
      <c r="AU572" s="34"/>
      <c r="AV572" s="34"/>
    </row>
    <row r="573" spans="36:48" x14ac:dyDescent="0.35">
      <c r="AJ573" s="34"/>
      <c r="AK573" s="34"/>
      <c r="AU573" s="34"/>
      <c r="AV573" s="34"/>
    </row>
    <row r="574" spans="36:48" x14ac:dyDescent="0.35">
      <c r="AJ574" s="34"/>
      <c r="AK574" s="34"/>
      <c r="AU574" s="34"/>
      <c r="AV574" s="34"/>
    </row>
    <row r="575" spans="36:48" x14ac:dyDescent="0.35">
      <c r="AJ575" s="34"/>
      <c r="AK575" s="34"/>
      <c r="AU575" s="34"/>
      <c r="AV575" s="34"/>
    </row>
    <row r="576" spans="36:48" x14ac:dyDescent="0.35">
      <c r="AJ576" s="34"/>
      <c r="AK576" s="34"/>
      <c r="AU576" s="34"/>
      <c r="AV576" s="34"/>
    </row>
    <row r="577" spans="36:48" x14ac:dyDescent="0.35">
      <c r="AJ577" s="34"/>
      <c r="AK577" s="34"/>
      <c r="AU577" s="34"/>
      <c r="AV577" s="34"/>
    </row>
    <row r="578" spans="36:48" x14ac:dyDescent="0.35">
      <c r="AJ578" s="34"/>
      <c r="AK578" s="34"/>
      <c r="AU578" s="34"/>
      <c r="AV578" s="34"/>
    </row>
    <row r="579" spans="36:48" x14ac:dyDescent="0.35">
      <c r="AJ579" s="34"/>
      <c r="AK579" s="34"/>
      <c r="AU579" s="34"/>
      <c r="AV579" s="34"/>
    </row>
    <row r="580" spans="36:48" x14ac:dyDescent="0.35">
      <c r="AJ580" s="34"/>
      <c r="AK580" s="34"/>
      <c r="AU580" s="34"/>
      <c r="AV580" s="34"/>
    </row>
    <row r="581" spans="36:48" x14ac:dyDescent="0.35">
      <c r="AJ581" s="34"/>
      <c r="AK581" s="34"/>
      <c r="AU581" s="34"/>
      <c r="AV581" s="34"/>
    </row>
    <row r="582" spans="36:48" x14ac:dyDescent="0.35">
      <c r="AJ582" s="34"/>
      <c r="AK582" s="34"/>
      <c r="AU582" s="34"/>
      <c r="AV582" s="34"/>
    </row>
    <row r="583" spans="36:48" x14ac:dyDescent="0.35">
      <c r="AJ583" s="34"/>
      <c r="AK583" s="34"/>
      <c r="AU583" s="34"/>
      <c r="AV583" s="34"/>
    </row>
    <row r="584" spans="36:48" x14ac:dyDescent="0.35">
      <c r="AJ584" s="34"/>
      <c r="AK584" s="34"/>
      <c r="AU584" s="34"/>
      <c r="AV584" s="34"/>
    </row>
    <row r="585" spans="36:48" x14ac:dyDescent="0.35">
      <c r="AJ585" s="34"/>
      <c r="AK585" s="34"/>
      <c r="AU585" s="34"/>
      <c r="AV585" s="34"/>
    </row>
    <row r="586" spans="36:48" x14ac:dyDescent="0.35">
      <c r="AJ586" s="34"/>
      <c r="AK586" s="34"/>
      <c r="AU586" s="34"/>
      <c r="AV586" s="34"/>
    </row>
    <row r="587" spans="36:48" x14ac:dyDescent="0.35">
      <c r="AJ587" s="34"/>
      <c r="AK587" s="34"/>
      <c r="AU587" s="34"/>
      <c r="AV587" s="34"/>
    </row>
    <row r="588" spans="36:48" x14ac:dyDescent="0.35">
      <c r="AJ588" s="34"/>
      <c r="AK588" s="34"/>
      <c r="AU588" s="34"/>
      <c r="AV588" s="34"/>
    </row>
    <row r="589" spans="36:48" x14ac:dyDescent="0.35">
      <c r="AJ589" s="34"/>
      <c r="AK589" s="34"/>
      <c r="AU589" s="34"/>
      <c r="AV589" s="34"/>
    </row>
    <row r="590" spans="36:48" x14ac:dyDescent="0.35">
      <c r="AJ590" s="34"/>
      <c r="AK590" s="34"/>
      <c r="AU590" s="34"/>
      <c r="AV590" s="34"/>
    </row>
    <row r="591" spans="36:48" x14ac:dyDescent="0.35">
      <c r="AJ591" s="34"/>
      <c r="AK591" s="34"/>
      <c r="AU591" s="34"/>
      <c r="AV591" s="34"/>
    </row>
    <row r="592" spans="36:48" x14ac:dyDescent="0.35">
      <c r="AJ592" s="34"/>
      <c r="AK592" s="34"/>
      <c r="AU592" s="34"/>
      <c r="AV592" s="34"/>
    </row>
    <row r="593" spans="36:48" x14ac:dyDescent="0.35">
      <c r="AJ593" s="34"/>
      <c r="AK593" s="34"/>
      <c r="AU593" s="34"/>
      <c r="AV593" s="34"/>
    </row>
    <row r="594" spans="36:48" x14ac:dyDescent="0.35">
      <c r="AJ594" s="34"/>
      <c r="AK594" s="34"/>
      <c r="AU594" s="34"/>
      <c r="AV594" s="34"/>
    </row>
    <row r="595" spans="36:48" x14ac:dyDescent="0.35">
      <c r="AJ595" s="34"/>
      <c r="AK595" s="34"/>
      <c r="AU595" s="34"/>
      <c r="AV595" s="34"/>
    </row>
    <row r="596" spans="36:48" x14ac:dyDescent="0.35">
      <c r="AJ596" s="34"/>
      <c r="AK596" s="34"/>
      <c r="AU596" s="34"/>
      <c r="AV596" s="34"/>
    </row>
    <row r="597" spans="36:48" x14ac:dyDescent="0.35">
      <c r="AJ597" s="34"/>
      <c r="AK597" s="34"/>
      <c r="AU597" s="34"/>
      <c r="AV597" s="34"/>
    </row>
    <row r="598" spans="36:48" x14ac:dyDescent="0.35">
      <c r="AJ598" s="34"/>
      <c r="AK598" s="34"/>
      <c r="AU598" s="34"/>
      <c r="AV598" s="34"/>
    </row>
    <row r="599" spans="36:48" x14ac:dyDescent="0.35">
      <c r="AJ599" s="34"/>
      <c r="AK599" s="34"/>
      <c r="AU599" s="34"/>
      <c r="AV599" s="34"/>
    </row>
    <row r="600" spans="36:48" x14ac:dyDescent="0.35">
      <c r="AJ600" s="34"/>
      <c r="AK600" s="34"/>
      <c r="AU600" s="34"/>
      <c r="AV600" s="34"/>
    </row>
    <row r="601" spans="36:48" x14ac:dyDescent="0.35">
      <c r="AJ601" s="34"/>
      <c r="AK601" s="34"/>
      <c r="AU601" s="34"/>
      <c r="AV601" s="34"/>
    </row>
    <row r="602" spans="36:48" x14ac:dyDescent="0.35">
      <c r="AJ602" s="34"/>
      <c r="AK602" s="34"/>
      <c r="AU602" s="34"/>
      <c r="AV602" s="34"/>
    </row>
    <row r="603" spans="36:48" x14ac:dyDescent="0.35">
      <c r="AJ603" s="34"/>
      <c r="AK603" s="34"/>
      <c r="AU603" s="34"/>
      <c r="AV603" s="34"/>
    </row>
    <row r="604" spans="36:48" x14ac:dyDescent="0.35">
      <c r="AJ604" s="34"/>
      <c r="AK604" s="34"/>
      <c r="AU604" s="34"/>
      <c r="AV604" s="34"/>
    </row>
    <row r="605" spans="36:48" x14ac:dyDescent="0.35">
      <c r="AJ605" s="34"/>
      <c r="AK605" s="34"/>
      <c r="AU605" s="34"/>
      <c r="AV605" s="34"/>
    </row>
    <row r="606" spans="36:48" x14ac:dyDescent="0.35">
      <c r="AJ606" s="34"/>
      <c r="AK606" s="34"/>
      <c r="AU606" s="34"/>
      <c r="AV606" s="34"/>
    </row>
    <row r="607" spans="36:48" x14ac:dyDescent="0.35">
      <c r="AJ607" s="34"/>
      <c r="AK607" s="34"/>
      <c r="AU607" s="34"/>
      <c r="AV607" s="34"/>
    </row>
    <row r="608" spans="36:48" x14ac:dyDescent="0.35">
      <c r="AJ608" s="34"/>
      <c r="AK608" s="34"/>
      <c r="AU608" s="34"/>
      <c r="AV608" s="34"/>
    </row>
    <row r="609" spans="36:48" x14ac:dyDescent="0.35">
      <c r="AJ609" s="34"/>
      <c r="AK609" s="34"/>
      <c r="AU609" s="34"/>
      <c r="AV609" s="34"/>
    </row>
    <row r="610" spans="36:48" x14ac:dyDescent="0.35">
      <c r="AJ610" s="34"/>
      <c r="AK610" s="34"/>
      <c r="AU610" s="34"/>
      <c r="AV610" s="34"/>
    </row>
    <row r="611" spans="36:48" x14ac:dyDescent="0.35">
      <c r="AJ611" s="34"/>
      <c r="AK611" s="34"/>
      <c r="AU611" s="34"/>
      <c r="AV611" s="34"/>
    </row>
    <row r="612" spans="36:48" x14ac:dyDescent="0.35">
      <c r="AJ612" s="34"/>
      <c r="AK612" s="34"/>
      <c r="AU612" s="34"/>
      <c r="AV612" s="34"/>
    </row>
    <row r="613" spans="36:48" x14ac:dyDescent="0.35">
      <c r="AJ613" s="34"/>
      <c r="AK613" s="34"/>
      <c r="AU613" s="34"/>
      <c r="AV613" s="34"/>
    </row>
    <row r="614" spans="36:48" x14ac:dyDescent="0.35">
      <c r="AJ614" s="34"/>
      <c r="AK614" s="34"/>
      <c r="AU614" s="34"/>
      <c r="AV614" s="34"/>
    </row>
    <row r="615" spans="36:48" x14ac:dyDescent="0.35">
      <c r="AJ615" s="34"/>
      <c r="AK615" s="34"/>
      <c r="AU615" s="34"/>
      <c r="AV615" s="34"/>
    </row>
    <row r="616" spans="36:48" x14ac:dyDescent="0.35">
      <c r="AJ616" s="34"/>
      <c r="AK616" s="34"/>
      <c r="AU616" s="34"/>
      <c r="AV616" s="34"/>
    </row>
    <row r="617" spans="36:48" x14ac:dyDescent="0.35">
      <c r="AJ617" s="34"/>
      <c r="AK617" s="34"/>
      <c r="AU617" s="34"/>
      <c r="AV617" s="34"/>
    </row>
    <row r="618" spans="36:48" x14ac:dyDescent="0.35">
      <c r="AJ618" s="34"/>
      <c r="AK618" s="34"/>
      <c r="AU618" s="34"/>
      <c r="AV618" s="34"/>
    </row>
    <row r="619" spans="36:48" x14ac:dyDescent="0.35">
      <c r="AJ619" s="34"/>
      <c r="AK619" s="34"/>
      <c r="AU619" s="34"/>
      <c r="AV619" s="34"/>
    </row>
    <row r="620" spans="36:48" x14ac:dyDescent="0.35">
      <c r="AJ620" s="34"/>
      <c r="AK620" s="34"/>
      <c r="AU620" s="34"/>
      <c r="AV620" s="34"/>
    </row>
    <row r="621" spans="36:48" x14ac:dyDescent="0.35">
      <c r="AJ621" s="34"/>
      <c r="AK621" s="34"/>
      <c r="AU621" s="34"/>
      <c r="AV621" s="34"/>
    </row>
    <row r="622" spans="36:48" x14ac:dyDescent="0.35">
      <c r="AJ622" s="34"/>
      <c r="AK622" s="34"/>
      <c r="AU622" s="34"/>
      <c r="AV622" s="34"/>
    </row>
    <row r="623" spans="36:48" x14ac:dyDescent="0.35">
      <c r="AJ623" s="34"/>
      <c r="AK623" s="34"/>
      <c r="AU623" s="34"/>
      <c r="AV623" s="34"/>
    </row>
    <row r="624" spans="36:48" x14ac:dyDescent="0.35">
      <c r="AJ624" s="34"/>
      <c r="AK624" s="34"/>
      <c r="AU624" s="34"/>
      <c r="AV624" s="34"/>
    </row>
    <row r="625" spans="36:48" x14ac:dyDescent="0.35">
      <c r="AJ625" s="34"/>
      <c r="AK625" s="34"/>
      <c r="AU625" s="34"/>
      <c r="AV625" s="34"/>
    </row>
    <row r="626" spans="36:48" x14ac:dyDescent="0.35">
      <c r="AJ626" s="34"/>
      <c r="AK626" s="34"/>
      <c r="AU626" s="34"/>
      <c r="AV626" s="34"/>
    </row>
    <row r="627" spans="36:48" x14ac:dyDescent="0.35">
      <c r="AJ627" s="34"/>
      <c r="AK627" s="34"/>
      <c r="AU627" s="34"/>
      <c r="AV627" s="34"/>
    </row>
    <row r="628" spans="36:48" x14ac:dyDescent="0.35">
      <c r="AJ628" s="34"/>
      <c r="AK628" s="34"/>
      <c r="AU628" s="34"/>
      <c r="AV628" s="34"/>
    </row>
    <row r="629" spans="36:48" x14ac:dyDescent="0.35">
      <c r="AJ629" s="34"/>
      <c r="AK629" s="34"/>
      <c r="AU629" s="34"/>
      <c r="AV629" s="34"/>
    </row>
    <row r="630" spans="36:48" x14ac:dyDescent="0.35">
      <c r="AJ630" s="34"/>
      <c r="AK630" s="34"/>
      <c r="AU630" s="34"/>
      <c r="AV630" s="34"/>
    </row>
    <row r="631" spans="36:48" x14ac:dyDescent="0.35">
      <c r="AJ631" s="34"/>
      <c r="AK631" s="34"/>
      <c r="AU631" s="34"/>
      <c r="AV631" s="34"/>
    </row>
    <row r="632" spans="36:48" x14ac:dyDescent="0.35">
      <c r="AJ632" s="34"/>
      <c r="AK632" s="34"/>
      <c r="AU632" s="34"/>
      <c r="AV632" s="34"/>
    </row>
    <row r="633" spans="36:48" x14ac:dyDescent="0.35">
      <c r="AJ633" s="34"/>
      <c r="AK633" s="34"/>
      <c r="AU633" s="34"/>
      <c r="AV633" s="34"/>
    </row>
    <row r="634" spans="36:48" x14ac:dyDescent="0.35">
      <c r="AJ634" s="34"/>
      <c r="AK634" s="34"/>
      <c r="AU634" s="34"/>
      <c r="AV634" s="34"/>
    </row>
    <row r="635" spans="36:48" x14ac:dyDescent="0.35">
      <c r="AJ635" s="34"/>
      <c r="AK635" s="34"/>
      <c r="AU635" s="34"/>
      <c r="AV635" s="34"/>
    </row>
    <row r="636" spans="36:48" x14ac:dyDescent="0.35">
      <c r="AJ636" s="34"/>
      <c r="AK636" s="34"/>
      <c r="AU636" s="34"/>
      <c r="AV636" s="34"/>
    </row>
    <row r="637" spans="36:48" x14ac:dyDescent="0.35">
      <c r="AJ637" s="34"/>
      <c r="AK637" s="34"/>
      <c r="AU637" s="34"/>
      <c r="AV637" s="34"/>
    </row>
    <row r="638" spans="36:48" x14ac:dyDescent="0.35">
      <c r="AJ638" s="34"/>
      <c r="AK638" s="34"/>
      <c r="AU638" s="34"/>
      <c r="AV638" s="34"/>
    </row>
    <row r="639" spans="36:48" x14ac:dyDescent="0.35">
      <c r="AJ639" s="34"/>
      <c r="AK639" s="34"/>
      <c r="AU639" s="34"/>
      <c r="AV639" s="34"/>
    </row>
    <row r="640" spans="36:48" x14ac:dyDescent="0.35">
      <c r="AJ640" s="34"/>
      <c r="AK640" s="34"/>
      <c r="AU640" s="34"/>
      <c r="AV640" s="34"/>
    </row>
    <row r="641" spans="36:48" x14ac:dyDescent="0.35">
      <c r="AJ641" s="34"/>
      <c r="AK641" s="34"/>
      <c r="AU641" s="34"/>
      <c r="AV641" s="34"/>
    </row>
    <row r="642" spans="36:48" x14ac:dyDescent="0.35">
      <c r="AJ642" s="34"/>
      <c r="AK642" s="34"/>
      <c r="AU642" s="34"/>
      <c r="AV642" s="34"/>
    </row>
    <row r="643" spans="36:48" x14ac:dyDescent="0.35">
      <c r="AJ643" s="34"/>
      <c r="AK643" s="34"/>
      <c r="AU643" s="34"/>
      <c r="AV643" s="34"/>
    </row>
    <row r="644" spans="36:48" x14ac:dyDescent="0.35">
      <c r="AJ644" s="34"/>
      <c r="AK644" s="34"/>
      <c r="AU644" s="34"/>
      <c r="AV644" s="34"/>
    </row>
    <row r="645" spans="36:48" x14ac:dyDescent="0.35">
      <c r="AJ645" s="34"/>
      <c r="AK645" s="34"/>
      <c r="AU645" s="34"/>
      <c r="AV645" s="34"/>
    </row>
    <row r="646" spans="36:48" x14ac:dyDescent="0.35">
      <c r="AJ646" s="34"/>
      <c r="AK646" s="34"/>
      <c r="AU646" s="34"/>
      <c r="AV646" s="34"/>
    </row>
    <row r="647" spans="36:48" x14ac:dyDescent="0.35">
      <c r="AJ647" s="34"/>
      <c r="AK647" s="34"/>
      <c r="AU647" s="34"/>
      <c r="AV647" s="34"/>
    </row>
    <row r="648" spans="36:48" x14ac:dyDescent="0.35">
      <c r="AJ648" s="34"/>
      <c r="AK648" s="34"/>
      <c r="AU648" s="34"/>
      <c r="AV648" s="34"/>
    </row>
    <row r="649" spans="36:48" x14ac:dyDescent="0.35">
      <c r="AJ649" s="34"/>
      <c r="AK649" s="34"/>
      <c r="AU649" s="34"/>
      <c r="AV649" s="34"/>
    </row>
    <row r="650" spans="36:48" x14ac:dyDescent="0.35">
      <c r="AJ650" s="34"/>
      <c r="AK650" s="34"/>
      <c r="AU650" s="34"/>
      <c r="AV650" s="34"/>
    </row>
    <row r="651" spans="36:48" x14ac:dyDescent="0.35">
      <c r="AJ651" s="34"/>
      <c r="AK651" s="34"/>
      <c r="AU651" s="34"/>
      <c r="AV651" s="34"/>
    </row>
    <row r="652" spans="36:48" x14ac:dyDescent="0.35">
      <c r="AJ652" s="34"/>
      <c r="AK652" s="34"/>
      <c r="AU652" s="34"/>
      <c r="AV652" s="34"/>
    </row>
    <row r="653" spans="36:48" x14ac:dyDescent="0.35">
      <c r="AJ653" s="34"/>
      <c r="AK653" s="34"/>
      <c r="AU653" s="34"/>
      <c r="AV653" s="34"/>
    </row>
    <row r="654" spans="36:48" x14ac:dyDescent="0.35">
      <c r="AJ654" s="34"/>
      <c r="AK654" s="34"/>
      <c r="AU654" s="34"/>
      <c r="AV654" s="34"/>
    </row>
    <row r="655" spans="36:48" x14ac:dyDescent="0.35">
      <c r="AJ655" s="34"/>
      <c r="AK655" s="34"/>
      <c r="AU655" s="34"/>
      <c r="AV655" s="34"/>
    </row>
    <row r="656" spans="36:48" x14ac:dyDescent="0.35">
      <c r="AJ656" s="34"/>
      <c r="AK656" s="34"/>
      <c r="AU656" s="34"/>
      <c r="AV656" s="34"/>
    </row>
    <row r="657" spans="36:48" x14ac:dyDescent="0.35">
      <c r="AJ657" s="34"/>
      <c r="AK657" s="34"/>
      <c r="AU657" s="34"/>
      <c r="AV657" s="34"/>
    </row>
    <row r="658" spans="36:48" x14ac:dyDescent="0.35">
      <c r="AJ658" s="34"/>
      <c r="AK658" s="34"/>
      <c r="AU658" s="34"/>
      <c r="AV658" s="34"/>
    </row>
    <row r="659" spans="36:48" x14ac:dyDescent="0.35">
      <c r="AJ659" s="34"/>
      <c r="AK659" s="34"/>
      <c r="AU659" s="34"/>
      <c r="AV659" s="34"/>
    </row>
    <row r="660" spans="36:48" x14ac:dyDescent="0.35">
      <c r="AJ660" s="34"/>
      <c r="AK660" s="34"/>
      <c r="AU660" s="34"/>
      <c r="AV660" s="34"/>
    </row>
    <row r="661" spans="36:48" x14ac:dyDescent="0.35">
      <c r="AJ661" s="34"/>
      <c r="AK661" s="34"/>
      <c r="AU661" s="34"/>
      <c r="AV661" s="34"/>
    </row>
    <row r="662" spans="36:48" x14ac:dyDescent="0.35">
      <c r="AJ662" s="34"/>
      <c r="AK662" s="34"/>
      <c r="AU662" s="34"/>
      <c r="AV662" s="34"/>
    </row>
    <row r="663" spans="36:48" x14ac:dyDescent="0.35">
      <c r="AJ663" s="34"/>
      <c r="AK663" s="34"/>
      <c r="AU663" s="34"/>
      <c r="AV663" s="34"/>
    </row>
    <row r="664" spans="36:48" x14ac:dyDescent="0.35">
      <c r="AJ664" s="34"/>
      <c r="AK664" s="34"/>
      <c r="AU664" s="34"/>
      <c r="AV664" s="34"/>
    </row>
    <row r="665" spans="36:48" x14ac:dyDescent="0.35">
      <c r="AJ665" s="34"/>
      <c r="AK665" s="34"/>
      <c r="AU665" s="34"/>
      <c r="AV665" s="34"/>
    </row>
    <row r="666" spans="36:48" x14ac:dyDescent="0.35">
      <c r="AJ666" s="34"/>
      <c r="AK666" s="34"/>
      <c r="AU666" s="34"/>
      <c r="AV666" s="34"/>
    </row>
    <row r="667" spans="36:48" x14ac:dyDescent="0.35">
      <c r="AJ667" s="34"/>
      <c r="AK667" s="34"/>
      <c r="AU667" s="34"/>
      <c r="AV667" s="34"/>
    </row>
    <row r="668" spans="36:48" x14ac:dyDescent="0.35">
      <c r="AJ668" s="34"/>
      <c r="AK668" s="34"/>
      <c r="AU668" s="34"/>
      <c r="AV668" s="34"/>
    </row>
    <row r="669" spans="36:48" x14ac:dyDescent="0.35">
      <c r="AJ669" s="34"/>
      <c r="AK669" s="34"/>
      <c r="AU669" s="34"/>
      <c r="AV669" s="34"/>
    </row>
    <row r="670" spans="36:48" x14ac:dyDescent="0.35">
      <c r="AJ670" s="34"/>
      <c r="AK670" s="34"/>
      <c r="AU670" s="34"/>
      <c r="AV670" s="34"/>
    </row>
    <row r="671" spans="36:48" x14ac:dyDescent="0.35">
      <c r="AJ671" s="34"/>
      <c r="AK671" s="34"/>
      <c r="AU671" s="34"/>
      <c r="AV671" s="34"/>
    </row>
    <row r="672" spans="36:48" x14ac:dyDescent="0.35">
      <c r="AJ672" s="34"/>
      <c r="AK672" s="34"/>
      <c r="AU672" s="34"/>
      <c r="AV672" s="34"/>
    </row>
    <row r="673" spans="36:48" x14ac:dyDescent="0.35">
      <c r="AJ673" s="34"/>
      <c r="AK673" s="34"/>
      <c r="AU673" s="34"/>
      <c r="AV673" s="34"/>
    </row>
    <row r="674" spans="36:48" x14ac:dyDescent="0.35">
      <c r="AJ674" s="34"/>
      <c r="AK674" s="34"/>
      <c r="AU674" s="34"/>
      <c r="AV674" s="34"/>
    </row>
    <row r="675" spans="36:48" x14ac:dyDescent="0.35">
      <c r="AJ675" s="34"/>
      <c r="AK675" s="34"/>
      <c r="AU675" s="34"/>
      <c r="AV675" s="34"/>
    </row>
    <row r="676" spans="36:48" x14ac:dyDescent="0.35">
      <c r="AJ676" s="34"/>
      <c r="AK676" s="34"/>
      <c r="AU676" s="34"/>
      <c r="AV676" s="34"/>
    </row>
    <row r="677" spans="36:48" x14ac:dyDescent="0.35">
      <c r="AJ677" s="34"/>
      <c r="AK677" s="34"/>
      <c r="AU677" s="34"/>
      <c r="AV677" s="34"/>
    </row>
    <row r="678" spans="36:48" x14ac:dyDescent="0.35">
      <c r="AJ678" s="34"/>
      <c r="AK678" s="34"/>
      <c r="AU678" s="34"/>
      <c r="AV678" s="34"/>
    </row>
    <row r="679" spans="36:48" x14ac:dyDescent="0.35">
      <c r="AJ679" s="34"/>
      <c r="AK679" s="34"/>
      <c r="AU679" s="34"/>
      <c r="AV679" s="34"/>
    </row>
    <row r="680" spans="36:48" x14ac:dyDescent="0.35">
      <c r="AJ680" s="34"/>
      <c r="AK680" s="34"/>
      <c r="AU680" s="34"/>
      <c r="AV680" s="34"/>
    </row>
    <row r="681" spans="36:48" x14ac:dyDescent="0.35">
      <c r="AJ681" s="34"/>
      <c r="AK681" s="34"/>
      <c r="AU681" s="34"/>
      <c r="AV681" s="34"/>
    </row>
    <row r="682" spans="36:48" x14ac:dyDescent="0.35">
      <c r="AJ682" s="34"/>
      <c r="AK682" s="34"/>
      <c r="AU682" s="34"/>
      <c r="AV682" s="34"/>
    </row>
    <row r="683" spans="36:48" x14ac:dyDescent="0.35">
      <c r="AJ683" s="34"/>
      <c r="AK683" s="34"/>
      <c r="AU683" s="34"/>
      <c r="AV683" s="34"/>
    </row>
    <row r="684" spans="36:48" x14ac:dyDescent="0.35">
      <c r="AJ684" s="34"/>
      <c r="AK684" s="34"/>
      <c r="AU684" s="34"/>
      <c r="AV684" s="34"/>
    </row>
    <row r="685" spans="36:48" x14ac:dyDescent="0.35">
      <c r="AJ685" s="34"/>
      <c r="AK685" s="34"/>
      <c r="AU685" s="34"/>
      <c r="AV685" s="34"/>
    </row>
    <row r="686" spans="36:48" x14ac:dyDescent="0.35">
      <c r="AJ686" s="34"/>
      <c r="AK686" s="34"/>
      <c r="AU686" s="34"/>
      <c r="AV686" s="34"/>
    </row>
    <row r="687" spans="36:48" x14ac:dyDescent="0.35">
      <c r="AJ687" s="34"/>
      <c r="AK687" s="34"/>
      <c r="AU687" s="34"/>
      <c r="AV687" s="34"/>
    </row>
    <row r="688" spans="36:48" x14ac:dyDescent="0.35">
      <c r="AJ688" s="34"/>
      <c r="AK688" s="34"/>
      <c r="AU688" s="34"/>
      <c r="AV688" s="34"/>
    </row>
    <row r="689" spans="36:48" x14ac:dyDescent="0.35">
      <c r="AJ689" s="34"/>
      <c r="AK689" s="34"/>
      <c r="AU689" s="34"/>
      <c r="AV689" s="34"/>
    </row>
    <row r="690" spans="36:48" x14ac:dyDescent="0.35">
      <c r="AJ690" s="34"/>
      <c r="AK690" s="34"/>
      <c r="AU690" s="34"/>
      <c r="AV690" s="34"/>
    </row>
    <row r="691" spans="36:48" x14ac:dyDescent="0.35">
      <c r="AJ691" s="34"/>
      <c r="AK691" s="34"/>
      <c r="AU691" s="34"/>
      <c r="AV691" s="34"/>
    </row>
    <row r="692" spans="36:48" x14ac:dyDescent="0.35">
      <c r="AJ692" s="34"/>
      <c r="AK692" s="34"/>
      <c r="AU692" s="34"/>
      <c r="AV692" s="34"/>
    </row>
    <row r="693" spans="36:48" x14ac:dyDescent="0.35">
      <c r="AJ693" s="34"/>
      <c r="AK693" s="34"/>
      <c r="AU693" s="34"/>
      <c r="AV693" s="34"/>
    </row>
    <row r="694" spans="36:48" x14ac:dyDescent="0.35">
      <c r="AJ694" s="34"/>
      <c r="AK694" s="34"/>
      <c r="AU694" s="34"/>
      <c r="AV694" s="34"/>
    </row>
    <row r="695" spans="36:48" x14ac:dyDescent="0.35">
      <c r="AJ695" s="34"/>
      <c r="AK695" s="34"/>
      <c r="AU695" s="34"/>
      <c r="AV695" s="34"/>
    </row>
    <row r="696" spans="36:48" x14ac:dyDescent="0.35">
      <c r="AJ696" s="34"/>
      <c r="AK696" s="34"/>
      <c r="AU696" s="34"/>
      <c r="AV696" s="34"/>
    </row>
    <row r="697" spans="36:48" x14ac:dyDescent="0.35">
      <c r="AJ697" s="34"/>
      <c r="AK697" s="34"/>
      <c r="AU697" s="34"/>
      <c r="AV697" s="34"/>
    </row>
    <row r="698" spans="36:48" x14ac:dyDescent="0.35">
      <c r="AJ698" s="34"/>
      <c r="AK698" s="34"/>
      <c r="AU698" s="34"/>
      <c r="AV698" s="34"/>
    </row>
    <row r="699" spans="36:48" x14ac:dyDescent="0.35">
      <c r="AJ699" s="34"/>
      <c r="AK699" s="34"/>
      <c r="AU699" s="34"/>
      <c r="AV699" s="34"/>
    </row>
    <row r="700" spans="36:48" x14ac:dyDescent="0.35">
      <c r="AJ700" s="34"/>
      <c r="AK700" s="34"/>
      <c r="AU700" s="34"/>
      <c r="AV700" s="34"/>
    </row>
    <row r="701" spans="36:48" x14ac:dyDescent="0.35">
      <c r="AJ701" s="34"/>
      <c r="AK701" s="34"/>
      <c r="AU701" s="34"/>
      <c r="AV701" s="34"/>
    </row>
    <row r="702" spans="36:48" x14ac:dyDescent="0.35">
      <c r="AJ702" s="34"/>
      <c r="AK702" s="34"/>
      <c r="AU702" s="34"/>
      <c r="AV702" s="34"/>
    </row>
    <row r="703" spans="36:48" x14ac:dyDescent="0.35">
      <c r="AJ703" s="34"/>
      <c r="AK703" s="34"/>
      <c r="AU703" s="34"/>
      <c r="AV703" s="34"/>
    </row>
    <row r="704" spans="36:48" x14ac:dyDescent="0.35">
      <c r="AJ704" s="34"/>
      <c r="AK704" s="34"/>
      <c r="AU704" s="34"/>
      <c r="AV704" s="34"/>
    </row>
    <row r="705" spans="36:48" x14ac:dyDescent="0.35">
      <c r="AJ705" s="34"/>
      <c r="AK705" s="34"/>
      <c r="AU705" s="34"/>
      <c r="AV705" s="34"/>
    </row>
    <row r="706" spans="36:48" x14ac:dyDescent="0.35">
      <c r="AJ706" s="34"/>
      <c r="AK706" s="34"/>
      <c r="AU706" s="34"/>
      <c r="AV706" s="34"/>
    </row>
    <row r="707" spans="36:48" x14ac:dyDescent="0.35">
      <c r="AJ707" s="34"/>
      <c r="AK707" s="34"/>
      <c r="AU707" s="34"/>
      <c r="AV707" s="34"/>
    </row>
    <row r="708" spans="36:48" x14ac:dyDescent="0.35">
      <c r="AJ708" s="34"/>
      <c r="AK708" s="34"/>
      <c r="AU708" s="34"/>
      <c r="AV708" s="34"/>
    </row>
    <row r="709" spans="36:48" x14ac:dyDescent="0.35">
      <c r="AJ709" s="34"/>
      <c r="AK709" s="34"/>
      <c r="AU709" s="34"/>
      <c r="AV709" s="34"/>
    </row>
    <row r="710" spans="36:48" x14ac:dyDescent="0.35">
      <c r="AJ710" s="34"/>
      <c r="AK710" s="34"/>
      <c r="AU710" s="34"/>
      <c r="AV710" s="34"/>
    </row>
    <row r="711" spans="36:48" x14ac:dyDescent="0.35">
      <c r="AJ711" s="34"/>
      <c r="AK711" s="34"/>
      <c r="AU711" s="34"/>
      <c r="AV711" s="34"/>
    </row>
    <row r="712" spans="36:48" x14ac:dyDescent="0.35">
      <c r="AJ712" s="34"/>
      <c r="AK712" s="34"/>
      <c r="AU712" s="34"/>
      <c r="AV712" s="34"/>
    </row>
    <row r="713" spans="36:48" x14ac:dyDescent="0.35">
      <c r="AJ713" s="34"/>
      <c r="AK713" s="34"/>
      <c r="AU713" s="34"/>
      <c r="AV713" s="34"/>
    </row>
    <row r="714" spans="36:48" x14ac:dyDescent="0.35">
      <c r="AJ714" s="34"/>
      <c r="AK714" s="34"/>
      <c r="AU714" s="34"/>
      <c r="AV714" s="34"/>
    </row>
    <row r="715" spans="36:48" x14ac:dyDescent="0.35">
      <c r="AJ715" s="34"/>
      <c r="AK715" s="34"/>
      <c r="AU715" s="34"/>
      <c r="AV715" s="34"/>
    </row>
    <row r="716" spans="36:48" x14ac:dyDescent="0.35">
      <c r="AJ716" s="34"/>
      <c r="AK716" s="34"/>
      <c r="AU716" s="34"/>
      <c r="AV716" s="34"/>
    </row>
    <row r="717" spans="36:48" x14ac:dyDescent="0.35">
      <c r="AJ717" s="34"/>
      <c r="AK717" s="34"/>
      <c r="AU717" s="34"/>
      <c r="AV717" s="34"/>
    </row>
    <row r="718" spans="36:48" x14ac:dyDescent="0.35">
      <c r="AJ718" s="34"/>
      <c r="AK718" s="34"/>
      <c r="AU718" s="34"/>
      <c r="AV718" s="34"/>
    </row>
    <row r="719" spans="36:48" x14ac:dyDescent="0.35">
      <c r="AJ719" s="34"/>
      <c r="AK719" s="34"/>
      <c r="AU719" s="34"/>
      <c r="AV719" s="34"/>
    </row>
    <row r="720" spans="36:48" x14ac:dyDescent="0.35">
      <c r="AJ720" s="34"/>
      <c r="AK720" s="34"/>
      <c r="AU720" s="34"/>
      <c r="AV720" s="34"/>
    </row>
    <row r="721" spans="36:48" x14ac:dyDescent="0.35">
      <c r="AJ721" s="34"/>
      <c r="AK721" s="34"/>
      <c r="AU721" s="34"/>
      <c r="AV721" s="34"/>
    </row>
    <row r="722" spans="36:48" x14ac:dyDescent="0.35">
      <c r="AJ722" s="34"/>
      <c r="AK722" s="34"/>
      <c r="AU722" s="34"/>
      <c r="AV722" s="34"/>
    </row>
    <row r="723" spans="36:48" x14ac:dyDescent="0.35">
      <c r="AJ723" s="34"/>
      <c r="AK723" s="34"/>
      <c r="AU723" s="34"/>
      <c r="AV723" s="34"/>
    </row>
    <row r="724" spans="36:48" x14ac:dyDescent="0.35">
      <c r="AJ724" s="34"/>
      <c r="AK724" s="34"/>
      <c r="AU724" s="34"/>
      <c r="AV724" s="34"/>
    </row>
    <row r="725" spans="36:48" x14ac:dyDescent="0.35">
      <c r="AJ725" s="34"/>
      <c r="AK725" s="34"/>
      <c r="AU725" s="34"/>
      <c r="AV725" s="34"/>
    </row>
    <row r="726" spans="36:48" x14ac:dyDescent="0.35">
      <c r="AJ726" s="34"/>
      <c r="AK726" s="34"/>
      <c r="AU726" s="34"/>
      <c r="AV726" s="34"/>
    </row>
    <row r="727" spans="36:48" x14ac:dyDescent="0.35">
      <c r="AJ727" s="34"/>
      <c r="AK727" s="34"/>
      <c r="AU727" s="34"/>
      <c r="AV727" s="34"/>
    </row>
    <row r="728" spans="36:48" x14ac:dyDescent="0.35">
      <c r="AJ728" s="34"/>
      <c r="AK728" s="34"/>
      <c r="AU728" s="34"/>
      <c r="AV728" s="34"/>
    </row>
    <row r="729" spans="36:48" x14ac:dyDescent="0.35">
      <c r="AJ729" s="34"/>
      <c r="AK729" s="34"/>
      <c r="AU729" s="34"/>
      <c r="AV729" s="34"/>
    </row>
    <row r="730" spans="36:48" x14ac:dyDescent="0.35">
      <c r="AJ730" s="34"/>
      <c r="AK730" s="34"/>
      <c r="AU730" s="34"/>
      <c r="AV730" s="34"/>
    </row>
    <row r="731" spans="36:48" x14ac:dyDescent="0.35">
      <c r="AJ731" s="34"/>
      <c r="AK731" s="34"/>
      <c r="AU731" s="34"/>
      <c r="AV731" s="34"/>
    </row>
    <row r="732" spans="36:48" x14ac:dyDescent="0.35">
      <c r="AJ732" s="34"/>
      <c r="AK732" s="34"/>
      <c r="AU732" s="34"/>
      <c r="AV732" s="34"/>
    </row>
    <row r="733" spans="36:48" x14ac:dyDescent="0.35">
      <c r="AJ733" s="34"/>
      <c r="AK733" s="34"/>
      <c r="AU733" s="34"/>
      <c r="AV733" s="34"/>
    </row>
    <row r="734" spans="36:48" x14ac:dyDescent="0.35">
      <c r="AJ734" s="34"/>
      <c r="AK734" s="34"/>
      <c r="AU734" s="34"/>
      <c r="AV734" s="34"/>
    </row>
    <row r="735" spans="36:48" x14ac:dyDescent="0.35">
      <c r="AJ735" s="34"/>
      <c r="AK735" s="34"/>
      <c r="AU735" s="34"/>
      <c r="AV735" s="34"/>
    </row>
    <row r="736" spans="36:48" x14ac:dyDescent="0.35">
      <c r="AJ736" s="34"/>
      <c r="AK736" s="34"/>
      <c r="AU736" s="34"/>
      <c r="AV736" s="34"/>
    </row>
    <row r="737" spans="36:48" x14ac:dyDescent="0.35">
      <c r="AJ737" s="34"/>
      <c r="AK737" s="34"/>
      <c r="AU737" s="34"/>
      <c r="AV737" s="34"/>
    </row>
    <row r="738" spans="36:48" x14ac:dyDescent="0.35">
      <c r="AJ738" s="34"/>
      <c r="AK738" s="34"/>
      <c r="AU738" s="34"/>
      <c r="AV738" s="34"/>
    </row>
    <row r="739" spans="36:48" x14ac:dyDescent="0.35">
      <c r="AJ739" s="34"/>
      <c r="AK739" s="34"/>
      <c r="AU739" s="34"/>
      <c r="AV739" s="34"/>
    </row>
    <row r="740" spans="36:48" x14ac:dyDescent="0.35">
      <c r="AJ740" s="34"/>
      <c r="AK740" s="34"/>
      <c r="AU740" s="34"/>
      <c r="AV740" s="34"/>
    </row>
    <row r="741" spans="36:48" x14ac:dyDescent="0.35">
      <c r="AJ741" s="34"/>
      <c r="AK741" s="34"/>
      <c r="AU741" s="34"/>
      <c r="AV741" s="34"/>
    </row>
    <row r="742" spans="36:48" x14ac:dyDescent="0.35">
      <c r="AJ742" s="34"/>
      <c r="AK742" s="34"/>
      <c r="AU742" s="34"/>
      <c r="AV742" s="34"/>
    </row>
    <row r="743" spans="36:48" x14ac:dyDescent="0.35">
      <c r="AJ743" s="34"/>
      <c r="AK743" s="34"/>
      <c r="AU743" s="34"/>
      <c r="AV743" s="34"/>
    </row>
    <row r="744" spans="36:48" x14ac:dyDescent="0.35">
      <c r="AJ744" s="34"/>
      <c r="AK744" s="34"/>
      <c r="AU744" s="34"/>
      <c r="AV744" s="34"/>
    </row>
    <row r="745" spans="36:48" x14ac:dyDescent="0.35">
      <c r="AJ745" s="34"/>
      <c r="AK745" s="34"/>
      <c r="AU745" s="34"/>
      <c r="AV745" s="34"/>
    </row>
    <row r="746" spans="36:48" x14ac:dyDescent="0.35">
      <c r="AJ746" s="34"/>
      <c r="AK746" s="34"/>
      <c r="AU746" s="34"/>
      <c r="AV746" s="34"/>
    </row>
    <row r="747" spans="36:48" x14ac:dyDescent="0.35">
      <c r="AJ747" s="34"/>
      <c r="AK747" s="34"/>
      <c r="AU747" s="34"/>
      <c r="AV747" s="34"/>
    </row>
    <row r="748" spans="36:48" x14ac:dyDescent="0.35">
      <c r="AJ748" s="34"/>
      <c r="AK748" s="34"/>
      <c r="AU748" s="34"/>
      <c r="AV748" s="34"/>
    </row>
    <row r="749" spans="36:48" x14ac:dyDescent="0.35">
      <c r="AJ749" s="34"/>
      <c r="AK749" s="34"/>
      <c r="AU749" s="34"/>
      <c r="AV749" s="34"/>
    </row>
    <row r="750" spans="36:48" x14ac:dyDescent="0.35">
      <c r="AJ750" s="34"/>
      <c r="AK750" s="34"/>
      <c r="AU750" s="34"/>
      <c r="AV750" s="34"/>
    </row>
    <row r="751" spans="36:48" x14ac:dyDescent="0.35">
      <c r="AJ751" s="34"/>
      <c r="AK751" s="34"/>
      <c r="AU751" s="34"/>
      <c r="AV751" s="34"/>
    </row>
    <row r="752" spans="36:48" x14ac:dyDescent="0.35">
      <c r="AJ752" s="34"/>
      <c r="AK752" s="34"/>
      <c r="AU752" s="34"/>
      <c r="AV752" s="34"/>
    </row>
    <row r="753" spans="36:48" x14ac:dyDescent="0.35">
      <c r="AJ753" s="34"/>
      <c r="AK753" s="34"/>
      <c r="AU753" s="34"/>
      <c r="AV753" s="34"/>
    </row>
    <row r="754" spans="36:48" x14ac:dyDescent="0.35">
      <c r="AJ754" s="34"/>
      <c r="AK754" s="34"/>
      <c r="AU754" s="34"/>
      <c r="AV754" s="34"/>
    </row>
    <row r="755" spans="36:48" x14ac:dyDescent="0.35">
      <c r="AJ755" s="34"/>
      <c r="AK755" s="34"/>
      <c r="AU755" s="34"/>
      <c r="AV755" s="34"/>
    </row>
    <row r="756" spans="36:48" x14ac:dyDescent="0.35">
      <c r="AJ756" s="34"/>
      <c r="AK756" s="34"/>
      <c r="AU756" s="34"/>
      <c r="AV756" s="34"/>
    </row>
    <row r="757" spans="36:48" x14ac:dyDescent="0.35">
      <c r="AJ757" s="34"/>
      <c r="AK757" s="34"/>
      <c r="AU757" s="34"/>
      <c r="AV757" s="34"/>
    </row>
    <row r="758" spans="36:48" x14ac:dyDescent="0.35">
      <c r="AJ758" s="34"/>
      <c r="AK758" s="34"/>
      <c r="AU758" s="34"/>
      <c r="AV758" s="34"/>
    </row>
    <row r="759" spans="36:48" x14ac:dyDescent="0.35">
      <c r="AJ759" s="34"/>
      <c r="AK759" s="34"/>
      <c r="AU759" s="34"/>
      <c r="AV759" s="34"/>
    </row>
    <row r="760" spans="36:48" x14ac:dyDescent="0.35">
      <c r="AJ760" s="34"/>
      <c r="AK760" s="34"/>
      <c r="AU760" s="34"/>
      <c r="AV760" s="34"/>
    </row>
    <row r="761" spans="36:48" x14ac:dyDescent="0.35">
      <c r="AJ761" s="34"/>
      <c r="AK761" s="34"/>
      <c r="AU761" s="34"/>
      <c r="AV761" s="34"/>
    </row>
    <row r="762" spans="36:48" x14ac:dyDescent="0.35">
      <c r="AJ762" s="34"/>
      <c r="AK762" s="34"/>
      <c r="AU762" s="34"/>
      <c r="AV762" s="34"/>
    </row>
    <row r="763" spans="36:48" x14ac:dyDescent="0.35">
      <c r="AJ763" s="34"/>
      <c r="AK763" s="34"/>
      <c r="AU763" s="34"/>
      <c r="AV763" s="34"/>
    </row>
    <row r="764" spans="36:48" x14ac:dyDescent="0.35">
      <c r="AJ764" s="34"/>
      <c r="AK764" s="34"/>
      <c r="AU764" s="34"/>
      <c r="AV764" s="34"/>
    </row>
    <row r="765" spans="36:48" x14ac:dyDescent="0.35">
      <c r="AJ765" s="34"/>
      <c r="AK765" s="34"/>
      <c r="AU765" s="34"/>
      <c r="AV765" s="34"/>
    </row>
    <row r="766" spans="36:48" x14ac:dyDescent="0.35">
      <c r="AJ766" s="34"/>
      <c r="AK766" s="34"/>
      <c r="AU766" s="34"/>
      <c r="AV766" s="34"/>
    </row>
    <row r="767" spans="36:48" x14ac:dyDescent="0.35">
      <c r="AJ767" s="34"/>
      <c r="AK767" s="34"/>
      <c r="AU767" s="34"/>
      <c r="AV767" s="34"/>
    </row>
    <row r="768" spans="36:48" x14ac:dyDescent="0.35">
      <c r="AJ768" s="34"/>
      <c r="AK768" s="34"/>
      <c r="AU768" s="34"/>
      <c r="AV768" s="34"/>
    </row>
    <row r="769" spans="36:48" x14ac:dyDescent="0.35">
      <c r="AJ769" s="34"/>
      <c r="AK769" s="34"/>
      <c r="AU769" s="34"/>
      <c r="AV769" s="34"/>
    </row>
    <row r="770" spans="36:48" x14ac:dyDescent="0.35">
      <c r="AJ770" s="34"/>
      <c r="AK770" s="34"/>
      <c r="AU770" s="34"/>
      <c r="AV770" s="34"/>
    </row>
    <row r="771" spans="36:48" x14ac:dyDescent="0.35">
      <c r="AJ771" s="34"/>
      <c r="AK771" s="34"/>
      <c r="AU771" s="34"/>
      <c r="AV771" s="34"/>
    </row>
    <row r="772" spans="36:48" x14ac:dyDescent="0.35">
      <c r="AJ772" s="34"/>
      <c r="AK772" s="34"/>
      <c r="AU772" s="34"/>
      <c r="AV772" s="34"/>
    </row>
    <row r="773" spans="36:48" x14ac:dyDescent="0.35">
      <c r="AJ773" s="34"/>
      <c r="AK773" s="34"/>
      <c r="AU773" s="34"/>
      <c r="AV773" s="34"/>
    </row>
    <row r="774" spans="36:48" x14ac:dyDescent="0.35">
      <c r="AJ774" s="34"/>
      <c r="AK774" s="34"/>
      <c r="AU774" s="34"/>
      <c r="AV774" s="34"/>
    </row>
  </sheetData>
  <autoFilter ref="V4:AT487" xr:uid="{F679762A-47DC-4E46-BA92-6E91B14CCD94}"/>
  <mergeCells count="16">
    <mergeCell ref="K8:K9"/>
    <mergeCell ref="B3:L4"/>
    <mergeCell ref="B5:L5"/>
    <mergeCell ref="B6:B9"/>
    <mergeCell ref="C6:F6"/>
    <mergeCell ref="G6:G9"/>
    <mergeCell ref="H6:I6"/>
    <mergeCell ref="J6:K7"/>
    <mergeCell ref="L6:L9"/>
    <mergeCell ref="C7:C9"/>
    <mergeCell ref="D7:D9"/>
    <mergeCell ref="E7:E9"/>
    <mergeCell ref="F7:F9"/>
    <mergeCell ref="H7:H9"/>
    <mergeCell ref="I7:I9"/>
    <mergeCell ref="J8:J9"/>
  </mergeCells>
  <conditionalFormatting sqref="W5:W36 W38:W70 W72:W99">
    <cfRule type="duplicateValues" dxfId="202" priority="63"/>
  </conditionalFormatting>
  <conditionalFormatting sqref="W100:W116 W118:W162">
    <cfRule type="duplicateValues" dxfId="201" priority="15"/>
  </conditionalFormatting>
  <conditionalFormatting sqref="W163:W193">
    <cfRule type="duplicateValues" dxfId="200" priority="18"/>
  </conditionalFormatting>
  <conditionalFormatting sqref="W194:W243">
    <cfRule type="duplicateValues" dxfId="199" priority="17"/>
  </conditionalFormatting>
  <conditionalFormatting sqref="W244:W300">
    <cfRule type="duplicateValues" dxfId="198" priority="14"/>
  </conditionalFormatting>
  <conditionalFormatting sqref="W301:W347">
    <cfRule type="duplicateValues" dxfId="197" priority="16"/>
  </conditionalFormatting>
  <conditionalFormatting sqref="W348:W396">
    <cfRule type="duplicateValues" dxfId="196" priority="20"/>
  </conditionalFormatting>
  <conditionalFormatting sqref="W397:W454">
    <cfRule type="duplicateValues" dxfId="195" priority="19"/>
  </conditionalFormatting>
  <conditionalFormatting sqref="W455">
    <cfRule type="duplicateValues" dxfId="194" priority="21"/>
  </conditionalFormatting>
  <conditionalFormatting sqref="W456:W1048576 W1:W4">
    <cfRule type="duplicateValues" dxfId="193" priority="22"/>
  </conditionalFormatting>
  <conditionalFormatting sqref="AK193:AK196 AK28:AK38 AK14 AK1:AK4 AK61:AK106 AK254:AK1048576">
    <cfRule type="duplicateValues" dxfId="192" priority="23"/>
  </conditionalFormatting>
  <conditionalFormatting sqref="AK14 AK254 AK193:AK196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330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1048576 AK14 AK1:AK4 AK193:AK196 AK254">
    <cfRule type="duplicateValues" dxfId="191" priority="59"/>
  </conditionalFormatting>
  <conditionalFormatting sqref="AK331:AK397 AK407:AK680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K402">
    <cfRule type="duplicateValues" dxfId="190" priority="52"/>
  </conditionalFormatting>
  <conditionalFormatting sqref="AK681:AK77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L402">
    <cfRule type="expression" dxfId="189" priority="50">
      <formula>MOD(ROW(),2)=0</formula>
    </cfRule>
  </conditionalFormatting>
  <conditionalFormatting sqref="AN16">
    <cfRule type="duplicateValues" dxfId="188" priority="53"/>
  </conditionalFormatting>
  <conditionalFormatting sqref="AP5:AP6 AP9:AP15">
    <cfRule type="duplicateValues" dxfId="187" priority="62"/>
  </conditionalFormatting>
  <conditionalFormatting sqref="AP68:AP142 AP5:AP6 AP17:AP21 AP23:AP63 AP65:AP66 AP145:AP147 AP254:AP330 AP237:AP251 AP9:AP15 AP149:AP229">
    <cfRule type="duplicateValues" dxfId="186" priority="61"/>
  </conditionalFormatting>
  <conditionalFormatting sqref="AP331:AP397">
    <cfRule type="duplicateValues" dxfId="185" priority="54"/>
  </conditionalFormatting>
  <conditionalFormatting sqref="AP398:AP402">
    <cfRule type="expression" dxfId="184" priority="51">
      <formula>MOD(ROW(),2)=0</formula>
    </cfRule>
  </conditionalFormatting>
  <conditionalFormatting sqref="AV193:AV196 AV28:AV38 AV14 AV1:AV4 AV61:AV106 AV254:AV1048576">
    <cfRule type="duplicateValues" dxfId="183" priority="1"/>
  </conditionalFormatting>
  <conditionalFormatting sqref="AV14 AV254 AV193:AV19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3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1048576 AV14 AV1:AV4 AV193:AV196 AV254">
    <cfRule type="duplicateValues" dxfId="182" priority="10"/>
  </conditionalFormatting>
  <conditionalFormatting sqref="AV331:AV397 AV407:AV68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V402">
    <cfRule type="duplicateValues" dxfId="181" priority="4"/>
  </conditionalFormatting>
  <conditionalFormatting sqref="AV681:AV77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W402">
    <cfRule type="expression" dxfId="180" priority="2">
      <formula>MOD(ROW(),2)=0</formula>
    </cfRule>
  </conditionalFormatting>
  <conditionalFormatting sqref="AY16">
    <cfRule type="duplicateValues" dxfId="179" priority="5"/>
  </conditionalFormatting>
  <conditionalFormatting sqref="BA5:BA6 BA9:BA15">
    <cfRule type="duplicateValues" dxfId="178" priority="13"/>
  </conditionalFormatting>
  <conditionalFormatting sqref="BA68:BA142 BA5:BA6 BA17:BA21 BA23:BA63 BA65:BA66 BA145:BA147 BA254:BA330 BA237:BA251 BA9:BA15 BA149:BA229">
    <cfRule type="duplicateValues" dxfId="177" priority="12"/>
  </conditionalFormatting>
  <conditionalFormatting sqref="BA331:BA397">
    <cfRule type="duplicateValues" dxfId="176" priority="6"/>
  </conditionalFormatting>
  <conditionalFormatting sqref="BA398:BA402">
    <cfRule type="expression" dxfId="175" priority="3">
      <formula>MOD(ROW(),2)=0</formula>
    </cfRule>
  </conditionalFormatting>
  <dataValidations count="1">
    <dataValidation type="list" allowBlank="1" showInputMessage="1" showErrorMessage="1" sqref="AC345:AC346 AC79:AC90 AC93:AC105 AC136:AC159 AC161:AC202 AC204:AC343 AC107:AC116 AC118:AC134" xr:uid="{1B088590-64D0-406F-AC30-796228276946}">
      <formula1>"N/A,CLEAN UP"</formula1>
    </dataValidation>
  </dataValidations>
  <pageMargins left="0.78740157480314965" right="0" top="0.15748031496062992" bottom="0" header="0.31496062992125984" footer="0.31496062992125984"/>
  <pageSetup paperSize="9" fitToHeight="0" orientation="portrait" horizontalDpi="0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5A73-9AFF-422C-BE62-B89A02A8A7F3}">
  <sheetPr>
    <pageSetUpPr fitToPage="1"/>
  </sheetPr>
  <dimension ref="B1:BK774"/>
  <sheetViews>
    <sheetView showGridLines="0" topLeftCell="A10" zoomScale="49" zoomScaleNormal="55" workbookViewId="0">
      <selection activeCell="AP201" sqref="AP201"/>
    </sheetView>
  </sheetViews>
  <sheetFormatPr defaultRowHeight="14.5" x14ac:dyDescent="0.35"/>
  <cols>
    <col min="2" max="2" width="15.7265625" customWidth="1"/>
    <col min="3" max="3" width="13.453125" bestFit="1" customWidth="1"/>
    <col min="4" max="4" width="8.1796875" bestFit="1" customWidth="1"/>
    <col min="5" max="5" width="9.7265625" bestFit="1" customWidth="1"/>
    <col min="6" max="6" width="8.1796875" bestFit="1" customWidth="1"/>
    <col min="7" max="7" width="9.453125" bestFit="1" customWidth="1"/>
    <col min="8" max="9" width="11" customWidth="1"/>
    <col min="10" max="10" width="17.453125" customWidth="1"/>
    <col min="11" max="11" width="11.7265625" hidden="1" customWidth="1"/>
    <col min="12" max="12" width="12" customWidth="1"/>
    <col min="14" max="14" width="12.81640625" bestFit="1" customWidth="1"/>
    <col min="15" max="16" width="10.36328125" customWidth="1"/>
    <col min="18" max="18" width="10.1796875" bestFit="1" customWidth="1"/>
    <col min="21" max="21" width="2.453125" style="24" customWidth="1"/>
    <col min="22" max="22" width="13.36328125" customWidth="1"/>
    <col min="24" max="24" width="13.453125" customWidth="1"/>
    <col min="25" max="25" width="13.453125" style="37" customWidth="1"/>
    <col min="26" max="27" width="19.7265625" bestFit="1" customWidth="1"/>
    <col min="28" max="29" width="19.7265625" customWidth="1"/>
    <col min="30" max="30" width="11.1796875" bestFit="1" customWidth="1"/>
    <col min="31" max="31" width="10.81640625" customWidth="1"/>
    <col min="32" max="32" width="19.453125" bestFit="1" customWidth="1"/>
    <col min="33" max="33" width="19.453125" customWidth="1"/>
    <col min="34" max="34" width="24.08984375" bestFit="1" customWidth="1"/>
    <col min="35" max="35" width="2.453125" style="24" customWidth="1"/>
    <col min="36" max="36" width="12.453125" customWidth="1"/>
    <col min="37" max="37" width="11.453125" customWidth="1"/>
    <col min="38" max="38" width="11.6328125" customWidth="1"/>
    <col min="39" max="39" width="12.81640625" bestFit="1" customWidth="1"/>
    <col min="40" max="40" width="19.7265625" bestFit="1" customWidth="1"/>
    <col min="41" max="41" width="23.08984375" bestFit="1" customWidth="1"/>
    <col min="42" max="42" width="12.453125" bestFit="1" customWidth="1"/>
    <col min="43" max="45" width="13.26953125" customWidth="1"/>
    <col min="46" max="46" width="2.453125" style="24" customWidth="1"/>
    <col min="47" max="47" width="14.90625" customWidth="1"/>
    <col min="48" max="48" width="15.36328125" bestFit="1" customWidth="1"/>
    <col min="49" max="49" width="11.36328125" bestFit="1" customWidth="1"/>
    <col min="50" max="50" width="26.08984375" bestFit="1" customWidth="1"/>
    <col min="51" max="51" width="21.1796875" bestFit="1" customWidth="1"/>
    <col min="52" max="53" width="16.453125" bestFit="1" customWidth="1"/>
    <col min="54" max="54" width="10.6328125" style="56" bestFit="1" customWidth="1"/>
    <col min="55" max="55" width="10.6328125" style="56" customWidth="1"/>
    <col min="56" max="56" width="2.453125" style="24" customWidth="1"/>
    <col min="57" max="57" width="15.81640625" customWidth="1"/>
    <col min="58" max="59" width="17.90625" bestFit="1" customWidth="1"/>
    <col min="60" max="60" width="15.26953125" bestFit="1" customWidth="1"/>
    <col min="61" max="61" width="16.81640625" bestFit="1" customWidth="1"/>
    <col min="62" max="62" width="10.6328125" bestFit="1" customWidth="1"/>
    <col min="63" max="63" width="2.453125" style="24" customWidth="1"/>
  </cols>
  <sheetData>
    <row r="1" spans="2:62" x14ac:dyDescent="0.35">
      <c r="AA1" s="15" t="s">
        <v>26</v>
      </c>
      <c r="AN1" s="15" t="s">
        <v>26</v>
      </c>
      <c r="AX1" s="22" t="s">
        <v>29</v>
      </c>
      <c r="BG1" s="15" t="s">
        <v>3</v>
      </c>
    </row>
    <row r="2" spans="2:62" x14ac:dyDescent="0.35">
      <c r="V2" s="15" t="s">
        <v>27</v>
      </c>
      <c r="AJ2" s="15" t="s">
        <v>28</v>
      </c>
      <c r="AK2" s="15"/>
      <c r="AU2" s="15" t="s">
        <v>30</v>
      </c>
      <c r="BE2" s="15" t="s">
        <v>31</v>
      </c>
    </row>
    <row r="3" spans="2:62" x14ac:dyDescent="0.35">
      <c r="B3" s="120" t="s">
        <v>25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V3" s="15" t="s">
        <v>33</v>
      </c>
      <c r="AJ3" s="15" t="s">
        <v>33</v>
      </c>
      <c r="AK3" s="15"/>
      <c r="AU3" s="15" t="s">
        <v>33</v>
      </c>
      <c r="BE3" s="15" t="s">
        <v>33</v>
      </c>
    </row>
    <row r="4" spans="2:62" x14ac:dyDescent="0.35"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V4" s="29" t="s">
        <v>0</v>
      </c>
      <c r="W4" s="29" t="s">
        <v>15</v>
      </c>
      <c r="X4" s="29" t="s">
        <v>16</v>
      </c>
      <c r="Y4" s="53" t="s">
        <v>16</v>
      </c>
      <c r="Z4" s="29" t="s">
        <v>17</v>
      </c>
      <c r="AA4" s="29" t="s">
        <v>18</v>
      </c>
      <c r="AB4" s="29" t="s">
        <v>20</v>
      </c>
      <c r="AC4" s="29" t="s">
        <v>21</v>
      </c>
      <c r="AD4" s="29" t="s">
        <v>19</v>
      </c>
      <c r="AE4" s="29" t="s">
        <v>44</v>
      </c>
      <c r="AF4" s="53" t="s">
        <v>43</v>
      </c>
      <c r="AG4" s="53" t="s">
        <v>46</v>
      </c>
      <c r="AH4" s="53" t="s">
        <v>41</v>
      </c>
      <c r="AJ4" s="29" t="s">
        <v>0</v>
      </c>
      <c r="AK4" s="29" t="s">
        <v>37</v>
      </c>
      <c r="AL4" s="29" t="s">
        <v>16</v>
      </c>
      <c r="AM4" s="29" t="s">
        <v>16</v>
      </c>
      <c r="AN4" s="29" t="s">
        <v>17</v>
      </c>
      <c r="AO4" s="29" t="s">
        <v>18</v>
      </c>
      <c r="AP4" s="29" t="s">
        <v>19</v>
      </c>
      <c r="AQ4" s="29" t="s">
        <v>34</v>
      </c>
      <c r="AR4" s="29" t="s">
        <v>39</v>
      </c>
      <c r="AS4" s="29" t="s">
        <v>47</v>
      </c>
      <c r="AU4" s="29" t="s">
        <v>0</v>
      </c>
      <c r="AV4" s="29" t="s">
        <v>45</v>
      </c>
      <c r="AW4" s="29" t="s">
        <v>16</v>
      </c>
      <c r="AX4" s="29" t="s">
        <v>17</v>
      </c>
      <c r="AY4" s="29" t="s">
        <v>18</v>
      </c>
      <c r="AZ4" s="29" t="s">
        <v>20</v>
      </c>
      <c r="BA4" s="29" t="s">
        <v>21</v>
      </c>
      <c r="BB4" s="69" t="s">
        <v>19</v>
      </c>
      <c r="BC4" s="69"/>
      <c r="BE4" s="29" t="s">
        <v>0</v>
      </c>
      <c r="BF4" s="29" t="s">
        <v>16</v>
      </c>
      <c r="BG4" s="29" t="s">
        <v>16</v>
      </c>
      <c r="BH4" s="29" t="s">
        <v>17</v>
      </c>
      <c r="BI4" s="29" t="s">
        <v>18</v>
      </c>
      <c r="BJ4" s="29" t="s">
        <v>19</v>
      </c>
    </row>
    <row r="5" spans="2:62" ht="24" thickBot="1" x14ac:dyDescent="0.6">
      <c r="B5" s="121" t="s">
        <v>1457</v>
      </c>
      <c r="C5" s="121"/>
      <c r="D5" s="121"/>
      <c r="E5" s="121"/>
      <c r="F5" s="121"/>
      <c r="G5" s="121"/>
      <c r="H5" s="122"/>
      <c r="I5" s="122"/>
      <c r="J5" s="122"/>
      <c r="K5" s="122"/>
      <c r="L5" s="122"/>
      <c r="V5" s="97">
        <v>45840</v>
      </c>
      <c r="W5" s="16">
        <v>166771</v>
      </c>
      <c r="X5" s="101" t="s">
        <v>36</v>
      </c>
      <c r="Y5" s="105"/>
      <c r="Z5" s="102">
        <v>0.76250000000000007</v>
      </c>
      <c r="AA5" s="102">
        <v>0.8666666666666667</v>
      </c>
      <c r="AB5" s="16"/>
      <c r="AC5" s="16"/>
      <c r="AD5" s="93">
        <v>18720</v>
      </c>
      <c r="AE5" s="93">
        <f t="shared" ref="AE5:AE68" si="0">AD5/1000</f>
        <v>18.72</v>
      </c>
      <c r="AF5" s="16">
        <v>16.059999999999999</v>
      </c>
      <c r="AG5" s="103">
        <f>IF($AF5&gt;14,14,$AF5)</f>
        <v>14</v>
      </c>
      <c r="AH5" s="37">
        <f>AE5*AG5/14</f>
        <v>18.72</v>
      </c>
      <c r="AJ5" s="97">
        <v>45839</v>
      </c>
      <c r="AL5" t="s">
        <v>5</v>
      </c>
      <c r="AN5" s="81">
        <v>0.62400462962962966</v>
      </c>
      <c r="AO5" s="81">
        <v>0.49011574074074077</v>
      </c>
      <c r="AP5" s="37">
        <v>1672</v>
      </c>
      <c r="AQ5" t="s">
        <v>1436</v>
      </c>
      <c r="AR5" s="97">
        <v>45839</v>
      </c>
      <c r="AU5" s="21"/>
      <c r="BB5" s="73"/>
      <c r="BC5" s="73"/>
    </row>
    <row r="6" spans="2:62" ht="28.5" customHeight="1" x14ac:dyDescent="0.4">
      <c r="B6" s="123" t="s">
        <v>0</v>
      </c>
      <c r="C6" s="126" t="s">
        <v>1</v>
      </c>
      <c r="D6" s="127"/>
      <c r="E6" s="127"/>
      <c r="F6" s="128"/>
      <c r="G6" s="129" t="s">
        <v>2</v>
      </c>
      <c r="H6" s="132" t="s">
        <v>40</v>
      </c>
      <c r="I6" s="133"/>
      <c r="J6" s="134" t="s">
        <v>35</v>
      </c>
      <c r="K6" s="135"/>
      <c r="L6" s="138" t="s">
        <v>2</v>
      </c>
      <c r="V6" s="97">
        <v>45840</v>
      </c>
      <c r="W6" s="16">
        <v>166795</v>
      </c>
      <c r="X6" s="101" t="s">
        <v>36</v>
      </c>
      <c r="Y6" s="105"/>
      <c r="Z6" s="102">
        <v>0.74722222222222223</v>
      </c>
      <c r="AA6" s="102">
        <v>0.93819444444444444</v>
      </c>
      <c r="AB6" s="16"/>
      <c r="AC6" s="16"/>
      <c r="AD6" s="93">
        <v>19908</v>
      </c>
      <c r="AE6" s="93">
        <f t="shared" si="0"/>
        <v>19.908000000000001</v>
      </c>
      <c r="AF6" s="16">
        <v>15.41</v>
      </c>
      <c r="AG6" s="103">
        <f t="shared" ref="AG6:AG69" si="1">IF($AF6&gt;14,14,$AF6)</f>
        <v>14</v>
      </c>
      <c r="AH6" s="37">
        <f t="shared" ref="AH6:AH69" si="2">AE6*AG6/14</f>
        <v>19.907999999999998</v>
      </c>
      <c r="AJ6" s="97">
        <v>45839</v>
      </c>
      <c r="AL6" t="s">
        <v>5</v>
      </c>
      <c r="AN6" s="81">
        <v>0.5907175925925926</v>
      </c>
      <c r="AP6" s="37">
        <v>1910</v>
      </c>
      <c r="AQ6" t="s">
        <v>1436</v>
      </c>
      <c r="AR6" s="97">
        <v>45839</v>
      </c>
      <c r="AU6" s="21"/>
      <c r="BB6" s="73"/>
      <c r="BC6" s="73"/>
    </row>
    <row r="7" spans="2:62" ht="15.5" customHeight="1" x14ac:dyDescent="0.4">
      <c r="B7" s="124"/>
      <c r="C7" s="141" t="s">
        <v>36</v>
      </c>
      <c r="D7" s="143" t="s">
        <v>5</v>
      </c>
      <c r="E7" s="146" t="s">
        <v>4</v>
      </c>
      <c r="F7" s="141">
        <v>104</v>
      </c>
      <c r="G7" s="130"/>
      <c r="H7" s="149" t="s">
        <v>41</v>
      </c>
      <c r="I7" s="152" t="s">
        <v>42</v>
      </c>
      <c r="J7" s="136"/>
      <c r="K7" s="137"/>
      <c r="L7" s="139"/>
      <c r="N7" s="15" t="s">
        <v>32</v>
      </c>
      <c r="V7" s="97">
        <v>45841</v>
      </c>
      <c r="W7" s="16">
        <v>166811</v>
      </c>
      <c r="X7" s="101" t="s">
        <v>36</v>
      </c>
      <c r="Y7" s="105"/>
      <c r="Z7" s="102">
        <v>0.75555555555555554</v>
      </c>
      <c r="AA7" s="102">
        <v>1.5277777777777777E-2</v>
      </c>
      <c r="AB7" s="16"/>
      <c r="AC7" s="16"/>
      <c r="AD7" s="93">
        <v>22046</v>
      </c>
      <c r="AE7" s="93">
        <f t="shared" si="0"/>
        <v>22.045999999999999</v>
      </c>
      <c r="AF7" s="16">
        <v>14.71</v>
      </c>
      <c r="AG7" s="103">
        <f t="shared" si="1"/>
        <v>14</v>
      </c>
      <c r="AH7" s="37">
        <f t="shared" si="2"/>
        <v>22.045999999999999</v>
      </c>
      <c r="AJ7" s="97">
        <v>45839</v>
      </c>
      <c r="AL7" t="s">
        <v>5</v>
      </c>
      <c r="AN7" s="81">
        <v>0.61256944444444439</v>
      </c>
      <c r="AO7" s="81">
        <v>0.61726851851851849</v>
      </c>
      <c r="AP7" s="37">
        <v>1286</v>
      </c>
      <c r="AQ7" t="s">
        <v>1458</v>
      </c>
      <c r="AR7" s="97">
        <v>45839</v>
      </c>
      <c r="AU7" s="21"/>
      <c r="BB7" s="73"/>
      <c r="BC7" s="73"/>
    </row>
    <row r="8" spans="2:62" ht="15" customHeight="1" thickBot="1" x14ac:dyDescent="0.45">
      <c r="B8" s="124"/>
      <c r="C8" s="141"/>
      <c r="D8" s="144"/>
      <c r="E8" s="147"/>
      <c r="F8" s="141"/>
      <c r="G8" s="130"/>
      <c r="H8" s="150"/>
      <c r="I8" s="153"/>
      <c r="J8" s="155" t="s">
        <v>22</v>
      </c>
      <c r="K8" s="118" t="s">
        <v>5</v>
      </c>
      <c r="L8" s="139"/>
      <c r="N8" s="15" t="s">
        <v>38</v>
      </c>
      <c r="V8" s="97">
        <v>45841</v>
      </c>
      <c r="W8" s="16">
        <v>166822</v>
      </c>
      <c r="X8" s="101" t="s">
        <v>36</v>
      </c>
      <c r="Y8" s="105"/>
      <c r="Z8" s="102">
        <v>0.74722222222222223</v>
      </c>
      <c r="AA8" s="102">
        <v>6.5277777777777782E-2</v>
      </c>
      <c r="AB8" s="16"/>
      <c r="AC8" s="16"/>
      <c r="AD8" s="93">
        <v>19890</v>
      </c>
      <c r="AE8" s="93">
        <f t="shared" si="0"/>
        <v>19.89</v>
      </c>
      <c r="AF8" s="16">
        <v>15.28</v>
      </c>
      <c r="AG8" s="103">
        <f t="shared" si="1"/>
        <v>14</v>
      </c>
      <c r="AH8" s="37">
        <f t="shared" si="2"/>
        <v>19.890000000000004</v>
      </c>
      <c r="AJ8" s="97">
        <v>45839</v>
      </c>
      <c r="AL8" t="s">
        <v>5</v>
      </c>
      <c r="AM8" s="16"/>
      <c r="AN8" s="81">
        <v>0.61490740740740735</v>
      </c>
      <c r="AO8" s="81">
        <v>0.4861226851851852</v>
      </c>
      <c r="AP8" s="37">
        <v>3886</v>
      </c>
      <c r="AQ8" t="s">
        <v>1459</v>
      </c>
      <c r="AR8" s="97">
        <v>45839</v>
      </c>
      <c r="AU8" s="21"/>
      <c r="BB8" s="73"/>
      <c r="BC8" s="73"/>
    </row>
    <row r="9" spans="2:62" ht="16.5" thickBot="1" x14ac:dyDescent="0.45">
      <c r="B9" s="125"/>
      <c r="C9" s="142"/>
      <c r="D9" s="145"/>
      <c r="E9" s="148"/>
      <c r="F9" s="142"/>
      <c r="G9" s="131"/>
      <c r="H9" s="151"/>
      <c r="I9" s="154"/>
      <c r="J9" s="156"/>
      <c r="K9" s="119"/>
      <c r="L9" s="140"/>
      <c r="N9" s="25" t="s">
        <v>36</v>
      </c>
      <c r="O9" s="26" t="s">
        <v>5</v>
      </c>
      <c r="P9" s="35" t="s">
        <v>4</v>
      </c>
      <c r="Q9" s="27" t="s">
        <v>23</v>
      </c>
      <c r="V9" s="97">
        <v>45841</v>
      </c>
      <c r="W9" s="16">
        <v>166830</v>
      </c>
      <c r="X9" s="101" t="s">
        <v>36</v>
      </c>
      <c r="Y9" s="105"/>
      <c r="Z9" s="102">
        <v>0.76250000000000007</v>
      </c>
      <c r="AA9" s="102">
        <v>0.11458333333333333</v>
      </c>
      <c r="AB9" s="16"/>
      <c r="AC9" s="16"/>
      <c r="AD9" s="93">
        <v>19642</v>
      </c>
      <c r="AE9" s="93">
        <f t="shared" si="0"/>
        <v>19.641999999999999</v>
      </c>
      <c r="AF9" s="16">
        <v>14.91</v>
      </c>
      <c r="AG9" s="103">
        <f t="shared" si="1"/>
        <v>14</v>
      </c>
      <c r="AH9" s="37">
        <f t="shared" si="2"/>
        <v>19.641999999999999</v>
      </c>
      <c r="AJ9" s="97">
        <v>45840</v>
      </c>
      <c r="AL9" t="s">
        <v>5</v>
      </c>
      <c r="AM9" s="16"/>
      <c r="AN9" s="39">
        <v>0.78888888888888886</v>
      </c>
      <c r="AO9" s="39">
        <v>0.84930555555555554</v>
      </c>
      <c r="AP9" s="37">
        <v>2944</v>
      </c>
      <c r="AR9" s="97">
        <v>45840</v>
      </c>
      <c r="AU9" s="21"/>
      <c r="BB9" s="73"/>
      <c r="BC9" s="73"/>
    </row>
    <row r="10" spans="2:62" ht="16" x14ac:dyDescent="0.4">
      <c r="B10" s="60">
        <v>45839</v>
      </c>
      <c r="C10" s="61">
        <f t="shared" ref="C10:C40" si="3">SUMIFS($AE:$AE,$V:$V,$B10,$X:$X,C$7)-$J10</f>
        <v>0</v>
      </c>
      <c r="D10" s="61">
        <f t="shared" ref="D10:E40" si="4">SUMIFS($AP:$AP,$AJ:$AJ,$B10,$AL:$AL,D$7)/1000</f>
        <v>8.7539999999999996</v>
      </c>
      <c r="E10" s="62">
        <f t="shared" si="4"/>
        <v>0</v>
      </c>
      <c r="F10" s="63">
        <f t="shared" ref="F10:F40" si="5">SUMIFS($AD:$AD,$V:$V,$B10,$AB:$AB,$F$7)/1000</f>
        <v>0</v>
      </c>
      <c r="G10" s="64">
        <f>SUM(C10:E10)</f>
        <v>8.7539999999999996</v>
      </c>
      <c r="H10" s="65">
        <f t="shared" ref="H10:H40" si="6">SUMIF($V:$V,$B10,$AH:$AH)</f>
        <v>0</v>
      </c>
      <c r="I10" s="66">
        <f>H10+D10+E10</f>
        <v>8.7539999999999996</v>
      </c>
      <c r="J10" s="70">
        <f t="shared" ref="J10:J40" si="7">SUMIFS($AE:$AE,$V:$V,$B10,$AC:$AC,$J$8)</f>
        <v>0</v>
      </c>
      <c r="K10" s="67"/>
      <c r="L10" s="68">
        <f t="shared" ref="L10:L39" si="8">SUM(J10:K10)</f>
        <v>0</v>
      </c>
      <c r="N10" s="40">
        <f t="shared" ref="N10:N40" si="9">COUNTIFS($V:$V,$B10,$X:$X,N$9)</f>
        <v>0</v>
      </c>
      <c r="O10" s="41">
        <f t="shared" ref="O10:O40" si="10">COUNTIFS($AJ:$AJ,$B10,$AL:$AL,$O$9)</f>
        <v>4</v>
      </c>
      <c r="P10" s="41">
        <f t="shared" ref="P10:P40" si="11">COUNTIFS($AJ:$AJ,$B10,$AL:$AL,P$9)</f>
        <v>0</v>
      </c>
      <c r="Q10" s="42">
        <f>SUM(N10:P10)</f>
        <v>4</v>
      </c>
      <c r="V10" s="97">
        <v>45841</v>
      </c>
      <c r="W10" s="16">
        <v>166835</v>
      </c>
      <c r="X10" s="101" t="s">
        <v>36</v>
      </c>
      <c r="Y10" s="105"/>
      <c r="Z10" s="102">
        <v>0.16388888888888889</v>
      </c>
      <c r="AA10" s="102"/>
      <c r="AB10" s="16"/>
      <c r="AC10" s="16"/>
      <c r="AD10" s="93">
        <v>19370</v>
      </c>
      <c r="AE10" s="93">
        <f t="shared" si="0"/>
        <v>19.37</v>
      </c>
      <c r="AF10" s="16">
        <v>14.37</v>
      </c>
      <c r="AG10" s="103">
        <f t="shared" si="1"/>
        <v>14</v>
      </c>
      <c r="AH10" s="37">
        <f t="shared" si="2"/>
        <v>19.37</v>
      </c>
      <c r="AJ10" s="97">
        <v>45840</v>
      </c>
      <c r="AL10" t="s">
        <v>5</v>
      </c>
      <c r="AM10" s="16"/>
      <c r="AN10" s="39">
        <v>0.79583333333333339</v>
      </c>
      <c r="AO10" s="39">
        <v>0.85277777777777775</v>
      </c>
      <c r="AP10" s="37">
        <v>3976</v>
      </c>
      <c r="AR10" s="97">
        <v>45840</v>
      </c>
      <c r="AU10" s="21"/>
      <c r="BB10" s="73"/>
      <c r="BC10" s="73"/>
    </row>
    <row r="11" spans="2:62" ht="16" x14ac:dyDescent="0.4">
      <c r="B11" s="1">
        <v>45840</v>
      </c>
      <c r="C11" s="2">
        <f t="shared" si="3"/>
        <v>38.628</v>
      </c>
      <c r="D11" s="2">
        <f t="shared" si="4"/>
        <v>21.065999999999999</v>
      </c>
      <c r="E11" s="2">
        <f t="shared" si="4"/>
        <v>0</v>
      </c>
      <c r="F11" s="32">
        <f t="shared" si="5"/>
        <v>0</v>
      </c>
      <c r="G11" s="3">
        <f>SUM(C11:E11)</f>
        <v>59.694000000000003</v>
      </c>
      <c r="H11" s="51">
        <f t="shared" si="6"/>
        <v>38.628</v>
      </c>
      <c r="I11" s="52">
        <f>H11+D11+E11</f>
        <v>59.694000000000003</v>
      </c>
      <c r="J11" s="59">
        <f t="shared" si="7"/>
        <v>0</v>
      </c>
      <c r="K11" s="4"/>
      <c r="L11" s="20">
        <f t="shared" si="8"/>
        <v>0</v>
      </c>
      <c r="N11" s="43">
        <f t="shared" si="9"/>
        <v>2</v>
      </c>
      <c r="O11" s="44">
        <f t="shared" si="10"/>
        <v>7</v>
      </c>
      <c r="P11" s="41">
        <f t="shared" si="11"/>
        <v>0</v>
      </c>
      <c r="Q11" s="45">
        <f>SUM(N11:P11)</f>
        <v>9</v>
      </c>
      <c r="V11" s="97">
        <v>45841</v>
      </c>
      <c r="W11" s="16">
        <v>166840</v>
      </c>
      <c r="X11" s="101" t="s">
        <v>36</v>
      </c>
      <c r="Y11" s="105"/>
      <c r="Z11" s="102">
        <v>0.15600694444444443</v>
      </c>
      <c r="AA11" s="102">
        <v>0.22829861111111113</v>
      </c>
      <c r="AB11" s="16"/>
      <c r="AC11" s="16"/>
      <c r="AD11" s="93">
        <v>19722</v>
      </c>
      <c r="AE11" s="93">
        <f t="shared" si="0"/>
        <v>19.722000000000001</v>
      </c>
      <c r="AF11" s="16">
        <v>14.98</v>
      </c>
      <c r="AG11" s="103">
        <f t="shared" si="1"/>
        <v>14</v>
      </c>
      <c r="AH11" s="37">
        <f t="shared" si="2"/>
        <v>19.722000000000001</v>
      </c>
      <c r="AJ11" s="97">
        <v>45840</v>
      </c>
      <c r="AL11" t="s">
        <v>5</v>
      </c>
      <c r="AM11" s="16"/>
      <c r="AN11" s="39">
        <v>0.87916666666666676</v>
      </c>
      <c r="AO11" s="39">
        <v>0.9590277777777777</v>
      </c>
      <c r="AP11" s="37">
        <v>2884</v>
      </c>
      <c r="AR11" s="97">
        <v>45840</v>
      </c>
      <c r="AU11" s="21"/>
      <c r="BB11" s="73"/>
      <c r="BC11" s="73"/>
    </row>
    <row r="12" spans="2:62" ht="16" x14ac:dyDescent="0.4">
      <c r="B12" s="1">
        <v>45841</v>
      </c>
      <c r="C12" s="2">
        <f t="shared" si="3"/>
        <v>304.67399999999998</v>
      </c>
      <c r="D12" s="2">
        <f t="shared" si="4"/>
        <v>13.746</v>
      </c>
      <c r="E12" s="2">
        <f t="shared" si="4"/>
        <v>0</v>
      </c>
      <c r="F12" s="32">
        <f t="shared" si="5"/>
        <v>0</v>
      </c>
      <c r="G12" s="3">
        <f t="shared" ref="G12:G39" si="12">SUM(C12:E12)</f>
        <v>318.41999999999996</v>
      </c>
      <c r="H12" s="51">
        <f t="shared" si="6"/>
        <v>304.1002542857143</v>
      </c>
      <c r="I12" s="52">
        <f t="shared" ref="I12:I39" si="13">H12+D12+E12</f>
        <v>317.84625428571428</v>
      </c>
      <c r="J12" s="59">
        <f t="shared" si="7"/>
        <v>0</v>
      </c>
      <c r="K12" s="4"/>
      <c r="L12" s="20">
        <f t="shared" si="8"/>
        <v>0</v>
      </c>
      <c r="N12" s="43">
        <f t="shared" si="9"/>
        <v>15</v>
      </c>
      <c r="O12" s="44">
        <f t="shared" si="10"/>
        <v>4</v>
      </c>
      <c r="P12" s="41">
        <f t="shared" si="11"/>
        <v>0</v>
      </c>
      <c r="Q12" s="45">
        <f t="shared" ref="Q12:Q39" si="14">SUM(N12:P12)</f>
        <v>19</v>
      </c>
      <c r="V12" s="97">
        <v>45841</v>
      </c>
      <c r="W12" s="16">
        <v>166908</v>
      </c>
      <c r="X12" s="101" t="s">
        <v>36</v>
      </c>
      <c r="Y12" s="105"/>
      <c r="Z12" s="102">
        <v>0.74767361111111119</v>
      </c>
      <c r="AA12" s="102">
        <v>0.33362268518518517</v>
      </c>
      <c r="AB12" s="16"/>
      <c r="AC12" s="16"/>
      <c r="AD12" s="93">
        <v>19220</v>
      </c>
      <c r="AE12" s="93">
        <f t="shared" si="0"/>
        <v>19.22</v>
      </c>
      <c r="AF12" s="16">
        <v>14.31</v>
      </c>
      <c r="AG12" s="103">
        <f t="shared" si="1"/>
        <v>14</v>
      </c>
      <c r="AH12" s="37">
        <f t="shared" si="2"/>
        <v>19.22</v>
      </c>
      <c r="AJ12" s="97">
        <v>45840</v>
      </c>
      <c r="AL12" t="s">
        <v>5</v>
      </c>
      <c r="AM12" s="16"/>
      <c r="AN12" s="39">
        <v>0.8833333333333333</v>
      </c>
      <c r="AO12" s="39">
        <v>0.95347222222222217</v>
      </c>
      <c r="AP12" s="37">
        <v>3806</v>
      </c>
      <c r="AR12" s="97">
        <v>45840</v>
      </c>
      <c r="AU12" s="21"/>
      <c r="BB12" s="73"/>
      <c r="BC12" s="73"/>
    </row>
    <row r="13" spans="2:62" ht="16" x14ac:dyDescent="0.4">
      <c r="B13" s="1">
        <v>45842</v>
      </c>
      <c r="C13" s="2">
        <f t="shared" si="3"/>
        <v>303.33799999999997</v>
      </c>
      <c r="D13" s="2">
        <f t="shared" si="4"/>
        <v>32.529000000000003</v>
      </c>
      <c r="E13" s="2">
        <f t="shared" si="4"/>
        <v>0</v>
      </c>
      <c r="F13" s="32">
        <f t="shared" si="5"/>
        <v>0</v>
      </c>
      <c r="G13" s="3">
        <f t="shared" si="12"/>
        <v>335.86699999999996</v>
      </c>
      <c r="H13" s="51">
        <f t="shared" si="6"/>
        <v>301.91631999999998</v>
      </c>
      <c r="I13" s="52">
        <f t="shared" si="13"/>
        <v>334.44531999999998</v>
      </c>
      <c r="J13" s="59">
        <f t="shared" si="7"/>
        <v>0</v>
      </c>
      <c r="K13" s="4"/>
      <c r="L13" s="20">
        <f t="shared" si="8"/>
        <v>0</v>
      </c>
      <c r="N13" s="43">
        <f t="shared" si="9"/>
        <v>15</v>
      </c>
      <c r="O13" s="44">
        <f t="shared" si="10"/>
        <v>6</v>
      </c>
      <c r="P13" s="41">
        <f t="shared" si="11"/>
        <v>0</v>
      </c>
      <c r="Q13" s="45">
        <f t="shared" si="14"/>
        <v>21</v>
      </c>
      <c r="V13" s="97">
        <v>45841</v>
      </c>
      <c r="W13" s="16">
        <v>166951</v>
      </c>
      <c r="X13" s="101" t="s">
        <v>36</v>
      </c>
      <c r="Y13" s="105"/>
      <c r="Z13" s="102">
        <v>0.15561342592592595</v>
      </c>
      <c r="AA13" s="102">
        <v>0.40237268518518521</v>
      </c>
      <c r="AB13" s="16"/>
      <c r="AC13" s="16"/>
      <c r="AD13" s="93">
        <v>20136</v>
      </c>
      <c r="AE13" s="93">
        <f t="shared" si="0"/>
        <v>20.135999999999999</v>
      </c>
      <c r="AF13" s="16">
        <v>15.27</v>
      </c>
      <c r="AG13" s="103">
        <f t="shared" si="1"/>
        <v>14</v>
      </c>
      <c r="AH13" s="37">
        <f t="shared" si="2"/>
        <v>20.135999999999999</v>
      </c>
      <c r="AJ13" s="97">
        <v>45840</v>
      </c>
      <c r="AL13" t="s">
        <v>5</v>
      </c>
      <c r="AM13" s="16"/>
      <c r="AN13" s="39">
        <v>6.9444444444444447E-4</v>
      </c>
      <c r="AO13" s="39">
        <v>4.027777777777778E-2</v>
      </c>
      <c r="AP13" s="37">
        <v>2906</v>
      </c>
      <c r="AR13" s="97">
        <v>45840</v>
      </c>
      <c r="AU13" s="21"/>
      <c r="BB13" s="73"/>
      <c r="BC13" s="73"/>
    </row>
    <row r="14" spans="2:62" ht="16" x14ac:dyDescent="0.4">
      <c r="B14" s="1">
        <v>45843</v>
      </c>
      <c r="C14" s="2">
        <f t="shared" si="3"/>
        <v>221.8</v>
      </c>
      <c r="D14" s="2">
        <f t="shared" si="4"/>
        <v>9.3320000000000007</v>
      </c>
      <c r="E14" s="2">
        <f t="shared" si="4"/>
        <v>6.8159999999999998</v>
      </c>
      <c r="F14" s="32">
        <f t="shared" si="5"/>
        <v>5.8920000000000003</v>
      </c>
      <c r="G14" s="3">
        <f t="shared" si="12"/>
        <v>237.94800000000001</v>
      </c>
      <c r="H14" s="51">
        <f t="shared" si="6"/>
        <v>224.4696142857143</v>
      </c>
      <c r="I14" s="52">
        <f t="shared" si="13"/>
        <v>240.6176142857143</v>
      </c>
      <c r="J14" s="59">
        <f t="shared" si="7"/>
        <v>5.8920000000000003</v>
      </c>
      <c r="K14" s="4"/>
      <c r="L14" s="20">
        <f t="shared" si="8"/>
        <v>5.8920000000000003</v>
      </c>
      <c r="N14" s="43">
        <f t="shared" si="9"/>
        <v>13</v>
      </c>
      <c r="O14" s="44">
        <f t="shared" si="10"/>
        <v>3</v>
      </c>
      <c r="P14" s="41">
        <f t="shared" si="11"/>
        <v>1</v>
      </c>
      <c r="Q14" s="45">
        <f t="shared" si="14"/>
        <v>17</v>
      </c>
      <c r="V14" s="97">
        <v>45841</v>
      </c>
      <c r="W14" s="16">
        <v>167043</v>
      </c>
      <c r="X14" s="101" t="s">
        <v>36</v>
      </c>
      <c r="Y14" s="105"/>
      <c r="Z14" s="102">
        <v>0.38501157407407405</v>
      </c>
      <c r="AA14" s="102">
        <v>0.49898148148148147</v>
      </c>
      <c r="AB14" s="16"/>
      <c r="AC14" s="16"/>
      <c r="AD14" s="93">
        <v>21138</v>
      </c>
      <c r="AE14" s="93">
        <f t="shared" si="0"/>
        <v>21.138000000000002</v>
      </c>
      <c r="AF14" s="16">
        <v>13.62</v>
      </c>
      <c r="AG14" s="103">
        <f t="shared" si="1"/>
        <v>13.62</v>
      </c>
      <c r="AH14" s="37">
        <f t="shared" si="2"/>
        <v>20.564254285714288</v>
      </c>
      <c r="AJ14" s="97">
        <v>45840</v>
      </c>
      <c r="AL14" t="s">
        <v>5</v>
      </c>
      <c r="AM14" s="16"/>
      <c r="AN14" s="39">
        <v>2.0833333333333333E-3</v>
      </c>
      <c r="AO14" s="39">
        <v>5.486111111111111E-2</v>
      </c>
      <c r="AP14" s="37">
        <v>3844</v>
      </c>
      <c r="AR14" s="97">
        <v>45840</v>
      </c>
      <c r="AU14" s="21"/>
      <c r="BB14" s="73"/>
      <c r="BC14" s="73"/>
    </row>
    <row r="15" spans="2:62" ht="16" x14ac:dyDescent="0.4">
      <c r="B15" s="1">
        <v>45844</v>
      </c>
      <c r="C15" s="2">
        <f t="shared" si="3"/>
        <v>301.50400000000002</v>
      </c>
      <c r="D15" s="2">
        <f t="shared" si="4"/>
        <v>23.831</v>
      </c>
      <c r="E15" s="2">
        <f t="shared" si="4"/>
        <v>0</v>
      </c>
      <c r="F15" s="32">
        <f t="shared" si="5"/>
        <v>0</v>
      </c>
      <c r="G15" s="3">
        <f t="shared" si="12"/>
        <v>325.33500000000004</v>
      </c>
      <c r="H15" s="51">
        <f t="shared" si="6"/>
        <v>299.85278857142856</v>
      </c>
      <c r="I15" s="52">
        <f t="shared" si="13"/>
        <v>323.68378857142858</v>
      </c>
      <c r="J15" s="59">
        <f t="shared" si="7"/>
        <v>0</v>
      </c>
      <c r="K15" s="4"/>
      <c r="L15" s="20">
        <f t="shared" si="8"/>
        <v>0</v>
      </c>
      <c r="N15" s="43">
        <f t="shared" si="9"/>
        <v>15</v>
      </c>
      <c r="O15" s="44">
        <f t="shared" si="10"/>
        <v>6</v>
      </c>
      <c r="P15" s="41">
        <f t="shared" si="11"/>
        <v>0</v>
      </c>
      <c r="Q15" s="45">
        <f t="shared" si="14"/>
        <v>21</v>
      </c>
      <c r="V15" s="97">
        <v>45841</v>
      </c>
      <c r="W15" s="16">
        <v>167064</v>
      </c>
      <c r="X15" s="101" t="s">
        <v>36</v>
      </c>
      <c r="Y15" s="105"/>
      <c r="Z15" s="102">
        <v>0.15813657407407408</v>
      </c>
      <c r="AA15" s="102">
        <v>0.55706018518518519</v>
      </c>
      <c r="AB15" s="16"/>
      <c r="AC15" s="16"/>
      <c r="AD15" s="93">
        <v>19084</v>
      </c>
      <c r="AE15" s="93">
        <f t="shared" si="0"/>
        <v>19.084</v>
      </c>
      <c r="AF15" s="16">
        <v>15.45</v>
      </c>
      <c r="AG15" s="103">
        <f t="shared" si="1"/>
        <v>14</v>
      </c>
      <c r="AH15" s="37">
        <f t="shared" si="2"/>
        <v>19.084</v>
      </c>
      <c r="AJ15" s="97">
        <v>45840</v>
      </c>
      <c r="AL15" t="s">
        <v>5</v>
      </c>
      <c r="AM15" s="16"/>
      <c r="AN15" s="39">
        <v>6.458333333333334E-2</v>
      </c>
      <c r="AO15" s="39">
        <v>9.0972222222222218E-2</v>
      </c>
      <c r="AP15" s="37">
        <v>706</v>
      </c>
      <c r="AR15" s="97">
        <v>45840</v>
      </c>
      <c r="AU15" s="21"/>
      <c r="BB15" s="73"/>
      <c r="BC15" s="73"/>
    </row>
    <row r="16" spans="2:62" ht="16" x14ac:dyDescent="0.4">
      <c r="B16" s="1">
        <v>45845</v>
      </c>
      <c r="C16" s="2">
        <f t="shared" si="3"/>
        <v>186.11799999999999</v>
      </c>
      <c r="D16" s="2">
        <f t="shared" si="4"/>
        <v>44.637</v>
      </c>
      <c r="E16" s="2">
        <f t="shared" si="4"/>
        <v>0</v>
      </c>
      <c r="F16" s="32">
        <f t="shared" si="5"/>
        <v>4.016</v>
      </c>
      <c r="G16" s="3">
        <f t="shared" si="12"/>
        <v>230.755</v>
      </c>
      <c r="H16" s="51">
        <f t="shared" si="6"/>
        <v>182.54662857142858</v>
      </c>
      <c r="I16" s="52">
        <f t="shared" si="13"/>
        <v>227.18362857142859</v>
      </c>
      <c r="J16" s="59">
        <f t="shared" si="7"/>
        <v>0</v>
      </c>
      <c r="K16" s="4"/>
      <c r="L16" s="20">
        <f t="shared" si="8"/>
        <v>0</v>
      </c>
      <c r="N16" s="43">
        <f t="shared" si="9"/>
        <v>10</v>
      </c>
      <c r="O16" s="44">
        <f t="shared" si="10"/>
        <v>11</v>
      </c>
      <c r="P16" s="41">
        <f t="shared" si="11"/>
        <v>0</v>
      </c>
      <c r="Q16" s="45">
        <f t="shared" si="14"/>
        <v>21</v>
      </c>
      <c r="V16" s="97">
        <v>45841</v>
      </c>
      <c r="W16" s="16">
        <v>167100</v>
      </c>
      <c r="X16" s="101" t="s">
        <v>36</v>
      </c>
      <c r="Y16" s="105"/>
      <c r="Z16" s="102">
        <v>0.38513888888888892</v>
      </c>
      <c r="AA16" s="102">
        <v>0.61248842592592589</v>
      </c>
      <c r="AB16" s="16"/>
      <c r="AC16" s="16"/>
      <c r="AD16" s="93">
        <v>21190</v>
      </c>
      <c r="AE16" s="93">
        <f t="shared" si="0"/>
        <v>21.19</v>
      </c>
      <c r="AF16" s="16">
        <v>15.8</v>
      </c>
      <c r="AG16" s="103">
        <f t="shared" si="1"/>
        <v>14</v>
      </c>
      <c r="AH16" s="37">
        <f t="shared" si="2"/>
        <v>21.19</v>
      </c>
      <c r="AJ16" s="97">
        <v>45841</v>
      </c>
      <c r="AL16" t="s">
        <v>5</v>
      </c>
      <c r="AM16" s="16"/>
      <c r="AN16" s="81">
        <v>0.52613425925925927</v>
      </c>
      <c r="AO16" s="81">
        <v>0.54251157407407413</v>
      </c>
      <c r="AP16" s="37">
        <v>3648</v>
      </c>
      <c r="AQ16" t="s">
        <v>1460</v>
      </c>
      <c r="AR16" s="97">
        <v>45841</v>
      </c>
      <c r="AU16" s="21"/>
      <c r="BB16" s="73"/>
      <c r="BC16" s="73"/>
    </row>
    <row r="17" spans="2:55" ht="16" x14ac:dyDescent="0.4">
      <c r="B17" s="1">
        <v>45846</v>
      </c>
      <c r="C17" s="2">
        <f t="shared" si="3"/>
        <v>240.45599999999996</v>
      </c>
      <c r="D17" s="2">
        <f t="shared" si="4"/>
        <v>112.31</v>
      </c>
      <c r="E17" s="2">
        <f t="shared" si="4"/>
        <v>0</v>
      </c>
      <c r="F17" s="32">
        <f t="shared" si="5"/>
        <v>5.6280000000000001</v>
      </c>
      <c r="G17" s="3">
        <f t="shared" si="12"/>
        <v>352.76599999999996</v>
      </c>
      <c r="H17" s="51">
        <f t="shared" si="6"/>
        <v>244.05297142857142</v>
      </c>
      <c r="I17" s="52">
        <f t="shared" si="13"/>
        <v>356.36297142857143</v>
      </c>
      <c r="J17" s="59">
        <f t="shared" si="7"/>
        <v>5.6280000000000001</v>
      </c>
      <c r="K17" s="4"/>
      <c r="L17" s="20">
        <f t="shared" si="8"/>
        <v>5.6280000000000001</v>
      </c>
      <c r="N17" s="43">
        <f t="shared" si="9"/>
        <v>13</v>
      </c>
      <c r="O17" s="44">
        <f t="shared" si="10"/>
        <v>30</v>
      </c>
      <c r="P17" s="41">
        <f t="shared" si="11"/>
        <v>0</v>
      </c>
      <c r="Q17" s="45">
        <f t="shared" si="14"/>
        <v>43</v>
      </c>
      <c r="S17" t="s">
        <v>48</v>
      </c>
      <c r="V17" s="97">
        <v>45841</v>
      </c>
      <c r="W17" s="16">
        <v>167155</v>
      </c>
      <c r="X17" s="101" t="s">
        <v>36</v>
      </c>
      <c r="Y17" s="105"/>
      <c r="Z17" s="102">
        <v>0.61577546296296293</v>
      </c>
      <c r="AA17" s="102">
        <v>0.66995370370370377</v>
      </c>
      <c r="AB17" s="16"/>
      <c r="AC17" s="16"/>
      <c r="AD17" s="93">
        <v>22296</v>
      </c>
      <c r="AE17" s="93">
        <f t="shared" si="0"/>
        <v>22.295999999999999</v>
      </c>
      <c r="AF17" s="16">
        <v>15.91</v>
      </c>
      <c r="AG17" s="103">
        <f t="shared" si="1"/>
        <v>14</v>
      </c>
      <c r="AH17" s="37">
        <f t="shared" si="2"/>
        <v>22.295999999999999</v>
      </c>
      <c r="AJ17" s="97">
        <v>45841</v>
      </c>
      <c r="AL17" t="s">
        <v>5</v>
      </c>
      <c r="AM17" s="16"/>
      <c r="AN17" s="81">
        <v>0.46023148148148146</v>
      </c>
      <c r="AO17" s="81">
        <v>0.48289351851851853</v>
      </c>
      <c r="AP17" s="37">
        <v>2426</v>
      </c>
      <c r="AQ17" t="s">
        <v>1461</v>
      </c>
      <c r="AR17" s="97">
        <v>45841</v>
      </c>
      <c r="AU17" s="21"/>
      <c r="BB17" s="73"/>
      <c r="BC17" s="73"/>
    </row>
    <row r="18" spans="2:55" ht="16" x14ac:dyDescent="0.4">
      <c r="B18" s="1">
        <v>45847</v>
      </c>
      <c r="C18" s="2">
        <f t="shared" si="3"/>
        <v>267.28399999999993</v>
      </c>
      <c r="D18" s="2">
        <f t="shared" si="4"/>
        <v>63.360999999999997</v>
      </c>
      <c r="E18" s="2">
        <f t="shared" si="4"/>
        <v>6.492</v>
      </c>
      <c r="F18" s="32">
        <f t="shared" si="5"/>
        <v>0</v>
      </c>
      <c r="G18" s="3">
        <f t="shared" si="12"/>
        <v>337.13699999999994</v>
      </c>
      <c r="H18" s="51">
        <f t="shared" si="6"/>
        <v>265.54739000000001</v>
      </c>
      <c r="I18" s="52">
        <f t="shared" si="13"/>
        <v>335.40039000000002</v>
      </c>
      <c r="J18" s="59">
        <f t="shared" si="7"/>
        <v>0</v>
      </c>
      <c r="K18" s="4"/>
      <c r="L18" s="20">
        <f t="shared" si="8"/>
        <v>0</v>
      </c>
      <c r="N18" s="43">
        <f t="shared" si="9"/>
        <v>13</v>
      </c>
      <c r="O18" s="44">
        <f t="shared" si="10"/>
        <v>15</v>
      </c>
      <c r="P18" s="41">
        <f t="shared" si="11"/>
        <v>1</v>
      </c>
      <c r="Q18" s="45">
        <f t="shared" si="14"/>
        <v>29</v>
      </c>
      <c r="V18" s="97">
        <v>45841</v>
      </c>
      <c r="W18" s="16">
        <v>167178</v>
      </c>
      <c r="X18" s="101" t="s">
        <v>36</v>
      </c>
      <c r="Y18" s="105"/>
      <c r="Z18" s="102">
        <v>0.38526620370370374</v>
      </c>
      <c r="AA18" s="102">
        <v>0.72850694444444442</v>
      </c>
      <c r="AB18" s="16"/>
      <c r="AC18" s="16"/>
      <c r="AD18" s="93">
        <v>20538</v>
      </c>
      <c r="AE18" s="93">
        <f t="shared" si="0"/>
        <v>20.538</v>
      </c>
      <c r="AF18" s="16">
        <v>14.99</v>
      </c>
      <c r="AG18" s="103">
        <f t="shared" si="1"/>
        <v>14</v>
      </c>
      <c r="AH18" s="37">
        <f t="shared" si="2"/>
        <v>20.538</v>
      </c>
      <c r="AJ18" s="97">
        <v>45841</v>
      </c>
      <c r="AL18" t="s">
        <v>5</v>
      </c>
      <c r="AM18" s="16"/>
      <c r="AN18" s="81">
        <v>0.6109606481481481</v>
      </c>
      <c r="AO18" s="81">
        <v>0.64418981481481474</v>
      </c>
      <c r="AP18" s="37">
        <v>3112</v>
      </c>
      <c r="AR18" s="97">
        <v>45841</v>
      </c>
      <c r="AU18" s="21"/>
      <c r="BB18" s="73"/>
      <c r="BC18" s="73"/>
    </row>
    <row r="19" spans="2:55" ht="16" x14ac:dyDescent="0.4">
      <c r="B19" s="1">
        <v>45848</v>
      </c>
      <c r="C19" s="2">
        <f t="shared" si="3"/>
        <v>298.69799999999998</v>
      </c>
      <c r="D19" s="2">
        <f t="shared" si="4"/>
        <v>13.231999999999999</v>
      </c>
      <c r="E19" s="2">
        <f t="shared" si="4"/>
        <v>0</v>
      </c>
      <c r="F19" s="32">
        <f t="shared" si="5"/>
        <v>0</v>
      </c>
      <c r="G19" s="3">
        <f t="shared" si="12"/>
        <v>311.92999999999995</v>
      </c>
      <c r="H19" s="51">
        <f t="shared" si="6"/>
        <v>298.69799999999998</v>
      </c>
      <c r="I19" s="52">
        <f t="shared" si="13"/>
        <v>311.92999999999995</v>
      </c>
      <c r="J19" s="59">
        <f t="shared" si="7"/>
        <v>0</v>
      </c>
      <c r="K19" s="4"/>
      <c r="L19" s="20">
        <f t="shared" si="8"/>
        <v>0</v>
      </c>
      <c r="N19" s="43">
        <f t="shared" si="9"/>
        <v>15</v>
      </c>
      <c r="O19" s="44">
        <f t="shared" si="10"/>
        <v>4</v>
      </c>
      <c r="P19" s="41">
        <f t="shared" si="11"/>
        <v>0</v>
      </c>
      <c r="Q19" s="45">
        <f t="shared" si="14"/>
        <v>19</v>
      </c>
      <c r="V19" s="97">
        <v>45841</v>
      </c>
      <c r="W19" s="16">
        <v>167199</v>
      </c>
      <c r="X19" s="101" t="s">
        <v>36</v>
      </c>
      <c r="Y19" s="105"/>
      <c r="Z19" s="102">
        <v>0.61527777777777781</v>
      </c>
      <c r="AA19" s="102">
        <v>0.79999999999999993</v>
      </c>
      <c r="AB19" s="16"/>
      <c r="AC19" s="16"/>
      <c r="AD19" s="93">
        <v>20026</v>
      </c>
      <c r="AE19" s="93">
        <f t="shared" si="0"/>
        <v>20.026</v>
      </c>
      <c r="AF19" s="16">
        <v>15.77</v>
      </c>
      <c r="AG19" s="103">
        <f t="shared" si="1"/>
        <v>14</v>
      </c>
      <c r="AH19" s="37">
        <f t="shared" si="2"/>
        <v>20.026</v>
      </c>
      <c r="AJ19" s="97">
        <v>45841</v>
      </c>
      <c r="AL19" t="s">
        <v>5</v>
      </c>
      <c r="AM19" s="16"/>
      <c r="AN19" s="39">
        <v>0.63124999999999998</v>
      </c>
      <c r="AO19" s="39">
        <v>0.75</v>
      </c>
      <c r="AP19" s="37">
        <v>4560</v>
      </c>
      <c r="AR19" s="97">
        <v>45841</v>
      </c>
      <c r="AU19" s="21"/>
      <c r="BB19" s="73"/>
      <c r="BC19" s="73"/>
    </row>
    <row r="20" spans="2:55" ht="16" x14ac:dyDescent="0.4">
      <c r="B20" s="1">
        <v>45849</v>
      </c>
      <c r="C20" s="2">
        <f t="shared" si="3"/>
        <v>168.53800000000001</v>
      </c>
      <c r="D20" s="2">
        <f t="shared" si="4"/>
        <v>18.893999999999998</v>
      </c>
      <c r="E20" s="2">
        <f t="shared" si="4"/>
        <v>0</v>
      </c>
      <c r="F20" s="32">
        <f t="shared" si="5"/>
        <v>2.8220000000000001</v>
      </c>
      <c r="G20" s="3">
        <f t="shared" si="12"/>
        <v>187.43200000000002</v>
      </c>
      <c r="H20" s="51">
        <f t="shared" si="6"/>
        <v>165.5045242857143</v>
      </c>
      <c r="I20" s="52">
        <f t="shared" si="13"/>
        <v>184.3985242857143</v>
      </c>
      <c r="J20" s="59">
        <f t="shared" si="7"/>
        <v>0</v>
      </c>
      <c r="K20" s="4"/>
      <c r="L20" s="20">
        <f t="shared" si="8"/>
        <v>0</v>
      </c>
      <c r="N20" s="43">
        <f t="shared" si="9"/>
        <v>9</v>
      </c>
      <c r="O20" s="44">
        <f t="shared" si="10"/>
        <v>5</v>
      </c>
      <c r="P20" s="41">
        <f t="shared" si="11"/>
        <v>0</v>
      </c>
      <c r="Q20" s="45">
        <f t="shared" si="14"/>
        <v>14</v>
      </c>
      <c r="V20" s="97">
        <v>45841</v>
      </c>
      <c r="W20" s="16">
        <v>167236</v>
      </c>
      <c r="X20" s="101" t="s">
        <v>36</v>
      </c>
      <c r="Y20" s="105"/>
      <c r="Z20" s="102">
        <v>0.21319444444444444</v>
      </c>
      <c r="AA20" s="102">
        <v>0.86805555555555547</v>
      </c>
      <c r="AB20" s="16"/>
      <c r="AC20" s="16"/>
      <c r="AD20" s="93">
        <v>20104</v>
      </c>
      <c r="AE20" s="93">
        <f t="shared" si="0"/>
        <v>20.103999999999999</v>
      </c>
      <c r="AF20" s="16">
        <v>14.84</v>
      </c>
      <c r="AG20" s="103">
        <f t="shared" si="1"/>
        <v>14</v>
      </c>
      <c r="AH20" s="37">
        <f t="shared" si="2"/>
        <v>20.104000000000003</v>
      </c>
      <c r="AJ20" s="97">
        <v>45842</v>
      </c>
      <c r="AK20">
        <v>167310</v>
      </c>
      <c r="AL20" t="s">
        <v>5</v>
      </c>
      <c r="AM20" s="16"/>
      <c r="AN20" s="81">
        <v>0.61859953703703707</v>
      </c>
      <c r="AP20" s="37">
        <v>5042</v>
      </c>
      <c r="AQ20" t="s">
        <v>1442</v>
      </c>
      <c r="AR20" s="97">
        <v>45842</v>
      </c>
      <c r="AU20" s="21"/>
      <c r="BB20" s="73"/>
      <c r="BC20" s="73"/>
    </row>
    <row r="21" spans="2:55" ht="16" x14ac:dyDescent="0.4">
      <c r="B21" s="1">
        <v>45850</v>
      </c>
      <c r="C21" s="2">
        <f t="shared" si="3"/>
        <v>247.42799999999997</v>
      </c>
      <c r="D21" s="2">
        <f t="shared" si="4"/>
        <v>28.125</v>
      </c>
      <c r="E21" s="2">
        <f t="shared" si="4"/>
        <v>0</v>
      </c>
      <c r="F21" s="32">
        <f t="shared" si="5"/>
        <v>0</v>
      </c>
      <c r="G21" s="3">
        <f t="shared" si="12"/>
        <v>275.553</v>
      </c>
      <c r="H21" s="51">
        <f t="shared" si="6"/>
        <v>245.49543285714284</v>
      </c>
      <c r="I21" s="52">
        <f t="shared" si="13"/>
        <v>273.62043285714287</v>
      </c>
      <c r="J21" s="59">
        <f t="shared" si="7"/>
        <v>0</v>
      </c>
      <c r="K21" s="4"/>
      <c r="L21" s="20">
        <f t="shared" si="8"/>
        <v>0</v>
      </c>
      <c r="N21" s="43">
        <f t="shared" si="9"/>
        <v>12</v>
      </c>
      <c r="O21" s="44">
        <f t="shared" si="10"/>
        <v>8</v>
      </c>
      <c r="P21" s="41">
        <f t="shared" si="11"/>
        <v>0</v>
      </c>
      <c r="Q21" s="45">
        <f t="shared" si="14"/>
        <v>20</v>
      </c>
      <c r="V21" s="97">
        <v>45841</v>
      </c>
      <c r="W21" s="16">
        <v>167262</v>
      </c>
      <c r="X21" s="101" t="s">
        <v>36</v>
      </c>
      <c r="Y21" s="105"/>
      <c r="Z21" s="102">
        <v>0.61527777777777781</v>
      </c>
      <c r="AA21" s="102">
        <v>0.93958333333333333</v>
      </c>
      <c r="AB21" s="16"/>
      <c r="AC21" s="16"/>
      <c r="AD21" s="93">
        <v>20272</v>
      </c>
      <c r="AE21" s="93">
        <f t="shared" si="0"/>
        <v>20.271999999999998</v>
      </c>
      <c r="AF21" s="16">
        <v>15.52</v>
      </c>
      <c r="AG21" s="103">
        <f t="shared" si="1"/>
        <v>14</v>
      </c>
      <c r="AH21" s="37">
        <f t="shared" si="2"/>
        <v>20.271999999999998</v>
      </c>
      <c r="AJ21" s="97">
        <v>45842</v>
      </c>
      <c r="AK21">
        <v>167308</v>
      </c>
      <c r="AL21" t="s">
        <v>5</v>
      </c>
      <c r="AM21" s="16"/>
      <c r="AN21" s="81">
        <v>7.4837962962962967E-2</v>
      </c>
      <c r="AP21" s="37">
        <v>1954</v>
      </c>
      <c r="AQ21" t="s">
        <v>1442</v>
      </c>
      <c r="AR21" s="97">
        <v>45842</v>
      </c>
      <c r="AU21" s="21"/>
      <c r="BB21" s="73"/>
      <c r="BC21" s="73"/>
    </row>
    <row r="22" spans="2:55" ht="16" x14ac:dyDescent="0.4">
      <c r="B22" s="1">
        <v>45851</v>
      </c>
      <c r="C22" s="2">
        <f t="shared" si="3"/>
        <v>119.292</v>
      </c>
      <c r="D22" s="2">
        <f t="shared" si="4"/>
        <v>0</v>
      </c>
      <c r="E22" s="2">
        <f t="shared" si="4"/>
        <v>0</v>
      </c>
      <c r="F22" s="32">
        <f t="shared" si="5"/>
        <v>0</v>
      </c>
      <c r="G22" s="3">
        <f t="shared" si="12"/>
        <v>119.292</v>
      </c>
      <c r="H22" s="51">
        <f t="shared" si="6"/>
        <v>117.83761714285714</v>
      </c>
      <c r="I22" s="52">
        <f t="shared" si="13"/>
        <v>117.83761714285714</v>
      </c>
      <c r="J22" s="59">
        <f t="shared" si="7"/>
        <v>0</v>
      </c>
      <c r="K22" s="4"/>
      <c r="L22" s="20">
        <f t="shared" si="8"/>
        <v>0</v>
      </c>
      <c r="N22" s="43">
        <f t="shared" si="9"/>
        <v>6</v>
      </c>
      <c r="O22" s="44">
        <f t="shared" si="10"/>
        <v>0</v>
      </c>
      <c r="P22" s="41">
        <f t="shared" si="11"/>
        <v>0</v>
      </c>
      <c r="Q22" s="45">
        <f t="shared" si="14"/>
        <v>6</v>
      </c>
      <c r="V22" s="97">
        <v>45842</v>
      </c>
      <c r="W22" s="16">
        <v>167279</v>
      </c>
      <c r="X22" s="101" t="s">
        <v>36</v>
      </c>
      <c r="Y22" s="105"/>
      <c r="Z22" s="102">
        <v>0.92083333333333339</v>
      </c>
      <c r="AA22" s="102">
        <v>2.8472222222222222E-2</v>
      </c>
      <c r="AB22" s="16"/>
      <c r="AC22" s="16"/>
      <c r="AD22" s="93">
        <v>20878</v>
      </c>
      <c r="AE22" s="93">
        <f t="shared" si="0"/>
        <v>20.878</v>
      </c>
      <c r="AF22" s="16">
        <v>15.66</v>
      </c>
      <c r="AG22" s="103">
        <f t="shared" si="1"/>
        <v>14</v>
      </c>
      <c r="AH22" s="37">
        <f t="shared" si="2"/>
        <v>20.878000000000004</v>
      </c>
      <c r="AJ22" s="97">
        <v>45842</v>
      </c>
      <c r="AK22">
        <v>167306</v>
      </c>
      <c r="AL22" t="s">
        <v>5</v>
      </c>
      <c r="AP22" s="37">
        <v>6322</v>
      </c>
      <c r="AQ22" t="s">
        <v>1442</v>
      </c>
      <c r="AR22" s="97">
        <v>45842</v>
      </c>
      <c r="AU22" s="21"/>
      <c r="BB22" s="73"/>
      <c r="BC22" s="73"/>
    </row>
    <row r="23" spans="2:55" ht="16" x14ac:dyDescent="0.4">
      <c r="B23" s="1">
        <v>45852</v>
      </c>
      <c r="C23" s="2">
        <f t="shared" si="3"/>
        <v>42.644000000000005</v>
      </c>
      <c r="D23" s="2">
        <f t="shared" si="4"/>
        <v>28.39</v>
      </c>
      <c r="E23" s="2">
        <f t="shared" si="4"/>
        <v>0</v>
      </c>
      <c r="F23" s="32">
        <f t="shared" si="5"/>
        <v>0</v>
      </c>
      <c r="G23" s="3">
        <f t="shared" si="12"/>
        <v>71.034000000000006</v>
      </c>
      <c r="H23" s="51">
        <f t="shared" si="6"/>
        <v>42.644000000000005</v>
      </c>
      <c r="I23" s="52">
        <f t="shared" si="13"/>
        <v>71.034000000000006</v>
      </c>
      <c r="J23" s="59">
        <f t="shared" si="7"/>
        <v>0</v>
      </c>
      <c r="K23" s="4"/>
      <c r="L23" s="20">
        <f t="shared" si="8"/>
        <v>0</v>
      </c>
      <c r="N23" s="43">
        <f t="shared" si="9"/>
        <v>2</v>
      </c>
      <c r="O23" s="44">
        <f t="shared" si="10"/>
        <v>9</v>
      </c>
      <c r="P23" s="41">
        <f t="shared" si="11"/>
        <v>0</v>
      </c>
      <c r="Q23" s="45">
        <f t="shared" si="14"/>
        <v>11</v>
      </c>
      <c r="V23" s="97">
        <v>45842</v>
      </c>
      <c r="W23" s="16">
        <v>167293</v>
      </c>
      <c r="X23" s="101" t="s">
        <v>36</v>
      </c>
      <c r="Y23" s="105"/>
      <c r="Z23" s="102">
        <v>0.98611111111111116</v>
      </c>
      <c r="AA23" s="102">
        <v>7.3611111111111113E-2</v>
      </c>
      <c r="AB23" s="16"/>
      <c r="AC23" s="16"/>
      <c r="AD23" s="93">
        <v>20740</v>
      </c>
      <c r="AE23" s="93">
        <f t="shared" si="0"/>
        <v>20.74</v>
      </c>
      <c r="AF23" s="16">
        <v>14.06</v>
      </c>
      <c r="AG23" s="103">
        <f t="shared" si="1"/>
        <v>14</v>
      </c>
      <c r="AH23" s="37">
        <f t="shared" si="2"/>
        <v>20.74</v>
      </c>
      <c r="AJ23" s="97">
        <v>45842</v>
      </c>
      <c r="AK23">
        <v>167313</v>
      </c>
      <c r="AL23" t="s">
        <v>5</v>
      </c>
      <c r="AN23" s="81">
        <v>0.59187500000000004</v>
      </c>
      <c r="AP23" s="37">
        <v>7260</v>
      </c>
      <c r="AQ23" t="s">
        <v>1442</v>
      </c>
      <c r="AR23" s="97">
        <v>45842</v>
      </c>
      <c r="AU23" s="21"/>
      <c r="BB23" s="73"/>
      <c r="BC23" s="73"/>
    </row>
    <row r="24" spans="2:55" ht="16" x14ac:dyDescent="0.4">
      <c r="B24" s="1">
        <v>45853</v>
      </c>
      <c r="C24" s="2">
        <f t="shared" si="3"/>
        <v>282.15800000000002</v>
      </c>
      <c r="D24" s="2">
        <f t="shared" si="4"/>
        <v>16.78</v>
      </c>
      <c r="E24" s="2">
        <f t="shared" si="4"/>
        <v>0</v>
      </c>
      <c r="F24" s="32">
        <f t="shared" si="5"/>
        <v>0</v>
      </c>
      <c r="G24" s="3">
        <f t="shared" si="12"/>
        <v>298.93799999999999</v>
      </c>
      <c r="H24" s="51">
        <f t="shared" si="6"/>
        <v>281.06287142857144</v>
      </c>
      <c r="I24" s="52">
        <f t="shared" si="13"/>
        <v>297.84287142857147</v>
      </c>
      <c r="J24" s="59">
        <f t="shared" si="7"/>
        <v>0</v>
      </c>
      <c r="K24" s="4"/>
      <c r="L24" s="20">
        <f t="shared" si="8"/>
        <v>0</v>
      </c>
      <c r="N24" s="43">
        <f t="shared" si="9"/>
        <v>13</v>
      </c>
      <c r="O24" s="44">
        <f t="shared" si="10"/>
        <v>5</v>
      </c>
      <c r="P24" s="41">
        <f t="shared" si="11"/>
        <v>0</v>
      </c>
      <c r="Q24" s="45">
        <f t="shared" si="14"/>
        <v>18</v>
      </c>
      <c r="V24" s="97">
        <v>45842</v>
      </c>
      <c r="W24" s="16">
        <v>167302</v>
      </c>
      <c r="X24" s="101" t="s">
        <v>36</v>
      </c>
      <c r="Y24" s="105"/>
      <c r="Z24" s="102">
        <v>0.92013888888888884</v>
      </c>
      <c r="AA24" s="102">
        <v>0.13333333333333333</v>
      </c>
      <c r="AB24" s="16"/>
      <c r="AC24" s="16"/>
      <c r="AD24" s="93">
        <v>20328</v>
      </c>
      <c r="AE24" s="93">
        <f t="shared" si="0"/>
        <v>20.327999999999999</v>
      </c>
      <c r="AF24" s="16">
        <v>14.87</v>
      </c>
      <c r="AG24" s="103">
        <f t="shared" si="1"/>
        <v>14</v>
      </c>
      <c r="AH24" s="37">
        <f t="shared" si="2"/>
        <v>20.327999999999999</v>
      </c>
      <c r="AJ24" s="97">
        <v>45842</v>
      </c>
      <c r="AK24">
        <v>167312</v>
      </c>
      <c r="AL24" t="s">
        <v>5</v>
      </c>
      <c r="AN24" s="81">
        <v>0.28505787037037039</v>
      </c>
      <c r="AP24" s="37">
        <v>5951</v>
      </c>
      <c r="AQ24" t="s">
        <v>1442</v>
      </c>
      <c r="AR24" s="97">
        <v>45842</v>
      </c>
      <c r="AU24" s="21"/>
      <c r="BB24" s="73"/>
      <c r="BC24" s="73"/>
    </row>
    <row r="25" spans="2:55" ht="16" x14ac:dyDescent="0.4">
      <c r="B25" s="1">
        <v>45854</v>
      </c>
      <c r="C25" s="2">
        <f t="shared" si="3"/>
        <v>288.20800000000003</v>
      </c>
      <c r="D25" s="2">
        <f t="shared" si="4"/>
        <v>48.948</v>
      </c>
      <c r="E25" s="2">
        <f t="shared" si="4"/>
        <v>0</v>
      </c>
      <c r="F25" s="32">
        <f t="shared" si="5"/>
        <v>0</v>
      </c>
      <c r="G25" s="3">
        <f t="shared" si="12"/>
        <v>337.15600000000001</v>
      </c>
      <c r="H25" s="51">
        <f t="shared" si="6"/>
        <v>286.12997000000001</v>
      </c>
      <c r="I25" s="52">
        <f t="shared" si="13"/>
        <v>335.07796999999999</v>
      </c>
      <c r="J25" s="59">
        <f t="shared" si="7"/>
        <v>0</v>
      </c>
      <c r="K25" s="4"/>
      <c r="L25" s="20">
        <f t="shared" si="8"/>
        <v>0</v>
      </c>
      <c r="N25" s="43">
        <f t="shared" si="9"/>
        <v>14</v>
      </c>
      <c r="O25" s="44">
        <f t="shared" si="10"/>
        <v>12</v>
      </c>
      <c r="P25" s="41">
        <f t="shared" si="11"/>
        <v>0</v>
      </c>
      <c r="Q25" s="45">
        <f t="shared" si="14"/>
        <v>26</v>
      </c>
      <c r="V25" s="97">
        <v>45842</v>
      </c>
      <c r="W25" s="16">
        <v>167321</v>
      </c>
      <c r="X25" s="101" t="s">
        <v>36</v>
      </c>
      <c r="Y25" s="105"/>
      <c r="Z25" s="102">
        <v>0.98611111111111116</v>
      </c>
      <c r="AA25" s="102">
        <v>0.18611111111111112</v>
      </c>
      <c r="AB25" s="16"/>
      <c r="AC25" s="16"/>
      <c r="AD25" s="93">
        <v>20352</v>
      </c>
      <c r="AE25" s="93">
        <f t="shared" si="0"/>
        <v>20.352</v>
      </c>
      <c r="AF25" s="16">
        <v>14.91</v>
      </c>
      <c r="AG25" s="103">
        <f t="shared" si="1"/>
        <v>14</v>
      </c>
      <c r="AH25" s="37">
        <f t="shared" si="2"/>
        <v>20.352</v>
      </c>
      <c r="AJ25" s="97">
        <v>45842</v>
      </c>
      <c r="AK25">
        <v>167307</v>
      </c>
      <c r="AL25" t="s">
        <v>5</v>
      </c>
      <c r="AN25" s="81">
        <v>8.59375E-2</v>
      </c>
      <c r="AP25" s="37">
        <v>6000</v>
      </c>
      <c r="AQ25" t="s">
        <v>1442</v>
      </c>
      <c r="AR25" s="97">
        <v>45842</v>
      </c>
      <c r="AU25" s="21"/>
      <c r="BB25" s="73"/>
      <c r="BC25" s="73"/>
    </row>
    <row r="26" spans="2:55" ht="16" x14ac:dyDescent="0.4">
      <c r="B26" s="1">
        <v>45855</v>
      </c>
      <c r="C26" s="2">
        <f t="shared" si="3"/>
        <v>114.532</v>
      </c>
      <c r="D26" s="2">
        <f t="shared" si="4"/>
        <v>26.591999999999999</v>
      </c>
      <c r="E26" s="2">
        <f t="shared" si="4"/>
        <v>0</v>
      </c>
      <c r="F26" s="32">
        <f t="shared" si="5"/>
        <v>0</v>
      </c>
      <c r="G26" s="3">
        <f t="shared" si="12"/>
        <v>141.124</v>
      </c>
      <c r="H26" s="51">
        <f t="shared" si="6"/>
        <v>113.14256</v>
      </c>
      <c r="I26" s="52">
        <f t="shared" si="13"/>
        <v>139.73455999999999</v>
      </c>
      <c r="J26" s="59">
        <f t="shared" si="7"/>
        <v>0</v>
      </c>
      <c r="K26" s="4"/>
      <c r="L26" s="20">
        <f t="shared" si="8"/>
        <v>0</v>
      </c>
      <c r="N26" s="43">
        <f t="shared" si="9"/>
        <v>6</v>
      </c>
      <c r="O26" s="44">
        <f t="shared" si="10"/>
        <v>6</v>
      </c>
      <c r="P26" s="41">
        <f t="shared" si="11"/>
        <v>0</v>
      </c>
      <c r="Q26" s="45">
        <f t="shared" si="14"/>
        <v>12</v>
      </c>
      <c r="V26" s="97">
        <v>45842</v>
      </c>
      <c r="W26" s="16">
        <v>167331</v>
      </c>
      <c r="X26" s="101" t="s">
        <v>36</v>
      </c>
      <c r="Y26" s="105"/>
      <c r="Z26" s="102">
        <v>0.91644675925925922</v>
      </c>
      <c r="AA26" s="102">
        <v>0.23230324074074074</v>
      </c>
      <c r="AB26" s="16"/>
      <c r="AC26" s="16"/>
      <c r="AD26" s="93">
        <v>17128</v>
      </c>
      <c r="AE26" s="93">
        <f t="shared" si="0"/>
        <v>17.128</v>
      </c>
      <c r="AF26" s="16">
        <v>15.27</v>
      </c>
      <c r="AG26" s="103">
        <f t="shared" si="1"/>
        <v>14</v>
      </c>
      <c r="AH26" s="37">
        <f t="shared" si="2"/>
        <v>17.128</v>
      </c>
      <c r="AJ26" s="97">
        <v>45843</v>
      </c>
      <c r="AK26">
        <v>168035</v>
      </c>
      <c r="AL26" t="s">
        <v>4</v>
      </c>
      <c r="AN26" s="81">
        <v>0.53391203703703705</v>
      </c>
      <c r="AO26" s="81">
        <v>0.60373842592592586</v>
      </c>
      <c r="AP26" s="37">
        <v>6816</v>
      </c>
      <c r="AQ26" t="s">
        <v>1442</v>
      </c>
      <c r="AR26" s="97">
        <v>45843</v>
      </c>
      <c r="AU26" s="21"/>
      <c r="BB26" s="73"/>
      <c r="BC26" s="73"/>
    </row>
    <row r="27" spans="2:55" ht="16" x14ac:dyDescent="0.4">
      <c r="B27" s="1">
        <v>45856</v>
      </c>
      <c r="C27" s="2">
        <f t="shared" si="3"/>
        <v>154.83799999999999</v>
      </c>
      <c r="D27" s="2">
        <f t="shared" si="4"/>
        <v>18.602</v>
      </c>
      <c r="E27" s="2">
        <f t="shared" si="4"/>
        <v>0</v>
      </c>
      <c r="F27" s="32">
        <f t="shared" si="5"/>
        <v>0</v>
      </c>
      <c r="G27" s="3">
        <f t="shared" si="12"/>
        <v>173.44</v>
      </c>
      <c r="H27" s="51">
        <f t="shared" si="6"/>
        <v>152.86908571428569</v>
      </c>
      <c r="I27" s="52">
        <f t="shared" si="13"/>
        <v>171.47108571428569</v>
      </c>
      <c r="J27" s="59">
        <f t="shared" si="7"/>
        <v>0</v>
      </c>
      <c r="K27" s="4"/>
      <c r="L27" s="20">
        <f t="shared" si="8"/>
        <v>0</v>
      </c>
      <c r="N27" s="43">
        <f t="shared" si="9"/>
        <v>8</v>
      </c>
      <c r="O27" s="44">
        <f t="shared" si="10"/>
        <v>6</v>
      </c>
      <c r="P27" s="41">
        <f t="shared" si="11"/>
        <v>0</v>
      </c>
      <c r="Q27" s="45">
        <f t="shared" si="14"/>
        <v>14</v>
      </c>
      <c r="V27" s="97">
        <v>45842</v>
      </c>
      <c r="W27" s="16">
        <v>167394</v>
      </c>
      <c r="X27" s="101" t="s">
        <v>36</v>
      </c>
      <c r="Y27" s="105"/>
      <c r="Z27" s="102">
        <v>0.98662037037037031</v>
      </c>
      <c r="AA27" s="102">
        <v>0.31048611111111113</v>
      </c>
      <c r="AB27" s="16"/>
      <c r="AC27" s="16"/>
      <c r="AD27" s="93">
        <v>20472</v>
      </c>
      <c r="AE27" s="93">
        <f t="shared" si="0"/>
        <v>20.472000000000001</v>
      </c>
      <c r="AF27" s="16">
        <v>14.81</v>
      </c>
      <c r="AG27" s="103">
        <f t="shared" si="1"/>
        <v>14</v>
      </c>
      <c r="AH27" s="37">
        <f t="shared" si="2"/>
        <v>20.472000000000001</v>
      </c>
      <c r="AJ27" s="97">
        <v>45843</v>
      </c>
      <c r="AL27" t="s">
        <v>5</v>
      </c>
      <c r="AN27" s="81">
        <v>0.40207175925925925</v>
      </c>
      <c r="AO27" s="81">
        <v>0.41609953703703706</v>
      </c>
      <c r="AP27" s="37">
        <v>2728</v>
      </c>
      <c r="AQ27" t="s">
        <v>1462</v>
      </c>
      <c r="AR27" s="97">
        <v>45843</v>
      </c>
      <c r="AU27" s="21"/>
      <c r="BB27" s="73"/>
      <c r="BC27" s="73"/>
    </row>
    <row r="28" spans="2:55" ht="16" x14ac:dyDescent="0.4">
      <c r="B28" s="1">
        <v>45857</v>
      </c>
      <c r="C28" s="2">
        <f t="shared" si="3"/>
        <v>235.39600000000002</v>
      </c>
      <c r="D28" s="2">
        <f t="shared" si="4"/>
        <v>0</v>
      </c>
      <c r="E28" s="2">
        <f t="shared" si="4"/>
        <v>0</v>
      </c>
      <c r="F28" s="32">
        <f t="shared" si="5"/>
        <v>0</v>
      </c>
      <c r="G28" s="3">
        <f t="shared" si="12"/>
        <v>235.39600000000002</v>
      </c>
      <c r="H28" s="51">
        <f t="shared" si="6"/>
        <v>233.89786857142857</v>
      </c>
      <c r="I28" s="52">
        <f t="shared" si="13"/>
        <v>233.89786857142857</v>
      </c>
      <c r="J28" s="59">
        <f t="shared" si="7"/>
        <v>0</v>
      </c>
      <c r="K28" s="4"/>
      <c r="L28" s="20">
        <f t="shared" si="8"/>
        <v>0</v>
      </c>
      <c r="N28" s="43">
        <f t="shared" si="9"/>
        <v>12</v>
      </c>
      <c r="O28" s="44">
        <f t="shared" si="10"/>
        <v>0</v>
      </c>
      <c r="P28" s="41">
        <f t="shared" si="11"/>
        <v>0</v>
      </c>
      <c r="Q28" s="45">
        <f t="shared" si="14"/>
        <v>12</v>
      </c>
      <c r="V28" s="97">
        <v>45842</v>
      </c>
      <c r="W28" s="16">
        <v>167429</v>
      </c>
      <c r="X28" s="101" t="s">
        <v>36</v>
      </c>
      <c r="Y28" s="105"/>
      <c r="Z28" s="102">
        <v>0.92065972222222225</v>
      </c>
      <c r="AA28" s="102">
        <v>0.38407407407407407</v>
      </c>
      <c r="AB28" s="16"/>
      <c r="AC28" s="16"/>
      <c r="AD28" s="93">
        <v>20438</v>
      </c>
      <c r="AE28" s="93">
        <f t="shared" si="0"/>
        <v>20.437999999999999</v>
      </c>
      <c r="AF28" s="16">
        <v>15.91</v>
      </c>
      <c r="AG28" s="103">
        <f t="shared" si="1"/>
        <v>14</v>
      </c>
      <c r="AH28" s="37">
        <f t="shared" si="2"/>
        <v>20.437999999999999</v>
      </c>
      <c r="AJ28" s="97">
        <v>45843</v>
      </c>
      <c r="AL28" t="s">
        <v>5</v>
      </c>
      <c r="AN28" s="81">
        <v>0.44917824074074075</v>
      </c>
      <c r="AO28" s="81">
        <v>0.43398148148148147</v>
      </c>
      <c r="AP28" s="37">
        <v>2942</v>
      </c>
      <c r="AQ28" t="s">
        <v>1456</v>
      </c>
      <c r="AR28" s="97">
        <v>45843</v>
      </c>
      <c r="AU28" s="21"/>
      <c r="BB28" s="73"/>
      <c r="BC28" s="73"/>
    </row>
    <row r="29" spans="2:55" ht="16" x14ac:dyDescent="0.4">
      <c r="B29" s="1">
        <v>45858</v>
      </c>
      <c r="C29" s="2">
        <f t="shared" si="3"/>
        <v>147.83999999999997</v>
      </c>
      <c r="D29" s="2">
        <f t="shared" si="4"/>
        <v>0</v>
      </c>
      <c r="E29" s="2">
        <f t="shared" si="4"/>
        <v>0</v>
      </c>
      <c r="F29" s="32">
        <f t="shared" si="5"/>
        <v>12.504</v>
      </c>
      <c r="G29" s="3">
        <f t="shared" si="12"/>
        <v>147.83999999999997</v>
      </c>
      <c r="H29" s="51">
        <f t="shared" si="6"/>
        <v>157.54846285714282</v>
      </c>
      <c r="I29" s="52">
        <f t="shared" si="13"/>
        <v>157.54846285714282</v>
      </c>
      <c r="J29" s="59">
        <f t="shared" si="7"/>
        <v>12.504</v>
      </c>
      <c r="K29" s="4"/>
      <c r="L29" s="20">
        <f t="shared" si="8"/>
        <v>12.504</v>
      </c>
      <c r="N29" s="43">
        <f t="shared" si="9"/>
        <v>9</v>
      </c>
      <c r="O29" s="44">
        <f t="shared" si="10"/>
        <v>0</v>
      </c>
      <c r="P29" s="41">
        <f t="shared" si="11"/>
        <v>0</v>
      </c>
      <c r="Q29" s="45">
        <f t="shared" si="14"/>
        <v>9</v>
      </c>
      <c r="V29" s="97">
        <v>45842</v>
      </c>
      <c r="W29" s="16">
        <v>167516</v>
      </c>
      <c r="X29" s="101" t="s">
        <v>36</v>
      </c>
      <c r="Y29" s="105"/>
      <c r="Z29" s="102">
        <v>0.9821875000000001</v>
      </c>
      <c r="AA29" s="102">
        <v>0.48416666666666663</v>
      </c>
      <c r="AB29" s="16"/>
      <c r="AC29" s="16"/>
      <c r="AD29" s="93">
        <v>20666</v>
      </c>
      <c r="AE29" s="93">
        <f t="shared" si="0"/>
        <v>20.666</v>
      </c>
      <c r="AF29" s="16">
        <v>15.41</v>
      </c>
      <c r="AG29" s="103">
        <f t="shared" si="1"/>
        <v>14</v>
      </c>
      <c r="AH29" s="37">
        <f t="shared" si="2"/>
        <v>20.666</v>
      </c>
      <c r="AJ29" s="97">
        <v>45843</v>
      </c>
      <c r="AL29" t="s">
        <v>5</v>
      </c>
      <c r="AP29" s="37">
        <v>3662</v>
      </c>
      <c r="AR29" s="97">
        <v>45843</v>
      </c>
      <c r="AU29" s="21"/>
      <c r="BB29" s="73"/>
      <c r="BC29" s="73"/>
    </row>
    <row r="30" spans="2:55" ht="16" x14ac:dyDescent="0.4">
      <c r="B30" s="1">
        <v>45859</v>
      </c>
      <c r="C30" s="2">
        <f t="shared" si="3"/>
        <v>0</v>
      </c>
      <c r="D30" s="2">
        <f t="shared" si="4"/>
        <v>7.7919999999999998</v>
      </c>
      <c r="E30" s="2">
        <f t="shared" si="4"/>
        <v>0</v>
      </c>
      <c r="F30" s="32">
        <f t="shared" si="5"/>
        <v>0</v>
      </c>
      <c r="G30" s="3">
        <f t="shared" si="12"/>
        <v>7.7919999999999998</v>
      </c>
      <c r="H30" s="51">
        <f t="shared" si="6"/>
        <v>0</v>
      </c>
      <c r="I30" s="52">
        <f t="shared" si="13"/>
        <v>7.7919999999999998</v>
      </c>
      <c r="J30" s="59">
        <f t="shared" si="7"/>
        <v>0</v>
      </c>
      <c r="K30" s="4"/>
      <c r="L30" s="20">
        <f t="shared" si="8"/>
        <v>0</v>
      </c>
      <c r="N30" s="43">
        <f t="shared" si="9"/>
        <v>0</v>
      </c>
      <c r="O30" s="44">
        <f t="shared" si="10"/>
        <v>3</v>
      </c>
      <c r="P30" s="41">
        <f t="shared" si="11"/>
        <v>0</v>
      </c>
      <c r="Q30" s="45">
        <f t="shared" si="14"/>
        <v>3</v>
      </c>
      <c r="V30" s="97">
        <v>45842</v>
      </c>
      <c r="W30" s="16">
        <v>167551</v>
      </c>
      <c r="X30" s="101" t="s">
        <v>36</v>
      </c>
      <c r="Y30" s="105"/>
      <c r="Z30" s="102">
        <v>0.43186342592592591</v>
      </c>
      <c r="AA30" s="102">
        <v>0.55311342592592594</v>
      </c>
      <c r="AB30" s="16"/>
      <c r="AC30" s="16"/>
      <c r="AD30" s="93">
        <v>20478</v>
      </c>
      <c r="AE30" s="93">
        <f t="shared" si="0"/>
        <v>20.478000000000002</v>
      </c>
      <c r="AF30" s="16">
        <v>15.59</v>
      </c>
      <c r="AG30" s="103">
        <f t="shared" si="1"/>
        <v>14</v>
      </c>
      <c r="AH30" s="37">
        <f t="shared" si="2"/>
        <v>20.478000000000002</v>
      </c>
      <c r="AJ30" s="97">
        <v>45844</v>
      </c>
      <c r="AK30">
        <v>168206</v>
      </c>
      <c r="AL30" t="s">
        <v>5</v>
      </c>
      <c r="AN30" s="39">
        <v>0.14166666666666666</v>
      </c>
      <c r="AP30" s="37">
        <v>6576</v>
      </c>
      <c r="AQ30" t="s">
        <v>1442</v>
      </c>
      <c r="AR30" s="97">
        <v>45844</v>
      </c>
      <c r="AU30" s="21"/>
      <c r="BB30" s="73"/>
      <c r="BC30" s="73"/>
    </row>
    <row r="31" spans="2:55" ht="16" x14ac:dyDescent="0.4">
      <c r="B31" s="1">
        <v>45860</v>
      </c>
      <c r="C31" s="2">
        <f t="shared" si="3"/>
        <v>181.554</v>
      </c>
      <c r="D31" s="2">
        <f t="shared" si="4"/>
        <v>19.117999999999999</v>
      </c>
      <c r="E31" s="2">
        <f t="shared" si="4"/>
        <v>0</v>
      </c>
      <c r="F31" s="32">
        <f t="shared" si="5"/>
        <v>0</v>
      </c>
      <c r="G31" s="3">
        <f t="shared" si="12"/>
        <v>200.672</v>
      </c>
      <c r="H31" s="51">
        <f t="shared" si="6"/>
        <v>181.554</v>
      </c>
      <c r="I31" s="52">
        <f t="shared" si="13"/>
        <v>200.672</v>
      </c>
      <c r="J31" s="59">
        <f t="shared" si="7"/>
        <v>0</v>
      </c>
      <c r="K31" s="4"/>
      <c r="L31" s="20">
        <f t="shared" si="8"/>
        <v>0</v>
      </c>
      <c r="N31" s="43">
        <f t="shared" si="9"/>
        <v>9</v>
      </c>
      <c r="O31" s="44">
        <f t="shared" si="10"/>
        <v>5</v>
      </c>
      <c r="P31" s="41">
        <f t="shared" si="11"/>
        <v>0</v>
      </c>
      <c r="Q31" s="45">
        <f t="shared" si="14"/>
        <v>14</v>
      </c>
      <c r="V31" s="97">
        <v>45842</v>
      </c>
      <c r="W31" s="16">
        <v>167616</v>
      </c>
      <c r="X31" s="101" t="s">
        <v>36</v>
      </c>
      <c r="Y31" s="105"/>
      <c r="Z31" s="102">
        <v>0.5522569444444444</v>
      </c>
      <c r="AA31" s="102">
        <v>0.62167824074074074</v>
      </c>
      <c r="AB31" s="16"/>
      <c r="AC31" s="16"/>
      <c r="AD31" s="93">
        <v>21872</v>
      </c>
      <c r="AE31" s="93">
        <f t="shared" si="0"/>
        <v>21.872</v>
      </c>
      <c r="AF31" s="16">
        <v>13.09</v>
      </c>
      <c r="AG31" s="103">
        <f t="shared" si="1"/>
        <v>13.09</v>
      </c>
      <c r="AH31" s="37">
        <f t="shared" si="2"/>
        <v>20.450320000000001</v>
      </c>
      <c r="AJ31" s="97">
        <v>45844</v>
      </c>
      <c r="AK31">
        <v>168205</v>
      </c>
      <c r="AL31" t="s">
        <v>5</v>
      </c>
      <c r="AN31" s="39">
        <v>0.14097222222222222</v>
      </c>
      <c r="AP31" s="37">
        <v>3141</v>
      </c>
      <c r="AQ31" t="s">
        <v>1442</v>
      </c>
      <c r="AR31" s="97">
        <v>45844</v>
      </c>
      <c r="AU31" s="21"/>
      <c r="BB31" s="73"/>
      <c r="BC31" s="73"/>
    </row>
    <row r="32" spans="2:55" ht="16" x14ac:dyDescent="0.4">
      <c r="B32" s="1">
        <v>45861</v>
      </c>
      <c r="C32" s="2">
        <f t="shared" si="3"/>
        <v>256.334</v>
      </c>
      <c r="D32" s="2">
        <f t="shared" si="4"/>
        <v>20.312000000000001</v>
      </c>
      <c r="E32" s="2">
        <f t="shared" si="4"/>
        <v>0</v>
      </c>
      <c r="F32" s="32">
        <f t="shared" si="5"/>
        <v>0</v>
      </c>
      <c r="G32" s="3">
        <f t="shared" si="12"/>
        <v>276.64600000000002</v>
      </c>
      <c r="H32" s="51">
        <f t="shared" si="6"/>
        <v>256.19223714285715</v>
      </c>
      <c r="I32" s="52">
        <f t="shared" si="13"/>
        <v>276.50423714285716</v>
      </c>
      <c r="J32" s="59">
        <f t="shared" si="7"/>
        <v>0</v>
      </c>
      <c r="K32" s="4"/>
      <c r="L32" s="20">
        <f t="shared" si="8"/>
        <v>0</v>
      </c>
      <c r="N32" s="43">
        <f t="shared" si="9"/>
        <v>13</v>
      </c>
      <c r="O32" s="44">
        <f t="shared" si="10"/>
        <v>6</v>
      </c>
      <c r="P32" s="41">
        <f t="shared" si="11"/>
        <v>0</v>
      </c>
      <c r="Q32" s="45">
        <f t="shared" si="14"/>
        <v>19</v>
      </c>
      <c r="V32" s="97">
        <v>45842</v>
      </c>
      <c r="W32" s="16">
        <v>167649</v>
      </c>
      <c r="X32" s="101" t="s">
        <v>36</v>
      </c>
      <c r="Y32" s="105"/>
      <c r="Z32" s="102">
        <v>0.43177083333333338</v>
      </c>
      <c r="AA32" s="102">
        <v>0.68518518518518512</v>
      </c>
      <c r="AB32" s="16"/>
      <c r="AC32" s="16"/>
      <c r="AD32" s="93">
        <v>20966</v>
      </c>
      <c r="AE32" s="93">
        <f t="shared" si="0"/>
        <v>20.966000000000001</v>
      </c>
      <c r="AF32" s="16">
        <v>16.34</v>
      </c>
      <c r="AG32" s="103">
        <f t="shared" si="1"/>
        <v>14</v>
      </c>
      <c r="AH32" s="37">
        <f t="shared" si="2"/>
        <v>20.966000000000001</v>
      </c>
      <c r="AJ32" s="97">
        <v>45844</v>
      </c>
      <c r="AK32">
        <v>168203</v>
      </c>
      <c r="AL32" t="s">
        <v>5</v>
      </c>
      <c r="AN32" s="39">
        <v>0.14097222222222222</v>
      </c>
      <c r="AP32" s="37">
        <v>3520</v>
      </c>
      <c r="AQ32" t="s">
        <v>1442</v>
      </c>
      <c r="AR32" s="97">
        <v>45844</v>
      </c>
      <c r="AU32" s="21"/>
      <c r="BB32" s="73"/>
      <c r="BC32" s="73"/>
    </row>
    <row r="33" spans="2:55" ht="16" x14ac:dyDescent="0.4">
      <c r="B33" s="1">
        <v>45862</v>
      </c>
      <c r="C33" s="2">
        <f t="shared" si="3"/>
        <v>151.32199999999997</v>
      </c>
      <c r="D33" s="2">
        <f t="shared" si="4"/>
        <v>17.846</v>
      </c>
      <c r="E33" s="2">
        <f t="shared" si="4"/>
        <v>0</v>
      </c>
      <c r="F33" s="32">
        <f t="shared" si="5"/>
        <v>9.5660000000000007</v>
      </c>
      <c r="G33" s="3">
        <f t="shared" si="12"/>
        <v>169.16799999999998</v>
      </c>
      <c r="H33" s="51">
        <f t="shared" si="6"/>
        <v>158.14882142857141</v>
      </c>
      <c r="I33" s="52">
        <f t="shared" si="13"/>
        <v>175.99482142857141</v>
      </c>
      <c r="J33" s="59">
        <f t="shared" si="7"/>
        <v>9.5660000000000007</v>
      </c>
      <c r="K33" s="4"/>
      <c r="L33" s="20" t="s">
        <v>48</v>
      </c>
      <c r="N33" s="43">
        <f t="shared" si="9"/>
        <v>9</v>
      </c>
      <c r="O33" s="44">
        <f t="shared" si="10"/>
        <v>6</v>
      </c>
      <c r="P33" s="41">
        <f t="shared" si="11"/>
        <v>0</v>
      </c>
      <c r="Q33" s="45">
        <f t="shared" si="14"/>
        <v>15</v>
      </c>
      <c r="V33" s="97">
        <v>45842</v>
      </c>
      <c r="W33" s="16">
        <v>167670</v>
      </c>
      <c r="X33" s="101" t="s">
        <v>36</v>
      </c>
      <c r="Y33" s="105"/>
      <c r="Z33" s="102">
        <v>0.55207175925925933</v>
      </c>
      <c r="AA33" s="102">
        <v>0.72834490740740743</v>
      </c>
      <c r="AB33" s="16"/>
      <c r="AC33" s="16"/>
      <c r="AD33" s="93">
        <v>19860</v>
      </c>
      <c r="AE33" s="93">
        <f t="shared" si="0"/>
        <v>19.86</v>
      </c>
      <c r="AF33" s="16">
        <v>16.45</v>
      </c>
      <c r="AG33" s="103">
        <f t="shared" si="1"/>
        <v>14</v>
      </c>
      <c r="AH33" s="37">
        <f t="shared" si="2"/>
        <v>19.859999999999996</v>
      </c>
      <c r="AJ33" s="97">
        <v>45844</v>
      </c>
      <c r="AK33">
        <v>168202</v>
      </c>
      <c r="AL33" t="s">
        <v>5</v>
      </c>
      <c r="AN33" s="39">
        <v>0.14027777777777778</v>
      </c>
      <c r="AP33" s="37">
        <v>3792</v>
      </c>
      <c r="AQ33" t="s">
        <v>1442</v>
      </c>
      <c r="AR33" s="97">
        <v>45844</v>
      </c>
      <c r="AU33" s="21"/>
      <c r="BB33" s="73"/>
      <c r="BC33" s="73"/>
    </row>
    <row r="34" spans="2:55" ht="16" x14ac:dyDescent="0.4">
      <c r="B34" s="1">
        <v>45863</v>
      </c>
      <c r="C34" s="2">
        <f t="shared" si="3"/>
        <v>251.304</v>
      </c>
      <c r="D34" s="2">
        <f t="shared" si="4"/>
        <v>13.85</v>
      </c>
      <c r="E34" s="2">
        <f t="shared" si="4"/>
        <v>0</v>
      </c>
      <c r="F34" s="32">
        <f t="shared" si="5"/>
        <v>19.23</v>
      </c>
      <c r="G34" s="3">
        <f t="shared" si="12"/>
        <v>265.154</v>
      </c>
      <c r="H34" s="51">
        <f t="shared" si="6"/>
        <v>270.21807857142858</v>
      </c>
      <c r="I34" s="52">
        <f t="shared" si="13"/>
        <v>284.0680785714286</v>
      </c>
      <c r="J34" s="59">
        <f t="shared" si="7"/>
        <v>19.23</v>
      </c>
      <c r="K34" s="4"/>
      <c r="L34" s="20">
        <f t="shared" si="8"/>
        <v>19.23</v>
      </c>
      <c r="N34" s="43">
        <f t="shared" si="9"/>
        <v>14</v>
      </c>
      <c r="O34" s="44">
        <f t="shared" si="10"/>
        <v>5</v>
      </c>
      <c r="P34" s="41">
        <f t="shared" si="11"/>
        <v>0</v>
      </c>
      <c r="Q34" s="45">
        <f t="shared" si="14"/>
        <v>19</v>
      </c>
      <c r="V34" s="97">
        <v>45842</v>
      </c>
      <c r="W34" s="16">
        <v>167696</v>
      </c>
      <c r="X34" s="101" t="s">
        <v>36</v>
      </c>
      <c r="Y34" s="105"/>
      <c r="Z34" s="102">
        <v>0.43124999999999997</v>
      </c>
      <c r="AA34" s="102">
        <v>0.79236111111111107</v>
      </c>
      <c r="AB34" s="16"/>
      <c r="AC34" s="16"/>
      <c r="AD34" s="93">
        <v>20464</v>
      </c>
      <c r="AE34" s="93">
        <f t="shared" si="0"/>
        <v>20.463999999999999</v>
      </c>
      <c r="AF34" s="16">
        <v>15.38</v>
      </c>
      <c r="AG34" s="103">
        <f t="shared" si="1"/>
        <v>14</v>
      </c>
      <c r="AH34" s="37">
        <f t="shared" si="2"/>
        <v>20.463999999999999</v>
      </c>
      <c r="AJ34" s="97">
        <v>45844</v>
      </c>
      <c r="AK34">
        <v>168207</v>
      </c>
      <c r="AL34" t="s">
        <v>5</v>
      </c>
      <c r="AN34" s="39">
        <v>0.14166666666666666</v>
      </c>
      <c r="AP34" s="37">
        <v>5668</v>
      </c>
      <c r="AQ34" t="s">
        <v>1442</v>
      </c>
      <c r="AR34" s="97">
        <v>45844</v>
      </c>
      <c r="AU34" s="21"/>
      <c r="BB34" s="73"/>
      <c r="BC34" s="73"/>
    </row>
    <row r="35" spans="2:55" ht="16" x14ac:dyDescent="0.4">
      <c r="B35" s="1">
        <v>45864</v>
      </c>
      <c r="C35" s="2">
        <f t="shared" si="3"/>
        <v>279.20000000000005</v>
      </c>
      <c r="D35" s="2">
        <f t="shared" si="4"/>
        <v>20.388000000000002</v>
      </c>
      <c r="E35" s="2">
        <f t="shared" si="4"/>
        <v>0</v>
      </c>
      <c r="F35" s="32">
        <f t="shared" si="5"/>
        <v>0</v>
      </c>
      <c r="G35" s="3">
        <f t="shared" si="12"/>
        <v>299.58800000000002</v>
      </c>
      <c r="H35" s="51">
        <f t="shared" si="6"/>
        <v>278.81505142857145</v>
      </c>
      <c r="I35" s="52">
        <f t="shared" si="13"/>
        <v>299.20305142857143</v>
      </c>
      <c r="J35" s="59">
        <f t="shared" si="7"/>
        <v>0</v>
      </c>
      <c r="K35" s="4"/>
      <c r="L35" s="20">
        <f t="shared" si="8"/>
        <v>0</v>
      </c>
      <c r="N35" s="43">
        <f t="shared" si="9"/>
        <v>14</v>
      </c>
      <c r="O35" s="44">
        <f t="shared" si="10"/>
        <v>6</v>
      </c>
      <c r="P35" s="41">
        <f t="shared" si="11"/>
        <v>0</v>
      </c>
      <c r="Q35" s="45">
        <f t="shared" si="14"/>
        <v>20</v>
      </c>
      <c r="V35" s="97">
        <v>45842</v>
      </c>
      <c r="W35" s="16">
        <v>167721</v>
      </c>
      <c r="X35" s="101" t="s">
        <v>36</v>
      </c>
      <c r="Y35" s="105"/>
      <c r="Z35" s="102">
        <v>0.55208333333333337</v>
      </c>
      <c r="AA35" s="102">
        <v>0.84583333333333333</v>
      </c>
      <c r="AB35" s="16"/>
      <c r="AC35" s="16"/>
      <c r="AD35" s="93">
        <v>18676</v>
      </c>
      <c r="AE35" s="93">
        <f t="shared" si="0"/>
        <v>18.675999999999998</v>
      </c>
      <c r="AF35" s="16">
        <v>15.91</v>
      </c>
      <c r="AG35" s="103">
        <f t="shared" si="1"/>
        <v>14</v>
      </c>
      <c r="AH35" s="37">
        <f t="shared" si="2"/>
        <v>18.675999999999998</v>
      </c>
      <c r="AJ35" s="97">
        <v>45844</v>
      </c>
      <c r="AK35">
        <v>168024</v>
      </c>
      <c r="AL35" t="s">
        <v>5</v>
      </c>
      <c r="AN35" s="39">
        <v>0.14097222222222222</v>
      </c>
      <c r="AP35" s="37">
        <v>1134</v>
      </c>
      <c r="AQ35" t="s">
        <v>1442</v>
      </c>
      <c r="AR35" s="97">
        <v>45844</v>
      </c>
      <c r="AU35" s="21"/>
      <c r="BB35" s="73"/>
      <c r="BC35" s="73"/>
    </row>
    <row r="36" spans="2:55" ht="16" x14ac:dyDescent="0.4">
      <c r="B36" s="1">
        <v>45865</v>
      </c>
      <c r="C36" s="2">
        <f t="shared" si="3"/>
        <v>75.25200000000001</v>
      </c>
      <c r="D36" s="2">
        <f t="shared" si="4"/>
        <v>0</v>
      </c>
      <c r="E36" s="2">
        <f t="shared" si="4"/>
        <v>0</v>
      </c>
      <c r="F36" s="32">
        <f t="shared" si="5"/>
        <v>15.656000000000001</v>
      </c>
      <c r="G36" s="3">
        <f t="shared" si="12"/>
        <v>75.25200000000001</v>
      </c>
      <c r="H36" s="51">
        <f t="shared" si="6"/>
        <v>84.477857142857147</v>
      </c>
      <c r="I36" s="52">
        <f t="shared" si="13"/>
        <v>84.477857142857147</v>
      </c>
      <c r="J36" s="59">
        <f t="shared" si="7"/>
        <v>15.656000000000001</v>
      </c>
      <c r="K36" s="4"/>
      <c r="L36" s="20">
        <f t="shared" si="8"/>
        <v>15.656000000000001</v>
      </c>
      <c r="N36" s="43">
        <f t="shared" si="9"/>
        <v>5</v>
      </c>
      <c r="O36" s="44">
        <f t="shared" si="10"/>
        <v>0</v>
      </c>
      <c r="P36" s="41">
        <f t="shared" si="11"/>
        <v>0</v>
      </c>
      <c r="Q36" s="45">
        <f t="shared" si="14"/>
        <v>5</v>
      </c>
      <c r="V36" s="97">
        <v>45842</v>
      </c>
      <c r="W36" s="16">
        <v>167753</v>
      </c>
      <c r="X36" s="101" t="s">
        <v>36</v>
      </c>
      <c r="Y36" s="105"/>
      <c r="Z36" s="102">
        <v>0.27638888888888885</v>
      </c>
      <c r="AA36" s="102">
        <v>0.9194444444444444</v>
      </c>
      <c r="AB36" s="16"/>
      <c r="AC36" s="16"/>
      <c r="AD36" s="93">
        <v>20020</v>
      </c>
      <c r="AE36" s="93">
        <f t="shared" si="0"/>
        <v>20.02</v>
      </c>
      <c r="AF36" s="16">
        <v>14.41</v>
      </c>
      <c r="AG36" s="103">
        <f t="shared" si="1"/>
        <v>14</v>
      </c>
      <c r="AH36" s="37">
        <f t="shared" si="2"/>
        <v>20.02</v>
      </c>
      <c r="AJ36" s="97">
        <v>45845</v>
      </c>
      <c r="AK36">
        <v>168357</v>
      </c>
      <c r="AL36" t="s">
        <v>5</v>
      </c>
      <c r="AN36" s="81">
        <v>5.0833333333333335E-2</v>
      </c>
      <c r="AP36" s="37">
        <v>5914</v>
      </c>
      <c r="AQ36" t="s">
        <v>1442</v>
      </c>
      <c r="AR36" s="97">
        <v>45845</v>
      </c>
      <c r="AU36" s="21"/>
      <c r="BB36" s="73"/>
      <c r="BC36" s="73"/>
    </row>
    <row r="37" spans="2:55" ht="16" x14ac:dyDescent="0.4">
      <c r="B37" s="1">
        <v>45866</v>
      </c>
      <c r="C37" s="2">
        <f t="shared" si="3"/>
        <v>0</v>
      </c>
      <c r="D37" s="2">
        <f t="shared" si="4"/>
        <v>1.35</v>
      </c>
      <c r="E37" s="2">
        <f t="shared" si="4"/>
        <v>0</v>
      </c>
      <c r="F37" s="32">
        <f t="shared" si="5"/>
        <v>0</v>
      </c>
      <c r="G37" s="3">
        <f t="shared" si="12"/>
        <v>1.35</v>
      </c>
      <c r="H37" s="51">
        <f t="shared" si="6"/>
        <v>0</v>
      </c>
      <c r="I37" s="52">
        <f t="shared" si="13"/>
        <v>1.35</v>
      </c>
      <c r="J37" s="59">
        <f t="shared" si="7"/>
        <v>0</v>
      </c>
      <c r="K37" s="4"/>
      <c r="L37" s="20">
        <f t="shared" si="8"/>
        <v>0</v>
      </c>
      <c r="N37" s="43">
        <f t="shared" si="9"/>
        <v>0</v>
      </c>
      <c r="O37" s="44">
        <f t="shared" si="10"/>
        <v>1</v>
      </c>
      <c r="P37" s="41">
        <f t="shared" si="11"/>
        <v>0</v>
      </c>
      <c r="Q37" s="45">
        <f t="shared" si="14"/>
        <v>1</v>
      </c>
      <c r="V37" s="97">
        <v>45843</v>
      </c>
      <c r="W37" s="16">
        <v>167785</v>
      </c>
      <c r="X37" s="101" t="s">
        <v>36</v>
      </c>
      <c r="Y37" s="105"/>
      <c r="Z37" s="102">
        <v>0.89722222222222225</v>
      </c>
      <c r="AA37" s="102">
        <v>0.99305555555555547</v>
      </c>
      <c r="AB37" s="16"/>
      <c r="AC37" s="16"/>
      <c r="AD37" s="93">
        <v>20090</v>
      </c>
      <c r="AE37" s="93">
        <f t="shared" si="0"/>
        <v>20.09</v>
      </c>
      <c r="AF37" s="16">
        <v>14.29</v>
      </c>
      <c r="AG37" s="103">
        <f t="shared" si="1"/>
        <v>14</v>
      </c>
      <c r="AH37" s="37">
        <f t="shared" si="2"/>
        <v>20.09</v>
      </c>
      <c r="AJ37" s="97">
        <v>45845</v>
      </c>
      <c r="AK37">
        <v>168355</v>
      </c>
      <c r="AL37" t="s">
        <v>5</v>
      </c>
      <c r="AN37" s="81">
        <v>0.44299768518518517</v>
      </c>
      <c r="AP37" s="37">
        <v>4967</v>
      </c>
      <c r="AQ37" t="s">
        <v>1442</v>
      </c>
      <c r="AR37" s="97">
        <v>45845</v>
      </c>
      <c r="AU37" s="21"/>
      <c r="BB37" s="73"/>
      <c r="BC37" s="73"/>
    </row>
    <row r="38" spans="2:55" ht="16" x14ac:dyDescent="0.4">
      <c r="B38" s="1">
        <v>45867</v>
      </c>
      <c r="C38" s="2">
        <f t="shared" si="3"/>
        <v>156.26000000000002</v>
      </c>
      <c r="D38" s="2">
        <f t="shared" si="4"/>
        <v>20.878</v>
      </c>
      <c r="E38" s="2">
        <f t="shared" si="4"/>
        <v>0</v>
      </c>
      <c r="F38" s="32">
        <f t="shared" si="5"/>
        <v>0</v>
      </c>
      <c r="G38" s="3">
        <f t="shared" si="12"/>
        <v>177.13800000000003</v>
      </c>
      <c r="H38" s="51">
        <f t="shared" si="6"/>
        <v>156.26000000000002</v>
      </c>
      <c r="I38" s="52">
        <f t="shared" si="13"/>
        <v>177.13800000000003</v>
      </c>
      <c r="J38" s="59">
        <f t="shared" si="7"/>
        <v>0</v>
      </c>
      <c r="K38" s="4"/>
      <c r="L38" s="20">
        <f t="shared" si="8"/>
        <v>0</v>
      </c>
      <c r="N38" s="43">
        <f t="shared" si="9"/>
        <v>8</v>
      </c>
      <c r="O38" s="44">
        <f t="shared" si="10"/>
        <v>5</v>
      </c>
      <c r="P38" s="41">
        <f t="shared" si="11"/>
        <v>0</v>
      </c>
      <c r="Q38" s="45">
        <f t="shared" si="14"/>
        <v>13</v>
      </c>
      <c r="V38" s="97">
        <v>45843</v>
      </c>
      <c r="W38" s="16">
        <v>167788</v>
      </c>
      <c r="X38" s="101" t="s">
        <v>36</v>
      </c>
      <c r="Y38" s="105"/>
      <c r="Z38" s="102">
        <v>0.83958333333333324</v>
      </c>
      <c r="AA38" s="102">
        <v>5.5555555555555552E-2</v>
      </c>
      <c r="AB38" s="16"/>
      <c r="AC38" s="16"/>
      <c r="AD38" s="93">
        <v>20262</v>
      </c>
      <c r="AE38" s="93">
        <f t="shared" si="0"/>
        <v>20.262</v>
      </c>
      <c r="AF38" s="16">
        <v>14.95</v>
      </c>
      <c r="AG38" s="103">
        <f t="shared" si="1"/>
        <v>14</v>
      </c>
      <c r="AH38" s="37">
        <f t="shared" si="2"/>
        <v>20.262</v>
      </c>
      <c r="AJ38" s="97">
        <v>45845</v>
      </c>
      <c r="AK38">
        <v>168356</v>
      </c>
      <c r="AL38" t="s">
        <v>5</v>
      </c>
      <c r="AN38" s="81">
        <v>0.43835648148148149</v>
      </c>
      <c r="AP38" s="37">
        <v>6606</v>
      </c>
      <c r="AQ38" t="s">
        <v>1442</v>
      </c>
      <c r="AR38" s="97">
        <v>45845</v>
      </c>
      <c r="AU38" s="74"/>
      <c r="AV38" s="75"/>
      <c r="AX38" s="58"/>
      <c r="BB38" s="76"/>
      <c r="BC38" s="76"/>
    </row>
    <row r="39" spans="2:55" ht="16" x14ac:dyDescent="0.4">
      <c r="B39" s="1">
        <v>45868</v>
      </c>
      <c r="C39" s="2">
        <f t="shared" si="3"/>
        <v>296.86400000000003</v>
      </c>
      <c r="D39" s="2">
        <f t="shared" ref="D39:E39" si="15">SUMIFS($AP:$AP,$AJ:$AJ,$B39,$AL:$AL,D$7)/1000</f>
        <v>32.453000000000003</v>
      </c>
      <c r="E39" s="2">
        <f t="shared" si="15"/>
        <v>0</v>
      </c>
      <c r="F39" s="32">
        <f t="shared" si="5"/>
        <v>0</v>
      </c>
      <c r="G39" s="3">
        <f t="shared" si="12"/>
        <v>329.31700000000001</v>
      </c>
      <c r="H39" s="51">
        <f t="shared" si="6"/>
        <v>296.86400000000003</v>
      </c>
      <c r="I39" s="52">
        <f t="shared" si="13"/>
        <v>329.31700000000001</v>
      </c>
      <c r="J39" s="59">
        <f t="shared" si="7"/>
        <v>0</v>
      </c>
      <c r="K39" s="4"/>
      <c r="L39" s="20">
        <f t="shared" si="8"/>
        <v>0</v>
      </c>
      <c r="N39" s="43">
        <f t="shared" si="9"/>
        <v>15</v>
      </c>
      <c r="O39" s="44">
        <f t="shared" si="10"/>
        <v>5</v>
      </c>
      <c r="P39" s="41">
        <f t="shared" si="11"/>
        <v>0</v>
      </c>
      <c r="Q39" s="45">
        <f t="shared" si="14"/>
        <v>20</v>
      </c>
      <c r="V39" s="97">
        <v>45843</v>
      </c>
      <c r="W39" s="16">
        <v>167795</v>
      </c>
      <c r="X39" s="101" t="s">
        <v>36</v>
      </c>
      <c r="Y39" s="105"/>
      <c r="Z39" s="102">
        <v>0.89861111111111114</v>
      </c>
      <c r="AA39" s="102">
        <v>0.10972222222222222</v>
      </c>
      <c r="AB39" s="16"/>
      <c r="AC39" s="16"/>
      <c r="AD39" s="93">
        <v>19700</v>
      </c>
      <c r="AE39" s="93">
        <f t="shared" si="0"/>
        <v>19.7</v>
      </c>
      <c r="AF39" s="16">
        <v>14.09</v>
      </c>
      <c r="AG39" s="103">
        <f t="shared" si="1"/>
        <v>14</v>
      </c>
      <c r="AH39" s="37">
        <f t="shared" si="2"/>
        <v>19.7</v>
      </c>
      <c r="AJ39" s="97">
        <v>45845</v>
      </c>
      <c r="AK39">
        <v>168350</v>
      </c>
      <c r="AL39" t="s">
        <v>5</v>
      </c>
      <c r="AP39" s="37">
        <v>5920</v>
      </c>
      <c r="AQ39" t="s">
        <v>1442</v>
      </c>
      <c r="AR39" s="97">
        <v>45845</v>
      </c>
      <c r="AU39" s="74"/>
      <c r="AV39" s="75"/>
      <c r="AX39" s="58"/>
      <c r="BB39" s="76"/>
      <c r="BC39" s="76"/>
    </row>
    <row r="40" spans="2:55" ht="16.5" thickBot="1" x14ac:dyDescent="0.45">
      <c r="B40" s="1">
        <v>45869</v>
      </c>
      <c r="C40" s="2">
        <f t="shared" si="3"/>
        <v>246.38600000000002</v>
      </c>
      <c r="D40" s="2">
        <f t="shared" si="4"/>
        <v>16.748000000000001</v>
      </c>
      <c r="E40" s="2">
        <f t="shared" si="4"/>
        <v>0</v>
      </c>
      <c r="F40" s="32">
        <f t="shared" si="5"/>
        <v>0</v>
      </c>
      <c r="G40" s="3">
        <f t="shared" ref="G40" si="16">SUM(C40:E40)</f>
        <v>263.13400000000001</v>
      </c>
      <c r="H40" s="51">
        <f t="shared" si="6"/>
        <v>243.35118285714287</v>
      </c>
      <c r="I40" s="52">
        <f t="shared" ref="I40" si="17">H40+D40+E40</f>
        <v>260.09918285714286</v>
      </c>
      <c r="J40" s="59">
        <f t="shared" si="7"/>
        <v>0</v>
      </c>
      <c r="K40" s="4"/>
      <c r="L40" s="20">
        <f t="shared" ref="L40" si="18">SUM(J40:K40)</f>
        <v>0</v>
      </c>
      <c r="N40" s="43">
        <f t="shared" si="9"/>
        <v>13</v>
      </c>
      <c r="O40" s="44">
        <f t="shared" si="10"/>
        <v>5</v>
      </c>
      <c r="P40" s="41">
        <f t="shared" si="11"/>
        <v>0</v>
      </c>
      <c r="Q40" s="45">
        <f t="shared" ref="Q40" si="19">SUM(N40:P40)</f>
        <v>18</v>
      </c>
      <c r="V40" s="97">
        <v>45843</v>
      </c>
      <c r="W40" s="16">
        <v>167802</v>
      </c>
      <c r="X40" s="101" t="s">
        <v>36</v>
      </c>
      <c r="Y40" s="105"/>
      <c r="Z40" s="102">
        <v>0.83888888888888891</v>
      </c>
      <c r="AA40" s="102">
        <v>0.16250000000000001</v>
      </c>
      <c r="AB40" s="16"/>
      <c r="AC40" s="16"/>
      <c r="AD40" s="93">
        <v>9486</v>
      </c>
      <c r="AE40" s="93">
        <f t="shared" si="0"/>
        <v>9.4860000000000007</v>
      </c>
      <c r="AF40" s="16">
        <v>10.119999999999999</v>
      </c>
      <c r="AG40" s="103">
        <f t="shared" si="1"/>
        <v>10.119999999999999</v>
      </c>
      <c r="AH40" s="37">
        <f t="shared" si="2"/>
        <v>6.8570228571428569</v>
      </c>
      <c r="AJ40" s="97">
        <v>45845</v>
      </c>
      <c r="AK40">
        <v>168359</v>
      </c>
      <c r="AL40" t="s">
        <v>5</v>
      </c>
      <c r="AN40" s="81">
        <v>0.1146875</v>
      </c>
      <c r="AP40" s="37">
        <v>3264</v>
      </c>
      <c r="AQ40" t="s">
        <v>1442</v>
      </c>
      <c r="AR40" s="97">
        <v>45845</v>
      </c>
      <c r="AU40" s="74"/>
      <c r="AV40" s="75"/>
      <c r="AX40" s="58"/>
      <c r="BB40" s="76"/>
      <c r="BC40" s="76"/>
    </row>
    <row r="41" spans="2:55" ht="16" x14ac:dyDescent="0.4">
      <c r="B41" s="5" t="s">
        <v>23</v>
      </c>
      <c r="C41" s="6">
        <f t="shared" ref="C41:K41" si="20">SUM(C10:C40)</f>
        <v>5857.85</v>
      </c>
      <c r="D41" s="31">
        <f>SUM(D10:D40)</f>
        <v>699.86400000000015</v>
      </c>
      <c r="E41" s="31">
        <f t="shared" ref="E41" si="21">SUM(E10:E40)</f>
        <v>13.308</v>
      </c>
      <c r="F41" s="6">
        <f t="shared" si="20"/>
        <v>75.314000000000007</v>
      </c>
      <c r="G41" s="7">
        <f t="shared" si="20"/>
        <v>6571.021999999999</v>
      </c>
      <c r="H41" s="54">
        <f>SUM(H10:H40)</f>
        <v>5881.8255885714298</v>
      </c>
      <c r="I41" s="7">
        <f>SUM(I10:I40)</f>
        <v>6594.9975885714284</v>
      </c>
      <c r="J41" s="8">
        <f t="shared" si="20"/>
        <v>68.476000000000013</v>
      </c>
      <c r="K41" s="8">
        <f t="shared" si="20"/>
        <v>0</v>
      </c>
      <c r="L41" s="7">
        <f>SUM(L10:L40)-J41</f>
        <v>-9.5660000000000096</v>
      </c>
      <c r="N41" s="46">
        <f>SUM(N10:N40)</f>
        <v>302</v>
      </c>
      <c r="O41" s="46">
        <f t="shared" ref="O41" si="22">SUM(O10:O40)</f>
        <v>188</v>
      </c>
      <c r="P41" s="46">
        <f>SUM(P10:P40)</f>
        <v>2</v>
      </c>
      <c r="Q41" s="46">
        <f>SUM(Q10:Q40)-Q42</f>
        <v>384</v>
      </c>
      <c r="V41" s="97">
        <v>45843</v>
      </c>
      <c r="W41" s="16">
        <v>167874</v>
      </c>
      <c r="X41" s="101" t="s">
        <v>36</v>
      </c>
      <c r="Y41" s="105"/>
      <c r="Z41" s="102">
        <v>0.17450231481481482</v>
      </c>
      <c r="AA41" s="102">
        <v>0.34987268518518522</v>
      </c>
      <c r="AB41" s="16">
        <v>104</v>
      </c>
      <c r="AC41" s="16" t="s">
        <v>667</v>
      </c>
      <c r="AD41" s="93">
        <v>5892</v>
      </c>
      <c r="AE41" s="93">
        <f t="shared" si="0"/>
        <v>5.8920000000000003</v>
      </c>
      <c r="AF41" s="16">
        <v>12.59</v>
      </c>
      <c r="AG41" s="103">
        <f t="shared" si="1"/>
        <v>12.59</v>
      </c>
      <c r="AH41" s="37">
        <f t="shared" si="2"/>
        <v>5.2985914285714291</v>
      </c>
      <c r="AJ41" s="97">
        <v>45845</v>
      </c>
      <c r="AK41">
        <v>168352</v>
      </c>
      <c r="AL41" t="s">
        <v>5</v>
      </c>
      <c r="AN41" s="39">
        <v>0.71319444444444446</v>
      </c>
      <c r="AP41" s="37">
        <v>5920</v>
      </c>
      <c r="AQ41" t="s">
        <v>1442</v>
      </c>
      <c r="AR41" s="97">
        <v>45845</v>
      </c>
      <c r="AU41" s="74"/>
      <c r="AV41" s="75"/>
      <c r="AX41" s="58"/>
      <c r="BB41" s="76"/>
      <c r="BC41" s="76"/>
    </row>
    <row r="42" spans="2:55" ht="16.5" thickBot="1" x14ac:dyDescent="0.45">
      <c r="B42" s="9"/>
      <c r="C42" s="10">
        <f>C41/$G$41</f>
        <v>0.8914671112043151</v>
      </c>
      <c r="D42" s="10">
        <f t="shared" ref="D42:E42" si="23">D41/$G$41</f>
        <v>0.10650763305921061</v>
      </c>
      <c r="E42" s="10">
        <f t="shared" si="23"/>
        <v>2.0252557364744787E-3</v>
      </c>
      <c r="F42" s="10">
        <f>F41/$G$41</f>
        <v>1.1461535207156514E-2</v>
      </c>
      <c r="G42" s="9"/>
      <c r="H42" s="9"/>
      <c r="I42" s="9"/>
      <c r="J42" s="10">
        <f t="shared" ref="J42:K42" si="24">J41/$L$41</f>
        <v>-7.1582688689107199</v>
      </c>
      <c r="K42" s="10">
        <f t="shared" si="24"/>
        <v>0</v>
      </c>
      <c r="L42" s="11">
        <f>G41+L41</f>
        <v>6561.4559999999992</v>
      </c>
      <c r="N42" s="28" t="s">
        <v>24</v>
      </c>
      <c r="O42" s="28"/>
      <c r="P42" s="28"/>
      <c r="Q42" s="28">
        <f>COUNTBLANK(AP5:AP302)</f>
        <v>108</v>
      </c>
      <c r="V42" s="97">
        <v>45843</v>
      </c>
      <c r="W42" s="16">
        <v>167919</v>
      </c>
      <c r="X42" s="101" t="s">
        <v>36</v>
      </c>
      <c r="Y42" s="105"/>
      <c r="Z42" s="102">
        <v>0.83971064814814822</v>
      </c>
      <c r="AA42" s="102">
        <v>0.41261574074074076</v>
      </c>
      <c r="AB42" s="16"/>
      <c r="AC42" s="16"/>
      <c r="AD42" s="93">
        <v>18384</v>
      </c>
      <c r="AE42" s="93">
        <f t="shared" si="0"/>
        <v>18.384</v>
      </c>
      <c r="AF42" s="16">
        <v>17.95</v>
      </c>
      <c r="AG42" s="103">
        <f t="shared" si="1"/>
        <v>14</v>
      </c>
      <c r="AH42" s="37">
        <f t="shared" si="2"/>
        <v>18.383999999999997</v>
      </c>
      <c r="AJ42" s="97">
        <v>45845</v>
      </c>
      <c r="AL42" t="s">
        <v>5</v>
      </c>
      <c r="AN42" s="81">
        <v>0.42173611111111109</v>
      </c>
      <c r="AO42" s="81">
        <v>0.43853009259259257</v>
      </c>
      <c r="AP42" s="37">
        <v>1648</v>
      </c>
      <c r="AQ42" t="s">
        <v>1460</v>
      </c>
      <c r="AR42" s="97">
        <v>45845</v>
      </c>
      <c r="AU42" s="74"/>
      <c r="AV42" s="75"/>
      <c r="AX42" s="58"/>
      <c r="BB42" s="76"/>
      <c r="BC42" s="76"/>
    </row>
    <row r="43" spans="2:55" ht="16.5" thickTop="1" x14ac:dyDescent="0.4">
      <c r="G43" s="12"/>
      <c r="H43" s="12"/>
      <c r="I43" s="12"/>
      <c r="J43" s="13"/>
      <c r="K43" s="14"/>
      <c r="V43" s="97">
        <v>45843</v>
      </c>
      <c r="W43" s="16">
        <v>167980</v>
      </c>
      <c r="X43" s="101" t="s">
        <v>36</v>
      </c>
      <c r="Y43" s="105"/>
      <c r="Z43" s="102">
        <v>0.89836805555555566</v>
      </c>
      <c r="AA43" s="102">
        <v>0.50744212962962965</v>
      </c>
      <c r="AB43" s="16"/>
      <c r="AC43" s="16"/>
      <c r="AD43" s="93">
        <v>21110</v>
      </c>
      <c r="AE43" s="93">
        <f t="shared" si="0"/>
        <v>21.11</v>
      </c>
      <c r="AF43" s="16">
        <v>15.38</v>
      </c>
      <c r="AG43" s="103">
        <f t="shared" si="1"/>
        <v>14</v>
      </c>
      <c r="AH43" s="37">
        <f t="shared" si="2"/>
        <v>21.109999999999996</v>
      </c>
      <c r="AJ43" s="97">
        <v>45845</v>
      </c>
      <c r="AL43" t="s">
        <v>5</v>
      </c>
      <c r="AN43" s="81">
        <v>0.43425925925925929</v>
      </c>
      <c r="AO43" s="81">
        <v>0.42908564814814815</v>
      </c>
      <c r="AP43" s="37">
        <v>2348</v>
      </c>
      <c r="AQ43" t="s">
        <v>1436</v>
      </c>
      <c r="AR43" s="97">
        <v>45845</v>
      </c>
      <c r="AU43" s="74"/>
      <c r="AV43" s="75"/>
      <c r="AX43" s="58"/>
      <c r="BB43" s="76"/>
      <c r="BC43" s="76"/>
    </row>
    <row r="44" spans="2:55" ht="16" x14ac:dyDescent="0.4">
      <c r="B44" s="15" t="s">
        <v>6</v>
      </c>
      <c r="G44" s="16"/>
      <c r="H44" s="16"/>
      <c r="I44" s="16"/>
      <c r="J44" s="16"/>
      <c r="K44" s="14"/>
      <c r="V44" s="97">
        <v>45843</v>
      </c>
      <c r="W44" s="16">
        <v>168010</v>
      </c>
      <c r="X44" s="101" t="s">
        <v>36</v>
      </c>
      <c r="Y44" s="105"/>
      <c r="Z44" s="102">
        <v>0.4664814814814815</v>
      </c>
      <c r="AA44" s="102">
        <v>0.57423611111111106</v>
      </c>
      <c r="AB44" s="16"/>
      <c r="AC44" s="16"/>
      <c r="AD44" s="93">
        <v>19888</v>
      </c>
      <c r="AE44" s="93">
        <f t="shared" si="0"/>
        <v>19.888000000000002</v>
      </c>
      <c r="AF44" s="16">
        <v>15.24</v>
      </c>
      <c r="AG44" s="103">
        <f t="shared" si="1"/>
        <v>14</v>
      </c>
      <c r="AH44" s="37">
        <f t="shared" si="2"/>
        <v>19.888000000000002</v>
      </c>
      <c r="AJ44" s="97">
        <v>45845</v>
      </c>
      <c r="AK44">
        <v>168351</v>
      </c>
      <c r="AL44" t="s">
        <v>5</v>
      </c>
      <c r="AN44" s="81">
        <v>0.56282407407407409</v>
      </c>
      <c r="AP44" s="37">
        <v>4752</v>
      </c>
      <c r="AQ44" t="s">
        <v>1442</v>
      </c>
      <c r="AR44" s="97">
        <v>45845</v>
      </c>
      <c r="AU44" s="74"/>
      <c r="AV44" s="75"/>
      <c r="AX44" s="58"/>
      <c r="BB44" s="76"/>
      <c r="BC44" s="76"/>
    </row>
    <row r="45" spans="2:55" ht="16" x14ac:dyDescent="0.4">
      <c r="B45" t="s">
        <v>7</v>
      </c>
      <c r="G45" s="23"/>
      <c r="H45" s="23"/>
      <c r="I45" s="23"/>
      <c r="J45" s="17"/>
      <c r="K45" s="18"/>
      <c r="V45" s="97">
        <v>45843</v>
      </c>
      <c r="W45" s="16">
        <v>168051</v>
      </c>
      <c r="X45" s="101" t="s">
        <v>36</v>
      </c>
      <c r="Y45" s="105"/>
      <c r="Z45" s="102">
        <v>0.63836805555555554</v>
      </c>
      <c r="AA45" s="102">
        <v>0.17438657407407407</v>
      </c>
      <c r="AB45" s="16"/>
      <c r="AC45" s="16"/>
      <c r="AD45" s="93">
        <v>17958</v>
      </c>
      <c r="AE45" s="93">
        <f t="shared" si="0"/>
        <v>17.957999999999998</v>
      </c>
      <c r="AF45" s="16">
        <v>16.77</v>
      </c>
      <c r="AG45" s="103">
        <f t="shared" si="1"/>
        <v>14</v>
      </c>
      <c r="AH45" s="37">
        <f t="shared" si="2"/>
        <v>17.957999999999998</v>
      </c>
      <c r="AJ45" s="97">
        <v>45845</v>
      </c>
      <c r="AK45">
        <v>168358</v>
      </c>
      <c r="AL45" t="s">
        <v>5</v>
      </c>
      <c r="AN45" s="81">
        <v>0.95751157407407417</v>
      </c>
      <c r="AP45" s="37">
        <v>746</v>
      </c>
      <c r="AQ45" t="s">
        <v>1442</v>
      </c>
      <c r="AR45" s="97">
        <v>45845</v>
      </c>
      <c r="AU45" s="74"/>
      <c r="AV45" s="75"/>
      <c r="AX45" s="58"/>
      <c r="BB45" s="76"/>
      <c r="BC45" s="76"/>
    </row>
    <row r="46" spans="2:55" ht="16" x14ac:dyDescent="0.4">
      <c r="B46" t="s">
        <v>8</v>
      </c>
      <c r="F46" s="23"/>
      <c r="G46" s="23"/>
      <c r="H46" s="23"/>
      <c r="I46" s="23"/>
      <c r="J46" s="23"/>
      <c r="K46" s="23"/>
      <c r="V46" s="97">
        <v>45843</v>
      </c>
      <c r="W46" s="16">
        <v>168079</v>
      </c>
      <c r="X46" s="101" t="s">
        <v>36</v>
      </c>
      <c r="Y46" s="105"/>
      <c r="Z46" s="102">
        <v>0.46620370370370368</v>
      </c>
      <c r="AA46" s="102">
        <v>0.70893518518518517</v>
      </c>
      <c r="AB46" s="16"/>
      <c r="AC46" s="16"/>
      <c r="AD46" s="93">
        <v>17710</v>
      </c>
      <c r="AE46" s="93">
        <f t="shared" si="0"/>
        <v>17.71</v>
      </c>
      <c r="AF46" s="16">
        <v>16.84</v>
      </c>
      <c r="AG46" s="103">
        <f t="shared" si="1"/>
        <v>14</v>
      </c>
      <c r="AH46" s="37">
        <f t="shared" si="2"/>
        <v>17.71</v>
      </c>
      <c r="AJ46" s="97">
        <v>45845</v>
      </c>
      <c r="AL46" t="s">
        <v>5</v>
      </c>
      <c r="AN46" s="81">
        <v>0.47461805555555553</v>
      </c>
      <c r="AO46" s="81">
        <v>0.56054398148148155</v>
      </c>
      <c r="AP46" s="37">
        <v>2552</v>
      </c>
      <c r="AQ46" t="s">
        <v>1436</v>
      </c>
      <c r="AR46" s="97">
        <v>45845</v>
      </c>
      <c r="AU46" s="74"/>
      <c r="AV46" s="75"/>
      <c r="AX46" s="58"/>
      <c r="BB46" s="76"/>
      <c r="BC46" s="76"/>
    </row>
    <row r="47" spans="2:55" ht="16" x14ac:dyDescent="0.4">
      <c r="B47" t="s">
        <v>9</v>
      </c>
      <c r="F47" s="23"/>
      <c r="G47" s="30"/>
      <c r="H47" s="30"/>
      <c r="I47" s="30"/>
      <c r="V47" s="97">
        <v>45843</v>
      </c>
      <c r="W47" s="16">
        <v>168094</v>
      </c>
      <c r="X47" s="101" t="s">
        <v>36</v>
      </c>
      <c r="Y47" s="105"/>
      <c r="Z47" s="102">
        <v>0.70606481481481476</v>
      </c>
      <c r="AA47" s="102">
        <v>0.77991898148148142</v>
      </c>
      <c r="AB47" s="16"/>
      <c r="AC47" s="16"/>
      <c r="AD47" s="93">
        <v>18616</v>
      </c>
      <c r="AE47" s="93">
        <f t="shared" si="0"/>
        <v>18.616</v>
      </c>
      <c r="AF47" s="16">
        <v>16.64</v>
      </c>
      <c r="AG47" s="103">
        <f t="shared" si="1"/>
        <v>14</v>
      </c>
      <c r="AH47" s="37">
        <f t="shared" si="2"/>
        <v>18.616000000000003</v>
      </c>
      <c r="AJ47" s="97">
        <v>45846</v>
      </c>
      <c r="AK47">
        <v>168839</v>
      </c>
      <c r="AL47" t="s">
        <v>5</v>
      </c>
      <c r="AN47" s="81">
        <v>0.61631944444444442</v>
      </c>
      <c r="AP47" s="37">
        <v>6632</v>
      </c>
      <c r="AQ47" t="s">
        <v>1442</v>
      </c>
      <c r="AR47" s="97">
        <v>45846</v>
      </c>
      <c r="AU47" s="74"/>
      <c r="AV47" s="75"/>
      <c r="AX47" s="58"/>
      <c r="BB47" s="76"/>
      <c r="BC47" s="76"/>
    </row>
    <row r="48" spans="2:55" ht="16" x14ac:dyDescent="0.4">
      <c r="B48" t="s">
        <v>10</v>
      </c>
      <c r="V48" s="97">
        <v>45843</v>
      </c>
      <c r="W48" s="16">
        <v>168126</v>
      </c>
      <c r="X48" s="101" t="s">
        <v>36</v>
      </c>
      <c r="Y48" s="105"/>
      <c r="Z48" s="102">
        <v>0.96736111111111101</v>
      </c>
      <c r="AA48" s="102">
        <v>0.8534722222222223</v>
      </c>
      <c r="AB48" s="16"/>
      <c r="AC48" s="16"/>
      <c r="AD48" s="93">
        <v>19256</v>
      </c>
      <c r="AE48" s="93">
        <f t="shared" si="0"/>
        <v>19.256</v>
      </c>
      <c r="AF48" s="16">
        <v>16.16</v>
      </c>
      <c r="AG48" s="103">
        <f t="shared" si="1"/>
        <v>14</v>
      </c>
      <c r="AH48" s="37">
        <f t="shared" si="2"/>
        <v>19.256</v>
      </c>
      <c r="AJ48" s="97">
        <v>45846</v>
      </c>
      <c r="AK48">
        <v>168829</v>
      </c>
      <c r="AL48" t="s">
        <v>5</v>
      </c>
      <c r="AP48" s="37">
        <v>5758</v>
      </c>
      <c r="AQ48" t="s">
        <v>1442</v>
      </c>
      <c r="AR48" s="97">
        <v>45846</v>
      </c>
      <c r="AU48" s="74"/>
      <c r="AV48" s="75"/>
      <c r="AX48" s="58"/>
      <c r="BB48" s="76"/>
      <c r="BC48" s="76"/>
    </row>
    <row r="49" spans="2:55" ht="16" x14ac:dyDescent="0.4">
      <c r="V49" s="97">
        <v>45843</v>
      </c>
      <c r="W49" s="16">
        <v>168154</v>
      </c>
      <c r="X49" s="101" t="s">
        <v>36</v>
      </c>
      <c r="Y49" s="105"/>
      <c r="Z49" s="102">
        <v>0.7055555555555556</v>
      </c>
      <c r="AA49" s="102">
        <v>0.92361111111111116</v>
      </c>
      <c r="AB49" s="16"/>
      <c r="AC49" s="16"/>
      <c r="AD49" s="93">
        <v>19340</v>
      </c>
      <c r="AE49" s="93">
        <f t="shared" si="0"/>
        <v>19.34</v>
      </c>
      <c r="AF49" s="16">
        <v>14.27</v>
      </c>
      <c r="AG49" s="103">
        <f t="shared" si="1"/>
        <v>14</v>
      </c>
      <c r="AH49" s="37">
        <f t="shared" si="2"/>
        <v>19.34</v>
      </c>
      <c r="AJ49" s="97">
        <v>45846</v>
      </c>
      <c r="AK49">
        <v>168832</v>
      </c>
      <c r="AL49" t="s">
        <v>5</v>
      </c>
      <c r="AN49" s="81">
        <v>0.6772800925925927</v>
      </c>
      <c r="AP49" s="37">
        <v>2362</v>
      </c>
      <c r="AQ49" t="s">
        <v>1442</v>
      </c>
      <c r="AR49" s="97">
        <v>45846</v>
      </c>
      <c r="AU49" s="74"/>
      <c r="AV49" s="75"/>
      <c r="AX49" s="58"/>
      <c r="BB49" s="76"/>
      <c r="BC49" s="76"/>
    </row>
    <row r="50" spans="2:55" ht="16" x14ac:dyDescent="0.4">
      <c r="B50" t="s">
        <v>11</v>
      </c>
      <c r="J50" t="s">
        <v>11</v>
      </c>
      <c r="V50" s="97">
        <v>45844</v>
      </c>
      <c r="W50" s="16">
        <v>168175</v>
      </c>
      <c r="X50" s="101" t="s">
        <v>36</v>
      </c>
      <c r="Y50" s="105"/>
      <c r="Z50" s="102">
        <v>0.46597222222222223</v>
      </c>
      <c r="AA50" s="102">
        <v>1.3194444444444444E-2</v>
      </c>
      <c r="AB50" s="16"/>
      <c r="AC50" s="16"/>
      <c r="AD50" s="93">
        <v>22026</v>
      </c>
      <c r="AE50" s="93">
        <f t="shared" si="0"/>
        <v>22.026</v>
      </c>
      <c r="AF50" s="16">
        <v>14.12</v>
      </c>
      <c r="AG50" s="103">
        <f t="shared" si="1"/>
        <v>14</v>
      </c>
      <c r="AH50" s="37">
        <f t="shared" si="2"/>
        <v>22.026</v>
      </c>
      <c r="AJ50" s="97">
        <v>45846</v>
      </c>
      <c r="AK50">
        <v>168838</v>
      </c>
      <c r="AL50" t="s">
        <v>5</v>
      </c>
      <c r="AN50" s="81">
        <v>0.5805555555555556</v>
      </c>
      <c r="AP50" s="37">
        <v>4634</v>
      </c>
      <c r="AQ50" t="s">
        <v>1442</v>
      </c>
      <c r="AR50" s="97">
        <v>45846</v>
      </c>
      <c r="AU50" s="74"/>
      <c r="AV50" s="75"/>
      <c r="AX50" s="58"/>
      <c r="BB50" s="76"/>
      <c r="BC50" s="76"/>
    </row>
    <row r="51" spans="2:55" ht="16" x14ac:dyDescent="0.4">
      <c r="V51" s="97">
        <v>45844</v>
      </c>
      <c r="W51" s="16">
        <v>168187</v>
      </c>
      <c r="X51" s="101" t="s">
        <v>36</v>
      </c>
      <c r="Y51" s="105"/>
      <c r="Z51" s="102">
        <v>0.7055555555555556</v>
      </c>
      <c r="AA51" s="102">
        <v>7.4305555555555555E-2</v>
      </c>
      <c r="AB51" s="16"/>
      <c r="AC51" s="16"/>
      <c r="AD51" s="93">
        <v>20206</v>
      </c>
      <c r="AE51" s="93">
        <f t="shared" si="0"/>
        <v>20.206</v>
      </c>
      <c r="AF51" s="16">
        <v>15.27</v>
      </c>
      <c r="AG51" s="103">
        <f t="shared" si="1"/>
        <v>14</v>
      </c>
      <c r="AH51" s="37">
        <f t="shared" si="2"/>
        <v>20.206</v>
      </c>
      <c r="AJ51" s="97">
        <v>45846</v>
      </c>
      <c r="AK51">
        <v>168833</v>
      </c>
      <c r="AL51" t="s">
        <v>5</v>
      </c>
      <c r="AN51" s="81">
        <v>0.59334490740740742</v>
      </c>
      <c r="AP51" s="37">
        <v>304</v>
      </c>
      <c r="AQ51" t="s">
        <v>1442</v>
      </c>
      <c r="AR51" s="97">
        <v>45846</v>
      </c>
      <c r="AU51" s="74"/>
      <c r="AV51" s="75"/>
      <c r="AX51" s="58"/>
      <c r="BB51" s="76"/>
      <c r="BC51" s="76"/>
    </row>
    <row r="52" spans="2:55" ht="16" x14ac:dyDescent="0.4">
      <c r="V52" s="97">
        <v>45844</v>
      </c>
      <c r="W52" s="16">
        <v>168209</v>
      </c>
      <c r="X52" s="101" t="s">
        <v>36</v>
      </c>
      <c r="Y52" s="105"/>
      <c r="Z52" s="102">
        <v>7.4999999999999997E-2</v>
      </c>
      <c r="AA52" s="102">
        <v>0.13749999999999998</v>
      </c>
      <c r="AB52" s="16"/>
      <c r="AC52" s="16"/>
      <c r="AD52" s="93">
        <v>20116</v>
      </c>
      <c r="AE52" s="93">
        <f t="shared" si="0"/>
        <v>20.116</v>
      </c>
      <c r="AF52" s="16">
        <v>16.41</v>
      </c>
      <c r="AG52" s="103">
        <f t="shared" si="1"/>
        <v>14</v>
      </c>
      <c r="AH52" s="37">
        <f t="shared" si="2"/>
        <v>20.116000000000003</v>
      </c>
      <c r="AJ52" s="97">
        <v>45846</v>
      </c>
      <c r="AK52">
        <v>168835</v>
      </c>
      <c r="AL52" t="s">
        <v>5</v>
      </c>
      <c r="AN52" s="81">
        <v>0.43282407407407408</v>
      </c>
      <c r="AP52" s="37">
        <v>3208</v>
      </c>
      <c r="AQ52" t="s">
        <v>1442</v>
      </c>
      <c r="AR52" s="97">
        <v>45846</v>
      </c>
      <c r="AU52" s="74"/>
      <c r="AV52" s="75"/>
      <c r="AX52" s="58"/>
      <c r="BB52" s="76"/>
      <c r="BC52" s="76"/>
    </row>
    <row r="53" spans="2:55" ht="16.5" thickBot="1" x14ac:dyDescent="0.45">
      <c r="B53" s="19" t="s">
        <v>12</v>
      </c>
      <c r="C53" s="19"/>
      <c r="J53" s="19"/>
      <c r="K53" s="19"/>
      <c r="L53" s="19"/>
      <c r="V53" s="97">
        <v>45844</v>
      </c>
      <c r="W53" s="16">
        <v>168211</v>
      </c>
      <c r="X53" s="101" t="s">
        <v>36</v>
      </c>
      <c r="Y53" s="105"/>
      <c r="Z53" s="102">
        <v>0.11527777777777777</v>
      </c>
      <c r="AA53" s="102">
        <v>0.17847222222222223</v>
      </c>
      <c r="AB53" s="16"/>
      <c r="AC53" s="16"/>
      <c r="AD53" s="93">
        <v>20134</v>
      </c>
      <c r="AE53" s="93">
        <f t="shared" si="0"/>
        <v>20.134</v>
      </c>
      <c r="AF53" s="16">
        <v>15.56</v>
      </c>
      <c r="AG53" s="103">
        <f t="shared" si="1"/>
        <v>14</v>
      </c>
      <c r="AH53" s="37">
        <f t="shared" si="2"/>
        <v>20.133999999999997</v>
      </c>
      <c r="AJ53" s="97">
        <v>45846</v>
      </c>
      <c r="AK53">
        <v>168834</v>
      </c>
      <c r="AL53" t="s">
        <v>5</v>
      </c>
      <c r="AN53" s="81">
        <v>0.59008101851851846</v>
      </c>
      <c r="AP53" s="37">
        <v>4692</v>
      </c>
      <c r="AQ53" t="s">
        <v>1442</v>
      </c>
      <c r="AR53" s="97">
        <v>45846</v>
      </c>
      <c r="AS53" s="88"/>
      <c r="AU53" s="21"/>
      <c r="BB53" s="73"/>
      <c r="BC53" s="73"/>
    </row>
    <row r="54" spans="2:55" ht="16" x14ac:dyDescent="0.4">
      <c r="B54" t="s">
        <v>13</v>
      </c>
      <c r="J54" t="s">
        <v>14</v>
      </c>
      <c r="V54" s="97">
        <v>45844</v>
      </c>
      <c r="W54" s="16">
        <v>168214</v>
      </c>
      <c r="X54" s="101" t="s">
        <v>36</v>
      </c>
      <c r="Y54" s="105"/>
      <c r="Z54" s="102">
        <v>7.5231481481481483E-2</v>
      </c>
      <c r="AA54" s="102">
        <v>0.2361226851851852</v>
      </c>
      <c r="AB54" s="16"/>
      <c r="AC54" s="16"/>
      <c r="AD54" s="93">
        <v>18084</v>
      </c>
      <c r="AE54" s="93">
        <f t="shared" si="0"/>
        <v>18.084</v>
      </c>
      <c r="AF54" s="16">
        <v>14.38</v>
      </c>
      <c r="AG54" s="103">
        <f t="shared" si="1"/>
        <v>14</v>
      </c>
      <c r="AH54" s="37">
        <f t="shared" si="2"/>
        <v>18.084</v>
      </c>
      <c r="AJ54" s="97">
        <v>45846</v>
      </c>
      <c r="AK54">
        <v>168828</v>
      </c>
      <c r="AL54" t="s">
        <v>5</v>
      </c>
      <c r="AP54" s="37">
        <v>6846</v>
      </c>
      <c r="AQ54" t="s">
        <v>1442</v>
      </c>
      <c r="AR54" s="97">
        <v>45846</v>
      </c>
      <c r="AS54" s="88"/>
      <c r="AU54" s="21"/>
      <c r="BB54" s="73"/>
      <c r="BC54" s="73"/>
    </row>
    <row r="55" spans="2:55" ht="16" x14ac:dyDescent="0.4">
      <c r="V55" s="97">
        <v>45844</v>
      </c>
      <c r="W55" s="16">
        <v>168222</v>
      </c>
      <c r="X55" s="101" t="s">
        <v>36</v>
      </c>
      <c r="Y55" s="105"/>
      <c r="Z55" s="102">
        <v>0.11787037037037036</v>
      </c>
      <c r="AA55" s="102">
        <v>0.32827546296296295</v>
      </c>
      <c r="AB55" s="16"/>
      <c r="AC55" s="16"/>
      <c r="AD55" s="93">
        <v>20452</v>
      </c>
      <c r="AE55" s="93">
        <f t="shared" si="0"/>
        <v>20.452000000000002</v>
      </c>
      <c r="AF55" s="16">
        <v>14.13</v>
      </c>
      <c r="AG55" s="103">
        <f t="shared" si="1"/>
        <v>14</v>
      </c>
      <c r="AH55" s="37">
        <f t="shared" si="2"/>
        <v>20.452000000000002</v>
      </c>
      <c r="AJ55" s="97">
        <v>45846</v>
      </c>
      <c r="AK55">
        <v>169007</v>
      </c>
      <c r="AL55" t="s">
        <v>5</v>
      </c>
      <c r="AN55" s="81">
        <v>0.23450231481481479</v>
      </c>
      <c r="AO55" s="81">
        <v>0.43100694444444443</v>
      </c>
      <c r="AP55" s="37">
        <v>2702</v>
      </c>
      <c r="AQ55" t="s">
        <v>1442</v>
      </c>
      <c r="AR55" s="97">
        <v>45846</v>
      </c>
      <c r="AS55" s="38"/>
      <c r="AU55" s="21"/>
      <c r="BB55" s="73"/>
      <c r="BC55" s="73"/>
    </row>
    <row r="56" spans="2:55" ht="16" x14ac:dyDescent="0.4">
      <c r="V56" s="97">
        <v>45844</v>
      </c>
      <c r="W56" s="16">
        <v>168230</v>
      </c>
      <c r="X56" s="101" t="s">
        <v>36</v>
      </c>
      <c r="Y56" s="105"/>
      <c r="Z56" s="102">
        <v>7.5104166666666666E-2</v>
      </c>
      <c r="AA56" s="102">
        <v>0.38487268518518519</v>
      </c>
      <c r="AB56" s="16"/>
      <c r="AC56" s="16"/>
      <c r="AD56" s="93">
        <v>19774</v>
      </c>
      <c r="AE56" s="93">
        <f t="shared" si="0"/>
        <v>19.774000000000001</v>
      </c>
      <c r="AF56" s="16">
        <v>15.49</v>
      </c>
      <c r="AG56" s="103">
        <f t="shared" si="1"/>
        <v>14</v>
      </c>
      <c r="AH56" s="37">
        <f t="shared" si="2"/>
        <v>19.774000000000001</v>
      </c>
      <c r="AJ56" s="97">
        <v>45846</v>
      </c>
      <c r="AK56">
        <v>169054</v>
      </c>
      <c r="AL56" t="s">
        <v>5</v>
      </c>
      <c r="AN56" s="81">
        <v>0.33296296296296296</v>
      </c>
      <c r="AO56" s="81">
        <v>0.56474537037037031</v>
      </c>
      <c r="AP56" s="37">
        <v>3890</v>
      </c>
      <c r="AQ56" t="s">
        <v>1442</v>
      </c>
      <c r="AR56" s="97">
        <v>45846</v>
      </c>
      <c r="AS56" s="38"/>
      <c r="AU56" s="21"/>
      <c r="BB56" s="73"/>
      <c r="BC56" s="73"/>
    </row>
    <row r="57" spans="2:55" ht="16" x14ac:dyDescent="0.4">
      <c r="V57" s="97">
        <v>45844</v>
      </c>
      <c r="W57" s="16">
        <v>168255</v>
      </c>
      <c r="X57" s="101" t="s">
        <v>36</v>
      </c>
      <c r="Y57" s="105"/>
      <c r="Z57" s="102">
        <v>0.11771990740740741</v>
      </c>
      <c r="AA57" s="102">
        <v>0.47072916666666664</v>
      </c>
      <c r="AB57" s="16"/>
      <c r="AC57" s="16"/>
      <c r="AD57" s="93">
        <v>22800</v>
      </c>
      <c r="AE57" s="93">
        <f t="shared" si="0"/>
        <v>22.8</v>
      </c>
      <c r="AF57" s="16">
        <v>13.91</v>
      </c>
      <c r="AG57" s="103">
        <f t="shared" si="1"/>
        <v>13.91</v>
      </c>
      <c r="AH57" s="37">
        <f t="shared" si="2"/>
        <v>22.653428571428574</v>
      </c>
      <c r="AJ57" s="97">
        <v>45846</v>
      </c>
      <c r="AL57" t="s">
        <v>5</v>
      </c>
      <c r="AN57" s="81">
        <v>0.4637384259259259</v>
      </c>
      <c r="AO57" s="81">
        <v>0.6</v>
      </c>
      <c r="AP57" s="37">
        <v>2790</v>
      </c>
      <c r="AQ57" t="s">
        <v>1436</v>
      </c>
      <c r="AR57" s="97">
        <v>45846</v>
      </c>
      <c r="AS57" s="38"/>
      <c r="AU57" s="21"/>
      <c r="BB57" s="73"/>
      <c r="BC57" s="73"/>
    </row>
    <row r="58" spans="2:55" ht="16" x14ac:dyDescent="0.4">
      <c r="V58" s="97">
        <v>45844</v>
      </c>
      <c r="W58" s="16">
        <v>168268</v>
      </c>
      <c r="X58" s="101" t="s">
        <v>36</v>
      </c>
      <c r="Y58" s="105"/>
      <c r="Z58" s="102">
        <v>0.41267361111111112</v>
      </c>
      <c r="AA58" s="102">
        <v>0.53262731481481485</v>
      </c>
      <c r="AB58" s="16"/>
      <c r="AC58" s="16"/>
      <c r="AD58" s="93">
        <v>18782</v>
      </c>
      <c r="AE58" s="93">
        <f t="shared" si="0"/>
        <v>18.782</v>
      </c>
      <c r="AF58" s="16">
        <v>16.62</v>
      </c>
      <c r="AG58" s="103">
        <f t="shared" si="1"/>
        <v>14</v>
      </c>
      <c r="AH58" s="37">
        <f t="shared" si="2"/>
        <v>18.782</v>
      </c>
      <c r="AJ58" s="97">
        <v>45846</v>
      </c>
      <c r="AL58" t="s">
        <v>5</v>
      </c>
      <c r="AN58" s="81">
        <v>0.44534722222222217</v>
      </c>
      <c r="AO58" s="81">
        <v>0.44395833333333329</v>
      </c>
      <c r="AP58" s="37">
        <v>2700</v>
      </c>
      <c r="AQ58" t="s">
        <v>1436</v>
      </c>
      <c r="AR58" s="97">
        <v>45846</v>
      </c>
      <c r="AS58" s="38"/>
      <c r="AU58" s="21"/>
      <c r="BB58" s="73"/>
      <c r="BC58" s="73"/>
    </row>
    <row r="59" spans="2:55" ht="16" x14ac:dyDescent="0.4">
      <c r="V59" s="97">
        <v>45844</v>
      </c>
      <c r="W59" s="16">
        <v>168291</v>
      </c>
      <c r="X59" s="101" t="s">
        <v>36</v>
      </c>
      <c r="Y59" s="105"/>
      <c r="Z59" s="102">
        <v>0.51020833333333326</v>
      </c>
      <c r="AA59" s="102">
        <v>0.60581018518518526</v>
      </c>
      <c r="AB59" s="16"/>
      <c r="AC59" s="16"/>
      <c r="AD59" s="93">
        <v>20224</v>
      </c>
      <c r="AE59" s="93">
        <f t="shared" si="0"/>
        <v>20.224</v>
      </c>
      <c r="AF59" s="16">
        <v>14.38</v>
      </c>
      <c r="AG59" s="103">
        <f t="shared" si="1"/>
        <v>14</v>
      </c>
      <c r="AH59" s="37">
        <f t="shared" si="2"/>
        <v>20.224</v>
      </c>
      <c r="AJ59" s="97">
        <v>45846</v>
      </c>
      <c r="AL59" t="s">
        <v>5</v>
      </c>
      <c r="AN59" s="81">
        <v>0.41645833333333332</v>
      </c>
      <c r="AO59" s="81">
        <v>0.46240740740740738</v>
      </c>
      <c r="AP59" s="37">
        <v>3002</v>
      </c>
      <c r="AR59" s="97">
        <v>45846</v>
      </c>
      <c r="AS59" s="38"/>
      <c r="AU59" s="21"/>
      <c r="BB59" s="73"/>
      <c r="BC59" s="73"/>
    </row>
    <row r="60" spans="2:55" ht="16" x14ac:dyDescent="0.4">
      <c r="V60" s="97">
        <v>45844</v>
      </c>
      <c r="W60" s="16">
        <v>168307</v>
      </c>
      <c r="X60" s="101" t="s">
        <v>36</v>
      </c>
      <c r="Y60" s="105"/>
      <c r="Z60" s="102">
        <v>0.41258101851851853</v>
      </c>
      <c r="AA60" s="102">
        <v>0.67696759259259265</v>
      </c>
      <c r="AB60" s="16"/>
      <c r="AC60" s="16"/>
      <c r="AD60" s="93">
        <v>19884</v>
      </c>
      <c r="AE60" s="93">
        <f t="shared" si="0"/>
        <v>19.884</v>
      </c>
      <c r="AF60" s="16">
        <v>16.16</v>
      </c>
      <c r="AG60" s="103">
        <f t="shared" si="1"/>
        <v>14</v>
      </c>
      <c r="AH60" s="37">
        <f t="shared" si="2"/>
        <v>19.883999999999997</v>
      </c>
      <c r="AJ60" s="97">
        <v>45846</v>
      </c>
      <c r="AL60" t="s">
        <v>5</v>
      </c>
      <c r="AN60" s="81">
        <v>0.55586805555555552</v>
      </c>
      <c r="AO60" s="81">
        <v>0.57681712962962961</v>
      </c>
      <c r="AP60" s="37">
        <v>3218</v>
      </c>
      <c r="AQ60" t="s">
        <v>1460</v>
      </c>
      <c r="AR60" s="97">
        <v>45846</v>
      </c>
      <c r="AS60" s="38"/>
      <c r="AU60" s="21"/>
      <c r="BB60" s="73"/>
      <c r="BC60" s="73"/>
    </row>
    <row r="61" spans="2:55" ht="16" x14ac:dyDescent="0.4">
      <c r="V61" s="97">
        <v>45844</v>
      </c>
      <c r="W61" s="16">
        <v>168322</v>
      </c>
      <c r="X61" s="101" t="s">
        <v>36</v>
      </c>
      <c r="Y61" s="105"/>
      <c r="Z61" s="102">
        <v>0.1173611111111111</v>
      </c>
      <c r="AA61" s="102">
        <v>0.81458333333333333</v>
      </c>
      <c r="AB61" s="16"/>
      <c r="AC61" s="16"/>
      <c r="AD61" s="93">
        <v>19768</v>
      </c>
      <c r="AE61" s="93">
        <f t="shared" si="0"/>
        <v>19.768000000000001</v>
      </c>
      <c r="AF61" s="16">
        <v>15.02</v>
      </c>
      <c r="AG61" s="103">
        <f t="shared" si="1"/>
        <v>14</v>
      </c>
      <c r="AH61" s="37">
        <f t="shared" si="2"/>
        <v>19.768000000000001</v>
      </c>
      <c r="AJ61" s="97">
        <v>45846</v>
      </c>
      <c r="AL61" t="s">
        <v>5</v>
      </c>
      <c r="AN61" s="81">
        <v>0.50064814814814818</v>
      </c>
      <c r="AO61" s="81">
        <v>0.59523148148148153</v>
      </c>
      <c r="AP61" s="37">
        <v>2688</v>
      </c>
      <c r="AQ61" t="s">
        <v>1463</v>
      </c>
      <c r="AR61" s="97">
        <v>45846</v>
      </c>
      <c r="AS61" s="38"/>
      <c r="AU61" s="21"/>
      <c r="BB61" s="73"/>
      <c r="BC61" s="73"/>
    </row>
    <row r="62" spans="2:55" ht="16" x14ac:dyDescent="0.4">
      <c r="V62" s="97">
        <v>45844</v>
      </c>
      <c r="W62" s="16">
        <v>168340</v>
      </c>
      <c r="X62" s="101" t="s">
        <v>36</v>
      </c>
      <c r="Y62" s="105"/>
      <c r="Z62" s="102">
        <v>0.41180555555555554</v>
      </c>
      <c r="AA62" s="102">
        <v>0.87222222222222223</v>
      </c>
      <c r="AB62" s="16"/>
      <c r="AC62" s="16"/>
      <c r="AD62" s="93">
        <v>20568</v>
      </c>
      <c r="AE62" s="93">
        <f t="shared" si="0"/>
        <v>20.568000000000001</v>
      </c>
      <c r="AF62" s="16">
        <v>15.49</v>
      </c>
      <c r="AG62" s="103">
        <f t="shared" si="1"/>
        <v>14</v>
      </c>
      <c r="AH62" s="37">
        <f t="shared" si="2"/>
        <v>20.568000000000001</v>
      </c>
      <c r="AJ62" s="97">
        <v>45846</v>
      </c>
      <c r="AL62" t="s">
        <v>5</v>
      </c>
      <c r="AN62" s="81">
        <v>0.4851273148148148</v>
      </c>
      <c r="AO62" s="81">
        <v>0.50047453703703704</v>
      </c>
      <c r="AP62" s="37">
        <v>3146</v>
      </c>
      <c r="AQ62" t="s">
        <v>1463</v>
      </c>
      <c r="AR62" s="97">
        <v>45846</v>
      </c>
      <c r="AS62" s="38"/>
      <c r="AU62" s="55"/>
      <c r="AV62" s="16"/>
      <c r="AW62" s="16"/>
      <c r="AX62" s="16"/>
      <c r="AY62" s="16"/>
      <c r="BB62" s="77"/>
      <c r="BC62" s="77"/>
    </row>
    <row r="63" spans="2:55" ht="16" x14ac:dyDescent="0.4">
      <c r="V63" s="97">
        <v>45844</v>
      </c>
      <c r="W63" s="16">
        <v>168344</v>
      </c>
      <c r="X63" s="101" t="s">
        <v>36</v>
      </c>
      <c r="Y63" s="105"/>
      <c r="Z63" s="102">
        <v>0.65</v>
      </c>
      <c r="AA63" s="102">
        <v>0.46388888888888885</v>
      </c>
      <c r="AB63" s="16"/>
      <c r="AC63" s="16"/>
      <c r="AD63" s="93">
        <v>19878</v>
      </c>
      <c r="AE63" s="93">
        <f t="shared" si="0"/>
        <v>19.878</v>
      </c>
      <c r="AF63" s="16">
        <v>14.66</v>
      </c>
      <c r="AG63" s="103">
        <f t="shared" si="1"/>
        <v>14</v>
      </c>
      <c r="AH63" s="37">
        <f t="shared" si="2"/>
        <v>19.878000000000004</v>
      </c>
      <c r="AJ63" s="97">
        <v>45846</v>
      </c>
      <c r="AL63" t="s">
        <v>5</v>
      </c>
      <c r="AN63" s="81">
        <v>0.68947916666666664</v>
      </c>
      <c r="AO63" s="81">
        <v>0.66228009259259257</v>
      </c>
      <c r="AP63" s="37">
        <v>5530</v>
      </c>
      <c r="AQ63" t="s">
        <v>1442</v>
      </c>
      <c r="AR63" s="97">
        <v>45846</v>
      </c>
      <c r="AS63" s="38"/>
      <c r="AU63" s="55"/>
      <c r="BB63" s="73"/>
      <c r="BC63" s="73"/>
    </row>
    <row r="64" spans="2:55" ht="16" x14ac:dyDescent="0.4">
      <c r="V64" s="97">
        <v>45844</v>
      </c>
      <c r="W64" s="16">
        <v>168345</v>
      </c>
      <c r="X64" s="101" t="s">
        <v>36</v>
      </c>
      <c r="Y64" s="105"/>
      <c r="Z64" s="102">
        <v>0.92499999999999993</v>
      </c>
      <c r="AA64" s="102">
        <v>0.96527777777777779</v>
      </c>
      <c r="AB64" s="16"/>
      <c r="AC64" s="16"/>
      <c r="AD64" s="93">
        <v>18808</v>
      </c>
      <c r="AE64" s="93">
        <f t="shared" si="0"/>
        <v>18.808</v>
      </c>
      <c r="AF64" s="16">
        <v>12.88</v>
      </c>
      <c r="AG64" s="103">
        <f t="shared" si="1"/>
        <v>12.88</v>
      </c>
      <c r="AH64" s="37">
        <f t="shared" si="2"/>
        <v>17.303360000000001</v>
      </c>
      <c r="AJ64" s="97">
        <v>45846</v>
      </c>
      <c r="AL64" t="s">
        <v>5</v>
      </c>
      <c r="AN64" s="81">
        <v>0.67195601851851849</v>
      </c>
      <c r="AO64" s="81">
        <v>0.6891087962962964</v>
      </c>
      <c r="AP64" s="37">
        <v>4616</v>
      </c>
      <c r="AQ64" t="s">
        <v>1452</v>
      </c>
      <c r="AR64" s="97">
        <v>45846</v>
      </c>
      <c r="AS64" s="38"/>
      <c r="AU64" s="55"/>
      <c r="BB64" s="73"/>
      <c r="BC64" s="73"/>
    </row>
    <row r="65" spans="22:55" ht="16" x14ac:dyDescent="0.4">
      <c r="V65" s="97">
        <v>45845</v>
      </c>
      <c r="W65" s="16">
        <v>168349</v>
      </c>
      <c r="X65" s="101" t="s">
        <v>36</v>
      </c>
      <c r="Y65" s="105"/>
      <c r="Z65" s="102">
        <v>0.22152777777777777</v>
      </c>
      <c r="AA65" s="102">
        <v>7.9861111111111105E-2</v>
      </c>
      <c r="AB65" s="16">
        <v>104</v>
      </c>
      <c r="AC65" s="16"/>
      <c r="AD65" s="93">
        <v>4016</v>
      </c>
      <c r="AE65" s="93">
        <f t="shared" si="0"/>
        <v>4.016</v>
      </c>
      <c r="AF65" s="16">
        <v>1.55</v>
      </c>
      <c r="AG65" s="103">
        <f t="shared" si="1"/>
        <v>1.55</v>
      </c>
      <c r="AH65" s="37">
        <f t="shared" si="2"/>
        <v>0.44462857142857143</v>
      </c>
      <c r="AJ65" s="97">
        <v>45846</v>
      </c>
      <c r="AK65">
        <v>169088</v>
      </c>
      <c r="AL65" t="s">
        <v>5</v>
      </c>
      <c r="AN65" s="81">
        <v>0.44270833333333331</v>
      </c>
      <c r="AO65" s="81">
        <v>0.60188657407407409</v>
      </c>
      <c r="AP65" s="37">
        <v>2868</v>
      </c>
      <c r="AQ65" t="s">
        <v>1442</v>
      </c>
      <c r="AR65" s="97">
        <v>45846</v>
      </c>
      <c r="AS65" s="38"/>
      <c r="AU65" s="55"/>
      <c r="BB65" s="73"/>
      <c r="BC65" s="73"/>
    </row>
    <row r="66" spans="22:55" ht="16" x14ac:dyDescent="0.4">
      <c r="V66" s="97">
        <v>45845</v>
      </c>
      <c r="W66" s="16">
        <v>168433</v>
      </c>
      <c r="X66" s="101" t="s">
        <v>36</v>
      </c>
      <c r="Y66" s="105"/>
      <c r="Z66" s="102">
        <v>0.9730092592592593</v>
      </c>
      <c r="AA66" s="102">
        <v>0.35877314814814815</v>
      </c>
      <c r="AB66" s="16"/>
      <c r="AC66" s="16"/>
      <c r="AD66" s="93">
        <v>20098</v>
      </c>
      <c r="AE66" s="93">
        <f t="shared" si="0"/>
        <v>20.097999999999999</v>
      </c>
      <c r="AF66" s="16">
        <v>15.02</v>
      </c>
      <c r="AG66" s="103">
        <f t="shared" si="1"/>
        <v>14</v>
      </c>
      <c r="AH66" s="37">
        <f t="shared" si="2"/>
        <v>20.097999999999995</v>
      </c>
      <c r="AJ66" s="97">
        <v>45846</v>
      </c>
      <c r="AK66">
        <v>169133</v>
      </c>
      <c r="AL66" t="s">
        <v>5</v>
      </c>
      <c r="AN66" s="81">
        <v>0.60605324074074074</v>
      </c>
      <c r="AO66" s="81">
        <v>0.63143518518518515</v>
      </c>
      <c r="AP66" s="37">
        <v>3606</v>
      </c>
      <c r="AQ66" t="s">
        <v>1442</v>
      </c>
      <c r="AR66" s="97">
        <v>45846</v>
      </c>
      <c r="AS66" s="38"/>
      <c r="AU66" s="55"/>
      <c r="BB66" s="73"/>
      <c r="BC66" s="73"/>
    </row>
    <row r="67" spans="22:55" ht="16" x14ac:dyDescent="0.4">
      <c r="V67" s="97">
        <v>45845</v>
      </c>
      <c r="W67" s="16">
        <v>168506</v>
      </c>
      <c r="X67" s="101" t="s">
        <v>36</v>
      </c>
      <c r="Y67" s="105"/>
      <c r="Z67" s="102">
        <v>0.9252083333333333</v>
      </c>
      <c r="AA67" s="102">
        <v>0.43712962962962965</v>
      </c>
      <c r="AB67" s="16"/>
      <c r="AC67" s="16"/>
      <c r="AD67" s="93">
        <v>20312</v>
      </c>
      <c r="AE67" s="93">
        <f t="shared" si="0"/>
        <v>20.312000000000001</v>
      </c>
      <c r="AF67" s="16">
        <v>15.13</v>
      </c>
      <c r="AG67" s="103">
        <f t="shared" si="1"/>
        <v>14</v>
      </c>
      <c r="AH67" s="37">
        <f t="shared" si="2"/>
        <v>20.312000000000001</v>
      </c>
      <c r="AJ67" s="97">
        <v>45846</v>
      </c>
      <c r="AL67" t="s">
        <v>5</v>
      </c>
      <c r="AN67" s="81">
        <v>0.57393518518518516</v>
      </c>
      <c r="AO67" s="81">
        <v>0.56420138888888893</v>
      </c>
      <c r="AP67" s="37">
        <v>2058</v>
      </c>
      <c r="AQ67" t="s">
        <v>1464</v>
      </c>
      <c r="AR67" s="97">
        <v>45846</v>
      </c>
      <c r="AS67" s="38"/>
      <c r="AU67" s="55"/>
      <c r="BB67" s="73"/>
      <c r="BC67" s="73"/>
    </row>
    <row r="68" spans="22:55" ht="16" x14ac:dyDescent="0.4">
      <c r="V68" s="97">
        <v>45845</v>
      </c>
      <c r="W68" s="16">
        <v>168563</v>
      </c>
      <c r="X68" s="101" t="s">
        <v>36</v>
      </c>
      <c r="Y68" s="105"/>
      <c r="Z68" s="102">
        <v>0.51005787037037031</v>
      </c>
      <c r="AA68" s="102">
        <v>0.52520833333333339</v>
      </c>
      <c r="AB68" s="16"/>
      <c r="AC68" s="16"/>
      <c r="AD68" s="93">
        <v>22418</v>
      </c>
      <c r="AE68" s="93">
        <f t="shared" si="0"/>
        <v>22.417999999999999</v>
      </c>
      <c r="AF68" s="16">
        <v>14.84</v>
      </c>
      <c r="AG68" s="103">
        <f t="shared" si="1"/>
        <v>14</v>
      </c>
      <c r="AH68" s="37">
        <f t="shared" si="2"/>
        <v>22.417999999999999</v>
      </c>
      <c r="AJ68" s="97">
        <v>45846</v>
      </c>
      <c r="AK68">
        <v>169160</v>
      </c>
      <c r="AL68" t="s">
        <v>5</v>
      </c>
      <c r="AP68" s="37">
        <v>1484</v>
      </c>
      <c r="AQ68" t="s">
        <v>1442</v>
      </c>
      <c r="AR68" s="97">
        <v>45846</v>
      </c>
      <c r="AS68" s="38"/>
      <c r="AU68" s="55"/>
      <c r="BB68" s="73"/>
      <c r="BC68" s="73"/>
    </row>
    <row r="69" spans="22:55" ht="16" x14ac:dyDescent="0.4">
      <c r="V69" s="97">
        <v>45845</v>
      </c>
      <c r="W69" s="16">
        <v>168635</v>
      </c>
      <c r="X69" s="101" t="s">
        <v>36</v>
      </c>
      <c r="Y69" s="105"/>
      <c r="Z69" s="102">
        <v>0.92508101851851843</v>
      </c>
      <c r="AA69" s="102">
        <v>0.5994328703703703</v>
      </c>
      <c r="AB69" s="16"/>
      <c r="AC69" s="16"/>
      <c r="AD69" s="93">
        <v>21630</v>
      </c>
      <c r="AE69" s="93">
        <f t="shared" ref="AE69:AE132" si="25">AD69/1000</f>
        <v>21.63</v>
      </c>
      <c r="AF69" s="16">
        <v>14.95</v>
      </c>
      <c r="AG69" s="103">
        <f t="shared" si="1"/>
        <v>14</v>
      </c>
      <c r="AH69" s="37">
        <f t="shared" si="2"/>
        <v>21.63</v>
      </c>
      <c r="AJ69" s="97">
        <v>45846</v>
      </c>
      <c r="AL69" t="s">
        <v>5</v>
      </c>
      <c r="AN69" s="39">
        <v>0.62430555555555556</v>
      </c>
      <c r="AO69" s="39">
        <v>0.71736111111111101</v>
      </c>
      <c r="AP69" s="37">
        <v>5336</v>
      </c>
      <c r="AR69" s="97">
        <v>45846</v>
      </c>
      <c r="AS69" s="38"/>
      <c r="AU69" s="55"/>
      <c r="BB69" s="73"/>
      <c r="BC69" s="73"/>
    </row>
    <row r="70" spans="22:55" ht="16" x14ac:dyDescent="0.4">
      <c r="V70" s="97">
        <v>45845</v>
      </c>
      <c r="W70" s="16">
        <v>168681</v>
      </c>
      <c r="X70" s="101" t="s">
        <v>36</v>
      </c>
      <c r="Y70" s="105"/>
      <c r="Z70" s="102">
        <v>0.97288194444444442</v>
      </c>
      <c r="AA70" s="102">
        <v>0.66975694444444445</v>
      </c>
      <c r="AB70" s="16"/>
      <c r="AC70" s="16"/>
      <c r="AD70" s="93">
        <v>19516</v>
      </c>
      <c r="AE70" s="93">
        <f t="shared" si="25"/>
        <v>19.515999999999998</v>
      </c>
      <c r="AF70" s="16">
        <v>16.02</v>
      </c>
      <c r="AG70" s="103">
        <f t="shared" ref="AG70:AG133" si="26">IF($AF70&gt;14,14,$AF70)</f>
        <v>14</v>
      </c>
      <c r="AH70" s="37">
        <f t="shared" ref="AH70:AH133" si="27">AE70*AG70/14</f>
        <v>19.515999999999998</v>
      </c>
      <c r="AJ70" s="97">
        <v>45846</v>
      </c>
      <c r="AK70">
        <v>169157</v>
      </c>
      <c r="AL70" t="s">
        <v>5</v>
      </c>
      <c r="AP70" s="37">
        <v>1324</v>
      </c>
      <c r="AQ70" t="s">
        <v>1442</v>
      </c>
      <c r="AR70" s="97">
        <v>45846</v>
      </c>
      <c r="AS70" s="38"/>
      <c r="AU70" s="55"/>
      <c r="BB70" s="73"/>
      <c r="BC70" s="73"/>
    </row>
    <row r="71" spans="22:55" ht="16" x14ac:dyDescent="0.4">
      <c r="V71" s="97">
        <v>45845</v>
      </c>
      <c r="W71" s="16">
        <v>168703</v>
      </c>
      <c r="X71" s="101" t="s">
        <v>36</v>
      </c>
      <c r="Y71" s="105"/>
      <c r="Z71" s="102">
        <v>0.65763888888888888</v>
      </c>
      <c r="AA71" s="102">
        <v>0.73611111111111116</v>
      </c>
      <c r="AB71" s="16"/>
      <c r="AC71" s="16"/>
      <c r="AD71" s="93">
        <v>20586</v>
      </c>
      <c r="AE71" s="93">
        <f t="shared" si="25"/>
        <v>20.585999999999999</v>
      </c>
      <c r="AF71" s="16">
        <v>15.16</v>
      </c>
      <c r="AG71" s="103">
        <f t="shared" si="26"/>
        <v>14</v>
      </c>
      <c r="AH71" s="37">
        <f t="shared" si="27"/>
        <v>20.585999999999995</v>
      </c>
      <c r="AJ71" s="97">
        <v>45846</v>
      </c>
      <c r="AK71">
        <v>169156</v>
      </c>
      <c r="AL71" t="s">
        <v>5</v>
      </c>
      <c r="AP71" s="37">
        <v>5276</v>
      </c>
      <c r="AQ71" t="s">
        <v>1442</v>
      </c>
      <c r="AR71" s="97">
        <v>45846</v>
      </c>
      <c r="AS71" s="38"/>
      <c r="AU71" s="55"/>
      <c r="BB71" s="73"/>
      <c r="BC71" s="73"/>
    </row>
    <row r="72" spans="22:55" ht="16" x14ac:dyDescent="0.4">
      <c r="V72" s="90">
        <v>45845</v>
      </c>
      <c r="W72" s="16">
        <v>168723</v>
      </c>
      <c r="X72" s="101" t="s">
        <v>36</v>
      </c>
      <c r="Y72" s="105"/>
      <c r="Z72" s="50">
        <v>0.43263888888888885</v>
      </c>
      <c r="AA72" s="50">
        <v>0.79652777777777783</v>
      </c>
      <c r="AD72" s="37">
        <v>17658</v>
      </c>
      <c r="AE72" s="93">
        <f t="shared" si="25"/>
        <v>17.658000000000001</v>
      </c>
      <c r="AF72" s="16">
        <v>14.64</v>
      </c>
      <c r="AG72" s="103">
        <f t="shared" si="26"/>
        <v>14</v>
      </c>
      <c r="AH72" s="37">
        <f t="shared" si="27"/>
        <v>17.658000000000001</v>
      </c>
      <c r="AJ72" s="97">
        <v>45846</v>
      </c>
      <c r="AK72">
        <v>169161</v>
      </c>
      <c r="AL72" t="s">
        <v>5</v>
      </c>
      <c r="AP72" s="37">
        <v>6284</v>
      </c>
      <c r="AQ72" t="s">
        <v>1442</v>
      </c>
      <c r="AR72" s="97">
        <v>45846</v>
      </c>
      <c r="AS72" s="38"/>
      <c r="AU72" s="55"/>
      <c r="BB72" s="73"/>
      <c r="BC72" s="73"/>
    </row>
    <row r="73" spans="22:55" ht="16" x14ac:dyDescent="0.4">
      <c r="V73" s="97">
        <v>45845</v>
      </c>
      <c r="W73" s="16">
        <v>168739</v>
      </c>
      <c r="X73" s="101" t="s">
        <v>36</v>
      </c>
      <c r="Y73" s="105"/>
      <c r="Z73" s="50">
        <v>0.65763888888888888</v>
      </c>
      <c r="AA73" s="50">
        <v>0.85833333333333339</v>
      </c>
      <c r="AD73" s="37">
        <v>19494</v>
      </c>
      <c r="AE73" s="93">
        <f t="shared" si="25"/>
        <v>19.494</v>
      </c>
      <c r="AF73" s="16">
        <v>14.05</v>
      </c>
      <c r="AG73" s="103">
        <f t="shared" si="26"/>
        <v>14</v>
      </c>
      <c r="AH73" s="37">
        <f t="shared" si="27"/>
        <v>19.494</v>
      </c>
      <c r="AJ73" s="97">
        <v>45846</v>
      </c>
      <c r="AK73">
        <v>169150</v>
      </c>
      <c r="AL73" t="s">
        <v>5</v>
      </c>
      <c r="AP73" s="37">
        <v>3230</v>
      </c>
      <c r="AQ73" t="s">
        <v>1442</v>
      </c>
      <c r="AR73" s="97">
        <v>45846</v>
      </c>
      <c r="AS73" s="38"/>
      <c r="AU73" s="55"/>
      <c r="BB73" s="73"/>
      <c r="BC73" s="73"/>
    </row>
    <row r="74" spans="22:55" ht="16" x14ac:dyDescent="0.4">
      <c r="V74" s="97">
        <v>45845</v>
      </c>
      <c r="W74" s="16">
        <v>168788</v>
      </c>
      <c r="X74" s="101" t="s">
        <v>36</v>
      </c>
      <c r="Y74" s="105"/>
      <c r="Z74" s="50">
        <v>0.86944444444444446</v>
      </c>
      <c r="AA74" s="50">
        <v>0.94305555555555554</v>
      </c>
      <c r="AD74" s="37">
        <v>20390</v>
      </c>
      <c r="AE74" s="93">
        <f t="shared" si="25"/>
        <v>20.39</v>
      </c>
      <c r="AF74" s="16">
        <v>15.77</v>
      </c>
      <c r="AG74" s="103">
        <f t="shared" si="26"/>
        <v>14</v>
      </c>
      <c r="AH74" s="37">
        <f t="shared" si="27"/>
        <v>20.390000000000004</v>
      </c>
      <c r="AJ74" s="97">
        <v>45846</v>
      </c>
      <c r="AK74">
        <v>169151</v>
      </c>
      <c r="AL74" t="s">
        <v>5</v>
      </c>
      <c r="AP74" s="37">
        <v>5066</v>
      </c>
      <c r="AQ74" t="s">
        <v>1442</v>
      </c>
      <c r="AR74" s="97">
        <v>45846</v>
      </c>
      <c r="AS74" s="38"/>
      <c r="AU74" s="55"/>
      <c r="BB74" s="73"/>
      <c r="BC74" s="73"/>
    </row>
    <row r="75" spans="22:55" ht="16" x14ac:dyDescent="0.4">
      <c r="V75" s="97">
        <v>45846</v>
      </c>
      <c r="W75" s="16">
        <v>168800</v>
      </c>
      <c r="X75" s="101" t="s">
        <v>36</v>
      </c>
      <c r="Y75" s="105"/>
      <c r="Z75" s="50">
        <v>0.65763888888888888</v>
      </c>
      <c r="AA75" s="50">
        <v>4.1666666666666666E-3</v>
      </c>
      <c r="AD75" s="37">
        <v>18808</v>
      </c>
      <c r="AE75" s="93">
        <f t="shared" si="25"/>
        <v>18.808</v>
      </c>
      <c r="AF75" s="16">
        <v>14.63</v>
      </c>
      <c r="AG75" s="103">
        <f t="shared" si="26"/>
        <v>14</v>
      </c>
      <c r="AH75" s="37">
        <f t="shared" si="27"/>
        <v>18.808</v>
      </c>
      <c r="AJ75" s="97">
        <v>45846</v>
      </c>
      <c r="AK75">
        <v>169158</v>
      </c>
      <c r="AL75" t="s">
        <v>5</v>
      </c>
      <c r="AP75" s="37">
        <v>2682</v>
      </c>
      <c r="AQ75" t="s">
        <v>1442</v>
      </c>
      <c r="AR75" s="97">
        <v>45846</v>
      </c>
      <c r="AS75" s="38"/>
      <c r="AU75" s="55"/>
      <c r="BB75" s="73"/>
      <c r="BC75" s="73"/>
    </row>
    <row r="76" spans="22:55" ht="16" x14ac:dyDescent="0.4">
      <c r="V76" s="97">
        <v>45846</v>
      </c>
      <c r="W76" s="16">
        <v>168808</v>
      </c>
      <c r="X76" s="101" t="s">
        <v>36</v>
      </c>
      <c r="Y76" s="105"/>
      <c r="Z76" s="50">
        <v>0.86875000000000002</v>
      </c>
      <c r="AA76" s="50">
        <v>5.9027777777777783E-2</v>
      </c>
      <c r="AD76" s="37">
        <v>21226</v>
      </c>
      <c r="AE76" s="93">
        <f t="shared" si="25"/>
        <v>21.225999999999999</v>
      </c>
      <c r="AF76" s="16">
        <v>15.99</v>
      </c>
      <c r="AG76" s="103">
        <f t="shared" si="26"/>
        <v>14</v>
      </c>
      <c r="AH76" s="37">
        <f t="shared" si="27"/>
        <v>21.225999999999999</v>
      </c>
      <c r="AJ76" s="97">
        <v>45846</v>
      </c>
      <c r="AK76">
        <v>169152</v>
      </c>
      <c r="AL76" t="s">
        <v>5</v>
      </c>
      <c r="AP76" s="37">
        <v>4378</v>
      </c>
      <c r="AQ76" t="s">
        <v>1442</v>
      </c>
      <c r="AR76" s="97">
        <v>45846</v>
      </c>
      <c r="AS76" s="38"/>
      <c r="AU76" s="55"/>
      <c r="BB76" s="73"/>
      <c r="BC76" s="73"/>
    </row>
    <row r="77" spans="22:55" ht="16" x14ac:dyDescent="0.4">
      <c r="V77" s="97">
        <v>45846</v>
      </c>
      <c r="W77" s="16">
        <v>168824</v>
      </c>
      <c r="X77" s="101" t="s">
        <v>36</v>
      </c>
      <c r="Y77" s="105"/>
      <c r="Z77" s="50">
        <v>0.90138888888888891</v>
      </c>
      <c r="AA77" s="50">
        <v>0.12291666666666667</v>
      </c>
      <c r="AD77" s="37">
        <v>19262</v>
      </c>
      <c r="AE77" s="93">
        <f t="shared" si="25"/>
        <v>19.262</v>
      </c>
      <c r="AF77" s="16">
        <v>14.66</v>
      </c>
      <c r="AG77" s="103">
        <f t="shared" si="26"/>
        <v>14</v>
      </c>
      <c r="AH77" s="37">
        <f t="shared" si="27"/>
        <v>19.262</v>
      </c>
      <c r="AJ77" s="97">
        <v>45847</v>
      </c>
      <c r="AK77">
        <v>169309</v>
      </c>
      <c r="AL77" t="s">
        <v>5</v>
      </c>
      <c r="AN77" s="81">
        <v>0.44784722222222223</v>
      </c>
      <c r="AP77" s="37">
        <v>2472</v>
      </c>
      <c r="AQ77" t="s">
        <v>1442</v>
      </c>
      <c r="AR77" s="97">
        <v>45847</v>
      </c>
      <c r="AS77" s="38"/>
      <c r="AU77" s="55"/>
      <c r="BB77" s="73"/>
      <c r="BC77" s="73"/>
    </row>
    <row r="78" spans="22:55" ht="16" x14ac:dyDescent="0.4">
      <c r="V78" s="97">
        <v>45846</v>
      </c>
      <c r="W78" s="16">
        <v>168847</v>
      </c>
      <c r="X78" s="101" t="s">
        <v>36</v>
      </c>
      <c r="Y78" s="105"/>
      <c r="Z78" s="50">
        <v>0.86967592592592602</v>
      </c>
      <c r="AA78" s="50">
        <v>0.28002314814814816</v>
      </c>
      <c r="AB78">
        <v>104</v>
      </c>
      <c r="AC78" t="s">
        <v>667</v>
      </c>
      <c r="AD78" s="37">
        <v>5628</v>
      </c>
      <c r="AE78" s="93">
        <f t="shared" si="25"/>
        <v>5.6280000000000001</v>
      </c>
      <c r="AF78">
        <v>10.45</v>
      </c>
      <c r="AG78" s="103">
        <f t="shared" si="26"/>
        <v>10.45</v>
      </c>
      <c r="AH78" s="37">
        <f t="shared" si="27"/>
        <v>4.2008999999999999</v>
      </c>
      <c r="AJ78" s="97">
        <v>45847</v>
      </c>
      <c r="AK78">
        <v>169306</v>
      </c>
      <c r="AL78" t="s">
        <v>5</v>
      </c>
      <c r="AN78" s="81">
        <v>0.45009259259259254</v>
      </c>
      <c r="AP78" s="37">
        <v>6832</v>
      </c>
      <c r="AQ78" t="s">
        <v>1442</v>
      </c>
      <c r="AR78" s="97">
        <v>45847</v>
      </c>
      <c r="AS78" s="38"/>
      <c r="AU78" s="55"/>
      <c r="BB78" s="73"/>
      <c r="BC78" s="73"/>
    </row>
    <row r="79" spans="22:55" ht="16" x14ac:dyDescent="0.4">
      <c r="V79" s="97">
        <v>45846</v>
      </c>
      <c r="W79" s="16">
        <v>168939</v>
      </c>
      <c r="X79" s="101" t="s">
        <v>36</v>
      </c>
      <c r="Y79" s="105"/>
      <c r="Z79" s="50">
        <v>4.9756944444444444E-2</v>
      </c>
      <c r="AA79" s="50">
        <v>0.38584490740740746</v>
      </c>
      <c r="AD79" s="37">
        <v>22250</v>
      </c>
      <c r="AE79" s="93">
        <f t="shared" si="25"/>
        <v>22.25</v>
      </c>
      <c r="AF79">
        <v>13.62</v>
      </c>
      <c r="AG79" s="103">
        <f t="shared" si="26"/>
        <v>13.62</v>
      </c>
      <c r="AH79" s="37">
        <f t="shared" si="27"/>
        <v>21.646071428571425</v>
      </c>
      <c r="AJ79" s="97">
        <v>45847</v>
      </c>
      <c r="AK79">
        <v>169308</v>
      </c>
      <c r="AL79" t="s">
        <v>5</v>
      </c>
      <c r="AN79" s="81">
        <v>0.37855324074074076</v>
      </c>
      <c r="AP79" s="37">
        <v>2340</v>
      </c>
      <c r="AQ79" t="s">
        <v>1442</v>
      </c>
      <c r="AR79" s="97">
        <v>45847</v>
      </c>
      <c r="AS79" s="38"/>
      <c r="AU79" s="55"/>
      <c r="BB79" s="73"/>
      <c r="BC79" s="73"/>
    </row>
    <row r="80" spans="22:55" ht="16" x14ac:dyDescent="0.4">
      <c r="V80" s="97">
        <v>45846</v>
      </c>
      <c r="W80" s="16">
        <v>168997</v>
      </c>
      <c r="X80" s="101" t="s">
        <v>36</v>
      </c>
      <c r="Y80" s="105"/>
      <c r="Z80" s="50">
        <v>0.34692129629629626</v>
      </c>
      <c r="AA80" s="50">
        <v>0.46960648148148149</v>
      </c>
      <c r="AD80" s="37">
        <v>19630</v>
      </c>
      <c r="AE80" s="93">
        <f t="shared" si="25"/>
        <v>19.63</v>
      </c>
      <c r="AF80">
        <v>14.41</v>
      </c>
      <c r="AG80" s="103">
        <f t="shared" si="26"/>
        <v>14</v>
      </c>
      <c r="AH80" s="37">
        <f t="shared" si="27"/>
        <v>19.63</v>
      </c>
      <c r="AJ80" s="97">
        <v>45847</v>
      </c>
      <c r="AK80">
        <v>169303</v>
      </c>
      <c r="AL80" t="s">
        <v>5</v>
      </c>
      <c r="AN80" s="81">
        <v>0.55516203703703704</v>
      </c>
      <c r="AP80" s="37">
        <v>6455</v>
      </c>
      <c r="AQ80" t="s">
        <v>1442</v>
      </c>
      <c r="AR80" s="97">
        <v>45847</v>
      </c>
      <c r="AS80" s="38"/>
      <c r="AU80" s="55"/>
      <c r="BB80" s="73"/>
      <c r="BC80" s="73"/>
    </row>
    <row r="81" spans="22:55" ht="16" x14ac:dyDescent="0.4">
      <c r="V81" s="97">
        <v>45846</v>
      </c>
      <c r="W81" s="16">
        <v>169033</v>
      </c>
      <c r="X81" s="101" t="s">
        <v>36</v>
      </c>
      <c r="Y81" s="105"/>
      <c r="Z81" s="50">
        <v>4.9548611111111113E-2</v>
      </c>
      <c r="AA81" s="50">
        <v>0.54872685185185188</v>
      </c>
      <c r="AD81" s="37">
        <v>19914</v>
      </c>
      <c r="AE81" s="93">
        <f t="shared" si="25"/>
        <v>19.914000000000001</v>
      </c>
      <c r="AF81">
        <v>16.95</v>
      </c>
      <c r="AG81" s="103">
        <f t="shared" si="26"/>
        <v>14</v>
      </c>
      <c r="AH81" s="37">
        <f t="shared" si="27"/>
        <v>19.914000000000005</v>
      </c>
      <c r="AJ81" s="97">
        <v>45847</v>
      </c>
      <c r="AK81">
        <v>169434</v>
      </c>
      <c r="AL81" t="s">
        <v>5</v>
      </c>
      <c r="AN81" s="81">
        <v>0.38180555555555556</v>
      </c>
      <c r="AO81" s="81">
        <v>0.40702546296296299</v>
      </c>
      <c r="AP81" s="37">
        <v>3078</v>
      </c>
      <c r="AQ81" t="s">
        <v>1442</v>
      </c>
      <c r="AR81" s="97">
        <v>45847</v>
      </c>
      <c r="AS81" s="38"/>
      <c r="AU81" s="55"/>
      <c r="BB81" s="73"/>
      <c r="BC81" s="73"/>
    </row>
    <row r="82" spans="22:55" ht="16" x14ac:dyDescent="0.4">
      <c r="V82" s="97">
        <v>45846</v>
      </c>
      <c r="W82" s="16">
        <v>169099</v>
      </c>
      <c r="X82" s="101" t="s">
        <v>36</v>
      </c>
      <c r="Y82" s="105"/>
      <c r="Z82" s="50">
        <v>0.34703703703703703</v>
      </c>
      <c r="AA82" s="50">
        <v>0.61593750000000003</v>
      </c>
      <c r="AD82" s="37">
        <v>19990</v>
      </c>
      <c r="AE82" s="93">
        <f t="shared" si="25"/>
        <v>19.989999999999998</v>
      </c>
      <c r="AF82">
        <v>15.56</v>
      </c>
      <c r="AG82" s="103">
        <f t="shared" si="26"/>
        <v>14</v>
      </c>
      <c r="AH82" s="37">
        <f t="shared" si="27"/>
        <v>19.989999999999998</v>
      </c>
      <c r="AJ82" s="97">
        <v>45847</v>
      </c>
      <c r="AK82">
        <v>169307</v>
      </c>
      <c r="AL82" t="s">
        <v>5</v>
      </c>
      <c r="AN82" s="81">
        <v>0.92797453703703703</v>
      </c>
      <c r="AP82" s="37">
        <v>3114</v>
      </c>
      <c r="AQ82" t="s">
        <v>1442</v>
      </c>
      <c r="AR82" s="97">
        <v>45847</v>
      </c>
      <c r="AS82" s="38"/>
      <c r="AU82" s="55"/>
      <c r="BB82" s="73"/>
      <c r="BC82" s="73"/>
    </row>
    <row r="83" spans="22:55" ht="16" x14ac:dyDescent="0.4">
      <c r="V83" s="97">
        <v>45846</v>
      </c>
      <c r="W83" s="16">
        <v>169153</v>
      </c>
      <c r="X83" s="101" t="s">
        <v>36</v>
      </c>
      <c r="Y83" s="105"/>
      <c r="Z83" s="50">
        <v>4.9375000000000002E-2</v>
      </c>
      <c r="AA83" s="50">
        <v>0.67957175925925928</v>
      </c>
      <c r="AD83" s="37">
        <v>18196</v>
      </c>
      <c r="AE83" s="93">
        <f t="shared" si="25"/>
        <v>18.196000000000002</v>
      </c>
      <c r="AF83">
        <v>15.49</v>
      </c>
      <c r="AG83" s="103">
        <f t="shared" si="26"/>
        <v>14</v>
      </c>
      <c r="AH83" s="37">
        <f t="shared" si="27"/>
        <v>18.196000000000002</v>
      </c>
      <c r="AJ83" s="97">
        <v>45847</v>
      </c>
      <c r="AK83">
        <v>169304</v>
      </c>
      <c r="AL83" t="s">
        <v>5</v>
      </c>
      <c r="AN83" s="81">
        <v>0.42730324074074072</v>
      </c>
      <c r="AP83" s="37">
        <v>5164</v>
      </c>
      <c r="AQ83" t="s">
        <v>1442</v>
      </c>
      <c r="AR83" s="97">
        <v>45847</v>
      </c>
      <c r="AS83" s="38"/>
      <c r="AU83" s="55"/>
      <c r="BB83" s="73"/>
      <c r="BC83" s="73"/>
    </row>
    <row r="84" spans="22:55" ht="16" x14ac:dyDescent="0.4">
      <c r="V84" s="97">
        <v>45846</v>
      </c>
      <c r="W84" s="16">
        <v>169178</v>
      </c>
      <c r="X84" s="101" t="s">
        <v>36</v>
      </c>
      <c r="Y84" s="105"/>
      <c r="Z84" s="50">
        <v>0.34652777777777777</v>
      </c>
      <c r="AA84" s="50">
        <v>0.73055555555555562</v>
      </c>
      <c r="AD84" s="37">
        <v>18842</v>
      </c>
      <c r="AE84" s="93">
        <f t="shared" si="25"/>
        <v>18.841999999999999</v>
      </c>
      <c r="AF84">
        <v>15.45</v>
      </c>
      <c r="AG84" s="103">
        <f t="shared" si="26"/>
        <v>14</v>
      </c>
      <c r="AH84" s="37">
        <f t="shared" si="27"/>
        <v>18.842000000000002</v>
      </c>
      <c r="AJ84" s="97">
        <v>45847</v>
      </c>
      <c r="AL84" t="s">
        <v>5</v>
      </c>
      <c r="AN84" s="81">
        <v>0.36832175925925931</v>
      </c>
      <c r="AO84" s="81">
        <v>0.41781249999999998</v>
      </c>
      <c r="AP84" s="37">
        <v>2774</v>
      </c>
      <c r="AQ84" t="s">
        <v>1465</v>
      </c>
      <c r="AR84" s="97">
        <v>45847</v>
      </c>
      <c r="AS84" s="38"/>
      <c r="AU84" s="55"/>
      <c r="BB84" s="73"/>
      <c r="BC84" s="73"/>
    </row>
    <row r="85" spans="22:55" ht="16" x14ac:dyDescent="0.4">
      <c r="V85" s="97">
        <v>45846</v>
      </c>
      <c r="W85" s="16">
        <v>169204</v>
      </c>
      <c r="X85" s="101" t="s">
        <v>36</v>
      </c>
      <c r="Y85" s="105"/>
      <c r="Z85" s="50">
        <v>0.71944444444444444</v>
      </c>
      <c r="AA85" s="50">
        <v>0.82013888888888886</v>
      </c>
      <c r="AD85" s="37">
        <v>20984</v>
      </c>
      <c r="AE85" s="93">
        <f t="shared" si="25"/>
        <v>20.984000000000002</v>
      </c>
      <c r="AF85">
        <v>14.63</v>
      </c>
      <c r="AG85" s="103">
        <f t="shared" si="26"/>
        <v>14</v>
      </c>
      <c r="AH85" s="37">
        <f t="shared" si="27"/>
        <v>20.984000000000002</v>
      </c>
      <c r="AJ85" s="97">
        <v>45847</v>
      </c>
      <c r="AL85" t="s">
        <v>5</v>
      </c>
      <c r="AN85" s="81">
        <v>0.39254629629629628</v>
      </c>
      <c r="AO85" s="81">
        <v>0.48577546296296298</v>
      </c>
      <c r="AP85" s="37">
        <v>2686</v>
      </c>
      <c r="AR85" s="97">
        <v>45847</v>
      </c>
      <c r="AS85" s="38"/>
      <c r="AU85" s="55"/>
      <c r="BB85" s="73"/>
      <c r="BC85" s="73"/>
    </row>
    <row r="86" spans="22:55" ht="16" x14ac:dyDescent="0.4">
      <c r="V86" s="97">
        <v>45846</v>
      </c>
      <c r="W86" s="16">
        <v>169243</v>
      </c>
      <c r="X86" s="101" t="s">
        <v>36</v>
      </c>
      <c r="Y86" s="105"/>
      <c r="Z86" s="50">
        <v>0.77361111111111114</v>
      </c>
      <c r="AA86" s="50">
        <v>0.89374999999999993</v>
      </c>
      <c r="AD86" s="37">
        <v>21040</v>
      </c>
      <c r="AE86" s="93">
        <f t="shared" si="25"/>
        <v>21.04</v>
      </c>
      <c r="AF86">
        <v>15.91</v>
      </c>
      <c r="AG86" s="103">
        <f t="shared" si="26"/>
        <v>14</v>
      </c>
      <c r="AH86" s="37">
        <f t="shared" si="27"/>
        <v>21.04</v>
      </c>
      <c r="AJ86" s="97">
        <v>45847</v>
      </c>
      <c r="AL86" t="s">
        <v>5</v>
      </c>
      <c r="AN86" s="81">
        <v>0.37421296296296297</v>
      </c>
      <c r="AO86" s="81">
        <v>0.39054398148148151</v>
      </c>
      <c r="AP86" s="37">
        <v>2784</v>
      </c>
      <c r="AQ86" t="s">
        <v>1463</v>
      </c>
      <c r="AR86" s="97">
        <v>45847</v>
      </c>
      <c r="AS86" s="38"/>
      <c r="AU86" s="55"/>
      <c r="BB86" s="73"/>
      <c r="BC86" s="73"/>
    </row>
    <row r="87" spans="22:55" ht="16" x14ac:dyDescent="0.4">
      <c r="V87" s="97">
        <v>45846</v>
      </c>
      <c r="W87" s="16">
        <v>169264</v>
      </c>
      <c r="X87" s="101" t="s">
        <v>36</v>
      </c>
      <c r="Y87" s="105"/>
      <c r="Z87" s="50">
        <v>0.71944444444444444</v>
      </c>
      <c r="AA87" s="50">
        <v>0.97152777777777777</v>
      </c>
      <c r="AD87" s="37">
        <v>20314</v>
      </c>
      <c r="AE87" s="93">
        <f t="shared" si="25"/>
        <v>20.314</v>
      </c>
      <c r="AF87">
        <v>14.85</v>
      </c>
      <c r="AG87" s="103">
        <f t="shared" si="26"/>
        <v>14</v>
      </c>
      <c r="AH87" s="37">
        <f t="shared" si="27"/>
        <v>20.314</v>
      </c>
      <c r="AJ87" s="97">
        <v>45847</v>
      </c>
      <c r="AL87" t="s">
        <v>5</v>
      </c>
      <c r="AN87" s="81">
        <v>0.38560185185185186</v>
      </c>
      <c r="AO87" s="81">
        <v>0.47109953703703705</v>
      </c>
      <c r="AP87" s="37">
        <v>5802</v>
      </c>
      <c r="AR87" s="97">
        <v>45847</v>
      </c>
      <c r="AS87" s="38"/>
      <c r="AU87" s="55"/>
      <c r="BB87" s="73"/>
      <c r="BC87" s="73"/>
    </row>
    <row r="88" spans="22:55" ht="16" x14ac:dyDescent="0.4">
      <c r="V88" s="97">
        <v>45847</v>
      </c>
      <c r="W88" s="16">
        <v>169278</v>
      </c>
      <c r="X88" s="101" t="s">
        <v>36</v>
      </c>
      <c r="Y88" s="105"/>
      <c r="Z88" s="50">
        <v>0.77361111111111114</v>
      </c>
      <c r="AA88" s="50">
        <v>4.5833333333333337E-2</v>
      </c>
      <c r="AD88" s="37">
        <v>21282</v>
      </c>
      <c r="AE88" s="93">
        <f t="shared" si="25"/>
        <v>21.282</v>
      </c>
      <c r="AF88">
        <v>15.09</v>
      </c>
      <c r="AG88" s="103">
        <f t="shared" si="26"/>
        <v>14</v>
      </c>
      <c r="AH88" s="37">
        <f t="shared" si="27"/>
        <v>21.282</v>
      </c>
      <c r="AJ88" s="97">
        <v>45847</v>
      </c>
      <c r="AL88" t="s">
        <v>5</v>
      </c>
      <c r="AN88" s="81">
        <v>0.60546296296296298</v>
      </c>
      <c r="AO88" s="81">
        <v>0.63366898148148143</v>
      </c>
      <c r="AP88" s="37">
        <v>3732</v>
      </c>
      <c r="AR88" s="97">
        <v>45847</v>
      </c>
      <c r="AS88" s="38"/>
      <c r="AU88" s="78"/>
      <c r="AV88" s="57"/>
      <c r="AX88" s="36"/>
      <c r="BB88" s="79"/>
      <c r="BC88" s="79"/>
    </row>
    <row r="89" spans="22:55" ht="16" x14ac:dyDescent="0.4">
      <c r="V89" s="97">
        <v>45847</v>
      </c>
      <c r="W89" s="16">
        <v>169290</v>
      </c>
      <c r="X89" s="101" t="s">
        <v>36</v>
      </c>
      <c r="Y89" s="105"/>
      <c r="Z89" s="50">
        <v>0.71944444444444444</v>
      </c>
      <c r="AA89" s="50">
        <v>0.11319444444444444</v>
      </c>
      <c r="AD89" s="37">
        <v>20064</v>
      </c>
      <c r="AE89" s="93">
        <f t="shared" si="25"/>
        <v>20.064</v>
      </c>
      <c r="AF89">
        <v>14.88</v>
      </c>
      <c r="AG89" s="103">
        <f t="shared" si="26"/>
        <v>14</v>
      </c>
      <c r="AH89" s="37">
        <f t="shared" si="27"/>
        <v>20.064</v>
      </c>
      <c r="AJ89" s="97">
        <v>45847</v>
      </c>
      <c r="AL89" t="s">
        <v>5</v>
      </c>
      <c r="AN89" s="81">
        <v>0.4369675925925926</v>
      </c>
      <c r="AO89" s="81">
        <v>0.47876157407407405</v>
      </c>
      <c r="AP89" s="37">
        <v>3364</v>
      </c>
      <c r="AR89" s="97">
        <v>45847</v>
      </c>
      <c r="AS89" s="38"/>
      <c r="AU89" s="78"/>
      <c r="AV89" s="57"/>
      <c r="AX89" s="36"/>
      <c r="BB89" s="79"/>
      <c r="BC89" s="79"/>
    </row>
    <row r="90" spans="22:55" ht="16" x14ac:dyDescent="0.4">
      <c r="V90" s="97">
        <v>45847</v>
      </c>
      <c r="W90" s="16">
        <v>169301</v>
      </c>
      <c r="X90" s="101" t="s">
        <v>36</v>
      </c>
      <c r="Y90" s="105"/>
      <c r="Z90" s="50">
        <v>0.77430555555555547</v>
      </c>
      <c r="AA90" s="50">
        <v>0.17291666666666669</v>
      </c>
      <c r="AD90" s="37">
        <v>20086</v>
      </c>
      <c r="AE90" s="93">
        <f t="shared" si="25"/>
        <v>20.085999999999999</v>
      </c>
      <c r="AF90">
        <v>14.84</v>
      </c>
      <c r="AG90" s="103">
        <f t="shared" si="26"/>
        <v>14</v>
      </c>
      <c r="AH90" s="37">
        <f t="shared" si="27"/>
        <v>20.085999999999995</v>
      </c>
      <c r="AJ90" s="97">
        <v>45847</v>
      </c>
      <c r="AK90">
        <v>169530</v>
      </c>
      <c r="AL90" t="s">
        <v>4</v>
      </c>
      <c r="AN90" s="81">
        <v>0.59366898148148151</v>
      </c>
      <c r="AO90" s="81">
        <v>0.57237268518518525</v>
      </c>
      <c r="AP90" s="37">
        <v>6492</v>
      </c>
      <c r="AQ90" t="s">
        <v>1442</v>
      </c>
      <c r="AR90" s="97">
        <v>45847</v>
      </c>
      <c r="AS90" s="38"/>
      <c r="AU90" s="78"/>
      <c r="AV90" s="57"/>
      <c r="AX90" s="36"/>
      <c r="BB90" s="79"/>
      <c r="BC90" s="79"/>
    </row>
    <row r="91" spans="22:55" ht="16" x14ac:dyDescent="0.4">
      <c r="V91" s="97">
        <v>45847</v>
      </c>
      <c r="W91" s="16">
        <v>169310</v>
      </c>
      <c r="X91" s="101" t="s">
        <v>36</v>
      </c>
      <c r="Y91" s="105"/>
      <c r="Z91" s="50">
        <v>0.1986111111111111</v>
      </c>
      <c r="AA91" s="50">
        <v>0.22638888888888889</v>
      </c>
      <c r="AD91" s="37">
        <v>19668</v>
      </c>
      <c r="AE91" s="93">
        <f t="shared" si="25"/>
        <v>19.667999999999999</v>
      </c>
      <c r="AF91">
        <v>14.49</v>
      </c>
      <c r="AG91" s="103">
        <f t="shared" si="26"/>
        <v>14</v>
      </c>
      <c r="AH91" s="37">
        <f t="shared" si="27"/>
        <v>19.667999999999999</v>
      </c>
      <c r="AJ91" s="97">
        <v>45847</v>
      </c>
      <c r="AL91" t="s">
        <v>5</v>
      </c>
      <c r="AN91" s="39">
        <v>0.50624999999999998</v>
      </c>
      <c r="AO91" s="39">
        <v>0.80625000000000002</v>
      </c>
      <c r="AP91" s="37">
        <v>5936</v>
      </c>
      <c r="AR91" s="97">
        <v>45847</v>
      </c>
      <c r="AS91" s="38"/>
      <c r="AU91" s="78"/>
      <c r="AV91" s="57"/>
      <c r="AX91" s="36"/>
      <c r="BB91" s="79"/>
      <c r="BC91" s="79"/>
    </row>
    <row r="92" spans="22:55" ht="16" x14ac:dyDescent="0.4">
      <c r="V92" s="97">
        <v>45847</v>
      </c>
      <c r="W92" s="16">
        <v>169353</v>
      </c>
      <c r="X92" s="101" t="s">
        <v>36</v>
      </c>
      <c r="Y92" s="105"/>
      <c r="Z92" s="50">
        <v>0.21921296296296297</v>
      </c>
      <c r="AA92" s="50">
        <v>0.32846064814814818</v>
      </c>
      <c r="AD92" s="37">
        <v>21604</v>
      </c>
      <c r="AE92" s="93">
        <f t="shared" si="25"/>
        <v>21.603999999999999</v>
      </c>
      <c r="AF92">
        <v>15.81</v>
      </c>
      <c r="AG92" s="103">
        <f t="shared" si="26"/>
        <v>14</v>
      </c>
      <c r="AH92" s="37">
        <f t="shared" si="27"/>
        <v>21.604000000000003</v>
      </c>
      <c r="AJ92" s="97">
        <v>45847</v>
      </c>
      <c r="AL92" t="s">
        <v>5</v>
      </c>
      <c r="AN92" s="39">
        <v>0.84791666666666676</v>
      </c>
      <c r="AO92" s="39">
        <v>6.1111111111111116E-2</v>
      </c>
      <c r="AP92" s="37">
        <v>6828</v>
      </c>
      <c r="AQ92" t="s">
        <v>1442</v>
      </c>
      <c r="AR92" s="97">
        <v>45847</v>
      </c>
      <c r="AS92" s="38"/>
      <c r="AU92" s="78"/>
      <c r="AV92" s="57"/>
      <c r="AX92" s="36"/>
      <c r="BB92" s="79"/>
      <c r="BC92" s="79"/>
    </row>
    <row r="93" spans="22:55" ht="16" x14ac:dyDescent="0.4">
      <c r="V93" s="97">
        <v>45847</v>
      </c>
      <c r="W93" s="16">
        <v>169412</v>
      </c>
      <c r="X93" s="101" t="s">
        <v>36</v>
      </c>
      <c r="Y93" s="105"/>
      <c r="Z93" s="50">
        <v>0.16787037037037036</v>
      </c>
      <c r="AA93" s="50">
        <v>0.39314814814814819</v>
      </c>
      <c r="AD93" s="37">
        <v>19742</v>
      </c>
      <c r="AE93" s="93">
        <f t="shared" si="25"/>
        <v>19.742000000000001</v>
      </c>
      <c r="AF93">
        <v>16.8</v>
      </c>
      <c r="AG93" s="103">
        <f t="shared" si="26"/>
        <v>14</v>
      </c>
      <c r="AH93" s="37">
        <f t="shared" si="27"/>
        <v>19.742000000000001</v>
      </c>
      <c r="AJ93" s="97">
        <v>45848</v>
      </c>
      <c r="AL93" t="s">
        <v>5</v>
      </c>
      <c r="AN93" s="81">
        <v>0.11224537037037037</v>
      </c>
      <c r="AO93" s="81">
        <v>0.57177083333333334</v>
      </c>
      <c r="AP93" s="37">
        <v>4650</v>
      </c>
      <c r="AR93" s="97">
        <v>45848</v>
      </c>
      <c r="AS93" s="38"/>
      <c r="AU93" s="78"/>
      <c r="AV93" s="57"/>
      <c r="AX93" s="36"/>
      <c r="BB93" s="79"/>
      <c r="BC93" s="79"/>
    </row>
    <row r="94" spans="22:55" ht="16" x14ac:dyDescent="0.4">
      <c r="V94" s="97">
        <v>45847</v>
      </c>
      <c r="W94" s="16">
        <v>169486</v>
      </c>
      <c r="X94" s="101" t="s">
        <v>36</v>
      </c>
      <c r="Y94" s="105"/>
      <c r="Z94" s="50">
        <v>0.21942129629629628</v>
      </c>
      <c r="AA94" s="50">
        <v>0.68729166666666675</v>
      </c>
      <c r="AD94" s="37">
        <v>21280</v>
      </c>
      <c r="AE94" s="93">
        <f t="shared" si="25"/>
        <v>21.28</v>
      </c>
      <c r="AF94">
        <v>13.52</v>
      </c>
      <c r="AG94" s="103">
        <f t="shared" si="26"/>
        <v>13.52</v>
      </c>
      <c r="AH94" s="37">
        <f t="shared" si="27"/>
        <v>20.5504</v>
      </c>
      <c r="AJ94" s="97">
        <v>45848</v>
      </c>
      <c r="AL94" t="s">
        <v>5</v>
      </c>
      <c r="AN94" s="81">
        <v>0.44638888888888889</v>
      </c>
      <c r="AO94" s="81">
        <v>0.46976851851851853</v>
      </c>
      <c r="AP94" s="37">
        <v>3518</v>
      </c>
      <c r="AQ94" t="s">
        <v>1466</v>
      </c>
      <c r="AR94" s="97">
        <v>45848</v>
      </c>
      <c r="AS94" s="38"/>
      <c r="AU94" s="78"/>
      <c r="AV94" s="57"/>
      <c r="AX94" s="36"/>
      <c r="BB94" s="79"/>
      <c r="BC94" s="79"/>
    </row>
    <row r="95" spans="22:55" ht="16" x14ac:dyDescent="0.4">
      <c r="V95" s="97">
        <v>45847</v>
      </c>
      <c r="W95" s="16">
        <v>169554</v>
      </c>
      <c r="X95" s="101" t="s">
        <v>36</v>
      </c>
      <c r="Y95" s="105"/>
      <c r="Z95" s="50">
        <v>0.16760416666666667</v>
      </c>
      <c r="AA95" s="50">
        <v>0.59615740740740741</v>
      </c>
      <c r="AD95" s="37">
        <v>22378</v>
      </c>
      <c r="AE95" s="93">
        <f t="shared" si="25"/>
        <v>22.378</v>
      </c>
      <c r="AF95">
        <v>13.37</v>
      </c>
      <c r="AG95" s="103">
        <f t="shared" si="26"/>
        <v>13.37</v>
      </c>
      <c r="AH95" s="37">
        <f t="shared" si="27"/>
        <v>21.370989999999999</v>
      </c>
      <c r="AJ95" s="97">
        <v>45848</v>
      </c>
      <c r="AL95" t="s">
        <v>5</v>
      </c>
      <c r="AN95" s="81">
        <v>0.50173611111111105</v>
      </c>
      <c r="AO95" s="81">
        <v>0.37221064814814814</v>
      </c>
      <c r="AP95" s="37">
        <v>2442</v>
      </c>
      <c r="AR95" s="97">
        <v>45848</v>
      </c>
      <c r="AS95" s="38"/>
      <c r="AU95" s="78"/>
      <c r="AV95" s="57"/>
      <c r="AX95" s="36"/>
      <c r="BB95" s="79"/>
      <c r="BC95" s="79"/>
    </row>
    <row r="96" spans="22:55" ht="16" x14ac:dyDescent="0.4">
      <c r="V96" s="97">
        <v>45847</v>
      </c>
      <c r="W96" s="16">
        <v>169617</v>
      </c>
      <c r="X96" s="101" t="s">
        <v>36</v>
      </c>
      <c r="Y96" s="105"/>
      <c r="Z96" s="50">
        <v>0.21895833333333334</v>
      </c>
      <c r="AA96" s="50">
        <v>0.65696759259259252</v>
      </c>
      <c r="AD96" s="37">
        <v>19140</v>
      </c>
      <c r="AE96" s="93">
        <f t="shared" si="25"/>
        <v>19.14</v>
      </c>
      <c r="AF96">
        <v>15.91</v>
      </c>
      <c r="AG96" s="103">
        <f t="shared" si="26"/>
        <v>14</v>
      </c>
      <c r="AH96" s="37">
        <f t="shared" si="27"/>
        <v>19.140000000000004</v>
      </c>
      <c r="AJ96" s="97">
        <v>45848</v>
      </c>
      <c r="AL96" t="s">
        <v>5</v>
      </c>
      <c r="AN96" s="81">
        <v>0.47895833333333332</v>
      </c>
      <c r="AO96" s="81">
        <v>0.49358796296296298</v>
      </c>
      <c r="AP96" s="37">
        <v>2622</v>
      </c>
      <c r="AQ96" t="s">
        <v>1466</v>
      </c>
      <c r="AR96" s="97">
        <v>45848</v>
      </c>
      <c r="AS96" s="38"/>
      <c r="AU96" s="78"/>
      <c r="AV96" s="57"/>
      <c r="AX96" s="36"/>
      <c r="BB96" s="79"/>
      <c r="BC96" s="79"/>
    </row>
    <row r="97" spans="22:55" ht="16" x14ac:dyDescent="0.4">
      <c r="V97" s="97">
        <v>45847</v>
      </c>
      <c r="W97" s="16">
        <v>169664</v>
      </c>
      <c r="X97" s="101" t="s">
        <v>36</v>
      </c>
      <c r="Y97" s="105"/>
      <c r="Z97" s="50">
        <v>0.16774305555555555</v>
      </c>
      <c r="AA97" s="50">
        <v>0.7208564814814814</v>
      </c>
      <c r="AD97" s="37">
        <v>20164</v>
      </c>
      <c r="AE97" s="93">
        <f t="shared" si="25"/>
        <v>20.164000000000001</v>
      </c>
      <c r="AF97">
        <v>14.56</v>
      </c>
      <c r="AG97" s="103">
        <f t="shared" si="26"/>
        <v>14</v>
      </c>
      <c r="AH97" s="37">
        <f t="shared" si="27"/>
        <v>20.164000000000005</v>
      </c>
      <c r="AJ97" s="97">
        <v>45849</v>
      </c>
      <c r="AL97" t="s">
        <v>5</v>
      </c>
      <c r="AN97" s="81">
        <v>0.41881944444444441</v>
      </c>
      <c r="AO97" s="81">
        <v>0.61783564814814818</v>
      </c>
      <c r="AP97" s="37">
        <v>3614</v>
      </c>
      <c r="AR97" s="97">
        <v>45849</v>
      </c>
      <c r="AS97" s="38"/>
      <c r="AU97" s="78"/>
      <c r="AV97" s="57"/>
      <c r="AX97" s="36"/>
      <c r="BB97" s="79"/>
      <c r="BC97" s="79"/>
    </row>
    <row r="98" spans="22:55" ht="16" x14ac:dyDescent="0.4">
      <c r="V98" s="97">
        <v>45847</v>
      </c>
      <c r="W98" s="16">
        <v>169691</v>
      </c>
      <c r="X98" s="101" t="s">
        <v>36</v>
      </c>
      <c r="Y98" s="105"/>
      <c r="Z98" s="50">
        <v>0.5541666666666667</v>
      </c>
      <c r="AA98" s="50">
        <v>0.80347222222222225</v>
      </c>
      <c r="AD98" s="37">
        <v>21040</v>
      </c>
      <c r="AE98" s="93">
        <f t="shared" si="25"/>
        <v>21.04</v>
      </c>
      <c r="AF98">
        <v>15.99</v>
      </c>
      <c r="AG98" s="103">
        <f t="shared" si="26"/>
        <v>14</v>
      </c>
      <c r="AH98" s="37">
        <f t="shared" si="27"/>
        <v>21.04</v>
      </c>
      <c r="AJ98" s="97">
        <v>45849</v>
      </c>
      <c r="AL98" t="s">
        <v>5</v>
      </c>
      <c r="AN98" s="81">
        <v>0.51370370370370366</v>
      </c>
      <c r="AO98" s="81">
        <v>0.53885416666666663</v>
      </c>
      <c r="AP98" s="37">
        <v>3160</v>
      </c>
      <c r="AR98" s="97">
        <v>45849</v>
      </c>
      <c r="AS98" s="38"/>
      <c r="AU98" s="78"/>
      <c r="AV98" s="57"/>
      <c r="AX98" s="36"/>
      <c r="BB98" s="79"/>
      <c r="BC98" s="79"/>
    </row>
    <row r="99" spans="22:55" ht="16" x14ac:dyDescent="0.4">
      <c r="V99" s="97">
        <v>45847</v>
      </c>
      <c r="W99" s="16">
        <v>169739</v>
      </c>
      <c r="X99" s="101" t="s">
        <v>36</v>
      </c>
      <c r="Y99" s="105"/>
      <c r="Z99" s="50">
        <v>0.77361111111111114</v>
      </c>
      <c r="AA99" s="50">
        <v>0.8534722222222223</v>
      </c>
      <c r="AD99" s="37">
        <v>20158</v>
      </c>
      <c r="AE99" s="93">
        <f t="shared" si="25"/>
        <v>20.158000000000001</v>
      </c>
      <c r="AF99">
        <v>15.09</v>
      </c>
      <c r="AG99" s="103">
        <f t="shared" si="26"/>
        <v>14</v>
      </c>
      <c r="AH99" s="37">
        <f t="shared" si="27"/>
        <v>20.157999999999998</v>
      </c>
      <c r="AJ99" s="97">
        <v>45849</v>
      </c>
      <c r="AL99" t="s">
        <v>5</v>
      </c>
      <c r="AN99" s="81">
        <v>0.46989583333333335</v>
      </c>
      <c r="AO99" s="81">
        <v>0.40430555555555553</v>
      </c>
      <c r="AP99" s="37">
        <v>3636</v>
      </c>
      <c r="AR99" s="97">
        <v>45849</v>
      </c>
      <c r="AS99" s="38"/>
      <c r="AU99" s="78"/>
      <c r="AV99" s="57"/>
      <c r="AX99" s="36"/>
      <c r="BB99" s="79"/>
      <c r="BC99" s="79"/>
    </row>
    <row r="100" spans="22:55" ht="16" x14ac:dyDescent="0.4">
      <c r="V100" s="97">
        <v>45847</v>
      </c>
      <c r="W100" s="16">
        <v>169764</v>
      </c>
      <c r="X100" s="101" t="s">
        <v>36</v>
      </c>
      <c r="Y100" s="105"/>
      <c r="Z100" s="50">
        <v>0.5541666666666667</v>
      </c>
      <c r="AA100" s="50">
        <v>0.94513888888888886</v>
      </c>
      <c r="AD100" s="37">
        <v>20678</v>
      </c>
      <c r="AE100" s="93">
        <f t="shared" si="25"/>
        <v>20.678000000000001</v>
      </c>
      <c r="AF100">
        <v>14.98</v>
      </c>
      <c r="AG100" s="103">
        <f t="shared" si="26"/>
        <v>14</v>
      </c>
      <c r="AH100" s="37">
        <f t="shared" si="27"/>
        <v>20.678000000000001</v>
      </c>
      <c r="AJ100" s="97">
        <v>45849</v>
      </c>
      <c r="AL100" t="s">
        <v>5</v>
      </c>
      <c r="AN100" s="81">
        <v>0.5870023148148148</v>
      </c>
      <c r="AO100" s="81">
        <v>0.46528935185185188</v>
      </c>
      <c r="AP100" s="37">
        <v>4332</v>
      </c>
      <c r="AQ100" t="s">
        <v>1467</v>
      </c>
      <c r="AR100" s="97">
        <v>45849</v>
      </c>
      <c r="AS100" s="38"/>
      <c r="AU100" s="78"/>
      <c r="AV100" s="57"/>
      <c r="AX100" s="36"/>
      <c r="BB100" s="80"/>
      <c r="BC100" s="80"/>
    </row>
    <row r="101" spans="22:55" ht="16" x14ac:dyDescent="0.4">
      <c r="V101" s="97">
        <v>45848</v>
      </c>
      <c r="W101" s="16">
        <v>169776</v>
      </c>
      <c r="X101" s="101" t="s">
        <v>36</v>
      </c>
      <c r="Y101" s="105"/>
      <c r="Z101" s="50">
        <v>0.77361111111111114</v>
      </c>
      <c r="AA101" s="50">
        <v>3.125E-2</v>
      </c>
      <c r="AD101" s="37">
        <v>21830</v>
      </c>
      <c r="AE101" s="93">
        <f t="shared" si="25"/>
        <v>21.83</v>
      </c>
      <c r="AF101">
        <v>14.23</v>
      </c>
      <c r="AG101" s="103">
        <f t="shared" si="26"/>
        <v>14</v>
      </c>
      <c r="AH101" s="37">
        <f t="shared" si="27"/>
        <v>21.830000000000002</v>
      </c>
      <c r="AJ101" s="97">
        <v>45849</v>
      </c>
      <c r="AL101" t="s">
        <v>5</v>
      </c>
      <c r="AN101" s="81">
        <v>0.41936342592592596</v>
      </c>
      <c r="AO101" s="81">
        <v>0.5430787037037037</v>
      </c>
      <c r="AP101" s="37">
        <v>4152</v>
      </c>
      <c r="AR101" s="97">
        <v>45849</v>
      </c>
      <c r="AS101" s="38"/>
      <c r="AU101" s="78"/>
      <c r="AV101" s="57"/>
      <c r="AX101" s="36"/>
      <c r="BB101" s="79"/>
      <c r="BC101" s="79"/>
    </row>
    <row r="102" spans="22:55" ht="16" x14ac:dyDescent="0.4">
      <c r="V102" s="97">
        <v>45848</v>
      </c>
      <c r="W102" s="16">
        <v>169789</v>
      </c>
      <c r="X102" s="101" t="s">
        <v>36</v>
      </c>
      <c r="Y102" s="105"/>
      <c r="Z102" s="50">
        <v>0.99652777777777779</v>
      </c>
      <c r="AA102" s="50">
        <v>8.4027777777777771E-2</v>
      </c>
      <c r="AD102" s="37">
        <v>20156</v>
      </c>
      <c r="AE102" s="93">
        <f t="shared" si="25"/>
        <v>20.155999999999999</v>
      </c>
      <c r="AF102">
        <v>15.73</v>
      </c>
      <c r="AG102" s="103">
        <f t="shared" si="26"/>
        <v>14</v>
      </c>
      <c r="AH102" s="37">
        <f t="shared" si="27"/>
        <v>20.155999999999999</v>
      </c>
      <c r="AJ102" s="97">
        <v>45850</v>
      </c>
      <c r="AL102" t="s">
        <v>5</v>
      </c>
      <c r="AN102" s="81">
        <v>0.38930555555555557</v>
      </c>
      <c r="AO102" s="81">
        <v>0.40755787037037039</v>
      </c>
      <c r="AP102" s="37">
        <v>3616</v>
      </c>
      <c r="AR102" s="97">
        <v>45849</v>
      </c>
      <c r="AS102" s="38"/>
      <c r="AU102" s="78"/>
      <c r="AV102" s="57"/>
      <c r="AX102" s="36"/>
      <c r="BB102" s="79"/>
      <c r="BC102" s="79"/>
    </row>
    <row r="103" spans="22:55" ht="16" x14ac:dyDescent="0.4">
      <c r="V103" s="97">
        <v>45848</v>
      </c>
      <c r="W103" s="16">
        <v>169798</v>
      </c>
      <c r="X103" s="101" t="s">
        <v>36</v>
      </c>
      <c r="Y103" s="105"/>
      <c r="Z103" s="50">
        <v>0.26805555555555555</v>
      </c>
      <c r="AA103" s="50">
        <v>0.1423611111111111</v>
      </c>
      <c r="AD103" s="37">
        <v>19346</v>
      </c>
      <c r="AE103" s="93">
        <f t="shared" si="25"/>
        <v>19.346</v>
      </c>
      <c r="AF103">
        <v>14.12</v>
      </c>
      <c r="AG103" s="103">
        <f t="shared" si="26"/>
        <v>14</v>
      </c>
      <c r="AH103" s="37">
        <f t="shared" si="27"/>
        <v>19.346</v>
      </c>
      <c r="AJ103" s="97">
        <v>45850</v>
      </c>
      <c r="AL103" t="s">
        <v>5</v>
      </c>
      <c r="AN103" s="81">
        <v>0.40771990740740738</v>
      </c>
      <c r="AO103" s="81">
        <v>0.50541666666666674</v>
      </c>
      <c r="AP103" s="37">
        <v>3882</v>
      </c>
      <c r="AQ103" t="s">
        <v>1468</v>
      </c>
      <c r="AR103" s="97">
        <v>45850</v>
      </c>
      <c r="AS103" s="38"/>
      <c r="AU103" s="78"/>
      <c r="AV103" s="57"/>
      <c r="AX103" s="36"/>
      <c r="BB103" s="79"/>
      <c r="BC103" s="79"/>
    </row>
    <row r="104" spans="22:55" ht="16" x14ac:dyDescent="0.4">
      <c r="V104" s="97">
        <v>45848</v>
      </c>
      <c r="W104" s="16">
        <v>169804</v>
      </c>
      <c r="X104" s="101" t="s">
        <v>36</v>
      </c>
      <c r="Y104" s="105"/>
      <c r="Z104" s="50">
        <v>0.99652777777777779</v>
      </c>
      <c r="AA104" s="50">
        <v>0.20416666666666669</v>
      </c>
      <c r="AD104" s="37">
        <v>19494</v>
      </c>
      <c r="AE104" s="93">
        <f t="shared" si="25"/>
        <v>19.494</v>
      </c>
      <c r="AF104">
        <v>14.37</v>
      </c>
      <c r="AG104" s="103">
        <f t="shared" si="26"/>
        <v>14</v>
      </c>
      <c r="AH104" s="37">
        <f t="shared" si="27"/>
        <v>19.494</v>
      </c>
      <c r="AJ104" s="97">
        <v>45850</v>
      </c>
      <c r="AL104" t="s">
        <v>5</v>
      </c>
      <c r="AN104" s="81">
        <v>0.49447916666666664</v>
      </c>
      <c r="AO104" s="81">
        <v>0.51074074074074072</v>
      </c>
      <c r="AP104" s="37">
        <v>3326</v>
      </c>
      <c r="AQ104" t="s">
        <v>668</v>
      </c>
      <c r="AR104" s="97">
        <v>45850</v>
      </c>
      <c r="AS104" s="38"/>
      <c r="AU104" s="78"/>
      <c r="AV104" s="57"/>
      <c r="AX104" s="36"/>
      <c r="BB104" s="79"/>
      <c r="BC104" s="79"/>
    </row>
    <row r="105" spans="22:55" ht="16" x14ac:dyDescent="0.4">
      <c r="V105" s="97">
        <v>45848</v>
      </c>
      <c r="W105" s="16">
        <v>169808</v>
      </c>
      <c r="X105" s="101" t="s">
        <v>36</v>
      </c>
      <c r="Y105" s="105"/>
      <c r="Z105" s="50">
        <v>0.77398148148148149</v>
      </c>
      <c r="AA105" s="50">
        <v>0.27399305555555559</v>
      </c>
      <c r="AD105" s="37">
        <v>17214</v>
      </c>
      <c r="AE105" s="93">
        <f t="shared" si="25"/>
        <v>17.213999999999999</v>
      </c>
      <c r="AF105">
        <v>14.49</v>
      </c>
      <c r="AG105" s="103">
        <f t="shared" si="26"/>
        <v>14</v>
      </c>
      <c r="AH105" s="37">
        <f t="shared" si="27"/>
        <v>17.213999999999999</v>
      </c>
      <c r="AJ105" s="97">
        <v>45850</v>
      </c>
      <c r="AL105" t="s">
        <v>5</v>
      </c>
      <c r="AN105" s="81">
        <v>0.37759259259259265</v>
      </c>
      <c r="AO105" s="81">
        <v>0.39780092592592592</v>
      </c>
      <c r="AP105" s="37">
        <v>3682</v>
      </c>
      <c r="AQ105" t="s">
        <v>1469</v>
      </c>
      <c r="AR105" s="97">
        <v>45850</v>
      </c>
      <c r="AS105" s="38"/>
      <c r="AU105" s="78"/>
      <c r="AV105" s="57"/>
      <c r="AX105" s="36"/>
      <c r="BB105" s="79"/>
      <c r="BC105" s="79"/>
    </row>
    <row r="106" spans="22:55" ht="16" x14ac:dyDescent="0.4">
      <c r="V106" s="97">
        <v>45848</v>
      </c>
      <c r="W106" s="16">
        <v>169869</v>
      </c>
      <c r="X106" s="101" t="s">
        <v>36</v>
      </c>
      <c r="Y106" s="105"/>
      <c r="Z106" s="50">
        <v>0.99703703703703705</v>
      </c>
      <c r="AA106" s="50">
        <v>0.34599537037037037</v>
      </c>
      <c r="AD106" s="37">
        <v>15016</v>
      </c>
      <c r="AE106" s="93">
        <f t="shared" si="25"/>
        <v>15.016</v>
      </c>
      <c r="AF106">
        <v>15.45</v>
      </c>
      <c r="AG106" s="103">
        <f t="shared" si="26"/>
        <v>14</v>
      </c>
      <c r="AH106" s="37">
        <f t="shared" si="27"/>
        <v>15.016</v>
      </c>
      <c r="AJ106" s="97">
        <v>45850</v>
      </c>
      <c r="AL106" t="s">
        <v>5</v>
      </c>
      <c r="AN106" s="81">
        <v>0.49987268518518518</v>
      </c>
      <c r="AO106" s="81">
        <v>0.41813657407407406</v>
      </c>
      <c r="AP106" s="37">
        <v>2585</v>
      </c>
      <c r="AR106" s="97">
        <v>45850</v>
      </c>
      <c r="AS106" s="38"/>
      <c r="AU106" s="78"/>
      <c r="AV106" s="57"/>
      <c r="AX106" s="36"/>
      <c r="BB106" s="79"/>
      <c r="BC106" s="79"/>
    </row>
    <row r="107" spans="22:55" ht="16" x14ac:dyDescent="0.4">
      <c r="V107" s="97">
        <v>45848</v>
      </c>
      <c r="W107" s="16">
        <v>169924</v>
      </c>
      <c r="X107" s="101" t="s">
        <v>36</v>
      </c>
      <c r="Y107" s="105"/>
      <c r="Z107" s="50">
        <v>0.32745370370370369</v>
      </c>
      <c r="AA107" s="50">
        <v>0.4074652777777778</v>
      </c>
      <c r="AD107" s="37">
        <v>19332</v>
      </c>
      <c r="AE107" s="93">
        <f t="shared" si="25"/>
        <v>19.332000000000001</v>
      </c>
      <c r="AF107">
        <v>14.8</v>
      </c>
      <c r="AG107" s="103">
        <f t="shared" si="26"/>
        <v>14</v>
      </c>
      <c r="AH107" s="37">
        <f t="shared" si="27"/>
        <v>19.332000000000001</v>
      </c>
      <c r="AJ107" s="97">
        <v>45850</v>
      </c>
      <c r="AL107" t="s">
        <v>5</v>
      </c>
      <c r="AN107" s="81">
        <v>0.48017361111111106</v>
      </c>
      <c r="AO107" s="81">
        <v>0.58618055555555559</v>
      </c>
      <c r="AP107" s="37">
        <v>5186</v>
      </c>
      <c r="AQ107" t="s">
        <v>1470</v>
      </c>
      <c r="AR107" s="97">
        <v>45850</v>
      </c>
      <c r="AS107" s="38"/>
      <c r="AU107" s="78"/>
      <c r="AV107" s="57"/>
      <c r="AX107" s="36"/>
      <c r="BB107" s="79"/>
      <c r="BC107" s="79"/>
    </row>
    <row r="108" spans="22:55" ht="16" x14ac:dyDescent="0.4">
      <c r="V108" s="97">
        <v>45848</v>
      </c>
      <c r="W108" s="16">
        <v>170012</v>
      </c>
      <c r="X108" s="101" t="s">
        <v>36</v>
      </c>
      <c r="Y108" s="105"/>
      <c r="Z108" s="50">
        <v>0.42979166666666663</v>
      </c>
      <c r="AA108" s="50">
        <v>0.50550925925925927</v>
      </c>
      <c r="AD108" s="37">
        <v>20938</v>
      </c>
      <c r="AE108" s="93">
        <f t="shared" si="25"/>
        <v>20.937999999999999</v>
      </c>
      <c r="AF108">
        <v>14.44</v>
      </c>
      <c r="AG108" s="103">
        <f t="shared" si="26"/>
        <v>14</v>
      </c>
      <c r="AH108" s="37">
        <f t="shared" si="27"/>
        <v>20.937999999999999</v>
      </c>
      <c r="AJ108" s="97">
        <v>45850</v>
      </c>
      <c r="AL108" t="s">
        <v>5</v>
      </c>
      <c r="AN108" s="81">
        <v>0.4332523148148148</v>
      </c>
      <c r="AO108" s="81">
        <v>0.57023148148148151</v>
      </c>
      <c r="AP108" s="37">
        <v>3058</v>
      </c>
      <c r="AQ108" t="s">
        <v>1468</v>
      </c>
      <c r="AR108" s="97">
        <v>45850</v>
      </c>
      <c r="BB108" s="73"/>
      <c r="BC108" s="73"/>
    </row>
    <row r="109" spans="22:55" ht="16" x14ac:dyDescent="0.4">
      <c r="V109" s="97">
        <v>45848</v>
      </c>
      <c r="W109" s="16">
        <v>170073</v>
      </c>
      <c r="X109" s="101" t="s">
        <v>36</v>
      </c>
      <c r="Y109" s="105"/>
      <c r="Z109" s="50">
        <v>0.32717592592592593</v>
      </c>
      <c r="AA109" s="50">
        <v>0.57467592592592587</v>
      </c>
      <c r="AD109" s="37">
        <v>20094</v>
      </c>
      <c r="AE109" s="93">
        <f t="shared" si="25"/>
        <v>20.094000000000001</v>
      </c>
      <c r="AF109">
        <v>15.33</v>
      </c>
      <c r="AG109" s="103">
        <f t="shared" si="26"/>
        <v>14</v>
      </c>
      <c r="AH109" s="37">
        <f t="shared" si="27"/>
        <v>20.094000000000001</v>
      </c>
      <c r="AJ109" s="97">
        <v>45850</v>
      </c>
      <c r="AL109" t="s">
        <v>5</v>
      </c>
      <c r="AN109" s="39">
        <v>0.37152777777777773</v>
      </c>
      <c r="AO109" s="39">
        <v>0.38819444444444445</v>
      </c>
      <c r="AP109" s="37">
        <v>2790</v>
      </c>
      <c r="AR109" s="97">
        <v>45852</v>
      </c>
      <c r="BB109" s="73"/>
      <c r="BC109" s="73"/>
    </row>
    <row r="110" spans="22:55" ht="16" x14ac:dyDescent="0.4">
      <c r="V110" s="97">
        <v>45848</v>
      </c>
      <c r="W110" s="16">
        <v>170179</v>
      </c>
      <c r="X110" s="101" t="s">
        <v>36</v>
      </c>
      <c r="Y110" s="105"/>
      <c r="Z110" s="50">
        <v>0.4296875</v>
      </c>
      <c r="AA110" s="50">
        <v>0.65913194444444445</v>
      </c>
      <c r="AD110" s="37">
        <v>20206</v>
      </c>
      <c r="AE110" s="93">
        <f t="shared" si="25"/>
        <v>20.206</v>
      </c>
      <c r="AF110">
        <v>15.24</v>
      </c>
      <c r="AG110" s="103">
        <f t="shared" si="26"/>
        <v>14</v>
      </c>
      <c r="AH110" s="37">
        <f t="shared" si="27"/>
        <v>20.206</v>
      </c>
      <c r="AJ110" s="38">
        <v>45852</v>
      </c>
      <c r="AK110" s="98"/>
      <c r="AL110" t="s">
        <v>5</v>
      </c>
      <c r="AN110" s="81">
        <v>0.38680555555555557</v>
      </c>
      <c r="AO110" s="81">
        <v>0.44861111111111113</v>
      </c>
      <c r="AP110" s="37">
        <v>2628</v>
      </c>
      <c r="AQ110" t="s">
        <v>1466</v>
      </c>
      <c r="AR110" s="38">
        <v>45852</v>
      </c>
    </row>
    <row r="111" spans="22:55" ht="16" x14ac:dyDescent="0.4">
      <c r="V111" s="97">
        <v>45848</v>
      </c>
      <c r="W111" s="16">
        <v>170213</v>
      </c>
      <c r="X111" s="101" t="s">
        <v>36</v>
      </c>
      <c r="Y111" s="105"/>
      <c r="Z111" s="50">
        <v>0.32734953703703701</v>
      </c>
      <c r="AA111" s="50">
        <v>0.71246527777777768</v>
      </c>
      <c r="AD111" s="37">
        <v>19352</v>
      </c>
      <c r="AE111" s="93">
        <f t="shared" si="25"/>
        <v>19.352</v>
      </c>
      <c r="AF111">
        <v>14.4</v>
      </c>
      <c r="AG111" s="103">
        <f t="shared" si="26"/>
        <v>14</v>
      </c>
      <c r="AH111" s="37">
        <f t="shared" si="27"/>
        <v>19.352</v>
      </c>
      <c r="AJ111" s="38">
        <v>45852</v>
      </c>
      <c r="AK111" s="16"/>
      <c r="AL111" t="s">
        <v>5</v>
      </c>
      <c r="AN111" s="81">
        <v>0.37083333333333335</v>
      </c>
      <c r="AO111" s="81">
        <v>0.38680555555555557</v>
      </c>
      <c r="AP111" s="37">
        <v>2562</v>
      </c>
      <c r="AQ111" t="s">
        <v>1466</v>
      </c>
      <c r="AR111" s="38">
        <v>45852</v>
      </c>
    </row>
    <row r="112" spans="22:55" ht="16" x14ac:dyDescent="0.4">
      <c r="V112" s="97">
        <v>45848</v>
      </c>
      <c r="W112" s="16">
        <v>170234</v>
      </c>
      <c r="X112" s="101" t="s">
        <v>36</v>
      </c>
      <c r="Y112" s="105"/>
      <c r="Z112" s="50">
        <v>0.76597222222222217</v>
      </c>
      <c r="AA112" s="50">
        <v>0.77916666666666667</v>
      </c>
      <c r="AD112" s="37">
        <v>22038</v>
      </c>
      <c r="AE112" s="93">
        <f t="shared" si="25"/>
        <v>22.038</v>
      </c>
      <c r="AF112">
        <v>15.28</v>
      </c>
      <c r="AG112" s="103">
        <f t="shared" si="26"/>
        <v>14</v>
      </c>
      <c r="AH112" s="37">
        <f t="shared" si="27"/>
        <v>22.038</v>
      </c>
      <c r="AJ112" s="38">
        <v>45852</v>
      </c>
      <c r="AK112" s="16"/>
      <c r="AL112" t="s">
        <v>5</v>
      </c>
      <c r="AN112" s="81">
        <v>0.36944444444444446</v>
      </c>
      <c r="AO112" s="81">
        <v>0.3840277777777778</v>
      </c>
      <c r="AP112" s="37">
        <v>3776</v>
      </c>
      <c r="AQ112" t="s">
        <v>1471</v>
      </c>
      <c r="AR112" s="38">
        <v>45852</v>
      </c>
    </row>
    <row r="113" spans="22:44" ht="16" x14ac:dyDescent="0.4">
      <c r="V113" s="97">
        <v>45848</v>
      </c>
      <c r="W113" s="16">
        <v>170249</v>
      </c>
      <c r="X113" s="101" t="s">
        <v>36</v>
      </c>
      <c r="Y113" s="105"/>
      <c r="Z113" s="50">
        <v>0.76527777777777783</v>
      </c>
      <c r="AA113" s="50">
        <v>0.84305555555555556</v>
      </c>
      <c r="AD113" s="37">
        <v>22560</v>
      </c>
      <c r="AE113" s="93">
        <f t="shared" si="25"/>
        <v>22.56</v>
      </c>
      <c r="AF113">
        <v>15.02</v>
      </c>
      <c r="AG113" s="103">
        <f t="shared" si="26"/>
        <v>14</v>
      </c>
      <c r="AH113" s="37">
        <f t="shared" si="27"/>
        <v>22.56</v>
      </c>
      <c r="AJ113" s="38">
        <v>45852</v>
      </c>
      <c r="AK113" s="16"/>
      <c r="AL113" t="s">
        <v>5</v>
      </c>
      <c r="AN113" s="81">
        <v>0.3756944444444445</v>
      </c>
      <c r="AO113" s="81">
        <v>0.39027777777777778</v>
      </c>
      <c r="AP113" s="37">
        <v>3392</v>
      </c>
      <c r="AQ113" t="s">
        <v>1472</v>
      </c>
      <c r="AR113" s="38">
        <v>45852</v>
      </c>
    </row>
    <row r="114" spans="22:44" ht="16" x14ac:dyDescent="0.4">
      <c r="V114" s="97">
        <v>45848</v>
      </c>
      <c r="W114" s="16">
        <v>170269</v>
      </c>
      <c r="X114" s="101" t="s">
        <v>36</v>
      </c>
      <c r="Y114" s="105"/>
      <c r="Z114" s="50">
        <v>0.4291666666666667</v>
      </c>
      <c r="AA114" s="50">
        <v>0.90208333333333324</v>
      </c>
      <c r="AD114" s="37">
        <v>19906</v>
      </c>
      <c r="AE114" s="93">
        <f t="shared" si="25"/>
        <v>19.905999999999999</v>
      </c>
      <c r="AF114">
        <v>14.09</v>
      </c>
      <c r="AG114" s="103">
        <f t="shared" si="26"/>
        <v>14</v>
      </c>
      <c r="AH114" s="37">
        <f t="shared" si="27"/>
        <v>19.905999999999999</v>
      </c>
      <c r="AJ114" s="38">
        <v>45852</v>
      </c>
      <c r="AK114" s="16"/>
      <c r="AL114" t="s">
        <v>5</v>
      </c>
      <c r="AN114" s="81">
        <v>0.39027777777777778</v>
      </c>
      <c r="AO114" s="81">
        <v>0.5541666666666667</v>
      </c>
      <c r="AP114" s="37">
        <v>3240</v>
      </c>
      <c r="AQ114" t="s">
        <v>1472</v>
      </c>
      <c r="AR114" s="38">
        <v>45852</v>
      </c>
    </row>
    <row r="115" spans="22:44" ht="16" x14ac:dyDescent="0.4">
      <c r="V115" s="97">
        <v>45848</v>
      </c>
      <c r="W115" s="16">
        <v>170288</v>
      </c>
      <c r="X115" s="101" t="s">
        <v>36</v>
      </c>
      <c r="Y115" s="105"/>
      <c r="Z115" s="50">
        <v>0.76527777777777783</v>
      </c>
      <c r="AA115" s="50">
        <v>0.99861111111111101</v>
      </c>
      <c r="AD115" s="37">
        <v>21216</v>
      </c>
      <c r="AE115" s="93">
        <f t="shared" si="25"/>
        <v>21.216000000000001</v>
      </c>
      <c r="AF115">
        <v>14.99</v>
      </c>
      <c r="AG115" s="103">
        <f t="shared" si="26"/>
        <v>14</v>
      </c>
      <c r="AH115" s="37">
        <f t="shared" si="27"/>
        <v>21.216000000000001</v>
      </c>
      <c r="AJ115" s="38">
        <v>45852</v>
      </c>
      <c r="AK115" s="16"/>
      <c r="AL115" t="s">
        <v>5</v>
      </c>
      <c r="AN115" s="81">
        <v>0.4680555555555555</v>
      </c>
      <c r="AO115" s="81">
        <v>0.4826388888888889</v>
      </c>
      <c r="AP115" s="37">
        <v>1776</v>
      </c>
      <c r="AQ115" t="s">
        <v>1471</v>
      </c>
      <c r="AR115" s="38">
        <v>45852</v>
      </c>
    </row>
    <row r="116" spans="22:44" ht="16" x14ac:dyDescent="0.4">
      <c r="V116" s="97">
        <v>45849</v>
      </c>
      <c r="W116" s="16">
        <v>170300</v>
      </c>
      <c r="X116" s="101" t="s">
        <v>36</v>
      </c>
      <c r="Y116" s="105"/>
      <c r="Z116" s="50">
        <v>0.83958333333333324</v>
      </c>
      <c r="AA116" s="50">
        <v>5.4166666666666669E-2</v>
      </c>
      <c r="AD116" s="37">
        <v>21452</v>
      </c>
      <c r="AE116" s="93">
        <f t="shared" si="25"/>
        <v>21.452000000000002</v>
      </c>
      <c r="AF116">
        <v>14.84</v>
      </c>
      <c r="AG116" s="103">
        <f t="shared" si="26"/>
        <v>14</v>
      </c>
      <c r="AH116" s="37">
        <f t="shared" si="27"/>
        <v>21.452000000000002</v>
      </c>
      <c r="AJ116" s="38">
        <v>45852</v>
      </c>
      <c r="AK116" s="16"/>
      <c r="AL116" t="s">
        <v>5</v>
      </c>
      <c r="AN116" s="81">
        <v>0.61805555555555558</v>
      </c>
      <c r="AO116" s="81"/>
      <c r="AP116" s="37">
        <v>5616</v>
      </c>
      <c r="AQ116" t="s">
        <v>1467</v>
      </c>
      <c r="AR116" s="38">
        <v>45852</v>
      </c>
    </row>
    <row r="117" spans="22:44" ht="16" x14ac:dyDescent="0.4">
      <c r="V117" s="97">
        <v>45849</v>
      </c>
      <c r="W117" s="16">
        <v>170315</v>
      </c>
      <c r="X117" s="101" t="s">
        <v>36</v>
      </c>
      <c r="Y117" s="105"/>
      <c r="Z117" s="50">
        <v>5.6944444444444443E-2</v>
      </c>
      <c r="AA117" s="50">
        <v>0.11388888888888889</v>
      </c>
      <c r="AD117" s="37">
        <v>20542</v>
      </c>
      <c r="AE117" s="93">
        <f t="shared" si="25"/>
        <v>20.542000000000002</v>
      </c>
      <c r="AF117">
        <v>14.16</v>
      </c>
      <c r="AG117" s="103">
        <f t="shared" si="26"/>
        <v>14</v>
      </c>
      <c r="AH117" s="37">
        <f t="shared" si="27"/>
        <v>20.542000000000002</v>
      </c>
      <c r="AJ117" s="38">
        <v>45852</v>
      </c>
      <c r="AK117" s="16"/>
      <c r="AL117" t="s">
        <v>5</v>
      </c>
      <c r="AN117" s="81">
        <v>0.60902777777777783</v>
      </c>
      <c r="AO117" s="81">
        <v>0.62430555555555556</v>
      </c>
      <c r="AP117" s="37">
        <v>2742</v>
      </c>
      <c r="AQ117" t="s">
        <v>1473</v>
      </c>
      <c r="AR117" s="38">
        <v>45852</v>
      </c>
    </row>
    <row r="118" spans="22:44" ht="16" x14ac:dyDescent="0.4">
      <c r="V118" s="97">
        <v>45849</v>
      </c>
      <c r="W118" s="16">
        <v>170321</v>
      </c>
      <c r="X118" s="101" t="s">
        <v>36</v>
      </c>
      <c r="Y118" s="105"/>
      <c r="Z118" s="50">
        <v>0.10069444444444443</v>
      </c>
      <c r="AA118" s="50">
        <v>0.16944444444444443</v>
      </c>
      <c r="AD118" s="37">
        <v>20700</v>
      </c>
      <c r="AE118" s="93">
        <f t="shared" si="25"/>
        <v>20.7</v>
      </c>
      <c r="AF118">
        <v>15.48</v>
      </c>
      <c r="AG118" s="103">
        <f t="shared" si="26"/>
        <v>14</v>
      </c>
      <c r="AH118" s="37">
        <f t="shared" si="27"/>
        <v>20.7</v>
      </c>
      <c r="AJ118" s="38">
        <v>45853</v>
      </c>
      <c r="AK118" s="16"/>
      <c r="AL118" t="s">
        <v>5</v>
      </c>
      <c r="AN118" s="81">
        <v>0.26944444444444443</v>
      </c>
      <c r="AO118" s="81">
        <v>0.39513888888888887</v>
      </c>
      <c r="AP118" s="37">
        <v>3664</v>
      </c>
      <c r="AQ118" t="s">
        <v>1466</v>
      </c>
      <c r="AR118" s="38">
        <v>45853</v>
      </c>
    </row>
    <row r="119" spans="22:44" ht="16" x14ac:dyDescent="0.4">
      <c r="V119" s="97">
        <v>45849</v>
      </c>
      <c r="W119" s="16">
        <v>170333</v>
      </c>
      <c r="X119" s="101" t="s">
        <v>36</v>
      </c>
      <c r="Y119" s="105"/>
      <c r="Z119" s="50">
        <v>0.17777777777777778</v>
      </c>
      <c r="AA119" s="50">
        <v>0.22638888888888889</v>
      </c>
      <c r="AD119" s="37">
        <v>22168</v>
      </c>
      <c r="AE119" s="93">
        <f t="shared" si="25"/>
        <v>22.167999999999999</v>
      </c>
      <c r="AF119">
        <v>15.69</v>
      </c>
      <c r="AG119" s="103">
        <f t="shared" si="26"/>
        <v>14</v>
      </c>
      <c r="AH119" s="37">
        <f t="shared" si="27"/>
        <v>22.167999999999999</v>
      </c>
      <c r="AJ119" s="38">
        <v>45852</v>
      </c>
      <c r="AK119" s="16"/>
      <c r="AL119" t="s">
        <v>5</v>
      </c>
      <c r="AN119" s="81">
        <v>0.54236111111111118</v>
      </c>
      <c r="AO119" s="81">
        <v>0.55902777777777779</v>
      </c>
      <c r="AP119" s="37">
        <v>2658</v>
      </c>
      <c r="AQ119" t="s">
        <v>1466</v>
      </c>
      <c r="AR119" s="38">
        <v>45853</v>
      </c>
    </row>
    <row r="120" spans="22:44" ht="16" x14ac:dyDescent="0.4">
      <c r="V120" s="97">
        <v>45849</v>
      </c>
      <c r="W120" s="16">
        <v>170393</v>
      </c>
      <c r="X120" s="101" t="s">
        <v>36</v>
      </c>
      <c r="Y120" s="105"/>
      <c r="Z120" s="50">
        <v>0.83975694444444438</v>
      </c>
      <c r="AA120" s="50">
        <v>0.33377314814814812</v>
      </c>
      <c r="AD120" s="37">
        <v>18762</v>
      </c>
      <c r="AE120" s="93">
        <f t="shared" si="25"/>
        <v>18.762</v>
      </c>
      <c r="AF120">
        <v>12.12</v>
      </c>
      <c r="AG120" s="103">
        <f t="shared" si="26"/>
        <v>12.12</v>
      </c>
      <c r="AH120" s="37">
        <f t="shared" si="27"/>
        <v>16.242531428571429</v>
      </c>
      <c r="AJ120" s="38">
        <v>45853</v>
      </c>
      <c r="AK120" s="16"/>
      <c r="AL120" t="s">
        <v>5</v>
      </c>
      <c r="AN120" s="81">
        <v>0.44305555555555554</v>
      </c>
      <c r="AO120" s="81">
        <v>0.45902777777777781</v>
      </c>
      <c r="AP120" s="37">
        <v>3312</v>
      </c>
      <c r="AQ120" t="s">
        <v>1474</v>
      </c>
      <c r="AR120" s="38">
        <v>45853</v>
      </c>
    </row>
    <row r="121" spans="22:44" ht="16" x14ac:dyDescent="0.4">
      <c r="V121" s="97">
        <v>45849</v>
      </c>
      <c r="W121" s="16">
        <v>170507</v>
      </c>
      <c r="X121" s="101" t="s">
        <v>36</v>
      </c>
      <c r="Y121" s="105"/>
      <c r="Z121" s="50">
        <v>5.7557870370370377E-2</v>
      </c>
      <c r="AA121" s="50">
        <v>0.45949074074074076</v>
      </c>
      <c r="AB121">
        <v>104</v>
      </c>
      <c r="AD121" s="37">
        <v>2822</v>
      </c>
      <c r="AE121" s="93">
        <f t="shared" si="25"/>
        <v>2.8220000000000001</v>
      </c>
      <c r="AF121">
        <v>11.45</v>
      </c>
      <c r="AG121" s="103">
        <f t="shared" si="26"/>
        <v>11.45</v>
      </c>
      <c r="AH121" s="37">
        <f t="shared" si="27"/>
        <v>2.3079928571428572</v>
      </c>
      <c r="AJ121" s="38">
        <v>45853</v>
      </c>
      <c r="AL121" t="s">
        <v>5</v>
      </c>
      <c r="AN121" s="81">
        <v>0.375</v>
      </c>
      <c r="AO121" s="81">
        <v>0.38958333333333334</v>
      </c>
      <c r="AP121" s="37">
        <v>2624</v>
      </c>
      <c r="AQ121" t="s">
        <v>1466</v>
      </c>
      <c r="AR121" s="38">
        <v>45853</v>
      </c>
    </row>
    <row r="122" spans="22:44" ht="16" x14ac:dyDescent="0.4">
      <c r="V122" s="97">
        <v>45849</v>
      </c>
      <c r="W122" s="16">
        <v>170692</v>
      </c>
      <c r="X122" s="101" t="s">
        <v>36</v>
      </c>
      <c r="Y122" s="105"/>
      <c r="Z122" s="50">
        <v>0.21180555555555555</v>
      </c>
      <c r="AA122" s="50">
        <v>0.81666666666666676</v>
      </c>
      <c r="AD122" s="37">
        <v>20172</v>
      </c>
      <c r="AE122" s="93">
        <f t="shared" si="25"/>
        <v>20.172000000000001</v>
      </c>
      <c r="AF122">
        <v>15.77</v>
      </c>
      <c r="AG122" s="103">
        <f t="shared" si="26"/>
        <v>14</v>
      </c>
      <c r="AH122" s="37">
        <f t="shared" si="27"/>
        <v>20.172000000000001</v>
      </c>
      <c r="AJ122" s="38">
        <v>45853</v>
      </c>
      <c r="AL122" t="s">
        <v>5</v>
      </c>
      <c r="AN122" s="81">
        <v>0.38958333333333334</v>
      </c>
      <c r="AO122" s="81">
        <v>0.48749999999999999</v>
      </c>
      <c r="AP122" s="37">
        <v>2568</v>
      </c>
      <c r="AQ122" t="s">
        <v>1466</v>
      </c>
      <c r="AR122" s="38">
        <v>45853</v>
      </c>
    </row>
    <row r="123" spans="22:44" ht="16" x14ac:dyDescent="0.4">
      <c r="V123" s="97">
        <v>45849</v>
      </c>
      <c r="W123" s="16">
        <v>170715</v>
      </c>
      <c r="X123" s="101" t="s">
        <v>36</v>
      </c>
      <c r="Y123" s="105"/>
      <c r="Z123" s="50">
        <v>0.76388888888888884</v>
      </c>
      <c r="AA123" s="50">
        <v>0.87569444444444444</v>
      </c>
      <c r="AD123" s="37">
        <v>20680</v>
      </c>
      <c r="AE123" s="93">
        <f t="shared" si="25"/>
        <v>20.68</v>
      </c>
      <c r="AF123">
        <v>14.56</v>
      </c>
      <c r="AG123" s="103">
        <f t="shared" si="26"/>
        <v>14</v>
      </c>
      <c r="AH123" s="37">
        <f t="shared" si="27"/>
        <v>20.68</v>
      </c>
      <c r="AJ123" s="38">
        <v>45853</v>
      </c>
      <c r="AL123" t="s">
        <v>5</v>
      </c>
      <c r="AN123" s="81">
        <v>0.56111111111111112</v>
      </c>
      <c r="AO123" s="81"/>
      <c r="AP123" s="37">
        <v>4612</v>
      </c>
      <c r="AQ123" t="s">
        <v>1474</v>
      </c>
      <c r="AR123" s="38">
        <v>45853</v>
      </c>
    </row>
    <row r="124" spans="22:44" ht="16" x14ac:dyDescent="0.4">
      <c r="V124" s="97">
        <v>45849</v>
      </c>
      <c r="W124" s="16">
        <v>170739</v>
      </c>
      <c r="X124" s="101" t="s">
        <v>36</v>
      </c>
      <c r="Y124" s="105"/>
      <c r="Z124" s="50">
        <v>0.94236111111111109</v>
      </c>
      <c r="AA124" s="50">
        <v>0.95277777777777783</v>
      </c>
      <c r="AD124" s="37">
        <v>21240</v>
      </c>
      <c r="AE124" s="93">
        <f t="shared" si="25"/>
        <v>21.24</v>
      </c>
      <c r="AF124">
        <v>14.41</v>
      </c>
      <c r="AG124" s="103">
        <f t="shared" si="26"/>
        <v>14</v>
      </c>
      <c r="AH124" s="37">
        <f t="shared" si="27"/>
        <v>21.24</v>
      </c>
      <c r="AJ124" s="38">
        <v>45854</v>
      </c>
      <c r="AK124">
        <v>172056</v>
      </c>
      <c r="AL124" t="s">
        <v>5</v>
      </c>
      <c r="AN124" s="81"/>
      <c r="AO124" s="81"/>
      <c r="AP124" s="37">
        <v>3934</v>
      </c>
      <c r="AQ124" t="s">
        <v>1442</v>
      </c>
      <c r="AR124" s="38">
        <v>45854</v>
      </c>
    </row>
    <row r="125" spans="22:44" ht="16" x14ac:dyDescent="0.4">
      <c r="V125" s="97">
        <v>45850</v>
      </c>
      <c r="W125" s="16">
        <v>170746</v>
      </c>
      <c r="X125" s="101" t="s">
        <v>36</v>
      </c>
      <c r="Y125" s="105"/>
      <c r="Z125" s="50">
        <v>0.26666666666666666</v>
      </c>
      <c r="AA125" s="50">
        <v>1.3194444444444444E-2</v>
      </c>
      <c r="AD125" s="37">
        <v>20270</v>
      </c>
      <c r="AE125" s="93">
        <f t="shared" si="25"/>
        <v>20.27</v>
      </c>
      <c r="AF125">
        <v>15.84</v>
      </c>
      <c r="AG125" s="103">
        <f t="shared" si="26"/>
        <v>14</v>
      </c>
      <c r="AH125" s="37">
        <f t="shared" si="27"/>
        <v>20.27</v>
      </c>
      <c r="AJ125" s="38">
        <v>45854</v>
      </c>
      <c r="AK125">
        <v>172049</v>
      </c>
      <c r="AL125" t="s">
        <v>5</v>
      </c>
      <c r="AN125" s="81"/>
      <c r="AO125" s="81"/>
      <c r="AP125" s="37">
        <v>5331</v>
      </c>
      <c r="AQ125" t="s">
        <v>1442</v>
      </c>
      <c r="AR125" s="38">
        <v>45854</v>
      </c>
    </row>
    <row r="126" spans="22:44" ht="16" x14ac:dyDescent="0.4">
      <c r="V126" s="97">
        <v>45850</v>
      </c>
      <c r="W126" s="16">
        <v>170754</v>
      </c>
      <c r="X126" s="101" t="s">
        <v>36</v>
      </c>
      <c r="Y126" s="105"/>
      <c r="Z126" s="50">
        <v>9.9999999999999992E-2</v>
      </c>
      <c r="AA126" s="50">
        <v>7.1527777777777787E-2</v>
      </c>
      <c r="AD126" s="37">
        <v>20034</v>
      </c>
      <c r="AE126" s="93">
        <f t="shared" si="25"/>
        <v>20.033999999999999</v>
      </c>
      <c r="AF126">
        <v>14.49</v>
      </c>
      <c r="AG126" s="103">
        <f t="shared" si="26"/>
        <v>14</v>
      </c>
      <c r="AH126" s="37">
        <f t="shared" si="27"/>
        <v>20.033999999999999</v>
      </c>
      <c r="AJ126" s="38">
        <v>45854</v>
      </c>
      <c r="AK126">
        <v>172055</v>
      </c>
      <c r="AL126" t="s">
        <v>5</v>
      </c>
      <c r="AN126" s="81"/>
      <c r="AO126" s="81"/>
      <c r="AP126" s="37">
        <v>5448</v>
      </c>
      <c r="AQ126" t="s">
        <v>1442</v>
      </c>
      <c r="AR126" s="38">
        <v>45854</v>
      </c>
    </row>
    <row r="127" spans="22:44" ht="16" x14ac:dyDescent="0.4">
      <c r="V127" s="97">
        <v>45850</v>
      </c>
      <c r="W127" s="16">
        <v>170763</v>
      </c>
      <c r="X127" s="101" t="s">
        <v>36</v>
      </c>
      <c r="Y127" s="105"/>
      <c r="Z127" s="50">
        <v>5.6944444444444443E-2</v>
      </c>
      <c r="AA127" s="50">
        <v>0.13055555555555556</v>
      </c>
      <c r="AD127" s="37">
        <v>20178</v>
      </c>
      <c r="AE127" s="93">
        <f t="shared" si="25"/>
        <v>20.178000000000001</v>
      </c>
      <c r="AF127">
        <v>14.84</v>
      </c>
      <c r="AG127" s="103">
        <f t="shared" si="26"/>
        <v>14</v>
      </c>
      <c r="AH127" s="37">
        <f t="shared" si="27"/>
        <v>20.178000000000001</v>
      </c>
      <c r="AJ127" s="38">
        <v>45854</v>
      </c>
      <c r="AK127">
        <v>172048</v>
      </c>
      <c r="AL127" t="s">
        <v>5</v>
      </c>
      <c r="AN127" s="81"/>
      <c r="AO127" s="81"/>
      <c r="AP127" s="37">
        <v>3710</v>
      </c>
      <c r="AQ127" t="s">
        <v>1442</v>
      </c>
      <c r="AR127" s="38">
        <v>45854</v>
      </c>
    </row>
    <row r="128" spans="22:44" ht="16" x14ac:dyDescent="0.4">
      <c r="V128" s="97">
        <v>45850</v>
      </c>
      <c r="W128" s="16">
        <v>170772</v>
      </c>
      <c r="X128" s="101" t="s">
        <v>36</v>
      </c>
      <c r="Y128" s="105"/>
      <c r="Z128" s="50">
        <v>0.99861111111111101</v>
      </c>
      <c r="AA128" s="50">
        <v>0.20555555555555557</v>
      </c>
      <c r="AD128" s="37">
        <v>20772</v>
      </c>
      <c r="AE128" s="93">
        <f t="shared" si="25"/>
        <v>20.771999999999998</v>
      </c>
      <c r="AF128">
        <v>15.27</v>
      </c>
      <c r="AG128" s="103">
        <f t="shared" si="26"/>
        <v>14</v>
      </c>
      <c r="AH128" s="37">
        <f t="shared" si="27"/>
        <v>20.771999999999998</v>
      </c>
      <c r="AJ128" s="38">
        <v>45854</v>
      </c>
      <c r="AK128">
        <v>172050</v>
      </c>
      <c r="AL128" t="s">
        <v>5</v>
      </c>
      <c r="AN128" s="81">
        <v>0.96250000000000002</v>
      </c>
      <c r="AO128" s="81"/>
      <c r="AP128" s="37">
        <v>4606</v>
      </c>
      <c r="AQ128" t="s">
        <v>1442</v>
      </c>
      <c r="AR128" s="38">
        <v>45854</v>
      </c>
    </row>
    <row r="129" spans="22:44" ht="16" x14ac:dyDescent="0.4">
      <c r="V129" s="97">
        <v>45850</v>
      </c>
      <c r="W129" s="16">
        <v>170780</v>
      </c>
      <c r="X129" s="101" t="s">
        <v>36</v>
      </c>
      <c r="Y129" s="105"/>
      <c r="Z129" s="50">
        <v>0.18011574074074074</v>
      </c>
      <c r="AA129" s="50">
        <v>0.29343750000000002</v>
      </c>
      <c r="AD129" s="37">
        <v>20946</v>
      </c>
      <c r="AE129" s="93">
        <f t="shared" si="25"/>
        <v>20.946000000000002</v>
      </c>
      <c r="AF129">
        <v>14.63</v>
      </c>
      <c r="AG129" s="103">
        <f t="shared" si="26"/>
        <v>14</v>
      </c>
      <c r="AH129" s="37">
        <f t="shared" si="27"/>
        <v>20.946000000000002</v>
      </c>
      <c r="AJ129" s="38">
        <v>45854</v>
      </c>
      <c r="AK129">
        <v>172053</v>
      </c>
      <c r="AL129" t="s">
        <v>5</v>
      </c>
      <c r="AN129" s="81">
        <v>9.7222222222222224E-3</v>
      </c>
      <c r="AO129" s="81"/>
      <c r="AP129" s="37">
        <v>3347</v>
      </c>
      <c r="AQ129" t="s">
        <v>1442</v>
      </c>
      <c r="AR129" s="38">
        <v>45854</v>
      </c>
    </row>
    <row r="130" spans="22:44" ht="16" x14ac:dyDescent="0.4">
      <c r="V130" s="97">
        <v>45850</v>
      </c>
      <c r="W130" s="16">
        <v>170873</v>
      </c>
      <c r="X130" s="101" t="s">
        <v>36</v>
      </c>
      <c r="Y130" s="105"/>
      <c r="Z130" s="50">
        <v>0.99918981481481473</v>
      </c>
      <c r="AA130" s="50">
        <v>0.45270833333333332</v>
      </c>
      <c r="AD130" s="37">
        <v>22442</v>
      </c>
      <c r="AE130" s="93">
        <f t="shared" si="25"/>
        <v>22.442</v>
      </c>
      <c r="AF130">
        <v>13.27</v>
      </c>
      <c r="AG130" s="103">
        <f t="shared" si="26"/>
        <v>13.27</v>
      </c>
      <c r="AH130" s="37">
        <f t="shared" si="27"/>
        <v>21.271809999999999</v>
      </c>
      <c r="AJ130" s="38">
        <v>45854</v>
      </c>
      <c r="AL130" t="s">
        <v>5</v>
      </c>
      <c r="AN130" s="81">
        <v>0.4145833333333333</v>
      </c>
      <c r="AO130" s="81">
        <v>0.4284722222222222</v>
      </c>
      <c r="AP130" s="37">
        <v>3622</v>
      </c>
      <c r="AQ130" t="s">
        <v>1475</v>
      </c>
      <c r="AR130" s="38">
        <v>45854</v>
      </c>
    </row>
    <row r="131" spans="22:44" ht="16" x14ac:dyDescent="0.4">
      <c r="V131" s="97">
        <v>45850</v>
      </c>
      <c r="W131" s="16">
        <v>170915</v>
      </c>
      <c r="X131" s="101" t="s">
        <v>36</v>
      </c>
      <c r="Y131" s="105"/>
      <c r="Z131" s="50">
        <v>0.17998842592592593</v>
      </c>
      <c r="AA131" s="50">
        <v>0.53065972222222224</v>
      </c>
      <c r="AD131" s="37">
        <v>21346</v>
      </c>
      <c r="AE131" s="93">
        <f t="shared" si="25"/>
        <v>21.346</v>
      </c>
      <c r="AF131">
        <v>14.74</v>
      </c>
      <c r="AG131" s="103">
        <f t="shared" si="26"/>
        <v>14</v>
      </c>
      <c r="AH131" s="37">
        <f t="shared" si="27"/>
        <v>21.346</v>
      </c>
      <c r="AJ131" s="38">
        <v>45854</v>
      </c>
      <c r="AL131" t="s">
        <v>5</v>
      </c>
      <c r="AN131" s="81">
        <v>0.39861111111111108</v>
      </c>
      <c r="AO131" s="81">
        <v>0.4201388888888889</v>
      </c>
      <c r="AP131" s="37">
        <v>2750</v>
      </c>
      <c r="AQ131" t="s">
        <v>1476</v>
      </c>
      <c r="AR131" s="38">
        <v>45854</v>
      </c>
    </row>
    <row r="132" spans="22:44" ht="16" x14ac:dyDescent="0.4">
      <c r="V132" s="97">
        <v>45850</v>
      </c>
      <c r="W132" s="16">
        <v>170964</v>
      </c>
      <c r="X132" s="101" t="s">
        <v>36</v>
      </c>
      <c r="Y132" s="105"/>
      <c r="Z132" s="50">
        <v>0.50695601851851857</v>
      </c>
      <c r="AA132" s="50">
        <v>0.63072916666666667</v>
      </c>
      <c r="AD132" s="37">
        <v>22236</v>
      </c>
      <c r="AE132" s="93">
        <f t="shared" si="25"/>
        <v>22.236000000000001</v>
      </c>
      <c r="AF132">
        <v>13.52</v>
      </c>
      <c r="AG132" s="103">
        <f t="shared" si="26"/>
        <v>13.52</v>
      </c>
      <c r="AH132" s="37">
        <f t="shared" si="27"/>
        <v>21.473622857142857</v>
      </c>
      <c r="AJ132" s="38">
        <v>45854</v>
      </c>
      <c r="AL132" t="s">
        <v>5</v>
      </c>
      <c r="AN132" s="81">
        <v>0.45763888888888887</v>
      </c>
      <c r="AO132" s="81">
        <v>0.47013888888888888</v>
      </c>
      <c r="AP132" s="37">
        <v>2308</v>
      </c>
      <c r="AQ132" t="s">
        <v>1467</v>
      </c>
      <c r="AR132" s="38">
        <v>45854</v>
      </c>
    </row>
    <row r="133" spans="22:44" ht="16" x14ac:dyDescent="0.4">
      <c r="V133" s="97">
        <v>45850</v>
      </c>
      <c r="W133" s="16">
        <v>171000</v>
      </c>
      <c r="X133" s="101" t="s">
        <v>36</v>
      </c>
      <c r="Y133" s="105"/>
      <c r="Z133" s="50">
        <v>0.7642592592592593</v>
      </c>
      <c r="AA133" s="50">
        <v>0.68939814814814815</v>
      </c>
      <c r="AD133" s="37">
        <v>20830</v>
      </c>
      <c r="AE133" s="93">
        <f t="shared" ref="AE133:AE196" si="28">AD133/1000</f>
        <v>20.83</v>
      </c>
      <c r="AF133">
        <v>15.23</v>
      </c>
      <c r="AG133" s="103">
        <f t="shared" si="26"/>
        <v>14</v>
      </c>
      <c r="AH133" s="37">
        <f t="shared" si="27"/>
        <v>20.830000000000002</v>
      </c>
      <c r="AJ133" s="38">
        <v>45854</v>
      </c>
      <c r="AK133">
        <v>172054</v>
      </c>
      <c r="AL133" t="s">
        <v>5</v>
      </c>
      <c r="AN133" s="81"/>
      <c r="AO133" s="81"/>
      <c r="AP133" s="37">
        <v>5162</v>
      </c>
      <c r="AQ133" t="s">
        <v>1442</v>
      </c>
      <c r="AR133" s="38">
        <v>45854</v>
      </c>
    </row>
    <row r="134" spans="22:44" ht="16" x14ac:dyDescent="0.4">
      <c r="V134" s="97">
        <v>45850</v>
      </c>
      <c r="W134" s="16">
        <v>171010</v>
      </c>
      <c r="X134" s="101" t="s">
        <v>36</v>
      </c>
      <c r="Y134" s="105"/>
      <c r="Z134" s="50">
        <v>0.50694444444444442</v>
      </c>
      <c r="AA134" s="50">
        <v>0.7416666666666667</v>
      </c>
      <c r="AD134" s="37">
        <v>18008</v>
      </c>
      <c r="AE134" s="93">
        <f t="shared" si="28"/>
        <v>18.007999999999999</v>
      </c>
      <c r="AF134">
        <v>15.91</v>
      </c>
      <c r="AG134" s="103">
        <f t="shared" ref="AG134:AG197" si="29">IF($AF134&gt;14,14,$AF134)</f>
        <v>14</v>
      </c>
      <c r="AH134" s="37">
        <f t="shared" ref="AH134:AH197" si="30">AE134*AG134/14</f>
        <v>18.007999999999999</v>
      </c>
      <c r="AJ134" s="38">
        <v>45854</v>
      </c>
      <c r="AK134">
        <v>172051</v>
      </c>
      <c r="AL134" t="s">
        <v>5</v>
      </c>
      <c r="AN134" s="81"/>
      <c r="AO134" s="81"/>
      <c r="AP134" s="37">
        <v>4896</v>
      </c>
      <c r="AQ134" t="s">
        <v>1442</v>
      </c>
      <c r="AR134" s="38">
        <v>45854</v>
      </c>
    </row>
    <row r="135" spans="22:44" ht="16" x14ac:dyDescent="0.4">
      <c r="V135" s="97">
        <v>45850</v>
      </c>
      <c r="W135" s="16">
        <v>171043</v>
      </c>
      <c r="X135" s="101" t="s">
        <v>36</v>
      </c>
      <c r="Y135" s="105"/>
      <c r="Z135" s="50">
        <v>0.57013888888888886</v>
      </c>
      <c r="AA135" s="50">
        <v>0.83124999999999993</v>
      </c>
      <c r="AD135" s="37">
        <v>19522</v>
      </c>
      <c r="AE135" s="93">
        <f t="shared" si="28"/>
        <v>19.521999999999998</v>
      </c>
      <c r="AF135">
        <v>14.66</v>
      </c>
      <c r="AG135" s="103">
        <f t="shared" si="29"/>
        <v>14</v>
      </c>
      <c r="AH135" s="37">
        <f t="shared" si="30"/>
        <v>19.521999999999998</v>
      </c>
      <c r="AJ135" s="38">
        <v>45854</v>
      </c>
      <c r="AL135" t="s">
        <v>5</v>
      </c>
      <c r="AN135" s="81">
        <v>0.56111111111111112</v>
      </c>
      <c r="AO135" s="81">
        <v>0.58194444444444449</v>
      </c>
      <c r="AP135" s="37">
        <v>3834</v>
      </c>
      <c r="AR135" s="38">
        <v>45854</v>
      </c>
    </row>
    <row r="136" spans="22:44" ht="16" x14ac:dyDescent="0.4">
      <c r="V136" s="97">
        <v>45850</v>
      </c>
      <c r="W136" s="16">
        <v>171065</v>
      </c>
      <c r="X136" s="101" t="s">
        <v>36</v>
      </c>
      <c r="Y136" s="105"/>
      <c r="Z136" s="50">
        <v>0.50694444444444442</v>
      </c>
      <c r="AA136" s="50">
        <v>0.90416666666666667</v>
      </c>
      <c r="AD136" s="37">
        <v>20844</v>
      </c>
      <c r="AE136" s="93">
        <f t="shared" si="28"/>
        <v>20.844000000000001</v>
      </c>
      <c r="AF136">
        <v>15.91</v>
      </c>
      <c r="AG136" s="103">
        <f t="shared" si="29"/>
        <v>14</v>
      </c>
      <c r="AH136" s="37">
        <f t="shared" si="30"/>
        <v>20.844000000000001</v>
      </c>
      <c r="AJ136" s="38">
        <v>45855</v>
      </c>
      <c r="AK136">
        <v>172651</v>
      </c>
      <c r="AL136" t="s">
        <v>5</v>
      </c>
      <c r="AN136" s="81"/>
      <c r="AO136" s="81"/>
      <c r="AP136" s="37">
        <v>4590</v>
      </c>
      <c r="AQ136" t="s">
        <v>1442</v>
      </c>
      <c r="AR136" s="38">
        <v>45855</v>
      </c>
    </row>
    <row r="137" spans="22:44" ht="16" x14ac:dyDescent="0.4">
      <c r="V137" s="97">
        <v>45851</v>
      </c>
      <c r="W137" s="16">
        <v>171084</v>
      </c>
      <c r="X137" s="101" t="s">
        <v>36</v>
      </c>
      <c r="Y137" s="105"/>
      <c r="Z137" s="50">
        <v>5.9027777777777783E-2</v>
      </c>
      <c r="AA137" s="50">
        <v>0.5708333333333333</v>
      </c>
      <c r="AD137" s="37">
        <v>22134</v>
      </c>
      <c r="AE137" s="93">
        <f t="shared" si="28"/>
        <v>22.134</v>
      </c>
      <c r="AF137">
        <v>14.31</v>
      </c>
      <c r="AG137" s="103">
        <f t="shared" si="29"/>
        <v>14</v>
      </c>
      <c r="AH137" s="37">
        <f t="shared" si="30"/>
        <v>22.133999999999997</v>
      </c>
      <c r="AJ137" s="38">
        <v>45855</v>
      </c>
      <c r="AK137">
        <v>172645</v>
      </c>
      <c r="AL137" t="s">
        <v>5</v>
      </c>
      <c r="AN137" s="81"/>
      <c r="AO137" s="81"/>
      <c r="AP137" s="37">
        <v>5964</v>
      </c>
      <c r="AQ137" t="s">
        <v>1442</v>
      </c>
      <c r="AR137" s="38">
        <v>45855</v>
      </c>
    </row>
    <row r="138" spans="22:44" ht="16" x14ac:dyDescent="0.4">
      <c r="V138" s="97">
        <v>45851</v>
      </c>
      <c r="W138" s="16">
        <v>171095</v>
      </c>
      <c r="X138" s="101" t="s">
        <v>36</v>
      </c>
      <c r="Y138" s="105"/>
      <c r="Z138" s="50">
        <v>0.94930555555555562</v>
      </c>
      <c r="AA138" s="50">
        <v>6.458333333333334E-2</v>
      </c>
      <c r="AD138" s="37">
        <v>21752</v>
      </c>
      <c r="AE138" s="93">
        <f t="shared" si="28"/>
        <v>21.751999999999999</v>
      </c>
      <c r="AF138">
        <v>15.06</v>
      </c>
      <c r="AG138" s="103">
        <f t="shared" si="29"/>
        <v>14</v>
      </c>
      <c r="AH138" s="37">
        <f t="shared" si="30"/>
        <v>21.751999999999999</v>
      </c>
      <c r="AJ138" s="38">
        <v>45855</v>
      </c>
      <c r="AL138" t="s">
        <v>5</v>
      </c>
      <c r="AN138" s="81"/>
      <c r="AO138" s="81"/>
      <c r="AP138" s="37">
        <v>3172</v>
      </c>
      <c r="AQ138" t="s">
        <v>1477</v>
      </c>
      <c r="AR138" s="38">
        <v>45855</v>
      </c>
    </row>
    <row r="139" spans="22:44" ht="16" x14ac:dyDescent="0.4">
      <c r="V139" s="97">
        <v>45851</v>
      </c>
      <c r="W139" s="16">
        <v>171106</v>
      </c>
      <c r="X139" s="101" t="s">
        <v>36</v>
      </c>
      <c r="Y139" s="105"/>
      <c r="Z139" s="50">
        <v>0.57013888888888886</v>
      </c>
      <c r="AA139" s="50">
        <v>0.12083333333333333</v>
      </c>
      <c r="AD139" s="37">
        <v>20056</v>
      </c>
      <c r="AE139" s="93">
        <f t="shared" si="28"/>
        <v>20.056000000000001</v>
      </c>
      <c r="AF139">
        <v>14.84</v>
      </c>
      <c r="AG139" s="103">
        <f t="shared" si="29"/>
        <v>14</v>
      </c>
      <c r="AH139" s="37">
        <f t="shared" si="30"/>
        <v>20.056000000000001</v>
      </c>
      <c r="AJ139" s="38">
        <v>45855</v>
      </c>
      <c r="AL139" t="s">
        <v>5</v>
      </c>
      <c r="AN139" s="81">
        <v>0.58333333333333337</v>
      </c>
      <c r="AO139" s="81">
        <v>0.61319444444444449</v>
      </c>
      <c r="AP139" s="37">
        <v>2884</v>
      </c>
      <c r="AQ139" t="s">
        <v>1476</v>
      </c>
      <c r="AR139" s="38">
        <v>45855</v>
      </c>
    </row>
    <row r="140" spans="22:44" ht="16" x14ac:dyDescent="0.4">
      <c r="V140" s="97">
        <v>45851</v>
      </c>
      <c r="W140" s="16">
        <v>171117</v>
      </c>
      <c r="X140" s="101" t="s">
        <v>36</v>
      </c>
      <c r="Y140" s="105"/>
      <c r="Z140" s="50">
        <v>0.94930555555555562</v>
      </c>
      <c r="AA140" s="50">
        <v>0.17152777777777775</v>
      </c>
      <c r="AD140" s="37">
        <v>19976</v>
      </c>
      <c r="AE140" s="93">
        <f t="shared" si="28"/>
        <v>19.975999999999999</v>
      </c>
      <c r="AF140">
        <v>14.98</v>
      </c>
      <c r="AG140" s="103">
        <f t="shared" si="29"/>
        <v>14</v>
      </c>
      <c r="AH140" s="37">
        <f t="shared" si="30"/>
        <v>19.975999999999999</v>
      </c>
      <c r="AJ140" s="38">
        <v>45855</v>
      </c>
      <c r="AL140" t="s">
        <v>5</v>
      </c>
      <c r="AN140" s="81">
        <v>0.51111111111111118</v>
      </c>
      <c r="AO140" s="81">
        <v>0.65694444444444444</v>
      </c>
      <c r="AP140" s="37">
        <v>4224</v>
      </c>
      <c r="AQ140" t="s">
        <v>677</v>
      </c>
      <c r="AR140" s="38">
        <v>45855</v>
      </c>
    </row>
    <row r="141" spans="22:44" ht="16" x14ac:dyDescent="0.4">
      <c r="V141" s="97">
        <v>45851</v>
      </c>
      <c r="W141" s="16">
        <v>171120</v>
      </c>
      <c r="X141" s="101" t="s">
        <v>36</v>
      </c>
      <c r="Y141" s="105"/>
      <c r="Z141" s="50">
        <v>3.4027777777777775E-2</v>
      </c>
      <c r="AA141" s="50">
        <v>0.21597222222222223</v>
      </c>
      <c r="AD141" s="37">
        <v>19590</v>
      </c>
      <c r="AE141" s="93">
        <f t="shared" si="28"/>
        <v>19.59</v>
      </c>
      <c r="AF141">
        <v>14.55</v>
      </c>
      <c r="AG141" s="103">
        <f t="shared" si="29"/>
        <v>14</v>
      </c>
      <c r="AH141" s="37">
        <f t="shared" si="30"/>
        <v>19.59</v>
      </c>
      <c r="AJ141" s="38">
        <v>45855</v>
      </c>
      <c r="AL141" t="s">
        <v>5</v>
      </c>
      <c r="AN141" s="81">
        <v>0.49934027777777779</v>
      </c>
      <c r="AO141" s="81"/>
      <c r="AP141" s="48">
        <v>5758</v>
      </c>
      <c r="AQ141" t="s">
        <v>1478</v>
      </c>
      <c r="AR141" s="38">
        <v>45855</v>
      </c>
    </row>
    <row r="142" spans="22:44" ht="16" x14ac:dyDescent="0.4">
      <c r="V142" s="97">
        <v>45851</v>
      </c>
      <c r="W142" s="16">
        <v>171147</v>
      </c>
      <c r="X142" s="101" t="s">
        <v>36</v>
      </c>
      <c r="Y142" s="105"/>
      <c r="Z142" s="102">
        <v>0.94954861111111111</v>
      </c>
      <c r="AA142" s="102">
        <v>0.4384143518518519</v>
      </c>
      <c r="AB142" s="16"/>
      <c r="AC142" s="16"/>
      <c r="AD142" s="93">
        <v>15784</v>
      </c>
      <c r="AE142" s="93">
        <f t="shared" si="28"/>
        <v>15.784000000000001</v>
      </c>
      <c r="AF142">
        <v>12.71</v>
      </c>
      <c r="AG142" s="103">
        <f t="shared" si="29"/>
        <v>12.71</v>
      </c>
      <c r="AH142" s="37">
        <f t="shared" si="30"/>
        <v>14.329617142857144</v>
      </c>
      <c r="AJ142" s="38">
        <v>45856</v>
      </c>
      <c r="AL142" t="s">
        <v>5</v>
      </c>
      <c r="AN142" s="81">
        <v>0.4201388888888889</v>
      </c>
      <c r="AO142" s="81">
        <v>0.41736111111111113</v>
      </c>
      <c r="AP142" s="48">
        <v>2814</v>
      </c>
      <c r="AR142" s="38">
        <v>45856</v>
      </c>
    </row>
    <row r="143" spans="22:44" ht="16" x14ac:dyDescent="0.4">
      <c r="V143" s="97">
        <v>45852</v>
      </c>
      <c r="W143" s="16">
        <v>171529</v>
      </c>
      <c r="X143" s="101" t="s">
        <v>36</v>
      </c>
      <c r="Y143" s="105"/>
      <c r="Z143" s="102">
        <v>0.71358796296296301</v>
      </c>
      <c r="AA143" s="102">
        <v>0.83255787037037043</v>
      </c>
      <c r="AB143" s="16"/>
      <c r="AC143" s="16"/>
      <c r="AD143" s="93">
        <v>19910</v>
      </c>
      <c r="AE143" s="93">
        <f t="shared" si="28"/>
        <v>19.91</v>
      </c>
      <c r="AF143" s="16">
        <v>15.52</v>
      </c>
      <c r="AG143" s="103">
        <f t="shared" si="29"/>
        <v>14</v>
      </c>
      <c r="AH143" s="37">
        <f t="shared" si="30"/>
        <v>19.91</v>
      </c>
      <c r="AJ143" s="38">
        <v>45856</v>
      </c>
      <c r="AL143" t="s">
        <v>5</v>
      </c>
      <c r="AN143" s="81">
        <v>0.41875000000000001</v>
      </c>
      <c r="AO143" s="81">
        <v>0.49027777777777781</v>
      </c>
      <c r="AP143" s="48">
        <v>3212</v>
      </c>
      <c r="AQ143" t="s">
        <v>1479</v>
      </c>
      <c r="AR143" s="38">
        <v>45856</v>
      </c>
    </row>
    <row r="144" spans="22:44" ht="16" x14ac:dyDescent="0.4">
      <c r="V144" s="97">
        <v>45852</v>
      </c>
      <c r="W144" s="16">
        <v>171578</v>
      </c>
      <c r="X144" s="101" t="s">
        <v>36</v>
      </c>
      <c r="Y144" s="105"/>
      <c r="Z144" s="102">
        <v>0.17387731481481483</v>
      </c>
      <c r="AA144" s="102">
        <v>0.92030092592592594</v>
      </c>
      <c r="AB144" s="16"/>
      <c r="AC144" s="16"/>
      <c r="AD144" s="93">
        <v>22734</v>
      </c>
      <c r="AE144" s="93">
        <f t="shared" si="28"/>
        <v>22.734000000000002</v>
      </c>
      <c r="AF144" s="16">
        <v>14.81</v>
      </c>
      <c r="AG144" s="103">
        <f t="shared" si="29"/>
        <v>14</v>
      </c>
      <c r="AH144" s="37">
        <f t="shared" si="30"/>
        <v>22.734000000000002</v>
      </c>
      <c r="AJ144" s="38">
        <v>45856</v>
      </c>
      <c r="AL144" t="s">
        <v>5</v>
      </c>
      <c r="AN144" s="81">
        <v>0.40277777777777773</v>
      </c>
      <c r="AO144" s="81">
        <v>0.41875000000000001</v>
      </c>
      <c r="AP144" s="48">
        <v>3246</v>
      </c>
      <c r="AQ144" t="s">
        <v>1479</v>
      </c>
      <c r="AR144" s="38">
        <v>45856</v>
      </c>
    </row>
    <row r="145" spans="22:44" ht="16" x14ac:dyDescent="0.4">
      <c r="V145" s="97">
        <v>45853</v>
      </c>
      <c r="W145" s="16">
        <v>171607</v>
      </c>
      <c r="X145" s="101" t="s">
        <v>36</v>
      </c>
      <c r="Y145" s="105"/>
      <c r="Z145" s="102">
        <v>0.71383101851851849</v>
      </c>
      <c r="AA145" s="102">
        <v>5.162037037037037E-3</v>
      </c>
      <c r="AB145" s="16"/>
      <c r="AC145" s="16"/>
      <c r="AD145" s="93">
        <v>21248</v>
      </c>
      <c r="AE145" s="93">
        <f t="shared" si="28"/>
        <v>21.248000000000001</v>
      </c>
      <c r="AF145" s="16">
        <v>14.49</v>
      </c>
      <c r="AG145" s="103">
        <f t="shared" si="29"/>
        <v>14</v>
      </c>
      <c r="AH145" s="37">
        <f t="shared" si="30"/>
        <v>21.248000000000001</v>
      </c>
      <c r="AJ145" s="38">
        <v>45856</v>
      </c>
      <c r="AL145" t="s">
        <v>5</v>
      </c>
      <c r="AN145" s="81">
        <v>0.4284722222222222</v>
      </c>
      <c r="AO145" s="81">
        <v>0.44930555555555557</v>
      </c>
      <c r="AP145" s="48">
        <v>3736</v>
      </c>
      <c r="AQ145" t="s">
        <v>1476</v>
      </c>
      <c r="AR145" s="38">
        <v>45856</v>
      </c>
    </row>
    <row r="146" spans="22:44" ht="16" x14ac:dyDescent="0.4">
      <c r="V146" s="97">
        <v>45853</v>
      </c>
      <c r="W146" s="16">
        <v>171618</v>
      </c>
      <c r="X146" s="101" t="s">
        <v>36</v>
      </c>
      <c r="Y146" s="105"/>
      <c r="Z146" s="102">
        <v>0.17400462962962962</v>
      </c>
      <c r="AA146" s="102">
        <v>7.7442129629629639E-2</v>
      </c>
      <c r="AB146" s="16"/>
      <c r="AC146" s="16"/>
      <c r="AD146" s="93">
        <v>22246</v>
      </c>
      <c r="AE146" s="93">
        <f t="shared" si="28"/>
        <v>22.245999999999999</v>
      </c>
      <c r="AF146" s="16">
        <v>15.13</v>
      </c>
      <c r="AG146" s="103">
        <f t="shared" si="29"/>
        <v>14</v>
      </c>
      <c r="AH146" s="37">
        <f t="shared" si="30"/>
        <v>22.245999999999999</v>
      </c>
      <c r="AJ146" s="38">
        <v>45856</v>
      </c>
      <c r="AL146" t="s">
        <v>5</v>
      </c>
      <c r="AN146" s="81">
        <v>0.48402777777777778</v>
      </c>
      <c r="AO146" s="81">
        <v>0.54861111111111105</v>
      </c>
      <c r="AP146" s="48">
        <v>3096</v>
      </c>
      <c r="AQ146" t="s">
        <v>1476</v>
      </c>
      <c r="AR146" s="38">
        <v>45856</v>
      </c>
    </row>
    <row r="147" spans="22:44" ht="16" x14ac:dyDescent="0.4">
      <c r="V147" s="97">
        <v>45853</v>
      </c>
      <c r="W147" s="16">
        <v>171625</v>
      </c>
      <c r="X147" s="101" t="s">
        <v>36</v>
      </c>
      <c r="Y147" s="105"/>
      <c r="Z147" s="102">
        <v>0.71370370370370362</v>
      </c>
      <c r="AA147" s="102">
        <v>0.15805555555555556</v>
      </c>
      <c r="AB147" s="16"/>
      <c r="AC147" s="16"/>
      <c r="AD147" s="93">
        <v>19704</v>
      </c>
      <c r="AE147" s="93">
        <f t="shared" si="28"/>
        <v>19.704000000000001</v>
      </c>
      <c r="AF147" s="16">
        <v>16.059999999999999</v>
      </c>
      <c r="AG147" s="103">
        <f t="shared" si="29"/>
        <v>14</v>
      </c>
      <c r="AH147" s="37">
        <f t="shared" si="30"/>
        <v>19.704000000000001</v>
      </c>
      <c r="AJ147" s="38">
        <v>45856</v>
      </c>
      <c r="AL147" t="s">
        <v>5</v>
      </c>
      <c r="AN147" s="81">
        <v>0.67152777777777783</v>
      </c>
      <c r="AO147" s="81">
        <v>0.54513888888888895</v>
      </c>
      <c r="AP147" s="48">
        <v>2498</v>
      </c>
      <c r="AQ147" t="s">
        <v>1476</v>
      </c>
      <c r="AR147" s="38">
        <v>45856</v>
      </c>
    </row>
    <row r="148" spans="22:44" ht="16" x14ac:dyDescent="0.4">
      <c r="V148" s="97">
        <v>45853</v>
      </c>
      <c r="W148" s="16">
        <v>171628</v>
      </c>
      <c r="X148" s="101" t="s">
        <v>36</v>
      </c>
      <c r="Y148" s="105"/>
      <c r="Z148" s="102">
        <v>0.17413194444444444</v>
      </c>
      <c r="AA148" s="102">
        <v>0.22344907407407408</v>
      </c>
      <c r="AB148" s="16"/>
      <c r="AC148" s="16"/>
      <c r="AD148" s="93">
        <v>29850</v>
      </c>
      <c r="AE148" s="93">
        <f t="shared" si="28"/>
        <v>29.85</v>
      </c>
      <c r="AF148" s="16">
        <v>15.91</v>
      </c>
      <c r="AG148" s="103">
        <f t="shared" si="29"/>
        <v>14</v>
      </c>
      <c r="AH148" s="37">
        <f t="shared" si="30"/>
        <v>29.85</v>
      </c>
      <c r="AJ148" s="38">
        <v>45859</v>
      </c>
      <c r="AL148" t="s">
        <v>5</v>
      </c>
      <c r="AN148" s="81">
        <v>0.54326388888888888</v>
      </c>
      <c r="AO148" s="81">
        <v>0.4199074074074074</v>
      </c>
      <c r="AP148" s="48">
        <v>2822</v>
      </c>
      <c r="AQ148" t="s">
        <v>1480</v>
      </c>
      <c r="AR148" s="38">
        <v>45859</v>
      </c>
    </row>
    <row r="149" spans="22:44" ht="16" x14ac:dyDescent="0.4">
      <c r="V149" s="97">
        <v>45853</v>
      </c>
      <c r="W149" s="16">
        <v>171666</v>
      </c>
      <c r="X149" s="101" t="s">
        <v>36</v>
      </c>
      <c r="Y149" s="105"/>
      <c r="Z149" s="102">
        <v>0.20069444444444443</v>
      </c>
      <c r="AA149" s="102">
        <v>0.33194444444444443</v>
      </c>
      <c r="AB149" s="16"/>
      <c r="AC149" s="16"/>
      <c r="AD149" s="93">
        <v>19594</v>
      </c>
      <c r="AE149" s="93">
        <f t="shared" si="28"/>
        <v>19.594000000000001</v>
      </c>
      <c r="AF149" s="16">
        <v>15.79</v>
      </c>
      <c r="AG149" s="103">
        <f t="shared" si="29"/>
        <v>14</v>
      </c>
      <c r="AH149" s="37">
        <f t="shared" si="30"/>
        <v>19.594000000000001</v>
      </c>
      <c r="AJ149" s="38">
        <v>45859</v>
      </c>
      <c r="AL149" t="s">
        <v>5</v>
      </c>
      <c r="AN149" s="81">
        <v>0.5295023148148148</v>
      </c>
      <c r="AO149" s="81">
        <v>0.5431597222222222</v>
      </c>
      <c r="AP149" s="48">
        <v>1942</v>
      </c>
      <c r="AQ149" t="s">
        <v>1481</v>
      </c>
      <c r="AR149" s="38">
        <v>45859</v>
      </c>
    </row>
    <row r="150" spans="22:44" ht="16" x14ac:dyDescent="0.4">
      <c r="V150" s="97">
        <v>45853</v>
      </c>
      <c r="W150" s="16">
        <v>171737</v>
      </c>
      <c r="X150" s="101" t="s">
        <v>36</v>
      </c>
      <c r="Y150" s="105"/>
      <c r="Z150" s="102">
        <v>0.76250000000000007</v>
      </c>
      <c r="AA150" s="102">
        <v>0.40347222222222223</v>
      </c>
      <c r="AB150" s="16"/>
      <c r="AC150" s="16"/>
      <c r="AD150" s="93">
        <v>21674</v>
      </c>
      <c r="AE150" s="93">
        <f t="shared" si="28"/>
        <v>21.673999999999999</v>
      </c>
      <c r="AF150" s="16">
        <v>14.88</v>
      </c>
      <c r="AG150" s="103">
        <f t="shared" si="29"/>
        <v>14</v>
      </c>
      <c r="AH150" s="37">
        <f t="shared" si="30"/>
        <v>21.673999999999999</v>
      </c>
      <c r="AJ150" s="38">
        <v>45860</v>
      </c>
      <c r="AL150" t="s">
        <v>5</v>
      </c>
      <c r="AN150" s="81">
        <v>0.52013888888888882</v>
      </c>
      <c r="AO150" s="81">
        <v>0.62083333333333335</v>
      </c>
      <c r="AP150" s="48">
        <v>3318</v>
      </c>
      <c r="AQ150" t="s">
        <v>677</v>
      </c>
      <c r="AR150" s="38">
        <v>45860</v>
      </c>
    </row>
    <row r="151" spans="22:44" ht="16" x14ac:dyDescent="0.4">
      <c r="V151" s="97">
        <v>45853</v>
      </c>
      <c r="W151" s="16">
        <v>171791</v>
      </c>
      <c r="X151" s="101" t="s">
        <v>36</v>
      </c>
      <c r="Y151" s="105"/>
      <c r="Z151" s="102">
        <v>0.1986111111111111</v>
      </c>
      <c r="AA151" s="102">
        <v>0.49652777777777773</v>
      </c>
      <c r="AB151" s="16"/>
      <c r="AC151" s="16"/>
      <c r="AD151" s="93">
        <v>22276</v>
      </c>
      <c r="AE151" s="93">
        <f t="shared" si="28"/>
        <v>22.276</v>
      </c>
      <c r="AF151" s="16">
        <v>16.48</v>
      </c>
      <c r="AG151" s="103">
        <f t="shared" si="29"/>
        <v>14</v>
      </c>
      <c r="AH151" s="37">
        <f t="shared" si="30"/>
        <v>22.276</v>
      </c>
      <c r="AJ151" s="38">
        <v>45860</v>
      </c>
      <c r="AL151" t="s">
        <v>5</v>
      </c>
      <c r="AN151" s="81">
        <v>0.56041666666666667</v>
      </c>
      <c r="AO151" s="81">
        <v>0.53402777777777777</v>
      </c>
      <c r="AP151" s="48">
        <v>5788</v>
      </c>
      <c r="AR151" s="38">
        <v>45860</v>
      </c>
    </row>
    <row r="152" spans="22:44" ht="16" x14ac:dyDescent="0.4">
      <c r="V152" s="97">
        <v>45853</v>
      </c>
      <c r="W152" s="16">
        <v>171818</v>
      </c>
      <c r="X152" s="101" t="s">
        <v>36</v>
      </c>
      <c r="Y152" s="105"/>
      <c r="Z152" s="102">
        <v>0.45902777777777781</v>
      </c>
      <c r="AA152" s="102">
        <v>0.55763888888888891</v>
      </c>
      <c r="AB152" s="16"/>
      <c r="AC152" s="16"/>
      <c r="AD152" s="93">
        <v>19794</v>
      </c>
      <c r="AE152" s="93">
        <f t="shared" si="28"/>
        <v>19.794</v>
      </c>
      <c r="AF152" s="16">
        <v>14.49</v>
      </c>
      <c r="AG152" s="103">
        <f t="shared" si="29"/>
        <v>14</v>
      </c>
      <c r="AH152" s="37">
        <f t="shared" si="30"/>
        <v>19.794</v>
      </c>
      <c r="AJ152" s="38">
        <v>45861</v>
      </c>
      <c r="AL152" t="s">
        <v>5</v>
      </c>
      <c r="AN152" s="81"/>
      <c r="AO152" s="81"/>
      <c r="AP152" s="48">
        <v>3296</v>
      </c>
      <c r="AR152" s="38">
        <v>45861</v>
      </c>
    </row>
    <row r="153" spans="22:44" ht="16" x14ac:dyDescent="0.4">
      <c r="V153" s="97">
        <v>45853</v>
      </c>
      <c r="W153" s="16">
        <v>171868</v>
      </c>
      <c r="X153" s="101" t="s">
        <v>36</v>
      </c>
      <c r="Y153" s="105"/>
      <c r="Z153" s="102">
        <v>0.54999999999999993</v>
      </c>
      <c r="AA153" s="102">
        <v>0.63194444444444442</v>
      </c>
      <c r="AB153" s="16"/>
      <c r="AC153" s="16"/>
      <c r="AD153" s="93">
        <v>21268</v>
      </c>
      <c r="AE153" s="93">
        <f t="shared" si="28"/>
        <v>21.268000000000001</v>
      </c>
      <c r="AF153" s="16">
        <v>15.31</v>
      </c>
      <c r="AG153" s="103">
        <f t="shared" si="29"/>
        <v>14</v>
      </c>
      <c r="AH153" s="37">
        <f t="shared" si="30"/>
        <v>21.268000000000001</v>
      </c>
      <c r="AJ153" s="38">
        <v>45859</v>
      </c>
      <c r="AL153" t="s">
        <v>5</v>
      </c>
      <c r="AN153" s="81">
        <v>0.49444444444444446</v>
      </c>
      <c r="AO153" s="81">
        <v>0.50972222222222219</v>
      </c>
      <c r="AP153" s="48">
        <v>3028</v>
      </c>
      <c r="AQ153" t="s">
        <v>1482</v>
      </c>
      <c r="AR153" s="38">
        <v>45861</v>
      </c>
    </row>
    <row r="154" spans="22:44" ht="16" x14ac:dyDescent="0.4">
      <c r="V154" s="97">
        <v>45853</v>
      </c>
      <c r="W154" s="16">
        <v>171904</v>
      </c>
      <c r="X154" s="101" t="s">
        <v>36</v>
      </c>
      <c r="Y154" s="105"/>
      <c r="Z154" s="102">
        <v>0.45902777777777781</v>
      </c>
      <c r="AA154" s="102"/>
      <c r="AB154" s="16"/>
      <c r="AC154" s="16"/>
      <c r="AD154" s="93">
        <v>21654</v>
      </c>
      <c r="AE154" s="93">
        <f t="shared" si="28"/>
        <v>21.654</v>
      </c>
      <c r="AF154" s="16">
        <v>14.55</v>
      </c>
      <c r="AG154" s="103">
        <f t="shared" si="29"/>
        <v>14</v>
      </c>
      <c r="AH154" s="37">
        <f t="shared" si="30"/>
        <v>21.654</v>
      </c>
      <c r="AJ154" s="38">
        <v>45860</v>
      </c>
      <c r="AL154" t="s">
        <v>5</v>
      </c>
      <c r="AN154" s="81">
        <v>0.56319444444444444</v>
      </c>
      <c r="AO154" s="81">
        <v>0.58263888888888882</v>
      </c>
      <c r="AP154" s="48">
        <v>4272</v>
      </c>
      <c r="AQ154" t="s">
        <v>1483</v>
      </c>
      <c r="AR154" s="38">
        <v>45861</v>
      </c>
    </row>
    <row r="155" spans="22:44" ht="16" x14ac:dyDescent="0.4">
      <c r="V155" s="97">
        <v>45853</v>
      </c>
      <c r="W155" s="16">
        <v>171922</v>
      </c>
      <c r="X155" s="101" t="s">
        <v>36</v>
      </c>
      <c r="Y155" s="105"/>
      <c r="Z155" s="102">
        <v>0.55078703703703702</v>
      </c>
      <c r="AA155" s="102">
        <v>0.79142361111111104</v>
      </c>
      <c r="AB155" s="16"/>
      <c r="AC155" s="16"/>
      <c r="AD155" s="93">
        <v>19968</v>
      </c>
      <c r="AE155" s="93">
        <f t="shared" si="28"/>
        <v>19.968</v>
      </c>
      <c r="AF155" s="16">
        <v>16.27</v>
      </c>
      <c r="AG155" s="103">
        <f t="shared" si="29"/>
        <v>14</v>
      </c>
      <c r="AH155" s="37">
        <f t="shared" si="30"/>
        <v>19.968</v>
      </c>
      <c r="AJ155" s="38">
        <v>45861</v>
      </c>
      <c r="AL155" t="s">
        <v>5</v>
      </c>
      <c r="AN155" s="81">
        <v>0.58333333333333337</v>
      </c>
      <c r="AO155" s="81">
        <v>0.4465277777777778</v>
      </c>
      <c r="AP155" s="48">
        <v>3670</v>
      </c>
      <c r="AQ155" t="s">
        <v>1484</v>
      </c>
      <c r="AR155" s="38">
        <v>45861</v>
      </c>
    </row>
    <row r="156" spans="22:44" ht="16" x14ac:dyDescent="0.4">
      <c r="V156" s="97">
        <v>45853</v>
      </c>
      <c r="W156" s="16">
        <v>171961</v>
      </c>
      <c r="X156" s="101" t="s">
        <v>36</v>
      </c>
      <c r="Y156" s="105"/>
      <c r="Z156" s="102">
        <v>0.45951388888888894</v>
      </c>
      <c r="AA156" s="102">
        <v>0.86350694444444442</v>
      </c>
      <c r="AB156" s="16"/>
      <c r="AC156" s="16"/>
      <c r="AD156" s="93">
        <v>20662</v>
      </c>
      <c r="AE156" s="93">
        <f t="shared" si="28"/>
        <v>20.661999999999999</v>
      </c>
      <c r="AF156" s="16">
        <v>14.38</v>
      </c>
      <c r="AG156" s="103">
        <f t="shared" si="29"/>
        <v>14</v>
      </c>
      <c r="AH156" s="37">
        <f t="shared" si="30"/>
        <v>20.661999999999999</v>
      </c>
      <c r="AJ156" s="38">
        <v>45860</v>
      </c>
      <c r="AL156" t="s">
        <v>5</v>
      </c>
      <c r="AN156" s="81">
        <v>0.59444444444444444</v>
      </c>
      <c r="AO156" s="81"/>
      <c r="AP156" s="48">
        <v>2870</v>
      </c>
      <c r="AQ156" t="s">
        <v>677</v>
      </c>
      <c r="AR156" s="38">
        <v>45861</v>
      </c>
    </row>
    <row r="157" spans="22:44" ht="16" x14ac:dyDescent="0.4">
      <c r="V157" s="97">
        <v>45853</v>
      </c>
      <c r="W157" s="16">
        <v>171999</v>
      </c>
      <c r="X157" s="101" t="s">
        <v>36</v>
      </c>
      <c r="Y157" s="105"/>
      <c r="Z157" s="102">
        <v>26.589583333333334</v>
      </c>
      <c r="AA157" s="102">
        <v>0.94468750000000001</v>
      </c>
      <c r="AB157" s="16"/>
      <c r="AC157" s="16"/>
      <c r="AD157" s="93">
        <v>22220</v>
      </c>
      <c r="AE157" s="93">
        <f t="shared" si="28"/>
        <v>22.22</v>
      </c>
      <c r="AF157" s="16">
        <v>13.31</v>
      </c>
      <c r="AG157" s="103">
        <f t="shared" si="29"/>
        <v>13.31</v>
      </c>
      <c r="AH157" s="37">
        <f t="shared" si="30"/>
        <v>21.124871428571428</v>
      </c>
      <c r="AJ157" s="38">
        <v>45861</v>
      </c>
      <c r="AL157" t="s">
        <v>5</v>
      </c>
      <c r="AN157" s="81">
        <v>0.62430555555555556</v>
      </c>
      <c r="AO157" s="81">
        <v>0.48194444444444445</v>
      </c>
      <c r="AP157" s="48">
        <v>2686</v>
      </c>
      <c r="AQ157" t="s">
        <v>1485</v>
      </c>
      <c r="AR157" s="38">
        <v>45861</v>
      </c>
    </row>
    <row r="158" spans="22:44" ht="16" x14ac:dyDescent="0.4">
      <c r="V158" s="97">
        <v>45854</v>
      </c>
      <c r="W158" s="16">
        <v>172027</v>
      </c>
      <c r="X158" s="101" t="s">
        <v>36</v>
      </c>
      <c r="Y158" s="105"/>
      <c r="Z158" s="102">
        <v>0.90035879629629623</v>
      </c>
      <c r="AA158" s="102">
        <v>4.0833333333333333E-2</v>
      </c>
      <c r="AB158" s="16"/>
      <c r="AC158" s="16"/>
      <c r="AD158" s="93">
        <v>22846</v>
      </c>
      <c r="AE158" s="93">
        <f t="shared" si="28"/>
        <v>22.846</v>
      </c>
      <c r="AF158" s="16">
        <v>13.55</v>
      </c>
      <c r="AG158" s="103">
        <f t="shared" si="29"/>
        <v>13.55</v>
      </c>
      <c r="AH158" s="37">
        <f t="shared" si="30"/>
        <v>22.111664285714287</v>
      </c>
      <c r="AJ158" s="38">
        <v>45860</v>
      </c>
      <c r="AL158" t="s">
        <v>5</v>
      </c>
      <c r="AN158" s="81">
        <v>0.59444444444444444</v>
      </c>
      <c r="AO158" s="81"/>
      <c r="AP158" s="48">
        <v>2870</v>
      </c>
      <c r="AQ158" t="s">
        <v>677</v>
      </c>
      <c r="AR158" s="38">
        <v>45861</v>
      </c>
    </row>
    <row r="159" spans="22:44" ht="16" x14ac:dyDescent="0.4">
      <c r="V159" s="97">
        <v>45854</v>
      </c>
      <c r="W159" s="16">
        <v>172046</v>
      </c>
      <c r="X159" s="101" t="s">
        <v>36</v>
      </c>
      <c r="Y159" s="105"/>
      <c r="Z159" s="102">
        <v>0.20064814814814813</v>
      </c>
      <c r="AA159" s="102">
        <v>0.11046296296296297</v>
      </c>
      <c r="AB159" s="16"/>
      <c r="AC159" s="16"/>
      <c r="AD159" s="93">
        <v>20572</v>
      </c>
      <c r="AE159" s="93">
        <f t="shared" si="28"/>
        <v>20.571999999999999</v>
      </c>
      <c r="AF159" s="16">
        <v>14.88</v>
      </c>
      <c r="AG159" s="103">
        <f t="shared" si="29"/>
        <v>14</v>
      </c>
      <c r="AH159" s="37">
        <f t="shared" si="30"/>
        <v>20.571999999999999</v>
      </c>
      <c r="AJ159" s="38">
        <v>45861</v>
      </c>
      <c r="AL159" t="s">
        <v>5</v>
      </c>
      <c r="AN159" s="81">
        <v>0.52083333333333337</v>
      </c>
      <c r="AO159" s="81">
        <v>0.55972222222222223</v>
      </c>
      <c r="AP159" s="48">
        <v>3140</v>
      </c>
      <c r="AQ159" s="39" t="s">
        <v>677</v>
      </c>
      <c r="AR159" s="38">
        <v>45861</v>
      </c>
    </row>
    <row r="160" spans="22:44" ht="16" x14ac:dyDescent="0.4">
      <c r="V160" s="97">
        <v>45854</v>
      </c>
      <c r="W160" s="16">
        <v>172063</v>
      </c>
      <c r="X160" s="101" t="s">
        <v>36</v>
      </c>
      <c r="Y160" s="105"/>
      <c r="Z160" s="102">
        <v>0.90025462962962965</v>
      </c>
      <c r="AA160" s="102">
        <v>0.16810185185185186</v>
      </c>
      <c r="AB160" s="16"/>
      <c r="AC160" s="16"/>
      <c r="AD160" s="93">
        <v>18740</v>
      </c>
      <c r="AE160" s="93">
        <f t="shared" si="28"/>
        <v>18.739999999999998</v>
      </c>
      <c r="AF160" s="16">
        <v>15.48</v>
      </c>
      <c r="AG160" s="103">
        <f t="shared" si="29"/>
        <v>14</v>
      </c>
      <c r="AH160" s="37">
        <f t="shared" si="30"/>
        <v>18.739999999999998</v>
      </c>
      <c r="AJ160" s="38">
        <v>45861</v>
      </c>
      <c r="AL160" t="s">
        <v>5</v>
      </c>
      <c r="AN160" s="81">
        <v>0.62430555555555556</v>
      </c>
      <c r="AO160" s="81">
        <v>0.48194444444444445</v>
      </c>
      <c r="AP160" s="48">
        <v>2686</v>
      </c>
      <c r="AQ160" t="s">
        <v>1485</v>
      </c>
      <c r="AR160" s="38">
        <v>45861</v>
      </c>
    </row>
    <row r="161" spans="22:44" ht="16" x14ac:dyDescent="0.4">
      <c r="V161" s="97">
        <v>45854</v>
      </c>
      <c r="W161" s="16">
        <v>172065</v>
      </c>
      <c r="X161" s="101" t="s">
        <v>36</v>
      </c>
      <c r="Y161" s="105"/>
      <c r="Z161" s="102">
        <v>0.68616898148148142</v>
      </c>
      <c r="AA161" s="102">
        <v>0.23006944444444444</v>
      </c>
      <c r="AB161" s="16"/>
      <c r="AC161" s="16"/>
      <c r="AD161" s="93">
        <v>19814</v>
      </c>
      <c r="AE161" s="93">
        <f t="shared" si="28"/>
        <v>19.814</v>
      </c>
      <c r="AF161" s="16">
        <v>15.55</v>
      </c>
      <c r="AG161" s="103">
        <f t="shared" si="29"/>
        <v>14</v>
      </c>
      <c r="AH161" s="37">
        <f t="shared" si="30"/>
        <v>19.814</v>
      </c>
      <c r="AJ161" s="38">
        <v>45861</v>
      </c>
      <c r="AL161" t="s">
        <v>5</v>
      </c>
      <c r="AN161" s="81">
        <v>0.62916666666666665</v>
      </c>
      <c r="AO161" s="81">
        <v>0.67222222222222217</v>
      </c>
      <c r="AP161" s="48">
        <v>4834</v>
      </c>
      <c r="AQ161" t="s">
        <v>677</v>
      </c>
      <c r="AR161" s="38">
        <v>45861</v>
      </c>
    </row>
    <row r="162" spans="22:44" ht="16" x14ac:dyDescent="0.4">
      <c r="V162" s="97">
        <v>45854</v>
      </c>
      <c r="W162" s="16">
        <v>172132</v>
      </c>
      <c r="X162" s="101" t="s">
        <v>36</v>
      </c>
      <c r="Y162" s="105"/>
      <c r="Z162" s="102">
        <v>0.9</v>
      </c>
      <c r="AA162" s="102">
        <v>0.32291666666666669</v>
      </c>
      <c r="AB162" s="16"/>
      <c r="AC162" s="16"/>
      <c r="AD162" s="93">
        <v>21008</v>
      </c>
      <c r="AE162" s="93">
        <f t="shared" si="28"/>
        <v>21.007999999999999</v>
      </c>
      <c r="AF162" s="16">
        <v>15.66</v>
      </c>
      <c r="AG162" s="103">
        <f t="shared" si="29"/>
        <v>14</v>
      </c>
      <c r="AH162" s="37">
        <f t="shared" si="30"/>
        <v>21.007999999999999</v>
      </c>
      <c r="AJ162" s="38">
        <v>45862</v>
      </c>
      <c r="AL162" t="s">
        <v>5</v>
      </c>
      <c r="AN162" s="81">
        <v>0.4777777777777778</v>
      </c>
      <c r="AO162" s="81">
        <v>0.4916666666666667</v>
      </c>
      <c r="AP162" s="48">
        <v>3092</v>
      </c>
      <c r="AQ162" t="s">
        <v>1485</v>
      </c>
      <c r="AR162" s="38">
        <v>45862</v>
      </c>
    </row>
    <row r="163" spans="22:44" ht="16" x14ac:dyDescent="0.4">
      <c r="V163" s="97">
        <v>45854</v>
      </c>
      <c r="W163" s="16">
        <v>172158</v>
      </c>
      <c r="X163" s="101" t="s">
        <v>36</v>
      </c>
      <c r="Y163" s="105"/>
      <c r="Z163" s="102">
        <v>0.14722222222222223</v>
      </c>
      <c r="AA163" s="102">
        <v>0.37291666666666662</v>
      </c>
      <c r="AB163" s="16"/>
      <c r="AC163" s="16"/>
      <c r="AD163" s="93">
        <v>21428</v>
      </c>
      <c r="AE163" s="93">
        <f t="shared" si="28"/>
        <v>21.428000000000001</v>
      </c>
      <c r="AF163" s="16">
        <v>14.41</v>
      </c>
      <c r="AG163" s="103">
        <f t="shared" si="29"/>
        <v>14</v>
      </c>
      <c r="AH163" s="37">
        <f t="shared" si="30"/>
        <v>21.428000000000001</v>
      </c>
      <c r="AJ163" s="38">
        <v>45862</v>
      </c>
      <c r="AL163" t="s">
        <v>5</v>
      </c>
      <c r="AN163" s="81">
        <v>0.49236111111111108</v>
      </c>
      <c r="AO163" s="81">
        <v>0.41805555555555557</v>
      </c>
      <c r="AP163" s="48">
        <v>2120</v>
      </c>
      <c r="AQ163" t="s">
        <v>1486</v>
      </c>
      <c r="AR163" s="38">
        <v>45862</v>
      </c>
    </row>
    <row r="164" spans="22:44" ht="16" x14ac:dyDescent="0.4">
      <c r="V164" s="97">
        <v>45854</v>
      </c>
      <c r="W164" s="16">
        <v>172245</v>
      </c>
      <c r="X164" s="101" t="s">
        <v>36</v>
      </c>
      <c r="Y164" s="105"/>
      <c r="Z164" s="102">
        <v>0.45555555555555555</v>
      </c>
      <c r="AA164" s="102">
        <v>0.46458333333333335</v>
      </c>
      <c r="AB164" s="16"/>
      <c r="AC164" s="16"/>
      <c r="AD164" s="93">
        <v>22204</v>
      </c>
      <c r="AE164" s="93">
        <f t="shared" si="28"/>
        <v>22.204000000000001</v>
      </c>
      <c r="AF164" s="16">
        <v>15.06</v>
      </c>
      <c r="AG164" s="103">
        <f t="shared" si="29"/>
        <v>14</v>
      </c>
      <c r="AH164" s="37">
        <f t="shared" si="30"/>
        <v>22.204000000000001</v>
      </c>
      <c r="AJ164" s="38">
        <v>45862</v>
      </c>
      <c r="AL164" t="s">
        <v>5</v>
      </c>
      <c r="AN164" s="39">
        <v>0.3576388888888889</v>
      </c>
      <c r="AO164" s="39">
        <v>0.39652777777777781</v>
      </c>
      <c r="AP164" s="48">
        <v>3542</v>
      </c>
      <c r="AR164" s="38">
        <v>45862</v>
      </c>
    </row>
    <row r="165" spans="22:44" ht="16" x14ac:dyDescent="0.4">
      <c r="V165" s="97">
        <v>45854</v>
      </c>
      <c r="W165" s="16">
        <v>172289</v>
      </c>
      <c r="X165" s="101" t="s">
        <v>36</v>
      </c>
      <c r="Y165" s="105"/>
      <c r="Z165" s="102">
        <v>0.14722222222222223</v>
      </c>
      <c r="AA165" s="102">
        <v>0.54166666666666663</v>
      </c>
      <c r="AB165" s="16"/>
      <c r="AC165" s="16"/>
      <c r="AD165" s="93">
        <v>20380</v>
      </c>
      <c r="AE165" s="93">
        <f t="shared" si="28"/>
        <v>20.38</v>
      </c>
      <c r="AF165" s="16">
        <v>15.52</v>
      </c>
      <c r="AG165" s="103">
        <f t="shared" si="29"/>
        <v>14</v>
      </c>
      <c r="AH165" s="37">
        <f t="shared" si="30"/>
        <v>20.38</v>
      </c>
      <c r="AJ165" s="38">
        <v>45862</v>
      </c>
      <c r="AL165" t="s">
        <v>5</v>
      </c>
      <c r="AN165" s="39">
        <v>0.66527777777777775</v>
      </c>
      <c r="AO165" s="39"/>
      <c r="AP165" s="48">
        <v>3160</v>
      </c>
      <c r="AQ165" t="s">
        <v>1486</v>
      </c>
      <c r="AR165" s="38">
        <v>45862</v>
      </c>
    </row>
    <row r="166" spans="22:44" ht="16" x14ac:dyDescent="0.4">
      <c r="V166" s="97">
        <v>45854</v>
      </c>
      <c r="W166" s="16">
        <v>172352</v>
      </c>
      <c r="X166" s="101" t="s">
        <v>36</v>
      </c>
      <c r="Y166" s="105"/>
      <c r="Z166" s="102">
        <v>0.52500000000000002</v>
      </c>
      <c r="AA166" s="102">
        <v>0.61875000000000002</v>
      </c>
      <c r="AB166" s="16"/>
      <c r="AC166" s="16"/>
      <c r="AD166" s="93">
        <v>19280</v>
      </c>
      <c r="AE166" s="93">
        <f t="shared" si="28"/>
        <v>19.28</v>
      </c>
      <c r="AF166" s="16">
        <v>14.59</v>
      </c>
      <c r="AG166" s="103">
        <f t="shared" si="29"/>
        <v>14</v>
      </c>
      <c r="AH166" s="37">
        <f t="shared" si="30"/>
        <v>19.28</v>
      </c>
      <c r="AJ166" s="38">
        <v>45862</v>
      </c>
      <c r="AL166" t="s">
        <v>5</v>
      </c>
      <c r="AN166" s="39">
        <v>0.4145833333333333</v>
      </c>
      <c r="AO166" s="39">
        <v>0.55138888888888882</v>
      </c>
      <c r="AP166" s="48">
        <v>2868</v>
      </c>
      <c r="AQ166" t="s">
        <v>1482</v>
      </c>
      <c r="AR166" s="38">
        <v>45862</v>
      </c>
    </row>
    <row r="167" spans="22:44" ht="16" x14ac:dyDescent="0.4">
      <c r="V167" s="97">
        <v>45854</v>
      </c>
      <c r="W167" s="16">
        <v>172400</v>
      </c>
      <c r="X167" s="101" t="s">
        <v>36</v>
      </c>
      <c r="Y167" s="105"/>
      <c r="Z167" s="102">
        <v>0.60277777777777775</v>
      </c>
      <c r="AA167" s="102">
        <v>0.68194444444444446</v>
      </c>
      <c r="AB167" s="16"/>
      <c r="AC167" s="16"/>
      <c r="AD167" s="93">
        <v>19222</v>
      </c>
      <c r="AE167" s="93">
        <f t="shared" si="28"/>
        <v>19.222000000000001</v>
      </c>
      <c r="AF167" s="16">
        <v>14.49</v>
      </c>
      <c r="AG167" s="103">
        <f t="shared" si="29"/>
        <v>14</v>
      </c>
      <c r="AH167" s="37">
        <f t="shared" si="30"/>
        <v>19.222000000000001</v>
      </c>
      <c r="AJ167" s="38">
        <v>45862</v>
      </c>
      <c r="AL167" t="s">
        <v>5</v>
      </c>
      <c r="AN167" s="39">
        <v>0.3979166666666667</v>
      </c>
      <c r="AO167" s="39">
        <v>0.41388888888888892</v>
      </c>
      <c r="AP167" s="48">
        <v>3064</v>
      </c>
      <c r="AQ167" t="s">
        <v>1482</v>
      </c>
      <c r="AR167" s="38">
        <v>45862</v>
      </c>
    </row>
    <row r="168" spans="22:44" ht="16" x14ac:dyDescent="0.4">
      <c r="V168" s="97">
        <v>45854</v>
      </c>
      <c r="W168" s="16">
        <v>172430</v>
      </c>
      <c r="X168" s="101" t="s">
        <v>36</v>
      </c>
      <c r="Y168" s="105"/>
      <c r="Z168" s="102">
        <v>0.52500000000000002</v>
      </c>
      <c r="AA168" s="102">
        <v>0.73749999999999993</v>
      </c>
      <c r="AB168" s="16"/>
      <c r="AC168" s="16"/>
      <c r="AD168" s="93">
        <v>18682</v>
      </c>
      <c r="AE168" s="93">
        <f t="shared" si="28"/>
        <v>18.681999999999999</v>
      </c>
      <c r="AF168" s="16">
        <v>14.43</v>
      </c>
      <c r="AG168" s="103">
        <f t="shared" si="29"/>
        <v>14</v>
      </c>
      <c r="AH168" s="37">
        <f t="shared" si="30"/>
        <v>18.681999999999999</v>
      </c>
      <c r="AJ168" s="38">
        <v>45863</v>
      </c>
      <c r="AL168" t="s">
        <v>5</v>
      </c>
      <c r="AN168" s="39">
        <v>0.42708333333333331</v>
      </c>
      <c r="AO168" s="39">
        <v>0.53819444444444442</v>
      </c>
      <c r="AP168" s="48">
        <v>1624</v>
      </c>
      <c r="AQ168" t="s">
        <v>1487</v>
      </c>
      <c r="AR168" s="38">
        <v>45863</v>
      </c>
    </row>
    <row r="169" spans="22:44" ht="16" x14ac:dyDescent="0.4">
      <c r="V169" s="97">
        <v>45854</v>
      </c>
      <c r="W169" s="16">
        <v>172465</v>
      </c>
      <c r="X169" s="101" t="s">
        <v>36</v>
      </c>
      <c r="Y169" s="105"/>
      <c r="Z169" s="102">
        <v>0.73151620370370374</v>
      </c>
      <c r="AA169" s="102">
        <v>0.83097222222222233</v>
      </c>
      <c r="AB169" s="16"/>
      <c r="AC169" s="16"/>
      <c r="AD169" s="93">
        <v>21024</v>
      </c>
      <c r="AE169" s="93">
        <f t="shared" si="28"/>
        <v>21.024000000000001</v>
      </c>
      <c r="AF169" s="16">
        <v>14.24</v>
      </c>
      <c r="AG169" s="103">
        <f t="shared" si="29"/>
        <v>14</v>
      </c>
      <c r="AH169" s="37">
        <f t="shared" si="30"/>
        <v>21.024000000000001</v>
      </c>
      <c r="AJ169" s="38">
        <v>45863</v>
      </c>
      <c r="AL169" t="s">
        <v>5</v>
      </c>
      <c r="AN169" s="39">
        <v>0.41111111111111115</v>
      </c>
      <c r="AO169" s="39">
        <v>0.42708333333333331</v>
      </c>
      <c r="AP169" s="48">
        <v>2906</v>
      </c>
      <c r="AQ169" t="s">
        <v>1487</v>
      </c>
      <c r="AR169" s="38">
        <v>45863</v>
      </c>
    </row>
    <row r="170" spans="22:44" ht="16" x14ac:dyDescent="0.4">
      <c r="V170" s="97">
        <v>45854</v>
      </c>
      <c r="W170" s="16">
        <v>172502</v>
      </c>
      <c r="X170" s="101" t="s">
        <v>36</v>
      </c>
      <c r="Y170" s="105"/>
      <c r="Z170" s="102">
        <v>0.52554398148148151</v>
      </c>
      <c r="AA170" s="102">
        <v>0.89812499999999995</v>
      </c>
      <c r="AB170" s="16"/>
      <c r="AC170" s="16"/>
      <c r="AD170" s="93">
        <v>21374</v>
      </c>
      <c r="AE170" s="93">
        <f t="shared" si="28"/>
        <v>21.373999999999999</v>
      </c>
      <c r="AF170" s="16">
        <v>13.13</v>
      </c>
      <c r="AG170" s="103">
        <f t="shared" si="29"/>
        <v>13.13</v>
      </c>
      <c r="AH170" s="37">
        <f t="shared" si="30"/>
        <v>20.045758571428571</v>
      </c>
      <c r="AJ170" s="38">
        <v>45863</v>
      </c>
      <c r="AL170" t="s">
        <v>5</v>
      </c>
      <c r="AN170" s="39">
        <v>0.51527777777777783</v>
      </c>
      <c r="AO170" s="39">
        <v>0.54513888888888895</v>
      </c>
      <c r="AP170" s="48">
        <v>3104</v>
      </c>
      <c r="AQ170" t="s">
        <v>1488</v>
      </c>
      <c r="AR170" s="38">
        <v>45863</v>
      </c>
    </row>
    <row r="171" spans="22:44" ht="16" x14ac:dyDescent="0.4">
      <c r="V171" s="97">
        <v>45854</v>
      </c>
      <c r="W171" s="16">
        <v>172542</v>
      </c>
      <c r="X171" s="101" t="s">
        <v>36</v>
      </c>
      <c r="Y171" s="105"/>
      <c r="Z171" s="102">
        <v>0.6036921296296297</v>
      </c>
      <c r="AA171" s="102">
        <v>0.99075231481481474</v>
      </c>
      <c r="AB171" s="16"/>
      <c r="AC171" s="16"/>
      <c r="AD171" s="93">
        <v>21634</v>
      </c>
      <c r="AE171" s="93">
        <f t="shared" si="28"/>
        <v>21.634</v>
      </c>
      <c r="AF171" s="16">
        <v>13.99</v>
      </c>
      <c r="AG171" s="103">
        <f t="shared" si="29"/>
        <v>13.99</v>
      </c>
      <c r="AH171" s="37">
        <f t="shared" si="30"/>
        <v>21.618547142857146</v>
      </c>
      <c r="AJ171" s="38">
        <v>45863</v>
      </c>
      <c r="AL171" t="s">
        <v>5</v>
      </c>
      <c r="AN171" s="39">
        <v>0.66666666666666663</v>
      </c>
      <c r="AO171" s="39">
        <v>0.6777777777777777</v>
      </c>
      <c r="AP171" s="48">
        <v>3202</v>
      </c>
      <c r="AQ171" t="s">
        <v>1489</v>
      </c>
      <c r="AR171" s="38">
        <v>45863</v>
      </c>
    </row>
    <row r="172" spans="22:44" ht="16" x14ac:dyDescent="0.4">
      <c r="V172" s="97">
        <v>45855</v>
      </c>
      <c r="W172" s="16">
        <v>172551</v>
      </c>
      <c r="X172" s="101" t="s">
        <v>36</v>
      </c>
      <c r="Y172" s="105"/>
      <c r="Z172" s="102">
        <v>0.9343055555555555</v>
      </c>
      <c r="AA172" s="102">
        <v>6.115740740740741E-2</v>
      </c>
      <c r="AB172" s="16"/>
      <c r="AC172" s="16"/>
      <c r="AD172" s="93">
        <v>20236</v>
      </c>
      <c r="AE172" s="93">
        <f t="shared" si="28"/>
        <v>20.236000000000001</v>
      </c>
      <c r="AF172" s="16">
        <v>14.56</v>
      </c>
      <c r="AG172" s="103">
        <f t="shared" si="29"/>
        <v>14</v>
      </c>
      <c r="AH172" s="37">
        <f t="shared" si="30"/>
        <v>20.236000000000001</v>
      </c>
      <c r="AJ172" s="38">
        <v>45864</v>
      </c>
      <c r="AL172" t="s">
        <v>5</v>
      </c>
      <c r="AN172" s="39">
        <v>0.43888888888888888</v>
      </c>
      <c r="AO172" s="39">
        <v>0.39583333333333331</v>
      </c>
      <c r="AP172" s="48">
        <v>3056</v>
      </c>
      <c r="AQ172" t="s">
        <v>1490</v>
      </c>
      <c r="AR172" s="38">
        <v>45864</v>
      </c>
    </row>
    <row r="173" spans="22:44" ht="16" x14ac:dyDescent="0.4">
      <c r="V173" s="97">
        <v>45855</v>
      </c>
      <c r="W173" s="16">
        <v>172563</v>
      </c>
      <c r="X173" s="101" t="s">
        <v>36</v>
      </c>
      <c r="Y173" s="105"/>
      <c r="Z173" s="102">
        <v>0.60342592592592592</v>
      </c>
      <c r="AA173" s="102">
        <v>0.12262731481481481</v>
      </c>
      <c r="AB173" s="16"/>
      <c r="AC173" s="16"/>
      <c r="AD173" s="93">
        <v>18388</v>
      </c>
      <c r="AE173" s="93">
        <f t="shared" si="28"/>
        <v>18.388000000000002</v>
      </c>
      <c r="AF173" s="16">
        <v>15.24</v>
      </c>
      <c r="AG173" s="103">
        <f t="shared" si="29"/>
        <v>14</v>
      </c>
      <c r="AH173" s="37">
        <f t="shared" si="30"/>
        <v>18.388000000000002</v>
      </c>
      <c r="AJ173" s="38">
        <v>45864</v>
      </c>
      <c r="AL173" t="s">
        <v>5</v>
      </c>
      <c r="AN173" s="39">
        <v>0.67847222222222225</v>
      </c>
      <c r="AO173" s="39">
        <v>0.4597222222222222</v>
      </c>
      <c r="AP173" s="48">
        <v>3976</v>
      </c>
      <c r="AQ173" t="s">
        <v>1489</v>
      </c>
      <c r="AR173" s="38">
        <v>45864</v>
      </c>
    </row>
    <row r="174" spans="22:44" ht="16" x14ac:dyDescent="0.4">
      <c r="V174" s="97">
        <v>45855</v>
      </c>
      <c r="W174" s="16">
        <v>172573</v>
      </c>
      <c r="X174" s="101" t="s">
        <v>36</v>
      </c>
      <c r="Y174" s="105"/>
      <c r="Z174" s="102">
        <v>0.93440972222222218</v>
      </c>
      <c r="AA174" s="102">
        <v>0.17988425925925924</v>
      </c>
      <c r="AB174" s="16"/>
      <c r="AC174" s="16"/>
      <c r="AD174" s="93">
        <v>19456</v>
      </c>
      <c r="AE174" s="93">
        <f t="shared" si="28"/>
        <v>19.456</v>
      </c>
      <c r="AF174" s="16">
        <v>15.91</v>
      </c>
      <c r="AG174" s="103">
        <f t="shared" si="29"/>
        <v>14</v>
      </c>
      <c r="AH174" s="37">
        <f t="shared" si="30"/>
        <v>19.456</v>
      </c>
      <c r="AJ174" s="38">
        <v>45864</v>
      </c>
      <c r="AL174" t="s">
        <v>5</v>
      </c>
      <c r="AN174" s="39">
        <v>0.53194444444444444</v>
      </c>
      <c r="AO174" s="39">
        <v>0.54652777777777783</v>
      </c>
      <c r="AP174" s="48">
        <v>3056</v>
      </c>
      <c r="AQ174" t="s">
        <v>1491</v>
      </c>
      <c r="AR174" s="38">
        <v>45864</v>
      </c>
    </row>
    <row r="175" spans="22:44" ht="16" x14ac:dyDescent="0.4">
      <c r="V175" s="97">
        <v>45855</v>
      </c>
      <c r="W175" s="16">
        <v>172584</v>
      </c>
      <c r="X175" s="101" t="s">
        <v>36</v>
      </c>
      <c r="Y175" s="105"/>
      <c r="Z175" s="102">
        <v>0.16924768518518518</v>
      </c>
      <c r="AA175" s="102">
        <v>0.22839120370370369</v>
      </c>
      <c r="AB175" s="16"/>
      <c r="AC175" s="16"/>
      <c r="AD175" s="93">
        <v>17842</v>
      </c>
      <c r="AE175" s="93">
        <f t="shared" si="28"/>
        <v>17.841999999999999</v>
      </c>
      <c r="AF175" s="16">
        <v>14.59</v>
      </c>
      <c r="AG175" s="103">
        <f t="shared" si="29"/>
        <v>14</v>
      </c>
      <c r="AH175" s="37">
        <f t="shared" si="30"/>
        <v>17.841999999999999</v>
      </c>
      <c r="AJ175" s="38">
        <v>45864</v>
      </c>
      <c r="AL175" t="s">
        <v>5</v>
      </c>
      <c r="AN175" s="39">
        <v>0.63124999999999998</v>
      </c>
      <c r="AO175" s="39">
        <v>0.61111111111111105</v>
      </c>
      <c r="AP175" s="48">
        <v>3562</v>
      </c>
      <c r="AQ175" t="s">
        <v>1492</v>
      </c>
      <c r="AR175" s="38">
        <v>45864</v>
      </c>
    </row>
    <row r="176" spans="22:44" ht="16" x14ac:dyDescent="0.4">
      <c r="V176" s="97">
        <v>45855</v>
      </c>
      <c r="W176" s="16">
        <v>172618</v>
      </c>
      <c r="X176" s="101" t="s">
        <v>36</v>
      </c>
      <c r="Y176" s="105"/>
      <c r="Z176" s="102">
        <v>0.93402777777777779</v>
      </c>
      <c r="AA176" s="102">
        <v>0.28541666666666665</v>
      </c>
      <c r="AB176" s="16"/>
      <c r="AC176" s="16"/>
      <c r="AD176" s="93">
        <v>21242</v>
      </c>
      <c r="AE176" s="93">
        <f t="shared" si="28"/>
        <v>21.242000000000001</v>
      </c>
      <c r="AF176" s="16">
        <v>15.02</v>
      </c>
      <c r="AG176" s="103">
        <f t="shared" si="29"/>
        <v>14</v>
      </c>
      <c r="AH176" s="37">
        <f t="shared" si="30"/>
        <v>21.242000000000001</v>
      </c>
      <c r="AJ176" s="38">
        <v>45864</v>
      </c>
      <c r="AL176" t="s">
        <v>5</v>
      </c>
      <c r="AN176" s="39">
        <v>0.6118055555555556</v>
      </c>
      <c r="AO176" s="39">
        <v>0.63055555555555554</v>
      </c>
      <c r="AP176" s="48">
        <v>3826</v>
      </c>
      <c r="AQ176" t="s">
        <v>1493</v>
      </c>
      <c r="AR176" s="38">
        <v>45864</v>
      </c>
    </row>
    <row r="177" spans="22:45" ht="16" x14ac:dyDescent="0.4">
      <c r="V177" s="97">
        <v>45855</v>
      </c>
      <c r="W177" s="16">
        <v>172898</v>
      </c>
      <c r="X177" s="101" t="s">
        <v>36</v>
      </c>
      <c r="Y177" s="105"/>
      <c r="Z177" s="102">
        <v>0.28402777777777777</v>
      </c>
      <c r="AA177" s="102">
        <v>0.65416666666666667</v>
      </c>
      <c r="AB177" s="16"/>
      <c r="AC177" s="16"/>
      <c r="AD177" s="93">
        <v>17368</v>
      </c>
      <c r="AE177" s="93">
        <f t="shared" si="28"/>
        <v>17.367999999999999</v>
      </c>
      <c r="AF177" s="16">
        <v>12.88</v>
      </c>
      <c r="AG177" s="103">
        <f t="shared" si="29"/>
        <v>12.88</v>
      </c>
      <c r="AH177" s="37">
        <f t="shared" si="30"/>
        <v>15.97856</v>
      </c>
      <c r="AJ177" s="38">
        <v>45864</v>
      </c>
      <c r="AL177" t="s">
        <v>5</v>
      </c>
      <c r="AN177" s="39">
        <v>0.57222222222222219</v>
      </c>
      <c r="AO177" s="39">
        <v>0.6020833333333333</v>
      </c>
      <c r="AP177" s="48">
        <v>2912</v>
      </c>
      <c r="AQ177" t="s">
        <v>1494</v>
      </c>
      <c r="AR177" s="38">
        <v>45864</v>
      </c>
    </row>
    <row r="178" spans="22:45" ht="16" x14ac:dyDescent="0.4">
      <c r="V178" s="97">
        <v>45856</v>
      </c>
      <c r="W178" s="16">
        <v>173144</v>
      </c>
      <c r="X178" s="101" t="s">
        <v>36</v>
      </c>
      <c r="Y178" s="105"/>
      <c r="Z178" s="102">
        <v>0.39374999999999999</v>
      </c>
      <c r="AA178" s="102">
        <v>0.32222222222222224</v>
      </c>
      <c r="AB178" s="16"/>
      <c r="AC178" s="16"/>
      <c r="AD178" s="93">
        <v>9344</v>
      </c>
      <c r="AE178" s="93">
        <f t="shared" si="28"/>
        <v>9.3439999999999994</v>
      </c>
      <c r="AF178" s="16">
        <v>11.05</v>
      </c>
      <c r="AG178" s="103">
        <f t="shared" si="29"/>
        <v>11.05</v>
      </c>
      <c r="AH178" s="37">
        <f t="shared" si="30"/>
        <v>7.3750857142857145</v>
      </c>
      <c r="AJ178" s="38">
        <v>45863</v>
      </c>
      <c r="AL178" t="s">
        <v>5</v>
      </c>
      <c r="AN178" s="39">
        <v>0.42430555555555555</v>
      </c>
      <c r="AO178" s="39">
        <v>0.43888888888888888</v>
      </c>
      <c r="AP178" s="48">
        <v>3014</v>
      </c>
      <c r="AQ178" t="s">
        <v>1482</v>
      </c>
      <c r="AR178" s="38">
        <v>45864</v>
      </c>
    </row>
    <row r="179" spans="22:45" ht="16" x14ac:dyDescent="0.4">
      <c r="V179" s="97">
        <v>45856</v>
      </c>
      <c r="W179" s="16">
        <v>173199</v>
      </c>
      <c r="X179" s="101" t="s">
        <v>36</v>
      </c>
      <c r="Y179" s="105"/>
      <c r="Z179" s="102">
        <v>0.16944444444444443</v>
      </c>
      <c r="AA179" s="102">
        <v>0.3888888888888889</v>
      </c>
      <c r="AB179" s="16"/>
      <c r="AC179" s="16"/>
      <c r="AD179" s="93">
        <v>21784</v>
      </c>
      <c r="AE179" s="93">
        <f t="shared" si="28"/>
        <v>21.783999999999999</v>
      </c>
      <c r="AF179" s="16">
        <v>15.48</v>
      </c>
      <c r="AG179" s="103">
        <f t="shared" si="29"/>
        <v>14</v>
      </c>
      <c r="AH179" s="37">
        <f t="shared" si="30"/>
        <v>21.783999999999999</v>
      </c>
      <c r="AJ179" s="38">
        <v>45866</v>
      </c>
      <c r="AL179" s="16" t="s">
        <v>5</v>
      </c>
      <c r="AN179" s="39">
        <v>0.57133101851851853</v>
      </c>
      <c r="AO179" s="39"/>
      <c r="AP179" s="48">
        <v>1350</v>
      </c>
      <c r="AQ179" t="s">
        <v>1495</v>
      </c>
      <c r="AR179" s="38">
        <v>45864</v>
      </c>
    </row>
    <row r="180" spans="22:45" ht="16" x14ac:dyDescent="0.4">
      <c r="V180" s="97">
        <v>45856</v>
      </c>
      <c r="W180" s="16">
        <v>173271</v>
      </c>
      <c r="X180" s="101" t="s">
        <v>36</v>
      </c>
      <c r="Y180" s="105"/>
      <c r="Z180" s="102">
        <v>0.39374999999999999</v>
      </c>
      <c r="AA180" s="102">
        <v>0.47916666666666669</v>
      </c>
      <c r="AB180" s="16"/>
      <c r="AC180" s="16"/>
      <c r="AD180" s="93">
        <v>21692</v>
      </c>
      <c r="AE180" s="93">
        <f t="shared" si="28"/>
        <v>21.692</v>
      </c>
      <c r="AF180" s="16">
        <v>14.69</v>
      </c>
      <c r="AG180" s="103">
        <f t="shared" si="29"/>
        <v>14</v>
      </c>
      <c r="AH180" s="37">
        <f t="shared" si="30"/>
        <v>21.692</v>
      </c>
      <c r="AJ180" s="38">
        <v>45867</v>
      </c>
      <c r="AL180" s="16" t="s">
        <v>5</v>
      </c>
      <c r="AN180" s="39">
        <v>0.41487268518518516</v>
      </c>
      <c r="AO180" s="39">
        <v>0.44216435185185188</v>
      </c>
      <c r="AP180" s="48">
        <v>3640</v>
      </c>
      <c r="AQ180" t="s">
        <v>1496</v>
      </c>
      <c r="AR180" s="38">
        <v>45867</v>
      </c>
    </row>
    <row r="181" spans="22:45" ht="16" x14ac:dyDescent="0.4">
      <c r="V181" s="97">
        <v>45856</v>
      </c>
      <c r="W181" s="16">
        <v>173317</v>
      </c>
      <c r="X181" s="101" t="s">
        <v>36</v>
      </c>
      <c r="Y181" s="105"/>
      <c r="Z181" s="102">
        <v>0.28402777777777777</v>
      </c>
      <c r="AA181" s="102">
        <v>0.55069444444444449</v>
      </c>
      <c r="AB181" s="16"/>
      <c r="AC181" s="16"/>
      <c r="AD181" s="93">
        <v>21546</v>
      </c>
      <c r="AE181" s="93">
        <f t="shared" si="28"/>
        <v>21.545999999999999</v>
      </c>
      <c r="AF181" s="16">
        <v>15.24</v>
      </c>
      <c r="AG181" s="103">
        <f t="shared" si="29"/>
        <v>14</v>
      </c>
      <c r="AH181" s="37">
        <f t="shared" si="30"/>
        <v>21.545999999999999</v>
      </c>
      <c r="AJ181" s="38">
        <v>45867</v>
      </c>
      <c r="AK181">
        <v>177283</v>
      </c>
      <c r="AL181" s="16" t="s">
        <v>5</v>
      </c>
      <c r="AN181" s="39">
        <v>0.40743055555555557</v>
      </c>
      <c r="AO181" s="39"/>
      <c r="AP181" s="48">
        <v>5036</v>
      </c>
      <c r="AQ181" t="s">
        <v>1442</v>
      </c>
      <c r="AR181" s="38">
        <v>45867</v>
      </c>
    </row>
    <row r="182" spans="22:45" ht="16" x14ac:dyDescent="0.4">
      <c r="V182" s="97">
        <v>45856</v>
      </c>
      <c r="W182" s="16">
        <v>173356</v>
      </c>
      <c r="X182" s="101" t="s">
        <v>36</v>
      </c>
      <c r="Y182" s="105"/>
      <c r="Z182" s="102">
        <v>0.52500000000000002</v>
      </c>
      <c r="AA182" s="102">
        <v>0.61249999999999993</v>
      </c>
      <c r="AB182" s="16"/>
      <c r="AC182" s="16"/>
      <c r="AD182" s="93">
        <v>20874</v>
      </c>
      <c r="AE182" s="93">
        <f t="shared" si="28"/>
        <v>20.873999999999999</v>
      </c>
      <c r="AF182" s="16">
        <v>14.37</v>
      </c>
      <c r="AG182" s="103">
        <f t="shared" si="29"/>
        <v>14</v>
      </c>
      <c r="AH182" s="37">
        <f t="shared" si="30"/>
        <v>20.873999999999999</v>
      </c>
      <c r="AJ182" s="38">
        <v>45867</v>
      </c>
      <c r="AK182">
        <v>177280</v>
      </c>
      <c r="AL182" s="16" t="s">
        <v>5</v>
      </c>
      <c r="AN182" s="39">
        <v>0.41317129629629629</v>
      </c>
      <c r="AO182" s="39"/>
      <c r="AP182" s="48">
        <v>4988</v>
      </c>
      <c r="AQ182" t="s">
        <v>1442</v>
      </c>
      <c r="AR182" s="38">
        <v>45867</v>
      </c>
    </row>
    <row r="183" spans="22:45" ht="16" x14ac:dyDescent="0.4">
      <c r="V183" s="97">
        <v>45856</v>
      </c>
      <c r="W183" s="16">
        <v>173393</v>
      </c>
      <c r="X183" s="101" t="s">
        <v>36</v>
      </c>
      <c r="Y183" s="105"/>
      <c r="Z183" s="102">
        <v>0.60277777777777775</v>
      </c>
      <c r="AA183" s="102">
        <v>0.67361111111111116</v>
      </c>
      <c r="AB183" s="16"/>
      <c r="AC183" s="16"/>
      <c r="AD183" s="93">
        <v>17558</v>
      </c>
      <c r="AE183" s="93">
        <f t="shared" si="28"/>
        <v>17.558</v>
      </c>
      <c r="AF183" s="16">
        <v>14.27</v>
      </c>
      <c r="AG183" s="103">
        <f t="shared" si="29"/>
        <v>14</v>
      </c>
      <c r="AH183" s="37">
        <f t="shared" si="30"/>
        <v>17.558</v>
      </c>
      <c r="AJ183" s="38">
        <v>45867</v>
      </c>
      <c r="AK183">
        <v>177301</v>
      </c>
      <c r="AL183" s="16" t="s">
        <v>5</v>
      </c>
      <c r="AN183" s="39">
        <v>0.40171296296296299</v>
      </c>
      <c r="AO183" s="39"/>
      <c r="AP183" s="48">
        <v>4344</v>
      </c>
      <c r="AQ183" t="s">
        <v>1442</v>
      </c>
      <c r="AR183" s="38">
        <v>45867</v>
      </c>
    </row>
    <row r="184" spans="22:45" ht="16" x14ac:dyDescent="0.4">
      <c r="V184" s="97">
        <v>45856</v>
      </c>
      <c r="W184" s="16">
        <v>173459</v>
      </c>
      <c r="X184" s="101" t="s">
        <v>36</v>
      </c>
      <c r="Y184" s="105"/>
      <c r="Z184" s="102">
        <v>0.52956018518518522</v>
      </c>
      <c r="AA184" s="102">
        <v>0.83681712962962962</v>
      </c>
      <c r="AB184" s="16"/>
      <c r="AC184" s="16"/>
      <c r="AD184" s="93">
        <v>21042</v>
      </c>
      <c r="AE184" s="93">
        <f t="shared" si="28"/>
        <v>21.042000000000002</v>
      </c>
      <c r="AF184" s="16">
        <v>14.52</v>
      </c>
      <c r="AG184" s="103">
        <f t="shared" si="29"/>
        <v>14</v>
      </c>
      <c r="AH184" s="37">
        <f t="shared" si="30"/>
        <v>21.042000000000002</v>
      </c>
      <c r="AJ184" s="38">
        <v>45867</v>
      </c>
      <c r="AL184" s="16" t="s">
        <v>5</v>
      </c>
      <c r="AN184" s="39">
        <v>0.58458333333333334</v>
      </c>
      <c r="AO184" s="39">
        <v>0.54944444444444451</v>
      </c>
      <c r="AP184" s="48">
        <v>2870</v>
      </c>
      <c r="AQ184" t="s">
        <v>1497</v>
      </c>
      <c r="AR184" s="38">
        <v>45867</v>
      </c>
      <c r="AS184" s="49"/>
    </row>
    <row r="185" spans="22:45" ht="16" x14ac:dyDescent="0.4">
      <c r="V185" s="97">
        <v>45856</v>
      </c>
      <c r="W185" s="16">
        <v>173492</v>
      </c>
      <c r="X185" s="101" t="s">
        <v>36</v>
      </c>
      <c r="Y185" s="105"/>
      <c r="Z185" s="102">
        <v>0.91222222222222227</v>
      </c>
      <c r="AA185" s="102"/>
      <c r="AB185" s="16"/>
      <c r="AC185" s="16"/>
      <c r="AD185" s="93">
        <v>20998</v>
      </c>
      <c r="AE185" s="93">
        <f t="shared" si="28"/>
        <v>20.998000000000001</v>
      </c>
      <c r="AF185" s="16">
        <v>14.59</v>
      </c>
      <c r="AG185" s="103">
        <f t="shared" si="29"/>
        <v>14</v>
      </c>
      <c r="AH185" s="37">
        <f t="shared" si="30"/>
        <v>20.998000000000001</v>
      </c>
      <c r="AJ185" s="38">
        <v>45868</v>
      </c>
      <c r="AL185" s="16" t="s">
        <v>5</v>
      </c>
      <c r="AN185" s="39">
        <v>0.56527777777777777</v>
      </c>
      <c r="AO185" s="39">
        <v>0.58178240740740739</v>
      </c>
      <c r="AP185" s="48">
        <v>3014</v>
      </c>
      <c r="AQ185" t="s">
        <v>1498</v>
      </c>
      <c r="AR185" s="38">
        <v>45868</v>
      </c>
      <c r="AS185" s="49"/>
    </row>
    <row r="186" spans="22:45" ht="16" x14ac:dyDescent="0.4">
      <c r="V186" s="97">
        <v>45857</v>
      </c>
      <c r="W186" s="16">
        <v>173513</v>
      </c>
      <c r="X186" s="101" t="s">
        <v>36</v>
      </c>
      <c r="Y186" s="105"/>
      <c r="Z186" s="102">
        <v>0.52940972222222216</v>
      </c>
      <c r="AA186" s="102">
        <v>8.2986111111111108E-3</v>
      </c>
      <c r="AB186" s="16"/>
      <c r="AC186" s="16"/>
      <c r="AD186" s="93">
        <v>21534</v>
      </c>
      <c r="AE186" s="93">
        <f t="shared" si="28"/>
        <v>21.533999999999999</v>
      </c>
      <c r="AF186" s="16">
        <v>14.62</v>
      </c>
      <c r="AG186" s="103">
        <f t="shared" si="29"/>
        <v>14</v>
      </c>
      <c r="AH186" s="37">
        <f t="shared" si="30"/>
        <v>21.533999999999999</v>
      </c>
      <c r="AJ186" s="38">
        <v>45868</v>
      </c>
      <c r="AL186" s="16" t="s">
        <v>5</v>
      </c>
      <c r="AN186" s="39">
        <v>0.46296296296296297</v>
      </c>
      <c r="AO186" s="39"/>
      <c r="AP186" s="48">
        <v>4886</v>
      </c>
      <c r="AQ186" t="s">
        <v>1436</v>
      </c>
      <c r="AR186" s="38">
        <v>45868</v>
      </c>
      <c r="AS186" s="49"/>
    </row>
    <row r="187" spans="22:45" ht="16" x14ac:dyDescent="0.4">
      <c r="V187" s="97">
        <v>45857</v>
      </c>
      <c r="W187" s="16">
        <v>173531</v>
      </c>
      <c r="X187" s="101" t="s">
        <v>36</v>
      </c>
      <c r="Y187" s="105"/>
      <c r="Z187" s="102">
        <v>0.76395833333333341</v>
      </c>
      <c r="AA187" s="102">
        <v>7.631944444444444E-2</v>
      </c>
      <c r="AB187" s="16"/>
      <c r="AC187" s="16"/>
      <c r="AD187" s="93">
        <v>19500</v>
      </c>
      <c r="AE187" s="93">
        <f t="shared" si="28"/>
        <v>19.5</v>
      </c>
      <c r="AF187" s="16">
        <v>15.38</v>
      </c>
      <c r="AG187" s="103">
        <f t="shared" si="29"/>
        <v>14</v>
      </c>
      <c r="AH187" s="37">
        <f t="shared" si="30"/>
        <v>19.5</v>
      </c>
      <c r="AJ187" s="38">
        <v>45868</v>
      </c>
      <c r="AL187" s="16" t="s">
        <v>5</v>
      </c>
      <c r="AN187" s="39">
        <v>0.44232638888888887</v>
      </c>
      <c r="AO187" s="39">
        <v>0.46699074074074076</v>
      </c>
      <c r="AP187" s="48">
        <v>1123</v>
      </c>
      <c r="AQ187" t="s">
        <v>1499</v>
      </c>
      <c r="AR187" s="38">
        <v>45868</v>
      </c>
      <c r="AS187" s="49"/>
    </row>
    <row r="188" spans="22:45" ht="16" x14ac:dyDescent="0.4">
      <c r="V188" s="97">
        <v>45857</v>
      </c>
      <c r="W188" s="16">
        <v>173542</v>
      </c>
      <c r="X188" s="101" t="s">
        <v>36</v>
      </c>
      <c r="Y188" s="105"/>
      <c r="Z188" s="102">
        <v>4.3194444444444445E-2</v>
      </c>
      <c r="AA188" s="102">
        <v>0.15112268518518518</v>
      </c>
      <c r="AB188" s="16"/>
      <c r="AC188" s="16"/>
      <c r="AD188" s="93">
        <v>22250</v>
      </c>
      <c r="AE188" s="93">
        <f t="shared" si="28"/>
        <v>22.25</v>
      </c>
      <c r="AF188" s="16">
        <v>13.52</v>
      </c>
      <c r="AG188" s="103">
        <f t="shared" si="29"/>
        <v>13.52</v>
      </c>
      <c r="AH188" s="37">
        <f t="shared" si="30"/>
        <v>21.487142857142857</v>
      </c>
      <c r="AJ188" s="38">
        <v>45868</v>
      </c>
      <c r="AL188" s="16" t="s">
        <v>5</v>
      </c>
      <c r="AN188" s="39">
        <v>0.4013194444444444</v>
      </c>
      <c r="AO188" s="39">
        <v>0.48204861111111108</v>
      </c>
      <c r="AP188" s="48">
        <v>10480</v>
      </c>
      <c r="AQ188" t="s">
        <v>1442</v>
      </c>
      <c r="AR188" s="38">
        <v>45868</v>
      </c>
      <c r="AS188" s="49"/>
    </row>
    <row r="189" spans="22:45" ht="16" x14ac:dyDescent="0.4">
      <c r="V189" s="97">
        <v>45857</v>
      </c>
      <c r="W189" s="16">
        <v>173551</v>
      </c>
      <c r="X189" s="101" t="s">
        <v>36</v>
      </c>
      <c r="Y189" s="105"/>
      <c r="Z189" s="102">
        <v>0.60303240740740738</v>
      </c>
      <c r="AA189" s="102">
        <v>0.21934027777777776</v>
      </c>
      <c r="AB189" s="16"/>
      <c r="AC189" s="16"/>
      <c r="AD189" s="93">
        <v>20184</v>
      </c>
      <c r="AE189" s="93">
        <f t="shared" si="28"/>
        <v>20.184000000000001</v>
      </c>
      <c r="AF189" s="16">
        <v>13.49</v>
      </c>
      <c r="AG189" s="103">
        <f t="shared" si="29"/>
        <v>13.49</v>
      </c>
      <c r="AH189" s="37">
        <f t="shared" si="30"/>
        <v>19.448725714285718</v>
      </c>
      <c r="AJ189" s="38">
        <v>45868</v>
      </c>
      <c r="AL189" s="16" t="s">
        <v>5</v>
      </c>
      <c r="AN189" s="39">
        <v>0.48074074074074075</v>
      </c>
      <c r="AO189" s="39"/>
      <c r="AP189" s="48">
        <v>12950</v>
      </c>
      <c r="AQ189" t="s">
        <v>1442</v>
      </c>
      <c r="AR189" s="38">
        <v>45868</v>
      </c>
      <c r="AS189" s="49"/>
    </row>
    <row r="190" spans="22:45" ht="16" x14ac:dyDescent="0.4">
      <c r="V190" s="97">
        <v>45857</v>
      </c>
      <c r="W190" s="16">
        <v>173589</v>
      </c>
      <c r="X190" s="101" t="s">
        <v>36</v>
      </c>
      <c r="Y190" s="105"/>
      <c r="Z190" s="102">
        <v>0.66180555555555554</v>
      </c>
      <c r="AA190" s="102">
        <v>0.33194444444444443</v>
      </c>
      <c r="AB190" s="16"/>
      <c r="AC190" s="16"/>
      <c r="AD190" s="93">
        <v>20616</v>
      </c>
      <c r="AE190" s="93">
        <f t="shared" si="28"/>
        <v>20.616</v>
      </c>
      <c r="AF190" s="16">
        <v>14.38</v>
      </c>
      <c r="AG190" s="103">
        <f t="shared" si="29"/>
        <v>14</v>
      </c>
      <c r="AH190" s="37">
        <f t="shared" si="30"/>
        <v>20.616000000000003</v>
      </c>
      <c r="AJ190" s="38">
        <v>45869</v>
      </c>
      <c r="AL190" s="16" t="s">
        <v>5</v>
      </c>
      <c r="AN190" s="39">
        <v>0.47618055555555555</v>
      </c>
      <c r="AO190" s="39">
        <v>0.62949074074074074</v>
      </c>
      <c r="AP190" s="48">
        <v>5024</v>
      </c>
      <c r="AR190" s="38">
        <v>45869</v>
      </c>
      <c r="AS190" s="49"/>
    </row>
    <row r="191" spans="22:45" ht="16" x14ac:dyDescent="0.4">
      <c r="V191" s="97">
        <v>45857</v>
      </c>
      <c r="W191" s="16">
        <v>173657</v>
      </c>
      <c r="X191" s="101" t="s">
        <v>36</v>
      </c>
      <c r="Y191" s="105"/>
      <c r="Z191" s="102">
        <v>0.26805555555555555</v>
      </c>
      <c r="AA191" s="102">
        <v>0.40972222222222227</v>
      </c>
      <c r="AB191" s="16"/>
      <c r="AC191" s="16"/>
      <c r="AD191" s="93">
        <v>19370</v>
      </c>
      <c r="AE191" s="93">
        <f t="shared" si="28"/>
        <v>19.37</v>
      </c>
      <c r="AF191" s="16">
        <v>15.16</v>
      </c>
      <c r="AG191" s="103">
        <f t="shared" si="29"/>
        <v>14</v>
      </c>
      <c r="AH191" s="37">
        <f t="shared" si="30"/>
        <v>19.37</v>
      </c>
      <c r="AJ191" s="38">
        <v>45869</v>
      </c>
      <c r="AL191" s="16" t="s">
        <v>5</v>
      </c>
      <c r="AN191" s="39">
        <v>0.4770949074074074</v>
      </c>
      <c r="AO191" s="39">
        <v>0.49315972222222221</v>
      </c>
      <c r="AP191" s="48">
        <v>2586</v>
      </c>
      <c r="AQ191" t="s">
        <v>1498</v>
      </c>
      <c r="AR191" s="38">
        <v>45869</v>
      </c>
      <c r="AS191" s="49"/>
    </row>
    <row r="192" spans="22:45" ht="16" x14ac:dyDescent="0.4">
      <c r="V192" s="97">
        <v>45857</v>
      </c>
      <c r="W192" s="16">
        <v>173721</v>
      </c>
      <c r="X192" s="101" t="s">
        <v>36</v>
      </c>
      <c r="Y192" s="105"/>
      <c r="Z192" s="102">
        <v>4.3055555555555562E-2</v>
      </c>
      <c r="AA192" s="102">
        <v>0.52152777777777781</v>
      </c>
      <c r="AB192" s="16"/>
      <c r="AC192" s="16"/>
      <c r="AD192" s="93">
        <v>21360</v>
      </c>
      <c r="AE192" s="93">
        <f t="shared" si="28"/>
        <v>21.36</v>
      </c>
      <c r="AF192" s="16">
        <v>14.27</v>
      </c>
      <c r="AG192" s="103">
        <f t="shared" si="29"/>
        <v>14</v>
      </c>
      <c r="AH192" s="37">
        <f t="shared" si="30"/>
        <v>21.359999999999996</v>
      </c>
      <c r="AJ192" s="38">
        <v>45869</v>
      </c>
      <c r="AL192" s="16" t="s">
        <v>5</v>
      </c>
      <c r="AN192" s="39">
        <v>0.58234953703703707</v>
      </c>
      <c r="AO192" s="39">
        <v>0.54706018518518518</v>
      </c>
      <c r="AP192" s="48">
        <v>2484</v>
      </c>
      <c r="AQ192" t="s">
        <v>1500</v>
      </c>
      <c r="AR192" s="38">
        <v>45869</v>
      </c>
      <c r="AS192" s="49"/>
    </row>
    <row r="193" spans="22:45" ht="16" x14ac:dyDescent="0.4">
      <c r="V193" s="97">
        <v>45857</v>
      </c>
      <c r="W193" s="16">
        <v>173763</v>
      </c>
      <c r="X193" s="101" t="s">
        <v>36</v>
      </c>
      <c r="Y193" s="105"/>
      <c r="Z193" s="102">
        <v>0.76041666666666663</v>
      </c>
      <c r="AA193" s="102">
        <v>0.58194444444444449</v>
      </c>
      <c r="AB193" s="16"/>
      <c r="AC193" s="16"/>
      <c r="AD193" s="93">
        <v>18106</v>
      </c>
      <c r="AE193" s="93">
        <f t="shared" si="28"/>
        <v>18.106000000000002</v>
      </c>
      <c r="AF193" s="16">
        <v>14.05</v>
      </c>
      <c r="AG193" s="103">
        <f t="shared" si="29"/>
        <v>14</v>
      </c>
      <c r="AH193" s="37">
        <f t="shared" si="30"/>
        <v>18.106000000000002</v>
      </c>
      <c r="AJ193" s="38">
        <v>45869</v>
      </c>
      <c r="AL193" s="16" t="s">
        <v>5</v>
      </c>
      <c r="AN193" s="39">
        <v>0.47673611111111108</v>
      </c>
      <c r="AO193" s="39">
        <v>0.49202546296296296</v>
      </c>
      <c r="AP193" s="48">
        <v>3176</v>
      </c>
      <c r="AR193" s="38">
        <v>45869</v>
      </c>
      <c r="AS193" s="49"/>
    </row>
    <row r="194" spans="22:45" ht="16" x14ac:dyDescent="0.4">
      <c r="V194" s="97">
        <v>45857</v>
      </c>
      <c r="W194" s="16">
        <v>173792</v>
      </c>
      <c r="X194" s="101" t="s">
        <v>36</v>
      </c>
      <c r="Y194" s="105"/>
      <c r="Z194" s="102">
        <v>0.57361111111111118</v>
      </c>
      <c r="AA194" s="102">
        <v>0.65486111111111112</v>
      </c>
      <c r="AB194" s="16"/>
      <c r="AC194" s="16"/>
      <c r="AD194" s="93">
        <v>17614</v>
      </c>
      <c r="AE194" s="93">
        <f t="shared" si="28"/>
        <v>17.614000000000001</v>
      </c>
      <c r="AF194" s="16">
        <v>15.38</v>
      </c>
      <c r="AG194" s="103">
        <f t="shared" si="29"/>
        <v>14</v>
      </c>
      <c r="AH194" s="37">
        <f t="shared" si="30"/>
        <v>17.614000000000001</v>
      </c>
      <c r="AJ194" s="38">
        <v>45869</v>
      </c>
      <c r="AL194" s="16" t="s">
        <v>5</v>
      </c>
      <c r="AN194" s="39">
        <v>0.46033564814814815</v>
      </c>
      <c r="AO194" s="39">
        <v>0.47665509259259259</v>
      </c>
      <c r="AP194" s="48">
        <v>3478</v>
      </c>
      <c r="AQ194" t="s">
        <v>1501</v>
      </c>
      <c r="AR194" s="38">
        <v>45869</v>
      </c>
      <c r="AS194" s="49"/>
    </row>
    <row r="195" spans="22:45" ht="16" x14ac:dyDescent="0.4">
      <c r="V195" s="97">
        <v>45857</v>
      </c>
      <c r="W195" s="16">
        <v>173817</v>
      </c>
      <c r="X195" s="101" t="s">
        <v>36</v>
      </c>
      <c r="Y195" s="105"/>
      <c r="Z195" s="102">
        <v>0.26825231481481482</v>
      </c>
      <c r="AA195" s="102">
        <v>0.72122685185185187</v>
      </c>
      <c r="AB195" s="16"/>
      <c r="AC195" s="16"/>
      <c r="AD195" s="93">
        <v>18184</v>
      </c>
      <c r="AE195" s="93">
        <f t="shared" si="28"/>
        <v>18.184000000000001</v>
      </c>
      <c r="AF195" s="16">
        <v>14.81</v>
      </c>
      <c r="AG195" s="103">
        <f t="shared" si="29"/>
        <v>14</v>
      </c>
      <c r="AH195" s="37">
        <f t="shared" si="30"/>
        <v>18.184000000000001</v>
      </c>
      <c r="AJ195" s="38"/>
      <c r="AL195" s="16"/>
      <c r="AN195" s="39"/>
      <c r="AO195" s="39"/>
      <c r="AP195" s="48"/>
      <c r="AQ195" s="16"/>
      <c r="AR195" s="38"/>
      <c r="AS195" s="49"/>
    </row>
    <row r="196" spans="22:45" ht="16" x14ac:dyDescent="0.4">
      <c r="V196" s="97">
        <v>45857</v>
      </c>
      <c r="W196" s="16">
        <v>173861</v>
      </c>
      <c r="X196" s="101" t="s">
        <v>36</v>
      </c>
      <c r="Y196" s="105"/>
      <c r="Z196" s="102">
        <v>0.57351851851851854</v>
      </c>
      <c r="AA196" s="102">
        <v>0.87335648148148148</v>
      </c>
      <c r="AB196" s="16"/>
      <c r="AC196" s="16"/>
      <c r="AD196" s="93">
        <v>19912</v>
      </c>
      <c r="AE196" s="93">
        <f t="shared" si="28"/>
        <v>19.911999999999999</v>
      </c>
      <c r="AF196" s="16">
        <v>14.52</v>
      </c>
      <c r="AG196" s="103">
        <f t="shared" si="29"/>
        <v>14</v>
      </c>
      <c r="AH196" s="37">
        <f t="shared" si="30"/>
        <v>19.911999999999999</v>
      </c>
      <c r="AJ196" s="38"/>
      <c r="AL196" s="16"/>
      <c r="AM196" s="17"/>
      <c r="AN196" s="81"/>
      <c r="AO196" s="39"/>
      <c r="AP196" s="48"/>
      <c r="AR196" s="38"/>
      <c r="AS196" s="49"/>
    </row>
    <row r="197" spans="22:45" ht="16" x14ac:dyDescent="0.4">
      <c r="V197" s="97">
        <v>45857</v>
      </c>
      <c r="W197" s="16">
        <v>173875</v>
      </c>
      <c r="X197" s="101" t="s">
        <v>36</v>
      </c>
      <c r="Y197" s="105"/>
      <c r="Z197" s="102">
        <v>0.26837962962962963</v>
      </c>
      <c r="AA197" s="102">
        <v>0.95209490740740732</v>
      </c>
      <c r="AB197" s="16"/>
      <c r="AC197" s="16"/>
      <c r="AD197" s="93">
        <v>16766</v>
      </c>
      <c r="AE197" s="93">
        <f t="shared" ref="AE197:AE260" si="31">AD197/1000</f>
        <v>16.765999999999998</v>
      </c>
      <c r="AF197" s="16">
        <v>16.09</v>
      </c>
      <c r="AG197" s="103">
        <f t="shared" si="29"/>
        <v>14</v>
      </c>
      <c r="AH197" s="37">
        <f t="shared" si="30"/>
        <v>16.765999999999998</v>
      </c>
      <c r="AJ197" s="38"/>
      <c r="AL197" s="16"/>
      <c r="AN197" s="81"/>
      <c r="AO197" s="39"/>
      <c r="AP197" s="48"/>
      <c r="AR197" s="38"/>
      <c r="AS197" s="16"/>
    </row>
    <row r="198" spans="22:45" ht="16" x14ac:dyDescent="0.4">
      <c r="V198" s="97">
        <v>45858</v>
      </c>
      <c r="W198" s="16">
        <v>173895</v>
      </c>
      <c r="X198" s="101" t="s">
        <v>36</v>
      </c>
      <c r="Y198" s="105"/>
      <c r="Z198" s="102">
        <v>4.341435185185185E-2</v>
      </c>
      <c r="AA198" s="102">
        <v>5.9479166666666666E-2</v>
      </c>
      <c r="AB198" s="16"/>
      <c r="AC198" s="16"/>
      <c r="AD198" s="93">
        <v>19970</v>
      </c>
      <c r="AE198" s="93">
        <f t="shared" si="31"/>
        <v>19.97</v>
      </c>
      <c r="AF198" s="16">
        <v>15.06</v>
      </c>
      <c r="AG198" s="103">
        <f t="shared" ref="AG198:AG261" si="32">IF($AF198&gt;14,14,$AF198)</f>
        <v>14</v>
      </c>
      <c r="AH198" s="37">
        <f t="shared" ref="AH198:AH261" si="33">AE198*AG198/14</f>
        <v>19.97</v>
      </c>
      <c r="AJ198" s="38"/>
      <c r="AL198" s="16"/>
      <c r="AN198" s="81"/>
      <c r="AO198" s="39"/>
      <c r="AP198" s="48"/>
      <c r="AR198" s="38"/>
      <c r="AS198" s="16"/>
    </row>
    <row r="199" spans="22:45" ht="16" x14ac:dyDescent="0.4">
      <c r="V199" s="97">
        <v>45858</v>
      </c>
      <c r="W199" s="16">
        <v>173900</v>
      </c>
      <c r="X199" s="101" t="s">
        <v>36</v>
      </c>
      <c r="Y199" s="105"/>
      <c r="Z199" s="102">
        <v>0.99704861111111109</v>
      </c>
      <c r="AA199" s="102">
        <v>0.13702546296296295</v>
      </c>
      <c r="AB199" s="16"/>
      <c r="AC199" s="16"/>
      <c r="AD199" s="93">
        <v>20758</v>
      </c>
      <c r="AE199" s="93">
        <f t="shared" si="31"/>
        <v>20.757999999999999</v>
      </c>
      <c r="AF199" s="16">
        <v>14.16</v>
      </c>
      <c r="AG199" s="103">
        <f t="shared" si="32"/>
        <v>14</v>
      </c>
      <c r="AH199" s="37">
        <f t="shared" si="33"/>
        <v>20.757999999999999</v>
      </c>
      <c r="AJ199" s="38"/>
      <c r="AL199" s="16"/>
      <c r="AN199" s="81"/>
      <c r="AO199" s="39"/>
      <c r="AP199" s="48"/>
      <c r="AR199" s="38"/>
      <c r="AS199" s="16"/>
    </row>
    <row r="200" spans="22:45" ht="16" x14ac:dyDescent="0.4">
      <c r="V200" s="97">
        <v>45858</v>
      </c>
      <c r="W200" s="16">
        <v>173914</v>
      </c>
      <c r="X200" s="101" t="s">
        <v>36</v>
      </c>
      <c r="Y200" s="105"/>
      <c r="Z200" s="102">
        <v>9.975694444444444E-2</v>
      </c>
      <c r="AA200" s="102">
        <v>0.24056712962962964</v>
      </c>
      <c r="AB200" s="16"/>
      <c r="AC200" s="16"/>
      <c r="AD200" s="93">
        <v>21332</v>
      </c>
      <c r="AE200" s="93">
        <f t="shared" si="31"/>
        <v>21.332000000000001</v>
      </c>
      <c r="AF200" s="16">
        <v>15.13</v>
      </c>
      <c r="AG200" s="103">
        <f t="shared" si="32"/>
        <v>14</v>
      </c>
      <c r="AH200" s="37">
        <f t="shared" si="33"/>
        <v>21.332000000000001</v>
      </c>
      <c r="AJ200" s="38"/>
      <c r="AL200" s="16"/>
      <c r="AN200" s="81"/>
      <c r="AO200" s="39"/>
      <c r="AP200" s="48"/>
      <c r="AR200" s="38"/>
      <c r="AS200" s="16"/>
    </row>
    <row r="201" spans="22:45" ht="16" x14ac:dyDescent="0.4">
      <c r="V201" s="97">
        <v>45858</v>
      </c>
      <c r="W201" s="16">
        <v>173921</v>
      </c>
      <c r="X201" s="101" t="s">
        <v>36</v>
      </c>
      <c r="Y201" s="105"/>
      <c r="Z201" s="102">
        <v>0.63194444444444442</v>
      </c>
      <c r="AA201" s="102">
        <v>0.28055555555555556</v>
      </c>
      <c r="AB201" s="16"/>
      <c r="AC201" s="16"/>
      <c r="AD201" s="93">
        <v>18168</v>
      </c>
      <c r="AE201" s="93">
        <f t="shared" si="31"/>
        <v>18.167999999999999</v>
      </c>
      <c r="AF201" s="16">
        <v>14.59</v>
      </c>
      <c r="AG201" s="103">
        <f t="shared" si="32"/>
        <v>14</v>
      </c>
      <c r="AH201" s="37">
        <f t="shared" si="33"/>
        <v>18.167999999999999</v>
      </c>
      <c r="AJ201" s="38"/>
      <c r="AL201" s="16"/>
      <c r="AN201" s="81"/>
      <c r="AO201" s="39"/>
      <c r="AP201" s="48"/>
      <c r="AR201" s="38"/>
      <c r="AS201" s="16"/>
    </row>
    <row r="202" spans="22:45" ht="16" x14ac:dyDescent="0.4">
      <c r="V202" s="97">
        <v>45858</v>
      </c>
      <c r="W202" s="16">
        <v>8295</v>
      </c>
      <c r="X202" s="101" t="s">
        <v>36</v>
      </c>
      <c r="Y202" s="105"/>
      <c r="Z202" s="102">
        <v>0.28125</v>
      </c>
      <c r="AA202" s="102">
        <v>0.3125</v>
      </c>
      <c r="AB202" s="16"/>
      <c r="AC202" s="16"/>
      <c r="AD202" s="93">
        <v>18808</v>
      </c>
      <c r="AE202" s="93">
        <f t="shared" si="31"/>
        <v>18.808</v>
      </c>
      <c r="AF202" s="16">
        <v>15.05</v>
      </c>
      <c r="AG202" s="103">
        <f t="shared" si="32"/>
        <v>14</v>
      </c>
      <c r="AH202" s="37">
        <f t="shared" si="33"/>
        <v>18.808</v>
      </c>
      <c r="AJ202" s="38"/>
      <c r="AL202" s="16"/>
      <c r="AN202" s="81"/>
      <c r="AO202" s="39"/>
      <c r="AP202" s="48"/>
      <c r="AR202" s="38"/>
      <c r="AS202" s="16"/>
    </row>
    <row r="203" spans="22:45" ht="16" x14ac:dyDescent="0.4">
      <c r="V203" s="97">
        <v>45858</v>
      </c>
      <c r="W203" s="16">
        <v>8296</v>
      </c>
      <c r="X203" s="101" t="s">
        <v>36</v>
      </c>
      <c r="Y203" s="105"/>
      <c r="Z203" s="102">
        <v>0.3298611111111111</v>
      </c>
      <c r="AA203" s="102">
        <v>0.34027777777777773</v>
      </c>
      <c r="AB203" s="16"/>
      <c r="AC203" s="16"/>
      <c r="AD203" s="93">
        <v>17990</v>
      </c>
      <c r="AE203" s="93">
        <f t="shared" si="31"/>
        <v>17.989999999999998</v>
      </c>
      <c r="AF203" s="16">
        <v>14.48</v>
      </c>
      <c r="AG203" s="103">
        <f t="shared" si="32"/>
        <v>14</v>
      </c>
      <c r="AH203" s="37">
        <f t="shared" si="33"/>
        <v>17.989999999999998</v>
      </c>
      <c r="AJ203" s="38"/>
      <c r="AL203" s="16"/>
      <c r="AN203" s="81"/>
      <c r="AO203" s="39"/>
      <c r="AP203" s="48"/>
      <c r="AR203" s="38"/>
      <c r="AS203" s="16"/>
    </row>
    <row r="204" spans="22:45" ht="16" x14ac:dyDescent="0.4">
      <c r="V204" s="97">
        <v>45858</v>
      </c>
      <c r="W204" s="16">
        <v>8297</v>
      </c>
      <c r="X204" s="101" t="s">
        <v>36</v>
      </c>
      <c r="Y204" s="105"/>
      <c r="Z204" s="102">
        <v>0.38541666666666669</v>
      </c>
      <c r="AA204" s="102">
        <v>0.41597222222222219</v>
      </c>
      <c r="AB204" s="16"/>
      <c r="AC204" s="16"/>
      <c r="AD204" s="93">
        <v>18912</v>
      </c>
      <c r="AE204" s="93">
        <f t="shared" si="31"/>
        <v>18.911999999999999</v>
      </c>
      <c r="AF204" s="16">
        <v>14.91</v>
      </c>
      <c r="AG204" s="103">
        <f t="shared" si="32"/>
        <v>14</v>
      </c>
      <c r="AH204" s="37">
        <f t="shared" si="33"/>
        <v>18.911999999999999</v>
      </c>
      <c r="AJ204" s="38"/>
      <c r="AL204" s="16"/>
      <c r="AN204" s="81"/>
      <c r="AO204" s="39"/>
      <c r="AP204" s="48"/>
      <c r="AR204" s="38"/>
      <c r="AS204" s="16"/>
    </row>
    <row r="205" spans="22:45" ht="16" x14ac:dyDescent="0.4">
      <c r="V205" s="97">
        <v>45858</v>
      </c>
      <c r="W205" s="16">
        <v>8298</v>
      </c>
      <c r="X205" s="101" t="s">
        <v>36</v>
      </c>
      <c r="Y205" s="105"/>
      <c r="Z205" s="102"/>
      <c r="AA205" s="102">
        <v>0.50486111111111109</v>
      </c>
      <c r="AB205" s="16"/>
      <c r="AC205" s="16"/>
      <c r="AD205" s="93">
        <v>11902</v>
      </c>
      <c r="AE205" s="93">
        <f t="shared" si="31"/>
        <v>11.901999999999999</v>
      </c>
      <c r="AF205" s="16">
        <v>15.48</v>
      </c>
      <c r="AG205" s="103">
        <f t="shared" si="32"/>
        <v>14</v>
      </c>
      <c r="AH205" s="37">
        <f t="shared" si="33"/>
        <v>11.901999999999999</v>
      </c>
      <c r="AJ205" s="38"/>
      <c r="AL205" s="16"/>
      <c r="AN205" s="81"/>
      <c r="AO205" s="39"/>
      <c r="AP205" s="48"/>
      <c r="AR205" s="38"/>
      <c r="AS205" s="16"/>
    </row>
    <row r="206" spans="22:45" ht="16" x14ac:dyDescent="0.4">
      <c r="V206" s="97">
        <v>45858</v>
      </c>
      <c r="W206" s="16">
        <v>8299</v>
      </c>
      <c r="X206" s="101" t="s">
        <v>36</v>
      </c>
      <c r="Y206" s="105"/>
      <c r="Z206" s="102">
        <v>0.32847222222222222</v>
      </c>
      <c r="AA206" s="102">
        <v>0.51180555555555551</v>
      </c>
      <c r="AB206" s="16">
        <v>104</v>
      </c>
      <c r="AC206" s="16" t="s">
        <v>612</v>
      </c>
      <c r="AD206" s="93">
        <v>12504</v>
      </c>
      <c r="AE206" s="93">
        <f t="shared" si="31"/>
        <v>12.504</v>
      </c>
      <c r="AF206" s="16">
        <v>10.87</v>
      </c>
      <c r="AG206" s="103">
        <f t="shared" si="32"/>
        <v>10.87</v>
      </c>
      <c r="AH206" s="37">
        <f t="shared" si="33"/>
        <v>9.7084628571428571</v>
      </c>
      <c r="AJ206" s="38"/>
      <c r="AL206" s="16"/>
      <c r="AN206" s="81"/>
      <c r="AO206" s="39"/>
      <c r="AP206" s="48"/>
      <c r="AR206" s="38"/>
      <c r="AS206" s="16"/>
    </row>
    <row r="207" spans="22:45" ht="16" x14ac:dyDescent="0.4">
      <c r="V207" s="97">
        <v>45860</v>
      </c>
      <c r="W207" s="16">
        <v>174488</v>
      </c>
      <c r="X207" s="101" t="s">
        <v>36</v>
      </c>
      <c r="Y207" s="105"/>
      <c r="Z207" s="102">
        <v>0.25416666666666665</v>
      </c>
      <c r="AA207" s="102">
        <v>0.37222222222222223</v>
      </c>
      <c r="AB207" s="16"/>
      <c r="AC207" s="16"/>
      <c r="AD207" s="93">
        <v>20602</v>
      </c>
      <c r="AE207" s="93">
        <f t="shared" si="31"/>
        <v>20.602</v>
      </c>
      <c r="AF207" s="16">
        <v>15.73</v>
      </c>
      <c r="AG207" s="103">
        <f t="shared" si="32"/>
        <v>14</v>
      </c>
      <c r="AH207" s="37">
        <f t="shared" si="33"/>
        <v>20.602</v>
      </c>
      <c r="AJ207" s="38"/>
      <c r="AL207" s="16"/>
      <c r="AN207" s="81"/>
      <c r="AO207" s="39"/>
      <c r="AP207" s="48"/>
      <c r="AR207" s="38"/>
      <c r="AS207" s="16"/>
    </row>
    <row r="208" spans="22:45" ht="16" x14ac:dyDescent="0.4">
      <c r="V208" s="97">
        <v>45860</v>
      </c>
      <c r="W208" s="16">
        <v>174550</v>
      </c>
      <c r="X208" s="101" t="s">
        <v>36</v>
      </c>
      <c r="Y208" s="105"/>
      <c r="Z208" s="102">
        <v>0.40069444444444446</v>
      </c>
      <c r="AA208" s="102">
        <v>0.45833333333333331</v>
      </c>
      <c r="AB208" s="16"/>
      <c r="AC208" s="16"/>
      <c r="AD208" s="93">
        <v>19266</v>
      </c>
      <c r="AE208" s="93">
        <f t="shared" si="31"/>
        <v>19.265999999999998</v>
      </c>
      <c r="AF208" s="16">
        <v>14.49</v>
      </c>
      <c r="AG208" s="103">
        <f t="shared" si="32"/>
        <v>14</v>
      </c>
      <c r="AH208" s="37">
        <f t="shared" si="33"/>
        <v>19.265999999999998</v>
      </c>
      <c r="AJ208" s="38"/>
      <c r="AL208" s="16"/>
      <c r="AN208" s="81"/>
      <c r="AO208" s="39"/>
      <c r="AP208" s="48"/>
      <c r="AR208" s="38"/>
      <c r="AS208" s="16"/>
    </row>
    <row r="209" spans="18:45" ht="16" x14ac:dyDescent="0.4">
      <c r="V209" s="97">
        <v>45860</v>
      </c>
      <c r="W209" s="16">
        <v>174584</v>
      </c>
      <c r="X209" s="101" t="s">
        <v>36</v>
      </c>
      <c r="Y209" s="105"/>
      <c r="Z209" s="102">
        <v>9.930555555555555E-2</v>
      </c>
      <c r="AA209" s="102">
        <v>0.66180555555555554</v>
      </c>
      <c r="AB209" s="16"/>
      <c r="AC209" s="16"/>
      <c r="AD209" s="93">
        <v>19822</v>
      </c>
      <c r="AE209" s="93">
        <f t="shared" si="31"/>
        <v>19.821999999999999</v>
      </c>
      <c r="AF209" s="16">
        <v>14.27</v>
      </c>
      <c r="AG209" s="103">
        <f t="shared" si="32"/>
        <v>14</v>
      </c>
      <c r="AH209" s="37">
        <f t="shared" si="33"/>
        <v>19.821999999999999</v>
      </c>
      <c r="AJ209" s="38"/>
      <c r="AL209" s="16"/>
      <c r="AN209" s="81"/>
      <c r="AO209" s="81"/>
      <c r="AP209" s="48"/>
      <c r="AR209" s="38"/>
      <c r="AS209" s="16"/>
    </row>
    <row r="210" spans="18:45" ht="16" x14ac:dyDescent="0.4">
      <c r="V210" s="97">
        <v>45860</v>
      </c>
      <c r="W210" s="16">
        <v>174625</v>
      </c>
      <c r="X210" s="101" t="s">
        <v>36</v>
      </c>
      <c r="Y210" s="105"/>
      <c r="Z210" s="102">
        <v>0.99652777777777779</v>
      </c>
      <c r="AA210" s="102">
        <v>0.59513888888888888</v>
      </c>
      <c r="AB210" s="16"/>
      <c r="AC210" s="16"/>
      <c r="AD210" s="93">
        <v>19620</v>
      </c>
      <c r="AE210" s="93">
        <f t="shared" si="31"/>
        <v>19.62</v>
      </c>
      <c r="AF210" s="16">
        <v>14.94</v>
      </c>
      <c r="AG210" s="103">
        <f t="shared" si="32"/>
        <v>14</v>
      </c>
      <c r="AH210" s="37">
        <f t="shared" si="33"/>
        <v>19.62</v>
      </c>
      <c r="AJ210" s="38"/>
      <c r="AL210" s="16"/>
      <c r="AN210" s="81"/>
      <c r="AO210" s="81"/>
      <c r="AP210" s="48"/>
      <c r="AR210" s="38"/>
      <c r="AS210" s="16"/>
    </row>
    <row r="211" spans="18:45" ht="16" x14ac:dyDescent="0.4">
      <c r="V211" s="97">
        <v>45860</v>
      </c>
      <c r="W211" s="16">
        <v>174683</v>
      </c>
      <c r="X211" s="101" t="s">
        <v>36</v>
      </c>
      <c r="Y211" s="105"/>
      <c r="Z211" s="102">
        <v>9.930555555555555E-2</v>
      </c>
      <c r="AA211" s="102">
        <v>0.67152777777777783</v>
      </c>
      <c r="AB211" s="16"/>
      <c r="AC211" s="16"/>
      <c r="AD211" s="93">
        <v>21268</v>
      </c>
      <c r="AE211" s="93">
        <f t="shared" si="31"/>
        <v>21.268000000000001</v>
      </c>
      <c r="AF211" s="16">
        <v>15.98</v>
      </c>
      <c r="AG211" s="103">
        <f t="shared" si="32"/>
        <v>14</v>
      </c>
      <c r="AH211" s="37">
        <f t="shared" si="33"/>
        <v>21.268000000000001</v>
      </c>
      <c r="AJ211" s="38"/>
      <c r="AL211" s="16"/>
      <c r="AN211" s="81"/>
      <c r="AO211" s="81"/>
      <c r="AP211" s="48"/>
      <c r="AR211" s="38"/>
      <c r="AS211" s="16"/>
    </row>
    <row r="212" spans="18:45" ht="16" x14ac:dyDescent="0.4">
      <c r="V212" s="97">
        <v>45860</v>
      </c>
      <c r="W212" s="16">
        <v>174709</v>
      </c>
      <c r="X212" s="101" t="s">
        <v>36</v>
      </c>
      <c r="Y212" s="105"/>
      <c r="Z212" s="102">
        <v>0.99722222222222223</v>
      </c>
      <c r="AA212" s="102">
        <v>0.72777777777777775</v>
      </c>
      <c r="AB212" s="16"/>
      <c r="AC212" s="16"/>
      <c r="AD212" s="93">
        <v>19436</v>
      </c>
      <c r="AE212" s="93">
        <f t="shared" si="31"/>
        <v>19.436</v>
      </c>
      <c r="AF212" s="16">
        <v>14.38</v>
      </c>
      <c r="AG212" s="103">
        <f t="shared" si="32"/>
        <v>14</v>
      </c>
      <c r="AH212" s="37">
        <f t="shared" si="33"/>
        <v>19.436</v>
      </c>
      <c r="AJ212" s="38"/>
      <c r="AL212" s="16"/>
      <c r="AN212" s="81"/>
      <c r="AO212" s="81"/>
      <c r="AP212" s="48"/>
      <c r="AR212" s="38"/>
      <c r="AS212" s="16"/>
    </row>
    <row r="213" spans="18:45" ht="16" x14ac:dyDescent="0.4">
      <c r="V213" s="97">
        <v>45860</v>
      </c>
      <c r="W213" s="16">
        <v>174738</v>
      </c>
      <c r="X213" s="101" t="s">
        <v>36</v>
      </c>
      <c r="Y213" s="105"/>
      <c r="Z213" s="102">
        <v>0.72481481481481491</v>
      </c>
      <c r="AA213" s="102">
        <v>0.80760416666666668</v>
      </c>
      <c r="AB213" s="16"/>
      <c r="AC213" s="16"/>
      <c r="AD213" s="93">
        <v>21506</v>
      </c>
      <c r="AE213" s="93">
        <f t="shared" si="31"/>
        <v>21.506</v>
      </c>
      <c r="AF213" s="16">
        <v>14.41</v>
      </c>
      <c r="AG213" s="103">
        <f t="shared" si="32"/>
        <v>14</v>
      </c>
      <c r="AH213" s="37">
        <f t="shared" si="33"/>
        <v>21.506</v>
      </c>
      <c r="AJ213" s="38"/>
      <c r="AL213" s="16"/>
      <c r="AN213" s="81"/>
      <c r="AO213" s="81"/>
      <c r="AP213" s="48"/>
      <c r="AR213" s="38"/>
      <c r="AS213" s="16"/>
    </row>
    <row r="214" spans="18:45" ht="16" x14ac:dyDescent="0.4">
      <c r="V214" s="97">
        <v>45860</v>
      </c>
      <c r="W214" s="16">
        <v>174782</v>
      </c>
      <c r="X214" s="101" t="s">
        <v>36</v>
      </c>
      <c r="Y214" s="105"/>
      <c r="Z214" s="102">
        <v>0.53322916666666664</v>
      </c>
      <c r="AA214" s="102">
        <v>0.87320601851851853</v>
      </c>
      <c r="AB214" s="16"/>
      <c r="AC214" s="16"/>
      <c r="AD214" s="93">
        <v>20718</v>
      </c>
      <c r="AE214" s="93">
        <f t="shared" si="31"/>
        <v>20.718</v>
      </c>
      <c r="AF214" s="16">
        <v>14.31</v>
      </c>
      <c r="AG214" s="103">
        <f t="shared" si="32"/>
        <v>14</v>
      </c>
      <c r="AH214" s="37">
        <f t="shared" si="33"/>
        <v>20.718</v>
      </c>
      <c r="AJ214" s="38"/>
      <c r="AL214" s="16"/>
      <c r="AN214" s="81"/>
      <c r="AO214" s="81"/>
      <c r="AP214" s="48"/>
      <c r="AR214" s="38"/>
      <c r="AS214" s="16"/>
    </row>
    <row r="215" spans="18:45" ht="16" x14ac:dyDescent="0.4">
      <c r="V215" s="97">
        <v>45860</v>
      </c>
      <c r="W215" s="16">
        <v>174831</v>
      </c>
      <c r="X215" s="101" t="s">
        <v>36</v>
      </c>
      <c r="Y215" s="105"/>
      <c r="Z215" s="102">
        <v>0.72462962962962962</v>
      </c>
      <c r="AA215" s="102">
        <v>0.96763888888888883</v>
      </c>
      <c r="AB215" s="16"/>
      <c r="AC215" s="16"/>
      <c r="AD215" s="93">
        <v>19316</v>
      </c>
      <c r="AE215" s="93">
        <f t="shared" si="31"/>
        <v>19.315999999999999</v>
      </c>
      <c r="AF215" s="16">
        <v>16.91</v>
      </c>
      <c r="AG215" s="103">
        <f t="shared" si="32"/>
        <v>14</v>
      </c>
      <c r="AH215" s="37">
        <f t="shared" si="33"/>
        <v>19.315999999999999</v>
      </c>
      <c r="AJ215" s="38"/>
      <c r="AL215" s="16"/>
      <c r="AN215" s="81"/>
      <c r="AO215" s="81"/>
      <c r="AP215" s="48"/>
      <c r="AR215" s="38"/>
      <c r="AS215" s="16"/>
    </row>
    <row r="216" spans="18:45" ht="16" x14ac:dyDescent="0.4">
      <c r="V216" s="97">
        <v>45861</v>
      </c>
      <c r="W216" s="16">
        <v>174848</v>
      </c>
      <c r="X216" s="101" t="s">
        <v>36</v>
      </c>
      <c r="Y216" s="105"/>
      <c r="Z216" s="102">
        <v>0.64394675925925926</v>
      </c>
      <c r="AA216" s="102">
        <v>2.7557870370370368E-2</v>
      </c>
      <c r="AB216" s="16"/>
      <c r="AC216" s="16"/>
      <c r="AD216" s="93">
        <v>18790</v>
      </c>
      <c r="AE216" s="93">
        <f t="shared" si="31"/>
        <v>18.79</v>
      </c>
      <c r="AF216" s="16">
        <v>14.91</v>
      </c>
      <c r="AG216" s="103">
        <f t="shared" si="32"/>
        <v>14</v>
      </c>
      <c r="AH216" s="37">
        <f t="shared" si="33"/>
        <v>18.79</v>
      </c>
      <c r="AJ216" s="38"/>
      <c r="AL216" s="16"/>
      <c r="AN216" s="81"/>
      <c r="AO216" s="81"/>
      <c r="AP216" s="48"/>
      <c r="AR216" s="38"/>
      <c r="AS216" s="16"/>
    </row>
    <row r="217" spans="18:45" ht="16" x14ac:dyDescent="0.4">
      <c r="V217" s="97">
        <v>45861</v>
      </c>
      <c r="W217" s="16">
        <v>174867</v>
      </c>
      <c r="X217" s="101" t="s">
        <v>36</v>
      </c>
      <c r="Y217" s="105"/>
      <c r="Z217" s="102">
        <v>0.7249537037037036</v>
      </c>
      <c r="AA217" s="102">
        <v>0.10163194444444446</v>
      </c>
      <c r="AB217" s="16"/>
      <c r="AC217" s="16"/>
      <c r="AD217" s="93">
        <v>19476</v>
      </c>
      <c r="AE217" s="93">
        <f t="shared" si="31"/>
        <v>19.475999999999999</v>
      </c>
      <c r="AF217" s="16">
        <v>16.98</v>
      </c>
      <c r="AG217" s="103">
        <f t="shared" si="32"/>
        <v>14</v>
      </c>
      <c r="AH217" s="37">
        <f t="shared" si="33"/>
        <v>19.475999999999999</v>
      </c>
      <c r="AJ217" s="38"/>
      <c r="AL217" s="16"/>
      <c r="AN217" s="81"/>
      <c r="AO217" s="81"/>
      <c r="AP217" s="48"/>
      <c r="AR217" s="38"/>
      <c r="AS217" s="16"/>
    </row>
    <row r="218" spans="18:45" ht="16" x14ac:dyDescent="0.4">
      <c r="V218" s="97">
        <v>45861</v>
      </c>
      <c r="W218" s="16">
        <v>174875</v>
      </c>
      <c r="X218" s="101" t="s">
        <v>36</v>
      </c>
      <c r="Y218" s="105"/>
      <c r="Z218" s="102">
        <v>9.7581018518518525E-2</v>
      </c>
      <c r="AA218" s="102">
        <v>0.16197916666666667</v>
      </c>
      <c r="AB218" s="16"/>
      <c r="AC218" s="16"/>
      <c r="AD218" s="93">
        <v>22052</v>
      </c>
      <c r="AE218" s="93">
        <f t="shared" si="31"/>
        <v>22.052</v>
      </c>
      <c r="AF218" s="16">
        <v>13.91</v>
      </c>
      <c r="AG218" s="103">
        <f t="shared" si="32"/>
        <v>13.91</v>
      </c>
      <c r="AH218" s="37">
        <f t="shared" si="33"/>
        <v>21.910237142857142</v>
      </c>
      <c r="AJ218" s="38"/>
      <c r="AL218" s="16"/>
      <c r="AN218" s="81"/>
      <c r="AO218" s="81"/>
      <c r="AP218" s="48"/>
      <c r="AR218" s="38"/>
      <c r="AS218" s="16"/>
    </row>
    <row r="219" spans="18:45" ht="16" x14ac:dyDescent="0.4">
      <c r="R219" s="33"/>
      <c r="V219" s="97">
        <v>45861</v>
      </c>
      <c r="W219" s="16">
        <v>174883</v>
      </c>
      <c r="X219" s="101" t="s">
        <v>36</v>
      </c>
      <c r="Y219" s="105"/>
      <c r="Z219" s="102">
        <v>0.13875000000000001</v>
      </c>
      <c r="AA219" s="102">
        <v>0.22659722222222223</v>
      </c>
      <c r="AB219" s="16"/>
      <c r="AC219" s="16"/>
      <c r="AD219" s="93">
        <v>18140</v>
      </c>
      <c r="AE219" s="93">
        <f t="shared" si="31"/>
        <v>18.14</v>
      </c>
      <c r="AF219" s="16">
        <v>14.59</v>
      </c>
      <c r="AG219" s="103">
        <f t="shared" si="32"/>
        <v>14</v>
      </c>
      <c r="AH219" s="37">
        <f t="shared" si="33"/>
        <v>18.14</v>
      </c>
      <c r="AJ219" s="38"/>
      <c r="AL219" s="16"/>
      <c r="AN219" s="81"/>
      <c r="AO219" s="81"/>
      <c r="AP219" s="48"/>
      <c r="AR219" s="38"/>
    </row>
    <row r="220" spans="18:45" ht="16" x14ac:dyDescent="0.4">
      <c r="R220" s="33"/>
      <c r="V220" s="97">
        <v>45861</v>
      </c>
      <c r="W220" s="16">
        <v>174932</v>
      </c>
      <c r="X220" s="101" t="s">
        <v>36</v>
      </c>
      <c r="Y220" s="105"/>
      <c r="Z220" s="102">
        <v>9.7222222222222224E-2</v>
      </c>
      <c r="AA220" s="102">
        <v>0.31736111111111115</v>
      </c>
      <c r="AB220" s="16"/>
      <c r="AC220" s="16"/>
      <c r="AD220" s="93">
        <v>21298</v>
      </c>
      <c r="AE220" s="93">
        <f t="shared" si="31"/>
        <v>21.297999999999998</v>
      </c>
      <c r="AF220" s="16">
        <v>16.809999999999999</v>
      </c>
      <c r="AG220" s="103">
        <f t="shared" si="32"/>
        <v>14</v>
      </c>
      <c r="AH220" s="37">
        <f t="shared" si="33"/>
        <v>21.297999999999998</v>
      </c>
      <c r="AJ220" s="38"/>
      <c r="AL220" s="16"/>
      <c r="AN220" s="81"/>
      <c r="AO220" s="81"/>
      <c r="AP220" s="48"/>
      <c r="AR220" s="38"/>
    </row>
    <row r="221" spans="18:45" ht="16" x14ac:dyDescent="0.4">
      <c r="V221" s="97">
        <v>45861</v>
      </c>
      <c r="W221" s="16">
        <v>174995</v>
      </c>
      <c r="X221" s="101" t="s">
        <v>36</v>
      </c>
      <c r="Y221" s="105"/>
      <c r="Z221" s="102">
        <v>0.1388888888888889</v>
      </c>
      <c r="AA221" s="102">
        <v>0.375</v>
      </c>
      <c r="AB221" s="16"/>
      <c r="AC221" s="16"/>
      <c r="AD221" s="93">
        <v>18422</v>
      </c>
      <c r="AE221" s="93">
        <f t="shared" si="31"/>
        <v>18.422000000000001</v>
      </c>
      <c r="AF221" s="16">
        <v>15.79</v>
      </c>
      <c r="AG221" s="103">
        <f t="shared" si="32"/>
        <v>14</v>
      </c>
      <c r="AH221" s="37">
        <f t="shared" si="33"/>
        <v>18.422000000000001</v>
      </c>
      <c r="AJ221" s="38"/>
      <c r="AL221" s="16"/>
      <c r="AN221" s="81"/>
      <c r="AO221" s="81"/>
      <c r="AP221" s="48"/>
      <c r="AR221" s="38"/>
    </row>
    <row r="222" spans="18:45" ht="16" x14ac:dyDescent="0.4">
      <c r="V222" s="97">
        <v>45861</v>
      </c>
      <c r="W222" s="16">
        <v>175067</v>
      </c>
      <c r="X222" s="101" t="s">
        <v>36</v>
      </c>
      <c r="Y222" s="105"/>
      <c r="Z222" s="102">
        <v>9.7222222222222224E-2</v>
      </c>
      <c r="AA222" s="102">
        <v>0.46666666666666662</v>
      </c>
      <c r="AB222" s="16"/>
      <c r="AC222" s="16"/>
      <c r="AD222" s="93">
        <v>20092</v>
      </c>
      <c r="AE222" s="93">
        <f t="shared" si="31"/>
        <v>20.091999999999999</v>
      </c>
      <c r="AF222" s="16">
        <v>15.19</v>
      </c>
      <c r="AG222" s="103">
        <f t="shared" si="32"/>
        <v>14</v>
      </c>
      <c r="AH222" s="37">
        <f t="shared" si="33"/>
        <v>20.092000000000002</v>
      </c>
      <c r="AJ222" s="38"/>
      <c r="AL222" s="16"/>
      <c r="AN222" s="81"/>
      <c r="AO222" s="81"/>
      <c r="AP222" s="48"/>
      <c r="AR222" s="38"/>
    </row>
    <row r="223" spans="18:45" ht="16" x14ac:dyDescent="0.4">
      <c r="V223" s="97">
        <v>45861</v>
      </c>
      <c r="W223" s="16">
        <v>172105</v>
      </c>
      <c r="X223" s="101" t="s">
        <v>36</v>
      </c>
      <c r="Y223" s="105"/>
      <c r="Z223" s="102">
        <v>0.13819444444444443</v>
      </c>
      <c r="AA223" s="102">
        <v>0.53263888888888888</v>
      </c>
      <c r="AB223" s="16"/>
      <c r="AC223" s="16"/>
      <c r="AD223" s="93">
        <v>19120</v>
      </c>
      <c r="AE223" s="93">
        <f t="shared" si="31"/>
        <v>19.12</v>
      </c>
      <c r="AF223" s="16">
        <v>14.98</v>
      </c>
      <c r="AG223" s="103">
        <f t="shared" si="32"/>
        <v>14</v>
      </c>
      <c r="AH223" s="37">
        <f t="shared" si="33"/>
        <v>19.12</v>
      </c>
      <c r="AJ223" s="38"/>
      <c r="AL223" s="16"/>
      <c r="AN223" s="81"/>
      <c r="AO223" s="81"/>
      <c r="AP223" s="48"/>
      <c r="AR223" s="38"/>
    </row>
    <row r="224" spans="18:45" ht="16" x14ac:dyDescent="0.4">
      <c r="V224" s="97">
        <v>45861</v>
      </c>
      <c r="W224" s="16">
        <v>175154</v>
      </c>
      <c r="X224" s="101" t="s">
        <v>36</v>
      </c>
      <c r="Y224" s="105"/>
      <c r="Z224" s="102">
        <v>0.52986111111111112</v>
      </c>
      <c r="AA224" s="102">
        <v>0.59236111111111112</v>
      </c>
      <c r="AB224" s="16"/>
      <c r="AC224" s="16"/>
      <c r="AD224" s="93">
        <v>17372</v>
      </c>
      <c r="AE224" s="93">
        <f t="shared" si="31"/>
        <v>17.372</v>
      </c>
      <c r="AF224" s="16">
        <v>14.08</v>
      </c>
      <c r="AG224" s="103">
        <f t="shared" si="32"/>
        <v>14</v>
      </c>
      <c r="AH224" s="37">
        <f t="shared" si="33"/>
        <v>17.372</v>
      </c>
      <c r="AJ224" s="38"/>
      <c r="AL224" s="16"/>
      <c r="AN224" s="81"/>
      <c r="AO224" s="81"/>
      <c r="AP224" s="48"/>
      <c r="AR224" s="38"/>
    </row>
    <row r="225" spans="22:45" ht="16" x14ac:dyDescent="0.4">
      <c r="V225" s="97">
        <v>45861</v>
      </c>
      <c r="W225" s="16">
        <v>175235</v>
      </c>
      <c r="X225" s="101" t="s">
        <v>36</v>
      </c>
      <c r="Y225" s="105"/>
      <c r="Z225" s="102">
        <v>0.58333333333333337</v>
      </c>
      <c r="AA225" s="102">
        <v>0.68611111111111101</v>
      </c>
      <c r="AB225" s="16"/>
      <c r="AC225" s="16"/>
      <c r="AD225" s="93">
        <v>20102</v>
      </c>
      <c r="AE225" s="93">
        <f t="shared" si="31"/>
        <v>20.102</v>
      </c>
      <c r="AF225" s="16">
        <v>14.24</v>
      </c>
      <c r="AG225" s="103">
        <f t="shared" si="32"/>
        <v>14</v>
      </c>
      <c r="AH225" s="37">
        <f t="shared" si="33"/>
        <v>20.102</v>
      </c>
      <c r="AJ225" s="38"/>
      <c r="AL225" s="16"/>
      <c r="AN225" s="39"/>
      <c r="AO225" s="39"/>
      <c r="AP225" s="48"/>
      <c r="AR225" s="38"/>
    </row>
    <row r="226" spans="22:45" ht="16" x14ac:dyDescent="0.4">
      <c r="V226" s="97">
        <v>45861</v>
      </c>
      <c r="W226" s="16">
        <v>175269</v>
      </c>
      <c r="X226" s="101" t="s">
        <v>36</v>
      </c>
      <c r="Y226" s="105"/>
      <c r="Z226" s="102">
        <v>0.64674768518518522</v>
      </c>
      <c r="AA226" s="102">
        <v>0.7728356481481482</v>
      </c>
      <c r="AB226" s="16"/>
      <c r="AC226" s="16"/>
      <c r="AD226" s="93">
        <v>19766</v>
      </c>
      <c r="AE226" s="93">
        <f t="shared" si="31"/>
        <v>19.765999999999998</v>
      </c>
      <c r="AF226" s="16">
        <v>15.77</v>
      </c>
      <c r="AG226" s="103">
        <f t="shared" si="32"/>
        <v>14</v>
      </c>
      <c r="AH226" s="37">
        <f t="shared" si="33"/>
        <v>19.765999999999998</v>
      </c>
      <c r="AJ226" s="38"/>
      <c r="AL226" s="16"/>
      <c r="AN226" s="39"/>
      <c r="AO226" s="39"/>
      <c r="AP226" s="48"/>
      <c r="AR226" s="38"/>
    </row>
    <row r="227" spans="22:45" ht="16" x14ac:dyDescent="0.4">
      <c r="V227" s="97">
        <v>45861</v>
      </c>
      <c r="W227" s="16">
        <v>175289</v>
      </c>
      <c r="X227" s="101" t="s">
        <v>36</v>
      </c>
      <c r="Y227" s="105"/>
      <c r="Z227" s="102">
        <v>0.5836689814814815</v>
      </c>
      <c r="AA227" s="102">
        <v>0.83464120370370365</v>
      </c>
      <c r="AB227" s="16"/>
      <c r="AC227" s="16"/>
      <c r="AD227" s="93">
        <v>19918</v>
      </c>
      <c r="AE227" s="93">
        <f t="shared" si="31"/>
        <v>19.917999999999999</v>
      </c>
      <c r="AF227" s="16">
        <v>17.91</v>
      </c>
      <c r="AG227" s="103">
        <f t="shared" si="32"/>
        <v>14</v>
      </c>
      <c r="AH227" s="37">
        <f t="shared" si="33"/>
        <v>19.917999999999999</v>
      </c>
      <c r="AJ227" s="38"/>
      <c r="AL227" s="16"/>
      <c r="AN227" s="39"/>
      <c r="AO227" s="39"/>
      <c r="AP227" s="48"/>
      <c r="AR227" s="38"/>
    </row>
    <row r="228" spans="22:45" ht="16" x14ac:dyDescent="0.4">
      <c r="V228" s="97">
        <v>45861</v>
      </c>
      <c r="W228" s="16">
        <v>175335</v>
      </c>
      <c r="X228" s="101" t="s">
        <v>36</v>
      </c>
      <c r="Y228" s="105"/>
      <c r="Z228" s="102">
        <v>0.5302662037037037</v>
      </c>
      <c r="AA228" s="102">
        <v>0.90982638888888889</v>
      </c>
      <c r="AB228" s="16"/>
      <c r="AC228" s="16"/>
      <c r="AD228" s="93">
        <v>21786</v>
      </c>
      <c r="AE228" s="93">
        <f t="shared" si="31"/>
        <v>21.786000000000001</v>
      </c>
      <c r="AF228" s="16">
        <v>14.38</v>
      </c>
      <c r="AG228" s="103">
        <f t="shared" si="32"/>
        <v>14</v>
      </c>
      <c r="AH228" s="37">
        <f t="shared" si="33"/>
        <v>21.786000000000001</v>
      </c>
      <c r="AJ228" s="38"/>
      <c r="AL228" s="16"/>
      <c r="AM228" s="16"/>
      <c r="AN228" s="81"/>
      <c r="AO228" s="81"/>
      <c r="AP228" s="48"/>
      <c r="AR228" s="38"/>
    </row>
    <row r="229" spans="22:45" ht="16" x14ac:dyDescent="0.4">
      <c r="V229" s="97">
        <v>45862</v>
      </c>
      <c r="W229" s="16">
        <v>175366</v>
      </c>
      <c r="X229" s="101" t="s">
        <v>36</v>
      </c>
      <c r="Y229" s="105"/>
      <c r="Z229" s="102">
        <v>0.58351851851851855</v>
      </c>
      <c r="AA229" s="102">
        <v>1.0046296296296296E-2</v>
      </c>
      <c r="AB229" s="16"/>
      <c r="AC229" s="16"/>
      <c r="AD229" s="93">
        <v>22886</v>
      </c>
      <c r="AE229" s="93">
        <f t="shared" si="31"/>
        <v>22.885999999999999</v>
      </c>
      <c r="AF229" s="16">
        <v>14.13</v>
      </c>
      <c r="AG229" s="103">
        <f t="shared" si="32"/>
        <v>14</v>
      </c>
      <c r="AH229" s="37">
        <f t="shared" si="33"/>
        <v>22.885999999999999</v>
      </c>
      <c r="AJ229" s="38"/>
      <c r="AL229" s="16"/>
      <c r="AM229" s="16"/>
      <c r="AN229" s="81"/>
      <c r="AP229" s="48"/>
      <c r="AR229" s="38"/>
    </row>
    <row r="230" spans="22:45" ht="16" x14ac:dyDescent="0.4">
      <c r="V230" s="97">
        <v>45862</v>
      </c>
      <c r="W230" s="16">
        <v>175377</v>
      </c>
      <c r="X230" s="101" t="s">
        <v>36</v>
      </c>
      <c r="Y230" s="105"/>
      <c r="Z230" s="102">
        <v>0.53010416666666671</v>
      </c>
      <c r="AA230" s="102">
        <v>8.0057870370370363E-2</v>
      </c>
      <c r="AB230" s="16"/>
      <c r="AC230" s="16"/>
      <c r="AD230" s="93">
        <v>20276</v>
      </c>
      <c r="AE230" s="93">
        <f t="shared" si="31"/>
        <v>20.276</v>
      </c>
      <c r="AF230" s="16">
        <v>13.62</v>
      </c>
      <c r="AG230" s="103">
        <f t="shared" si="32"/>
        <v>13.62</v>
      </c>
      <c r="AH230" s="37">
        <f t="shared" si="33"/>
        <v>19.725651428571428</v>
      </c>
      <c r="AJ230" s="38"/>
      <c r="AL230" s="16"/>
      <c r="AM230" s="16"/>
      <c r="AN230" s="81"/>
      <c r="AO230" s="81"/>
      <c r="AP230" s="48"/>
      <c r="AR230" s="38"/>
      <c r="AS230" s="49"/>
    </row>
    <row r="231" spans="22:45" ht="16" x14ac:dyDescent="0.4">
      <c r="V231" s="97">
        <v>45862</v>
      </c>
      <c r="W231" s="16">
        <v>175390</v>
      </c>
      <c r="X231" s="101" t="s">
        <v>36</v>
      </c>
      <c r="Y231" s="105"/>
      <c r="Z231" s="102">
        <v>4.6226851851851852E-2</v>
      </c>
      <c r="AA231" s="102">
        <v>0.1401388888888889</v>
      </c>
      <c r="AB231" s="16"/>
      <c r="AC231" s="16"/>
      <c r="AD231" s="93">
        <v>17828</v>
      </c>
      <c r="AE231" s="93">
        <f t="shared" si="31"/>
        <v>17.827999999999999</v>
      </c>
      <c r="AF231" s="16">
        <v>17.38</v>
      </c>
      <c r="AG231" s="103">
        <f t="shared" si="32"/>
        <v>14</v>
      </c>
      <c r="AH231" s="37">
        <f t="shared" si="33"/>
        <v>17.827999999999999</v>
      </c>
      <c r="AJ231" s="38"/>
      <c r="AL231" s="16"/>
      <c r="AM231" s="16"/>
      <c r="AN231" s="81"/>
      <c r="AO231" s="81"/>
      <c r="AP231" s="48"/>
      <c r="AR231" s="38"/>
      <c r="AS231" s="49"/>
    </row>
    <row r="232" spans="22:45" ht="16" x14ac:dyDescent="0.4">
      <c r="V232" s="97">
        <v>45862</v>
      </c>
      <c r="W232" s="16">
        <v>175394</v>
      </c>
      <c r="X232" s="101" t="s">
        <v>36</v>
      </c>
      <c r="Y232" s="105"/>
      <c r="Z232" s="102">
        <v>0.11680555555555555</v>
      </c>
      <c r="AA232" s="102">
        <v>0.19835648148148147</v>
      </c>
      <c r="AB232" s="16"/>
      <c r="AC232" s="16"/>
      <c r="AD232" s="93">
        <v>19242</v>
      </c>
      <c r="AE232" s="93">
        <f t="shared" si="31"/>
        <v>19.242000000000001</v>
      </c>
      <c r="AF232" s="16">
        <v>14.49</v>
      </c>
      <c r="AG232" s="103">
        <f t="shared" si="32"/>
        <v>14</v>
      </c>
      <c r="AH232" s="37">
        <f t="shared" si="33"/>
        <v>19.242000000000001</v>
      </c>
      <c r="AJ232" s="38"/>
      <c r="AL232" s="16"/>
      <c r="AM232" s="16"/>
      <c r="AN232" s="81"/>
      <c r="AO232" s="81"/>
      <c r="AP232" s="48"/>
      <c r="AR232" s="38"/>
      <c r="AS232" s="49"/>
    </row>
    <row r="233" spans="22:45" ht="16" x14ac:dyDescent="0.4">
      <c r="V233" s="97">
        <v>45862</v>
      </c>
      <c r="W233" s="16">
        <v>175408</v>
      </c>
      <c r="X233" s="101" t="s">
        <v>36</v>
      </c>
      <c r="Y233" s="105"/>
      <c r="Z233" s="102">
        <v>4.5833333333333337E-2</v>
      </c>
      <c r="AA233" s="102">
        <v>0.27638888888888885</v>
      </c>
      <c r="AB233" s="16"/>
      <c r="AC233" s="16"/>
      <c r="AD233" s="93">
        <v>12466</v>
      </c>
      <c r="AE233" s="93">
        <f t="shared" si="31"/>
        <v>12.465999999999999</v>
      </c>
      <c r="AF233" s="16">
        <v>13.56</v>
      </c>
      <c r="AG233" s="103">
        <f t="shared" si="32"/>
        <v>13.56</v>
      </c>
      <c r="AH233" s="37">
        <f t="shared" si="33"/>
        <v>12.074211428571429</v>
      </c>
      <c r="AJ233" s="38"/>
      <c r="AL233" s="16"/>
      <c r="AN233" s="81"/>
      <c r="AO233" s="81"/>
      <c r="AP233" s="48"/>
      <c r="AR233" s="38"/>
      <c r="AS233" s="49"/>
    </row>
    <row r="234" spans="22:45" ht="16" x14ac:dyDescent="0.4">
      <c r="V234" s="97">
        <v>45862</v>
      </c>
      <c r="W234" s="16">
        <v>175454</v>
      </c>
      <c r="X234" s="101" t="s">
        <v>36</v>
      </c>
      <c r="Y234" s="105"/>
      <c r="Z234" s="102">
        <v>0.11666666666666665</v>
      </c>
      <c r="AA234" s="102">
        <v>0.34236111111111112</v>
      </c>
      <c r="AB234" s="16">
        <v>104</v>
      </c>
      <c r="AC234" s="16" t="s">
        <v>667</v>
      </c>
      <c r="AD234" s="93">
        <v>9566</v>
      </c>
      <c r="AE234" s="93">
        <f t="shared" si="31"/>
        <v>9.5660000000000007</v>
      </c>
      <c r="AF234" s="16">
        <v>11.37</v>
      </c>
      <c r="AG234" s="103">
        <f t="shared" si="32"/>
        <v>11.37</v>
      </c>
      <c r="AH234" s="37">
        <f t="shared" si="33"/>
        <v>7.7689585714285716</v>
      </c>
      <c r="AJ234" s="38"/>
      <c r="AL234" s="16"/>
      <c r="AN234" s="81"/>
      <c r="AO234" s="81"/>
      <c r="AP234" s="48"/>
      <c r="AR234" s="38"/>
      <c r="AS234" s="49"/>
    </row>
    <row r="235" spans="22:45" ht="16" x14ac:dyDescent="0.4">
      <c r="V235" s="97">
        <v>45862</v>
      </c>
      <c r="W235" s="16">
        <v>175738</v>
      </c>
      <c r="X235" s="101" t="s">
        <v>36</v>
      </c>
      <c r="Y235" s="105"/>
      <c r="Z235" s="102">
        <v>4.6053240740740742E-2</v>
      </c>
      <c r="AA235" s="102">
        <v>0.82325231481481476</v>
      </c>
      <c r="AB235" s="16"/>
      <c r="AC235" s="16"/>
      <c r="AD235" s="93">
        <v>19228</v>
      </c>
      <c r="AE235" s="93">
        <f t="shared" si="31"/>
        <v>19.228000000000002</v>
      </c>
      <c r="AF235" s="16">
        <v>14.91</v>
      </c>
      <c r="AG235" s="103">
        <f t="shared" si="32"/>
        <v>14</v>
      </c>
      <c r="AH235" s="37">
        <f t="shared" si="33"/>
        <v>19.228000000000002</v>
      </c>
      <c r="AJ235" s="38"/>
      <c r="AL235" s="16"/>
      <c r="AN235" s="81"/>
      <c r="AO235" s="81"/>
      <c r="AP235" s="48"/>
      <c r="AR235" s="38"/>
      <c r="AS235" s="49"/>
    </row>
    <row r="236" spans="22:45" ht="16" x14ac:dyDescent="0.4">
      <c r="V236" s="97">
        <v>45862</v>
      </c>
      <c r="W236" s="16">
        <v>175765</v>
      </c>
      <c r="X236" s="101" t="s">
        <v>36</v>
      </c>
      <c r="Y236" s="105"/>
      <c r="Z236" s="102">
        <v>0.401400462962963</v>
      </c>
      <c r="AA236" s="102">
        <v>0.8817476851851852</v>
      </c>
      <c r="AB236" s="16"/>
      <c r="AC236" s="16"/>
      <c r="AD236" s="93">
        <v>18648</v>
      </c>
      <c r="AE236" s="93">
        <f t="shared" si="31"/>
        <v>18.648</v>
      </c>
      <c r="AF236" s="16">
        <v>16.16</v>
      </c>
      <c r="AG236" s="103">
        <f t="shared" si="32"/>
        <v>14</v>
      </c>
      <c r="AH236" s="37">
        <f t="shared" si="33"/>
        <v>18.648</v>
      </c>
      <c r="AJ236" s="38"/>
      <c r="AL236" s="16"/>
      <c r="AN236" s="81"/>
      <c r="AP236" s="48"/>
      <c r="AR236" s="38"/>
      <c r="AS236" s="49"/>
    </row>
    <row r="237" spans="22:45" ht="16" x14ac:dyDescent="0.4">
      <c r="V237" s="97">
        <v>45862</v>
      </c>
      <c r="W237" s="16">
        <v>175799</v>
      </c>
      <c r="X237" s="101" t="s">
        <v>36</v>
      </c>
      <c r="Y237" s="105"/>
      <c r="Z237" s="102">
        <v>0.72753472222222226</v>
      </c>
      <c r="AA237" s="102">
        <v>8.8822106481481473</v>
      </c>
      <c r="AB237" s="16"/>
      <c r="AC237" s="16"/>
      <c r="AD237" s="93">
        <v>20748</v>
      </c>
      <c r="AE237" s="93">
        <f t="shared" si="31"/>
        <v>20.748000000000001</v>
      </c>
      <c r="AF237" s="16">
        <v>14.98</v>
      </c>
      <c r="AG237" s="103">
        <f t="shared" si="32"/>
        <v>14</v>
      </c>
      <c r="AH237" s="37">
        <f t="shared" si="33"/>
        <v>20.748000000000001</v>
      </c>
      <c r="AJ237" s="38"/>
      <c r="AL237" s="16"/>
      <c r="AN237" s="81"/>
      <c r="AO237" s="81"/>
      <c r="AP237" s="48"/>
      <c r="AR237" s="38"/>
      <c r="AS237" s="49"/>
    </row>
    <row r="238" spans="22:45" ht="16" x14ac:dyDescent="0.4">
      <c r="V238" s="97">
        <v>45863</v>
      </c>
      <c r="W238" s="16">
        <v>175822</v>
      </c>
      <c r="X238" s="101" t="s">
        <v>36</v>
      </c>
      <c r="Y238" s="105"/>
      <c r="Z238" s="102">
        <v>0.11692129629629629</v>
      </c>
      <c r="AA238" s="102">
        <v>3.0451388888888889E-2</v>
      </c>
      <c r="AB238" s="16"/>
      <c r="AC238" s="16"/>
      <c r="AD238" s="93">
        <v>18762</v>
      </c>
      <c r="AE238" s="93">
        <f t="shared" si="31"/>
        <v>18.762</v>
      </c>
      <c r="AF238" s="16">
        <v>15.52</v>
      </c>
      <c r="AG238" s="103">
        <f t="shared" si="32"/>
        <v>14</v>
      </c>
      <c r="AH238" s="37">
        <f t="shared" si="33"/>
        <v>18.762</v>
      </c>
      <c r="AJ238" s="38"/>
      <c r="AL238" s="16"/>
      <c r="AN238" s="81"/>
      <c r="AO238" s="81"/>
      <c r="AP238" s="48"/>
      <c r="AR238" s="38"/>
      <c r="AS238" s="49"/>
    </row>
    <row r="239" spans="22:45" ht="16" x14ac:dyDescent="0.4">
      <c r="V239" s="97">
        <v>45863</v>
      </c>
      <c r="W239" s="16">
        <v>175833</v>
      </c>
      <c r="X239" s="101" t="s">
        <v>36</v>
      </c>
      <c r="Y239" s="105"/>
      <c r="Z239" s="102">
        <v>0.72743055555555547</v>
      </c>
      <c r="AA239" s="102">
        <v>9.403935185185186E-2</v>
      </c>
      <c r="AB239" s="16"/>
      <c r="AC239" s="16"/>
      <c r="AD239" s="93">
        <v>21700</v>
      </c>
      <c r="AE239" s="93">
        <f t="shared" si="31"/>
        <v>21.7</v>
      </c>
      <c r="AF239" s="16">
        <v>14.84</v>
      </c>
      <c r="AG239" s="103">
        <f t="shared" si="32"/>
        <v>14</v>
      </c>
      <c r="AH239" s="37">
        <f t="shared" si="33"/>
        <v>21.7</v>
      </c>
      <c r="AJ239" s="38"/>
      <c r="AL239" s="16"/>
      <c r="AP239" s="48"/>
      <c r="AR239" s="38"/>
      <c r="AS239" s="49"/>
    </row>
    <row r="240" spans="22:45" ht="16" x14ac:dyDescent="0.4">
      <c r="V240" s="97">
        <v>45863</v>
      </c>
      <c r="W240" s="16">
        <v>175847</v>
      </c>
      <c r="X240" s="101" t="s">
        <v>36</v>
      </c>
      <c r="Y240" s="105"/>
      <c r="Z240" s="102">
        <v>0.10490740740740741</v>
      </c>
      <c r="AA240" s="102">
        <v>0.15004629629629629</v>
      </c>
      <c r="AB240" s="16"/>
      <c r="AC240" s="16"/>
      <c r="AD240" s="93">
        <v>17482</v>
      </c>
      <c r="AE240" s="93">
        <f t="shared" si="31"/>
        <v>17.481999999999999</v>
      </c>
      <c r="AF240" s="16">
        <v>16.62</v>
      </c>
      <c r="AG240" s="103">
        <f t="shared" si="32"/>
        <v>14</v>
      </c>
      <c r="AH240" s="37">
        <f t="shared" si="33"/>
        <v>17.481999999999999</v>
      </c>
      <c r="AJ240" s="38"/>
      <c r="AL240" s="16"/>
      <c r="AN240" s="81"/>
      <c r="AO240" s="81"/>
      <c r="AP240" s="48"/>
      <c r="AR240" s="38"/>
      <c r="AS240" s="49"/>
    </row>
    <row r="241" spans="22:45" ht="16" x14ac:dyDescent="0.4">
      <c r="V241" s="97">
        <v>45863</v>
      </c>
      <c r="W241" s="16">
        <v>175853</v>
      </c>
      <c r="X241" s="101" t="s">
        <v>36</v>
      </c>
      <c r="Y241" s="105"/>
      <c r="Z241" s="102">
        <v>0.12732638888888889</v>
      </c>
      <c r="AA241" s="102">
        <v>0.20182870370370373</v>
      </c>
      <c r="AB241" s="16">
        <v>104</v>
      </c>
      <c r="AC241" s="16" t="s">
        <v>667</v>
      </c>
      <c r="AD241" s="93">
        <v>19230</v>
      </c>
      <c r="AE241" s="93">
        <f t="shared" si="31"/>
        <v>19.23</v>
      </c>
      <c r="AF241" s="16">
        <v>13.77</v>
      </c>
      <c r="AG241" s="103">
        <f t="shared" si="32"/>
        <v>13.77</v>
      </c>
      <c r="AH241" s="37">
        <f t="shared" si="33"/>
        <v>18.914078571428572</v>
      </c>
      <c r="AJ241" s="38"/>
      <c r="AL241" s="16"/>
      <c r="AN241" s="81"/>
      <c r="AO241" s="81"/>
      <c r="AP241" s="48"/>
      <c r="AR241" s="38"/>
      <c r="AS241" s="49"/>
    </row>
    <row r="242" spans="22:45" ht="16" x14ac:dyDescent="0.4">
      <c r="V242" s="97">
        <v>45863</v>
      </c>
      <c r="W242" s="16">
        <v>175902</v>
      </c>
      <c r="X242" s="101" t="s">
        <v>36</v>
      </c>
      <c r="Y242" s="105"/>
      <c r="Z242" s="102">
        <v>0.84375</v>
      </c>
      <c r="AA242" s="102">
        <v>0.3298611111111111</v>
      </c>
      <c r="AB242" s="16"/>
      <c r="AC242" s="16"/>
      <c r="AD242" s="93">
        <v>19828</v>
      </c>
      <c r="AE242" s="93">
        <f t="shared" si="31"/>
        <v>19.827999999999999</v>
      </c>
      <c r="AF242" s="16">
        <v>14.34</v>
      </c>
      <c r="AG242" s="103">
        <f t="shared" si="32"/>
        <v>14</v>
      </c>
      <c r="AH242" s="37">
        <f t="shared" si="33"/>
        <v>19.827999999999999</v>
      </c>
      <c r="AJ242" s="38"/>
      <c r="AL242" s="16"/>
      <c r="AN242" s="81"/>
      <c r="AO242" s="81"/>
      <c r="AP242" s="48"/>
      <c r="AR242" s="38"/>
      <c r="AS242" s="49"/>
    </row>
    <row r="243" spans="22:45" ht="16" x14ac:dyDescent="0.4">
      <c r="V243" s="97">
        <v>45863</v>
      </c>
      <c r="W243" s="16">
        <v>175970</v>
      </c>
      <c r="X243" s="101" t="s">
        <v>36</v>
      </c>
      <c r="Y243" s="105"/>
      <c r="Z243" s="102">
        <v>0.72361111111111109</v>
      </c>
      <c r="AA243" s="102">
        <v>0.38958333333333334</v>
      </c>
      <c r="AB243" s="16"/>
      <c r="AC243" s="16"/>
      <c r="AD243" s="93">
        <v>18864</v>
      </c>
      <c r="AE243" s="93">
        <f t="shared" si="31"/>
        <v>18.864000000000001</v>
      </c>
      <c r="AF243" s="16">
        <v>15.11</v>
      </c>
      <c r="AG243" s="103">
        <f t="shared" si="32"/>
        <v>14</v>
      </c>
      <c r="AH243" s="37">
        <f t="shared" si="33"/>
        <v>18.864000000000001</v>
      </c>
      <c r="AJ243" s="38"/>
      <c r="AL243" s="16"/>
      <c r="AN243" s="39"/>
      <c r="AO243" s="39"/>
      <c r="AP243" s="48"/>
      <c r="AR243" s="38"/>
      <c r="AS243" s="49"/>
    </row>
    <row r="244" spans="22:45" ht="16" x14ac:dyDescent="0.4">
      <c r="V244" s="97">
        <v>45863</v>
      </c>
      <c r="W244" s="16">
        <v>176042</v>
      </c>
      <c r="X244" s="101" t="s">
        <v>36</v>
      </c>
      <c r="Y244" s="105"/>
      <c r="Z244" s="102">
        <v>0.39652777777777781</v>
      </c>
      <c r="AA244" s="102">
        <v>0.48402777777777778</v>
      </c>
      <c r="AB244" s="16"/>
      <c r="AC244" s="16"/>
      <c r="AD244" s="93">
        <v>18704</v>
      </c>
      <c r="AE244" s="93">
        <f t="shared" si="31"/>
        <v>18.704000000000001</v>
      </c>
      <c r="AF244" s="16">
        <v>14.12</v>
      </c>
      <c r="AG244" s="103">
        <f t="shared" si="32"/>
        <v>14</v>
      </c>
      <c r="AH244" s="37">
        <f t="shared" si="33"/>
        <v>18.704000000000001</v>
      </c>
      <c r="AJ244" s="38"/>
      <c r="AL244" s="16"/>
      <c r="AN244" s="81"/>
      <c r="AO244" s="81"/>
      <c r="AP244" s="48"/>
      <c r="AR244" s="38"/>
      <c r="AS244" s="49"/>
    </row>
    <row r="245" spans="22:45" ht="16" x14ac:dyDescent="0.4">
      <c r="V245" s="97">
        <v>45863</v>
      </c>
      <c r="W245" s="16">
        <v>176100</v>
      </c>
      <c r="X245" s="101" t="s">
        <v>36</v>
      </c>
      <c r="Y245" s="105"/>
      <c r="Z245" s="102">
        <v>0.12847222222222224</v>
      </c>
      <c r="AA245" s="102">
        <v>0.55625000000000002</v>
      </c>
      <c r="AB245" s="16"/>
      <c r="AC245" s="16"/>
      <c r="AD245" s="93">
        <v>19176</v>
      </c>
      <c r="AE245" s="93">
        <f t="shared" si="31"/>
        <v>19.175999999999998</v>
      </c>
      <c r="AF245" s="16">
        <v>14.27</v>
      </c>
      <c r="AG245" s="103">
        <f t="shared" si="32"/>
        <v>14</v>
      </c>
      <c r="AH245" s="37">
        <f t="shared" si="33"/>
        <v>19.175999999999998</v>
      </c>
      <c r="AJ245" s="38"/>
      <c r="AK245" s="81"/>
      <c r="AL245" s="16"/>
      <c r="AN245" s="81"/>
      <c r="AO245" s="81"/>
      <c r="AP245" s="48"/>
      <c r="AR245" s="38"/>
      <c r="AS245" s="49"/>
    </row>
    <row r="246" spans="22:45" ht="16" x14ac:dyDescent="0.4">
      <c r="V246" s="97">
        <v>45863</v>
      </c>
      <c r="W246" s="16">
        <v>176148</v>
      </c>
      <c r="X246" s="101" t="s">
        <v>36</v>
      </c>
      <c r="Y246" s="105"/>
      <c r="Z246" s="102">
        <v>0.19236111111111112</v>
      </c>
      <c r="AA246" s="102">
        <v>0.62708333333333333</v>
      </c>
      <c r="AB246" s="16"/>
      <c r="AC246" s="16"/>
      <c r="AD246" s="93">
        <v>18872</v>
      </c>
      <c r="AE246" s="93">
        <f t="shared" si="31"/>
        <v>18.872</v>
      </c>
      <c r="AF246" s="16">
        <v>14.77</v>
      </c>
      <c r="AG246" s="103">
        <f t="shared" si="32"/>
        <v>14</v>
      </c>
      <c r="AH246" s="37">
        <f t="shared" si="33"/>
        <v>18.871999999999996</v>
      </c>
      <c r="AJ246" s="38"/>
      <c r="AL246" s="16"/>
      <c r="AN246" s="81"/>
      <c r="AO246" s="81"/>
      <c r="AP246" s="48"/>
      <c r="AR246" s="38"/>
      <c r="AS246" s="49"/>
    </row>
    <row r="247" spans="22:45" ht="16" x14ac:dyDescent="0.4">
      <c r="V247" s="97">
        <v>45863</v>
      </c>
      <c r="W247" s="16">
        <v>176188</v>
      </c>
      <c r="X247" s="101" t="s">
        <v>36</v>
      </c>
      <c r="Y247" s="105"/>
      <c r="Z247" s="102">
        <v>0.12847222222222224</v>
      </c>
      <c r="AA247" s="102">
        <v>0.69444444444444453</v>
      </c>
      <c r="AB247" s="16"/>
      <c r="AC247" s="16"/>
      <c r="AD247" s="93">
        <v>19316</v>
      </c>
      <c r="AE247" s="93">
        <f t="shared" si="31"/>
        <v>19.315999999999999</v>
      </c>
      <c r="AF247" s="16">
        <v>16.149999999999999</v>
      </c>
      <c r="AG247" s="103">
        <f t="shared" si="32"/>
        <v>14</v>
      </c>
      <c r="AH247" s="37">
        <f t="shared" si="33"/>
        <v>19.315999999999999</v>
      </c>
      <c r="AJ247" s="38"/>
      <c r="AL247" s="16"/>
      <c r="AN247" s="81"/>
      <c r="AO247" s="81"/>
      <c r="AP247" s="48"/>
      <c r="AR247" s="38"/>
      <c r="AS247" s="49"/>
    </row>
    <row r="248" spans="22:45" ht="16" x14ac:dyDescent="0.4">
      <c r="V248" s="97">
        <v>45863</v>
      </c>
      <c r="W248" s="16">
        <v>176209</v>
      </c>
      <c r="X248" s="101" t="s">
        <v>36</v>
      </c>
      <c r="Y248" s="105"/>
      <c r="Z248" s="102">
        <v>0.538599537037037</v>
      </c>
      <c r="AA248" s="102">
        <v>0.74228009259259264</v>
      </c>
      <c r="AB248" s="16"/>
      <c r="AC248" s="16"/>
      <c r="AD248" s="93">
        <v>17418</v>
      </c>
      <c r="AE248" s="93">
        <f t="shared" si="31"/>
        <v>17.417999999999999</v>
      </c>
      <c r="AF248" s="16">
        <v>15.52</v>
      </c>
      <c r="AG248" s="103">
        <f t="shared" si="32"/>
        <v>14</v>
      </c>
      <c r="AH248" s="37">
        <f t="shared" si="33"/>
        <v>17.417999999999999</v>
      </c>
      <c r="AJ248" s="38"/>
      <c r="AL248" s="16"/>
      <c r="AN248" s="81"/>
      <c r="AO248" s="81"/>
      <c r="AP248" s="48"/>
      <c r="AR248" s="38"/>
      <c r="AS248" s="49"/>
    </row>
    <row r="249" spans="22:45" ht="16" x14ac:dyDescent="0.4">
      <c r="V249" s="97">
        <v>45863</v>
      </c>
      <c r="W249" s="16">
        <v>176250</v>
      </c>
      <c r="X249" s="101" t="s">
        <v>36</v>
      </c>
      <c r="Y249" s="105"/>
      <c r="Z249" s="102">
        <v>0.74340277777777775</v>
      </c>
      <c r="AA249" s="102">
        <v>0.84167824074074071</v>
      </c>
      <c r="AB249" s="16"/>
      <c r="AC249" s="16"/>
      <c r="AD249" s="93">
        <v>21436</v>
      </c>
      <c r="AE249" s="93">
        <f t="shared" si="31"/>
        <v>21.436</v>
      </c>
      <c r="AF249" s="16">
        <v>17.45</v>
      </c>
      <c r="AG249" s="103">
        <f t="shared" si="32"/>
        <v>14</v>
      </c>
      <c r="AH249" s="37">
        <f t="shared" si="33"/>
        <v>21.436</v>
      </c>
      <c r="AJ249" s="38"/>
      <c r="AN249" s="81"/>
      <c r="AO249" s="81"/>
      <c r="AP249" s="48"/>
      <c r="AR249" s="38"/>
      <c r="AS249" s="49"/>
    </row>
    <row r="250" spans="22:45" ht="16" x14ac:dyDescent="0.4">
      <c r="V250" s="97">
        <v>45863</v>
      </c>
      <c r="W250" s="16">
        <v>176269</v>
      </c>
      <c r="X250" s="101" t="s">
        <v>36</v>
      </c>
      <c r="Y250" s="105"/>
      <c r="Z250" s="102">
        <v>0.53818287037037038</v>
      </c>
      <c r="AA250" s="102">
        <v>0.90059027777777778</v>
      </c>
      <c r="AB250" s="16"/>
      <c r="AC250" s="16"/>
      <c r="AD250" s="93">
        <v>18820</v>
      </c>
      <c r="AE250" s="93">
        <f t="shared" si="31"/>
        <v>18.82</v>
      </c>
      <c r="AF250" s="16">
        <v>17.48</v>
      </c>
      <c r="AG250" s="103">
        <f t="shared" si="32"/>
        <v>14</v>
      </c>
      <c r="AH250" s="37">
        <f t="shared" si="33"/>
        <v>18.82</v>
      </c>
      <c r="AJ250" s="38"/>
      <c r="AN250" s="81"/>
      <c r="AO250" s="81"/>
      <c r="AP250" s="48"/>
      <c r="AR250" s="38"/>
      <c r="AS250" s="49"/>
    </row>
    <row r="251" spans="22:45" ht="16" x14ac:dyDescent="0.4">
      <c r="V251" s="97">
        <v>45863</v>
      </c>
      <c r="W251" s="16">
        <v>176299</v>
      </c>
      <c r="X251" s="101" t="s">
        <v>36</v>
      </c>
      <c r="Y251" s="105"/>
      <c r="Z251" s="102">
        <v>0.74312500000000004</v>
      </c>
      <c r="AA251" s="102">
        <v>0.99054398148148148</v>
      </c>
      <c r="AB251" s="16"/>
      <c r="AC251" s="16"/>
      <c r="AD251" s="93">
        <v>20926</v>
      </c>
      <c r="AE251" s="93">
        <f t="shared" si="31"/>
        <v>20.925999999999998</v>
      </c>
      <c r="AF251" s="16">
        <v>14.38</v>
      </c>
      <c r="AG251" s="103">
        <f t="shared" si="32"/>
        <v>14</v>
      </c>
      <c r="AH251" s="37">
        <f t="shared" si="33"/>
        <v>20.925999999999998</v>
      </c>
      <c r="AJ251" s="38"/>
      <c r="AN251" s="81"/>
      <c r="AO251" s="81"/>
      <c r="AP251" s="48"/>
      <c r="AR251" s="38"/>
      <c r="AS251" s="49"/>
    </row>
    <row r="252" spans="22:45" ht="16" x14ac:dyDescent="0.4">
      <c r="V252" s="97">
        <v>45864</v>
      </c>
      <c r="W252" s="16">
        <v>176304</v>
      </c>
      <c r="X252" s="101" t="s">
        <v>36</v>
      </c>
      <c r="Y252" s="105"/>
      <c r="Z252" s="102">
        <v>0.53850694444444447</v>
      </c>
      <c r="AA252" s="102">
        <v>5.9872685185185182E-2</v>
      </c>
      <c r="AB252" s="16"/>
      <c r="AC252" s="16"/>
      <c r="AD252" s="93">
        <v>20856</v>
      </c>
      <c r="AE252" s="93">
        <f t="shared" si="31"/>
        <v>20.856000000000002</v>
      </c>
      <c r="AF252" s="16">
        <v>15.59</v>
      </c>
      <c r="AG252" s="103">
        <f t="shared" si="32"/>
        <v>14</v>
      </c>
      <c r="AH252" s="37">
        <f t="shared" si="33"/>
        <v>20.856000000000002</v>
      </c>
      <c r="AJ252" s="38"/>
      <c r="AN252" s="81"/>
      <c r="AO252" s="81"/>
      <c r="AP252" s="48"/>
      <c r="AR252" s="38"/>
      <c r="AS252" s="49"/>
    </row>
    <row r="253" spans="22:45" ht="16" x14ac:dyDescent="0.4">
      <c r="V253" s="97">
        <v>45864</v>
      </c>
      <c r="W253" s="16">
        <v>176328</v>
      </c>
      <c r="X253" s="101" t="s">
        <v>36</v>
      </c>
      <c r="Y253" s="105"/>
      <c r="Z253" s="102">
        <v>0.74324074074074076</v>
      </c>
      <c r="AA253" s="102">
        <v>0.1275462962962963</v>
      </c>
      <c r="AB253" s="16"/>
      <c r="AC253" s="16"/>
      <c r="AD253" s="93">
        <v>20132</v>
      </c>
      <c r="AE253" s="93">
        <f t="shared" si="31"/>
        <v>20.132000000000001</v>
      </c>
      <c r="AF253" s="16">
        <v>15.13</v>
      </c>
      <c r="AG253" s="103">
        <f t="shared" si="32"/>
        <v>14</v>
      </c>
      <c r="AH253" s="37">
        <f t="shared" si="33"/>
        <v>20.132000000000001</v>
      </c>
      <c r="AJ253" s="38"/>
      <c r="AN253" s="81"/>
      <c r="AO253" s="81"/>
      <c r="AP253" s="48"/>
      <c r="AR253" s="38"/>
      <c r="AS253" s="49"/>
    </row>
    <row r="254" spans="22:45" ht="16" x14ac:dyDescent="0.4">
      <c r="V254" s="97">
        <v>45864</v>
      </c>
      <c r="W254" s="16">
        <v>176335</v>
      </c>
      <c r="X254" s="101" t="s">
        <v>36</v>
      </c>
      <c r="Y254" s="105"/>
      <c r="Z254" s="102">
        <v>9.5208333333333339E-2</v>
      </c>
      <c r="AA254" s="102">
        <v>0.18349537037037036</v>
      </c>
      <c r="AB254" s="16"/>
      <c r="AC254" s="16"/>
      <c r="AD254" s="93">
        <v>21098</v>
      </c>
      <c r="AE254" s="93">
        <f t="shared" si="31"/>
        <v>21.097999999999999</v>
      </c>
      <c r="AF254" s="16">
        <v>14.31</v>
      </c>
      <c r="AG254" s="103">
        <f t="shared" si="32"/>
        <v>14</v>
      </c>
      <c r="AH254" s="37">
        <f t="shared" si="33"/>
        <v>21.097999999999995</v>
      </c>
      <c r="AJ254" s="38"/>
      <c r="AP254" s="48"/>
      <c r="AR254" s="38"/>
      <c r="AS254" s="49"/>
    </row>
    <row r="255" spans="22:45" ht="16" x14ac:dyDescent="0.4">
      <c r="V255" s="97">
        <v>45864</v>
      </c>
      <c r="W255" s="16">
        <v>176359</v>
      </c>
      <c r="X255" s="101" t="s">
        <v>36</v>
      </c>
      <c r="Y255" s="105"/>
      <c r="Z255" s="102">
        <v>0.16597222222222222</v>
      </c>
      <c r="AA255" s="102">
        <v>0.29097222222222224</v>
      </c>
      <c r="AB255" s="16"/>
      <c r="AC255" s="16"/>
      <c r="AD255" s="93">
        <v>14022</v>
      </c>
      <c r="AE255" s="93">
        <f t="shared" si="31"/>
        <v>14.022</v>
      </c>
      <c r="AF255" s="16">
        <v>14.83</v>
      </c>
      <c r="AG255" s="103">
        <f t="shared" si="32"/>
        <v>14</v>
      </c>
      <c r="AH255" s="37">
        <f t="shared" si="33"/>
        <v>14.022</v>
      </c>
      <c r="AJ255" s="38"/>
      <c r="AN255" s="81"/>
      <c r="AO255" s="81"/>
      <c r="AP255" s="48"/>
      <c r="AR255" s="38"/>
      <c r="AS255" s="71"/>
    </row>
    <row r="256" spans="22:45" ht="16" x14ac:dyDescent="0.4">
      <c r="V256" s="97">
        <v>45864</v>
      </c>
      <c r="W256" s="16">
        <v>176446</v>
      </c>
      <c r="X256" s="101" t="s">
        <v>36</v>
      </c>
      <c r="Y256" s="105"/>
      <c r="Z256" s="102">
        <v>9.5138888888888884E-2</v>
      </c>
      <c r="AA256" s="102">
        <v>0.39097222222222222</v>
      </c>
      <c r="AB256" s="16"/>
      <c r="AC256" s="16"/>
      <c r="AD256" s="93">
        <v>20506</v>
      </c>
      <c r="AE256" s="93">
        <f t="shared" si="31"/>
        <v>20.506</v>
      </c>
      <c r="AF256" s="16">
        <v>15.46</v>
      </c>
      <c r="AG256" s="103">
        <f t="shared" si="32"/>
        <v>14</v>
      </c>
      <c r="AH256" s="37">
        <f t="shared" si="33"/>
        <v>20.506</v>
      </c>
      <c r="AJ256" s="38"/>
      <c r="AN256" s="81"/>
      <c r="AO256" s="81"/>
      <c r="AP256" s="48"/>
      <c r="AR256" s="38"/>
      <c r="AS256" s="49"/>
    </row>
    <row r="257" spans="22:45" ht="16" x14ac:dyDescent="0.4">
      <c r="V257" s="97">
        <v>45864</v>
      </c>
      <c r="W257" s="16">
        <v>176505</v>
      </c>
      <c r="X257" s="101" t="s">
        <v>36</v>
      </c>
      <c r="Y257" s="105"/>
      <c r="Z257" s="102">
        <v>0.16597222222222222</v>
      </c>
      <c r="AA257" s="102">
        <v>0.49791666666666662</v>
      </c>
      <c r="AB257" s="16"/>
      <c r="AC257" s="16"/>
      <c r="AD257" s="93">
        <v>20930</v>
      </c>
      <c r="AE257" s="93">
        <f t="shared" si="31"/>
        <v>20.93</v>
      </c>
      <c r="AF257" s="16">
        <v>16.09</v>
      </c>
      <c r="AG257" s="103">
        <f t="shared" si="32"/>
        <v>14</v>
      </c>
      <c r="AH257" s="37">
        <f t="shared" si="33"/>
        <v>20.93</v>
      </c>
      <c r="AJ257" s="38"/>
      <c r="AN257" s="81"/>
      <c r="AO257" s="81"/>
      <c r="AP257" s="48"/>
      <c r="AR257" s="38"/>
      <c r="AS257" s="49"/>
    </row>
    <row r="258" spans="22:45" ht="16" x14ac:dyDescent="0.4">
      <c r="V258" s="97">
        <v>45864</v>
      </c>
      <c r="W258" s="16">
        <v>176530</v>
      </c>
      <c r="X258" s="101" t="s">
        <v>36</v>
      </c>
      <c r="Y258" s="105"/>
      <c r="Z258" s="102">
        <v>0.4465277777777778</v>
      </c>
      <c r="AA258" s="102">
        <v>0.55069444444444449</v>
      </c>
      <c r="AB258" s="16"/>
      <c r="AC258" s="16"/>
      <c r="AD258" s="93">
        <v>19164</v>
      </c>
      <c r="AE258" s="93">
        <f t="shared" si="31"/>
        <v>19.164000000000001</v>
      </c>
      <c r="AF258" s="16">
        <v>14.56</v>
      </c>
      <c r="AG258" s="103">
        <f t="shared" si="32"/>
        <v>14</v>
      </c>
      <c r="AH258" s="37">
        <f t="shared" si="33"/>
        <v>19.164000000000005</v>
      </c>
      <c r="AJ258" s="97"/>
      <c r="AN258" s="39"/>
      <c r="AO258" s="39"/>
      <c r="AP258" s="47"/>
      <c r="AR258" s="38"/>
      <c r="AS258" s="49"/>
    </row>
    <row r="259" spans="22:45" ht="16" x14ac:dyDescent="0.4">
      <c r="V259" s="97">
        <v>45864</v>
      </c>
      <c r="W259" s="16">
        <v>176568</v>
      </c>
      <c r="X259" s="101" t="s">
        <v>36</v>
      </c>
      <c r="Y259" s="105"/>
      <c r="Z259" s="102">
        <v>0.5395833333333333</v>
      </c>
      <c r="AA259" s="102">
        <v>0.62361111111111112</v>
      </c>
      <c r="AB259" s="16"/>
      <c r="AC259" s="16"/>
      <c r="AD259" s="93">
        <v>21964</v>
      </c>
      <c r="AE259" s="93">
        <f t="shared" si="31"/>
        <v>21.963999999999999</v>
      </c>
      <c r="AF259" s="16">
        <v>14.41</v>
      </c>
      <c r="AG259" s="103">
        <f t="shared" si="32"/>
        <v>14</v>
      </c>
      <c r="AH259" s="37">
        <f t="shared" si="33"/>
        <v>21.963999999999999</v>
      </c>
      <c r="AJ259" s="97"/>
      <c r="AP259" s="47"/>
      <c r="AR259" s="38"/>
      <c r="AS259" s="49"/>
    </row>
    <row r="260" spans="22:45" ht="16" x14ac:dyDescent="0.4">
      <c r="V260" s="97">
        <v>45864</v>
      </c>
      <c r="W260" s="16">
        <v>176589</v>
      </c>
      <c r="X260" s="101" t="s">
        <v>36</v>
      </c>
      <c r="Y260" s="105"/>
      <c r="Z260" s="102">
        <v>0.6118055555555556</v>
      </c>
      <c r="AA260" s="102">
        <v>0.69652777777777775</v>
      </c>
      <c r="AB260" s="16"/>
      <c r="AC260" s="16"/>
      <c r="AD260" s="93">
        <v>20284</v>
      </c>
      <c r="AE260" s="93">
        <f t="shared" si="31"/>
        <v>20.283999999999999</v>
      </c>
      <c r="AF260" s="16">
        <v>14.88</v>
      </c>
      <c r="AG260" s="103">
        <f t="shared" si="32"/>
        <v>14</v>
      </c>
      <c r="AH260" s="37">
        <f t="shared" si="33"/>
        <v>20.283999999999999</v>
      </c>
      <c r="AJ260" s="97"/>
      <c r="AN260" s="39"/>
      <c r="AO260" s="39"/>
      <c r="AP260" s="47"/>
      <c r="AR260" s="38"/>
      <c r="AS260" s="49"/>
    </row>
    <row r="261" spans="22:45" ht="16" x14ac:dyDescent="0.4">
      <c r="V261" s="97">
        <v>45864</v>
      </c>
      <c r="W261" s="16">
        <v>176605</v>
      </c>
      <c r="X261" s="101" t="s">
        <v>36</v>
      </c>
      <c r="Y261" s="105"/>
      <c r="Z261" s="102">
        <v>0.45624999999999999</v>
      </c>
      <c r="AA261" s="102">
        <v>0.73541666666666661</v>
      </c>
      <c r="AB261" s="16"/>
      <c r="AC261" s="16"/>
      <c r="AD261" s="93">
        <v>17228</v>
      </c>
      <c r="AE261" s="93">
        <f t="shared" ref="AE261:AE324" si="34">AD261/1000</f>
        <v>17.228000000000002</v>
      </c>
      <c r="AF261" s="16">
        <v>15.55</v>
      </c>
      <c r="AG261" s="103">
        <f t="shared" si="32"/>
        <v>14</v>
      </c>
      <c r="AH261" s="37">
        <f t="shared" si="33"/>
        <v>17.228000000000002</v>
      </c>
      <c r="AJ261" s="97"/>
      <c r="AN261" s="39"/>
      <c r="AO261" s="39"/>
      <c r="AP261" s="47"/>
      <c r="AR261" s="38"/>
      <c r="AS261" s="49"/>
    </row>
    <row r="262" spans="22:45" ht="16" x14ac:dyDescent="0.4">
      <c r="V262" s="97">
        <v>45864</v>
      </c>
      <c r="W262" s="16">
        <v>176613</v>
      </c>
      <c r="X262" s="101" t="s">
        <v>36</v>
      </c>
      <c r="Y262" s="105"/>
      <c r="Z262" s="102">
        <v>0.73431712962962958</v>
      </c>
      <c r="AA262" s="102">
        <v>0.83553240740740742</v>
      </c>
      <c r="AB262" s="16"/>
      <c r="AC262" s="16"/>
      <c r="AD262" s="93">
        <v>20276</v>
      </c>
      <c r="AE262" s="93">
        <f t="shared" si="34"/>
        <v>20.276</v>
      </c>
      <c r="AF262" s="16">
        <v>14.59</v>
      </c>
      <c r="AG262" s="103">
        <f t="shared" ref="AG262:AG325" si="35">IF($AF262&gt;14,14,$AF262)</f>
        <v>14</v>
      </c>
      <c r="AH262" s="37">
        <f t="shared" ref="AH262:AH325" si="36">AE262*AG262/14</f>
        <v>20.276</v>
      </c>
      <c r="AJ262" s="97"/>
      <c r="AN262" s="39"/>
      <c r="AO262" s="39"/>
      <c r="AP262" s="94"/>
      <c r="AR262" s="38"/>
      <c r="AS262" s="49"/>
    </row>
    <row r="263" spans="22:45" ht="16" x14ac:dyDescent="0.4">
      <c r="V263" s="97">
        <v>45864</v>
      </c>
      <c r="W263" s="16">
        <v>176639</v>
      </c>
      <c r="X263" s="101" t="s">
        <v>36</v>
      </c>
      <c r="Y263" s="105"/>
      <c r="Z263" s="102">
        <v>0.54028935185185178</v>
      </c>
      <c r="AA263" s="102">
        <v>0.90028935185185188</v>
      </c>
      <c r="AB263" s="16"/>
      <c r="AC263" s="16"/>
      <c r="AD263" s="93">
        <v>20984</v>
      </c>
      <c r="AE263" s="93">
        <f t="shared" si="34"/>
        <v>20.984000000000002</v>
      </c>
      <c r="AF263" s="16">
        <v>14.27</v>
      </c>
      <c r="AG263" s="103">
        <f t="shared" si="35"/>
        <v>14</v>
      </c>
      <c r="AH263" s="37">
        <f t="shared" si="36"/>
        <v>20.984000000000002</v>
      </c>
      <c r="AJ263" s="97"/>
      <c r="AN263" s="39"/>
      <c r="AO263" s="39"/>
      <c r="AP263" s="94"/>
      <c r="AR263" s="38"/>
      <c r="AS263" s="49"/>
    </row>
    <row r="264" spans="22:45" ht="16" x14ac:dyDescent="0.4">
      <c r="V264" s="97">
        <v>45864</v>
      </c>
      <c r="W264" s="16">
        <v>176664</v>
      </c>
      <c r="X264" s="101" t="s">
        <v>36</v>
      </c>
      <c r="Y264" s="105"/>
      <c r="Z264" s="102">
        <v>0.44626157407407407</v>
      </c>
      <c r="AA264" s="102">
        <v>0.9813425925925926</v>
      </c>
      <c r="AB264" s="16"/>
      <c r="AC264" s="16"/>
      <c r="AD264" s="93">
        <v>21028</v>
      </c>
      <c r="AE264" s="93">
        <f t="shared" si="34"/>
        <v>21.027999999999999</v>
      </c>
      <c r="AF264" s="16">
        <v>14.45</v>
      </c>
      <c r="AG264" s="103">
        <f t="shared" si="35"/>
        <v>14</v>
      </c>
      <c r="AH264" s="37">
        <f t="shared" si="36"/>
        <v>21.027999999999999</v>
      </c>
      <c r="AJ264" s="97"/>
      <c r="AN264" s="39"/>
      <c r="AO264" s="39"/>
      <c r="AP264" s="94"/>
      <c r="AR264" s="38"/>
      <c r="AS264" s="49"/>
    </row>
    <row r="265" spans="22:45" ht="16" x14ac:dyDescent="0.4">
      <c r="V265" s="97">
        <v>45864</v>
      </c>
      <c r="W265" s="16">
        <v>176674</v>
      </c>
      <c r="X265" s="101" t="s">
        <v>36</v>
      </c>
      <c r="Y265" s="105"/>
      <c r="Z265" s="102">
        <v>0.54003472222222226</v>
      </c>
      <c r="AA265" s="102">
        <v>5.8750000000000004E-2</v>
      </c>
      <c r="AB265" s="16"/>
      <c r="AC265" s="16"/>
      <c r="AD265" s="93">
        <v>20728</v>
      </c>
      <c r="AE265" s="93">
        <f t="shared" si="34"/>
        <v>20.728000000000002</v>
      </c>
      <c r="AF265" s="16">
        <v>13.74</v>
      </c>
      <c r="AG265" s="103">
        <f t="shared" si="35"/>
        <v>13.74</v>
      </c>
      <c r="AH265" s="37">
        <f t="shared" si="36"/>
        <v>20.343051428571432</v>
      </c>
      <c r="AJ265" s="97"/>
      <c r="AN265" s="39"/>
      <c r="AO265" s="39"/>
      <c r="AP265" s="94"/>
      <c r="AR265" s="38"/>
      <c r="AS265" s="49"/>
    </row>
    <row r="266" spans="22:45" ht="16" x14ac:dyDescent="0.4">
      <c r="V266" s="97">
        <v>45865</v>
      </c>
      <c r="W266" s="16">
        <v>176687</v>
      </c>
      <c r="X266" s="101" t="s">
        <v>36</v>
      </c>
      <c r="Y266" s="105"/>
      <c r="Z266" s="102"/>
      <c r="AA266" s="102">
        <v>0.10076388888888889</v>
      </c>
      <c r="AB266" s="16"/>
      <c r="AC266" s="16"/>
      <c r="AD266" s="93">
        <v>19134</v>
      </c>
      <c r="AE266" s="93">
        <f t="shared" si="34"/>
        <v>19.134</v>
      </c>
      <c r="AF266" s="16">
        <v>14.09</v>
      </c>
      <c r="AG266" s="103">
        <f t="shared" si="35"/>
        <v>14</v>
      </c>
      <c r="AH266" s="37">
        <f t="shared" si="36"/>
        <v>19.133999999999997</v>
      </c>
      <c r="AJ266" s="97"/>
      <c r="AN266" s="39"/>
      <c r="AO266" s="39"/>
      <c r="AP266" s="94"/>
      <c r="AR266" s="38"/>
      <c r="AS266" s="49"/>
    </row>
    <row r="267" spans="22:45" ht="16" x14ac:dyDescent="0.4">
      <c r="V267" s="97">
        <v>45865</v>
      </c>
      <c r="W267" s="16">
        <v>176693</v>
      </c>
      <c r="X267" s="101" t="s">
        <v>36</v>
      </c>
      <c r="Y267" s="105"/>
      <c r="Z267" s="102">
        <v>8.222222222222221E-2</v>
      </c>
      <c r="AA267" s="102">
        <v>0.16462962962962963</v>
      </c>
      <c r="AB267" s="16"/>
      <c r="AC267" s="16"/>
      <c r="AD267" s="93">
        <v>19102</v>
      </c>
      <c r="AE267" s="93">
        <f t="shared" si="34"/>
        <v>19.102</v>
      </c>
      <c r="AF267" s="16">
        <v>15.31</v>
      </c>
      <c r="AG267" s="103">
        <f t="shared" si="35"/>
        <v>14</v>
      </c>
      <c r="AH267" s="37">
        <f t="shared" si="36"/>
        <v>19.102</v>
      </c>
      <c r="AJ267" s="97"/>
      <c r="AN267" s="39"/>
      <c r="AO267" s="39"/>
      <c r="AP267" s="47"/>
      <c r="AR267" s="38"/>
      <c r="AS267" s="49"/>
    </row>
    <row r="268" spans="22:45" ht="16" x14ac:dyDescent="0.4">
      <c r="V268" s="97">
        <v>45865</v>
      </c>
      <c r="W268" s="16">
        <v>176696</v>
      </c>
      <c r="X268" s="101" t="s">
        <v>36</v>
      </c>
      <c r="Y268" s="105"/>
      <c r="Z268" s="102">
        <v>0.21388888888888891</v>
      </c>
      <c r="AA268" s="102"/>
      <c r="AB268" s="16"/>
      <c r="AC268" s="16"/>
      <c r="AD268" s="93">
        <v>20446</v>
      </c>
      <c r="AE268" s="93">
        <f t="shared" si="34"/>
        <v>20.446000000000002</v>
      </c>
      <c r="AF268" s="16">
        <v>15.84</v>
      </c>
      <c r="AG268" s="103">
        <f t="shared" si="35"/>
        <v>14</v>
      </c>
      <c r="AH268" s="37">
        <f t="shared" si="36"/>
        <v>20.446000000000002</v>
      </c>
      <c r="AJ268" s="97"/>
      <c r="AN268" s="39"/>
      <c r="AO268" s="39"/>
      <c r="AP268" s="47"/>
      <c r="AR268" s="38"/>
      <c r="AS268" s="49"/>
    </row>
    <row r="269" spans="22:45" ht="16" x14ac:dyDescent="0.4">
      <c r="V269" s="97">
        <v>45865</v>
      </c>
      <c r="W269" s="16">
        <v>176708</v>
      </c>
      <c r="X269" s="101" t="s">
        <v>36</v>
      </c>
      <c r="Y269" s="105"/>
      <c r="Z269" s="102">
        <v>0.29097222222222224</v>
      </c>
      <c r="AA269" s="102"/>
      <c r="AB269" s="16"/>
      <c r="AC269" s="16"/>
      <c r="AD269" s="93">
        <v>16570</v>
      </c>
      <c r="AE269" s="93">
        <f t="shared" si="34"/>
        <v>16.57</v>
      </c>
      <c r="AF269" s="16">
        <v>14.07</v>
      </c>
      <c r="AG269" s="103">
        <f t="shared" si="35"/>
        <v>14</v>
      </c>
      <c r="AH269" s="37">
        <f t="shared" si="36"/>
        <v>16.57</v>
      </c>
      <c r="AJ269" s="97"/>
      <c r="AN269" s="39"/>
      <c r="AO269" s="39"/>
      <c r="AP269" s="47"/>
      <c r="AR269" s="38"/>
      <c r="AS269" s="49"/>
    </row>
    <row r="270" spans="22:45" ht="16" x14ac:dyDescent="0.4">
      <c r="V270" s="97">
        <v>45865</v>
      </c>
      <c r="W270" s="16">
        <v>215803</v>
      </c>
      <c r="X270" s="101" t="s">
        <v>36</v>
      </c>
      <c r="Y270" s="105"/>
      <c r="Z270" s="102">
        <v>0.26250000000000001</v>
      </c>
      <c r="AA270" s="102">
        <v>0.39166666666666666</v>
      </c>
      <c r="AB270" s="16">
        <v>104</v>
      </c>
      <c r="AC270" s="16" t="s">
        <v>667</v>
      </c>
      <c r="AD270" s="93">
        <v>15656</v>
      </c>
      <c r="AE270" s="93">
        <f t="shared" si="34"/>
        <v>15.656000000000001</v>
      </c>
      <c r="AF270" s="16">
        <v>8.25</v>
      </c>
      <c r="AG270" s="103">
        <f t="shared" si="35"/>
        <v>8.25</v>
      </c>
      <c r="AH270" s="37">
        <f t="shared" si="36"/>
        <v>9.2258571428571425</v>
      </c>
      <c r="AJ270" s="97"/>
      <c r="AN270" s="39"/>
      <c r="AO270" s="39"/>
      <c r="AP270" s="47"/>
      <c r="AR270" s="38"/>
      <c r="AS270" s="49"/>
    </row>
    <row r="271" spans="22:45" ht="16" x14ac:dyDescent="0.4">
      <c r="V271" s="97">
        <v>45867</v>
      </c>
      <c r="W271" s="16">
        <v>177222</v>
      </c>
      <c r="X271" s="101" t="s">
        <v>36</v>
      </c>
      <c r="Y271" s="105"/>
      <c r="Z271" s="102">
        <v>0.25872685185185185</v>
      </c>
      <c r="AA271" s="102">
        <v>0.35530092592592594</v>
      </c>
      <c r="AB271" s="16"/>
      <c r="AC271" s="16"/>
      <c r="AD271" s="93">
        <v>19364</v>
      </c>
      <c r="AE271" s="93">
        <f t="shared" si="34"/>
        <v>19.364000000000001</v>
      </c>
      <c r="AF271" s="16">
        <v>17.309999999999999</v>
      </c>
      <c r="AG271" s="103">
        <f t="shared" si="35"/>
        <v>14</v>
      </c>
      <c r="AH271" s="37">
        <f t="shared" si="36"/>
        <v>19.364000000000001</v>
      </c>
      <c r="AJ271" s="97"/>
      <c r="AN271" s="39"/>
      <c r="AO271" s="39"/>
      <c r="AP271" s="47"/>
      <c r="AR271" s="38"/>
      <c r="AS271" s="49"/>
    </row>
    <row r="272" spans="22:45" ht="16" x14ac:dyDescent="0.4">
      <c r="V272" s="97">
        <v>45867</v>
      </c>
      <c r="W272" s="16">
        <v>177274</v>
      </c>
      <c r="X272" s="101" t="s">
        <v>36</v>
      </c>
      <c r="Y272" s="105"/>
      <c r="Z272" s="102">
        <v>8.2013888888888886E-2</v>
      </c>
      <c r="AA272" s="102">
        <v>0.41905092592592591</v>
      </c>
      <c r="AB272" s="16"/>
      <c r="AC272" s="16"/>
      <c r="AD272" s="93">
        <v>18824</v>
      </c>
      <c r="AE272" s="93">
        <f t="shared" si="34"/>
        <v>18.824000000000002</v>
      </c>
      <c r="AF272" s="16">
        <v>17.57</v>
      </c>
      <c r="AG272" s="103">
        <f t="shared" si="35"/>
        <v>14</v>
      </c>
      <c r="AH272" s="37">
        <f t="shared" si="36"/>
        <v>18.824000000000002</v>
      </c>
      <c r="AJ272" s="97"/>
      <c r="AN272" s="39"/>
      <c r="AO272" s="39"/>
      <c r="AP272" s="47"/>
      <c r="AR272" s="38"/>
      <c r="AS272" s="49"/>
    </row>
    <row r="273" spans="22:45" ht="16" x14ac:dyDescent="0.4">
      <c r="V273" s="97">
        <v>45867</v>
      </c>
      <c r="W273" s="16">
        <v>177346</v>
      </c>
      <c r="X273" s="101" t="s">
        <v>36</v>
      </c>
      <c r="Y273" s="105"/>
      <c r="Z273" s="102">
        <v>0.44644675925925931</v>
      </c>
      <c r="AA273" s="102">
        <v>0.5140393518518519</v>
      </c>
      <c r="AB273" s="16"/>
      <c r="AC273" s="16"/>
      <c r="AD273" s="93">
        <v>20604</v>
      </c>
      <c r="AE273" s="93">
        <f t="shared" si="34"/>
        <v>20.603999999999999</v>
      </c>
      <c r="AF273" s="16">
        <v>15.37</v>
      </c>
      <c r="AG273" s="103">
        <f t="shared" si="35"/>
        <v>14</v>
      </c>
      <c r="AH273" s="37">
        <f t="shared" si="36"/>
        <v>20.604000000000003</v>
      </c>
      <c r="AJ273" s="97"/>
      <c r="AN273" s="39"/>
      <c r="AO273" s="39"/>
      <c r="AP273" s="47"/>
      <c r="AR273" s="38"/>
      <c r="AS273" s="49"/>
    </row>
    <row r="274" spans="22:45" ht="16" x14ac:dyDescent="0.4">
      <c r="V274" s="97">
        <v>45867</v>
      </c>
      <c r="W274" s="16">
        <v>177377</v>
      </c>
      <c r="X274" s="101" t="s">
        <v>36</v>
      </c>
      <c r="Y274" s="105"/>
      <c r="Z274" s="102">
        <v>8.2118055555555555E-2</v>
      </c>
      <c r="AA274" s="102">
        <v>0.5801736111111111</v>
      </c>
      <c r="AB274" s="16"/>
      <c r="AC274" s="16"/>
      <c r="AD274" s="93">
        <v>18418</v>
      </c>
      <c r="AE274" s="93">
        <f t="shared" si="34"/>
        <v>18.417999999999999</v>
      </c>
      <c r="AF274" s="16">
        <v>16.34</v>
      </c>
      <c r="AG274" s="103">
        <f t="shared" si="35"/>
        <v>14</v>
      </c>
      <c r="AH274" s="37">
        <f t="shared" si="36"/>
        <v>18.417999999999999</v>
      </c>
      <c r="AJ274" s="97"/>
      <c r="AN274" s="39"/>
      <c r="AO274" s="39"/>
      <c r="AP274" s="47"/>
      <c r="AR274" s="38"/>
      <c r="AS274" s="49"/>
    </row>
    <row r="275" spans="22:45" ht="16" x14ac:dyDescent="0.4">
      <c r="V275" s="97">
        <v>45867</v>
      </c>
      <c r="W275" s="16">
        <v>177432</v>
      </c>
      <c r="X275" s="101" t="s">
        <v>36</v>
      </c>
      <c r="Y275" s="105"/>
      <c r="Z275" s="102">
        <v>2.6365740740740742E-2</v>
      </c>
      <c r="AA275" s="102">
        <v>0.6474537037037037</v>
      </c>
      <c r="AB275" s="16"/>
      <c r="AC275" s="16"/>
      <c r="AD275" s="93">
        <v>19718</v>
      </c>
      <c r="AE275" s="93">
        <f t="shared" si="34"/>
        <v>19.718</v>
      </c>
      <c r="AF275" s="16">
        <v>15.38</v>
      </c>
      <c r="AG275" s="103">
        <f t="shared" si="35"/>
        <v>14</v>
      </c>
      <c r="AH275" s="37">
        <f t="shared" si="36"/>
        <v>19.718</v>
      </c>
      <c r="AJ275" s="97"/>
      <c r="AN275" s="39"/>
      <c r="AO275" s="39"/>
      <c r="AP275" s="47"/>
      <c r="AR275" s="38"/>
      <c r="AS275" s="49"/>
    </row>
    <row r="276" spans="22:45" ht="16" x14ac:dyDescent="0.4">
      <c r="V276" s="97">
        <v>45867</v>
      </c>
      <c r="W276" s="16">
        <v>177477</v>
      </c>
      <c r="X276" s="101" t="s">
        <v>36</v>
      </c>
      <c r="Y276" s="105"/>
      <c r="Z276" s="102">
        <v>0.35140046296296296</v>
      </c>
      <c r="AA276" s="102">
        <v>0.71864583333333332</v>
      </c>
      <c r="AB276" s="16"/>
      <c r="AC276" s="16"/>
      <c r="AD276" s="93">
        <v>19414</v>
      </c>
      <c r="AE276" s="93">
        <f t="shared" si="34"/>
        <v>19.414000000000001</v>
      </c>
      <c r="AF276" s="16">
        <v>15.63</v>
      </c>
      <c r="AG276" s="103">
        <f t="shared" si="35"/>
        <v>14</v>
      </c>
      <c r="AH276" s="37">
        <f t="shared" si="36"/>
        <v>19.414000000000005</v>
      </c>
      <c r="AJ276" s="97"/>
      <c r="AN276" s="39"/>
      <c r="AO276" s="39"/>
      <c r="AP276" s="47"/>
      <c r="AR276" s="38"/>
      <c r="AS276" s="49"/>
    </row>
    <row r="277" spans="22:45" ht="16" x14ac:dyDescent="0.4">
      <c r="V277" s="97">
        <v>45867</v>
      </c>
      <c r="W277" s="16">
        <v>177516</v>
      </c>
      <c r="X277" s="101" t="s">
        <v>36</v>
      </c>
      <c r="Y277" s="105"/>
      <c r="Z277" s="102">
        <v>2.6388888888888889E-2</v>
      </c>
      <c r="AA277" s="102">
        <v>0.83124999999999993</v>
      </c>
      <c r="AB277" s="16"/>
      <c r="AC277" s="16"/>
      <c r="AD277" s="93">
        <v>20220</v>
      </c>
      <c r="AE277" s="93">
        <f t="shared" si="34"/>
        <v>20.22</v>
      </c>
      <c r="AF277" s="16">
        <v>16.98</v>
      </c>
      <c r="AG277" s="103">
        <f t="shared" si="35"/>
        <v>14</v>
      </c>
      <c r="AH277" s="37">
        <f t="shared" si="36"/>
        <v>20.22</v>
      </c>
      <c r="AJ277" s="97"/>
      <c r="AN277" s="39"/>
      <c r="AO277" s="39"/>
      <c r="AP277" s="47"/>
      <c r="AR277" s="38"/>
      <c r="AS277" s="49"/>
    </row>
    <row r="278" spans="22:45" ht="16" x14ac:dyDescent="0.4">
      <c r="V278" s="97">
        <v>45867</v>
      </c>
      <c r="W278" s="16">
        <v>177547</v>
      </c>
      <c r="X278" s="101" t="s">
        <v>36</v>
      </c>
      <c r="Y278" s="105"/>
      <c r="Z278" s="102">
        <v>0.26944444444444443</v>
      </c>
      <c r="AA278" s="102">
        <v>0.90277777777777779</v>
      </c>
      <c r="AB278" s="16"/>
      <c r="AC278" s="16"/>
      <c r="AD278" s="93">
        <v>19698</v>
      </c>
      <c r="AE278" s="93">
        <f t="shared" si="34"/>
        <v>19.698</v>
      </c>
      <c r="AF278" s="16">
        <v>14.91</v>
      </c>
      <c r="AG278" s="103">
        <f t="shared" si="35"/>
        <v>14</v>
      </c>
      <c r="AH278" s="37">
        <f t="shared" si="36"/>
        <v>19.698</v>
      </c>
      <c r="AJ278" s="97"/>
      <c r="AN278" s="39"/>
      <c r="AO278" s="39"/>
      <c r="AP278" s="47"/>
      <c r="AR278" s="38"/>
      <c r="AS278" s="49"/>
    </row>
    <row r="279" spans="22:45" ht="16" x14ac:dyDescent="0.4">
      <c r="V279" s="97">
        <v>45868</v>
      </c>
      <c r="W279" s="16">
        <v>177566</v>
      </c>
      <c r="X279" s="101" t="s">
        <v>36</v>
      </c>
      <c r="Y279" s="105"/>
      <c r="Z279" s="102">
        <v>0.69861111111111107</v>
      </c>
      <c r="AA279" s="102">
        <v>3.472222222222222E-3</v>
      </c>
      <c r="AB279" s="16"/>
      <c r="AC279" s="16"/>
      <c r="AD279" s="93">
        <v>19662</v>
      </c>
      <c r="AE279" s="93">
        <f t="shared" si="34"/>
        <v>19.661999999999999</v>
      </c>
      <c r="AF279" s="16">
        <v>15.35</v>
      </c>
      <c r="AG279" s="103">
        <f t="shared" si="35"/>
        <v>14</v>
      </c>
      <c r="AH279" s="37">
        <f t="shared" si="36"/>
        <v>19.661999999999999</v>
      </c>
      <c r="AJ279" s="97"/>
      <c r="AN279" s="39"/>
      <c r="AO279" s="39"/>
      <c r="AP279" s="47"/>
      <c r="AR279" s="38"/>
      <c r="AS279" s="49"/>
    </row>
    <row r="280" spans="22:45" ht="16" x14ac:dyDescent="0.4">
      <c r="V280" s="97">
        <v>45868</v>
      </c>
      <c r="W280" s="16">
        <v>177573</v>
      </c>
      <c r="X280" s="101" t="s">
        <v>36</v>
      </c>
      <c r="Y280" s="105"/>
      <c r="Z280" s="102">
        <v>0.76180555555555562</v>
      </c>
      <c r="AA280" s="102">
        <v>5.9722222222222225E-2</v>
      </c>
      <c r="AB280" s="16"/>
      <c r="AC280" s="16"/>
      <c r="AD280" s="93">
        <v>18726</v>
      </c>
      <c r="AE280" s="93">
        <f t="shared" si="34"/>
        <v>18.725999999999999</v>
      </c>
      <c r="AF280" s="16">
        <v>15.59</v>
      </c>
      <c r="AG280" s="103">
        <f t="shared" si="35"/>
        <v>14</v>
      </c>
      <c r="AH280" s="37">
        <f t="shared" si="36"/>
        <v>18.725999999999999</v>
      </c>
      <c r="AJ280" s="97"/>
      <c r="AN280" s="39"/>
      <c r="AO280" s="39"/>
      <c r="AP280" s="47"/>
      <c r="AR280" s="38"/>
      <c r="AS280" s="49"/>
    </row>
    <row r="281" spans="22:45" ht="16" x14ac:dyDescent="0.4">
      <c r="V281" s="97">
        <v>45868</v>
      </c>
      <c r="W281" s="16">
        <v>177585</v>
      </c>
      <c r="X281" s="101" t="s">
        <v>36</v>
      </c>
      <c r="Y281" s="105"/>
      <c r="Z281" s="102">
        <v>0.69861111111111107</v>
      </c>
      <c r="AA281" s="102">
        <v>0.1277777777777778</v>
      </c>
      <c r="AB281" s="16"/>
      <c r="AC281" s="16"/>
      <c r="AD281" s="93">
        <v>21372</v>
      </c>
      <c r="AE281" s="93">
        <f t="shared" si="34"/>
        <v>21.372</v>
      </c>
      <c r="AF281" s="16">
        <v>14.56</v>
      </c>
      <c r="AG281" s="103">
        <f t="shared" si="35"/>
        <v>14</v>
      </c>
      <c r="AH281" s="37">
        <f t="shared" si="36"/>
        <v>21.371999999999996</v>
      </c>
      <c r="AJ281" s="97"/>
      <c r="AN281" s="39"/>
      <c r="AO281" s="39"/>
      <c r="AP281" s="47"/>
      <c r="AR281" s="38"/>
      <c r="AS281" s="49"/>
    </row>
    <row r="282" spans="22:45" ht="16" x14ac:dyDescent="0.4">
      <c r="V282" s="97">
        <v>45868</v>
      </c>
      <c r="W282" s="16">
        <v>177597</v>
      </c>
      <c r="X282" s="101" t="s">
        <v>36</v>
      </c>
      <c r="Y282" s="105"/>
      <c r="Z282" s="102">
        <v>0.76111111111111107</v>
      </c>
      <c r="AA282" s="102">
        <v>0.19027777777777777</v>
      </c>
      <c r="AB282" s="16"/>
      <c r="AC282" s="16"/>
      <c r="AD282" s="93">
        <v>20382</v>
      </c>
      <c r="AE282" s="93">
        <f t="shared" si="34"/>
        <v>20.382000000000001</v>
      </c>
      <c r="AF282" s="16">
        <v>14.42</v>
      </c>
      <c r="AG282" s="103">
        <f t="shared" si="35"/>
        <v>14</v>
      </c>
      <c r="AH282" s="37">
        <f t="shared" si="36"/>
        <v>20.382000000000001</v>
      </c>
      <c r="AJ282" s="97"/>
      <c r="AN282" s="39"/>
      <c r="AO282" s="39"/>
      <c r="AP282" s="47"/>
      <c r="AR282" s="38"/>
      <c r="AS282" s="49"/>
    </row>
    <row r="283" spans="22:45" ht="16" x14ac:dyDescent="0.4">
      <c r="V283" s="97">
        <v>45868</v>
      </c>
      <c r="W283" s="16">
        <v>177604</v>
      </c>
      <c r="X283" s="101" t="s">
        <v>36</v>
      </c>
      <c r="Y283" s="105"/>
      <c r="Z283" s="102">
        <v>0.8652777777777777</v>
      </c>
      <c r="AA283" s="102">
        <v>0.23541666666666669</v>
      </c>
      <c r="AB283" s="16"/>
      <c r="AC283" s="16"/>
      <c r="AD283" s="93">
        <v>14066</v>
      </c>
      <c r="AE283" s="93">
        <f t="shared" si="34"/>
        <v>14.066000000000001</v>
      </c>
      <c r="AF283" s="16">
        <v>14.09</v>
      </c>
      <c r="AG283" s="103">
        <f t="shared" si="35"/>
        <v>14</v>
      </c>
      <c r="AH283" s="37">
        <f t="shared" si="36"/>
        <v>14.066000000000001</v>
      </c>
      <c r="AJ283" s="97"/>
      <c r="AN283" s="39"/>
      <c r="AO283" s="39"/>
      <c r="AP283" s="47"/>
      <c r="AR283" s="38"/>
      <c r="AS283" s="49"/>
    </row>
    <row r="284" spans="22:45" ht="16" x14ac:dyDescent="0.4">
      <c r="V284" s="97">
        <v>45868</v>
      </c>
      <c r="W284" s="16">
        <v>177645</v>
      </c>
      <c r="X284" s="101" t="s">
        <v>36</v>
      </c>
      <c r="Y284" s="105"/>
      <c r="Z284" s="102">
        <v>0.76144675925925931</v>
      </c>
      <c r="AA284" s="102">
        <v>0.3155324074074074</v>
      </c>
      <c r="AB284" s="16"/>
      <c r="AC284" s="16"/>
      <c r="AD284" s="93">
        <v>20916</v>
      </c>
      <c r="AE284" s="93">
        <f t="shared" si="34"/>
        <v>20.916</v>
      </c>
      <c r="AF284" s="16">
        <v>14.74</v>
      </c>
      <c r="AG284" s="103">
        <f t="shared" si="35"/>
        <v>14</v>
      </c>
      <c r="AH284" s="37">
        <f t="shared" si="36"/>
        <v>20.916</v>
      </c>
      <c r="AJ284" s="97"/>
      <c r="AN284" s="39"/>
      <c r="AO284" s="39"/>
      <c r="AP284" s="47"/>
      <c r="AR284" s="38"/>
      <c r="AS284" s="49"/>
    </row>
    <row r="285" spans="22:45" ht="16" x14ac:dyDescent="0.4">
      <c r="V285" s="97">
        <v>45868</v>
      </c>
      <c r="W285" s="16">
        <v>177713</v>
      </c>
      <c r="X285" s="101" t="s">
        <v>36</v>
      </c>
      <c r="Y285" s="105"/>
      <c r="Z285" s="102">
        <v>0.41952546296296295</v>
      </c>
      <c r="AA285" s="102">
        <v>0.37356481481481479</v>
      </c>
      <c r="AB285" s="16"/>
      <c r="AC285" s="16"/>
      <c r="AD285" s="93">
        <v>19568</v>
      </c>
      <c r="AE285" s="93">
        <f t="shared" si="34"/>
        <v>19.568000000000001</v>
      </c>
      <c r="AF285" s="16">
        <v>15.84</v>
      </c>
      <c r="AG285" s="103">
        <f t="shared" si="35"/>
        <v>14</v>
      </c>
      <c r="AH285" s="37">
        <f t="shared" si="36"/>
        <v>19.568000000000001</v>
      </c>
      <c r="AJ285" s="97"/>
      <c r="AN285" s="39"/>
      <c r="AO285" s="39"/>
      <c r="AP285" s="47"/>
      <c r="AR285" s="38"/>
      <c r="AS285" s="49"/>
    </row>
    <row r="286" spans="22:45" ht="16" x14ac:dyDescent="0.4">
      <c r="V286" s="97">
        <v>45868</v>
      </c>
      <c r="W286" s="16">
        <v>177780</v>
      </c>
      <c r="X286" s="101" t="s">
        <v>36</v>
      </c>
      <c r="Y286" s="105"/>
      <c r="Z286" s="102">
        <v>0.23460648148148147</v>
      </c>
      <c r="AA286" s="102">
        <v>0.4611689814814815</v>
      </c>
      <c r="AB286" s="16"/>
      <c r="AC286" s="16"/>
      <c r="AD286" s="93">
        <v>21202</v>
      </c>
      <c r="AE286" s="93">
        <f t="shared" si="34"/>
        <v>21.202000000000002</v>
      </c>
      <c r="AF286" s="16">
        <v>14.99</v>
      </c>
      <c r="AG286" s="103">
        <f t="shared" si="35"/>
        <v>14</v>
      </c>
      <c r="AH286" s="37">
        <f t="shared" si="36"/>
        <v>21.202000000000002</v>
      </c>
      <c r="AJ286" s="97"/>
      <c r="AN286" s="39"/>
      <c r="AP286" s="47"/>
      <c r="AR286" s="38"/>
      <c r="AS286" s="49"/>
    </row>
    <row r="287" spans="22:45" ht="16" x14ac:dyDescent="0.4">
      <c r="V287" s="97">
        <v>45868</v>
      </c>
      <c r="W287" s="16">
        <v>177817</v>
      </c>
      <c r="X287" s="101" t="s">
        <v>36</v>
      </c>
      <c r="Y287" s="105"/>
      <c r="Z287" s="102">
        <v>0.42928240740740736</v>
      </c>
      <c r="AA287" s="102">
        <v>0.5363310185185185</v>
      </c>
      <c r="AB287" s="16"/>
      <c r="AC287" s="16"/>
      <c r="AD287" s="93">
        <v>20468</v>
      </c>
      <c r="AE287" s="93">
        <f t="shared" si="34"/>
        <v>20.468</v>
      </c>
      <c r="AF287" s="16">
        <v>14.12</v>
      </c>
      <c r="AG287" s="103">
        <f t="shared" si="35"/>
        <v>14</v>
      </c>
      <c r="AH287" s="37">
        <f t="shared" si="36"/>
        <v>20.468</v>
      </c>
      <c r="AJ287" s="97"/>
      <c r="AN287" s="39"/>
      <c r="AO287" s="39"/>
      <c r="AP287" s="47"/>
      <c r="AR287" s="38"/>
      <c r="AS287" s="49"/>
    </row>
    <row r="288" spans="22:45" ht="16" x14ac:dyDescent="0.4">
      <c r="V288" s="97">
        <v>45868</v>
      </c>
      <c r="W288" s="16">
        <v>177864</v>
      </c>
      <c r="X288" s="101" t="s">
        <v>36</v>
      </c>
      <c r="Y288" s="105"/>
      <c r="Z288" s="102">
        <v>0.23471064814814815</v>
      </c>
      <c r="AA288" s="102">
        <v>0.60517361111111112</v>
      </c>
      <c r="AB288" s="16"/>
      <c r="AC288" s="16"/>
      <c r="AD288" s="93">
        <v>20202</v>
      </c>
      <c r="AE288" s="93">
        <f t="shared" si="34"/>
        <v>20.202000000000002</v>
      </c>
      <c r="AF288" s="16">
        <v>14.59</v>
      </c>
      <c r="AG288" s="103">
        <f t="shared" si="35"/>
        <v>14</v>
      </c>
      <c r="AH288" s="37">
        <f t="shared" si="36"/>
        <v>20.202000000000002</v>
      </c>
      <c r="AJ288" s="97"/>
      <c r="AN288" s="39"/>
      <c r="AO288" s="39"/>
      <c r="AP288" s="47"/>
      <c r="AR288" s="38"/>
      <c r="AS288" s="49"/>
    </row>
    <row r="289" spans="22:45" ht="16" x14ac:dyDescent="0.4">
      <c r="V289" s="97">
        <v>45868</v>
      </c>
      <c r="W289" s="16">
        <v>177909</v>
      </c>
      <c r="X289" s="101" t="s">
        <v>36</v>
      </c>
      <c r="Y289" s="105"/>
      <c r="Z289" s="102">
        <v>0.42942129629629627</v>
      </c>
      <c r="AA289" s="102">
        <v>0.66806712962962955</v>
      </c>
      <c r="AB289" s="16"/>
      <c r="AC289" s="16"/>
      <c r="AD289" s="93">
        <v>19710</v>
      </c>
      <c r="AE289" s="93">
        <f t="shared" si="34"/>
        <v>19.71</v>
      </c>
      <c r="AF289" s="16">
        <v>15.66</v>
      </c>
      <c r="AG289" s="103">
        <f t="shared" si="35"/>
        <v>14</v>
      </c>
      <c r="AH289" s="37">
        <f t="shared" si="36"/>
        <v>19.71</v>
      </c>
      <c r="AJ289" s="97"/>
      <c r="AN289" s="39"/>
      <c r="AO289" s="39"/>
      <c r="AP289" s="47"/>
      <c r="AR289" s="38"/>
      <c r="AS289" s="49"/>
    </row>
    <row r="290" spans="22:45" ht="16" x14ac:dyDescent="0.4">
      <c r="V290" s="97">
        <v>45868</v>
      </c>
      <c r="W290" s="16">
        <v>177932</v>
      </c>
      <c r="X290" s="101" t="s">
        <v>36</v>
      </c>
      <c r="Y290" s="105"/>
      <c r="Z290" s="102">
        <v>0.94305555555555554</v>
      </c>
      <c r="AA290" s="102">
        <v>0.72986111111111107</v>
      </c>
      <c r="AB290" s="16"/>
      <c r="AC290" s="16"/>
      <c r="AD290" s="93">
        <v>19908</v>
      </c>
      <c r="AE290" s="93">
        <f t="shared" si="34"/>
        <v>19.908000000000001</v>
      </c>
      <c r="AF290" s="16">
        <v>14.56</v>
      </c>
      <c r="AG290" s="103">
        <f t="shared" si="35"/>
        <v>14</v>
      </c>
      <c r="AH290" s="37">
        <f t="shared" si="36"/>
        <v>19.907999999999998</v>
      </c>
      <c r="AJ290" s="97"/>
      <c r="AN290" s="39"/>
      <c r="AO290" s="39"/>
      <c r="AP290" s="47"/>
      <c r="AR290" s="38"/>
      <c r="AS290" s="38"/>
    </row>
    <row r="291" spans="22:45" ht="16" x14ac:dyDescent="0.4">
      <c r="V291" s="97">
        <v>45868</v>
      </c>
      <c r="W291" s="16">
        <v>177963</v>
      </c>
      <c r="X291" s="101" t="s">
        <v>36</v>
      </c>
      <c r="Y291" s="105"/>
      <c r="Z291" s="102">
        <v>0.72499999999999998</v>
      </c>
      <c r="AA291" s="102">
        <v>0.80625000000000002</v>
      </c>
      <c r="AB291" s="16"/>
      <c r="AC291" s="16"/>
      <c r="AD291" s="93">
        <v>19278</v>
      </c>
      <c r="AE291" s="93">
        <f t="shared" si="34"/>
        <v>19.277999999999999</v>
      </c>
      <c r="AF291" s="16">
        <v>14.78</v>
      </c>
      <c r="AG291" s="103">
        <f t="shared" si="35"/>
        <v>14</v>
      </c>
      <c r="AH291" s="37">
        <f t="shared" si="36"/>
        <v>19.277999999999999</v>
      </c>
      <c r="AJ291" s="97"/>
      <c r="AN291" s="39"/>
      <c r="AO291" s="39"/>
      <c r="AP291" s="47"/>
      <c r="AR291" s="38"/>
      <c r="AS291" s="38"/>
    </row>
    <row r="292" spans="22:45" ht="16" x14ac:dyDescent="0.4">
      <c r="V292" s="97">
        <v>45868</v>
      </c>
      <c r="W292" s="16">
        <v>178003</v>
      </c>
      <c r="X292" s="101" t="s">
        <v>36</v>
      </c>
      <c r="Y292" s="105"/>
      <c r="Z292" s="102">
        <v>0.7680555555555556</v>
      </c>
      <c r="AA292" s="102">
        <v>0.8652777777777777</v>
      </c>
      <c r="AB292" s="16"/>
      <c r="AC292" s="16"/>
      <c r="AD292" s="93">
        <v>19232</v>
      </c>
      <c r="AE292" s="93">
        <f t="shared" si="34"/>
        <v>19.231999999999999</v>
      </c>
      <c r="AF292" s="16">
        <v>15.06</v>
      </c>
      <c r="AG292" s="103">
        <f t="shared" si="35"/>
        <v>14</v>
      </c>
      <c r="AH292" s="37">
        <f t="shared" si="36"/>
        <v>19.231999999999999</v>
      </c>
      <c r="AJ292" s="97"/>
      <c r="AN292" s="39"/>
      <c r="AO292" s="39"/>
      <c r="AP292" s="47"/>
      <c r="AR292" s="38"/>
      <c r="AS292" s="38"/>
    </row>
    <row r="293" spans="22:45" ht="16" x14ac:dyDescent="0.4">
      <c r="V293" s="97">
        <v>45868</v>
      </c>
      <c r="W293" s="16">
        <v>178065</v>
      </c>
      <c r="X293" s="101" t="s">
        <v>36</v>
      </c>
      <c r="Y293" s="105"/>
      <c r="Z293" s="102">
        <v>0.87083333333333324</v>
      </c>
      <c r="AA293" s="102">
        <v>0.96805555555555556</v>
      </c>
      <c r="AB293" s="16"/>
      <c r="AC293" s="16"/>
      <c r="AD293" s="93">
        <v>22172</v>
      </c>
      <c r="AE293" s="93">
        <f t="shared" si="34"/>
        <v>22.172000000000001</v>
      </c>
      <c r="AF293" s="16">
        <v>14.98</v>
      </c>
      <c r="AG293" s="103">
        <f t="shared" si="35"/>
        <v>14</v>
      </c>
      <c r="AH293" s="37">
        <f t="shared" si="36"/>
        <v>22.172000000000001</v>
      </c>
      <c r="AJ293" s="97"/>
      <c r="AN293" s="39"/>
      <c r="AO293" s="39"/>
      <c r="AP293" s="47"/>
      <c r="AR293" s="38"/>
      <c r="AS293" s="38"/>
    </row>
    <row r="294" spans="22:45" ht="16" x14ac:dyDescent="0.4">
      <c r="V294" s="97">
        <v>45869</v>
      </c>
      <c r="W294" s="16">
        <v>178091</v>
      </c>
      <c r="X294" s="101" t="s">
        <v>36</v>
      </c>
      <c r="Y294" s="105"/>
      <c r="Z294" s="102">
        <v>0.65347222222222223</v>
      </c>
      <c r="AA294" s="102">
        <v>4.3750000000000004E-2</v>
      </c>
      <c r="AB294" s="16"/>
      <c r="AC294" s="16"/>
      <c r="AD294" s="93">
        <v>20752</v>
      </c>
      <c r="AE294" s="93">
        <f t="shared" si="34"/>
        <v>20.751999999999999</v>
      </c>
      <c r="AF294" s="16">
        <v>14.59</v>
      </c>
      <c r="AG294" s="103">
        <f t="shared" si="35"/>
        <v>14</v>
      </c>
      <c r="AH294" s="37">
        <f t="shared" si="36"/>
        <v>20.751999999999999</v>
      </c>
      <c r="AJ294" s="97"/>
      <c r="AN294" s="39"/>
      <c r="AO294" s="39"/>
      <c r="AP294" s="47"/>
      <c r="AR294" s="38"/>
      <c r="AS294" s="38"/>
    </row>
    <row r="295" spans="22:45" ht="16" x14ac:dyDescent="0.4">
      <c r="V295" s="97">
        <v>45869</v>
      </c>
      <c r="W295" s="16">
        <v>178096</v>
      </c>
      <c r="X295" s="101" t="s">
        <v>36</v>
      </c>
      <c r="Y295" s="105"/>
      <c r="Z295" s="102">
        <v>0.4284722222222222</v>
      </c>
      <c r="AA295" s="102">
        <v>9.4444444444444442E-2</v>
      </c>
      <c r="AB295" s="16"/>
      <c r="AC295" s="16"/>
      <c r="AD295" s="93">
        <v>19768</v>
      </c>
      <c r="AE295" s="93">
        <f t="shared" si="34"/>
        <v>19.768000000000001</v>
      </c>
      <c r="AF295" s="16">
        <v>15.02</v>
      </c>
      <c r="AG295" s="103">
        <f t="shared" si="35"/>
        <v>14</v>
      </c>
      <c r="AH295" s="37">
        <f t="shared" si="36"/>
        <v>19.768000000000001</v>
      </c>
      <c r="AJ295" s="97"/>
      <c r="AN295" s="39"/>
      <c r="AP295" s="47"/>
      <c r="AR295" s="38"/>
      <c r="AS295" s="38"/>
    </row>
    <row r="296" spans="22:45" ht="16" x14ac:dyDescent="0.4">
      <c r="V296" s="97">
        <v>45869</v>
      </c>
      <c r="W296" s="16">
        <v>178106</v>
      </c>
      <c r="X296" s="101" t="s">
        <v>36</v>
      </c>
      <c r="Y296" s="105"/>
      <c r="Z296" s="102">
        <v>0.65416666666666667</v>
      </c>
      <c r="AA296" s="102">
        <v>0.16041666666666668</v>
      </c>
      <c r="AB296" s="16"/>
      <c r="AC296" s="16"/>
      <c r="AD296" s="93">
        <v>13790</v>
      </c>
      <c r="AE296" s="93">
        <f t="shared" si="34"/>
        <v>13.79</v>
      </c>
      <c r="AF296" s="16">
        <v>14.56</v>
      </c>
      <c r="AG296" s="103">
        <f t="shared" si="35"/>
        <v>14</v>
      </c>
      <c r="AH296" s="37">
        <f t="shared" si="36"/>
        <v>13.790000000000001</v>
      </c>
      <c r="AJ296" s="97"/>
      <c r="AN296" s="39"/>
      <c r="AO296" s="39"/>
      <c r="AP296" s="47"/>
      <c r="AR296" s="38"/>
      <c r="AS296" s="38"/>
    </row>
    <row r="297" spans="22:45" ht="16" x14ac:dyDescent="0.4">
      <c r="V297" s="97">
        <v>45869</v>
      </c>
      <c r="W297" s="16">
        <v>178142</v>
      </c>
      <c r="X297" s="101" t="s">
        <v>36</v>
      </c>
      <c r="Y297" s="105"/>
      <c r="Z297" s="102">
        <v>0.14032407407407407</v>
      </c>
      <c r="AA297" s="102">
        <v>0.30406250000000001</v>
      </c>
      <c r="AB297" s="16"/>
      <c r="AC297" s="16"/>
      <c r="AD297" s="93">
        <v>12838</v>
      </c>
      <c r="AE297" s="93">
        <f t="shared" si="34"/>
        <v>12.837999999999999</v>
      </c>
      <c r="AF297" s="16">
        <v>12.57</v>
      </c>
      <c r="AG297" s="103">
        <f t="shared" si="35"/>
        <v>12.57</v>
      </c>
      <c r="AH297" s="37">
        <f t="shared" si="36"/>
        <v>11.52669</v>
      </c>
      <c r="AJ297" s="97"/>
      <c r="AN297" s="39"/>
      <c r="AO297" s="39"/>
      <c r="AP297" s="47"/>
      <c r="AR297" s="38"/>
      <c r="AS297" s="38"/>
    </row>
    <row r="298" spans="22:45" ht="16" x14ac:dyDescent="0.4">
      <c r="V298" s="97">
        <v>45869</v>
      </c>
      <c r="W298" s="16">
        <v>178227</v>
      </c>
      <c r="X298" s="101" t="s">
        <v>36</v>
      </c>
      <c r="Y298" s="105"/>
      <c r="Z298" s="102">
        <v>0.28005787037037039</v>
      </c>
      <c r="AA298" s="102">
        <v>0.39359953703703704</v>
      </c>
      <c r="AB298" s="16"/>
      <c r="AC298" s="16"/>
      <c r="AD298" s="93">
        <v>21442</v>
      </c>
      <c r="AE298" s="93">
        <f t="shared" si="34"/>
        <v>21.442</v>
      </c>
      <c r="AF298" s="16">
        <v>14.52</v>
      </c>
      <c r="AG298" s="103">
        <f t="shared" si="35"/>
        <v>14</v>
      </c>
      <c r="AH298" s="37">
        <f t="shared" si="36"/>
        <v>21.442</v>
      </c>
      <c r="AJ298" s="97"/>
      <c r="AN298" s="39"/>
      <c r="AO298" s="39"/>
      <c r="AP298" s="47"/>
      <c r="AR298" s="38"/>
      <c r="AS298" s="38"/>
    </row>
    <row r="299" spans="22:45" ht="16" x14ac:dyDescent="0.4">
      <c r="V299" s="97">
        <v>45869</v>
      </c>
      <c r="W299" s="16">
        <v>178289</v>
      </c>
      <c r="X299" s="101" t="s">
        <v>36</v>
      </c>
      <c r="Y299" s="105"/>
      <c r="Z299" s="102">
        <v>0.14021990740740742</v>
      </c>
      <c r="AA299" s="102">
        <v>0.44843749999999999</v>
      </c>
      <c r="AB299" s="16"/>
      <c r="AC299" s="16"/>
      <c r="AD299" s="93">
        <v>21134</v>
      </c>
      <c r="AE299" s="93">
        <f t="shared" si="34"/>
        <v>21.134</v>
      </c>
      <c r="AF299" s="16">
        <v>13.45</v>
      </c>
      <c r="AG299" s="103">
        <f t="shared" si="35"/>
        <v>13.45</v>
      </c>
      <c r="AH299" s="37">
        <f t="shared" si="36"/>
        <v>20.303735714285715</v>
      </c>
      <c r="AJ299" s="97"/>
      <c r="AO299" s="39"/>
      <c r="AP299" s="47"/>
      <c r="AR299" s="38"/>
      <c r="AS299" s="38"/>
    </row>
    <row r="300" spans="22:45" ht="16" x14ac:dyDescent="0.4">
      <c r="V300" s="97">
        <v>45869</v>
      </c>
      <c r="W300" s="16">
        <v>178332</v>
      </c>
      <c r="X300" s="101" t="s">
        <v>36</v>
      </c>
      <c r="Y300" s="105"/>
      <c r="Z300" s="102">
        <v>0.6539814814814815</v>
      </c>
      <c r="AA300" s="102">
        <v>0.53833333333333333</v>
      </c>
      <c r="AB300" s="16"/>
      <c r="AC300" s="16"/>
      <c r="AD300" s="93">
        <v>21034</v>
      </c>
      <c r="AE300" s="93">
        <f t="shared" si="34"/>
        <v>21.033999999999999</v>
      </c>
      <c r="AF300" s="16">
        <v>14.37</v>
      </c>
      <c r="AG300" s="103">
        <f t="shared" si="35"/>
        <v>14</v>
      </c>
      <c r="AH300" s="37">
        <f t="shared" si="36"/>
        <v>21.033999999999999</v>
      </c>
      <c r="AJ300" s="97"/>
      <c r="AN300" s="39"/>
      <c r="AO300" s="39"/>
      <c r="AP300" s="47"/>
      <c r="AR300" s="38"/>
      <c r="AS300" s="38"/>
    </row>
    <row r="301" spans="22:45" ht="16" x14ac:dyDescent="0.4">
      <c r="V301" s="97">
        <v>45869</v>
      </c>
      <c r="W301" s="16">
        <v>178363</v>
      </c>
      <c r="X301" s="101" t="s">
        <v>36</v>
      </c>
      <c r="Y301" s="105"/>
      <c r="Z301" s="102">
        <v>0.85827546296296298</v>
      </c>
      <c r="AA301" s="102">
        <v>0.59687499999999993</v>
      </c>
      <c r="AB301" s="16"/>
      <c r="AC301" s="16"/>
      <c r="AD301" s="93">
        <v>20170</v>
      </c>
      <c r="AE301" s="93">
        <f t="shared" si="34"/>
        <v>20.170000000000002</v>
      </c>
      <c r="AF301" s="16">
        <v>13.38</v>
      </c>
      <c r="AG301" s="103">
        <f t="shared" si="35"/>
        <v>13.38</v>
      </c>
      <c r="AH301" s="37">
        <f t="shared" si="36"/>
        <v>19.276757142857146</v>
      </c>
      <c r="AJ301" s="97"/>
      <c r="AN301" s="39"/>
      <c r="AO301" s="39"/>
      <c r="AP301" s="47"/>
      <c r="AR301" s="38"/>
      <c r="AS301" s="38"/>
    </row>
    <row r="302" spans="22:45" ht="16" x14ac:dyDescent="0.4">
      <c r="V302" s="97">
        <v>45869</v>
      </c>
      <c r="W302" s="16">
        <v>178409</v>
      </c>
      <c r="X302" s="101" t="s">
        <v>36</v>
      </c>
      <c r="Y302" s="105"/>
      <c r="Z302" s="102">
        <v>0.27983796296296298</v>
      </c>
      <c r="AA302" s="102">
        <v>0.67118055555555556</v>
      </c>
      <c r="AB302" s="16"/>
      <c r="AC302" s="16"/>
      <c r="AD302" s="105">
        <v>20114</v>
      </c>
      <c r="AE302" s="93">
        <f t="shared" si="34"/>
        <v>20.114000000000001</v>
      </c>
      <c r="AF302" s="16">
        <v>15.13</v>
      </c>
      <c r="AG302" s="103">
        <f t="shared" si="35"/>
        <v>14</v>
      </c>
      <c r="AH302" s="37">
        <f t="shared" si="36"/>
        <v>20.114000000000001</v>
      </c>
      <c r="AJ302" s="97"/>
      <c r="AN302" s="39"/>
      <c r="AO302" s="39"/>
      <c r="AP302" s="47"/>
      <c r="AR302" s="38"/>
      <c r="AS302" s="38"/>
    </row>
    <row r="303" spans="22:45" ht="16" x14ac:dyDescent="0.4">
      <c r="V303" s="97">
        <v>45869</v>
      </c>
      <c r="W303" s="16">
        <v>178436</v>
      </c>
      <c r="X303" s="101" t="s">
        <v>36</v>
      </c>
      <c r="Y303" s="107"/>
      <c r="Z303" s="102">
        <v>0.65265046296296292</v>
      </c>
      <c r="AA303" s="102">
        <v>0.72666666666666668</v>
      </c>
      <c r="AB303" s="16"/>
      <c r="AC303" s="16"/>
      <c r="AD303" s="105">
        <v>19704</v>
      </c>
      <c r="AE303" s="93">
        <f t="shared" si="34"/>
        <v>19.704000000000001</v>
      </c>
      <c r="AF303" s="16">
        <v>14.63</v>
      </c>
      <c r="AG303" s="103">
        <f t="shared" si="35"/>
        <v>14</v>
      </c>
      <c r="AH303" s="37">
        <f t="shared" si="36"/>
        <v>19.704000000000001</v>
      </c>
      <c r="AJ303" s="97"/>
      <c r="AK303" s="34"/>
      <c r="AN303" s="39"/>
      <c r="AO303" s="39"/>
      <c r="AP303" s="47"/>
      <c r="AR303" s="38"/>
      <c r="AS303" s="38"/>
    </row>
    <row r="304" spans="22:45" ht="16" x14ac:dyDescent="0.4">
      <c r="V304" s="97">
        <v>45869</v>
      </c>
      <c r="W304" s="16">
        <v>178457</v>
      </c>
      <c r="X304" s="101" t="s">
        <v>36</v>
      </c>
      <c r="Y304" s="107"/>
      <c r="Z304" s="102">
        <v>0.27924768518518522</v>
      </c>
      <c r="AA304" s="102">
        <v>0.79379629629629633</v>
      </c>
      <c r="AB304" s="16"/>
      <c r="AC304" s="16"/>
      <c r="AD304" s="105">
        <v>19286</v>
      </c>
      <c r="AE304" s="93">
        <f t="shared" si="34"/>
        <v>19.286000000000001</v>
      </c>
      <c r="AF304" s="16">
        <v>14.37</v>
      </c>
      <c r="AG304" s="103">
        <f t="shared" si="35"/>
        <v>14</v>
      </c>
      <c r="AH304" s="37">
        <f t="shared" si="36"/>
        <v>19.286000000000001</v>
      </c>
      <c r="AJ304" s="97"/>
      <c r="AK304" s="34"/>
      <c r="AN304" s="39"/>
      <c r="AP304" s="47"/>
      <c r="AR304" s="38"/>
      <c r="AS304" s="38"/>
    </row>
    <row r="305" spans="22:45" ht="16" x14ac:dyDescent="0.4">
      <c r="V305" s="97">
        <v>45869</v>
      </c>
      <c r="W305" s="16">
        <v>178503</v>
      </c>
      <c r="X305" s="101" t="s">
        <v>36</v>
      </c>
      <c r="Y305" s="107"/>
      <c r="Z305" s="102">
        <v>0.65278935185185183</v>
      </c>
      <c r="AA305" s="102">
        <v>0.890625</v>
      </c>
      <c r="AB305" s="16"/>
      <c r="AC305" s="16"/>
      <c r="AD305" s="105">
        <v>18026</v>
      </c>
      <c r="AE305" s="93">
        <f t="shared" si="34"/>
        <v>18.026</v>
      </c>
      <c r="AF305" s="16">
        <v>15.18</v>
      </c>
      <c r="AG305" s="103">
        <f t="shared" si="35"/>
        <v>14</v>
      </c>
      <c r="AH305" s="37">
        <f t="shared" si="36"/>
        <v>18.026</v>
      </c>
      <c r="AJ305" s="97"/>
      <c r="AK305" s="34"/>
      <c r="AN305" s="39"/>
      <c r="AO305" s="39"/>
      <c r="AP305" s="47"/>
      <c r="AR305" s="38"/>
      <c r="AS305" s="84"/>
    </row>
    <row r="306" spans="22:45" ht="16" x14ac:dyDescent="0.4">
      <c r="V306" s="97">
        <v>45869</v>
      </c>
      <c r="W306" s="16">
        <v>178538</v>
      </c>
      <c r="X306" s="101" t="s">
        <v>36</v>
      </c>
      <c r="Y306" s="107"/>
      <c r="Z306" s="102">
        <v>0.72344907407407411</v>
      </c>
      <c r="AA306" s="102">
        <v>0.98435185185185192</v>
      </c>
      <c r="AB306" s="16"/>
      <c r="AC306" s="16"/>
      <c r="AD306" s="105">
        <v>18328</v>
      </c>
      <c r="AE306" s="93">
        <f t="shared" si="34"/>
        <v>18.327999999999999</v>
      </c>
      <c r="AF306" s="16">
        <v>14.68</v>
      </c>
      <c r="AG306" s="103">
        <f t="shared" si="35"/>
        <v>14</v>
      </c>
      <c r="AH306" s="37">
        <f t="shared" si="36"/>
        <v>18.327999999999999</v>
      </c>
      <c r="AJ306" s="97"/>
      <c r="AK306" s="34"/>
      <c r="AN306" s="39"/>
      <c r="AO306" s="39"/>
      <c r="AP306" s="47"/>
      <c r="AR306" s="38"/>
      <c r="AS306" s="38"/>
    </row>
    <row r="307" spans="22:45" ht="16" x14ac:dyDescent="0.4">
      <c r="V307" s="97"/>
      <c r="W307" s="16"/>
      <c r="X307" s="101"/>
      <c r="Y307" s="107"/>
      <c r="Z307" s="102"/>
      <c r="AA307" s="102"/>
      <c r="AB307" s="16"/>
      <c r="AC307" s="16"/>
      <c r="AD307" s="105"/>
      <c r="AE307" s="93">
        <f t="shared" si="34"/>
        <v>0</v>
      </c>
      <c r="AF307" s="16"/>
      <c r="AG307" s="103">
        <f t="shared" si="35"/>
        <v>0</v>
      </c>
      <c r="AH307" s="37">
        <f t="shared" si="36"/>
        <v>0</v>
      </c>
      <c r="AJ307" s="38"/>
      <c r="AK307" s="34"/>
      <c r="AL307" s="16"/>
      <c r="AN307" s="39"/>
      <c r="AO307" s="39"/>
      <c r="AP307" s="47"/>
      <c r="AR307" s="38"/>
      <c r="AS307" s="38"/>
    </row>
    <row r="308" spans="22:45" ht="16" x14ac:dyDescent="0.4">
      <c r="V308" s="97"/>
      <c r="W308" s="16"/>
      <c r="X308" s="101"/>
      <c r="Y308" s="107"/>
      <c r="Z308" s="102"/>
      <c r="AA308" s="102"/>
      <c r="AB308" s="16"/>
      <c r="AC308" s="16"/>
      <c r="AD308" s="105"/>
      <c r="AE308" s="93">
        <f t="shared" si="34"/>
        <v>0</v>
      </c>
      <c r="AF308" s="16"/>
      <c r="AG308" s="103">
        <f t="shared" si="35"/>
        <v>0</v>
      </c>
      <c r="AH308" s="37">
        <f t="shared" si="36"/>
        <v>0</v>
      </c>
      <c r="AJ308" s="38"/>
      <c r="AK308" s="34"/>
      <c r="AL308" s="16"/>
      <c r="AN308" s="39"/>
      <c r="AO308" s="39"/>
      <c r="AP308" s="47"/>
      <c r="AR308" s="38"/>
      <c r="AS308" s="38"/>
    </row>
    <row r="309" spans="22:45" ht="16" x14ac:dyDescent="0.4">
      <c r="V309" s="97"/>
      <c r="W309" s="16"/>
      <c r="X309" s="101"/>
      <c r="Y309" s="107"/>
      <c r="Z309" s="102"/>
      <c r="AA309" s="102"/>
      <c r="AB309" s="16"/>
      <c r="AC309" s="16"/>
      <c r="AD309" s="105"/>
      <c r="AE309" s="93">
        <f t="shared" si="34"/>
        <v>0</v>
      </c>
      <c r="AF309" s="16"/>
      <c r="AG309" s="103">
        <f t="shared" si="35"/>
        <v>0</v>
      </c>
      <c r="AH309" s="37">
        <f t="shared" si="36"/>
        <v>0</v>
      </c>
      <c r="AJ309" s="38"/>
      <c r="AK309" s="34"/>
      <c r="AL309" s="16"/>
      <c r="AN309" s="39"/>
      <c r="AO309" s="39"/>
      <c r="AP309" s="47"/>
      <c r="AR309" s="38"/>
      <c r="AS309" s="38"/>
    </row>
    <row r="310" spans="22:45" ht="16" x14ac:dyDescent="0.4">
      <c r="V310" s="97"/>
      <c r="W310" s="16"/>
      <c r="X310" s="101"/>
      <c r="Y310" s="107"/>
      <c r="Z310" s="102"/>
      <c r="AA310" s="102"/>
      <c r="AB310" s="16"/>
      <c r="AC310" s="16"/>
      <c r="AD310" s="105"/>
      <c r="AE310" s="93">
        <f t="shared" si="34"/>
        <v>0</v>
      </c>
      <c r="AF310" s="16"/>
      <c r="AG310" s="103">
        <f t="shared" si="35"/>
        <v>0</v>
      </c>
      <c r="AH310" s="37">
        <f t="shared" si="36"/>
        <v>0</v>
      </c>
      <c r="AJ310" s="38"/>
      <c r="AK310" s="34"/>
      <c r="AL310" s="16"/>
      <c r="AN310" s="39"/>
      <c r="AO310" s="39"/>
      <c r="AP310" s="47"/>
      <c r="AR310" s="38"/>
      <c r="AS310" s="38"/>
    </row>
    <row r="311" spans="22:45" ht="16" x14ac:dyDescent="0.4">
      <c r="V311" s="97"/>
      <c r="W311" s="16"/>
      <c r="X311" s="101"/>
      <c r="Y311" s="107"/>
      <c r="Z311" s="102"/>
      <c r="AA311" s="102"/>
      <c r="AB311" s="16"/>
      <c r="AC311" s="16"/>
      <c r="AD311" s="105"/>
      <c r="AE311" s="93">
        <f t="shared" si="34"/>
        <v>0</v>
      </c>
      <c r="AF311" s="16"/>
      <c r="AG311" s="103">
        <f t="shared" si="35"/>
        <v>0</v>
      </c>
      <c r="AH311" s="37">
        <f t="shared" si="36"/>
        <v>0</v>
      </c>
      <c r="AJ311" s="38"/>
      <c r="AK311" s="34"/>
      <c r="AL311" s="16"/>
      <c r="AN311" s="39"/>
      <c r="AO311" s="39"/>
      <c r="AP311" s="47"/>
      <c r="AR311" s="38"/>
      <c r="AS311" s="38"/>
    </row>
    <row r="312" spans="22:45" ht="16" x14ac:dyDescent="0.4">
      <c r="V312" s="97"/>
      <c r="W312" s="16"/>
      <c r="X312" s="101"/>
      <c r="Y312" s="107"/>
      <c r="Z312" s="102"/>
      <c r="AA312" s="102"/>
      <c r="AB312" s="16"/>
      <c r="AC312" s="16"/>
      <c r="AD312" s="105"/>
      <c r="AE312" s="93">
        <f t="shared" si="34"/>
        <v>0</v>
      </c>
      <c r="AF312" s="16"/>
      <c r="AG312" s="103">
        <f t="shared" si="35"/>
        <v>0</v>
      </c>
      <c r="AH312" s="37">
        <f t="shared" si="36"/>
        <v>0</v>
      </c>
      <c r="AJ312" s="38"/>
      <c r="AK312" s="34"/>
      <c r="AL312" s="16"/>
      <c r="AN312" s="39"/>
      <c r="AO312" s="39"/>
      <c r="AP312" s="47"/>
      <c r="AR312" s="38"/>
      <c r="AS312" s="38"/>
    </row>
    <row r="313" spans="22:45" ht="16" x14ac:dyDescent="0.4">
      <c r="V313" s="97"/>
      <c r="W313" s="16"/>
      <c r="X313" s="101"/>
      <c r="Y313" s="107"/>
      <c r="Z313" s="102"/>
      <c r="AA313" s="102"/>
      <c r="AB313" s="16"/>
      <c r="AC313" s="16"/>
      <c r="AD313" s="105"/>
      <c r="AE313" s="93">
        <f t="shared" si="34"/>
        <v>0</v>
      </c>
      <c r="AF313" s="16"/>
      <c r="AG313" s="103">
        <f t="shared" si="35"/>
        <v>0</v>
      </c>
      <c r="AH313" s="37">
        <f t="shared" si="36"/>
        <v>0</v>
      </c>
      <c r="AJ313" s="38"/>
      <c r="AK313" s="34"/>
      <c r="AL313" s="16"/>
      <c r="AN313" s="39"/>
      <c r="AO313" s="39"/>
      <c r="AP313" s="47"/>
      <c r="AR313" s="38"/>
      <c r="AS313" s="38"/>
    </row>
    <row r="314" spans="22:45" ht="16" x14ac:dyDescent="0.4">
      <c r="V314" s="97"/>
      <c r="W314" s="16"/>
      <c r="X314" s="101"/>
      <c r="Y314" s="107"/>
      <c r="Z314" s="102"/>
      <c r="AA314" s="102"/>
      <c r="AB314" s="16"/>
      <c r="AC314" s="16"/>
      <c r="AD314" s="105"/>
      <c r="AE314" s="93">
        <f t="shared" si="34"/>
        <v>0</v>
      </c>
      <c r="AF314" s="16"/>
      <c r="AG314" s="103">
        <f t="shared" si="35"/>
        <v>0</v>
      </c>
      <c r="AH314" s="37">
        <f t="shared" si="36"/>
        <v>0</v>
      </c>
      <c r="AJ314" s="38"/>
      <c r="AK314" s="34"/>
      <c r="AL314" s="16"/>
      <c r="AN314" s="39"/>
      <c r="AO314" s="39"/>
      <c r="AP314" s="47"/>
      <c r="AR314" s="38"/>
      <c r="AS314" s="38"/>
    </row>
    <row r="315" spans="22:45" ht="16" x14ac:dyDescent="0.4">
      <c r="V315" s="97"/>
      <c r="W315" s="16"/>
      <c r="X315" s="101"/>
      <c r="Y315" s="107"/>
      <c r="Z315" s="102"/>
      <c r="AA315" s="102"/>
      <c r="AB315" s="16"/>
      <c r="AC315" s="16"/>
      <c r="AD315" s="105"/>
      <c r="AE315" s="93">
        <f t="shared" si="34"/>
        <v>0</v>
      </c>
      <c r="AF315" s="16"/>
      <c r="AG315" s="103">
        <f t="shared" si="35"/>
        <v>0</v>
      </c>
      <c r="AH315" s="37">
        <f t="shared" si="36"/>
        <v>0</v>
      </c>
      <c r="AJ315" s="38"/>
      <c r="AK315" s="34"/>
      <c r="AL315" s="16"/>
      <c r="AN315" s="39"/>
      <c r="AO315" s="39"/>
      <c r="AP315" s="47"/>
      <c r="AR315" s="38"/>
      <c r="AS315" s="38"/>
    </row>
    <row r="316" spans="22:45" ht="16" x14ac:dyDescent="0.4">
      <c r="V316" s="97"/>
      <c r="W316" s="16"/>
      <c r="X316" s="101"/>
      <c r="Y316" s="107"/>
      <c r="Z316" s="102"/>
      <c r="AA316" s="102"/>
      <c r="AB316" s="16"/>
      <c r="AC316" s="16"/>
      <c r="AD316" s="105"/>
      <c r="AE316" s="93">
        <f t="shared" si="34"/>
        <v>0</v>
      </c>
      <c r="AF316" s="16"/>
      <c r="AG316" s="103">
        <f t="shared" si="35"/>
        <v>0</v>
      </c>
      <c r="AH316" s="37">
        <f t="shared" si="36"/>
        <v>0</v>
      </c>
      <c r="AJ316" s="38"/>
      <c r="AK316" s="34"/>
      <c r="AL316" s="16"/>
      <c r="AN316" s="39"/>
      <c r="AP316" s="47"/>
      <c r="AR316" s="38"/>
      <c r="AS316" s="38"/>
    </row>
    <row r="317" spans="22:45" ht="16" x14ac:dyDescent="0.4">
      <c r="V317" s="97"/>
      <c r="W317" s="16"/>
      <c r="X317" s="101"/>
      <c r="Y317" s="107"/>
      <c r="Z317" s="102"/>
      <c r="AA317" s="102"/>
      <c r="AB317" s="16"/>
      <c r="AC317" s="16"/>
      <c r="AD317" s="105"/>
      <c r="AE317" s="93">
        <f t="shared" si="34"/>
        <v>0</v>
      </c>
      <c r="AF317" s="16"/>
      <c r="AG317" s="103">
        <f t="shared" si="35"/>
        <v>0</v>
      </c>
      <c r="AH317" s="37">
        <f t="shared" si="36"/>
        <v>0</v>
      </c>
      <c r="AJ317" s="38"/>
      <c r="AK317" s="34"/>
      <c r="AL317" s="16"/>
      <c r="AN317" s="39"/>
      <c r="AO317" s="39"/>
      <c r="AP317" s="47"/>
      <c r="AR317" s="38"/>
      <c r="AS317" s="38"/>
    </row>
    <row r="318" spans="22:45" ht="16" x14ac:dyDescent="0.4">
      <c r="V318" s="97"/>
      <c r="W318" s="16"/>
      <c r="X318" s="101"/>
      <c r="Y318" s="107"/>
      <c r="Z318" s="102"/>
      <c r="AA318" s="102"/>
      <c r="AB318" s="16"/>
      <c r="AC318" s="16"/>
      <c r="AD318" s="105"/>
      <c r="AE318" s="93">
        <f t="shared" si="34"/>
        <v>0</v>
      </c>
      <c r="AF318" s="16"/>
      <c r="AG318" s="103">
        <f t="shared" si="35"/>
        <v>0</v>
      </c>
      <c r="AH318" s="37">
        <f t="shared" si="36"/>
        <v>0</v>
      </c>
      <c r="AJ318" s="38"/>
      <c r="AK318" s="34"/>
      <c r="AL318" s="16"/>
      <c r="AN318" s="39"/>
      <c r="AO318" s="39"/>
      <c r="AP318" s="47"/>
      <c r="AR318" s="38"/>
      <c r="AS318" s="38"/>
    </row>
    <row r="319" spans="22:45" ht="16" x14ac:dyDescent="0.4">
      <c r="V319" s="97"/>
      <c r="W319" s="16"/>
      <c r="X319" s="101"/>
      <c r="Y319" s="107"/>
      <c r="Z319" s="102"/>
      <c r="AA319" s="102"/>
      <c r="AB319" s="16"/>
      <c r="AC319" s="16"/>
      <c r="AD319" s="105"/>
      <c r="AE319" s="93">
        <f t="shared" si="34"/>
        <v>0</v>
      </c>
      <c r="AF319" s="16"/>
      <c r="AG319" s="103">
        <f t="shared" si="35"/>
        <v>0</v>
      </c>
      <c r="AH319" s="37">
        <f t="shared" si="36"/>
        <v>0</v>
      </c>
      <c r="AJ319" s="38"/>
      <c r="AK319" s="34"/>
      <c r="AL319" s="16"/>
      <c r="AN319" s="39"/>
      <c r="AP319" s="47"/>
      <c r="AR319" s="38"/>
      <c r="AS319" s="38"/>
    </row>
    <row r="320" spans="22:45" ht="16" x14ac:dyDescent="0.4">
      <c r="V320" s="97"/>
      <c r="W320" s="16"/>
      <c r="X320" s="101"/>
      <c r="Y320" s="107"/>
      <c r="Z320" s="102"/>
      <c r="AA320" s="102"/>
      <c r="AB320" s="16"/>
      <c r="AC320" s="16"/>
      <c r="AD320" s="105"/>
      <c r="AE320" s="93">
        <f t="shared" si="34"/>
        <v>0</v>
      </c>
      <c r="AF320" s="16"/>
      <c r="AG320" s="103">
        <f t="shared" si="35"/>
        <v>0</v>
      </c>
      <c r="AH320" s="37">
        <f t="shared" si="36"/>
        <v>0</v>
      </c>
      <c r="AJ320" s="38"/>
      <c r="AK320" s="34"/>
      <c r="AL320" s="16"/>
      <c r="AN320" s="39"/>
      <c r="AO320" s="39"/>
      <c r="AP320" s="47"/>
      <c r="AR320" s="38"/>
      <c r="AS320" s="38"/>
    </row>
    <row r="321" spans="22:45" ht="16" x14ac:dyDescent="0.4">
      <c r="V321" s="97"/>
      <c r="W321" s="16"/>
      <c r="X321" s="101"/>
      <c r="Y321" s="107"/>
      <c r="Z321" s="102"/>
      <c r="AA321" s="102"/>
      <c r="AB321" s="16"/>
      <c r="AC321" s="16"/>
      <c r="AD321" s="105"/>
      <c r="AE321" s="93">
        <f t="shared" si="34"/>
        <v>0</v>
      </c>
      <c r="AF321" s="16"/>
      <c r="AG321" s="103">
        <f t="shared" si="35"/>
        <v>0</v>
      </c>
      <c r="AH321" s="37">
        <f t="shared" si="36"/>
        <v>0</v>
      </c>
      <c r="AJ321" s="34"/>
      <c r="AK321" s="34"/>
      <c r="AL321" s="82"/>
      <c r="AN321" s="83"/>
      <c r="AO321" s="83"/>
      <c r="AP321" s="82"/>
      <c r="AQ321" s="84"/>
      <c r="AR321" s="84"/>
      <c r="AS321" s="38"/>
    </row>
    <row r="322" spans="22:45" ht="16" x14ac:dyDescent="0.4">
      <c r="V322" s="97"/>
      <c r="W322" s="16"/>
      <c r="X322" s="101"/>
      <c r="Y322" s="107"/>
      <c r="Z322" s="102"/>
      <c r="AA322" s="102"/>
      <c r="AB322" s="16"/>
      <c r="AC322" s="16"/>
      <c r="AD322" s="105"/>
      <c r="AE322" s="93">
        <f t="shared" si="34"/>
        <v>0</v>
      </c>
      <c r="AF322" s="16"/>
      <c r="AG322" s="103">
        <f t="shared" si="35"/>
        <v>0</v>
      </c>
      <c r="AH322" s="37">
        <f t="shared" si="36"/>
        <v>0</v>
      </c>
      <c r="AJ322" s="34"/>
      <c r="AK322" s="34"/>
      <c r="AL322" s="82"/>
      <c r="AN322" s="83"/>
      <c r="AO322" s="83"/>
      <c r="AP322" s="82"/>
      <c r="AQ322" s="84"/>
      <c r="AR322" s="84"/>
      <c r="AS322" s="38"/>
    </row>
    <row r="323" spans="22:45" ht="16" x14ac:dyDescent="0.4">
      <c r="V323" s="97"/>
      <c r="W323" s="16"/>
      <c r="X323" s="101"/>
      <c r="Y323" s="107"/>
      <c r="Z323" s="102"/>
      <c r="AA323" s="102"/>
      <c r="AB323" s="16"/>
      <c r="AC323" s="16"/>
      <c r="AD323" s="105"/>
      <c r="AE323" s="93">
        <f t="shared" si="34"/>
        <v>0</v>
      </c>
      <c r="AF323" s="16"/>
      <c r="AG323" s="103">
        <f t="shared" si="35"/>
        <v>0</v>
      </c>
      <c r="AH323" s="37">
        <f t="shared" si="36"/>
        <v>0</v>
      </c>
      <c r="AJ323" s="34"/>
      <c r="AK323" s="34"/>
      <c r="AL323" s="82"/>
      <c r="AN323" s="83"/>
      <c r="AO323" s="83"/>
      <c r="AP323" s="82"/>
      <c r="AQ323" s="84"/>
      <c r="AR323" s="84"/>
      <c r="AS323" s="84"/>
    </row>
    <row r="324" spans="22:45" ht="16" x14ac:dyDescent="0.4">
      <c r="V324" s="97"/>
      <c r="W324" s="16"/>
      <c r="X324" s="101"/>
      <c r="Y324" s="107"/>
      <c r="Z324" s="102"/>
      <c r="AA324" s="102"/>
      <c r="AB324" s="16"/>
      <c r="AC324" s="16"/>
      <c r="AD324" s="105"/>
      <c r="AE324" s="93">
        <f t="shared" si="34"/>
        <v>0</v>
      </c>
      <c r="AF324" s="16"/>
      <c r="AG324" s="103">
        <f t="shared" si="35"/>
        <v>0</v>
      </c>
      <c r="AH324" s="37">
        <f t="shared" si="36"/>
        <v>0</v>
      </c>
      <c r="AJ324" s="34"/>
      <c r="AK324" s="34"/>
      <c r="AL324" s="82"/>
      <c r="AN324" s="83"/>
      <c r="AO324" s="83"/>
      <c r="AP324" s="82"/>
      <c r="AQ324" s="84"/>
      <c r="AR324" s="84"/>
      <c r="AS324" s="84"/>
    </row>
    <row r="325" spans="22:45" ht="16" x14ac:dyDescent="0.4">
      <c r="V325" s="97"/>
      <c r="W325" s="16"/>
      <c r="X325" s="101"/>
      <c r="Y325" s="107"/>
      <c r="Z325" s="102"/>
      <c r="AA325" s="102"/>
      <c r="AB325" s="16"/>
      <c r="AC325" s="16"/>
      <c r="AD325" s="105"/>
      <c r="AE325" s="93">
        <f t="shared" ref="AE325:AE388" si="37">AD325/1000</f>
        <v>0</v>
      </c>
      <c r="AF325" s="16"/>
      <c r="AG325" s="103">
        <f t="shared" si="35"/>
        <v>0</v>
      </c>
      <c r="AH325" s="37">
        <f t="shared" si="36"/>
        <v>0</v>
      </c>
      <c r="AJ325" s="34"/>
      <c r="AK325" s="34"/>
      <c r="AL325" s="82"/>
      <c r="AN325" s="83"/>
      <c r="AO325" s="83"/>
      <c r="AP325" s="82"/>
      <c r="AQ325" s="84"/>
      <c r="AR325" s="84"/>
      <c r="AS325" s="84"/>
    </row>
    <row r="326" spans="22:45" ht="16" x14ac:dyDescent="0.4">
      <c r="V326" s="97"/>
      <c r="W326" s="16"/>
      <c r="X326" s="101"/>
      <c r="Y326" s="107"/>
      <c r="Z326" s="102"/>
      <c r="AA326" s="102"/>
      <c r="AB326" s="16"/>
      <c r="AC326" s="16"/>
      <c r="AD326" s="105"/>
      <c r="AE326" s="93">
        <f t="shared" si="37"/>
        <v>0</v>
      </c>
      <c r="AF326" s="16"/>
      <c r="AG326" s="103">
        <f t="shared" ref="AG326:AG389" si="38">IF($AF326&gt;14,14,$AF326)</f>
        <v>0</v>
      </c>
      <c r="AH326" s="37">
        <f t="shared" ref="AH326:AH389" si="39">AE326*AG326/14</f>
        <v>0</v>
      </c>
      <c r="AJ326" s="34"/>
      <c r="AK326" s="34"/>
      <c r="AL326" s="82"/>
      <c r="AN326" s="83"/>
      <c r="AO326" s="83"/>
      <c r="AP326" s="82"/>
      <c r="AQ326" s="84"/>
      <c r="AR326" s="84"/>
      <c r="AS326" s="84"/>
    </row>
    <row r="327" spans="22:45" ht="16" x14ac:dyDescent="0.4">
      <c r="V327" s="97"/>
      <c r="W327" s="16"/>
      <c r="X327" s="101"/>
      <c r="Y327" s="107"/>
      <c r="Z327" s="102"/>
      <c r="AA327" s="102"/>
      <c r="AB327" s="16"/>
      <c r="AC327" s="16"/>
      <c r="AD327" s="105"/>
      <c r="AE327" s="93">
        <f t="shared" si="37"/>
        <v>0</v>
      </c>
      <c r="AF327" s="16"/>
      <c r="AG327" s="103">
        <f t="shared" si="38"/>
        <v>0</v>
      </c>
      <c r="AH327" s="37">
        <f t="shared" si="39"/>
        <v>0</v>
      </c>
      <c r="AJ327" s="34"/>
      <c r="AK327" s="34"/>
      <c r="AL327" s="82"/>
      <c r="AN327" s="83"/>
      <c r="AO327" s="83"/>
      <c r="AP327" s="82"/>
      <c r="AQ327" s="84"/>
      <c r="AR327" s="84"/>
      <c r="AS327" s="84"/>
    </row>
    <row r="328" spans="22:45" ht="16" x14ac:dyDescent="0.4">
      <c r="V328" s="97"/>
      <c r="W328" s="16"/>
      <c r="X328" s="101"/>
      <c r="Y328" s="107"/>
      <c r="Z328" s="102"/>
      <c r="AA328" s="102"/>
      <c r="AB328" s="16"/>
      <c r="AC328" s="16"/>
      <c r="AD328" s="105"/>
      <c r="AE328" s="93">
        <f t="shared" si="37"/>
        <v>0</v>
      </c>
      <c r="AF328" s="16"/>
      <c r="AG328" s="103">
        <f t="shared" si="38"/>
        <v>0</v>
      </c>
      <c r="AH328" s="37">
        <f t="shared" si="39"/>
        <v>0</v>
      </c>
      <c r="AJ328" s="34"/>
      <c r="AK328" s="34"/>
      <c r="AL328" s="82"/>
      <c r="AN328" s="83"/>
      <c r="AO328" s="83"/>
      <c r="AP328" s="82"/>
      <c r="AQ328" s="84"/>
      <c r="AR328" s="84"/>
      <c r="AS328" s="84"/>
    </row>
    <row r="329" spans="22:45" ht="16" x14ac:dyDescent="0.4">
      <c r="V329" s="97"/>
      <c r="W329" s="16"/>
      <c r="X329" s="101"/>
      <c r="Y329" s="107"/>
      <c r="Z329" s="102"/>
      <c r="AA329" s="102"/>
      <c r="AB329" s="16"/>
      <c r="AC329" s="16"/>
      <c r="AD329" s="105"/>
      <c r="AE329" s="93">
        <f t="shared" si="37"/>
        <v>0</v>
      </c>
      <c r="AF329" s="16"/>
      <c r="AG329" s="103">
        <f t="shared" si="38"/>
        <v>0</v>
      </c>
      <c r="AH329" s="37">
        <f t="shared" si="39"/>
        <v>0</v>
      </c>
      <c r="AJ329" s="34"/>
      <c r="AK329" s="34"/>
      <c r="AL329" s="82"/>
      <c r="AN329" s="83"/>
      <c r="AO329" s="83"/>
      <c r="AP329" s="82"/>
      <c r="AQ329" s="84"/>
      <c r="AR329" s="84"/>
      <c r="AS329" s="84"/>
    </row>
    <row r="330" spans="22:45" ht="16" x14ac:dyDescent="0.4">
      <c r="V330" s="97"/>
      <c r="W330" s="16"/>
      <c r="X330" s="101"/>
      <c r="Y330" s="107"/>
      <c r="Z330" s="102"/>
      <c r="AA330" s="102"/>
      <c r="AB330" s="16"/>
      <c r="AC330" s="16"/>
      <c r="AD330" s="105"/>
      <c r="AE330" s="93">
        <f t="shared" si="37"/>
        <v>0</v>
      </c>
      <c r="AF330" s="16"/>
      <c r="AG330" s="103">
        <f t="shared" si="38"/>
        <v>0</v>
      </c>
      <c r="AH330" s="37">
        <f t="shared" si="39"/>
        <v>0</v>
      </c>
      <c r="AJ330" s="34"/>
      <c r="AK330" s="34"/>
      <c r="AL330" s="82"/>
      <c r="AN330" s="83"/>
      <c r="AO330" s="83"/>
      <c r="AP330" s="82"/>
      <c r="AQ330" s="84"/>
      <c r="AR330" s="84"/>
      <c r="AS330" s="84"/>
    </row>
    <row r="331" spans="22:45" ht="16" x14ac:dyDescent="0.4">
      <c r="V331" s="97"/>
      <c r="W331" s="16"/>
      <c r="X331" s="101"/>
      <c r="Y331" s="107"/>
      <c r="Z331" s="102"/>
      <c r="AA331" s="102"/>
      <c r="AB331" s="16"/>
      <c r="AC331" s="16"/>
      <c r="AD331" s="105"/>
      <c r="AE331" s="93">
        <f t="shared" si="37"/>
        <v>0</v>
      </c>
      <c r="AF331" s="16"/>
      <c r="AG331" s="103">
        <f t="shared" si="38"/>
        <v>0</v>
      </c>
      <c r="AH331" s="37">
        <f t="shared" si="39"/>
        <v>0</v>
      </c>
      <c r="AJ331" s="34"/>
      <c r="AK331" s="34"/>
      <c r="AL331" s="82"/>
      <c r="AN331" s="83"/>
      <c r="AO331" s="83"/>
      <c r="AP331" s="82"/>
      <c r="AQ331" s="84"/>
      <c r="AR331" s="84"/>
      <c r="AS331" s="84"/>
    </row>
    <row r="332" spans="22:45" ht="16" x14ac:dyDescent="0.4">
      <c r="V332" s="97"/>
      <c r="W332" s="16"/>
      <c r="X332" s="101"/>
      <c r="Y332" s="107"/>
      <c r="Z332" s="102"/>
      <c r="AA332" s="102"/>
      <c r="AB332" s="16"/>
      <c r="AC332" s="16"/>
      <c r="AD332" s="105"/>
      <c r="AE332" s="93">
        <f t="shared" si="37"/>
        <v>0</v>
      </c>
      <c r="AG332" s="72">
        <f t="shared" si="38"/>
        <v>0</v>
      </c>
      <c r="AH332" s="37">
        <f t="shared" si="39"/>
        <v>0</v>
      </c>
      <c r="AJ332" s="34"/>
      <c r="AK332" s="34"/>
      <c r="AL332" s="82"/>
      <c r="AN332" s="83"/>
      <c r="AO332" s="83"/>
      <c r="AP332" s="82"/>
      <c r="AQ332" s="84"/>
      <c r="AR332" s="84"/>
      <c r="AS332" s="84"/>
    </row>
    <row r="333" spans="22:45" ht="16" x14ac:dyDescent="0.4">
      <c r="V333" s="97"/>
      <c r="W333" s="16"/>
      <c r="X333" s="101"/>
      <c r="Y333" s="107"/>
      <c r="Z333" s="102"/>
      <c r="AA333" s="102"/>
      <c r="AB333" s="16"/>
      <c r="AC333" s="16"/>
      <c r="AD333" s="105"/>
      <c r="AE333" s="93">
        <f t="shared" si="37"/>
        <v>0</v>
      </c>
      <c r="AG333" s="72">
        <f t="shared" si="38"/>
        <v>0</v>
      </c>
      <c r="AH333" s="37">
        <f t="shared" si="39"/>
        <v>0</v>
      </c>
      <c r="AJ333" s="34"/>
      <c r="AK333" s="34"/>
      <c r="AL333" s="82"/>
      <c r="AN333" s="83"/>
      <c r="AO333" s="83"/>
      <c r="AP333" s="82"/>
      <c r="AQ333" s="84"/>
      <c r="AR333" s="84"/>
      <c r="AS333" s="84"/>
    </row>
    <row r="334" spans="22:45" ht="16" x14ac:dyDescent="0.4">
      <c r="V334" s="97"/>
      <c r="W334" s="16"/>
      <c r="X334" s="101"/>
      <c r="Y334" s="107"/>
      <c r="Z334" s="102"/>
      <c r="AA334" s="102"/>
      <c r="AB334" s="16"/>
      <c r="AC334" s="16"/>
      <c r="AD334" s="105"/>
      <c r="AE334" s="93">
        <f t="shared" si="37"/>
        <v>0</v>
      </c>
      <c r="AG334" s="72">
        <f t="shared" si="38"/>
        <v>0</v>
      </c>
      <c r="AH334" s="37">
        <f t="shared" si="39"/>
        <v>0</v>
      </c>
      <c r="AJ334" s="34"/>
      <c r="AK334" s="34"/>
      <c r="AL334" s="82"/>
      <c r="AN334" s="83"/>
      <c r="AO334" s="83"/>
      <c r="AP334" s="82"/>
      <c r="AQ334" s="84"/>
      <c r="AR334" s="84"/>
      <c r="AS334" s="84"/>
    </row>
    <row r="335" spans="22:45" ht="16" x14ac:dyDescent="0.4">
      <c r="V335" s="97"/>
      <c r="W335" s="16"/>
      <c r="X335" s="101"/>
      <c r="Y335" s="107"/>
      <c r="Z335" s="102"/>
      <c r="AA335" s="102"/>
      <c r="AB335" s="16"/>
      <c r="AC335" s="16"/>
      <c r="AD335" s="105"/>
      <c r="AE335" s="93">
        <f t="shared" si="37"/>
        <v>0</v>
      </c>
      <c r="AG335" s="72">
        <f t="shared" si="38"/>
        <v>0</v>
      </c>
      <c r="AH335" s="37">
        <f t="shared" si="39"/>
        <v>0</v>
      </c>
      <c r="AJ335" s="34"/>
      <c r="AK335" s="34"/>
      <c r="AL335" s="82"/>
      <c r="AN335" s="83"/>
      <c r="AO335" s="83"/>
      <c r="AP335" s="82"/>
      <c r="AQ335" s="84"/>
      <c r="AR335" s="84"/>
      <c r="AS335" s="84"/>
    </row>
    <row r="336" spans="22:45" ht="16" x14ac:dyDescent="0.4">
      <c r="V336" s="97"/>
      <c r="W336" s="16"/>
      <c r="X336" s="101"/>
      <c r="Y336" s="107"/>
      <c r="Z336" s="102"/>
      <c r="AA336" s="102"/>
      <c r="AB336" s="16"/>
      <c r="AC336" s="16"/>
      <c r="AD336" s="105"/>
      <c r="AE336" s="93">
        <f t="shared" si="37"/>
        <v>0</v>
      </c>
      <c r="AG336" s="72">
        <f t="shared" si="38"/>
        <v>0</v>
      </c>
      <c r="AH336" s="37">
        <f t="shared" si="39"/>
        <v>0</v>
      </c>
      <c r="AJ336" s="34"/>
      <c r="AK336" s="34"/>
      <c r="AL336" s="82"/>
      <c r="AN336" s="83"/>
      <c r="AO336" s="83"/>
      <c r="AP336" s="82"/>
      <c r="AQ336" s="84"/>
      <c r="AR336" s="84"/>
      <c r="AS336" s="84"/>
    </row>
    <row r="337" spans="22:45" ht="16" x14ac:dyDescent="0.4">
      <c r="V337" s="97"/>
      <c r="W337" s="16"/>
      <c r="X337" s="101"/>
      <c r="Y337" s="107"/>
      <c r="Z337" s="102"/>
      <c r="AA337" s="102"/>
      <c r="AB337" s="16"/>
      <c r="AC337" s="16"/>
      <c r="AD337" s="105"/>
      <c r="AE337" s="93">
        <f t="shared" si="37"/>
        <v>0</v>
      </c>
      <c r="AG337" s="72">
        <f t="shared" si="38"/>
        <v>0</v>
      </c>
      <c r="AH337" s="37">
        <f t="shared" si="39"/>
        <v>0</v>
      </c>
      <c r="AJ337" s="34"/>
      <c r="AK337" s="34"/>
      <c r="AL337" s="82"/>
      <c r="AN337" s="83"/>
      <c r="AO337" s="83"/>
      <c r="AP337" s="82"/>
      <c r="AQ337" s="84"/>
      <c r="AR337" s="84"/>
      <c r="AS337" s="84"/>
    </row>
    <row r="338" spans="22:45" ht="16" x14ac:dyDescent="0.4">
      <c r="V338" s="97"/>
      <c r="W338" s="16"/>
      <c r="X338" s="101"/>
      <c r="Y338" s="107"/>
      <c r="Z338" s="102"/>
      <c r="AA338" s="102"/>
      <c r="AB338" s="16"/>
      <c r="AC338" s="16"/>
      <c r="AD338" s="105"/>
      <c r="AE338" s="93">
        <f t="shared" si="37"/>
        <v>0</v>
      </c>
      <c r="AG338" s="72">
        <f t="shared" si="38"/>
        <v>0</v>
      </c>
      <c r="AH338" s="37">
        <f t="shared" si="39"/>
        <v>0</v>
      </c>
      <c r="AJ338" s="34"/>
      <c r="AK338" s="34"/>
      <c r="AL338" s="82"/>
      <c r="AN338" s="83"/>
      <c r="AO338" s="83"/>
      <c r="AP338" s="82"/>
      <c r="AQ338" s="84"/>
      <c r="AR338" s="84"/>
      <c r="AS338" s="84"/>
    </row>
    <row r="339" spans="22:45" ht="16" x14ac:dyDescent="0.4">
      <c r="V339" s="97"/>
      <c r="W339" s="16"/>
      <c r="X339" s="101"/>
      <c r="Y339" s="107"/>
      <c r="Z339" s="102"/>
      <c r="AA339" s="102"/>
      <c r="AB339" s="16"/>
      <c r="AC339" s="16"/>
      <c r="AD339" s="105"/>
      <c r="AE339" s="93">
        <f t="shared" si="37"/>
        <v>0</v>
      </c>
      <c r="AG339" s="72">
        <f t="shared" si="38"/>
        <v>0</v>
      </c>
      <c r="AH339" s="37">
        <f t="shared" si="39"/>
        <v>0</v>
      </c>
      <c r="AJ339" s="34"/>
      <c r="AK339" s="34"/>
      <c r="AL339" s="82"/>
      <c r="AN339" s="83"/>
      <c r="AO339" s="83"/>
      <c r="AP339" s="82"/>
      <c r="AQ339" s="84"/>
      <c r="AR339" s="84"/>
      <c r="AS339" s="84"/>
    </row>
    <row r="340" spans="22:45" ht="16" x14ac:dyDescent="0.4">
      <c r="V340" s="97"/>
      <c r="W340" s="16"/>
      <c r="X340" s="101"/>
      <c r="Y340" s="107"/>
      <c r="Z340" s="102"/>
      <c r="AA340" s="102"/>
      <c r="AB340" s="16"/>
      <c r="AC340" s="16"/>
      <c r="AD340" s="105"/>
      <c r="AE340" s="93">
        <f t="shared" si="37"/>
        <v>0</v>
      </c>
      <c r="AG340" s="72">
        <f t="shared" si="38"/>
        <v>0</v>
      </c>
      <c r="AH340" s="37">
        <f t="shared" si="39"/>
        <v>0</v>
      </c>
      <c r="AJ340" s="34"/>
      <c r="AK340" s="34"/>
      <c r="AL340" s="82"/>
      <c r="AN340" s="83"/>
      <c r="AO340" s="83"/>
      <c r="AP340" s="82"/>
      <c r="AQ340" s="84"/>
      <c r="AR340" s="84"/>
      <c r="AS340" s="84"/>
    </row>
    <row r="341" spans="22:45" ht="16" x14ac:dyDescent="0.4">
      <c r="V341" s="97"/>
      <c r="W341" s="16"/>
      <c r="X341" s="101"/>
      <c r="Y341" s="107"/>
      <c r="Z341" s="102"/>
      <c r="AA341" s="102"/>
      <c r="AB341" s="16"/>
      <c r="AC341" s="16"/>
      <c r="AD341" s="105"/>
      <c r="AE341" s="93">
        <f t="shared" si="37"/>
        <v>0</v>
      </c>
      <c r="AG341" s="72">
        <f t="shared" si="38"/>
        <v>0</v>
      </c>
      <c r="AH341" s="37">
        <f t="shared" si="39"/>
        <v>0</v>
      </c>
      <c r="AJ341" s="34"/>
      <c r="AK341" s="34"/>
      <c r="AL341" s="82"/>
      <c r="AN341" s="83"/>
      <c r="AO341" s="83"/>
      <c r="AP341" s="82"/>
      <c r="AQ341" s="84"/>
      <c r="AR341" s="84"/>
      <c r="AS341" s="84"/>
    </row>
    <row r="342" spans="22:45" ht="16" x14ac:dyDescent="0.4">
      <c r="V342" s="97"/>
      <c r="W342" s="16"/>
      <c r="X342" s="101"/>
      <c r="Y342" s="107"/>
      <c r="Z342" s="102"/>
      <c r="AA342" s="102"/>
      <c r="AB342" s="16"/>
      <c r="AC342" s="16"/>
      <c r="AD342" s="105"/>
      <c r="AE342" s="93">
        <f t="shared" si="37"/>
        <v>0</v>
      </c>
      <c r="AG342" s="72">
        <f t="shared" si="38"/>
        <v>0</v>
      </c>
      <c r="AH342" s="37">
        <f t="shared" si="39"/>
        <v>0</v>
      </c>
      <c r="AJ342" s="34"/>
      <c r="AK342" s="34"/>
      <c r="AL342" s="82"/>
      <c r="AN342" s="83"/>
      <c r="AO342" s="83"/>
      <c r="AP342" s="82"/>
      <c r="AQ342" s="84"/>
      <c r="AR342" s="84"/>
      <c r="AS342" s="84"/>
    </row>
    <row r="343" spans="22:45" ht="16" x14ac:dyDescent="0.4">
      <c r="V343" s="97"/>
      <c r="W343" s="16"/>
      <c r="X343" s="101"/>
      <c r="Y343" s="107"/>
      <c r="Z343" s="102"/>
      <c r="AA343" s="102"/>
      <c r="AB343" s="16"/>
      <c r="AC343" s="16"/>
      <c r="AD343" s="105"/>
      <c r="AE343" s="93">
        <f t="shared" si="37"/>
        <v>0</v>
      </c>
      <c r="AG343" s="72">
        <f t="shared" si="38"/>
        <v>0</v>
      </c>
      <c r="AH343" s="37">
        <f t="shared" si="39"/>
        <v>0</v>
      </c>
      <c r="AJ343" s="34"/>
      <c r="AK343" s="34"/>
      <c r="AL343" s="82"/>
      <c r="AN343" s="83"/>
      <c r="AO343" s="83"/>
      <c r="AP343" s="82"/>
      <c r="AQ343" s="84"/>
      <c r="AR343" s="84"/>
      <c r="AS343" s="84"/>
    </row>
    <row r="344" spans="22:45" ht="16" x14ac:dyDescent="0.4">
      <c r="V344" s="97"/>
      <c r="W344" s="16"/>
      <c r="X344" s="101"/>
      <c r="Y344" s="105"/>
      <c r="Z344" s="102"/>
      <c r="AA344" s="102"/>
      <c r="AB344" s="16"/>
      <c r="AC344" s="16"/>
      <c r="AD344" s="105"/>
      <c r="AE344" s="93">
        <f t="shared" si="37"/>
        <v>0</v>
      </c>
      <c r="AG344" s="72">
        <f t="shared" si="38"/>
        <v>0</v>
      </c>
      <c r="AH344" s="37">
        <f t="shared" si="39"/>
        <v>0</v>
      </c>
      <c r="AJ344" s="34"/>
      <c r="AK344" s="34"/>
      <c r="AL344" s="82"/>
      <c r="AN344" s="83"/>
      <c r="AO344" s="83"/>
      <c r="AP344" s="82"/>
      <c r="AQ344" s="84"/>
      <c r="AR344" s="84"/>
      <c r="AS344" s="84"/>
    </row>
    <row r="345" spans="22:45" ht="16" x14ac:dyDescent="0.4">
      <c r="V345" s="97"/>
      <c r="W345" s="16"/>
      <c r="X345" s="89"/>
      <c r="Z345" s="50"/>
      <c r="AA345" s="50"/>
      <c r="AD345" s="37"/>
      <c r="AE345" s="48">
        <f t="shared" si="37"/>
        <v>0</v>
      </c>
      <c r="AG345" s="72">
        <f t="shared" si="38"/>
        <v>0</v>
      </c>
      <c r="AH345" s="37">
        <f t="shared" si="39"/>
        <v>0</v>
      </c>
      <c r="AJ345" s="34"/>
      <c r="AK345" s="34"/>
      <c r="AL345" s="82"/>
      <c r="AN345" s="83"/>
      <c r="AO345" s="83"/>
      <c r="AP345" s="82"/>
      <c r="AQ345" s="84"/>
      <c r="AR345" s="84"/>
      <c r="AS345" s="84"/>
    </row>
    <row r="346" spans="22:45" ht="16" x14ac:dyDescent="0.4">
      <c r="V346" s="97"/>
      <c r="W346" s="16"/>
      <c r="X346" s="89"/>
      <c r="Z346" s="50"/>
      <c r="AA346" s="50"/>
      <c r="AD346" s="37"/>
      <c r="AE346" s="48">
        <f t="shared" si="37"/>
        <v>0</v>
      </c>
      <c r="AG346" s="72">
        <f t="shared" si="38"/>
        <v>0</v>
      </c>
      <c r="AH346" s="37">
        <f t="shared" si="39"/>
        <v>0</v>
      </c>
      <c r="AJ346" s="34"/>
      <c r="AK346" s="34"/>
      <c r="AL346" s="82"/>
      <c r="AN346" s="83"/>
      <c r="AO346" s="83"/>
      <c r="AP346" s="82"/>
      <c r="AQ346" s="84"/>
      <c r="AR346" s="84"/>
      <c r="AS346" s="84"/>
    </row>
    <row r="347" spans="22:45" ht="16" x14ac:dyDescent="0.4">
      <c r="V347" s="97"/>
      <c r="W347" s="16"/>
      <c r="X347" s="89"/>
      <c r="Z347" s="50"/>
      <c r="AA347" s="50"/>
      <c r="AD347" s="37"/>
      <c r="AE347" s="48">
        <f t="shared" si="37"/>
        <v>0</v>
      </c>
      <c r="AG347" s="72">
        <f t="shared" si="38"/>
        <v>0</v>
      </c>
      <c r="AH347" s="37">
        <f t="shared" si="39"/>
        <v>0</v>
      </c>
      <c r="AJ347" s="34"/>
      <c r="AK347" s="34"/>
      <c r="AL347" s="82"/>
      <c r="AN347" s="83"/>
      <c r="AO347" s="83"/>
      <c r="AP347" s="82"/>
      <c r="AQ347" s="84"/>
      <c r="AR347" s="84"/>
      <c r="AS347" s="84"/>
    </row>
    <row r="348" spans="22:45" ht="16" x14ac:dyDescent="0.4">
      <c r="V348" s="97"/>
      <c r="W348" s="16"/>
      <c r="X348" s="89"/>
      <c r="Z348" s="50"/>
      <c r="AA348" s="50"/>
      <c r="AD348" s="100"/>
      <c r="AE348" s="48">
        <f t="shared" si="37"/>
        <v>0</v>
      </c>
      <c r="AF348" s="16"/>
      <c r="AG348" s="72">
        <f t="shared" si="38"/>
        <v>0</v>
      </c>
      <c r="AH348" s="37">
        <f t="shared" si="39"/>
        <v>0</v>
      </c>
      <c r="AJ348" s="34"/>
      <c r="AK348" s="34"/>
      <c r="AL348" s="82"/>
      <c r="AN348" s="83"/>
      <c r="AO348" s="83"/>
      <c r="AP348" s="82"/>
      <c r="AQ348" s="84"/>
      <c r="AR348" s="84"/>
      <c r="AS348" s="84"/>
    </row>
    <row r="349" spans="22:45" ht="16" x14ac:dyDescent="0.4">
      <c r="V349" s="97"/>
      <c r="W349" s="16"/>
      <c r="X349" s="89"/>
      <c r="Z349" s="50"/>
      <c r="AA349" s="50"/>
      <c r="AD349" s="100"/>
      <c r="AE349" s="48">
        <f t="shared" si="37"/>
        <v>0</v>
      </c>
      <c r="AF349" s="16"/>
      <c r="AG349" s="72">
        <f t="shared" si="38"/>
        <v>0</v>
      </c>
      <c r="AH349" s="37">
        <f t="shared" si="39"/>
        <v>0</v>
      </c>
      <c r="AJ349" s="34"/>
      <c r="AK349" s="34"/>
      <c r="AL349" s="82"/>
      <c r="AN349" s="83"/>
      <c r="AO349" s="83"/>
      <c r="AP349" s="82"/>
      <c r="AQ349" s="84"/>
      <c r="AR349" s="84"/>
      <c r="AS349" s="84"/>
    </row>
    <row r="350" spans="22:45" ht="16" x14ac:dyDescent="0.4">
      <c r="V350" s="97"/>
      <c r="W350" s="16"/>
      <c r="X350" s="89"/>
      <c r="Z350" s="50"/>
      <c r="AA350" s="50"/>
      <c r="AD350" s="100"/>
      <c r="AE350" s="48">
        <f t="shared" si="37"/>
        <v>0</v>
      </c>
      <c r="AF350" s="16"/>
      <c r="AG350" s="72">
        <f t="shared" si="38"/>
        <v>0</v>
      </c>
      <c r="AH350" s="37">
        <f t="shared" si="39"/>
        <v>0</v>
      </c>
      <c r="AJ350" s="34"/>
      <c r="AK350" s="34"/>
      <c r="AL350" s="82"/>
      <c r="AN350" s="83"/>
      <c r="AO350" s="83"/>
      <c r="AP350" s="82"/>
      <c r="AQ350" s="84"/>
      <c r="AR350" s="84"/>
      <c r="AS350" s="84"/>
    </row>
    <row r="351" spans="22:45" ht="16" x14ac:dyDescent="0.4">
      <c r="V351" s="97"/>
      <c r="W351" s="16"/>
      <c r="X351" s="89"/>
      <c r="Z351" s="50"/>
      <c r="AA351" s="50"/>
      <c r="AD351" s="100"/>
      <c r="AE351" s="48">
        <f t="shared" si="37"/>
        <v>0</v>
      </c>
      <c r="AF351" s="16"/>
      <c r="AG351" s="72">
        <f t="shared" si="38"/>
        <v>0</v>
      </c>
      <c r="AH351" s="37">
        <f t="shared" si="39"/>
        <v>0</v>
      </c>
      <c r="AJ351" s="34"/>
      <c r="AK351" s="34"/>
      <c r="AL351" s="82"/>
      <c r="AN351" s="83"/>
      <c r="AO351" s="83"/>
      <c r="AP351" s="82"/>
      <c r="AQ351" s="84"/>
      <c r="AR351" s="84"/>
      <c r="AS351" s="84"/>
    </row>
    <row r="352" spans="22:45" ht="16" x14ac:dyDescent="0.4">
      <c r="V352" s="97"/>
      <c r="W352" s="16"/>
      <c r="X352" s="89"/>
      <c r="Z352" s="50"/>
      <c r="AA352" s="50"/>
      <c r="AD352" s="100"/>
      <c r="AE352" s="48">
        <f t="shared" si="37"/>
        <v>0</v>
      </c>
      <c r="AF352" s="16"/>
      <c r="AG352" s="72">
        <f t="shared" si="38"/>
        <v>0</v>
      </c>
      <c r="AH352" s="37">
        <f t="shared" si="39"/>
        <v>0</v>
      </c>
      <c r="AJ352" s="34"/>
      <c r="AK352" s="34"/>
      <c r="AL352" s="82"/>
      <c r="AN352" s="83"/>
      <c r="AO352" s="83"/>
      <c r="AP352" s="82"/>
      <c r="AQ352" s="84"/>
      <c r="AR352" s="84"/>
      <c r="AS352" s="84"/>
    </row>
    <row r="353" spans="22:45" ht="16" x14ac:dyDescent="0.4">
      <c r="V353" s="97"/>
      <c r="W353" s="16"/>
      <c r="X353" s="89"/>
      <c r="Z353" s="50"/>
      <c r="AA353" s="50"/>
      <c r="AD353" s="100"/>
      <c r="AE353" s="48">
        <f t="shared" si="37"/>
        <v>0</v>
      </c>
      <c r="AF353" s="16"/>
      <c r="AG353" s="72">
        <f t="shared" si="38"/>
        <v>0</v>
      </c>
      <c r="AH353" s="37">
        <f t="shared" si="39"/>
        <v>0</v>
      </c>
      <c r="AJ353" s="34"/>
      <c r="AK353" s="34"/>
      <c r="AL353" s="82"/>
      <c r="AN353" s="83"/>
      <c r="AO353" s="83"/>
      <c r="AP353" s="82"/>
      <c r="AQ353" s="84"/>
      <c r="AR353" s="84"/>
      <c r="AS353" s="84"/>
    </row>
    <row r="354" spans="22:45" ht="16" x14ac:dyDescent="0.4">
      <c r="V354" s="97"/>
      <c r="W354" s="16"/>
      <c r="X354" s="89"/>
      <c r="Z354" s="50"/>
      <c r="AA354" s="50"/>
      <c r="AD354" s="100"/>
      <c r="AE354" s="48">
        <f t="shared" si="37"/>
        <v>0</v>
      </c>
      <c r="AF354" s="16"/>
      <c r="AG354" s="72">
        <f t="shared" si="38"/>
        <v>0</v>
      </c>
      <c r="AH354" s="37">
        <f t="shared" si="39"/>
        <v>0</v>
      </c>
      <c r="AJ354" s="34"/>
      <c r="AK354" s="34"/>
      <c r="AL354" s="82"/>
      <c r="AN354" s="83"/>
      <c r="AO354" s="83"/>
      <c r="AP354" s="82"/>
      <c r="AQ354" s="84"/>
      <c r="AR354" s="84"/>
      <c r="AS354" s="84"/>
    </row>
    <row r="355" spans="22:45" ht="16" x14ac:dyDescent="0.4">
      <c r="V355" s="97"/>
      <c r="W355" s="16"/>
      <c r="X355" s="89"/>
      <c r="Z355" s="50"/>
      <c r="AA355" s="50"/>
      <c r="AD355" s="100"/>
      <c r="AE355" s="48">
        <f t="shared" si="37"/>
        <v>0</v>
      </c>
      <c r="AF355" s="16"/>
      <c r="AG355" s="72">
        <f t="shared" si="38"/>
        <v>0</v>
      </c>
      <c r="AH355" s="37">
        <f t="shared" si="39"/>
        <v>0</v>
      </c>
      <c r="AJ355" s="34"/>
      <c r="AK355" s="34"/>
      <c r="AL355" s="82"/>
      <c r="AN355" s="83"/>
      <c r="AO355" s="83"/>
      <c r="AP355" s="82"/>
      <c r="AQ355" s="84"/>
      <c r="AR355" s="84"/>
      <c r="AS355" s="84"/>
    </row>
    <row r="356" spans="22:45" ht="16" x14ac:dyDescent="0.4">
      <c r="V356" s="97"/>
      <c r="W356" s="16"/>
      <c r="X356" s="89"/>
      <c r="Z356" s="50"/>
      <c r="AA356" s="50"/>
      <c r="AD356" s="100"/>
      <c r="AE356" s="48">
        <f t="shared" si="37"/>
        <v>0</v>
      </c>
      <c r="AF356" s="16"/>
      <c r="AG356" s="72">
        <f t="shared" si="38"/>
        <v>0</v>
      </c>
      <c r="AH356" s="37">
        <f t="shared" si="39"/>
        <v>0</v>
      </c>
      <c r="AJ356" s="34"/>
      <c r="AK356" s="34"/>
      <c r="AL356" s="82"/>
      <c r="AN356" s="83"/>
      <c r="AO356" s="83"/>
      <c r="AP356" s="82"/>
      <c r="AQ356" s="84"/>
      <c r="AR356" s="84"/>
      <c r="AS356" s="84"/>
    </row>
    <row r="357" spans="22:45" ht="16" x14ac:dyDescent="0.4">
      <c r="V357" s="97"/>
      <c r="W357" s="16"/>
      <c r="X357" s="89"/>
      <c r="Z357" s="50"/>
      <c r="AA357" s="50"/>
      <c r="AD357" s="100"/>
      <c r="AE357" s="48">
        <f t="shared" si="37"/>
        <v>0</v>
      </c>
      <c r="AF357" s="16"/>
      <c r="AG357" s="72">
        <f t="shared" si="38"/>
        <v>0</v>
      </c>
      <c r="AH357" s="37">
        <f t="shared" si="39"/>
        <v>0</v>
      </c>
      <c r="AJ357" s="34"/>
      <c r="AK357" s="34"/>
      <c r="AL357" s="82"/>
      <c r="AN357" s="83"/>
      <c r="AO357" s="83"/>
      <c r="AP357" s="82"/>
      <c r="AQ357" s="84"/>
      <c r="AR357" s="84"/>
      <c r="AS357" s="84"/>
    </row>
    <row r="358" spans="22:45" ht="16" x14ac:dyDescent="0.4">
      <c r="V358" s="97"/>
      <c r="W358" s="16"/>
      <c r="X358" s="89"/>
      <c r="Z358" s="50"/>
      <c r="AA358" s="50"/>
      <c r="AD358" s="100"/>
      <c r="AE358" s="48">
        <f t="shared" si="37"/>
        <v>0</v>
      </c>
      <c r="AF358" s="16"/>
      <c r="AG358" s="72">
        <f t="shared" si="38"/>
        <v>0</v>
      </c>
      <c r="AH358" s="37">
        <f t="shared" si="39"/>
        <v>0</v>
      </c>
      <c r="AJ358" s="34"/>
      <c r="AK358" s="34"/>
      <c r="AL358" s="82"/>
      <c r="AN358" s="83"/>
      <c r="AO358" s="83"/>
      <c r="AP358" s="82"/>
      <c r="AQ358" s="84"/>
      <c r="AR358" s="84"/>
      <c r="AS358" s="84"/>
    </row>
    <row r="359" spans="22:45" ht="16" x14ac:dyDescent="0.4">
      <c r="V359" s="97"/>
      <c r="W359" s="16"/>
      <c r="X359" s="89"/>
      <c r="Z359" s="50"/>
      <c r="AA359" s="50"/>
      <c r="AD359" s="100"/>
      <c r="AE359" s="48">
        <f t="shared" si="37"/>
        <v>0</v>
      </c>
      <c r="AF359" s="16"/>
      <c r="AG359" s="72">
        <f t="shared" si="38"/>
        <v>0</v>
      </c>
      <c r="AH359" s="37">
        <f t="shared" si="39"/>
        <v>0</v>
      </c>
      <c r="AJ359" s="34"/>
      <c r="AK359" s="34"/>
      <c r="AL359" s="82"/>
      <c r="AN359" s="83"/>
      <c r="AO359" s="83"/>
      <c r="AP359" s="82"/>
      <c r="AQ359" s="84"/>
      <c r="AR359" s="84"/>
      <c r="AS359" s="84"/>
    </row>
    <row r="360" spans="22:45" ht="16" x14ac:dyDescent="0.4">
      <c r="V360" s="97"/>
      <c r="W360" s="16"/>
      <c r="X360" s="89"/>
      <c r="Z360" s="50"/>
      <c r="AA360" s="50"/>
      <c r="AD360" s="100"/>
      <c r="AE360" s="48">
        <f t="shared" si="37"/>
        <v>0</v>
      </c>
      <c r="AF360" s="16"/>
      <c r="AG360" s="72">
        <f t="shared" si="38"/>
        <v>0</v>
      </c>
      <c r="AH360" s="37">
        <f t="shared" si="39"/>
        <v>0</v>
      </c>
      <c r="AJ360" s="34"/>
      <c r="AK360" s="34"/>
      <c r="AL360" s="82"/>
      <c r="AN360" s="83"/>
      <c r="AO360" s="83"/>
      <c r="AP360" s="82"/>
      <c r="AQ360" s="84"/>
      <c r="AR360" s="84"/>
      <c r="AS360" s="84"/>
    </row>
    <row r="361" spans="22:45" ht="16" x14ac:dyDescent="0.4">
      <c r="V361" s="97"/>
      <c r="W361" s="16"/>
      <c r="X361" s="89"/>
      <c r="Z361" s="50"/>
      <c r="AA361" s="50"/>
      <c r="AD361" s="100"/>
      <c r="AE361" s="48">
        <f t="shared" si="37"/>
        <v>0</v>
      </c>
      <c r="AF361" s="16"/>
      <c r="AG361" s="72">
        <f t="shared" si="38"/>
        <v>0</v>
      </c>
      <c r="AH361" s="37">
        <f t="shared" si="39"/>
        <v>0</v>
      </c>
      <c r="AJ361" s="34"/>
      <c r="AK361" s="34"/>
      <c r="AL361" s="82"/>
      <c r="AN361" s="83"/>
      <c r="AO361" s="83"/>
      <c r="AP361" s="82"/>
      <c r="AQ361" s="84"/>
      <c r="AR361" s="84"/>
      <c r="AS361" s="84"/>
    </row>
    <row r="362" spans="22:45" ht="16" x14ac:dyDescent="0.4">
      <c r="V362" s="97"/>
      <c r="W362" s="16"/>
      <c r="X362" s="89"/>
      <c r="Z362" s="50"/>
      <c r="AA362" s="50"/>
      <c r="AD362" s="100"/>
      <c r="AE362" s="48">
        <f t="shared" si="37"/>
        <v>0</v>
      </c>
      <c r="AF362" s="16"/>
      <c r="AG362" s="72">
        <f t="shared" si="38"/>
        <v>0</v>
      </c>
      <c r="AH362" s="37">
        <f t="shared" si="39"/>
        <v>0</v>
      </c>
      <c r="AJ362" s="34"/>
      <c r="AK362" s="34"/>
      <c r="AL362" s="82"/>
      <c r="AN362" s="83"/>
      <c r="AO362" s="83"/>
      <c r="AP362" s="82"/>
      <c r="AQ362" s="84"/>
      <c r="AR362" s="84"/>
      <c r="AS362" s="84"/>
    </row>
    <row r="363" spans="22:45" ht="16" x14ac:dyDescent="0.4">
      <c r="V363" s="97"/>
      <c r="W363" s="16"/>
      <c r="X363" s="89"/>
      <c r="Z363" s="50"/>
      <c r="AA363" s="50"/>
      <c r="AD363" s="100"/>
      <c r="AE363" s="48">
        <f t="shared" si="37"/>
        <v>0</v>
      </c>
      <c r="AF363" s="16"/>
      <c r="AG363" s="72">
        <f t="shared" si="38"/>
        <v>0</v>
      </c>
      <c r="AH363" s="37">
        <f t="shared" si="39"/>
        <v>0</v>
      </c>
      <c r="AJ363" s="34"/>
      <c r="AK363" s="34"/>
      <c r="AL363" s="82"/>
      <c r="AN363" s="83"/>
      <c r="AO363" s="83"/>
      <c r="AP363" s="82"/>
      <c r="AQ363" s="84"/>
      <c r="AR363" s="84"/>
      <c r="AS363" s="84"/>
    </row>
    <row r="364" spans="22:45" ht="16" x14ac:dyDescent="0.4">
      <c r="V364" s="97"/>
      <c r="W364" s="16"/>
      <c r="X364" s="89"/>
      <c r="Z364" s="50"/>
      <c r="AA364" s="50"/>
      <c r="AD364" s="100"/>
      <c r="AE364" s="48">
        <f t="shared" si="37"/>
        <v>0</v>
      </c>
      <c r="AF364" s="16"/>
      <c r="AG364" s="72">
        <f t="shared" si="38"/>
        <v>0</v>
      </c>
      <c r="AH364" s="37">
        <f t="shared" si="39"/>
        <v>0</v>
      </c>
      <c r="AJ364" s="34"/>
      <c r="AK364" s="34"/>
      <c r="AL364" s="82"/>
      <c r="AN364" s="83"/>
      <c r="AO364" s="83"/>
      <c r="AP364" s="82"/>
      <c r="AQ364" s="84"/>
      <c r="AR364" s="84"/>
      <c r="AS364" s="84"/>
    </row>
    <row r="365" spans="22:45" ht="16" x14ac:dyDescent="0.4">
      <c r="V365" s="97"/>
      <c r="W365" s="16"/>
      <c r="X365" s="89"/>
      <c r="Z365" s="50"/>
      <c r="AA365" s="50"/>
      <c r="AD365" s="100"/>
      <c r="AE365" s="48">
        <f t="shared" si="37"/>
        <v>0</v>
      </c>
      <c r="AF365" s="16"/>
      <c r="AG365" s="72">
        <f t="shared" si="38"/>
        <v>0</v>
      </c>
      <c r="AH365" s="37">
        <f t="shared" si="39"/>
        <v>0</v>
      </c>
      <c r="AJ365" s="34"/>
      <c r="AK365" s="34"/>
      <c r="AL365" s="82"/>
      <c r="AN365" s="83"/>
      <c r="AO365" s="83"/>
      <c r="AP365" s="82"/>
      <c r="AQ365" s="84"/>
      <c r="AR365" s="84"/>
      <c r="AS365" s="84"/>
    </row>
    <row r="366" spans="22:45" ht="16" x14ac:dyDescent="0.4">
      <c r="V366" s="97"/>
      <c r="W366" s="16"/>
      <c r="X366" s="89"/>
      <c r="Z366" s="50"/>
      <c r="AA366" s="50"/>
      <c r="AD366" s="100"/>
      <c r="AE366" s="48">
        <f t="shared" si="37"/>
        <v>0</v>
      </c>
      <c r="AF366" s="16"/>
      <c r="AG366" s="72">
        <f t="shared" si="38"/>
        <v>0</v>
      </c>
      <c r="AH366" s="37">
        <f t="shared" si="39"/>
        <v>0</v>
      </c>
      <c r="AJ366" s="34"/>
      <c r="AK366" s="34"/>
      <c r="AL366" s="82"/>
      <c r="AN366" s="83"/>
      <c r="AO366" s="83"/>
      <c r="AP366" s="82"/>
      <c r="AQ366" s="84"/>
      <c r="AR366" s="84"/>
      <c r="AS366" s="84"/>
    </row>
    <row r="367" spans="22:45" ht="16" x14ac:dyDescent="0.4">
      <c r="V367" s="97"/>
      <c r="W367" s="16"/>
      <c r="X367" s="89"/>
      <c r="Z367" s="50"/>
      <c r="AA367" s="50"/>
      <c r="AD367" s="100"/>
      <c r="AE367" s="48">
        <f t="shared" si="37"/>
        <v>0</v>
      </c>
      <c r="AF367" s="16"/>
      <c r="AG367" s="72">
        <f t="shared" si="38"/>
        <v>0</v>
      </c>
      <c r="AH367" s="37">
        <f t="shared" si="39"/>
        <v>0</v>
      </c>
      <c r="AJ367" s="34"/>
      <c r="AK367" s="34"/>
      <c r="AL367" s="82"/>
      <c r="AN367" s="83"/>
      <c r="AO367" s="83"/>
      <c r="AP367" s="82"/>
      <c r="AQ367" s="84"/>
      <c r="AR367" s="84"/>
      <c r="AS367" s="84"/>
    </row>
    <row r="368" spans="22:45" ht="16" x14ac:dyDescent="0.4">
      <c r="V368" s="97"/>
      <c r="W368" s="16"/>
      <c r="X368" s="89"/>
      <c r="Z368" s="50"/>
      <c r="AA368" s="50"/>
      <c r="AD368" s="100"/>
      <c r="AE368" s="48">
        <f t="shared" si="37"/>
        <v>0</v>
      </c>
      <c r="AF368" s="16"/>
      <c r="AG368" s="72">
        <f t="shared" si="38"/>
        <v>0</v>
      </c>
      <c r="AH368" s="37">
        <f t="shared" si="39"/>
        <v>0</v>
      </c>
      <c r="AJ368" s="34"/>
      <c r="AK368" s="34"/>
      <c r="AL368" s="82"/>
      <c r="AN368" s="83"/>
      <c r="AO368" s="83"/>
      <c r="AP368" s="82"/>
      <c r="AQ368" s="84"/>
      <c r="AR368" s="84"/>
      <c r="AS368" s="84"/>
    </row>
    <row r="369" spans="22:45" ht="16" x14ac:dyDescent="0.4">
      <c r="V369" s="97"/>
      <c r="W369" s="16"/>
      <c r="X369" s="89"/>
      <c r="Z369" s="50"/>
      <c r="AA369" s="50"/>
      <c r="AD369" s="100"/>
      <c r="AE369" s="48">
        <f t="shared" si="37"/>
        <v>0</v>
      </c>
      <c r="AF369" s="16"/>
      <c r="AG369" s="72">
        <f t="shared" si="38"/>
        <v>0</v>
      </c>
      <c r="AH369" s="37">
        <f t="shared" si="39"/>
        <v>0</v>
      </c>
      <c r="AJ369" s="34"/>
      <c r="AK369" s="34"/>
      <c r="AL369" s="82"/>
      <c r="AN369" s="83"/>
      <c r="AO369" s="83"/>
      <c r="AP369" s="82"/>
      <c r="AQ369" s="84"/>
      <c r="AR369" s="84"/>
      <c r="AS369" s="84"/>
    </row>
    <row r="370" spans="22:45" ht="16" x14ac:dyDescent="0.4">
      <c r="V370" s="97"/>
      <c r="W370" s="16"/>
      <c r="X370" s="89"/>
      <c r="Z370" s="50"/>
      <c r="AA370" s="50"/>
      <c r="AD370" s="100"/>
      <c r="AE370" s="48">
        <f t="shared" si="37"/>
        <v>0</v>
      </c>
      <c r="AF370" s="16"/>
      <c r="AG370" s="72">
        <f t="shared" si="38"/>
        <v>0</v>
      </c>
      <c r="AH370" s="37">
        <f t="shared" si="39"/>
        <v>0</v>
      </c>
      <c r="AJ370" s="34"/>
      <c r="AK370" s="34"/>
      <c r="AL370" s="82"/>
      <c r="AN370" s="83"/>
      <c r="AO370" s="83"/>
      <c r="AP370" s="82"/>
      <c r="AQ370" s="84"/>
      <c r="AR370" s="84"/>
      <c r="AS370" s="84"/>
    </row>
    <row r="371" spans="22:45" ht="16" x14ac:dyDescent="0.4">
      <c r="V371" s="97"/>
      <c r="W371" s="16"/>
      <c r="X371" s="89"/>
      <c r="Z371" s="50"/>
      <c r="AA371" s="50"/>
      <c r="AD371" s="100"/>
      <c r="AE371" s="48">
        <f t="shared" si="37"/>
        <v>0</v>
      </c>
      <c r="AF371" s="16"/>
      <c r="AG371" s="72">
        <f t="shared" si="38"/>
        <v>0</v>
      </c>
      <c r="AH371" s="37">
        <f t="shared" si="39"/>
        <v>0</v>
      </c>
      <c r="AJ371" s="34"/>
      <c r="AK371" s="34"/>
      <c r="AL371" s="82"/>
      <c r="AN371" s="83"/>
      <c r="AO371" s="83"/>
      <c r="AP371" s="82"/>
      <c r="AQ371" s="84"/>
      <c r="AR371" s="84"/>
      <c r="AS371" s="84"/>
    </row>
    <row r="372" spans="22:45" ht="16" x14ac:dyDescent="0.4">
      <c r="V372" s="97"/>
      <c r="W372" s="16"/>
      <c r="X372" s="89"/>
      <c r="Z372" s="50"/>
      <c r="AA372" s="50"/>
      <c r="AD372" s="100"/>
      <c r="AE372" s="48">
        <f t="shared" si="37"/>
        <v>0</v>
      </c>
      <c r="AF372" s="16"/>
      <c r="AG372" s="72">
        <f t="shared" si="38"/>
        <v>0</v>
      </c>
      <c r="AH372" s="37">
        <f t="shared" si="39"/>
        <v>0</v>
      </c>
      <c r="AJ372" s="34"/>
      <c r="AK372" s="34"/>
      <c r="AL372" s="82"/>
      <c r="AN372" s="83"/>
      <c r="AO372" s="83"/>
      <c r="AP372" s="82"/>
      <c r="AQ372" s="84"/>
      <c r="AR372" s="84"/>
      <c r="AS372" s="84"/>
    </row>
    <row r="373" spans="22:45" ht="16" x14ac:dyDescent="0.4">
      <c r="V373" s="97"/>
      <c r="W373" s="16"/>
      <c r="X373" s="89"/>
      <c r="Z373" s="50"/>
      <c r="AA373" s="50"/>
      <c r="AD373" s="100"/>
      <c r="AE373" s="48">
        <f t="shared" si="37"/>
        <v>0</v>
      </c>
      <c r="AF373" s="16"/>
      <c r="AG373" s="72">
        <f t="shared" si="38"/>
        <v>0</v>
      </c>
      <c r="AH373" s="37">
        <f t="shared" si="39"/>
        <v>0</v>
      </c>
      <c r="AJ373" s="34"/>
      <c r="AK373" s="34"/>
      <c r="AL373" s="82"/>
      <c r="AN373" s="83"/>
      <c r="AO373" s="83"/>
      <c r="AP373" s="82"/>
      <c r="AQ373" s="84"/>
      <c r="AR373" s="84"/>
      <c r="AS373" s="84"/>
    </row>
    <row r="374" spans="22:45" ht="16" x14ac:dyDescent="0.4">
      <c r="V374" s="97"/>
      <c r="W374" s="16"/>
      <c r="X374" s="89"/>
      <c r="Z374" s="50"/>
      <c r="AA374" s="50"/>
      <c r="AD374" s="100"/>
      <c r="AE374" s="48">
        <f t="shared" si="37"/>
        <v>0</v>
      </c>
      <c r="AF374" s="16"/>
      <c r="AG374" s="72">
        <f t="shared" si="38"/>
        <v>0</v>
      </c>
      <c r="AH374" s="37">
        <f t="shared" si="39"/>
        <v>0</v>
      </c>
      <c r="AJ374" s="34"/>
      <c r="AK374" s="34"/>
      <c r="AL374" s="82"/>
      <c r="AN374" s="83"/>
      <c r="AO374" s="83"/>
      <c r="AP374" s="82"/>
      <c r="AQ374" s="84"/>
      <c r="AR374" s="84"/>
      <c r="AS374" s="84"/>
    </row>
    <row r="375" spans="22:45" ht="16" x14ac:dyDescent="0.4">
      <c r="V375" s="97"/>
      <c r="W375" s="16"/>
      <c r="X375" s="89"/>
      <c r="Z375" s="50"/>
      <c r="AA375" s="50"/>
      <c r="AD375" s="100"/>
      <c r="AE375" s="48">
        <f t="shared" si="37"/>
        <v>0</v>
      </c>
      <c r="AF375" s="16"/>
      <c r="AG375" s="72">
        <f t="shared" si="38"/>
        <v>0</v>
      </c>
      <c r="AH375" s="37">
        <f t="shared" si="39"/>
        <v>0</v>
      </c>
      <c r="AJ375" s="34"/>
      <c r="AK375" s="34"/>
      <c r="AL375" s="82"/>
      <c r="AN375" s="83"/>
      <c r="AO375" s="83"/>
      <c r="AP375" s="82"/>
      <c r="AQ375" s="84"/>
      <c r="AR375" s="84"/>
      <c r="AS375" s="84"/>
    </row>
    <row r="376" spans="22:45" ht="16" x14ac:dyDescent="0.4">
      <c r="V376" s="97"/>
      <c r="W376" s="16"/>
      <c r="X376" s="89"/>
      <c r="Z376" s="50"/>
      <c r="AA376" s="50"/>
      <c r="AD376" s="100"/>
      <c r="AE376" s="48">
        <f t="shared" si="37"/>
        <v>0</v>
      </c>
      <c r="AF376" s="16"/>
      <c r="AG376" s="72">
        <f t="shared" si="38"/>
        <v>0</v>
      </c>
      <c r="AH376" s="37">
        <f t="shared" si="39"/>
        <v>0</v>
      </c>
      <c r="AJ376" s="34"/>
      <c r="AK376" s="34"/>
      <c r="AL376" s="82"/>
      <c r="AN376" s="83"/>
      <c r="AO376" s="83"/>
      <c r="AP376" s="82"/>
      <c r="AQ376" s="84"/>
      <c r="AR376" s="84"/>
      <c r="AS376" s="84"/>
    </row>
    <row r="377" spans="22:45" ht="16" x14ac:dyDescent="0.4">
      <c r="V377" s="97"/>
      <c r="W377" s="16"/>
      <c r="X377" s="89"/>
      <c r="Z377" s="50"/>
      <c r="AA377" s="50"/>
      <c r="AD377" s="100"/>
      <c r="AE377" s="48">
        <f t="shared" si="37"/>
        <v>0</v>
      </c>
      <c r="AF377" s="16"/>
      <c r="AG377" s="72">
        <f t="shared" si="38"/>
        <v>0</v>
      </c>
      <c r="AH377" s="37">
        <f t="shared" si="39"/>
        <v>0</v>
      </c>
      <c r="AJ377" s="34"/>
      <c r="AK377" s="34"/>
      <c r="AL377" s="82"/>
      <c r="AN377" s="83"/>
      <c r="AO377" s="83"/>
      <c r="AP377" s="82"/>
      <c r="AQ377" s="84"/>
      <c r="AR377" s="84"/>
      <c r="AS377" s="84"/>
    </row>
    <row r="378" spans="22:45" ht="16" x14ac:dyDescent="0.4">
      <c r="V378" s="97"/>
      <c r="W378" s="16"/>
      <c r="X378" s="89"/>
      <c r="Z378" s="50"/>
      <c r="AA378" s="50"/>
      <c r="AD378" s="100"/>
      <c r="AE378" s="48">
        <f t="shared" si="37"/>
        <v>0</v>
      </c>
      <c r="AF378" s="16"/>
      <c r="AG378" s="72">
        <f t="shared" si="38"/>
        <v>0</v>
      </c>
      <c r="AH378" s="37">
        <f t="shared" si="39"/>
        <v>0</v>
      </c>
      <c r="AJ378" s="34"/>
      <c r="AK378" s="34"/>
      <c r="AL378" s="82"/>
      <c r="AN378" s="83"/>
      <c r="AO378" s="83"/>
      <c r="AP378" s="82"/>
      <c r="AQ378" s="84"/>
      <c r="AR378" s="84"/>
      <c r="AS378" s="84"/>
    </row>
    <row r="379" spans="22:45" ht="16" x14ac:dyDescent="0.4">
      <c r="V379" s="97"/>
      <c r="W379" s="16"/>
      <c r="X379" s="89"/>
      <c r="Z379" s="50"/>
      <c r="AA379" s="50"/>
      <c r="AD379" s="100"/>
      <c r="AE379" s="48">
        <f t="shared" si="37"/>
        <v>0</v>
      </c>
      <c r="AF379" s="16"/>
      <c r="AG379" s="72">
        <f t="shared" si="38"/>
        <v>0</v>
      </c>
      <c r="AH379" s="37">
        <f t="shared" si="39"/>
        <v>0</v>
      </c>
      <c r="AJ379" s="34"/>
      <c r="AK379" s="34"/>
      <c r="AL379" s="82"/>
      <c r="AN379" s="83"/>
      <c r="AO379" s="83"/>
      <c r="AP379" s="82"/>
      <c r="AQ379" s="84"/>
      <c r="AR379" s="84"/>
      <c r="AS379" s="84"/>
    </row>
    <row r="380" spans="22:45" ht="16" x14ac:dyDescent="0.4">
      <c r="V380" s="97"/>
      <c r="W380" s="16"/>
      <c r="X380" s="89"/>
      <c r="Z380" s="50"/>
      <c r="AA380" s="50"/>
      <c r="AD380" s="100"/>
      <c r="AE380" s="48">
        <f t="shared" si="37"/>
        <v>0</v>
      </c>
      <c r="AF380" s="16"/>
      <c r="AG380" s="72">
        <f t="shared" si="38"/>
        <v>0</v>
      </c>
      <c r="AH380" s="37">
        <f t="shared" si="39"/>
        <v>0</v>
      </c>
      <c r="AJ380" s="34"/>
      <c r="AK380" s="34"/>
      <c r="AL380" s="82"/>
      <c r="AN380" s="83"/>
      <c r="AO380" s="83"/>
      <c r="AP380" s="82"/>
      <c r="AQ380" s="84"/>
      <c r="AR380" s="84"/>
      <c r="AS380" s="84"/>
    </row>
    <row r="381" spans="22:45" ht="16" x14ac:dyDescent="0.4">
      <c r="V381" s="97"/>
      <c r="W381" s="16"/>
      <c r="X381" s="89"/>
      <c r="Z381" s="50"/>
      <c r="AA381" s="50"/>
      <c r="AD381" s="100"/>
      <c r="AE381" s="48">
        <f t="shared" si="37"/>
        <v>0</v>
      </c>
      <c r="AF381" s="16"/>
      <c r="AG381" s="72">
        <f t="shared" si="38"/>
        <v>0</v>
      </c>
      <c r="AH381" s="37">
        <f t="shared" si="39"/>
        <v>0</v>
      </c>
      <c r="AJ381" s="34"/>
      <c r="AK381" s="34"/>
      <c r="AL381" s="82"/>
      <c r="AN381" s="83"/>
      <c r="AO381" s="83"/>
      <c r="AP381" s="82"/>
      <c r="AQ381" s="84"/>
      <c r="AR381" s="84"/>
      <c r="AS381" s="84"/>
    </row>
    <row r="382" spans="22:45" ht="16" x14ac:dyDescent="0.4">
      <c r="V382" s="97"/>
      <c r="W382" s="16"/>
      <c r="X382" s="89"/>
      <c r="Z382" s="50"/>
      <c r="AA382" s="50"/>
      <c r="AD382" s="100"/>
      <c r="AE382" s="48">
        <f t="shared" si="37"/>
        <v>0</v>
      </c>
      <c r="AF382" s="16"/>
      <c r="AG382" s="72">
        <f t="shared" si="38"/>
        <v>0</v>
      </c>
      <c r="AH382" s="37">
        <f t="shared" si="39"/>
        <v>0</v>
      </c>
      <c r="AJ382" s="34"/>
      <c r="AK382" s="34"/>
      <c r="AL382" s="82"/>
      <c r="AN382" s="83"/>
      <c r="AO382" s="83"/>
      <c r="AP382" s="82"/>
      <c r="AQ382" s="84"/>
      <c r="AR382" s="84"/>
      <c r="AS382" s="84"/>
    </row>
    <row r="383" spans="22:45" ht="16" x14ac:dyDescent="0.4">
      <c r="V383" s="97"/>
      <c r="W383" s="16"/>
      <c r="X383" s="89"/>
      <c r="Z383" s="50"/>
      <c r="AA383" s="50"/>
      <c r="AD383" s="100"/>
      <c r="AE383" s="48">
        <f t="shared" si="37"/>
        <v>0</v>
      </c>
      <c r="AF383" s="16"/>
      <c r="AG383" s="72">
        <f t="shared" si="38"/>
        <v>0</v>
      </c>
      <c r="AH383" s="37">
        <f t="shared" si="39"/>
        <v>0</v>
      </c>
      <c r="AJ383" s="34"/>
      <c r="AK383" s="34"/>
      <c r="AL383" s="82"/>
      <c r="AN383" s="83"/>
      <c r="AO383" s="83"/>
      <c r="AP383" s="82"/>
      <c r="AQ383" s="84"/>
      <c r="AR383" s="84"/>
      <c r="AS383" s="84"/>
    </row>
    <row r="384" spans="22:45" ht="16" x14ac:dyDescent="0.4">
      <c r="V384" s="97"/>
      <c r="W384" s="16"/>
      <c r="X384" s="89"/>
      <c r="Z384" s="50"/>
      <c r="AA384" s="50"/>
      <c r="AD384" s="100"/>
      <c r="AE384" s="48">
        <f t="shared" si="37"/>
        <v>0</v>
      </c>
      <c r="AF384" s="16"/>
      <c r="AG384" s="72">
        <f t="shared" si="38"/>
        <v>0</v>
      </c>
      <c r="AH384" s="37">
        <f t="shared" si="39"/>
        <v>0</v>
      </c>
      <c r="AJ384" s="34"/>
      <c r="AK384" s="34"/>
      <c r="AL384" s="82"/>
      <c r="AN384" s="83"/>
      <c r="AO384" s="83"/>
      <c r="AP384" s="82"/>
      <c r="AQ384" s="84"/>
      <c r="AR384" s="84"/>
      <c r="AS384" s="84"/>
    </row>
    <row r="385" spans="22:45" ht="16" x14ac:dyDescent="0.4">
      <c r="V385" s="97"/>
      <c r="W385" s="16"/>
      <c r="X385" s="89"/>
      <c r="Z385" s="50"/>
      <c r="AA385" s="50"/>
      <c r="AD385" s="100"/>
      <c r="AE385" s="48">
        <f t="shared" si="37"/>
        <v>0</v>
      </c>
      <c r="AF385" s="16"/>
      <c r="AG385" s="72">
        <f t="shared" si="38"/>
        <v>0</v>
      </c>
      <c r="AH385" s="37">
        <f t="shared" si="39"/>
        <v>0</v>
      </c>
      <c r="AJ385" s="34"/>
      <c r="AK385" s="34"/>
      <c r="AL385" s="82"/>
      <c r="AN385" s="83"/>
      <c r="AO385" s="83"/>
      <c r="AP385" s="82"/>
      <c r="AQ385" s="84"/>
      <c r="AR385" s="84"/>
      <c r="AS385" s="84"/>
    </row>
    <row r="386" spans="22:45" ht="16" x14ac:dyDescent="0.4">
      <c r="V386" s="97"/>
      <c r="W386" s="16"/>
      <c r="X386" s="89"/>
      <c r="Z386" s="50"/>
      <c r="AA386" s="50"/>
      <c r="AD386" s="100"/>
      <c r="AE386" s="48">
        <f t="shared" si="37"/>
        <v>0</v>
      </c>
      <c r="AF386" s="16"/>
      <c r="AG386" s="72">
        <f t="shared" si="38"/>
        <v>0</v>
      </c>
      <c r="AH386" s="37">
        <f t="shared" si="39"/>
        <v>0</v>
      </c>
      <c r="AJ386" s="34"/>
      <c r="AK386" s="34"/>
      <c r="AL386" s="82"/>
      <c r="AN386" s="83"/>
      <c r="AO386" s="83"/>
      <c r="AP386" s="82"/>
      <c r="AQ386" s="84"/>
      <c r="AR386" s="84"/>
      <c r="AS386" s="84"/>
    </row>
    <row r="387" spans="22:45" ht="16" x14ac:dyDescent="0.4">
      <c r="V387" s="97"/>
      <c r="W387" s="16"/>
      <c r="X387" s="89"/>
      <c r="Z387" s="50"/>
      <c r="AA387" s="50"/>
      <c r="AD387" s="100"/>
      <c r="AE387" s="48">
        <f t="shared" si="37"/>
        <v>0</v>
      </c>
      <c r="AF387" s="16"/>
      <c r="AG387" s="72">
        <f t="shared" si="38"/>
        <v>0</v>
      </c>
      <c r="AH387" s="37">
        <f t="shared" si="39"/>
        <v>0</v>
      </c>
      <c r="AJ387" s="34"/>
      <c r="AK387" s="34"/>
      <c r="AL387" s="82"/>
      <c r="AN387" s="83"/>
      <c r="AO387" s="83"/>
      <c r="AP387" s="82"/>
      <c r="AQ387" s="84"/>
      <c r="AR387" s="84"/>
      <c r="AS387" s="84"/>
    </row>
    <row r="388" spans="22:45" ht="16" x14ac:dyDescent="0.4">
      <c r="V388" s="97"/>
      <c r="W388" s="16"/>
      <c r="X388" s="89"/>
      <c r="Z388" s="50"/>
      <c r="AA388" s="50"/>
      <c r="AD388" s="100"/>
      <c r="AE388" s="48">
        <f t="shared" si="37"/>
        <v>0</v>
      </c>
      <c r="AF388" s="16"/>
      <c r="AG388" s="72">
        <f t="shared" si="38"/>
        <v>0</v>
      </c>
      <c r="AH388" s="37">
        <f t="shared" si="39"/>
        <v>0</v>
      </c>
      <c r="AJ388" s="34"/>
      <c r="AK388" s="34"/>
      <c r="AL388" s="82"/>
      <c r="AN388" s="83"/>
      <c r="AO388" s="83"/>
      <c r="AP388" s="82"/>
      <c r="AQ388" s="84"/>
      <c r="AR388" s="84"/>
      <c r="AS388" s="84"/>
    </row>
    <row r="389" spans="22:45" ht="16" x14ac:dyDescent="0.4">
      <c r="V389" s="97"/>
      <c r="W389" s="16"/>
      <c r="X389" s="89"/>
      <c r="Z389" s="50"/>
      <c r="AA389" s="50"/>
      <c r="AD389" s="100"/>
      <c r="AE389" s="48">
        <f t="shared" ref="AE389:AE452" si="40">AD389/1000</f>
        <v>0</v>
      </c>
      <c r="AF389" s="16"/>
      <c r="AG389" s="72">
        <f t="shared" si="38"/>
        <v>0</v>
      </c>
      <c r="AH389" s="37">
        <f t="shared" si="39"/>
        <v>0</v>
      </c>
      <c r="AJ389" s="34"/>
      <c r="AK389" s="34"/>
      <c r="AL389" s="82"/>
      <c r="AN389" s="83"/>
      <c r="AO389" s="83"/>
      <c r="AP389" s="82"/>
      <c r="AQ389" s="84"/>
      <c r="AR389" s="84"/>
      <c r="AS389" s="84"/>
    </row>
    <row r="390" spans="22:45" ht="16" x14ac:dyDescent="0.4">
      <c r="V390" s="97"/>
      <c r="W390" s="16"/>
      <c r="X390" s="89"/>
      <c r="Z390" s="50"/>
      <c r="AA390" s="50"/>
      <c r="AD390" s="100"/>
      <c r="AE390" s="48">
        <f t="shared" si="40"/>
        <v>0</v>
      </c>
      <c r="AF390" s="16"/>
      <c r="AG390" s="72">
        <f t="shared" ref="AG390:AG453" si="41">IF($AF390&gt;14,14,$AF390)</f>
        <v>0</v>
      </c>
      <c r="AH390" s="37">
        <f t="shared" ref="AH390:AH453" si="42">AE390*AG390/14</f>
        <v>0</v>
      </c>
      <c r="AJ390" s="34"/>
      <c r="AK390" s="34"/>
      <c r="AL390" s="82"/>
      <c r="AN390" s="83"/>
      <c r="AO390" s="83"/>
      <c r="AP390" s="82"/>
      <c r="AQ390" s="84"/>
      <c r="AR390" s="84"/>
      <c r="AS390" s="84"/>
    </row>
    <row r="391" spans="22:45" ht="16" x14ac:dyDescent="0.4">
      <c r="V391" s="97"/>
      <c r="W391" s="16"/>
      <c r="X391" s="89"/>
      <c r="Z391" s="50"/>
      <c r="AA391" s="50"/>
      <c r="AD391" s="100"/>
      <c r="AE391" s="48">
        <f t="shared" si="40"/>
        <v>0</v>
      </c>
      <c r="AF391" s="16"/>
      <c r="AG391" s="72">
        <f t="shared" si="41"/>
        <v>0</v>
      </c>
      <c r="AH391" s="37">
        <f t="shared" si="42"/>
        <v>0</v>
      </c>
      <c r="AJ391" s="34"/>
      <c r="AK391" s="34"/>
      <c r="AL391" s="82"/>
      <c r="AN391" s="83"/>
      <c r="AO391" s="83"/>
      <c r="AP391" s="82"/>
      <c r="AQ391" s="84"/>
      <c r="AR391" s="84"/>
      <c r="AS391" s="84"/>
    </row>
    <row r="392" spans="22:45" ht="16" x14ac:dyDescent="0.4">
      <c r="V392" s="97"/>
      <c r="W392" s="16"/>
      <c r="X392" s="89"/>
      <c r="Z392" s="50"/>
      <c r="AA392" s="50"/>
      <c r="AD392" s="100"/>
      <c r="AE392" s="48">
        <f t="shared" si="40"/>
        <v>0</v>
      </c>
      <c r="AF392" s="16"/>
      <c r="AG392" s="72">
        <f t="shared" si="41"/>
        <v>0</v>
      </c>
      <c r="AH392" s="37">
        <f t="shared" si="42"/>
        <v>0</v>
      </c>
      <c r="AJ392" s="34"/>
      <c r="AK392" s="34"/>
      <c r="AL392" s="82"/>
      <c r="AN392" s="83"/>
      <c r="AO392" s="83"/>
      <c r="AP392" s="82"/>
      <c r="AQ392" s="84"/>
      <c r="AR392" s="84"/>
      <c r="AS392" s="84"/>
    </row>
    <row r="393" spans="22:45" ht="16" x14ac:dyDescent="0.4">
      <c r="V393" s="97"/>
      <c r="W393" s="16"/>
      <c r="X393" s="89"/>
      <c r="Z393" s="50"/>
      <c r="AA393" s="50"/>
      <c r="AD393" s="100"/>
      <c r="AE393" s="48">
        <f t="shared" si="40"/>
        <v>0</v>
      </c>
      <c r="AF393" s="16"/>
      <c r="AG393" s="72">
        <f t="shared" si="41"/>
        <v>0</v>
      </c>
      <c r="AH393" s="37">
        <f t="shared" si="42"/>
        <v>0</v>
      </c>
      <c r="AJ393" s="34"/>
      <c r="AK393" s="34"/>
      <c r="AL393" s="82"/>
      <c r="AN393" s="83"/>
      <c r="AO393" s="83"/>
      <c r="AP393" s="82"/>
      <c r="AQ393" s="84"/>
      <c r="AR393" s="84"/>
      <c r="AS393" s="84"/>
    </row>
    <row r="394" spans="22:45" ht="16" x14ac:dyDescent="0.4">
      <c r="V394" s="97"/>
      <c r="W394" s="16"/>
      <c r="X394" s="89"/>
      <c r="Z394" s="50"/>
      <c r="AA394" s="50"/>
      <c r="AD394" s="100"/>
      <c r="AE394" s="48">
        <f t="shared" si="40"/>
        <v>0</v>
      </c>
      <c r="AF394" s="16"/>
      <c r="AG394" s="72">
        <f t="shared" si="41"/>
        <v>0</v>
      </c>
      <c r="AH394" s="37">
        <f t="shared" si="42"/>
        <v>0</v>
      </c>
      <c r="AJ394" s="34"/>
      <c r="AK394" s="34"/>
      <c r="AL394" s="82"/>
      <c r="AN394" s="83"/>
      <c r="AO394" s="83"/>
      <c r="AP394" s="82"/>
      <c r="AQ394" s="84"/>
      <c r="AR394" s="84"/>
      <c r="AS394" s="84"/>
    </row>
    <row r="395" spans="22:45" ht="16" x14ac:dyDescent="0.4">
      <c r="V395" s="97"/>
      <c r="W395" s="16"/>
      <c r="X395" s="89"/>
      <c r="Z395" s="50"/>
      <c r="AA395" s="50"/>
      <c r="AD395" s="100"/>
      <c r="AE395" s="48">
        <f t="shared" si="40"/>
        <v>0</v>
      </c>
      <c r="AF395" s="16"/>
      <c r="AG395" s="72">
        <f t="shared" si="41"/>
        <v>0</v>
      </c>
      <c r="AH395" s="37">
        <f t="shared" si="42"/>
        <v>0</v>
      </c>
      <c r="AJ395" s="34"/>
      <c r="AK395" s="34"/>
      <c r="AL395" s="82"/>
      <c r="AN395" s="83"/>
      <c r="AO395" s="83"/>
      <c r="AP395" s="82"/>
      <c r="AQ395" s="84"/>
      <c r="AR395" s="84"/>
      <c r="AS395" s="84"/>
    </row>
    <row r="396" spans="22:45" ht="16" x14ac:dyDescent="0.4">
      <c r="V396" s="97"/>
      <c r="W396" s="16"/>
      <c r="X396" s="89"/>
      <c r="Z396" s="50"/>
      <c r="AA396" s="50"/>
      <c r="AD396" s="100"/>
      <c r="AE396" s="48">
        <f t="shared" si="40"/>
        <v>0</v>
      </c>
      <c r="AF396" s="16"/>
      <c r="AG396" s="72">
        <f t="shared" si="41"/>
        <v>0</v>
      </c>
      <c r="AH396" s="37">
        <f t="shared" si="42"/>
        <v>0</v>
      </c>
      <c r="AJ396" s="34"/>
      <c r="AK396" s="34"/>
      <c r="AL396" s="82"/>
      <c r="AN396" s="83"/>
      <c r="AO396" s="83"/>
      <c r="AP396" s="82"/>
      <c r="AQ396" s="84"/>
      <c r="AR396" s="84"/>
      <c r="AS396" s="84"/>
    </row>
    <row r="397" spans="22:45" ht="16" x14ac:dyDescent="0.4">
      <c r="V397" s="97"/>
      <c r="W397" s="16"/>
      <c r="X397" s="89"/>
      <c r="Z397" s="50"/>
      <c r="AA397" s="50"/>
      <c r="AD397" s="48"/>
      <c r="AE397" s="48">
        <f t="shared" si="40"/>
        <v>0</v>
      </c>
      <c r="AF397" s="16"/>
      <c r="AG397" s="72">
        <f t="shared" si="41"/>
        <v>0</v>
      </c>
      <c r="AH397" s="37">
        <f t="shared" si="42"/>
        <v>0</v>
      </c>
      <c r="AJ397" s="34"/>
      <c r="AK397" s="34"/>
      <c r="AL397" s="82"/>
      <c r="AN397" s="83"/>
      <c r="AO397" s="83"/>
      <c r="AP397" s="82"/>
      <c r="AQ397" s="84"/>
      <c r="AR397" s="84"/>
      <c r="AS397" s="84"/>
    </row>
    <row r="398" spans="22:45" ht="16" x14ac:dyDescent="0.4">
      <c r="V398" s="97"/>
      <c r="W398" s="16"/>
      <c r="X398" s="89"/>
      <c r="Z398" s="50"/>
      <c r="AA398" s="50"/>
      <c r="AD398" s="48"/>
      <c r="AE398" s="48">
        <f t="shared" si="40"/>
        <v>0</v>
      </c>
      <c r="AF398" s="16"/>
      <c r="AG398" s="72">
        <f t="shared" si="41"/>
        <v>0</v>
      </c>
      <c r="AH398" s="37">
        <f t="shared" si="42"/>
        <v>0</v>
      </c>
      <c r="AJ398" s="85"/>
      <c r="AK398" s="86"/>
      <c r="AL398" s="82"/>
      <c r="AP398" s="86"/>
      <c r="AS398" s="84"/>
    </row>
    <row r="399" spans="22:45" ht="16" x14ac:dyDescent="0.4">
      <c r="V399" s="97"/>
      <c r="W399" s="16"/>
      <c r="X399" s="89"/>
      <c r="Z399" s="50"/>
      <c r="AA399" s="50"/>
      <c r="AD399" s="48"/>
      <c r="AE399" s="48">
        <f t="shared" si="40"/>
        <v>0</v>
      </c>
      <c r="AF399" s="16"/>
      <c r="AG399" s="72">
        <f t="shared" si="41"/>
        <v>0</v>
      </c>
      <c r="AH399" s="37">
        <f t="shared" si="42"/>
        <v>0</v>
      </c>
      <c r="AJ399" s="85"/>
      <c r="AK399" s="86"/>
      <c r="AL399" s="82"/>
      <c r="AP399" s="86"/>
      <c r="AS399" s="84"/>
    </row>
    <row r="400" spans="22:45" ht="16" x14ac:dyDescent="0.4">
      <c r="V400" s="97"/>
      <c r="W400" s="16"/>
      <c r="X400" s="89"/>
      <c r="Z400" s="50"/>
      <c r="AA400" s="50"/>
      <c r="AD400" s="48"/>
      <c r="AE400" s="48">
        <f t="shared" si="40"/>
        <v>0</v>
      </c>
      <c r="AF400" s="16"/>
      <c r="AG400" s="72">
        <f t="shared" si="41"/>
        <v>0</v>
      </c>
      <c r="AH400" s="37">
        <f t="shared" si="42"/>
        <v>0</v>
      </c>
      <c r="AJ400" s="85"/>
      <c r="AK400" s="86"/>
      <c r="AL400" s="82"/>
      <c r="AP400" s="86"/>
    </row>
    <row r="401" spans="22:42" ht="16" x14ac:dyDescent="0.4">
      <c r="V401" s="97"/>
      <c r="W401" s="16"/>
      <c r="X401" s="89"/>
      <c r="Z401" s="50"/>
      <c r="AA401" s="50"/>
      <c r="AD401" s="48"/>
      <c r="AE401" s="48">
        <f t="shared" si="40"/>
        <v>0</v>
      </c>
      <c r="AF401" s="16"/>
      <c r="AG401" s="72">
        <f t="shared" si="41"/>
        <v>0</v>
      </c>
      <c r="AH401" s="37">
        <f t="shared" si="42"/>
        <v>0</v>
      </c>
      <c r="AJ401" s="85"/>
      <c r="AK401" s="86"/>
      <c r="AL401" s="82"/>
      <c r="AP401" s="86"/>
    </row>
    <row r="402" spans="22:42" ht="16" x14ac:dyDescent="0.4">
      <c r="V402" s="97"/>
      <c r="W402" s="16"/>
      <c r="X402" s="89"/>
      <c r="Z402" s="50"/>
      <c r="AA402" s="50"/>
      <c r="AD402" s="48"/>
      <c r="AE402" s="48">
        <f t="shared" si="40"/>
        <v>0</v>
      </c>
      <c r="AF402" s="16"/>
      <c r="AG402" s="72">
        <f t="shared" si="41"/>
        <v>0</v>
      </c>
      <c r="AH402" s="37">
        <f t="shared" si="42"/>
        <v>0</v>
      </c>
      <c r="AJ402" s="87"/>
      <c r="AK402" s="82"/>
      <c r="AL402" s="82"/>
      <c r="AP402" s="82"/>
    </row>
    <row r="403" spans="22:42" ht="16" x14ac:dyDescent="0.4">
      <c r="V403" s="97"/>
      <c r="W403" s="16"/>
      <c r="X403" s="89"/>
      <c r="Z403" s="50"/>
      <c r="AA403" s="50"/>
      <c r="AD403" s="48"/>
      <c r="AE403" s="48">
        <f t="shared" si="40"/>
        <v>0</v>
      </c>
      <c r="AF403" s="16"/>
      <c r="AG403" s="72">
        <f t="shared" si="41"/>
        <v>0</v>
      </c>
      <c r="AH403" s="37">
        <f t="shared" si="42"/>
        <v>0</v>
      </c>
    </row>
    <row r="404" spans="22:42" ht="16" x14ac:dyDescent="0.4">
      <c r="V404" s="97"/>
      <c r="W404" s="16"/>
      <c r="X404" s="89"/>
      <c r="Z404" s="50"/>
      <c r="AA404" s="50"/>
      <c r="AD404" s="48"/>
      <c r="AE404" s="48">
        <f t="shared" si="40"/>
        <v>0</v>
      </c>
      <c r="AF404" s="16"/>
      <c r="AG404" s="72">
        <f t="shared" si="41"/>
        <v>0</v>
      </c>
      <c r="AH404" s="37">
        <f t="shared" si="42"/>
        <v>0</v>
      </c>
    </row>
    <row r="405" spans="22:42" ht="16" x14ac:dyDescent="0.4">
      <c r="V405" s="97"/>
      <c r="W405" s="16"/>
      <c r="X405" s="89"/>
      <c r="Z405" s="50"/>
      <c r="AA405" s="50"/>
      <c r="AD405" s="48"/>
      <c r="AE405" s="48">
        <f t="shared" si="40"/>
        <v>0</v>
      </c>
      <c r="AF405" s="16"/>
      <c r="AG405" s="72">
        <f t="shared" si="41"/>
        <v>0</v>
      </c>
      <c r="AH405" s="37">
        <f t="shared" si="42"/>
        <v>0</v>
      </c>
    </row>
    <row r="406" spans="22:42" ht="16" x14ac:dyDescent="0.4">
      <c r="V406" s="97"/>
      <c r="W406" s="16"/>
      <c r="X406" s="89"/>
      <c r="Z406" s="50"/>
      <c r="AA406" s="50"/>
      <c r="AD406" s="48"/>
      <c r="AE406" s="48">
        <f t="shared" si="40"/>
        <v>0</v>
      </c>
      <c r="AF406" s="16"/>
      <c r="AG406" s="72">
        <f t="shared" si="41"/>
        <v>0</v>
      </c>
      <c r="AH406" s="37">
        <f t="shared" si="42"/>
        <v>0</v>
      </c>
    </row>
    <row r="407" spans="22:42" ht="16" x14ac:dyDescent="0.4">
      <c r="V407" s="97"/>
      <c r="W407" s="16"/>
      <c r="X407" s="89"/>
      <c r="Z407" s="50"/>
      <c r="AA407" s="50"/>
      <c r="AD407" s="48"/>
      <c r="AE407" s="48">
        <f t="shared" si="40"/>
        <v>0</v>
      </c>
      <c r="AF407" s="16"/>
      <c r="AG407" s="72">
        <f t="shared" si="41"/>
        <v>0</v>
      </c>
      <c r="AH407" s="37">
        <f t="shared" si="42"/>
        <v>0</v>
      </c>
      <c r="AJ407" s="34"/>
      <c r="AK407" s="34"/>
    </row>
    <row r="408" spans="22:42" ht="16" x14ac:dyDescent="0.4">
      <c r="V408" s="97"/>
      <c r="W408" s="16"/>
      <c r="X408" s="89"/>
      <c r="Z408" s="50"/>
      <c r="AA408" s="50"/>
      <c r="AD408" s="48"/>
      <c r="AE408" s="48">
        <f t="shared" si="40"/>
        <v>0</v>
      </c>
      <c r="AF408" s="16"/>
      <c r="AG408" s="72">
        <f t="shared" si="41"/>
        <v>0</v>
      </c>
      <c r="AH408" s="37">
        <f t="shared" si="42"/>
        <v>0</v>
      </c>
      <c r="AJ408" s="34"/>
      <c r="AK408" s="34"/>
    </row>
    <row r="409" spans="22:42" ht="16" x14ac:dyDescent="0.4">
      <c r="V409" s="97"/>
      <c r="W409" s="16"/>
      <c r="X409" s="89"/>
      <c r="Z409" s="50"/>
      <c r="AA409" s="50"/>
      <c r="AD409" s="48"/>
      <c r="AE409" s="48">
        <f t="shared" si="40"/>
        <v>0</v>
      </c>
      <c r="AF409" s="16"/>
      <c r="AG409" s="72">
        <f t="shared" si="41"/>
        <v>0</v>
      </c>
      <c r="AH409" s="37">
        <f t="shared" si="42"/>
        <v>0</v>
      </c>
      <c r="AJ409" s="34"/>
      <c r="AK409" s="34"/>
    </row>
    <row r="410" spans="22:42" ht="16" x14ac:dyDescent="0.4">
      <c r="V410" s="97"/>
      <c r="W410" s="16"/>
      <c r="X410" s="89"/>
      <c r="Z410" s="50"/>
      <c r="AA410" s="50"/>
      <c r="AD410" s="48"/>
      <c r="AE410" s="48">
        <f t="shared" si="40"/>
        <v>0</v>
      </c>
      <c r="AF410" s="16"/>
      <c r="AG410" s="72">
        <f t="shared" si="41"/>
        <v>0</v>
      </c>
      <c r="AH410" s="37">
        <f t="shared" si="42"/>
        <v>0</v>
      </c>
      <c r="AJ410" s="34"/>
      <c r="AK410" s="34"/>
    </row>
    <row r="411" spans="22:42" ht="16" x14ac:dyDescent="0.4">
      <c r="V411" s="97"/>
      <c r="W411" s="16"/>
      <c r="X411" s="89"/>
      <c r="Z411" s="50"/>
      <c r="AA411" s="50"/>
      <c r="AD411" s="48"/>
      <c r="AE411" s="48">
        <f t="shared" si="40"/>
        <v>0</v>
      </c>
      <c r="AF411" s="16"/>
      <c r="AG411" s="72">
        <f t="shared" si="41"/>
        <v>0</v>
      </c>
      <c r="AH411" s="37">
        <f t="shared" si="42"/>
        <v>0</v>
      </c>
      <c r="AJ411" s="34"/>
      <c r="AK411" s="34"/>
    </row>
    <row r="412" spans="22:42" ht="16" x14ac:dyDescent="0.4">
      <c r="V412" s="97"/>
      <c r="W412" s="16"/>
      <c r="X412" s="89"/>
      <c r="Z412" s="50"/>
      <c r="AA412" s="50"/>
      <c r="AD412" s="48"/>
      <c r="AE412" s="48">
        <f t="shared" si="40"/>
        <v>0</v>
      </c>
      <c r="AF412" s="16"/>
      <c r="AG412" s="72">
        <f t="shared" si="41"/>
        <v>0</v>
      </c>
      <c r="AH412" s="37">
        <f t="shared" si="42"/>
        <v>0</v>
      </c>
      <c r="AJ412" s="34"/>
      <c r="AK412" s="34"/>
    </row>
    <row r="413" spans="22:42" ht="16" x14ac:dyDescent="0.4">
      <c r="V413" s="97"/>
      <c r="W413" s="16"/>
      <c r="X413" s="89"/>
      <c r="Z413" s="50"/>
      <c r="AA413" s="50"/>
      <c r="AD413" s="48"/>
      <c r="AE413" s="48">
        <f t="shared" si="40"/>
        <v>0</v>
      </c>
      <c r="AF413" s="16"/>
      <c r="AG413" s="72">
        <f t="shared" si="41"/>
        <v>0</v>
      </c>
      <c r="AH413" s="37">
        <f t="shared" si="42"/>
        <v>0</v>
      </c>
      <c r="AJ413" s="34"/>
      <c r="AK413" s="34"/>
    </row>
    <row r="414" spans="22:42" ht="16" x14ac:dyDescent="0.4">
      <c r="V414" s="97"/>
      <c r="W414" s="16"/>
      <c r="X414" s="89"/>
      <c r="Z414" s="50"/>
      <c r="AA414" s="50"/>
      <c r="AD414" s="48"/>
      <c r="AE414" s="48">
        <f t="shared" si="40"/>
        <v>0</v>
      </c>
      <c r="AF414" s="16"/>
      <c r="AG414" s="72">
        <f t="shared" si="41"/>
        <v>0</v>
      </c>
      <c r="AH414" s="37">
        <f t="shared" si="42"/>
        <v>0</v>
      </c>
      <c r="AJ414" s="34"/>
      <c r="AK414" s="34"/>
    </row>
    <row r="415" spans="22:42" ht="16" x14ac:dyDescent="0.4">
      <c r="V415" s="97"/>
      <c r="W415" s="16"/>
      <c r="X415" s="89"/>
      <c r="Z415" s="50"/>
      <c r="AA415" s="50"/>
      <c r="AD415" s="48"/>
      <c r="AE415" s="48">
        <f t="shared" si="40"/>
        <v>0</v>
      </c>
      <c r="AF415" s="16"/>
      <c r="AG415" s="72">
        <f t="shared" si="41"/>
        <v>0</v>
      </c>
      <c r="AH415" s="37">
        <f t="shared" si="42"/>
        <v>0</v>
      </c>
      <c r="AJ415" s="34"/>
      <c r="AK415" s="34"/>
    </row>
    <row r="416" spans="22:42" ht="16" x14ac:dyDescent="0.4">
      <c r="V416" s="97"/>
      <c r="W416" s="16"/>
      <c r="X416" s="89"/>
      <c r="Z416" s="50"/>
      <c r="AA416" s="50"/>
      <c r="AD416" s="48"/>
      <c r="AE416" s="48">
        <f t="shared" si="40"/>
        <v>0</v>
      </c>
      <c r="AF416" s="16"/>
      <c r="AG416" s="72">
        <f t="shared" si="41"/>
        <v>0</v>
      </c>
      <c r="AH416" s="37">
        <f t="shared" si="42"/>
        <v>0</v>
      </c>
      <c r="AJ416" s="34"/>
      <c r="AK416" s="34"/>
    </row>
    <row r="417" spans="22:37" ht="16" x14ac:dyDescent="0.4">
      <c r="V417" s="97"/>
      <c r="W417" s="16"/>
      <c r="X417" s="89"/>
      <c r="Z417" s="50"/>
      <c r="AA417" s="50"/>
      <c r="AD417" s="48"/>
      <c r="AE417" s="48">
        <f t="shared" si="40"/>
        <v>0</v>
      </c>
      <c r="AF417" s="16"/>
      <c r="AG417" s="72">
        <f t="shared" si="41"/>
        <v>0</v>
      </c>
      <c r="AH417" s="37">
        <f t="shared" si="42"/>
        <v>0</v>
      </c>
      <c r="AJ417" s="34"/>
      <c r="AK417" s="34"/>
    </row>
    <row r="418" spans="22:37" ht="16" x14ac:dyDescent="0.4">
      <c r="V418" s="97"/>
      <c r="W418" s="16"/>
      <c r="X418" s="89"/>
      <c r="Z418" s="50"/>
      <c r="AA418" s="50"/>
      <c r="AD418" s="48"/>
      <c r="AE418" s="48">
        <f t="shared" si="40"/>
        <v>0</v>
      </c>
      <c r="AF418" s="16"/>
      <c r="AG418" s="72">
        <f t="shared" si="41"/>
        <v>0</v>
      </c>
      <c r="AH418" s="37">
        <f t="shared" si="42"/>
        <v>0</v>
      </c>
      <c r="AJ418" s="34"/>
      <c r="AK418" s="34"/>
    </row>
    <row r="419" spans="22:37" ht="16" x14ac:dyDescent="0.4">
      <c r="V419" s="97"/>
      <c r="W419" s="16"/>
      <c r="X419" s="89"/>
      <c r="Z419" s="50"/>
      <c r="AA419" s="50"/>
      <c r="AD419" s="48"/>
      <c r="AE419" s="48">
        <f t="shared" si="40"/>
        <v>0</v>
      </c>
      <c r="AF419" s="16"/>
      <c r="AG419" s="72">
        <f t="shared" si="41"/>
        <v>0</v>
      </c>
      <c r="AH419" s="37">
        <f t="shared" si="42"/>
        <v>0</v>
      </c>
      <c r="AJ419" s="34"/>
      <c r="AK419" s="34"/>
    </row>
    <row r="420" spans="22:37" ht="16" x14ac:dyDescent="0.4">
      <c r="V420" s="97"/>
      <c r="W420" s="16"/>
      <c r="X420" s="89"/>
      <c r="Z420" s="50"/>
      <c r="AA420" s="50"/>
      <c r="AD420" s="48"/>
      <c r="AE420" s="48">
        <f t="shared" si="40"/>
        <v>0</v>
      </c>
      <c r="AF420" s="16"/>
      <c r="AG420" s="72">
        <f t="shared" si="41"/>
        <v>0</v>
      </c>
      <c r="AH420" s="37">
        <f t="shared" si="42"/>
        <v>0</v>
      </c>
      <c r="AJ420" s="34"/>
      <c r="AK420" s="34"/>
    </row>
    <row r="421" spans="22:37" ht="16" x14ac:dyDescent="0.4">
      <c r="V421" s="97"/>
      <c r="W421" s="16"/>
      <c r="X421" s="89"/>
      <c r="Z421" s="50"/>
      <c r="AA421" s="50"/>
      <c r="AD421" s="48"/>
      <c r="AE421" s="48">
        <f t="shared" si="40"/>
        <v>0</v>
      </c>
      <c r="AF421" s="16"/>
      <c r="AG421" s="72">
        <f t="shared" si="41"/>
        <v>0</v>
      </c>
      <c r="AH421" s="37">
        <f t="shared" si="42"/>
        <v>0</v>
      </c>
      <c r="AJ421" s="34"/>
      <c r="AK421" s="34"/>
    </row>
    <row r="422" spans="22:37" ht="16" x14ac:dyDescent="0.4">
      <c r="V422" s="97"/>
      <c r="W422" s="16"/>
      <c r="X422" s="89"/>
      <c r="Z422" s="50"/>
      <c r="AA422" s="50"/>
      <c r="AD422" s="48"/>
      <c r="AE422" s="48">
        <f t="shared" si="40"/>
        <v>0</v>
      </c>
      <c r="AF422" s="16"/>
      <c r="AG422" s="72">
        <f t="shared" si="41"/>
        <v>0</v>
      </c>
      <c r="AH422" s="37">
        <f t="shared" si="42"/>
        <v>0</v>
      </c>
      <c r="AJ422" s="34"/>
      <c r="AK422" s="34"/>
    </row>
    <row r="423" spans="22:37" ht="16" x14ac:dyDescent="0.4">
      <c r="V423" s="97"/>
      <c r="W423" s="16"/>
      <c r="X423" s="89"/>
      <c r="Z423" s="50"/>
      <c r="AA423" s="50"/>
      <c r="AD423" s="48"/>
      <c r="AE423" s="48">
        <f t="shared" si="40"/>
        <v>0</v>
      </c>
      <c r="AF423" s="16"/>
      <c r="AG423" s="72">
        <f t="shared" si="41"/>
        <v>0</v>
      </c>
      <c r="AH423" s="37">
        <f t="shared" si="42"/>
        <v>0</v>
      </c>
      <c r="AJ423" s="34"/>
      <c r="AK423" s="34"/>
    </row>
    <row r="424" spans="22:37" ht="16" x14ac:dyDescent="0.4">
      <c r="V424" s="97"/>
      <c r="W424" s="16"/>
      <c r="X424" s="89"/>
      <c r="Z424" s="50"/>
      <c r="AA424" s="50"/>
      <c r="AD424" s="48"/>
      <c r="AE424" s="48">
        <f t="shared" si="40"/>
        <v>0</v>
      </c>
      <c r="AF424" s="16"/>
      <c r="AG424" s="72">
        <f t="shared" si="41"/>
        <v>0</v>
      </c>
      <c r="AH424" s="37">
        <f t="shared" si="42"/>
        <v>0</v>
      </c>
      <c r="AJ424" s="34"/>
      <c r="AK424" s="34"/>
    </row>
    <row r="425" spans="22:37" ht="16" x14ac:dyDescent="0.4">
      <c r="V425" s="97"/>
      <c r="W425" s="16"/>
      <c r="X425" s="89"/>
      <c r="Z425" s="50"/>
      <c r="AA425" s="50"/>
      <c r="AD425" s="48"/>
      <c r="AE425" s="48">
        <f t="shared" si="40"/>
        <v>0</v>
      </c>
      <c r="AF425" s="16"/>
      <c r="AG425" s="72">
        <f t="shared" si="41"/>
        <v>0</v>
      </c>
      <c r="AH425" s="37">
        <f t="shared" si="42"/>
        <v>0</v>
      </c>
      <c r="AJ425" s="34"/>
      <c r="AK425" s="34"/>
    </row>
    <row r="426" spans="22:37" ht="16" x14ac:dyDescent="0.4">
      <c r="V426" s="97"/>
      <c r="W426" s="16"/>
      <c r="X426" s="89"/>
      <c r="Z426" s="50"/>
      <c r="AA426" s="50"/>
      <c r="AD426" s="48"/>
      <c r="AE426" s="48">
        <f t="shared" si="40"/>
        <v>0</v>
      </c>
      <c r="AF426" s="16"/>
      <c r="AG426" s="72">
        <f t="shared" si="41"/>
        <v>0</v>
      </c>
      <c r="AH426" s="37">
        <f t="shared" si="42"/>
        <v>0</v>
      </c>
      <c r="AJ426" s="34"/>
      <c r="AK426" s="34"/>
    </row>
    <row r="427" spans="22:37" ht="16" x14ac:dyDescent="0.4">
      <c r="V427" s="97"/>
      <c r="W427" s="16"/>
      <c r="X427" s="89"/>
      <c r="Z427" s="50"/>
      <c r="AA427" s="50"/>
      <c r="AD427" s="48"/>
      <c r="AE427" s="48">
        <f t="shared" si="40"/>
        <v>0</v>
      </c>
      <c r="AF427" s="16"/>
      <c r="AG427" s="72">
        <f t="shared" si="41"/>
        <v>0</v>
      </c>
      <c r="AH427" s="37">
        <f t="shared" si="42"/>
        <v>0</v>
      </c>
      <c r="AJ427" s="34"/>
      <c r="AK427" s="34"/>
    </row>
    <row r="428" spans="22:37" ht="16" x14ac:dyDescent="0.4">
      <c r="V428" s="97"/>
      <c r="W428" s="16"/>
      <c r="X428" s="89"/>
      <c r="Z428" s="50"/>
      <c r="AA428" s="50"/>
      <c r="AD428" s="48"/>
      <c r="AE428" s="48">
        <f t="shared" si="40"/>
        <v>0</v>
      </c>
      <c r="AF428" s="16"/>
      <c r="AG428" s="72">
        <f t="shared" si="41"/>
        <v>0</v>
      </c>
      <c r="AH428" s="37">
        <f t="shared" si="42"/>
        <v>0</v>
      </c>
      <c r="AJ428" s="34"/>
      <c r="AK428" s="34"/>
    </row>
    <row r="429" spans="22:37" ht="16" x14ac:dyDescent="0.4">
      <c r="V429" s="97"/>
      <c r="W429" s="16"/>
      <c r="X429" s="89"/>
      <c r="Z429" s="50"/>
      <c r="AA429" s="50"/>
      <c r="AD429" s="48"/>
      <c r="AE429" s="48">
        <f t="shared" si="40"/>
        <v>0</v>
      </c>
      <c r="AF429" s="16"/>
      <c r="AG429" s="72">
        <f t="shared" si="41"/>
        <v>0</v>
      </c>
      <c r="AH429" s="37">
        <f t="shared" si="42"/>
        <v>0</v>
      </c>
      <c r="AJ429" s="34"/>
      <c r="AK429" s="34"/>
    </row>
    <row r="430" spans="22:37" ht="16" x14ac:dyDescent="0.4">
      <c r="V430" s="97"/>
      <c r="W430" s="16"/>
      <c r="X430" s="89"/>
      <c r="Z430" s="50"/>
      <c r="AA430" s="50"/>
      <c r="AD430" s="48"/>
      <c r="AE430" s="48">
        <f t="shared" si="40"/>
        <v>0</v>
      </c>
      <c r="AF430" s="16"/>
      <c r="AG430" s="72">
        <f t="shared" si="41"/>
        <v>0</v>
      </c>
      <c r="AH430" s="37">
        <f t="shared" si="42"/>
        <v>0</v>
      </c>
      <c r="AJ430" s="34"/>
      <c r="AK430" s="34"/>
    </row>
    <row r="431" spans="22:37" ht="16" x14ac:dyDescent="0.4">
      <c r="V431" s="97"/>
      <c r="W431" s="16"/>
      <c r="X431" s="89"/>
      <c r="Z431" s="50"/>
      <c r="AA431" s="50"/>
      <c r="AD431" s="48"/>
      <c r="AE431" s="48">
        <f t="shared" si="40"/>
        <v>0</v>
      </c>
      <c r="AF431" s="16"/>
      <c r="AG431" s="72">
        <f t="shared" si="41"/>
        <v>0</v>
      </c>
      <c r="AH431" s="37">
        <f t="shared" si="42"/>
        <v>0</v>
      </c>
      <c r="AJ431" s="34"/>
      <c r="AK431" s="34"/>
    </row>
    <row r="432" spans="22:37" ht="16" x14ac:dyDescent="0.4">
      <c r="V432" s="97"/>
      <c r="W432" s="16"/>
      <c r="X432" s="89"/>
      <c r="Z432" s="50"/>
      <c r="AA432" s="50"/>
      <c r="AD432" s="48"/>
      <c r="AE432" s="48">
        <f t="shared" si="40"/>
        <v>0</v>
      </c>
      <c r="AF432" s="16"/>
      <c r="AG432" s="72">
        <f t="shared" si="41"/>
        <v>0</v>
      </c>
      <c r="AH432" s="37">
        <f t="shared" si="42"/>
        <v>0</v>
      </c>
      <c r="AJ432" s="34"/>
      <c r="AK432" s="34"/>
    </row>
    <row r="433" spans="22:37" ht="16" x14ac:dyDescent="0.4">
      <c r="V433" s="97"/>
      <c r="W433" s="16"/>
      <c r="X433" s="89"/>
      <c r="Z433" s="50"/>
      <c r="AA433" s="50"/>
      <c r="AD433" s="48"/>
      <c r="AE433" s="48">
        <f t="shared" si="40"/>
        <v>0</v>
      </c>
      <c r="AF433" s="16"/>
      <c r="AG433" s="72">
        <f t="shared" si="41"/>
        <v>0</v>
      </c>
      <c r="AH433" s="37">
        <f t="shared" si="42"/>
        <v>0</v>
      </c>
      <c r="AJ433" s="34"/>
      <c r="AK433" s="34"/>
    </row>
    <row r="434" spans="22:37" ht="16" x14ac:dyDescent="0.4">
      <c r="V434" s="97"/>
      <c r="W434" s="16"/>
      <c r="X434" s="89"/>
      <c r="Z434" s="50"/>
      <c r="AA434" s="50"/>
      <c r="AD434" s="48"/>
      <c r="AE434" s="48">
        <f t="shared" si="40"/>
        <v>0</v>
      </c>
      <c r="AF434" s="16"/>
      <c r="AG434" s="72">
        <f t="shared" si="41"/>
        <v>0</v>
      </c>
      <c r="AH434" s="37">
        <f t="shared" si="42"/>
        <v>0</v>
      </c>
      <c r="AJ434" s="34"/>
      <c r="AK434" s="34"/>
    </row>
    <row r="435" spans="22:37" ht="16" x14ac:dyDescent="0.4">
      <c r="V435" s="97"/>
      <c r="W435" s="16"/>
      <c r="X435" s="89"/>
      <c r="Z435" s="50"/>
      <c r="AA435" s="50"/>
      <c r="AD435" s="48"/>
      <c r="AE435" s="48">
        <f t="shared" si="40"/>
        <v>0</v>
      </c>
      <c r="AF435" s="16"/>
      <c r="AG435" s="72">
        <f t="shared" si="41"/>
        <v>0</v>
      </c>
      <c r="AH435" s="37">
        <f t="shared" si="42"/>
        <v>0</v>
      </c>
      <c r="AJ435" s="34"/>
      <c r="AK435" s="34"/>
    </row>
    <row r="436" spans="22:37" ht="16" x14ac:dyDescent="0.4">
      <c r="V436" s="97"/>
      <c r="W436" s="16"/>
      <c r="X436" s="89"/>
      <c r="Z436" s="50"/>
      <c r="AA436" s="50"/>
      <c r="AD436" s="48"/>
      <c r="AE436" s="48">
        <f t="shared" si="40"/>
        <v>0</v>
      </c>
      <c r="AF436" s="16"/>
      <c r="AG436" s="72">
        <f t="shared" si="41"/>
        <v>0</v>
      </c>
      <c r="AH436" s="37">
        <f t="shared" si="42"/>
        <v>0</v>
      </c>
      <c r="AJ436" s="34"/>
      <c r="AK436" s="34"/>
    </row>
    <row r="437" spans="22:37" ht="16" x14ac:dyDescent="0.4">
      <c r="V437" s="97"/>
      <c r="W437" s="16"/>
      <c r="X437" s="89"/>
      <c r="Z437" s="50"/>
      <c r="AA437" s="50"/>
      <c r="AD437" s="48"/>
      <c r="AE437" s="48">
        <f t="shared" si="40"/>
        <v>0</v>
      </c>
      <c r="AF437" s="16"/>
      <c r="AG437" s="72">
        <f t="shared" si="41"/>
        <v>0</v>
      </c>
      <c r="AH437" s="37">
        <f t="shared" si="42"/>
        <v>0</v>
      </c>
      <c r="AJ437" s="34"/>
      <c r="AK437" s="34"/>
    </row>
    <row r="438" spans="22:37" ht="16" x14ac:dyDescent="0.4">
      <c r="V438" s="97"/>
      <c r="W438" s="16"/>
      <c r="X438" s="89"/>
      <c r="Z438" s="50"/>
      <c r="AA438" s="50"/>
      <c r="AD438" s="48"/>
      <c r="AE438" s="48">
        <f t="shared" si="40"/>
        <v>0</v>
      </c>
      <c r="AF438" s="16"/>
      <c r="AG438" s="72">
        <f t="shared" si="41"/>
        <v>0</v>
      </c>
      <c r="AH438" s="37">
        <f t="shared" si="42"/>
        <v>0</v>
      </c>
      <c r="AJ438" s="34"/>
      <c r="AK438" s="34"/>
    </row>
    <row r="439" spans="22:37" ht="16" x14ac:dyDescent="0.4">
      <c r="V439" s="97"/>
      <c r="W439" s="16"/>
      <c r="X439" s="89"/>
      <c r="Z439" s="50"/>
      <c r="AA439" s="50"/>
      <c r="AD439" s="48"/>
      <c r="AE439" s="48">
        <f t="shared" si="40"/>
        <v>0</v>
      </c>
      <c r="AF439" s="16"/>
      <c r="AG439" s="72">
        <f t="shared" si="41"/>
        <v>0</v>
      </c>
      <c r="AH439" s="37">
        <f t="shared" si="42"/>
        <v>0</v>
      </c>
      <c r="AJ439" s="34"/>
      <c r="AK439" s="34"/>
    </row>
    <row r="440" spans="22:37" ht="16" x14ac:dyDescent="0.4">
      <c r="V440" s="97"/>
      <c r="W440" s="16"/>
      <c r="X440" s="89"/>
      <c r="Z440" s="50"/>
      <c r="AA440" s="50"/>
      <c r="AD440" s="48"/>
      <c r="AE440" s="48">
        <f t="shared" si="40"/>
        <v>0</v>
      </c>
      <c r="AF440" s="16"/>
      <c r="AG440" s="72">
        <f t="shared" si="41"/>
        <v>0</v>
      </c>
      <c r="AH440" s="37">
        <f t="shared" si="42"/>
        <v>0</v>
      </c>
      <c r="AJ440" s="34"/>
      <c r="AK440" s="34"/>
    </row>
    <row r="441" spans="22:37" ht="16" x14ac:dyDescent="0.4">
      <c r="V441" s="97"/>
      <c r="W441" s="16"/>
      <c r="X441" s="89"/>
      <c r="Z441" s="50"/>
      <c r="AA441" s="50"/>
      <c r="AD441" s="48"/>
      <c r="AE441" s="48">
        <f t="shared" si="40"/>
        <v>0</v>
      </c>
      <c r="AF441" s="16"/>
      <c r="AG441" s="72">
        <f t="shared" si="41"/>
        <v>0</v>
      </c>
      <c r="AH441" s="37">
        <f t="shared" si="42"/>
        <v>0</v>
      </c>
      <c r="AJ441" s="34"/>
      <c r="AK441" s="34"/>
    </row>
    <row r="442" spans="22:37" ht="16" x14ac:dyDescent="0.4">
      <c r="V442" s="97"/>
      <c r="W442" s="16"/>
      <c r="X442" s="89"/>
      <c r="Z442" s="50"/>
      <c r="AA442" s="50"/>
      <c r="AD442" s="48"/>
      <c r="AE442" s="48">
        <f t="shared" si="40"/>
        <v>0</v>
      </c>
      <c r="AF442" s="16"/>
      <c r="AG442" s="72">
        <f t="shared" si="41"/>
        <v>0</v>
      </c>
      <c r="AH442" s="37">
        <f t="shared" si="42"/>
        <v>0</v>
      </c>
      <c r="AJ442" s="34"/>
      <c r="AK442" s="34"/>
    </row>
    <row r="443" spans="22:37" ht="16" x14ac:dyDescent="0.4">
      <c r="V443" s="97"/>
      <c r="W443" s="16"/>
      <c r="X443" s="89"/>
      <c r="Z443" s="50"/>
      <c r="AA443" s="50"/>
      <c r="AD443" s="48"/>
      <c r="AE443" s="48">
        <f t="shared" si="40"/>
        <v>0</v>
      </c>
      <c r="AF443" s="16"/>
      <c r="AG443" s="72">
        <f t="shared" si="41"/>
        <v>0</v>
      </c>
      <c r="AH443" s="37">
        <f t="shared" si="42"/>
        <v>0</v>
      </c>
      <c r="AJ443" s="34"/>
      <c r="AK443" s="34"/>
    </row>
    <row r="444" spans="22:37" ht="16" x14ac:dyDescent="0.4">
      <c r="V444" s="97"/>
      <c r="W444" s="16"/>
      <c r="X444" s="89"/>
      <c r="Z444" s="50"/>
      <c r="AA444" s="50"/>
      <c r="AD444" s="48"/>
      <c r="AE444" s="48">
        <f t="shared" si="40"/>
        <v>0</v>
      </c>
      <c r="AF444" s="16"/>
      <c r="AG444" s="72">
        <f t="shared" si="41"/>
        <v>0</v>
      </c>
      <c r="AH444" s="37">
        <f t="shared" si="42"/>
        <v>0</v>
      </c>
      <c r="AJ444" s="34"/>
      <c r="AK444" s="34"/>
    </row>
    <row r="445" spans="22:37" ht="16" x14ac:dyDescent="0.4">
      <c r="V445" s="97"/>
      <c r="W445" s="16"/>
      <c r="X445" s="89"/>
      <c r="Z445" s="50"/>
      <c r="AA445" s="50"/>
      <c r="AD445" s="48"/>
      <c r="AE445" s="48">
        <f t="shared" si="40"/>
        <v>0</v>
      </c>
      <c r="AF445" s="16"/>
      <c r="AG445" s="72">
        <f t="shared" si="41"/>
        <v>0</v>
      </c>
      <c r="AH445" s="37">
        <f t="shared" si="42"/>
        <v>0</v>
      </c>
      <c r="AJ445" s="34"/>
      <c r="AK445" s="34"/>
    </row>
    <row r="446" spans="22:37" ht="16" x14ac:dyDescent="0.4">
      <c r="V446" s="97"/>
      <c r="W446" s="16"/>
      <c r="X446" s="89"/>
      <c r="Z446" s="50"/>
      <c r="AA446" s="50"/>
      <c r="AD446" s="48"/>
      <c r="AE446" s="48">
        <f t="shared" si="40"/>
        <v>0</v>
      </c>
      <c r="AF446" s="16"/>
      <c r="AG446" s="72">
        <f t="shared" si="41"/>
        <v>0</v>
      </c>
      <c r="AH446" s="37">
        <f t="shared" si="42"/>
        <v>0</v>
      </c>
      <c r="AJ446" s="34"/>
      <c r="AK446" s="34"/>
    </row>
    <row r="447" spans="22:37" ht="16" x14ac:dyDescent="0.4">
      <c r="V447" s="97"/>
      <c r="W447" s="16"/>
      <c r="X447" s="89"/>
      <c r="Z447" s="50"/>
      <c r="AA447" s="50"/>
      <c r="AD447" s="48"/>
      <c r="AE447" s="48">
        <f t="shared" si="40"/>
        <v>0</v>
      </c>
      <c r="AF447" s="16"/>
      <c r="AG447" s="72">
        <f t="shared" si="41"/>
        <v>0</v>
      </c>
      <c r="AH447" s="37">
        <f t="shared" si="42"/>
        <v>0</v>
      </c>
      <c r="AJ447" s="34"/>
      <c r="AK447" s="34"/>
    </row>
    <row r="448" spans="22:37" ht="16" x14ac:dyDescent="0.4">
      <c r="V448" s="97"/>
      <c r="W448" s="16"/>
      <c r="X448" s="89"/>
      <c r="Z448" s="50"/>
      <c r="AA448" s="50"/>
      <c r="AD448" s="48"/>
      <c r="AE448" s="48">
        <f t="shared" si="40"/>
        <v>0</v>
      </c>
      <c r="AF448" s="16"/>
      <c r="AG448" s="72">
        <f t="shared" si="41"/>
        <v>0</v>
      </c>
      <c r="AH448" s="37">
        <f t="shared" si="42"/>
        <v>0</v>
      </c>
      <c r="AJ448" s="34"/>
      <c r="AK448" s="34"/>
    </row>
    <row r="449" spans="22:37" ht="16" x14ac:dyDescent="0.4">
      <c r="V449" s="97"/>
      <c r="W449" s="16"/>
      <c r="X449" s="89"/>
      <c r="Z449" s="50"/>
      <c r="AA449" s="50"/>
      <c r="AD449" s="48"/>
      <c r="AE449" s="48">
        <f t="shared" si="40"/>
        <v>0</v>
      </c>
      <c r="AF449" s="16"/>
      <c r="AG449" s="72">
        <f t="shared" si="41"/>
        <v>0</v>
      </c>
      <c r="AH449" s="37">
        <f t="shared" si="42"/>
        <v>0</v>
      </c>
      <c r="AJ449" s="34"/>
      <c r="AK449" s="34"/>
    </row>
    <row r="450" spans="22:37" ht="16" x14ac:dyDescent="0.4">
      <c r="V450" s="97"/>
      <c r="W450" s="16"/>
      <c r="X450" s="89"/>
      <c r="Z450" s="50"/>
      <c r="AA450" s="50"/>
      <c r="AD450" s="48"/>
      <c r="AE450" s="48">
        <f t="shared" si="40"/>
        <v>0</v>
      </c>
      <c r="AF450" s="16"/>
      <c r="AG450" s="72">
        <f t="shared" si="41"/>
        <v>0</v>
      </c>
      <c r="AH450" s="37">
        <f t="shared" si="42"/>
        <v>0</v>
      </c>
      <c r="AJ450" s="34"/>
      <c r="AK450" s="34"/>
    </row>
    <row r="451" spans="22:37" ht="16" x14ac:dyDescent="0.4">
      <c r="V451" s="97"/>
      <c r="W451" s="16"/>
      <c r="X451" s="89"/>
      <c r="Z451" s="50"/>
      <c r="AA451" s="50"/>
      <c r="AD451" s="48"/>
      <c r="AE451" s="48">
        <f t="shared" si="40"/>
        <v>0</v>
      </c>
      <c r="AF451" s="16"/>
      <c r="AG451" s="72">
        <f t="shared" si="41"/>
        <v>0</v>
      </c>
      <c r="AH451" s="37">
        <f t="shared" si="42"/>
        <v>0</v>
      </c>
      <c r="AJ451" s="34"/>
      <c r="AK451" s="34"/>
    </row>
    <row r="452" spans="22:37" ht="16" x14ac:dyDescent="0.4">
      <c r="V452" s="97"/>
      <c r="W452" s="16"/>
      <c r="X452" s="89"/>
      <c r="Z452" s="50"/>
      <c r="AA452" s="50"/>
      <c r="AD452" s="48"/>
      <c r="AE452" s="48">
        <f t="shared" si="40"/>
        <v>0</v>
      </c>
      <c r="AF452" s="16"/>
      <c r="AG452" s="72">
        <f t="shared" si="41"/>
        <v>0</v>
      </c>
      <c r="AH452" s="37">
        <f t="shared" si="42"/>
        <v>0</v>
      </c>
      <c r="AJ452" s="34"/>
      <c r="AK452" s="34"/>
    </row>
    <row r="453" spans="22:37" ht="16" x14ac:dyDescent="0.4">
      <c r="V453" s="97"/>
      <c r="W453" s="16"/>
      <c r="X453" s="89"/>
      <c r="Z453" s="50"/>
      <c r="AA453" s="50"/>
      <c r="AD453" s="48"/>
      <c r="AE453" s="48">
        <f t="shared" ref="AE453:AE483" si="43">AD453/1000</f>
        <v>0</v>
      </c>
      <c r="AF453" s="16"/>
      <c r="AG453" s="72">
        <f t="shared" si="41"/>
        <v>0</v>
      </c>
      <c r="AH453" s="37">
        <f t="shared" si="42"/>
        <v>0</v>
      </c>
      <c r="AJ453" s="34"/>
      <c r="AK453" s="34"/>
    </row>
    <row r="454" spans="22:37" ht="16" x14ac:dyDescent="0.4">
      <c r="V454" s="97"/>
      <c r="W454" s="16"/>
      <c r="X454" s="89"/>
      <c r="Z454" s="50"/>
      <c r="AA454" s="50"/>
      <c r="AD454" s="48"/>
      <c r="AE454" s="48">
        <f t="shared" si="43"/>
        <v>0</v>
      </c>
      <c r="AF454" s="16"/>
      <c r="AG454" s="72">
        <f t="shared" ref="AG454:AG455" si="44">IF($AF454&gt;14,14,$AF454)</f>
        <v>0</v>
      </c>
      <c r="AH454" s="37">
        <f t="shared" ref="AH454:AH487" si="45">AE454*AG454/14</f>
        <v>0</v>
      </c>
      <c r="AJ454" s="34"/>
      <c r="AK454" s="34"/>
    </row>
    <row r="455" spans="22:37" ht="16" x14ac:dyDescent="0.4">
      <c r="V455" s="97"/>
      <c r="X455" s="89"/>
      <c r="Z455" s="50"/>
      <c r="AA455" s="50"/>
      <c r="AD455" s="37"/>
      <c r="AE455" s="48">
        <f t="shared" si="43"/>
        <v>0</v>
      </c>
      <c r="AG455" s="72">
        <f t="shared" si="44"/>
        <v>0</v>
      </c>
      <c r="AH455" s="37">
        <f t="shared" si="45"/>
        <v>0</v>
      </c>
      <c r="AJ455" s="34"/>
      <c r="AK455" s="34"/>
    </row>
    <row r="456" spans="22:37" x14ac:dyDescent="0.35">
      <c r="AE456" s="48">
        <f t="shared" si="43"/>
        <v>0</v>
      </c>
      <c r="AH456" s="37">
        <f t="shared" si="45"/>
        <v>0</v>
      </c>
      <c r="AJ456" s="34"/>
      <c r="AK456" s="34"/>
    </row>
    <row r="457" spans="22:37" x14ac:dyDescent="0.35">
      <c r="AE457" s="48">
        <f t="shared" si="43"/>
        <v>0</v>
      </c>
      <c r="AH457" s="37">
        <f t="shared" si="45"/>
        <v>0</v>
      </c>
      <c r="AJ457" s="34"/>
      <c r="AK457" s="34"/>
    </row>
    <row r="458" spans="22:37" x14ac:dyDescent="0.35">
      <c r="AE458" s="48">
        <f t="shared" si="43"/>
        <v>0</v>
      </c>
      <c r="AH458" s="37">
        <f t="shared" si="45"/>
        <v>0</v>
      </c>
      <c r="AJ458" s="34"/>
      <c r="AK458" s="34"/>
    </row>
    <row r="459" spans="22:37" x14ac:dyDescent="0.35">
      <c r="AE459" s="48">
        <f t="shared" si="43"/>
        <v>0</v>
      </c>
      <c r="AH459" s="37">
        <f t="shared" si="45"/>
        <v>0</v>
      </c>
      <c r="AJ459" s="34"/>
      <c r="AK459" s="34"/>
    </row>
    <row r="460" spans="22:37" x14ac:dyDescent="0.35">
      <c r="AE460" s="48">
        <f t="shared" si="43"/>
        <v>0</v>
      </c>
      <c r="AH460" s="37">
        <f t="shared" si="45"/>
        <v>0</v>
      </c>
      <c r="AJ460" s="34"/>
      <c r="AK460" s="34"/>
    </row>
    <row r="461" spans="22:37" x14ac:dyDescent="0.35">
      <c r="AE461" s="48">
        <f t="shared" si="43"/>
        <v>0</v>
      </c>
      <c r="AH461" s="37">
        <f t="shared" si="45"/>
        <v>0</v>
      </c>
      <c r="AJ461" s="34"/>
      <c r="AK461" s="34"/>
    </row>
    <row r="462" spans="22:37" x14ac:dyDescent="0.35">
      <c r="AE462" s="48">
        <f t="shared" si="43"/>
        <v>0</v>
      </c>
      <c r="AH462" s="37">
        <f t="shared" si="45"/>
        <v>0</v>
      </c>
      <c r="AJ462" s="34"/>
      <c r="AK462" s="34"/>
    </row>
    <row r="463" spans="22:37" x14ac:dyDescent="0.35">
      <c r="AE463" s="48">
        <f t="shared" si="43"/>
        <v>0</v>
      </c>
      <c r="AH463" s="37">
        <f t="shared" si="45"/>
        <v>0</v>
      </c>
      <c r="AJ463" s="34"/>
      <c r="AK463" s="34"/>
    </row>
    <row r="464" spans="22:37" x14ac:dyDescent="0.35">
      <c r="AE464" s="48">
        <f t="shared" si="43"/>
        <v>0</v>
      </c>
      <c r="AH464" s="37">
        <f t="shared" si="45"/>
        <v>0</v>
      </c>
      <c r="AJ464" s="34"/>
      <c r="AK464" s="34"/>
    </row>
    <row r="465" spans="31:37" x14ac:dyDescent="0.35">
      <c r="AE465" s="48">
        <f t="shared" si="43"/>
        <v>0</v>
      </c>
      <c r="AH465" s="37">
        <f t="shared" si="45"/>
        <v>0</v>
      </c>
      <c r="AJ465" s="34"/>
      <c r="AK465" s="34"/>
    </row>
    <row r="466" spans="31:37" x14ac:dyDescent="0.35">
      <c r="AE466" s="48">
        <f t="shared" si="43"/>
        <v>0</v>
      </c>
      <c r="AH466" s="37">
        <f t="shared" si="45"/>
        <v>0</v>
      </c>
      <c r="AJ466" s="34"/>
      <c r="AK466" s="34"/>
    </row>
    <row r="467" spans="31:37" x14ac:dyDescent="0.35">
      <c r="AE467" s="48">
        <f t="shared" si="43"/>
        <v>0</v>
      </c>
      <c r="AH467" s="37">
        <f t="shared" si="45"/>
        <v>0</v>
      </c>
      <c r="AJ467" s="34"/>
      <c r="AK467" s="34"/>
    </row>
    <row r="468" spans="31:37" x14ac:dyDescent="0.35">
      <c r="AE468" s="48">
        <f t="shared" si="43"/>
        <v>0</v>
      </c>
      <c r="AH468" s="37">
        <f t="shared" si="45"/>
        <v>0</v>
      </c>
      <c r="AJ468" s="34"/>
      <c r="AK468" s="34"/>
    </row>
    <row r="469" spans="31:37" x14ac:dyDescent="0.35">
      <c r="AE469" s="48">
        <f t="shared" si="43"/>
        <v>0</v>
      </c>
      <c r="AH469" s="37">
        <f t="shared" si="45"/>
        <v>0</v>
      </c>
      <c r="AJ469" s="34"/>
      <c r="AK469" s="34"/>
    </row>
    <row r="470" spans="31:37" x14ac:dyDescent="0.35">
      <c r="AE470" s="48">
        <f t="shared" si="43"/>
        <v>0</v>
      </c>
      <c r="AH470" s="37">
        <f t="shared" si="45"/>
        <v>0</v>
      </c>
      <c r="AJ470" s="34"/>
      <c r="AK470" s="34"/>
    </row>
    <row r="471" spans="31:37" x14ac:dyDescent="0.35">
      <c r="AE471" s="48">
        <f t="shared" si="43"/>
        <v>0</v>
      </c>
      <c r="AH471" s="37">
        <f t="shared" si="45"/>
        <v>0</v>
      </c>
      <c r="AJ471" s="34"/>
      <c r="AK471" s="34"/>
    </row>
    <row r="472" spans="31:37" x14ac:dyDescent="0.35">
      <c r="AE472" s="48">
        <f t="shared" si="43"/>
        <v>0</v>
      </c>
      <c r="AH472" s="37">
        <f t="shared" si="45"/>
        <v>0</v>
      </c>
      <c r="AJ472" s="34"/>
      <c r="AK472" s="34"/>
    </row>
    <row r="473" spans="31:37" x14ac:dyDescent="0.35">
      <c r="AE473" s="48">
        <f t="shared" si="43"/>
        <v>0</v>
      </c>
      <c r="AH473" s="37">
        <f t="shared" si="45"/>
        <v>0</v>
      </c>
      <c r="AJ473" s="34"/>
      <c r="AK473" s="34"/>
    </row>
    <row r="474" spans="31:37" x14ac:dyDescent="0.35">
      <c r="AE474" s="48">
        <f t="shared" si="43"/>
        <v>0</v>
      </c>
      <c r="AH474" s="37">
        <f t="shared" si="45"/>
        <v>0</v>
      </c>
      <c r="AJ474" s="34"/>
      <c r="AK474" s="34"/>
    </row>
    <row r="475" spans="31:37" x14ac:dyDescent="0.35">
      <c r="AE475" s="48">
        <f t="shared" si="43"/>
        <v>0</v>
      </c>
      <c r="AH475" s="37">
        <f t="shared" si="45"/>
        <v>0</v>
      </c>
      <c r="AJ475" s="34"/>
      <c r="AK475" s="34"/>
    </row>
    <row r="476" spans="31:37" x14ac:dyDescent="0.35">
      <c r="AE476" s="48">
        <f t="shared" si="43"/>
        <v>0</v>
      </c>
      <c r="AH476" s="37">
        <f t="shared" si="45"/>
        <v>0</v>
      </c>
      <c r="AJ476" s="34"/>
      <c r="AK476" s="34"/>
    </row>
    <row r="477" spans="31:37" x14ac:dyDescent="0.35">
      <c r="AE477" s="48">
        <f t="shared" si="43"/>
        <v>0</v>
      </c>
      <c r="AH477" s="37">
        <f t="shared" si="45"/>
        <v>0</v>
      </c>
      <c r="AJ477" s="34"/>
      <c r="AK477" s="34"/>
    </row>
    <row r="478" spans="31:37" x14ac:dyDescent="0.35">
      <c r="AE478" s="48">
        <f t="shared" si="43"/>
        <v>0</v>
      </c>
      <c r="AH478" s="37">
        <f t="shared" si="45"/>
        <v>0</v>
      </c>
      <c r="AJ478" s="34"/>
      <c r="AK478" s="34"/>
    </row>
    <row r="479" spans="31:37" x14ac:dyDescent="0.35">
      <c r="AE479" s="48">
        <f t="shared" si="43"/>
        <v>0</v>
      </c>
      <c r="AH479" s="37">
        <f t="shared" si="45"/>
        <v>0</v>
      </c>
      <c r="AJ479" s="34"/>
      <c r="AK479" s="34"/>
    </row>
    <row r="480" spans="31:37" x14ac:dyDescent="0.35">
      <c r="AE480" s="48">
        <f t="shared" si="43"/>
        <v>0</v>
      </c>
      <c r="AH480" s="37">
        <f t="shared" si="45"/>
        <v>0</v>
      </c>
      <c r="AJ480" s="34"/>
      <c r="AK480" s="34"/>
    </row>
    <row r="481" spans="31:37" x14ac:dyDescent="0.35">
      <c r="AE481" s="48">
        <f t="shared" si="43"/>
        <v>0</v>
      </c>
      <c r="AH481" s="37">
        <f t="shared" si="45"/>
        <v>0</v>
      </c>
      <c r="AJ481" s="34"/>
      <c r="AK481" s="34"/>
    </row>
    <row r="482" spans="31:37" x14ac:dyDescent="0.35">
      <c r="AE482" s="48">
        <f t="shared" si="43"/>
        <v>0</v>
      </c>
      <c r="AH482" s="37">
        <f t="shared" si="45"/>
        <v>0</v>
      </c>
      <c r="AJ482" s="34"/>
      <c r="AK482" s="34"/>
    </row>
    <row r="483" spans="31:37" x14ac:dyDescent="0.35">
      <c r="AE483" s="48">
        <f t="shared" si="43"/>
        <v>0</v>
      </c>
      <c r="AH483" s="37">
        <f t="shared" si="45"/>
        <v>0</v>
      </c>
      <c r="AJ483" s="34"/>
      <c r="AK483" s="34"/>
    </row>
    <row r="484" spans="31:37" x14ac:dyDescent="0.35">
      <c r="AH484" s="37">
        <f t="shared" si="45"/>
        <v>0</v>
      </c>
      <c r="AJ484" s="34"/>
      <c r="AK484" s="34"/>
    </row>
    <row r="485" spans="31:37" x14ac:dyDescent="0.35">
      <c r="AH485" s="37">
        <f t="shared" si="45"/>
        <v>0</v>
      </c>
      <c r="AJ485" s="34"/>
      <c r="AK485" s="34"/>
    </row>
    <row r="486" spans="31:37" x14ac:dyDescent="0.35">
      <c r="AH486" s="37">
        <f t="shared" si="45"/>
        <v>0</v>
      </c>
      <c r="AJ486" s="34"/>
      <c r="AK486" s="34"/>
    </row>
    <row r="487" spans="31:37" x14ac:dyDescent="0.35">
      <c r="AH487" s="37">
        <f t="shared" si="45"/>
        <v>0</v>
      </c>
      <c r="AJ487" s="34"/>
      <c r="AK487" s="34"/>
    </row>
    <row r="488" spans="31:37" x14ac:dyDescent="0.35">
      <c r="AJ488" s="34"/>
      <c r="AK488" s="34"/>
    </row>
    <row r="489" spans="31:37" x14ac:dyDescent="0.35">
      <c r="AJ489" s="34"/>
      <c r="AK489" s="34"/>
    </row>
    <row r="490" spans="31:37" x14ac:dyDescent="0.35">
      <c r="AJ490" s="34"/>
      <c r="AK490" s="34"/>
    </row>
    <row r="491" spans="31:37" x14ac:dyDescent="0.35">
      <c r="AJ491" s="34"/>
      <c r="AK491" s="34"/>
    </row>
    <row r="492" spans="31:37" x14ac:dyDescent="0.35">
      <c r="AJ492" s="34"/>
      <c r="AK492" s="34"/>
    </row>
    <row r="493" spans="31:37" x14ac:dyDescent="0.35">
      <c r="AJ493" s="34"/>
      <c r="AK493" s="34"/>
    </row>
    <row r="494" spans="31:37" x14ac:dyDescent="0.35">
      <c r="AJ494" s="34"/>
      <c r="AK494" s="34"/>
    </row>
    <row r="495" spans="31:37" x14ac:dyDescent="0.35">
      <c r="AJ495" s="34"/>
      <c r="AK495" s="34"/>
    </row>
    <row r="496" spans="31:37" x14ac:dyDescent="0.35">
      <c r="AJ496" s="34"/>
      <c r="AK496" s="34"/>
    </row>
    <row r="497" spans="36:37" x14ac:dyDescent="0.35">
      <c r="AJ497" s="34"/>
      <c r="AK497" s="34"/>
    </row>
    <row r="498" spans="36:37" x14ac:dyDescent="0.35">
      <c r="AJ498" s="34"/>
      <c r="AK498" s="34"/>
    </row>
    <row r="499" spans="36:37" x14ac:dyDescent="0.35">
      <c r="AJ499" s="34"/>
      <c r="AK499" s="34"/>
    </row>
    <row r="500" spans="36:37" x14ac:dyDescent="0.35">
      <c r="AJ500" s="34"/>
      <c r="AK500" s="34"/>
    </row>
    <row r="501" spans="36:37" x14ac:dyDescent="0.35">
      <c r="AJ501" s="34"/>
      <c r="AK501" s="34"/>
    </row>
    <row r="502" spans="36:37" x14ac:dyDescent="0.35">
      <c r="AJ502" s="34"/>
      <c r="AK502" s="34"/>
    </row>
    <row r="503" spans="36:37" x14ac:dyDescent="0.35">
      <c r="AJ503" s="34"/>
      <c r="AK503" s="34"/>
    </row>
    <row r="504" spans="36:37" x14ac:dyDescent="0.35">
      <c r="AJ504" s="34"/>
      <c r="AK504" s="34"/>
    </row>
    <row r="505" spans="36:37" x14ac:dyDescent="0.35">
      <c r="AJ505" s="34"/>
      <c r="AK505" s="34"/>
    </row>
    <row r="506" spans="36:37" x14ac:dyDescent="0.35">
      <c r="AJ506" s="34"/>
      <c r="AK506" s="34"/>
    </row>
    <row r="507" spans="36:37" x14ac:dyDescent="0.35">
      <c r="AJ507" s="34"/>
      <c r="AK507" s="34"/>
    </row>
    <row r="508" spans="36:37" x14ac:dyDescent="0.35">
      <c r="AJ508" s="34"/>
      <c r="AK508" s="34"/>
    </row>
    <row r="509" spans="36:37" x14ac:dyDescent="0.35">
      <c r="AJ509" s="34"/>
      <c r="AK509" s="34"/>
    </row>
    <row r="510" spans="36:37" x14ac:dyDescent="0.35">
      <c r="AJ510" s="34"/>
      <c r="AK510" s="34"/>
    </row>
    <row r="511" spans="36:37" x14ac:dyDescent="0.35">
      <c r="AJ511" s="34"/>
      <c r="AK511" s="34"/>
    </row>
    <row r="512" spans="36:37" x14ac:dyDescent="0.35">
      <c r="AJ512" s="34"/>
      <c r="AK512" s="34"/>
    </row>
    <row r="513" spans="36:37" x14ac:dyDescent="0.35">
      <c r="AJ513" s="34"/>
      <c r="AK513" s="34"/>
    </row>
    <row r="514" spans="36:37" x14ac:dyDescent="0.35">
      <c r="AJ514" s="34"/>
      <c r="AK514" s="34"/>
    </row>
    <row r="515" spans="36:37" x14ac:dyDescent="0.35">
      <c r="AJ515" s="34"/>
      <c r="AK515" s="34"/>
    </row>
    <row r="516" spans="36:37" x14ac:dyDescent="0.35">
      <c r="AJ516" s="34"/>
      <c r="AK516" s="34"/>
    </row>
    <row r="517" spans="36:37" x14ac:dyDescent="0.35">
      <c r="AJ517" s="34"/>
      <c r="AK517" s="34"/>
    </row>
    <row r="518" spans="36:37" x14ac:dyDescent="0.35">
      <c r="AJ518" s="34"/>
      <c r="AK518" s="34"/>
    </row>
    <row r="519" spans="36:37" x14ac:dyDescent="0.35">
      <c r="AJ519" s="34"/>
      <c r="AK519" s="34"/>
    </row>
    <row r="520" spans="36:37" x14ac:dyDescent="0.35">
      <c r="AJ520" s="34"/>
      <c r="AK520" s="34"/>
    </row>
    <row r="521" spans="36:37" x14ac:dyDescent="0.35">
      <c r="AJ521" s="34"/>
      <c r="AK521" s="34"/>
    </row>
    <row r="522" spans="36:37" x14ac:dyDescent="0.35">
      <c r="AJ522" s="34"/>
      <c r="AK522" s="34"/>
    </row>
    <row r="523" spans="36:37" x14ac:dyDescent="0.35">
      <c r="AJ523" s="34"/>
      <c r="AK523" s="34"/>
    </row>
    <row r="524" spans="36:37" x14ac:dyDescent="0.35">
      <c r="AJ524" s="34"/>
      <c r="AK524" s="34"/>
    </row>
    <row r="525" spans="36:37" x14ac:dyDescent="0.35">
      <c r="AJ525" s="34"/>
      <c r="AK525" s="34"/>
    </row>
    <row r="526" spans="36:37" x14ac:dyDescent="0.35">
      <c r="AJ526" s="34"/>
      <c r="AK526" s="34"/>
    </row>
    <row r="527" spans="36:37" x14ac:dyDescent="0.35">
      <c r="AJ527" s="34"/>
      <c r="AK527" s="34"/>
    </row>
    <row r="528" spans="36:37" x14ac:dyDescent="0.35">
      <c r="AJ528" s="34"/>
      <c r="AK528" s="34"/>
    </row>
    <row r="529" spans="36:37" x14ac:dyDescent="0.35">
      <c r="AJ529" s="34"/>
      <c r="AK529" s="34"/>
    </row>
    <row r="530" spans="36:37" x14ac:dyDescent="0.35">
      <c r="AJ530" s="34"/>
      <c r="AK530" s="34"/>
    </row>
    <row r="531" spans="36:37" x14ac:dyDescent="0.35">
      <c r="AJ531" s="34"/>
      <c r="AK531" s="34"/>
    </row>
    <row r="532" spans="36:37" x14ac:dyDescent="0.35">
      <c r="AJ532" s="34"/>
      <c r="AK532" s="34"/>
    </row>
    <row r="533" spans="36:37" x14ac:dyDescent="0.35">
      <c r="AJ533" s="34"/>
      <c r="AK533" s="34"/>
    </row>
    <row r="534" spans="36:37" x14ac:dyDescent="0.35">
      <c r="AJ534" s="34"/>
      <c r="AK534" s="34"/>
    </row>
    <row r="535" spans="36:37" x14ac:dyDescent="0.35">
      <c r="AJ535" s="34"/>
      <c r="AK535" s="34"/>
    </row>
    <row r="536" spans="36:37" x14ac:dyDescent="0.35">
      <c r="AJ536" s="34"/>
      <c r="AK536" s="34"/>
    </row>
    <row r="537" spans="36:37" x14ac:dyDescent="0.35">
      <c r="AJ537" s="34"/>
      <c r="AK537" s="34"/>
    </row>
    <row r="538" spans="36:37" x14ac:dyDescent="0.35">
      <c r="AJ538" s="34"/>
      <c r="AK538" s="34"/>
    </row>
    <row r="539" spans="36:37" x14ac:dyDescent="0.35">
      <c r="AJ539" s="34"/>
      <c r="AK539" s="34"/>
    </row>
    <row r="540" spans="36:37" x14ac:dyDescent="0.35">
      <c r="AJ540" s="34"/>
      <c r="AK540" s="34"/>
    </row>
    <row r="541" spans="36:37" x14ac:dyDescent="0.35">
      <c r="AJ541" s="34"/>
      <c r="AK541" s="34"/>
    </row>
    <row r="542" spans="36:37" x14ac:dyDescent="0.35">
      <c r="AJ542" s="34"/>
      <c r="AK542" s="34"/>
    </row>
    <row r="543" spans="36:37" x14ac:dyDescent="0.35">
      <c r="AJ543" s="34"/>
      <c r="AK543" s="34"/>
    </row>
    <row r="544" spans="36:37" x14ac:dyDescent="0.35">
      <c r="AJ544" s="34"/>
      <c r="AK544" s="34"/>
    </row>
    <row r="545" spans="36:37" x14ac:dyDescent="0.35">
      <c r="AJ545" s="34"/>
      <c r="AK545" s="34"/>
    </row>
    <row r="546" spans="36:37" x14ac:dyDescent="0.35">
      <c r="AJ546" s="34"/>
      <c r="AK546" s="34"/>
    </row>
    <row r="547" spans="36:37" x14ac:dyDescent="0.35">
      <c r="AJ547" s="34"/>
      <c r="AK547" s="34"/>
    </row>
    <row r="548" spans="36:37" x14ac:dyDescent="0.35">
      <c r="AJ548" s="34"/>
      <c r="AK548" s="34"/>
    </row>
    <row r="549" spans="36:37" x14ac:dyDescent="0.35">
      <c r="AJ549" s="34"/>
      <c r="AK549" s="34"/>
    </row>
    <row r="550" spans="36:37" x14ac:dyDescent="0.35">
      <c r="AJ550" s="34"/>
      <c r="AK550" s="34"/>
    </row>
    <row r="551" spans="36:37" x14ac:dyDescent="0.35">
      <c r="AJ551" s="34"/>
      <c r="AK551" s="34"/>
    </row>
    <row r="552" spans="36:37" x14ac:dyDescent="0.35">
      <c r="AJ552" s="34"/>
      <c r="AK552" s="34"/>
    </row>
    <row r="553" spans="36:37" x14ac:dyDescent="0.35">
      <c r="AJ553" s="34"/>
      <c r="AK553" s="34"/>
    </row>
    <row r="554" spans="36:37" x14ac:dyDescent="0.35">
      <c r="AJ554" s="34"/>
      <c r="AK554" s="34"/>
    </row>
    <row r="555" spans="36:37" x14ac:dyDescent="0.35">
      <c r="AJ555" s="34"/>
      <c r="AK555" s="34"/>
    </row>
    <row r="556" spans="36:37" x14ac:dyDescent="0.35">
      <c r="AJ556" s="34"/>
      <c r="AK556" s="34"/>
    </row>
    <row r="557" spans="36:37" x14ac:dyDescent="0.35">
      <c r="AJ557" s="34"/>
      <c r="AK557" s="34"/>
    </row>
    <row r="558" spans="36:37" x14ac:dyDescent="0.35">
      <c r="AJ558" s="34"/>
      <c r="AK558" s="34"/>
    </row>
    <row r="559" spans="36:37" x14ac:dyDescent="0.35">
      <c r="AJ559" s="34"/>
      <c r="AK559" s="34"/>
    </row>
    <row r="560" spans="36:37" x14ac:dyDescent="0.35">
      <c r="AJ560" s="34"/>
      <c r="AK560" s="34"/>
    </row>
    <row r="561" spans="36:37" x14ac:dyDescent="0.35">
      <c r="AJ561" s="34"/>
      <c r="AK561" s="34"/>
    </row>
    <row r="562" spans="36:37" x14ac:dyDescent="0.35">
      <c r="AJ562" s="34"/>
      <c r="AK562" s="34"/>
    </row>
    <row r="563" spans="36:37" x14ac:dyDescent="0.35">
      <c r="AJ563" s="34"/>
      <c r="AK563" s="34"/>
    </row>
    <row r="564" spans="36:37" x14ac:dyDescent="0.35">
      <c r="AJ564" s="34"/>
      <c r="AK564" s="34"/>
    </row>
    <row r="565" spans="36:37" x14ac:dyDescent="0.35">
      <c r="AJ565" s="34"/>
      <c r="AK565" s="34"/>
    </row>
    <row r="566" spans="36:37" x14ac:dyDescent="0.35">
      <c r="AJ566" s="34"/>
      <c r="AK566" s="34"/>
    </row>
    <row r="567" spans="36:37" x14ac:dyDescent="0.35">
      <c r="AJ567" s="34"/>
      <c r="AK567" s="34"/>
    </row>
    <row r="568" spans="36:37" x14ac:dyDescent="0.35">
      <c r="AJ568" s="34"/>
      <c r="AK568" s="34"/>
    </row>
    <row r="569" spans="36:37" x14ac:dyDescent="0.35">
      <c r="AJ569" s="34"/>
      <c r="AK569" s="34"/>
    </row>
    <row r="570" spans="36:37" x14ac:dyDescent="0.35">
      <c r="AJ570" s="34"/>
      <c r="AK570" s="34"/>
    </row>
    <row r="571" spans="36:37" x14ac:dyDescent="0.35">
      <c r="AJ571" s="34"/>
      <c r="AK571" s="34"/>
    </row>
    <row r="572" spans="36:37" x14ac:dyDescent="0.35">
      <c r="AJ572" s="34"/>
      <c r="AK572" s="34"/>
    </row>
    <row r="573" spans="36:37" x14ac:dyDescent="0.35">
      <c r="AJ573" s="34"/>
      <c r="AK573" s="34"/>
    </row>
    <row r="574" spans="36:37" x14ac:dyDescent="0.35">
      <c r="AJ574" s="34"/>
      <c r="AK574" s="34"/>
    </row>
    <row r="575" spans="36:37" x14ac:dyDescent="0.35">
      <c r="AJ575" s="34"/>
      <c r="AK575" s="34"/>
    </row>
    <row r="576" spans="36:37" x14ac:dyDescent="0.35">
      <c r="AJ576" s="34"/>
      <c r="AK576" s="34"/>
    </row>
    <row r="577" spans="36:37" x14ac:dyDescent="0.35">
      <c r="AJ577" s="34"/>
      <c r="AK577" s="34"/>
    </row>
    <row r="578" spans="36:37" x14ac:dyDescent="0.35">
      <c r="AJ578" s="34"/>
      <c r="AK578" s="34"/>
    </row>
    <row r="579" spans="36:37" x14ac:dyDescent="0.35">
      <c r="AJ579" s="34"/>
      <c r="AK579" s="34"/>
    </row>
    <row r="580" spans="36:37" x14ac:dyDescent="0.35">
      <c r="AJ580" s="34"/>
      <c r="AK580" s="34"/>
    </row>
    <row r="581" spans="36:37" x14ac:dyDescent="0.35">
      <c r="AJ581" s="34"/>
      <c r="AK581" s="34"/>
    </row>
    <row r="582" spans="36:37" x14ac:dyDescent="0.35">
      <c r="AJ582" s="34"/>
      <c r="AK582" s="34"/>
    </row>
    <row r="583" spans="36:37" x14ac:dyDescent="0.35">
      <c r="AJ583" s="34"/>
      <c r="AK583" s="34"/>
    </row>
    <row r="584" spans="36:37" x14ac:dyDescent="0.35">
      <c r="AJ584" s="34"/>
      <c r="AK584" s="34"/>
    </row>
    <row r="585" spans="36:37" x14ac:dyDescent="0.35">
      <c r="AJ585" s="34"/>
      <c r="AK585" s="34"/>
    </row>
    <row r="586" spans="36:37" x14ac:dyDescent="0.35">
      <c r="AJ586" s="34"/>
      <c r="AK586" s="34"/>
    </row>
    <row r="587" spans="36:37" x14ac:dyDescent="0.35">
      <c r="AJ587" s="34"/>
      <c r="AK587" s="34"/>
    </row>
    <row r="588" spans="36:37" x14ac:dyDescent="0.35">
      <c r="AJ588" s="34"/>
      <c r="AK588" s="34"/>
    </row>
    <row r="589" spans="36:37" x14ac:dyDescent="0.35">
      <c r="AJ589" s="34"/>
      <c r="AK589" s="34"/>
    </row>
    <row r="590" spans="36:37" x14ac:dyDescent="0.35">
      <c r="AJ590" s="34"/>
      <c r="AK590" s="34"/>
    </row>
    <row r="591" spans="36:37" x14ac:dyDescent="0.35">
      <c r="AJ591" s="34"/>
      <c r="AK591" s="34"/>
    </row>
    <row r="592" spans="36:37" x14ac:dyDescent="0.35">
      <c r="AJ592" s="34"/>
      <c r="AK592" s="34"/>
    </row>
    <row r="593" spans="36:37" x14ac:dyDescent="0.35">
      <c r="AJ593" s="34"/>
      <c r="AK593" s="34"/>
    </row>
    <row r="594" spans="36:37" x14ac:dyDescent="0.35">
      <c r="AJ594" s="34"/>
      <c r="AK594" s="34"/>
    </row>
    <row r="595" spans="36:37" x14ac:dyDescent="0.35">
      <c r="AJ595" s="34"/>
      <c r="AK595" s="34"/>
    </row>
    <row r="596" spans="36:37" x14ac:dyDescent="0.35">
      <c r="AJ596" s="34"/>
      <c r="AK596" s="34"/>
    </row>
    <row r="597" spans="36:37" x14ac:dyDescent="0.35">
      <c r="AJ597" s="34"/>
      <c r="AK597" s="34"/>
    </row>
    <row r="598" spans="36:37" x14ac:dyDescent="0.35">
      <c r="AJ598" s="34"/>
      <c r="AK598" s="34"/>
    </row>
    <row r="599" spans="36:37" x14ac:dyDescent="0.35">
      <c r="AJ599" s="34"/>
      <c r="AK599" s="34"/>
    </row>
    <row r="600" spans="36:37" x14ac:dyDescent="0.35">
      <c r="AJ600" s="34"/>
      <c r="AK600" s="34"/>
    </row>
    <row r="601" spans="36:37" x14ac:dyDescent="0.35">
      <c r="AJ601" s="34"/>
      <c r="AK601" s="34"/>
    </row>
    <row r="602" spans="36:37" x14ac:dyDescent="0.35">
      <c r="AJ602" s="34"/>
      <c r="AK602" s="34"/>
    </row>
    <row r="603" spans="36:37" x14ac:dyDescent="0.35">
      <c r="AJ603" s="34"/>
      <c r="AK603" s="34"/>
    </row>
    <row r="604" spans="36:37" x14ac:dyDescent="0.35">
      <c r="AJ604" s="34"/>
      <c r="AK604" s="34"/>
    </row>
    <row r="605" spans="36:37" x14ac:dyDescent="0.35">
      <c r="AJ605" s="34"/>
      <c r="AK605" s="34"/>
    </row>
    <row r="606" spans="36:37" x14ac:dyDescent="0.35">
      <c r="AJ606" s="34"/>
      <c r="AK606" s="34"/>
    </row>
    <row r="607" spans="36:37" x14ac:dyDescent="0.35">
      <c r="AJ607" s="34"/>
      <c r="AK607" s="34"/>
    </row>
    <row r="608" spans="36:37" x14ac:dyDescent="0.35">
      <c r="AJ608" s="34"/>
      <c r="AK608" s="34"/>
    </row>
    <row r="609" spans="36:37" x14ac:dyDescent="0.35">
      <c r="AJ609" s="34"/>
      <c r="AK609" s="34"/>
    </row>
    <row r="610" spans="36:37" x14ac:dyDescent="0.35">
      <c r="AJ610" s="34"/>
      <c r="AK610" s="34"/>
    </row>
    <row r="611" spans="36:37" x14ac:dyDescent="0.35">
      <c r="AJ611" s="34"/>
      <c r="AK611" s="34"/>
    </row>
    <row r="612" spans="36:37" x14ac:dyDescent="0.35">
      <c r="AJ612" s="34"/>
      <c r="AK612" s="34"/>
    </row>
    <row r="613" spans="36:37" x14ac:dyDescent="0.35">
      <c r="AJ613" s="34"/>
      <c r="AK613" s="34"/>
    </row>
    <row r="614" spans="36:37" x14ac:dyDescent="0.35">
      <c r="AJ614" s="34"/>
      <c r="AK614" s="34"/>
    </row>
    <row r="615" spans="36:37" x14ac:dyDescent="0.35">
      <c r="AJ615" s="34"/>
      <c r="AK615" s="34"/>
    </row>
    <row r="616" spans="36:37" x14ac:dyDescent="0.35">
      <c r="AJ616" s="34"/>
      <c r="AK616" s="34"/>
    </row>
    <row r="617" spans="36:37" x14ac:dyDescent="0.35">
      <c r="AJ617" s="34"/>
      <c r="AK617" s="34"/>
    </row>
    <row r="618" spans="36:37" x14ac:dyDescent="0.35">
      <c r="AJ618" s="34"/>
      <c r="AK618" s="34"/>
    </row>
    <row r="619" spans="36:37" x14ac:dyDescent="0.35">
      <c r="AJ619" s="34"/>
      <c r="AK619" s="34"/>
    </row>
    <row r="620" spans="36:37" x14ac:dyDescent="0.35">
      <c r="AJ620" s="34"/>
      <c r="AK620" s="34"/>
    </row>
    <row r="621" spans="36:37" x14ac:dyDescent="0.35">
      <c r="AJ621" s="34"/>
      <c r="AK621" s="34"/>
    </row>
    <row r="622" spans="36:37" x14ac:dyDescent="0.35">
      <c r="AJ622" s="34"/>
      <c r="AK622" s="34"/>
    </row>
    <row r="623" spans="36:37" x14ac:dyDescent="0.35">
      <c r="AJ623" s="34"/>
      <c r="AK623" s="34"/>
    </row>
    <row r="624" spans="36:37" x14ac:dyDescent="0.35">
      <c r="AJ624" s="34"/>
      <c r="AK624" s="34"/>
    </row>
    <row r="625" spans="36:37" x14ac:dyDescent="0.35">
      <c r="AJ625" s="34"/>
      <c r="AK625" s="34"/>
    </row>
    <row r="626" spans="36:37" x14ac:dyDescent="0.35">
      <c r="AJ626" s="34"/>
      <c r="AK626" s="34"/>
    </row>
    <row r="627" spans="36:37" x14ac:dyDescent="0.35">
      <c r="AJ627" s="34"/>
      <c r="AK627" s="34"/>
    </row>
    <row r="628" spans="36:37" x14ac:dyDescent="0.35">
      <c r="AJ628" s="34"/>
      <c r="AK628" s="34"/>
    </row>
    <row r="629" spans="36:37" x14ac:dyDescent="0.35">
      <c r="AJ629" s="34"/>
      <c r="AK629" s="34"/>
    </row>
    <row r="630" spans="36:37" x14ac:dyDescent="0.35">
      <c r="AJ630" s="34"/>
      <c r="AK630" s="34"/>
    </row>
    <row r="631" spans="36:37" x14ac:dyDescent="0.35">
      <c r="AJ631" s="34"/>
      <c r="AK631" s="34"/>
    </row>
    <row r="632" spans="36:37" x14ac:dyDescent="0.35">
      <c r="AJ632" s="34"/>
      <c r="AK632" s="34"/>
    </row>
    <row r="633" spans="36:37" x14ac:dyDescent="0.35">
      <c r="AJ633" s="34"/>
      <c r="AK633" s="34"/>
    </row>
    <row r="634" spans="36:37" x14ac:dyDescent="0.35">
      <c r="AJ634" s="34"/>
      <c r="AK634" s="34"/>
    </row>
    <row r="635" spans="36:37" x14ac:dyDescent="0.35">
      <c r="AJ635" s="34"/>
      <c r="AK635" s="34"/>
    </row>
    <row r="636" spans="36:37" x14ac:dyDescent="0.35">
      <c r="AJ636" s="34"/>
      <c r="AK636" s="34"/>
    </row>
    <row r="637" spans="36:37" x14ac:dyDescent="0.35">
      <c r="AJ637" s="34"/>
      <c r="AK637" s="34"/>
    </row>
    <row r="638" spans="36:37" x14ac:dyDescent="0.35">
      <c r="AJ638" s="34"/>
      <c r="AK638" s="34"/>
    </row>
    <row r="639" spans="36:37" x14ac:dyDescent="0.35">
      <c r="AJ639" s="34"/>
      <c r="AK639" s="34"/>
    </row>
    <row r="640" spans="36:37" x14ac:dyDescent="0.35">
      <c r="AJ640" s="34"/>
      <c r="AK640" s="34"/>
    </row>
    <row r="641" spans="36:37" x14ac:dyDescent="0.35">
      <c r="AJ641" s="34"/>
      <c r="AK641" s="34"/>
    </row>
    <row r="642" spans="36:37" x14ac:dyDescent="0.35">
      <c r="AJ642" s="34"/>
      <c r="AK642" s="34"/>
    </row>
    <row r="643" spans="36:37" x14ac:dyDescent="0.35">
      <c r="AJ643" s="34"/>
      <c r="AK643" s="34"/>
    </row>
    <row r="644" spans="36:37" x14ac:dyDescent="0.35">
      <c r="AJ644" s="34"/>
      <c r="AK644" s="34"/>
    </row>
    <row r="645" spans="36:37" x14ac:dyDescent="0.35">
      <c r="AJ645" s="34"/>
      <c r="AK645" s="34"/>
    </row>
    <row r="646" spans="36:37" x14ac:dyDescent="0.35">
      <c r="AJ646" s="34"/>
      <c r="AK646" s="34"/>
    </row>
    <row r="647" spans="36:37" x14ac:dyDescent="0.35">
      <c r="AJ647" s="34"/>
      <c r="AK647" s="34"/>
    </row>
    <row r="648" spans="36:37" x14ac:dyDescent="0.35">
      <c r="AJ648" s="34"/>
      <c r="AK648" s="34"/>
    </row>
    <row r="649" spans="36:37" x14ac:dyDescent="0.35">
      <c r="AJ649" s="34"/>
      <c r="AK649" s="34"/>
    </row>
    <row r="650" spans="36:37" x14ac:dyDescent="0.35">
      <c r="AJ650" s="34"/>
      <c r="AK650" s="34"/>
    </row>
    <row r="651" spans="36:37" x14ac:dyDescent="0.35">
      <c r="AJ651" s="34"/>
      <c r="AK651" s="34"/>
    </row>
    <row r="652" spans="36:37" x14ac:dyDescent="0.35">
      <c r="AJ652" s="34"/>
      <c r="AK652" s="34"/>
    </row>
    <row r="653" spans="36:37" x14ac:dyDescent="0.35">
      <c r="AJ653" s="34"/>
      <c r="AK653" s="34"/>
    </row>
    <row r="654" spans="36:37" x14ac:dyDescent="0.35">
      <c r="AJ654" s="34"/>
      <c r="AK654" s="34"/>
    </row>
    <row r="655" spans="36:37" x14ac:dyDescent="0.35">
      <c r="AJ655" s="34"/>
      <c r="AK655" s="34"/>
    </row>
    <row r="656" spans="36:37" x14ac:dyDescent="0.35">
      <c r="AJ656" s="34"/>
      <c r="AK656" s="34"/>
    </row>
    <row r="657" spans="36:37" x14ac:dyDescent="0.35">
      <c r="AJ657" s="34"/>
      <c r="AK657" s="34"/>
    </row>
    <row r="658" spans="36:37" x14ac:dyDescent="0.35">
      <c r="AJ658" s="34"/>
      <c r="AK658" s="34"/>
    </row>
    <row r="659" spans="36:37" x14ac:dyDescent="0.35">
      <c r="AJ659" s="34"/>
      <c r="AK659" s="34"/>
    </row>
    <row r="660" spans="36:37" x14ac:dyDescent="0.35">
      <c r="AJ660" s="34"/>
      <c r="AK660" s="34"/>
    </row>
    <row r="661" spans="36:37" x14ac:dyDescent="0.35">
      <c r="AJ661" s="34"/>
      <c r="AK661" s="34"/>
    </row>
    <row r="662" spans="36:37" x14ac:dyDescent="0.35">
      <c r="AJ662" s="34"/>
      <c r="AK662" s="34"/>
    </row>
    <row r="663" spans="36:37" x14ac:dyDescent="0.35">
      <c r="AJ663" s="34"/>
      <c r="AK663" s="34"/>
    </row>
    <row r="664" spans="36:37" x14ac:dyDescent="0.35">
      <c r="AJ664" s="34"/>
      <c r="AK664" s="34"/>
    </row>
    <row r="665" spans="36:37" x14ac:dyDescent="0.35">
      <c r="AJ665" s="34"/>
      <c r="AK665" s="34"/>
    </row>
    <row r="666" spans="36:37" x14ac:dyDescent="0.35">
      <c r="AJ666" s="34"/>
      <c r="AK666" s="34"/>
    </row>
    <row r="667" spans="36:37" x14ac:dyDescent="0.35">
      <c r="AJ667" s="34"/>
      <c r="AK667" s="34"/>
    </row>
    <row r="668" spans="36:37" x14ac:dyDescent="0.35">
      <c r="AJ668" s="34"/>
      <c r="AK668" s="34"/>
    </row>
    <row r="669" spans="36:37" x14ac:dyDescent="0.35">
      <c r="AJ669" s="34"/>
      <c r="AK669" s="34"/>
    </row>
    <row r="670" spans="36:37" x14ac:dyDescent="0.35">
      <c r="AJ670" s="34"/>
      <c r="AK670" s="34"/>
    </row>
    <row r="671" spans="36:37" x14ac:dyDescent="0.35">
      <c r="AJ671" s="34"/>
      <c r="AK671" s="34"/>
    </row>
    <row r="672" spans="36:37" x14ac:dyDescent="0.35">
      <c r="AJ672" s="34"/>
      <c r="AK672" s="34"/>
    </row>
    <row r="673" spans="36:37" x14ac:dyDescent="0.35">
      <c r="AJ673" s="34"/>
      <c r="AK673" s="34"/>
    </row>
    <row r="674" spans="36:37" x14ac:dyDescent="0.35">
      <c r="AJ674" s="34"/>
      <c r="AK674" s="34"/>
    </row>
    <row r="675" spans="36:37" x14ac:dyDescent="0.35">
      <c r="AJ675" s="34"/>
      <c r="AK675" s="34"/>
    </row>
    <row r="676" spans="36:37" x14ac:dyDescent="0.35">
      <c r="AJ676" s="34"/>
      <c r="AK676" s="34"/>
    </row>
    <row r="677" spans="36:37" x14ac:dyDescent="0.35">
      <c r="AJ677" s="34"/>
      <c r="AK677" s="34"/>
    </row>
    <row r="678" spans="36:37" x14ac:dyDescent="0.35">
      <c r="AJ678" s="34"/>
      <c r="AK678" s="34"/>
    </row>
    <row r="679" spans="36:37" x14ac:dyDescent="0.35">
      <c r="AJ679" s="34"/>
      <c r="AK679" s="34"/>
    </row>
    <row r="680" spans="36:37" x14ac:dyDescent="0.35">
      <c r="AJ680" s="34"/>
      <c r="AK680" s="34"/>
    </row>
    <row r="681" spans="36:37" x14ac:dyDescent="0.35">
      <c r="AJ681" s="34"/>
      <c r="AK681" s="34"/>
    </row>
    <row r="682" spans="36:37" x14ac:dyDescent="0.35">
      <c r="AJ682" s="34"/>
      <c r="AK682" s="34"/>
    </row>
    <row r="683" spans="36:37" x14ac:dyDescent="0.35">
      <c r="AJ683" s="34"/>
      <c r="AK683" s="34"/>
    </row>
    <row r="684" spans="36:37" x14ac:dyDescent="0.35">
      <c r="AJ684" s="34"/>
      <c r="AK684" s="34"/>
    </row>
    <row r="685" spans="36:37" x14ac:dyDescent="0.35">
      <c r="AJ685" s="34"/>
      <c r="AK685" s="34"/>
    </row>
    <row r="686" spans="36:37" x14ac:dyDescent="0.35">
      <c r="AJ686" s="34"/>
      <c r="AK686" s="34"/>
    </row>
    <row r="687" spans="36:37" x14ac:dyDescent="0.35">
      <c r="AJ687" s="34"/>
      <c r="AK687" s="34"/>
    </row>
    <row r="688" spans="36:37" x14ac:dyDescent="0.35">
      <c r="AJ688" s="34"/>
      <c r="AK688" s="34"/>
    </row>
    <row r="689" spans="36:37" x14ac:dyDescent="0.35">
      <c r="AJ689" s="34"/>
      <c r="AK689" s="34"/>
    </row>
    <row r="690" spans="36:37" x14ac:dyDescent="0.35">
      <c r="AJ690" s="34"/>
      <c r="AK690" s="34"/>
    </row>
    <row r="691" spans="36:37" x14ac:dyDescent="0.35">
      <c r="AJ691" s="34"/>
      <c r="AK691" s="34"/>
    </row>
    <row r="692" spans="36:37" x14ac:dyDescent="0.35">
      <c r="AJ692" s="34"/>
      <c r="AK692" s="34"/>
    </row>
    <row r="693" spans="36:37" x14ac:dyDescent="0.35">
      <c r="AJ693" s="34"/>
      <c r="AK693" s="34"/>
    </row>
    <row r="694" spans="36:37" x14ac:dyDescent="0.35">
      <c r="AJ694" s="34"/>
      <c r="AK694" s="34"/>
    </row>
    <row r="695" spans="36:37" x14ac:dyDescent="0.35">
      <c r="AJ695" s="34"/>
      <c r="AK695" s="34"/>
    </row>
    <row r="696" spans="36:37" x14ac:dyDescent="0.35">
      <c r="AJ696" s="34"/>
      <c r="AK696" s="34"/>
    </row>
    <row r="697" spans="36:37" x14ac:dyDescent="0.35">
      <c r="AJ697" s="34"/>
      <c r="AK697" s="34"/>
    </row>
    <row r="698" spans="36:37" x14ac:dyDescent="0.35">
      <c r="AJ698" s="34"/>
      <c r="AK698" s="34"/>
    </row>
    <row r="699" spans="36:37" x14ac:dyDescent="0.35">
      <c r="AJ699" s="34"/>
      <c r="AK699" s="34"/>
    </row>
    <row r="700" spans="36:37" x14ac:dyDescent="0.35">
      <c r="AJ700" s="34"/>
      <c r="AK700" s="34"/>
    </row>
    <row r="701" spans="36:37" x14ac:dyDescent="0.35">
      <c r="AJ701" s="34"/>
      <c r="AK701" s="34"/>
    </row>
    <row r="702" spans="36:37" x14ac:dyDescent="0.35">
      <c r="AJ702" s="34"/>
      <c r="AK702" s="34"/>
    </row>
    <row r="703" spans="36:37" x14ac:dyDescent="0.35">
      <c r="AJ703" s="34"/>
      <c r="AK703" s="34"/>
    </row>
    <row r="704" spans="36:37" x14ac:dyDescent="0.35">
      <c r="AJ704" s="34"/>
      <c r="AK704" s="34"/>
    </row>
    <row r="705" spans="36:37" x14ac:dyDescent="0.35">
      <c r="AJ705" s="34"/>
      <c r="AK705" s="34"/>
    </row>
    <row r="706" spans="36:37" x14ac:dyDescent="0.35">
      <c r="AJ706" s="34"/>
      <c r="AK706" s="34"/>
    </row>
    <row r="707" spans="36:37" x14ac:dyDescent="0.35">
      <c r="AJ707" s="34"/>
      <c r="AK707" s="34"/>
    </row>
    <row r="708" spans="36:37" x14ac:dyDescent="0.35">
      <c r="AJ708" s="34"/>
      <c r="AK708" s="34"/>
    </row>
    <row r="709" spans="36:37" x14ac:dyDescent="0.35">
      <c r="AJ709" s="34"/>
      <c r="AK709" s="34"/>
    </row>
    <row r="710" spans="36:37" x14ac:dyDescent="0.35">
      <c r="AJ710" s="34"/>
      <c r="AK710" s="34"/>
    </row>
    <row r="711" spans="36:37" x14ac:dyDescent="0.35">
      <c r="AJ711" s="34"/>
      <c r="AK711" s="34"/>
    </row>
    <row r="712" spans="36:37" x14ac:dyDescent="0.35">
      <c r="AJ712" s="34"/>
      <c r="AK712" s="34"/>
    </row>
    <row r="713" spans="36:37" x14ac:dyDescent="0.35">
      <c r="AJ713" s="34"/>
      <c r="AK713" s="34"/>
    </row>
    <row r="714" spans="36:37" x14ac:dyDescent="0.35">
      <c r="AJ714" s="34"/>
      <c r="AK714" s="34"/>
    </row>
    <row r="715" spans="36:37" x14ac:dyDescent="0.35">
      <c r="AJ715" s="34"/>
      <c r="AK715" s="34"/>
    </row>
    <row r="716" spans="36:37" x14ac:dyDescent="0.35">
      <c r="AJ716" s="34"/>
      <c r="AK716" s="34"/>
    </row>
    <row r="717" spans="36:37" x14ac:dyDescent="0.35">
      <c r="AJ717" s="34"/>
      <c r="AK717" s="34"/>
    </row>
    <row r="718" spans="36:37" x14ac:dyDescent="0.35">
      <c r="AJ718" s="34"/>
      <c r="AK718" s="34"/>
    </row>
    <row r="719" spans="36:37" x14ac:dyDescent="0.35">
      <c r="AJ719" s="34"/>
      <c r="AK719" s="34"/>
    </row>
    <row r="720" spans="36:37" x14ac:dyDescent="0.35">
      <c r="AJ720" s="34"/>
      <c r="AK720" s="34"/>
    </row>
    <row r="721" spans="36:37" x14ac:dyDescent="0.35">
      <c r="AJ721" s="34"/>
      <c r="AK721" s="34"/>
    </row>
    <row r="722" spans="36:37" x14ac:dyDescent="0.35">
      <c r="AJ722" s="34"/>
      <c r="AK722" s="34"/>
    </row>
    <row r="723" spans="36:37" x14ac:dyDescent="0.35">
      <c r="AJ723" s="34"/>
      <c r="AK723" s="34"/>
    </row>
    <row r="724" spans="36:37" x14ac:dyDescent="0.35">
      <c r="AJ724" s="34"/>
      <c r="AK724" s="34"/>
    </row>
    <row r="725" spans="36:37" x14ac:dyDescent="0.35">
      <c r="AJ725" s="34"/>
      <c r="AK725" s="34"/>
    </row>
    <row r="726" spans="36:37" x14ac:dyDescent="0.35">
      <c r="AJ726" s="34"/>
      <c r="AK726" s="34"/>
    </row>
    <row r="727" spans="36:37" x14ac:dyDescent="0.35">
      <c r="AJ727" s="34"/>
      <c r="AK727" s="34"/>
    </row>
    <row r="728" spans="36:37" x14ac:dyDescent="0.35">
      <c r="AJ728" s="34"/>
      <c r="AK728" s="34"/>
    </row>
    <row r="729" spans="36:37" x14ac:dyDescent="0.35">
      <c r="AJ729" s="34"/>
      <c r="AK729" s="34"/>
    </row>
    <row r="730" spans="36:37" x14ac:dyDescent="0.35">
      <c r="AJ730" s="34"/>
      <c r="AK730" s="34"/>
    </row>
    <row r="731" spans="36:37" x14ac:dyDescent="0.35">
      <c r="AJ731" s="34"/>
      <c r="AK731" s="34"/>
    </row>
    <row r="732" spans="36:37" x14ac:dyDescent="0.35">
      <c r="AJ732" s="34"/>
      <c r="AK732" s="34"/>
    </row>
    <row r="733" spans="36:37" x14ac:dyDescent="0.35">
      <c r="AJ733" s="34"/>
      <c r="AK733" s="34"/>
    </row>
    <row r="734" spans="36:37" x14ac:dyDescent="0.35">
      <c r="AJ734" s="34"/>
      <c r="AK734" s="34"/>
    </row>
    <row r="735" spans="36:37" x14ac:dyDescent="0.35">
      <c r="AJ735" s="34"/>
      <c r="AK735" s="34"/>
    </row>
    <row r="736" spans="36:37" x14ac:dyDescent="0.35">
      <c r="AJ736" s="34"/>
      <c r="AK736" s="34"/>
    </row>
    <row r="737" spans="36:37" x14ac:dyDescent="0.35">
      <c r="AJ737" s="34"/>
      <c r="AK737" s="34"/>
    </row>
    <row r="738" spans="36:37" x14ac:dyDescent="0.35">
      <c r="AJ738" s="34"/>
      <c r="AK738" s="34"/>
    </row>
    <row r="739" spans="36:37" x14ac:dyDescent="0.35">
      <c r="AJ739" s="34"/>
      <c r="AK739" s="34"/>
    </row>
    <row r="740" spans="36:37" x14ac:dyDescent="0.35">
      <c r="AJ740" s="34"/>
      <c r="AK740" s="34"/>
    </row>
    <row r="741" spans="36:37" x14ac:dyDescent="0.35">
      <c r="AJ741" s="34"/>
      <c r="AK741" s="34"/>
    </row>
    <row r="742" spans="36:37" x14ac:dyDescent="0.35">
      <c r="AJ742" s="34"/>
      <c r="AK742" s="34"/>
    </row>
    <row r="743" spans="36:37" x14ac:dyDescent="0.35">
      <c r="AJ743" s="34"/>
      <c r="AK743" s="34"/>
    </row>
    <row r="744" spans="36:37" x14ac:dyDescent="0.35">
      <c r="AJ744" s="34"/>
      <c r="AK744" s="34"/>
    </row>
    <row r="745" spans="36:37" x14ac:dyDescent="0.35">
      <c r="AJ745" s="34"/>
      <c r="AK745" s="34"/>
    </row>
    <row r="746" spans="36:37" x14ac:dyDescent="0.35">
      <c r="AJ746" s="34"/>
      <c r="AK746" s="34"/>
    </row>
    <row r="747" spans="36:37" x14ac:dyDescent="0.35">
      <c r="AJ747" s="34"/>
      <c r="AK747" s="34"/>
    </row>
    <row r="748" spans="36:37" x14ac:dyDescent="0.35">
      <c r="AJ748" s="34"/>
      <c r="AK748" s="34"/>
    </row>
    <row r="749" spans="36:37" x14ac:dyDescent="0.35">
      <c r="AJ749" s="34"/>
      <c r="AK749" s="34"/>
    </row>
    <row r="750" spans="36:37" x14ac:dyDescent="0.35">
      <c r="AJ750" s="34"/>
      <c r="AK750" s="34"/>
    </row>
    <row r="751" spans="36:37" x14ac:dyDescent="0.35">
      <c r="AJ751" s="34"/>
      <c r="AK751" s="34"/>
    </row>
    <row r="752" spans="36:37" x14ac:dyDescent="0.35">
      <c r="AJ752" s="34"/>
      <c r="AK752" s="34"/>
    </row>
    <row r="753" spans="36:37" x14ac:dyDescent="0.35">
      <c r="AJ753" s="34"/>
      <c r="AK753" s="34"/>
    </row>
    <row r="754" spans="36:37" x14ac:dyDescent="0.35">
      <c r="AJ754" s="34"/>
      <c r="AK754" s="34"/>
    </row>
    <row r="755" spans="36:37" x14ac:dyDescent="0.35">
      <c r="AJ755" s="34"/>
      <c r="AK755" s="34"/>
    </row>
    <row r="756" spans="36:37" x14ac:dyDescent="0.35">
      <c r="AJ756" s="34"/>
      <c r="AK756" s="34"/>
    </row>
    <row r="757" spans="36:37" x14ac:dyDescent="0.35">
      <c r="AJ757" s="34"/>
      <c r="AK757" s="34"/>
    </row>
    <row r="758" spans="36:37" x14ac:dyDescent="0.35">
      <c r="AJ758" s="34"/>
      <c r="AK758" s="34"/>
    </row>
    <row r="759" spans="36:37" x14ac:dyDescent="0.35">
      <c r="AJ759" s="34"/>
      <c r="AK759" s="34"/>
    </row>
    <row r="760" spans="36:37" x14ac:dyDescent="0.35">
      <c r="AJ760" s="34"/>
      <c r="AK760" s="34"/>
    </row>
    <row r="761" spans="36:37" x14ac:dyDescent="0.35">
      <c r="AJ761" s="34"/>
      <c r="AK761" s="34"/>
    </row>
    <row r="762" spans="36:37" x14ac:dyDescent="0.35">
      <c r="AJ762" s="34"/>
      <c r="AK762" s="34"/>
    </row>
    <row r="763" spans="36:37" x14ac:dyDescent="0.35">
      <c r="AJ763" s="34"/>
      <c r="AK763" s="34"/>
    </row>
    <row r="764" spans="36:37" x14ac:dyDescent="0.35">
      <c r="AJ764" s="34"/>
      <c r="AK764" s="34"/>
    </row>
    <row r="765" spans="36:37" x14ac:dyDescent="0.35">
      <c r="AJ765" s="34"/>
      <c r="AK765" s="34"/>
    </row>
    <row r="766" spans="36:37" x14ac:dyDescent="0.35">
      <c r="AJ766" s="34"/>
      <c r="AK766" s="34"/>
    </row>
    <row r="767" spans="36:37" x14ac:dyDescent="0.35">
      <c r="AJ767" s="34"/>
      <c r="AK767" s="34"/>
    </row>
    <row r="768" spans="36:37" x14ac:dyDescent="0.35">
      <c r="AJ768" s="34"/>
      <c r="AK768" s="34"/>
    </row>
    <row r="769" spans="36:37" x14ac:dyDescent="0.35">
      <c r="AJ769" s="34"/>
      <c r="AK769" s="34"/>
    </row>
    <row r="770" spans="36:37" x14ac:dyDescent="0.35">
      <c r="AJ770" s="34"/>
      <c r="AK770" s="34"/>
    </row>
    <row r="771" spans="36:37" x14ac:dyDescent="0.35">
      <c r="AJ771" s="34"/>
      <c r="AK771" s="34"/>
    </row>
    <row r="772" spans="36:37" x14ac:dyDescent="0.35">
      <c r="AJ772" s="34"/>
      <c r="AK772" s="34"/>
    </row>
    <row r="773" spans="36:37" x14ac:dyDescent="0.35">
      <c r="AJ773" s="34"/>
      <c r="AK773" s="34"/>
    </row>
    <row r="774" spans="36:37" x14ac:dyDescent="0.35">
      <c r="AJ774" s="34"/>
      <c r="AK774" s="34"/>
    </row>
  </sheetData>
  <autoFilter ref="V4:BJ487" xr:uid="{F679762A-47DC-4E46-BA92-6E91B14CCD94}"/>
  <mergeCells count="16">
    <mergeCell ref="K8:K9"/>
    <mergeCell ref="B3:L4"/>
    <mergeCell ref="B5:L5"/>
    <mergeCell ref="B6:B9"/>
    <mergeCell ref="C6:F6"/>
    <mergeCell ref="G6:G9"/>
    <mergeCell ref="H6:I6"/>
    <mergeCell ref="J6:K7"/>
    <mergeCell ref="L6:L9"/>
    <mergeCell ref="C7:C9"/>
    <mergeCell ref="D7:D9"/>
    <mergeCell ref="E7:E9"/>
    <mergeCell ref="F7:F9"/>
    <mergeCell ref="H7:H9"/>
    <mergeCell ref="I7:I9"/>
    <mergeCell ref="J8:J9"/>
  </mergeCells>
  <conditionalFormatting sqref="W5:W99">
    <cfRule type="duplicateValues" dxfId="174" priority="50"/>
  </conditionalFormatting>
  <conditionalFormatting sqref="W100:W162">
    <cfRule type="duplicateValues" dxfId="173" priority="2"/>
  </conditionalFormatting>
  <conditionalFormatting sqref="W163:W193">
    <cfRule type="duplicateValues" dxfId="172" priority="5"/>
  </conditionalFormatting>
  <conditionalFormatting sqref="W194:W243">
    <cfRule type="duplicateValues" dxfId="171" priority="4"/>
  </conditionalFormatting>
  <conditionalFormatting sqref="W244:W300">
    <cfRule type="duplicateValues" dxfId="170" priority="1"/>
  </conditionalFormatting>
  <conditionalFormatting sqref="W301:W347">
    <cfRule type="duplicateValues" dxfId="169" priority="3"/>
  </conditionalFormatting>
  <conditionalFormatting sqref="W348:W396">
    <cfRule type="duplicateValues" dxfId="168" priority="7"/>
  </conditionalFormatting>
  <conditionalFormatting sqref="W397:W454">
    <cfRule type="duplicateValues" dxfId="167" priority="6"/>
  </conditionalFormatting>
  <conditionalFormatting sqref="W455">
    <cfRule type="duplicateValues" dxfId="166" priority="8"/>
  </conditionalFormatting>
  <conditionalFormatting sqref="W456:W1048576 W1:W4">
    <cfRule type="duplicateValues" dxfId="165" priority="9"/>
  </conditionalFormatting>
  <conditionalFormatting sqref="AK193:AK196 AK28:AK38 AK14 AK1:AK4 AK61:AK106 AK254:AK1048576">
    <cfRule type="duplicateValues" dxfId="164" priority="10"/>
  </conditionalFormatting>
  <conditionalFormatting sqref="AK14 AK254 AK193:AK196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330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1048576 AK14 AK1:AK4 AK193:AK196 AK254">
    <cfRule type="duplicateValues" dxfId="163" priority="46"/>
  </conditionalFormatting>
  <conditionalFormatting sqref="AK331:AK397 AK407:AK68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K402">
    <cfRule type="duplicateValues" dxfId="162" priority="39"/>
  </conditionalFormatting>
  <conditionalFormatting sqref="AK681:AK77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L402">
    <cfRule type="expression" dxfId="161" priority="37">
      <formula>MOD(ROW(),2)=0</formula>
    </cfRule>
  </conditionalFormatting>
  <conditionalFormatting sqref="AN16">
    <cfRule type="duplicateValues" dxfId="160" priority="40"/>
  </conditionalFormatting>
  <conditionalFormatting sqref="AP5:AP6 AP9:AP15">
    <cfRule type="duplicateValues" dxfId="159" priority="49"/>
  </conditionalFormatting>
  <conditionalFormatting sqref="AP68:AP142 AP5:AP6 AP17:AP21 AP23:AP63 AP65:AP66 AP145:AP147 AP254:AP330 AP237:AP251 AP9:AP15 AP149:AP229">
    <cfRule type="duplicateValues" dxfId="158" priority="48"/>
  </conditionalFormatting>
  <conditionalFormatting sqref="AP331:AP397">
    <cfRule type="duplicateValues" dxfId="157" priority="41"/>
  </conditionalFormatting>
  <conditionalFormatting sqref="AP398:AP402">
    <cfRule type="expression" dxfId="156" priority="38">
      <formula>MOD(ROW(),2)=0</formula>
    </cfRule>
  </conditionalFormatting>
  <conditionalFormatting sqref="AV5:AV6">
    <cfRule type="duplicateValues" dxfId="155" priority="36"/>
  </conditionalFormatting>
  <conditionalFormatting sqref="AV7:AV8">
    <cfRule type="duplicateValues" dxfId="154" priority="35"/>
  </conditionalFormatting>
  <conditionalFormatting sqref="AV9:AV10">
    <cfRule type="duplicateValues" dxfId="153" priority="34"/>
  </conditionalFormatting>
  <conditionalFormatting sqref="AV11:AV12">
    <cfRule type="duplicateValues" dxfId="152" priority="33"/>
  </conditionalFormatting>
  <conditionalFormatting sqref="AV13:AV30">
    <cfRule type="duplicateValues" dxfId="151" priority="32"/>
  </conditionalFormatting>
  <conditionalFormatting sqref="AV53:AV54 AV31:AV37">
    <cfRule type="duplicateValues" dxfId="150" priority="45"/>
  </conditionalFormatting>
  <conditionalFormatting sqref="AV55">
    <cfRule type="duplicateValues" dxfId="149" priority="23"/>
  </conditionalFormatting>
  <conditionalFormatting sqref="AV56">
    <cfRule type="duplicateValues" dxfId="148" priority="22"/>
  </conditionalFormatting>
  <conditionalFormatting sqref="AV57:AV58">
    <cfRule type="duplicateValues" dxfId="147" priority="21"/>
  </conditionalFormatting>
  <conditionalFormatting sqref="AV59:AV60">
    <cfRule type="duplicateValues" dxfId="146" priority="20"/>
  </conditionalFormatting>
  <conditionalFormatting sqref="AV61:AV62">
    <cfRule type="duplicateValues" dxfId="145" priority="19"/>
  </conditionalFormatting>
  <conditionalFormatting sqref="AV63">
    <cfRule type="duplicateValues" dxfId="144" priority="18"/>
  </conditionalFormatting>
  <conditionalFormatting sqref="AV64">
    <cfRule type="duplicateValues" dxfId="143" priority="17"/>
  </conditionalFormatting>
  <conditionalFormatting sqref="AV65:AV66">
    <cfRule type="duplicateValues" dxfId="142" priority="16"/>
  </conditionalFormatting>
  <conditionalFormatting sqref="AV67:AV68">
    <cfRule type="duplicateValues" dxfId="141" priority="15"/>
  </conditionalFormatting>
  <conditionalFormatting sqref="AV69">
    <cfRule type="duplicateValues" dxfId="140" priority="14"/>
  </conditionalFormatting>
  <conditionalFormatting sqref="AV70">
    <cfRule type="duplicateValues" dxfId="139" priority="13"/>
  </conditionalFormatting>
  <conditionalFormatting sqref="AV71">
    <cfRule type="duplicateValues" dxfId="138" priority="12"/>
  </conditionalFormatting>
  <conditionalFormatting sqref="AV72:AV73">
    <cfRule type="duplicateValues" dxfId="137" priority="24"/>
  </conditionalFormatting>
  <conditionalFormatting sqref="AV74">
    <cfRule type="duplicateValues" dxfId="136" priority="25"/>
  </conditionalFormatting>
  <conditionalFormatting sqref="AV75">
    <cfRule type="duplicateValues" dxfId="135" priority="26"/>
  </conditionalFormatting>
  <conditionalFormatting sqref="AV76">
    <cfRule type="duplicateValues" dxfId="134" priority="27"/>
  </conditionalFormatting>
  <conditionalFormatting sqref="AV77:AV78">
    <cfRule type="duplicateValues" dxfId="133" priority="28"/>
  </conditionalFormatting>
  <conditionalFormatting sqref="AV79:AV81">
    <cfRule type="duplicateValues" dxfId="132" priority="29"/>
  </conditionalFormatting>
  <conditionalFormatting sqref="AV82:AV84">
    <cfRule type="duplicateValues" dxfId="131" priority="30"/>
  </conditionalFormatting>
  <conditionalFormatting sqref="AV85:AV87">
    <cfRule type="duplicateValues" dxfId="130" priority="31"/>
  </conditionalFormatting>
  <conditionalFormatting sqref="BB1:BC104 BB108:BC1048576">
    <cfRule type="duplicateValues" dxfId="129" priority="11"/>
  </conditionalFormatting>
  <dataValidations count="1">
    <dataValidation type="list" allowBlank="1" showInputMessage="1" showErrorMessage="1" sqref="AC345:AC346 AC79:AC90 AC93:AC105 AC107:AC134 AC136:AC159 AC161:AC202 AC204:AC343" xr:uid="{2E4B51D9-CD3C-40A6-B6E3-E062E33498EF}">
      <formula1>"N/A,CLEAN UP"</formula1>
    </dataValidation>
  </dataValidations>
  <pageMargins left="0.78740157480314965" right="0" top="0.15748031496062992" bottom="0" header="0.31496062992125984" footer="0.31496062992125984"/>
  <pageSetup paperSize="9" fitToHeight="0" orientation="portrait" horizontalDpi="0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D04D-93C8-41E6-8F97-C63F4A134BE2}">
  <sheetPr>
    <pageSetUpPr fitToPage="1"/>
  </sheetPr>
  <dimension ref="B1:BK774"/>
  <sheetViews>
    <sheetView showGridLines="0" topLeftCell="T6" zoomScale="55" zoomScaleNormal="55" workbookViewId="0">
      <selection activeCell="R26" sqref="R26"/>
    </sheetView>
  </sheetViews>
  <sheetFormatPr defaultRowHeight="14.5" x14ac:dyDescent="0.35"/>
  <cols>
    <col min="2" max="2" width="15.7265625" customWidth="1"/>
    <col min="3" max="3" width="13.453125" bestFit="1" customWidth="1"/>
    <col min="4" max="4" width="8.1796875" bestFit="1" customWidth="1"/>
    <col min="5" max="5" width="9.7265625" bestFit="1" customWidth="1"/>
    <col min="6" max="6" width="8.1796875" bestFit="1" customWidth="1"/>
    <col min="7" max="7" width="9.453125" bestFit="1" customWidth="1"/>
    <col min="8" max="9" width="11" customWidth="1"/>
    <col min="10" max="10" width="17.453125" customWidth="1"/>
    <col min="11" max="11" width="11.7265625" hidden="1" customWidth="1"/>
    <col min="12" max="12" width="12" customWidth="1"/>
    <col min="14" max="14" width="12.81640625" bestFit="1" customWidth="1"/>
    <col min="15" max="16" width="10.36328125" customWidth="1"/>
    <col min="18" max="18" width="10.1796875" bestFit="1" customWidth="1"/>
    <col min="21" max="21" width="2.453125" style="24" customWidth="1"/>
    <col min="22" max="22" width="13.36328125" customWidth="1"/>
    <col min="24" max="24" width="13.453125" customWidth="1"/>
    <col min="25" max="25" width="13.453125" style="37" customWidth="1"/>
    <col min="26" max="27" width="19.7265625" bestFit="1" customWidth="1"/>
    <col min="28" max="29" width="19.7265625" customWidth="1"/>
    <col min="30" max="30" width="11.1796875" bestFit="1" customWidth="1"/>
    <col min="31" max="31" width="10.81640625" customWidth="1"/>
    <col min="32" max="32" width="19.453125" bestFit="1" customWidth="1"/>
    <col min="33" max="33" width="19.453125" customWidth="1"/>
    <col min="34" max="34" width="24.08984375" bestFit="1" customWidth="1"/>
    <col min="35" max="35" width="2.453125" style="24" customWidth="1"/>
    <col min="36" max="36" width="12.453125" customWidth="1"/>
    <col min="37" max="37" width="11.453125" customWidth="1"/>
    <col min="38" max="38" width="11.6328125" customWidth="1"/>
    <col min="39" max="39" width="12.81640625" bestFit="1" customWidth="1"/>
    <col min="40" max="40" width="19.7265625" bestFit="1" customWidth="1"/>
    <col min="41" max="41" width="23.08984375" bestFit="1" customWidth="1"/>
    <col min="42" max="42" width="12.453125" bestFit="1" customWidth="1"/>
    <col min="43" max="45" width="13.26953125" customWidth="1"/>
    <col min="46" max="46" width="2.453125" style="24" customWidth="1"/>
    <col min="47" max="47" width="14.90625" customWidth="1"/>
    <col min="48" max="48" width="15.36328125" bestFit="1" customWidth="1"/>
    <col min="49" max="49" width="11.36328125" bestFit="1" customWidth="1"/>
    <col min="50" max="50" width="26.08984375" bestFit="1" customWidth="1"/>
    <col min="51" max="51" width="21.1796875" bestFit="1" customWidth="1"/>
    <col min="52" max="53" width="16.453125" bestFit="1" customWidth="1"/>
    <col min="54" max="54" width="10.6328125" style="56" bestFit="1" customWidth="1"/>
    <col min="55" max="55" width="10.6328125" style="56" customWidth="1"/>
    <col min="56" max="56" width="2.453125" style="24" customWidth="1"/>
    <col min="57" max="57" width="15.81640625" customWidth="1"/>
    <col min="58" max="59" width="17.90625" bestFit="1" customWidth="1"/>
    <col min="60" max="60" width="15.26953125" bestFit="1" customWidth="1"/>
    <col min="61" max="61" width="16.81640625" bestFit="1" customWidth="1"/>
    <col min="62" max="62" width="10.6328125" bestFit="1" customWidth="1"/>
    <col min="63" max="63" width="2.453125" style="24" customWidth="1"/>
  </cols>
  <sheetData>
    <row r="1" spans="2:62" x14ac:dyDescent="0.35">
      <c r="AA1" s="15" t="s">
        <v>26</v>
      </c>
      <c r="AN1" s="15" t="s">
        <v>26</v>
      </c>
      <c r="AX1" s="22" t="s">
        <v>29</v>
      </c>
      <c r="BG1" s="15" t="s">
        <v>3</v>
      </c>
    </row>
    <row r="2" spans="2:62" x14ac:dyDescent="0.35">
      <c r="V2" s="15" t="s">
        <v>27</v>
      </c>
      <c r="AJ2" s="15" t="s">
        <v>28</v>
      </c>
      <c r="AK2" s="15"/>
      <c r="AU2" s="15" t="s">
        <v>30</v>
      </c>
      <c r="BE2" s="15" t="s">
        <v>31</v>
      </c>
    </row>
    <row r="3" spans="2:62" x14ac:dyDescent="0.35">
      <c r="B3" s="120" t="s">
        <v>25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V3" s="15" t="s">
        <v>33</v>
      </c>
      <c r="AJ3" s="15" t="s">
        <v>33</v>
      </c>
      <c r="AK3" s="15"/>
      <c r="AU3" s="15" t="s">
        <v>33</v>
      </c>
      <c r="BE3" s="15" t="s">
        <v>33</v>
      </c>
    </row>
    <row r="4" spans="2:62" x14ac:dyDescent="0.35"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V4" s="29" t="s">
        <v>0</v>
      </c>
      <c r="W4" s="29" t="s">
        <v>15</v>
      </c>
      <c r="X4" s="29" t="s">
        <v>16</v>
      </c>
      <c r="Y4" s="53" t="s">
        <v>16</v>
      </c>
      <c r="Z4" s="29" t="s">
        <v>17</v>
      </c>
      <c r="AA4" s="29" t="s">
        <v>18</v>
      </c>
      <c r="AB4" s="29" t="s">
        <v>20</v>
      </c>
      <c r="AC4" s="29" t="s">
        <v>21</v>
      </c>
      <c r="AD4" s="29" t="s">
        <v>19</v>
      </c>
      <c r="AE4" s="29" t="s">
        <v>44</v>
      </c>
      <c r="AF4" s="53" t="s">
        <v>43</v>
      </c>
      <c r="AG4" s="53" t="s">
        <v>46</v>
      </c>
      <c r="AH4" s="53" t="s">
        <v>41</v>
      </c>
      <c r="AJ4" s="29" t="s">
        <v>0</v>
      </c>
      <c r="AK4" s="29" t="s">
        <v>37</v>
      </c>
      <c r="AL4" s="29" t="s">
        <v>16</v>
      </c>
      <c r="AM4" s="29" t="s">
        <v>16</v>
      </c>
      <c r="AN4" s="29" t="s">
        <v>17</v>
      </c>
      <c r="AO4" s="29" t="s">
        <v>18</v>
      </c>
      <c r="AP4" s="29" t="s">
        <v>19</v>
      </c>
      <c r="AQ4" s="29" t="s">
        <v>34</v>
      </c>
      <c r="AR4" s="29" t="s">
        <v>39</v>
      </c>
      <c r="AS4" s="29" t="s">
        <v>47</v>
      </c>
      <c r="AU4" s="29" t="s">
        <v>0</v>
      </c>
      <c r="AV4" s="29" t="s">
        <v>45</v>
      </c>
      <c r="AW4" s="29" t="s">
        <v>16</v>
      </c>
      <c r="AX4" s="29" t="s">
        <v>17</v>
      </c>
      <c r="AY4" s="29" t="s">
        <v>18</v>
      </c>
      <c r="AZ4" s="29" t="s">
        <v>20</v>
      </c>
      <c r="BA4" s="29" t="s">
        <v>21</v>
      </c>
      <c r="BB4" s="69" t="s">
        <v>19</v>
      </c>
      <c r="BC4" s="69"/>
      <c r="BE4" s="29" t="s">
        <v>0</v>
      </c>
      <c r="BF4" s="29" t="s">
        <v>16</v>
      </c>
      <c r="BG4" s="29" t="s">
        <v>16</v>
      </c>
      <c r="BH4" s="29" t="s">
        <v>17</v>
      </c>
      <c r="BI4" s="29" t="s">
        <v>18</v>
      </c>
      <c r="BJ4" s="29" t="s">
        <v>19</v>
      </c>
    </row>
    <row r="5" spans="2:62" ht="24" thickBot="1" x14ac:dyDescent="0.6">
      <c r="B5" s="121" t="s">
        <v>666</v>
      </c>
      <c r="C5" s="121"/>
      <c r="D5" s="121"/>
      <c r="E5" s="121"/>
      <c r="F5" s="121"/>
      <c r="G5" s="121"/>
      <c r="H5" s="122"/>
      <c r="I5" s="122"/>
      <c r="J5" s="122"/>
      <c r="K5" s="122"/>
      <c r="L5" s="122"/>
      <c r="V5" s="97">
        <v>45809</v>
      </c>
      <c r="W5" s="16">
        <v>154722</v>
      </c>
      <c r="X5" s="101" t="s">
        <v>36</v>
      </c>
      <c r="Y5" s="105"/>
      <c r="Z5" s="102">
        <v>0.68402777777777779</v>
      </c>
      <c r="AA5" s="102">
        <v>4.0972222222222222E-2</v>
      </c>
      <c r="AB5" s="16"/>
      <c r="AC5" s="16"/>
      <c r="AD5" s="93">
        <v>23166</v>
      </c>
      <c r="AE5" s="93">
        <f t="shared" ref="AE5:AE68" si="0">AD5/1000</f>
        <v>23.166</v>
      </c>
      <c r="AF5">
        <v>14.16</v>
      </c>
      <c r="AG5" s="72">
        <f>IF($AF5&gt;14,14,$AF5)</f>
        <v>14</v>
      </c>
      <c r="AH5" s="37">
        <f>AE5*AG5/14</f>
        <v>23.166</v>
      </c>
      <c r="AJ5" s="38">
        <v>45809</v>
      </c>
      <c r="AL5" t="s">
        <v>5</v>
      </c>
      <c r="AN5" s="81">
        <v>0.38616898148148149</v>
      </c>
      <c r="AO5" s="81"/>
      <c r="AP5" s="37">
        <v>4114</v>
      </c>
      <c r="AQ5" t="s">
        <v>668</v>
      </c>
      <c r="AR5" s="96">
        <v>45809</v>
      </c>
      <c r="AU5" s="21"/>
      <c r="BB5" s="73"/>
      <c r="BC5" s="73"/>
    </row>
    <row r="6" spans="2:62" ht="28.5" customHeight="1" x14ac:dyDescent="0.4">
      <c r="B6" s="123" t="s">
        <v>0</v>
      </c>
      <c r="C6" s="126" t="s">
        <v>1</v>
      </c>
      <c r="D6" s="127"/>
      <c r="E6" s="127"/>
      <c r="F6" s="128"/>
      <c r="G6" s="129" t="s">
        <v>2</v>
      </c>
      <c r="H6" s="132" t="s">
        <v>40</v>
      </c>
      <c r="I6" s="133"/>
      <c r="J6" s="134" t="s">
        <v>35</v>
      </c>
      <c r="K6" s="135"/>
      <c r="L6" s="138" t="s">
        <v>2</v>
      </c>
      <c r="V6" s="97">
        <v>45809</v>
      </c>
      <c r="W6" s="16">
        <v>154723</v>
      </c>
      <c r="X6" s="101" t="s">
        <v>36</v>
      </c>
      <c r="Y6" s="105"/>
      <c r="Z6" s="102">
        <v>0.7680555555555556</v>
      </c>
      <c r="AA6" s="102">
        <v>9.5138888888888884E-2</v>
      </c>
      <c r="AB6" s="16"/>
      <c r="AC6" s="16"/>
      <c r="AD6" s="93">
        <v>18316</v>
      </c>
      <c r="AE6" s="93">
        <f t="shared" si="0"/>
        <v>18.315999999999999</v>
      </c>
      <c r="AF6">
        <v>15.22</v>
      </c>
      <c r="AG6" s="72">
        <f t="shared" ref="AG6:AG69" si="1">IF($AF6&gt;14,14,$AF6)</f>
        <v>14</v>
      </c>
      <c r="AH6" s="37">
        <f t="shared" ref="AH6:AH69" si="2">AE6*AG6/14</f>
        <v>18.315999999999999</v>
      </c>
      <c r="AJ6" s="38">
        <v>45809</v>
      </c>
      <c r="AL6" t="s">
        <v>5</v>
      </c>
      <c r="AN6" s="81">
        <v>0.3263888888888889</v>
      </c>
      <c r="AO6" s="81">
        <v>0.43071759259259257</v>
      </c>
      <c r="AP6" s="37">
        <v>2334</v>
      </c>
      <c r="AQ6" t="s">
        <v>668</v>
      </c>
      <c r="AR6" s="96">
        <v>45809</v>
      </c>
      <c r="AU6" s="21"/>
      <c r="BB6" s="73"/>
      <c r="BC6" s="73"/>
    </row>
    <row r="7" spans="2:62" ht="15.5" customHeight="1" x14ac:dyDescent="0.4">
      <c r="B7" s="124"/>
      <c r="C7" s="141" t="s">
        <v>36</v>
      </c>
      <c r="D7" s="143" t="s">
        <v>5</v>
      </c>
      <c r="E7" s="146" t="s">
        <v>4</v>
      </c>
      <c r="F7" s="141">
        <v>104</v>
      </c>
      <c r="G7" s="130"/>
      <c r="H7" s="149" t="s">
        <v>41</v>
      </c>
      <c r="I7" s="152" t="s">
        <v>42</v>
      </c>
      <c r="J7" s="136"/>
      <c r="K7" s="137"/>
      <c r="L7" s="139"/>
      <c r="N7" s="15" t="s">
        <v>32</v>
      </c>
      <c r="V7" s="97">
        <v>45809</v>
      </c>
      <c r="W7" s="16">
        <v>154729</v>
      </c>
      <c r="X7" s="101" t="s">
        <v>36</v>
      </c>
      <c r="Y7" s="105"/>
      <c r="Z7" s="102">
        <v>9.375E-2</v>
      </c>
      <c r="AA7" s="102">
        <v>0.15763888888888888</v>
      </c>
      <c r="AB7" s="16"/>
      <c r="AC7" s="16"/>
      <c r="AD7" s="93">
        <v>20230</v>
      </c>
      <c r="AE7" s="93">
        <f t="shared" si="0"/>
        <v>20.23</v>
      </c>
      <c r="AF7">
        <v>15.09</v>
      </c>
      <c r="AG7" s="72">
        <f t="shared" si="1"/>
        <v>14</v>
      </c>
      <c r="AH7" s="37">
        <f t="shared" si="2"/>
        <v>20.23</v>
      </c>
      <c r="AJ7" s="38">
        <v>45809</v>
      </c>
      <c r="AL7" t="s">
        <v>5</v>
      </c>
      <c r="AN7" s="81">
        <v>0.31167824074074074</v>
      </c>
      <c r="AO7" s="81">
        <v>0.32622685185185185</v>
      </c>
      <c r="AP7" s="37">
        <v>3024</v>
      </c>
      <c r="AQ7" t="s">
        <v>668</v>
      </c>
      <c r="AR7" s="96">
        <v>45809</v>
      </c>
      <c r="AU7" s="21"/>
      <c r="BB7" s="73"/>
      <c r="BC7" s="73"/>
    </row>
    <row r="8" spans="2:62" ht="15" customHeight="1" thickBot="1" x14ac:dyDescent="0.45">
      <c r="B8" s="124"/>
      <c r="C8" s="141"/>
      <c r="D8" s="144"/>
      <c r="E8" s="147"/>
      <c r="F8" s="141"/>
      <c r="G8" s="130"/>
      <c r="H8" s="150"/>
      <c r="I8" s="153"/>
      <c r="J8" s="155" t="s">
        <v>22</v>
      </c>
      <c r="K8" s="118" t="s">
        <v>5</v>
      </c>
      <c r="L8" s="139"/>
      <c r="N8" s="15" t="s">
        <v>38</v>
      </c>
      <c r="V8" s="97">
        <v>45809</v>
      </c>
      <c r="W8" s="16">
        <v>154734</v>
      </c>
      <c r="X8" s="101" t="s">
        <v>36</v>
      </c>
      <c r="Y8" s="105"/>
      <c r="Z8" s="102">
        <v>0.20277777777777781</v>
      </c>
      <c r="AA8" s="102"/>
      <c r="AB8" s="16"/>
      <c r="AC8" s="16"/>
      <c r="AD8" s="93">
        <v>18626</v>
      </c>
      <c r="AE8" s="93">
        <f t="shared" si="0"/>
        <v>18.626000000000001</v>
      </c>
      <c r="AF8">
        <v>16.059999999999999</v>
      </c>
      <c r="AG8" s="72">
        <f t="shared" si="1"/>
        <v>14</v>
      </c>
      <c r="AH8" s="37">
        <f t="shared" si="2"/>
        <v>18.626000000000001</v>
      </c>
      <c r="AJ8" s="38">
        <v>45810</v>
      </c>
      <c r="AL8" t="s">
        <v>5</v>
      </c>
      <c r="AM8" s="16"/>
      <c r="AN8" s="81">
        <v>0.38958333333333334</v>
      </c>
      <c r="AO8" s="81">
        <v>0.41805555555555557</v>
      </c>
      <c r="AP8" s="37">
        <v>3632</v>
      </c>
      <c r="AQ8" t="s">
        <v>669</v>
      </c>
      <c r="AR8" s="96">
        <v>45810</v>
      </c>
      <c r="AU8" s="21"/>
      <c r="BB8" s="73"/>
      <c r="BC8" s="73"/>
    </row>
    <row r="9" spans="2:62" ht="16.5" thickBot="1" x14ac:dyDescent="0.45">
      <c r="B9" s="125"/>
      <c r="C9" s="142"/>
      <c r="D9" s="145"/>
      <c r="E9" s="148"/>
      <c r="F9" s="142"/>
      <c r="G9" s="131"/>
      <c r="H9" s="151"/>
      <c r="I9" s="154"/>
      <c r="J9" s="156"/>
      <c r="K9" s="119"/>
      <c r="L9" s="140"/>
      <c r="N9" s="25" t="s">
        <v>36</v>
      </c>
      <c r="O9" s="26" t="s">
        <v>5</v>
      </c>
      <c r="P9" s="35" t="s">
        <v>4</v>
      </c>
      <c r="Q9" s="27" t="s">
        <v>23</v>
      </c>
      <c r="V9" s="97">
        <v>45809</v>
      </c>
      <c r="W9" s="16">
        <v>154740</v>
      </c>
      <c r="X9" s="101" t="s">
        <v>36</v>
      </c>
      <c r="Y9" s="105"/>
      <c r="Z9" s="102">
        <v>0.26785879629629633</v>
      </c>
      <c r="AA9" s="102">
        <v>0.26021990740740741</v>
      </c>
      <c r="AB9" s="16"/>
      <c r="AC9" s="16"/>
      <c r="AD9" s="93">
        <v>19440</v>
      </c>
      <c r="AE9" s="93">
        <f t="shared" si="0"/>
        <v>19.440000000000001</v>
      </c>
      <c r="AF9">
        <v>14.99</v>
      </c>
      <c r="AG9" s="72">
        <f t="shared" si="1"/>
        <v>14</v>
      </c>
      <c r="AH9" s="37">
        <f t="shared" si="2"/>
        <v>19.440000000000001</v>
      </c>
      <c r="AJ9" s="38">
        <v>45810</v>
      </c>
      <c r="AL9" t="s">
        <v>5</v>
      </c>
      <c r="AM9" s="16"/>
      <c r="AN9" s="81">
        <v>0.55763888888888891</v>
      </c>
      <c r="AO9" s="81">
        <v>0.42986111111111108</v>
      </c>
      <c r="AP9" s="37">
        <v>2764</v>
      </c>
      <c r="AQ9" t="s">
        <v>670</v>
      </c>
      <c r="AR9" s="96">
        <v>45810</v>
      </c>
      <c r="AU9" s="21"/>
      <c r="BB9" s="73"/>
      <c r="BC9" s="73"/>
    </row>
    <row r="10" spans="2:62" ht="16" x14ac:dyDescent="0.4">
      <c r="B10" s="60">
        <v>45809</v>
      </c>
      <c r="C10" s="61">
        <f t="shared" ref="C10:C39" si="3">SUMIFS($AE:$AE,$V:$V,$B10,$X:$X,C$7)-$J10</f>
        <v>138.84399999999999</v>
      </c>
      <c r="D10" s="61">
        <f t="shared" ref="D10:E38" si="4">SUMIFS($AP:$AP,$AJ:$AJ,$B10,$AL:$AL,D$7)/1000</f>
        <v>9.4719999999999995</v>
      </c>
      <c r="E10" s="62">
        <f t="shared" si="4"/>
        <v>0</v>
      </c>
      <c r="F10" s="63">
        <f t="shared" ref="F10:F39" si="5">SUMIFS($AD:$AD,$V:$V,$B10,$AB:$AB,$F$7)/1000</f>
        <v>17.411999999999999</v>
      </c>
      <c r="G10" s="64">
        <f>SUM(C10:E10)</f>
        <v>148.316</v>
      </c>
      <c r="H10" s="65">
        <f t="shared" ref="H10:H39" si="6">SUMIF($V:$V,$B10,$AH:$AH)</f>
        <v>151.67913142857142</v>
      </c>
      <c r="I10" s="66">
        <f>H10+D10+E10</f>
        <v>161.15113142857143</v>
      </c>
      <c r="J10" s="70">
        <f t="shared" ref="J10:J39" si="7">SUMIFS($AE:$AE,$V:$V,$B10,$AC:$AC,$J$8)</f>
        <v>17.411999999999999</v>
      </c>
      <c r="K10" s="67"/>
      <c r="L10" s="68">
        <f t="shared" ref="L10:L39" si="8">SUM(J10:K10)</f>
        <v>17.411999999999999</v>
      </c>
      <c r="N10" s="40">
        <f t="shared" ref="N10:N39" si="9">COUNTIFS($V:$V,$B10,$X:$X,N$9)</f>
        <v>8</v>
      </c>
      <c r="O10" s="41">
        <f t="shared" ref="O10:O39" si="10">COUNTIFS($AJ:$AJ,$B10,$AL:$AL,$O$9)</f>
        <v>3</v>
      </c>
      <c r="P10" s="41">
        <f t="shared" ref="P10:P39" si="11">COUNTIFS($AJ:$AJ,$B10,$AL:$AL,P$9)</f>
        <v>0</v>
      </c>
      <c r="Q10" s="42">
        <f>SUM(N10:P10)</f>
        <v>11</v>
      </c>
      <c r="V10" s="97">
        <v>45809</v>
      </c>
      <c r="W10" s="16">
        <v>154746</v>
      </c>
      <c r="X10" s="101" t="s">
        <v>36</v>
      </c>
      <c r="Y10" s="105"/>
      <c r="Z10" s="102">
        <v>0.25769675925925922</v>
      </c>
      <c r="AA10" s="102">
        <v>0.29469907407407409</v>
      </c>
      <c r="AB10" s="16"/>
      <c r="AC10" s="16"/>
      <c r="AD10" s="93">
        <v>18846</v>
      </c>
      <c r="AE10" s="93">
        <f t="shared" si="0"/>
        <v>18.846</v>
      </c>
      <c r="AF10" s="17">
        <v>14.78</v>
      </c>
      <c r="AG10" s="95">
        <f t="shared" si="1"/>
        <v>14</v>
      </c>
      <c r="AH10" s="37">
        <f t="shared" si="2"/>
        <v>18.846</v>
      </c>
      <c r="AJ10" s="38">
        <v>45810</v>
      </c>
      <c r="AL10" t="s">
        <v>5</v>
      </c>
      <c r="AM10" s="16"/>
      <c r="AN10" s="81">
        <v>0.4458333333333333</v>
      </c>
      <c r="AO10" s="81">
        <v>0.55069444444444449</v>
      </c>
      <c r="AP10" s="37">
        <v>2590</v>
      </c>
      <c r="AQ10" t="s">
        <v>670</v>
      </c>
      <c r="AR10" s="96">
        <v>45810</v>
      </c>
      <c r="AU10" s="21"/>
      <c r="BB10" s="73"/>
      <c r="BC10" s="73"/>
    </row>
    <row r="11" spans="2:62" ht="16" x14ac:dyDescent="0.4">
      <c r="B11" s="1">
        <v>45810</v>
      </c>
      <c r="C11" s="2">
        <f t="shared" si="3"/>
        <v>154.09800000000001</v>
      </c>
      <c r="D11" s="2">
        <f t="shared" si="4"/>
        <v>8.9860000000000007</v>
      </c>
      <c r="E11" s="2">
        <f t="shared" si="4"/>
        <v>0</v>
      </c>
      <c r="F11" s="32">
        <f t="shared" si="5"/>
        <v>0</v>
      </c>
      <c r="G11" s="3">
        <f>SUM(C11:E11)</f>
        <v>163.084</v>
      </c>
      <c r="H11" s="51">
        <f t="shared" si="6"/>
        <v>153.34689714285716</v>
      </c>
      <c r="I11" s="52">
        <f>H11+D11+E11</f>
        <v>162.33289714285715</v>
      </c>
      <c r="J11" s="59">
        <f t="shared" si="7"/>
        <v>0</v>
      </c>
      <c r="K11" s="4"/>
      <c r="L11" s="20">
        <f t="shared" si="8"/>
        <v>0</v>
      </c>
      <c r="N11" s="43">
        <f t="shared" si="9"/>
        <v>8</v>
      </c>
      <c r="O11" s="44">
        <f t="shared" si="10"/>
        <v>3</v>
      </c>
      <c r="P11" s="41">
        <f t="shared" si="11"/>
        <v>0</v>
      </c>
      <c r="Q11" s="45">
        <f>SUM(N11:P11)</f>
        <v>11</v>
      </c>
      <c r="V11" s="97">
        <v>45809</v>
      </c>
      <c r="W11" s="16">
        <v>154755</v>
      </c>
      <c r="X11" s="101" t="s">
        <v>36</v>
      </c>
      <c r="Y11" s="105"/>
      <c r="Z11" s="102">
        <v>0.29837962962962966</v>
      </c>
      <c r="AA11" s="102">
        <v>0.33462962962962961</v>
      </c>
      <c r="AB11" s="16"/>
      <c r="AC11" s="16"/>
      <c r="AD11" s="93">
        <v>20220</v>
      </c>
      <c r="AE11" s="93">
        <f t="shared" si="0"/>
        <v>20.22</v>
      </c>
      <c r="AF11">
        <v>14.67</v>
      </c>
      <c r="AG11" s="72">
        <f t="shared" si="1"/>
        <v>14</v>
      </c>
      <c r="AH11" s="37">
        <f t="shared" si="2"/>
        <v>20.22</v>
      </c>
      <c r="AJ11" s="38">
        <v>45811</v>
      </c>
      <c r="AL11" t="s">
        <v>5</v>
      </c>
      <c r="AM11" s="16"/>
      <c r="AN11" s="81">
        <v>0.60902777777777783</v>
      </c>
      <c r="AO11" s="81">
        <v>0.40486111111111112</v>
      </c>
      <c r="AP11" s="37">
        <v>5008</v>
      </c>
      <c r="AQ11" t="s">
        <v>671</v>
      </c>
      <c r="AR11" s="96">
        <v>45811</v>
      </c>
      <c r="AU11" s="21"/>
      <c r="BB11" s="73"/>
      <c r="BC11" s="73"/>
    </row>
    <row r="12" spans="2:62" ht="16" x14ac:dyDescent="0.4">
      <c r="B12" s="1">
        <v>45811</v>
      </c>
      <c r="C12" s="2">
        <f t="shared" si="3"/>
        <v>254.14800000000002</v>
      </c>
      <c r="D12" s="2">
        <f t="shared" si="4"/>
        <v>33.872</v>
      </c>
      <c r="E12" s="2">
        <f t="shared" si="4"/>
        <v>0</v>
      </c>
      <c r="F12" s="32">
        <f t="shared" si="5"/>
        <v>0</v>
      </c>
      <c r="G12" s="3">
        <f t="shared" ref="G12:G39" si="12">SUM(C12:E12)</f>
        <v>288.02000000000004</v>
      </c>
      <c r="H12" s="51">
        <f t="shared" si="6"/>
        <v>253.43085000000002</v>
      </c>
      <c r="I12" s="52">
        <f t="shared" ref="I12:I39" si="13">H12+D12+E12</f>
        <v>287.30285000000003</v>
      </c>
      <c r="J12" s="59">
        <f t="shared" si="7"/>
        <v>0</v>
      </c>
      <c r="K12" s="4"/>
      <c r="L12" s="20">
        <f t="shared" si="8"/>
        <v>0</v>
      </c>
      <c r="N12" s="43">
        <f t="shared" si="9"/>
        <v>13</v>
      </c>
      <c r="O12" s="44">
        <f t="shared" si="10"/>
        <v>9</v>
      </c>
      <c r="P12" s="41">
        <f t="shared" si="11"/>
        <v>0</v>
      </c>
      <c r="Q12" s="45">
        <f t="shared" ref="Q12:Q39" si="14">SUM(N12:P12)</f>
        <v>22</v>
      </c>
      <c r="V12" s="97">
        <v>45809</v>
      </c>
      <c r="W12" s="16">
        <v>154776</v>
      </c>
      <c r="X12" s="101" t="s">
        <v>36</v>
      </c>
      <c r="Y12" s="105"/>
      <c r="Z12" s="102">
        <v>0.25773148148148145</v>
      </c>
      <c r="AA12" s="102">
        <v>0.40274305555555556</v>
      </c>
      <c r="AB12" s="16">
        <v>104</v>
      </c>
      <c r="AC12" s="16" t="s">
        <v>667</v>
      </c>
      <c r="AD12" s="93">
        <v>17412</v>
      </c>
      <c r="AE12" s="93">
        <f t="shared" si="0"/>
        <v>17.411999999999999</v>
      </c>
      <c r="AF12">
        <v>10.32</v>
      </c>
      <c r="AG12" s="72">
        <f t="shared" si="1"/>
        <v>10.32</v>
      </c>
      <c r="AH12" s="37">
        <f t="shared" si="2"/>
        <v>12.835131428571428</v>
      </c>
      <c r="AJ12" s="38">
        <v>45811</v>
      </c>
      <c r="AL12" t="s">
        <v>5</v>
      </c>
      <c r="AM12" s="16"/>
      <c r="AN12" s="81">
        <v>0.57638888888888895</v>
      </c>
      <c r="AO12" s="81">
        <v>0.47430555555555554</v>
      </c>
      <c r="AP12" s="37">
        <v>2882</v>
      </c>
      <c r="AQ12" t="s">
        <v>672</v>
      </c>
      <c r="AR12" s="96">
        <v>45811</v>
      </c>
      <c r="AU12" s="21"/>
      <c r="BB12" s="73"/>
      <c r="BC12" s="73"/>
    </row>
    <row r="13" spans="2:62" ht="16" x14ac:dyDescent="0.4">
      <c r="B13" s="1">
        <v>45812</v>
      </c>
      <c r="C13" s="2">
        <f t="shared" si="3"/>
        <v>254.75800000000001</v>
      </c>
      <c r="D13" s="2">
        <f t="shared" si="4"/>
        <v>28.65</v>
      </c>
      <c r="E13" s="2">
        <f t="shared" si="4"/>
        <v>0</v>
      </c>
      <c r="F13" s="32">
        <f t="shared" si="5"/>
        <v>0</v>
      </c>
      <c r="G13" s="3">
        <f t="shared" si="12"/>
        <v>283.40800000000002</v>
      </c>
      <c r="H13" s="51">
        <f t="shared" si="6"/>
        <v>253.11777999999998</v>
      </c>
      <c r="I13" s="52">
        <f t="shared" si="13"/>
        <v>281.76777999999996</v>
      </c>
      <c r="J13" s="59">
        <f t="shared" si="7"/>
        <v>0</v>
      </c>
      <c r="K13" s="4"/>
      <c r="L13" s="20">
        <f t="shared" si="8"/>
        <v>0</v>
      </c>
      <c r="N13" s="43">
        <f t="shared" si="9"/>
        <v>13</v>
      </c>
      <c r="O13" s="44">
        <f t="shared" si="10"/>
        <v>9</v>
      </c>
      <c r="P13" s="41">
        <f t="shared" si="11"/>
        <v>0</v>
      </c>
      <c r="Q13" s="45">
        <f t="shared" si="14"/>
        <v>22</v>
      </c>
      <c r="V13" s="97">
        <v>45810</v>
      </c>
      <c r="W13" s="16">
        <v>154937</v>
      </c>
      <c r="X13" s="101" t="s">
        <v>36</v>
      </c>
      <c r="Y13" s="105"/>
      <c r="Z13" s="102">
        <v>0.26458333333333334</v>
      </c>
      <c r="AA13" s="102">
        <v>0.35694444444444445</v>
      </c>
      <c r="AB13" s="16"/>
      <c r="AC13" s="16"/>
      <c r="AD13" s="93">
        <v>18814</v>
      </c>
      <c r="AE13" s="93">
        <f t="shared" si="0"/>
        <v>18.814</v>
      </c>
      <c r="AF13">
        <v>14.7</v>
      </c>
      <c r="AG13" s="72">
        <f t="shared" si="1"/>
        <v>14</v>
      </c>
      <c r="AH13" s="37">
        <f t="shared" si="2"/>
        <v>18.814</v>
      </c>
      <c r="AJ13" s="38">
        <v>45811</v>
      </c>
      <c r="AL13" t="s">
        <v>5</v>
      </c>
      <c r="AM13" s="16"/>
      <c r="AN13" s="81">
        <v>0.39652777777777781</v>
      </c>
      <c r="AO13" s="81">
        <v>0.5</v>
      </c>
      <c r="AP13" s="37">
        <v>3900</v>
      </c>
      <c r="AQ13" t="s">
        <v>672</v>
      </c>
      <c r="AR13" s="96">
        <v>45811</v>
      </c>
      <c r="AU13" s="21"/>
      <c r="BB13" s="73"/>
      <c r="BC13" s="73"/>
    </row>
    <row r="14" spans="2:62" ht="16" x14ac:dyDescent="0.4">
      <c r="B14" s="1">
        <v>45813</v>
      </c>
      <c r="C14" s="2">
        <f t="shared" si="3"/>
        <v>256.166</v>
      </c>
      <c r="D14" s="2">
        <f t="shared" si="4"/>
        <v>28.02</v>
      </c>
      <c r="E14" s="2">
        <f t="shared" si="4"/>
        <v>0</v>
      </c>
      <c r="F14" s="32">
        <f t="shared" si="5"/>
        <v>0</v>
      </c>
      <c r="G14" s="3">
        <f t="shared" si="12"/>
        <v>284.18599999999998</v>
      </c>
      <c r="H14" s="51">
        <f t="shared" si="6"/>
        <v>251.6277157142857</v>
      </c>
      <c r="I14" s="52">
        <f t="shared" si="13"/>
        <v>279.64771571428571</v>
      </c>
      <c r="J14" s="59">
        <f t="shared" si="7"/>
        <v>0</v>
      </c>
      <c r="K14" s="4"/>
      <c r="L14" s="20">
        <f t="shared" si="8"/>
        <v>0</v>
      </c>
      <c r="N14" s="43">
        <f t="shared" si="9"/>
        <v>13</v>
      </c>
      <c r="O14" s="44">
        <f t="shared" si="10"/>
        <v>8</v>
      </c>
      <c r="P14" s="41">
        <f t="shared" si="11"/>
        <v>0</v>
      </c>
      <c r="Q14" s="45">
        <f t="shared" si="14"/>
        <v>21</v>
      </c>
      <c r="V14" s="97">
        <v>45810</v>
      </c>
      <c r="W14" s="16">
        <v>154995</v>
      </c>
      <c r="X14" s="101" t="s">
        <v>36</v>
      </c>
      <c r="Y14" s="105"/>
      <c r="Z14" s="102">
        <v>9.375E-2</v>
      </c>
      <c r="AA14" s="102">
        <v>0.42777777777777781</v>
      </c>
      <c r="AB14" s="16"/>
      <c r="AC14" s="16"/>
      <c r="AD14" s="93">
        <v>19476</v>
      </c>
      <c r="AE14" s="93">
        <f t="shared" si="0"/>
        <v>19.475999999999999</v>
      </c>
      <c r="AF14">
        <v>15.12</v>
      </c>
      <c r="AG14" s="72">
        <f t="shared" si="1"/>
        <v>14</v>
      </c>
      <c r="AH14" s="37">
        <f t="shared" si="2"/>
        <v>19.475999999999999</v>
      </c>
      <c r="AJ14" s="38">
        <v>45811</v>
      </c>
      <c r="AL14" t="s">
        <v>5</v>
      </c>
      <c r="AM14" s="16"/>
      <c r="AN14" s="81">
        <v>0.42083333333333334</v>
      </c>
      <c r="AO14" s="81">
        <v>0.56666666666666665</v>
      </c>
      <c r="AP14" s="37">
        <v>5764</v>
      </c>
      <c r="AQ14" t="s">
        <v>671</v>
      </c>
      <c r="AR14" s="96">
        <v>45811</v>
      </c>
      <c r="AU14" s="21"/>
      <c r="BB14" s="73"/>
      <c r="BC14" s="73"/>
    </row>
    <row r="15" spans="2:62" ht="16" x14ac:dyDescent="0.4">
      <c r="B15" s="1">
        <v>45814</v>
      </c>
      <c r="C15" s="2">
        <f t="shared" si="3"/>
        <v>300.76000000000005</v>
      </c>
      <c r="D15" s="2">
        <f t="shared" si="4"/>
        <v>32.851999999999997</v>
      </c>
      <c r="E15" s="2">
        <f t="shared" si="4"/>
        <v>0</v>
      </c>
      <c r="F15" s="32">
        <f t="shared" si="5"/>
        <v>0</v>
      </c>
      <c r="G15" s="3">
        <f t="shared" si="12"/>
        <v>333.61200000000002</v>
      </c>
      <c r="H15" s="51">
        <f t="shared" si="6"/>
        <v>299.70717571428577</v>
      </c>
      <c r="I15" s="52">
        <f t="shared" si="13"/>
        <v>332.55917571428574</v>
      </c>
      <c r="J15" s="59">
        <f t="shared" si="7"/>
        <v>0</v>
      </c>
      <c r="K15" s="4"/>
      <c r="L15" s="20">
        <f t="shared" si="8"/>
        <v>0</v>
      </c>
      <c r="N15" s="43">
        <f t="shared" si="9"/>
        <v>15</v>
      </c>
      <c r="O15" s="44">
        <f t="shared" si="10"/>
        <v>11</v>
      </c>
      <c r="P15" s="41">
        <f t="shared" si="11"/>
        <v>0</v>
      </c>
      <c r="Q15" s="45">
        <f t="shared" si="14"/>
        <v>26</v>
      </c>
      <c r="V15" s="97">
        <v>45810</v>
      </c>
      <c r="W15" s="16">
        <v>155034</v>
      </c>
      <c r="X15" s="101" t="s">
        <v>36</v>
      </c>
      <c r="Y15" s="105"/>
      <c r="Z15" s="102">
        <v>0.7680555555555556</v>
      </c>
      <c r="AA15" s="102">
        <v>0.51180555555555551</v>
      </c>
      <c r="AB15" s="16"/>
      <c r="AC15" s="16"/>
      <c r="AD15" s="93">
        <v>19958</v>
      </c>
      <c r="AE15" s="93">
        <f t="shared" si="0"/>
        <v>19.957999999999998</v>
      </c>
      <c r="AF15">
        <v>14.09</v>
      </c>
      <c r="AG15" s="72">
        <f t="shared" si="1"/>
        <v>14</v>
      </c>
      <c r="AH15" s="37">
        <f t="shared" si="2"/>
        <v>19.957999999999998</v>
      </c>
      <c r="AJ15" s="38">
        <v>45811</v>
      </c>
      <c r="AL15" t="s">
        <v>5</v>
      </c>
      <c r="AM15" s="16"/>
      <c r="AN15" s="81">
        <v>0.32847222222222222</v>
      </c>
      <c r="AO15" s="81">
        <v>0.34652777777777777</v>
      </c>
      <c r="AP15" s="37">
        <v>3154</v>
      </c>
      <c r="AQ15" t="s">
        <v>670</v>
      </c>
      <c r="AR15" s="96">
        <v>45811</v>
      </c>
      <c r="AU15" s="21"/>
      <c r="BB15" s="73"/>
      <c r="BC15" s="73"/>
    </row>
    <row r="16" spans="2:62" ht="16" x14ac:dyDescent="0.4">
      <c r="B16" s="1">
        <v>45815</v>
      </c>
      <c r="C16" s="2">
        <f t="shared" si="3"/>
        <v>275.44400000000002</v>
      </c>
      <c r="D16" s="2">
        <f t="shared" si="4"/>
        <v>27.568000000000001</v>
      </c>
      <c r="E16" s="2">
        <f t="shared" si="4"/>
        <v>0</v>
      </c>
      <c r="F16" s="32">
        <f t="shared" si="5"/>
        <v>0</v>
      </c>
      <c r="G16" s="3">
        <f t="shared" si="12"/>
        <v>303.012</v>
      </c>
      <c r="H16" s="51">
        <f t="shared" si="6"/>
        <v>274.04193571428573</v>
      </c>
      <c r="I16" s="52">
        <f t="shared" si="13"/>
        <v>301.60993571428571</v>
      </c>
      <c r="J16" s="59">
        <f t="shared" si="7"/>
        <v>0</v>
      </c>
      <c r="K16" s="4"/>
      <c r="L16" s="20">
        <f t="shared" si="8"/>
        <v>0</v>
      </c>
      <c r="N16" s="43">
        <f t="shared" si="9"/>
        <v>14</v>
      </c>
      <c r="O16" s="44">
        <f t="shared" si="10"/>
        <v>8</v>
      </c>
      <c r="P16" s="41">
        <f t="shared" si="11"/>
        <v>0</v>
      </c>
      <c r="Q16" s="45">
        <f t="shared" si="14"/>
        <v>22</v>
      </c>
      <c r="V16" s="97">
        <v>45810</v>
      </c>
      <c r="W16" s="16">
        <v>155085</v>
      </c>
      <c r="X16" s="101" t="s">
        <v>36</v>
      </c>
      <c r="Y16" s="105"/>
      <c r="Z16" s="102">
        <v>9.375E-2</v>
      </c>
      <c r="AA16" s="102">
        <v>0.58333333333333337</v>
      </c>
      <c r="AB16" s="16"/>
      <c r="AC16" s="16"/>
      <c r="AD16" s="93">
        <v>20222</v>
      </c>
      <c r="AE16" s="93">
        <f t="shared" si="0"/>
        <v>20.222000000000001</v>
      </c>
      <c r="AF16">
        <v>13.48</v>
      </c>
      <c r="AG16" s="72">
        <f t="shared" si="1"/>
        <v>13.48</v>
      </c>
      <c r="AH16" s="37">
        <f t="shared" si="2"/>
        <v>19.470897142857147</v>
      </c>
      <c r="AJ16" s="38">
        <v>45811</v>
      </c>
      <c r="AL16" t="s">
        <v>5</v>
      </c>
      <c r="AM16" s="16"/>
      <c r="AN16" s="81">
        <v>0.39444444444444443</v>
      </c>
      <c r="AO16" s="81">
        <v>0.41250000000000003</v>
      </c>
      <c r="AP16" s="37">
        <v>3108</v>
      </c>
      <c r="AQ16" t="s">
        <v>670</v>
      </c>
      <c r="AR16" s="96">
        <v>45811</v>
      </c>
      <c r="AU16" s="21"/>
      <c r="BB16" s="73"/>
      <c r="BC16" s="73"/>
    </row>
    <row r="17" spans="2:55" ht="16" x14ac:dyDescent="0.4">
      <c r="B17" s="1">
        <v>45816</v>
      </c>
      <c r="C17" s="2">
        <f t="shared" si="3"/>
        <v>303.79600000000005</v>
      </c>
      <c r="D17" s="2">
        <f t="shared" si="4"/>
        <v>15.326000000000001</v>
      </c>
      <c r="E17" s="2">
        <f t="shared" si="4"/>
        <v>0</v>
      </c>
      <c r="F17" s="32">
        <f t="shared" si="5"/>
        <v>0</v>
      </c>
      <c r="G17" s="3">
        <f t="shared" si="12"/>
        <v>319.12200000000007</v>
      </c>
      <c r="H17" s="51">
        <f t="shared" si="6"/>
        <v>302.78224142857141</v>
      </c>
      <c r="I17" s="52">
        <f t="shared" si="13"/>
        <v>318.10824142857143</v>
      </c>
      <c r="J17" s="59">
        <f t="shared" si="7"/>
        <v>0</v>
      </c>
      <c r="K17" s="4"/>
      <c r="L17" s="20">
        <f t="shared" si="8"/>
        <v>0</v>
      </c>
      <c r="N17" s="43">
        <f t="shared" si="9"/>
        <v>16</v>
      </c>
      <c r="O17" s="44">
        <f t="shared" si="10"/>
        <v>5</v>
      </c>
      <c r="P17" s="41">
        <f t="shared" si="11"/>
        <v>0</v>
      </c>
      <c r="Q17" s="45">
        <f t="shared" si="14"/>
        <v>21</v>
      </c>
      <c r="S17" t="s">
        <v>48</v>
      </c>
      <c r="V17" s="97">
        <v>45810</v>
      </c>
      <c r="W17" s="16">
        <v>155158</v>
      </c>
      <c r="X17" s="101" t="s">
        <v>36</v>
      </c>
      <c r="Y17" s="105"/>
      <c r="Z17" s="102">
        <v>0.26458333333333334</v>
      </c>
      <c r="AA17" s="102">
        <v>0.66180555555555554</v>
      </c>
      <c r="AB17" s="16"/>
      <c r="AC17" s="16"/>
      <c r="AD17" s="93">
        <v>20734</v>
      </c>
      <c r="AE17" s="93">
        <f t="shared" si="0"/>
        <v>20.734000000000002</v>
      </c>
      <c r="AF17">
        <v>14.74</v>
      </c>
      <c r="AG17" s="72">
        <f t="shared" si="1"/>
        <v>14</v>
      </c>
      <c r="AH17" s="37">
        <f t="shared" si="2"/>
        <v>20.734000000000002</v>
      </c>
      <c r="AJ17" s="38">
        <v>45811</v>
      </c>
      <c r="AL17" t="s">
        <v>5</v>
      </c>
      <c r="AM17" s="16"/>
      <c r="AN17" s="81">
        <v>0.56805555555555554</v>
      </c>
      <c r="AO17" s="81">
        <v>0.58958333333333335</v>
      </c>
      <c r="AP17" s="37">
        <v>2892</v>
      </c>
      <c r="AQ17" t="s">
        <v>670</v>
      </c>
      <c r="AR17" s="96">
        <v>45811</v>
      </c>
      <c r="AU17" s="21"/>
      <c r="BB17" s="73"/>
      <c r="BC17" s="73"/>
    </row>
    <row r="18" spans="2:55" ht="16" x14ac:dyDescent="0.4">
      <c r="B18" s="1">
        <v>45817</v>
      </c>
      <c r="C18" s="2">
        <f t="shared" si="3"/>
        <v>99.91</v>
      </c>
      <c r="D18" s="2">
        <f t="shared" si="4"/>
        <v>31.584</v>
      </c>
      <c r="E18" s="2">
        <f t="shared" si="4"/>
        <v>6.8220000000000001</v>
      </c>
      <c r="F18" s="32">
        <f t="shared" si="5"/>
        <v>19.891999999999999</v>
      </c>
      <c r="G18" s="3">
        <f t="shared" si="12"/>
        <v>138.316</v>
      </c>
      <c r="H18" s="51">
        <f t="shared" si="6"/>
        <v>116.77116857142857</v>
      </c>
      <c r="I18" s="52">
        <f t="shared" si="13"/>
        <v>155.17716857142858</v>
      </c>
      <c r="J18" s="59">
        <f t="shared" si="7"/>
        <v>19.891999999999999</v>
      </c>
      <c r="K18" s="4"/>
      <c r="L18" s="20">
        <f t="shared" si="8"/>
        <v>19.891999999999999</v>
      </c>
      <c r="N18" s="43">
        <f t="shared" si="9"/>
        <v>7</v>
      </c>
      <c r="O18" s="44">
        <f t="shared" si="10"/>
        <v>11</v>
      </c>
      <c r="P18" s="41">
        <f t="shared" si="11"/>
        <v>1</v>
      </c>
      <c r="Q18" s="45">
        <f t="shared" si="14"/>
        <v>19</v>
      </c>
      <c r="V18" s="97">
        <v>45810</v>
      </c>
      <c r="W18" s="16">
        <v>155231</v>
      </c>
      <c r="X18" s="101" t="s">
        <v>36</v>
      </c>
      <c r="Y18" s="105"/>
      <c r="Z18" s="102">
        <v>0.63547453703703705</v>
      </c>
      <c r="AA18" s="102">
        <v>0.85204861111111108</v>
      </c>
      <c r="AB18" s="16"/>
      <c r="AC18" s="16"/>
      <c r="AD18" s="93">
        <v>20236</v>
      </c>
      <c r="AE18" s="93">
        <f t="shared" si="0"/>
        <v>20.236000000000001</v>
      </c>
      <c r="AF18">
        <v>14.77</v>
      </c>
      <c r="AG18" s="72">
        <f t="shared" si="1"/>
        <v>14</v>
      </c>
      <c r="AH18" s="37">
        <f t="shared" si="2"/>
        <v>20.236000000000001</v>
      </c>
      <c r="AJ18" s="38">
        <v>45811</v>
      </c>
      <c r="AL18" t="s">
        <v>5</v>
      </c>
      <c r="AM18" s="16"/>
      <c r="AN18" s="81">
        <v>0.41250000000000003</v>
      </c>
      <c r="AO18" s="81">
        <v>0.58819444444444446</v>
      </c>
      <c r="AP18" s="37">
        <v>3480</v>
      </c>
      <c r="AQ18" t="s">
        <v>670</v>
      </c>
      <c r="AR18" s="96">
        <v>45811</v>
      </c>
      <c r="AU18" s="21"/>
      <c r="BB18" s="73"/>
      <c r="BC18" s="73"/>
    </row>
    <row r="19" spans="2:55" ht="16" x14ac:dyDescent="0.4">
      <c r="B19" s="1">
        <v>45818</v>
      </c>
      <c r="C19" s="2">
        <f t="shared" si="3"/>
        <v>258.89600000000002</v>
      </c>
      <c r="D19" s="2">
        <f t="shared" si="4"/>
        <v>43.064</v>
      </c>
      <c r="E19" s="2">
        <f t="shared" si="4"/>
        <v>0</v>
      </c>
      <c r="F19" s="32">
        <f t="shared" si="5"/>
        <v>0</v>
      </c>
      <c r="G19" s="3">
        <f t="shared" si="12"/>
        <v>301.96000000000004</v>
      </c>
      <c r="H19" s="51">
        <f t="shared" si="6"/>
        <v>258.89600000000002</v>
      </c>
      <c r="I19" s="52">
        <f t="shared" si="13"/>
        <v>301.96000000000004</v>
      </c>
      <c r="J19" s="59">
        <f t="shared" si="7"/>
        <v>0</v>
      </c>
      <c r="K19" s="4"/>
      <c r="L19" s="20">
        <f t="shared" si="8"/>
        <v>0</v>
      </c>
      <c r="N19" s="43">
        <f t="shared" si="9"/>
        <v>13</v>
      </c>
      <c r="O19" s="44">
        <f t="shared" si="10"/>
        <v>14</v>
      </c>
      <c r="P19" s="41">
        <f t="shared" si="11"/>
        <v>0</v>
      </c>
      <c r="Q19" s="45">
        <f t="shared" si="14"/>
        <v>27</v>
      </c>
      <c r="V19" s="97">
        <v>45810</v>
      </c>
      <c r="W19" s="16">
        <v>155265</v>
      </c>
      <c r="X19" s="101" t="s">
        <v>36</v>
      </c>
      <c r="Y19" s="105"/>
      <c r="Z19" s="102">
        <v>0.75179398148148147</v>
      </c>
      <c r="AA19" s="102">
        <v>0.90826388888888887</v>
      </c>
      <c r="AB19" s="16"/>
      <c r="AC19" s="16"/>
      <c r="AD19" s="93">
        <v>14916</v>
      </c>
      <c r="AE19" s="93">
        <f t="shared" si="0"/>
        <v>14.916</v>
      </c>
      <c r="AF19">
        <v>16.45</v>
      </c>
      <c r="AG19" s="72">
        <f t="shared" si="1"/>
        <v>14</v>
      </c>
      <c r="AH19" s="37">
        <f t="shared" si="2"/>
        <v>14.916</v>
      </c>
      <c r="AJ19" s="38">
        <v>45812</v>
      </c>
      <c r="AL19" t="s">
        <v>5</v>
      </c>
      <c r="AM19" s="16"/>
      <c r="AN19" s="81">
        <v>0.44236111111111115</v>
      </c>
      <c r="AO19" s="81">
        <v>0.45694444444444443</v>
      </c>
      <c r="AP19" s="37">
        <v>2782</v>
      </c>
      <c r="AR19" s="96">
        <v>45812</v>
      </c>
      <c r="AU19" s="21"/>
      <c r="BB19" s="73"/>
      <c r="BC19" s="73"/>
    </row>
    <row r="20" spans="2:55" ht="16" x14ac:dyDescent="0.4">
      <c r="B20" s="1">
        <v>45819</v>
      </c>
      <c r="C20" s="2">
        <f t="shared" si="3"/>
        <v>285.76400000000001</v>
      </c>
      <c r="D20" s="2">
        <f t="shared" si="4"/>
        <v>35.725999999999999</v>
      </c>
      <c r="E20" s="2">
        <f t="shared" si="4"/>
        <v>0</v>
      </c>
      <c r="F20" s="32">
        <f t="shared" si="5"/>
        <v>0</v>
      </c>
      <c r="G20" s="3">
        <f t="shared" si="12"/>
        <v>321.49</v>
      </c>
      <c r="H20" s="51">
        <f t="shared" si="6"/>
        <v>282.8665471428572</v>
      </c>
      <c r="I20" s="52">
        <f t="shared" si="13"/>
        <v>318.5925471428572</v>
      </c>
      <c r="J20" s="59">
        <f t="shared" si="7"/>
        <v>0</v>
      </c>
      <c r="K20" s="4"/>
      <c r="L20" s="20">
        <f t="shared" si="8"/>
        <v>0</v>
      </c>
      <c r="N20" s="43">
        <f t="shared" si="9"/>
        <v>14</v>
      </c>
      <c r="O20" s="44">
        <f t="shared" si="10"/>
        <v>10</v>
      </c>
      <c r="P20" s="41">
        <f t="shared" si="11"/>
        <v>0</v>
      </c>
      <c r="Q20" s="45">
        <f t="shared" si="14"/>
        <v>24</v>
      </c>
      <c r="V20" s="97">
        <v>45810</v>
      </c>
      <c r="W20" s="16">
        <v>155286</v>
      </c>
      <c r="X20" s="101" t="s">
        <v>36</v>
      </c>
      <c r="Y20" s="105"/>
      <c r="Z20" s="102">
        <v>0.63572916666666668</v>
      </c>
      <c r="AA20" s="102">
        <v>0.99815972222222227</v>
      </c>
      <c r="AB20" s="16"/>
      <c r="AC20" s="16"/>
      <c r="AD20" s="93">
        <v>19742</v>
      </c>
      <c r="AE20" s="93">
        <f t="shared" si="0"/>
        <v>19.742000000000001</v>
      </c>
      <c r="AF20">
        <v>15.95</v>
      </c>
      <c r="AG20" s="72">
        <f t="shared" si="1"/>
        <v>14</v>
      </c>
      <c r="AH20" s="37">
        <f t="shared" si="2"/>
        <v>19.742000000000001</v>
      </c>
      <c r="AJ20" s="38">
        <v>45812</v>
      </c>
      <c r="AL20" t="s">
        <v>5</v>
      </c>
      <c r="AM20" s="16"/>
      <c r="AN20" s="81">
        <v>0.45763888888888887</v>
      </c>
      <c r="AO20" s="81">
        <v>0.47083333333333338</v>
      </c>
      <c r="AP20" s="37">
        <v>4254</v>
      </c>
      <c r="AQ20" t="s">
        <v>672</v>
      </c>
      <c r="AR20" s="96">
        <v>45812</v>
      </c>
      <c r="AU20" s="21"/>
      <c r="BB20" s="73"/>
      <c r="BC20" s="73"/>
    </row>
    <row r="21" spans="2:55" ht="16" x14ac:dyDescent="0.4">
      <c r="B21" s="1">
        <v>45820</v>
      </c>
      <c r="C21" s="2">
        <f t="shared" si="3"/>
        <v>222.768</v>
      </c>
      <c r="D21" s="2">
        <f t="shared" si="4"/>
        <v>38.515999999999998</v>
      </c>
      <c r="E21" s="2">
        <f t="shared" si="4"/>
        <v>0</v>
      </c>
      <c r="F21" s="32">
        <f t="shared" si="5"/>
        <v>29.27</v>
      </c>
      <c r="G21" s="3">
        <f t="shared" si="12"/>
        <v>261.28399999999999</v>
      </c>
      <c r="H21" s="51">
        <f t="shared" si="6"/>
        <v>244.65733571428572</v>
      </c>
      <c r="I21" s="52">
        <f t="shared" si="13"/>
        <v>283.17333571428571</v>
      </c>
      <c r="J21" s="59">
        <f t="shared" si="7"/>
        <v>29.27</v>
      </c>
      <c r="K21" s="4"/>
      <c r="L21" s="20">
        <f t="shared" si="8"/>
        <v>29.27</v>
      </c>
      <c r="N21" s="43">
        <f t="shared" si="9"/>
        <v>13</v>
      </c>
      <c r="O21" s="44">
        <f t="shared" si="10"/>
        <v>11</v>
      </c>
      <c r="P21" s="41">
        <f t="shared" si="11"/>
        <v>0</v>
      </c>
      <c r="Q21" s="45">
        <f t="shared" si="14"/>
        <v>24</v>
      </c>
      <c r="V21" s="97">
        <v>45811</v>
      </c>
      <c r="W21" s="16">
        <v>155297</v>
      </c>
      <c r="X21" s="101" t="s">
        <v>36</v>
      </c>
      <c r="Y21" s="105"/>
      <c r="Z21" s="102">
        <v>0.75206018518518514</v>
      </c>
      <c r="AA21" s="102">
        <v>5.1770833333333328E-2</v>
      </c>
      <c r="AB21" s="16"/>
      <c r="AC21" s="16"/>
      <c r="AD21" s="93">
        <v>22690</v>
      </c>
      <c r="AE21" s="93">
        <f t="shared" si="0"/>
        <v>22.69</v>
      </c>
      <c r="AF21">
        <v>16.45</v>
      </c>
      <c r="AG21" s="72">
        <f t="shared" si="1"/>
        <v>14</v>
      </c>
      <c r="AH21" s="37">
        <f t="shared" si="2"/>
        <v>22.69</v>
      </c>
      <c r="AJ21" s="38">
        <v>45812</v>
      </c>
      <c r="AL21" t="s">
        <v>5</v>
      </c>
      <c r="AM21" s="16"/>
      <c r="AN21" s="81">
        <v>0.38819444444444445</v>
      </c>
      <c r="AO21" s="81">
        <v>0.40208333333333335</v>
      </c>
      <c r="AP21" s="37">
        <v>2934</v>
      </c>
      <c r="AQ21" t="s">
        <v>673</v>
      </c>
      <c r="AR21" s="96">
        <v>45812</v>
      </c>
      <c r="AU21" s="21"/>
      <c r="BB21" s="73"/>
      <c r="BC21" s="73"/>
    </row>
    <row r="22" spans="2:55" ht="16" x14ac:dyDescent="0.4">
      <c r="B22" s="1">
        <v>45821</v>
      </c>
      <c r="C22" s="2">
        <f t="shared" si="3"/>
        <v>293.26799999999997</v>
      </c>
      <c r="D22" s="2">
        <f t="shared" si="4"/>
        <v>53.683999999999997</v>
      </c>
      <c r="E22" s="2">
        <f t="shared" si="4"/>
        <v>5.4080000000000004</v>
      </c>
      <c r="F22" s="32">
        <f t="shared" si="5"/>
        <v>0</v>
      </c>
      <c r="G22" s="3">
        <f t="shared" si="12"/>
        <v>352.36</v>
      </c>
      <c r="H22" s="51">
        <f t="shared" si="6"/>
        <v>292.36136571428568</v>
      </c>
      <c r="I22" s="52">
        <f t="shared" si="13"/>
        <v>351.45336571428572</v>
      </c>
      <c r="J22" s="59">
        <f t="shared" si="7"/>
        <v>0</v>
      </c>
      <c r="K22" s="4"/>
      <c r="L22" s="20">
        <f t="shared" si="8"/>
        <v>0</v>
      </c>
      <c r="N22" s="43">
        <f t="shared" si="9"/>
        <v>14</v>
      </c>
      <c r="O22" s="44">
        <f t="shared" si="10"/>
        <v>16</v>
      </c>
      <c r="P22" s="41">
        <f t="shared" si="11"/>
        <v>1</v>
      </c>
      <c r="Q22" s="45">
        <f t="shared" si="14"/>
        <v>31</v>
      </c>
      <c r="V22" s="97">
        <v>45811</v>
      </c>
      <c r="W22" s="16">
        <v>155310</v>
      </c>
      <c r="X22" s="101" t="s">
        <v>36</v>
      </c>
      <c r="Y22" s="105"/>
      <c r="Z22" s="102">
        <v>0.63559027777777777</v>
      </c>
      <c r="AA22" s="102">
        <v>0.11312499999999999</v>
      </c>
      <c r="AB22" s="16"/>
      <c r="AC22" s="16"/>
      <c r="AD22" s="93">
        <v>19286</v>
      </c>
      <c r="AE22" s="93">
        <f t="shared" si="0"/>
        <v>19.286000000000001</v>
      </c>
      <c r="AF22">
        <v>15.09</v>
      </c>
      <c r="AG22" s="72">
        <f t="shared" si="1"/>
        <v>14</v>
      </c>
      <c r="AH22" s="37">
        <f t="shared" si="2"/>
        <v>19.286000000000001</v>
      </c>
      <c r="AJ22" s="38">
        <v>45812</v>
      </c>
      <c r="AL22" t="s">
        <v>5</v>
      </c>
      <c r="AN22" s="81">
        <v>0.40277777777777773</v>
      </c>
      <c r="AO22" s="81">
        <v>0.54583333333333328</v>
      </c>
      <c r="AP22" s="37">
        <v>2156</v>
      </c>
      <c r="AQ22" s="81" t="s">
        <v>673</v>
      </c>
      <c r="AR22" s="96">
        <v>45812</v>
      </c>
      <c r="AU22" s="21"/>
      <c r="BB22" s="73"/>
      <c r="BC22" s="73"/>
    </row>
    <row r="23" spans="2:55" ht="16" x14ac:dyDescent="0.4">
      <c r="B23" s="1">
        <v>45822</v>
      </c>
      <c r="C23" s="2">
        <f t="shared" si="3"/>
        <v>290.91400000000004</v>
      </c>
      <c r="D23" s="2">
        <f t="shared" si="4"/>
        <v>31.42</v>
      </c>
      <c r="E23" s="2">
        <f t="shared" si="4"/>
        <v>0</v>
      </c>
      <c r="F23" s="32">
        <f t="shared" si="5"/>
        <v>0</v>
      </c>
      <c r="G23" s="3">
        <f t="shared" si="12"/>
        <v>322.33400000000006</v>
      </c>
      <c r="H23" s="51">
        <f t="shared" si="6"/>
        <v>290.19742571428571</v>
      </c>
      <c r="I23" s="52">
        <f t="shared" si="13"/>
        <v>321.61742571428573</v>
      </c>
      <c r="J23" s="59">
        <f t="shared" si="7"/>
        <v>0</v>
      </c>
      <c r="K23" s="4"/>
      <c r="L23" s="20">
        <f t="shared" si="8"/>
        <v>0</v>
      </c>
      <c r="N23" s="43">
        <f t="shared" si="9"/>
        <v>14</v>
      </c>
      <c r="O23" s="44">
        <f t="shared" si="10"/>
        <v>10</v>
      </c>
      <c r="P23" s="41">
        <f t="shared" si="11"/>
        <v>0</v>
      </c>
      <c r="Q23" s="45">
        <f t="shared" si="14"/>
        <v>24</v>
      </c>
      <c r="V23" s="97">
        <v>45811</v>
      </c>
      <c r="W23" s="16">
        <v>155321</v>
      </c>
      <c r="X23" s="101" t="s">
        <v>36</v>
      </c>
      <c r="Y23" s="105"/>
      <c r="Z23" s="102">
        <v>0.7518055555555555</v>
      </c>
      <c r="AA23" s="102">
        <v>0.17024305555555555</v>
      </c>
      <c r="AB23" s="16"/>
      <c r="AC23" s="16"/>
      <c r="AD23" s="93">
        <v>21608</v>
      </c>
      <c r="AE23" s="93">
        <f t="shared" si="0"/>
        <v>21.608000000000001</v>
      </c>
      <c r="AF23">
        <v>14.7</v>
      </c>
      <c r="AG23" s="72">
        <f t="shared" si="1"/>
        <v>14</v>
      </c>
      <c r="AH23" s="37">
        <f t="shared" si="2"/>
        <v>21.608000000000001</v>
      </c>
      <c r="AJ23" s="38">
        <v>45812</v>
      </c>
      <c r="AL23" t="s">
        <v>5</v>
      </c>
      <c r="AN23" s="81">
        <v>0.42569444444444443</v>
      </c>
      <c r="AO23" s="81">
        <v>0.44375000000000003</v>
      </c>
      <c r="AP23" s="37">
        <v>2836</v>
      </c>
      <c r="AQ23" t="s">
        <v>674</v>
      </c>
      <c r="AR23" s="96">
        <v>45812</v>
      </c>
      <c r="AU23" s="21"/>
      <c r="BB23" s="73"/>
      <c r="BC23" s="73"/>
    </row>
    <row r="24" spans="2:55" ht="16" x14ac:dyDescent="0.4">
      <c r="B24" s="1">
        <v>45823</v>
      </c>
      <c r="C24" s="2">
        <f t="shared" si="3"/>
        <v>157.10799999999998</v>
      </c>
      <c r="D24" s="2">
        <f t="shared" si="4"/>
        <v>0</v>
      </c>
      <c r="E24" s="2">
        <f t="shared" si="4"/>
        <v>0</v>
      </c>
      <c r="F24" s="32">
        <f t="shared" si="5"/>
        <v>14.196</v>
      </c>
      <c r="G24" s="3">
        <f t="shared" si="12"/>
        <v>157.10799999999998</v>
      </c>
      <c r="H24" s="51">
        <f t="shared" si="6"/>
        <v>165.93457142857142</v>
      </c>
      <c r="I24" s="52">
        <f t="shared" si="13"/>
        <v>165.93457142857142</v>
      </c>
      <c r="J24" s="59">
        <f t="shared" si="7"/>
        <v>14.196</v>
      </c>
      <c r="K24" s="4"/>
      <c r="L24" s="20">
        <f t="shared" si="8"/>
        <v>14.196</v>
      </c>
      <c r="N24" s="43">
        <f t="shared" si="9"/>
        <v>9</v>
      </c>
      <c r="O24" s="44">
        <f t="shared" si="10"/>
        <v>0</v>
      </c>
      <c r="P24" s="41">
        <f t="shared" si="11"/>
        <v>0</v>
      </c>
      <c r="Q24" s="45">
        <f t="shared" si="14"/>
        <v>9</v>
      </c>
      <c r="V24" s="97">
        <v>45811</v>
      </c>
      <c r="W24" s="16">
        <v>155326</v>
      </c>
      <c r="X24" s="101" t="s">
        <v>36</v>
      </c>
      <c r="Y24" s="105"/>
      <c r="Z24" s="102">
        <v>0.15902777777777777</v>
      </c>
      <c r="AA24" s="102">
        <v>0.21875</v>
      </c>
      <c r="AB24" s="16"/>
      <c r="AC24" s="16"/>
      <c r="AD24" s="93">
        <v>15654</v>
      </c>
      <c r="AE24" s="93">
        <f t="shared" si="0"/>
        <v>15.654</v>
      </c>
      <c r="AF24">
        <v>14.31</v>
      </c>
      <c r="AG24" s="72">
        <f t="shared" si="1"/>
        <v>14</v>
      </c>
      <c r="AH24" s="37">
        <f t="shared" si="2"/>
        <v>15.654</v>
      </c>
      <c r="AJ24" s="38">
        <v>45812</v>
      </c>
      <c r="AL24" t="s">
        <v>5</v>
      </c>
      <c r="AN24" s="81">
        <v>0.44375000000000003</v>
      </c>
      <c r="AO24" s="81">
        <v>0.5756944444444444</v>
      </c>
      <c r="AP24" s="37">
        <v>2292</v>
      </c>
      <c r="AQ24" t="s">
        <v>673</v>
      </c>
      <c r="AR24" s="96">
        <v>45812</v>
      </c>
      <c r="AU24" s="21"/>
      <c r="BB24" s="73"/>
      <c r="BC24" s="73"/>
    </row>
    <row r="25" spans="2:55" ht="16" x14ac:dyDescent="0.4">
      <c r="B25" s="1">
        <v>45824</v>
      </c>
      <c r="C25" s="2">
        <f t="shared" si="3"/>
        <v>42.980000000000004</v>
      </c>
      <c r="D25" s="2">
        <f t="shared" si="4"/>
        <v>40.978000000000002</v>
      </c>
      <c r="E25" s="2">
        <f t="shared" si="4"/>
        <v>0</v>
      </c>
      <c r="F25" s="32">
        <f t="shared" si="5"/>
        <v>0</v>
      </c>
      <c r="G25" s="3">
        <f t="shared" si="12"/>
        <v>83.957999999999998</v>
      </c>
      <c r="H25" s="51">
        <f t="shared" si="6"/>
        <v>42.980000000000004</v>
      </c>
      <c r="I25" s="52">
        <f t="shared" si="13"/>
        <v>83.957999999999998</v>
      </c>
      <c r="J25" s="59">
        <f t="shared" si="7"/>
        <v>0</v>
      </c>
      <c r="K25" s="4"/>
      <c r="L25" s="20">
        <f t="shared" si="8"/>
        <v>0</v>
      </c>
      <c r="N25" s="43">
        <f t="shared" si="9"/>
        <v>2</v>
      </c>
      <c r="O25" s="44">
        <f t="shared" si="10"/>
        <v>12</v>
      </c>
      <c r="P25" s="41">
        <f t="shared" si="11"/>
        <v>0</v>
      </c>
      <c r="Q25" s="45">
        <f t="shared" si="14"/>
        <v>14</v>
      </c>
      <c r="V25" s="97">
        <v>45811</v>
      </c>
      <c r="W25" s="16">
        <v>155350</v>
      </c>
      <c r="X25" s="101" t="s">
        <v>36</v>
      </c>
      <c r="Y25" s="105"/>
      <c r="Z25" s="102">
        <v>0.22013888888888888</v>
      </c>
      <c r="AA25" s="102">
        <v>0.30624999999999997</v>
      </c>
      <c r="AB25" s="16"/>
      <c r="AC25" s="16"/>
      <c r="AD25" s="93">
        <v>19444</v>
      </c>
      <c r="AE25" s="93">
        <f t="shared" si="0"/>
        <v>19.443999999999999</v>
      </c>
      <c r="AF25">
        <v>13.63</v>
      </c>
      <c r="AG25" s="72">
        <f t="shared" si="1"/>
        <v>13.63</v>
      </c>
      <c r="AH25" s="37">
        <f t="shared" si="2"/>
        <v>18.930122857142859</v>
      </c>
      <c r="AJ25" s="38">
        <v>45811</v>
      </c>
      <c r="AL25" t="s">
        <v>5</v>
      </c>
      <c r="AN25" s="81">
        <v>0.61944444444444446</v>
      </c>
      <c r="AO25" s="81">
        <v>0.63888888888888895</v>
      </c>
      <c r="AP25" s="37">
        <v>3684</v>
      </c>
      <c r="AQ25" t="s">
        <v>675</v>
      </c>
      <c r="AR25" s="96">
        <v>45812</v>
      </c>
      <c r="AU25" s="21"/>
      <c r="BB25" s="73"/>
      <c r="BC25" s="73"/>
    </row>
    <row r="26" spans="2:55" ht="16" x14ac:dyDescent="0.4">
      <c r="B26" s="1">
        <v>45825</v>
      </c>
      <c r="C26" s="2">
        <f t="shared" si="3"/>
        <v>254.69200000000001</v>
      </c>
      <c r="D26" s="2">
        <f t="shared" si="4"/>
        <v>20.423999999999999</v>
      </c>
      <c r="E26" s="2">
        <f t="shared" si="4"/>
        <v>0</v>
      </c>
      <c r="F26" s="32">
        <f t="shared" si="5"/>
        <v>0</v>
      </c>
      <c r="G26" s="3">
        <f t="shared" si="12"/>
        <v>275.11599999999999</v>
      </c>
      <c r="H26" s="51">
        <f t="shared" si="6"/>
        <v>254.0327542857143</v>
      </c>
      <c r="I26" s="52">
        <f t="shared" si="13"/>
        <v>274.45675428571428</v>
      </c>
      <c r="J26" s="59">
        <f t="shared" si="7"/>
        <v>0</v>
      </c>
      <c r="K26" s="4"/>
      <c r="L26" s="20">
        <f t="shared" si="8"/>
        <v>0</v>
      </c>
      <c r="N26" s="43">
        <f t="shared" si="9"/>
        <v>13</v>
      </c>
      <c r="O26" s="44">
        <f t="shared" si="10"/>
        <v>8</v>
      </c>
      <c r="P26" s="41">
        <f t="shared" si="11"/>
        <v>0</v>
      </c>
      <c r="Q26" s="45">
        <f t="shared" si="14"/>
        <v>21</v>
      </c>
      <c r="V26" s="97">
        <v>45811</v>
      </c>
      <c r="W26" s="16">
        <v>155400</v>
      </c>
      <c r="X26" s="101" t="s">
        <v>36</v>
      </c>
      <c r="Y26" s="105"/>
      <c r="Z26" s="102">
        <v>0.15833333333333333</v>
      </c>
      <c r="AA26" s="102">
        <v>0.35902777777777778</v>
      </c>
      <c r="AB26" s="16"/>
      <c r="AC26" s="16"/>
      <c r="AD26" s="93">
        <v>19974</v>
      </c>
      <c r="AE26" s="93">
        <f t="shared" si="0"/>
        <v>19.974</v>
      </c>
      <c r="AF26">
        <v>14.63</v>
      </c>
      <c r="AG26" s="72">
        <f t="shared" si="1"/>
        <v>14</v>
      </c>
      <c r="AH26" s="37">
        <f t="shared" si="2"/>
        <v>19.974</v>
      </c>
      <c r="AJ26" s="38">
        <v>45812</v>
      </c>
      <c r="AL26" t="s">
        <v>5</v>
      </c>
      <c r="AN26" s="81">
        <v>0.63958333333333328</v>
      </c>
      <c r="AO26" s="81">
        <v>0.58819444444444446</v>
      </c>
      <c r="AP26" s="37">
        <v>4568</v>
      </c>
      <c r="AQ26" t="s">
        <v>676</v>
      </c>
      <c r="AR26" s="96">
        <v>45812</v>
      </c>
      <c r="AU26" s="21"/>
      <c r="BB26" s="73"/>
      <c r="BC26" s="73"/>
    </row>
    <row r="27" spans="2:55" ht="16" x14ac:dyDescent="0.4">
      <c r="B27" s="1">
        <v>45826</v>
      </c>
      <c r="C27" s="2">
        <f t="shared" si="3"/>
        <v>300.17600000000004</v>
      </c>
      <c r="D27" s="2">
        <f t="shared" si="4"/>
        <v>45.514000000000003</v>
      </c>
      <c r="E27" s="2">
        <f t="shared" si="4"/>
        <v>0</v>
      </c>
      <c r="F27" s="32">
        <f t="shared" si="5"/>
        <v>0</v>
      </c>
      <c r="G27" s="3">
        <f t="shared" si="12"/>
        <v>345.69000000000005</v>
      </c>
      <c r="H27" s="51">
        <f t="shared" si="6"/>
        <v>298.94012000000004</v>
      </c>
      <c r="I27" s="52">
        <f t="shared" si="13"/>
        <v>344.45412000000005</v>
      </c>
      <c r="J27" s="59">
        <f t="shared" si="7"/>
        <v>0</v>
      </c>
      <c r="K27" s="4"/>
      <c r="L27" s="20">
        <f t="shared" si="8"/>
        <v>0</v>
      </c>
      <c r="N27" s="43">
        <f t="shared" si="9"/>
        <v>15</v>
      </c>
      <c r="O27" s="44">
        <f t="shared" si="10"/>
        <v>15</v>
      </c>
      <c r="P27" s="41">
        <f t="shared" si="11"/>
        <v>0</v>
      </c>
      <c r="Q27" s="45">
        <f t="shared" si="14"/>
        <v>30</v>
      </c>
      <c r="V27" s="97">
        <v>45811</v>
      </c>
      <c r="W27" s="16">
        <v>155459</v>
      </c>
      <c r="X27" s="101" t="s">
        <v>36</v>
      </c>
      <c r="Y27" s="105"/>
      <c r="Z27" s="102">
        <v>0.21944444444444444</v>
      </c>
      <c r="AA27" s="102">
        <v>0.41180555555555554</v>
      </c>
      <c r="AB27" s="16"/>
      <c r="AC27" s="16"/>
      <c r="AD27" s="93">
        <v>21518</v>
      </c>
      <c r="AE27" s="93">
        <f t="shared" si="0"/>
        <v>21.518000000000001</v>
      </c>
      <c r="AF27">
        <v>14.55</v>
      </c>
      <c r="AG27" s="72">
        <f t="shared" si="1"/>
        <v>14</v>
      </c>
      <c r="AH27" s="37">
        <f t="shared" si="2"/>
        <v>21.518000000000001</v>
      </c>
      <c r="AJ27" s="38">
        <v>45812</v>
      </c>
      <c r="AL27" t="s">
        <v>5</v>
      </c>
      <c r="AN27" s="81">
        <v>0.6166666666666667</v>
      </c>
      <c r="AO27" s="81">
        <v>0.63263888888888886</v>
      </c>
      <c r="AP27" s="37">
        <v>3628</v>
      </c>
      <c r="AQ27" t="s">
        <v>672</v>
      </c>
      <c r="AR27" s="96">
        <v>45812</v>
      </c>
      <c r="AU27" s="21"/>
      <c r="BB27" s="73"/>
      <c r="BC27" s="73"/>
    </row>
    <row r="28" spans="2:55" ht="16" x14ac:dyDescent="0.4">
      <c r="B28" s="1">
        <v>45827</v>
      </c>
      <c r="C28" s="2">
        <f t="shared" si="3"/>
        <v>221.48599999999999</v>
      </c>
      <c r="D28" s="2">
        <f t="shared" si="4"/>
        <v>37.811999999999998</v>
      </c>
      <c r="E28" s="2">
        <f t="shared" si="4"/>
        <v>0</v>
      </c>
      <c r="F28" s="32">
        <f t="shared" si="5"/>
        <v>12.11</v>
      </c>
      <c r="G28" s="3">
        <f t="shared" si="12"/>
        <v>259.298</v>
      </c>
      <c r="H28" s="51">
        <f t="shared" si="6"/>
        <v>226.80113142857141</v>
      </c>
      <c r="I28" s="52">
        <f t="shared" si="13"/>
        <v>264.61313142857142</v>
      </c>
      <c r="J28" s="59">
        <f t="shared" si="7"/>
        <v>12.11</v>
      </c>
      <c r="K28" s="4"/>
      <c r="L28" s="20">
        <f t="shared" si="8"/>
        <v>12.11</v>
      </c>
      <c r="N28" s="43">
        <f t="shared" si="9"/>
        <v>12</v>
      </c>
      <c r="O28" s="44">
        <f t="shared" si="10"/>
        <v>12</v>
      </c>
      <c r="P28" s="41">
        <f t="shared" si="11"/>
        <v>0</v>
      </c>
      <c r="Q28" s="45">
        <f t="shared" si="14"/>
        <v>24</v>
      </c>
      <c r="V28" s="97">
        <v>45811</v>
      </c>
      <c r="W28" s="16">
        <v>155519</v>
      </c>
      <c r="X28" s="101" t="s">
        <v>36</v>
      </c>
      <c r="Y28" s="105"/>
      <c r="Z28" s="102">
        <v>0.15833333333333333</v>
      </c>
      <c r="AA28" s="102">
        <v>0.49305555555555558</v>
      </c>
      <c r="AB28" s="16"/>
      <c r="AC28" s="16"/>
      <c r="AD28" s="93">
        <v>21614</v>
      </c>
      <c r="AE28" s="93">
        <f t="shared" si="0"/>
        <v>21.614000000000001</v>
      </c>
      <c r="AF28">
        <v>15.88</v>
      </c>
      <c r="AG28" s="72">
        <f t="shared" si="1"/>
        <v>14</v>
      </c>
      <c r="AH28" s="37">
        <f t="shared" si="2"/>
        <v>21.614000000000001</v>
      </c>
      <c r="AJ28" s="38">
        <v>45812</v>
      </c>
      <c r="AL28" t="s">
        <v>5</v>
      </c>
      <c r="AN28" s="81">
        <v>0.58680555555555558</v>
      </c>
      <c r="AO28" s="81">
        <v>0.66736111111111107</v>
      </c>
      <c r="AP28" s="37">
        <v>3200</v>
      </c>
      <c r="AQ28" t="s">
        <v>677</v>
      </c>
      <c r="AR28" s="96">
        <v>45812</v>
      </c>
      <c r="AU28" s="21"/>
      <c r="BB28" s="73"/>
      <c r="BC28" s="73"/>
    </row>
    <row r="29" spans="2:55" ht="16" x14ac:dyDescent="0.4">
      <c r="B29" s="1">
        <v>45828</v>
      </c>
      <c r="C29" s="2">
        <f t="shared" si="3"/>
        <v>285.72200000000004</v>
      </c>
      <c r="D29" s="2">
        <f t="shared" si="4"/>
        <v>40.360999999999997</v>
      </c>
      <c r="E29" s="2">
        <f t="shared" si="4"/>
        <v>0</v>
      </c>
      <c r="F29" s="32">
        <f t="shared" si="5"/>
        <v>0</v>
      </c>
      <c r="G29" s="3">
        <f t="shared" si="12"/>
        <v>326.08300000000003</v>
      </c>
      <c r="H29" s="51">
        <f t="shared" si="6"/>
        <v>285.72200000000004</v>
      </c>
      <c r="I29" s="52">
        <f t="shared" si="13"/>
        <v>326.08300000000003</v>
      </c>
      <c r="J29" s="59">
        <f t="shared" si="7"/>
        <v>0</v>
      </c>
      <c r="K29" s="4"/>
      <c r="L29" s="20">
        <f t="shared" si="8"/>
        <v>0</v>
      </c>
      <c r="N29" s="43">
        <f t="shared" si="9"/>
        <v>15</v>
      </c>
      <c r="O29" s="44">
        <f t="shared" si="10"/>
        <v>12</v>
      </c>
      <c r="P29" s="41">
        <f t="shared" si="11"/>
        <v>0</v>
      </c>
      <c r="Q29" s="45">
        <f t="shared" si="14"/>
        <v>27</v>
      </c>
      <c r="V29" s="97">
        <v>45811</v>
      </c>
      <c r="W29" s="16">
        <v>155530</v>
      </c>
      <c r="X29" s="101" t="s">
        <v>36</v>
      </c>
      <c r="Y29" s="105"/>
      <c r="Z29" s="102">
        <v>0.22013888888888888</v>
      </c>
      <c r="AA29" s="102">
        <v>0.55347222222222225</v>
      </c>
      <c r="AB29" s="16"/>
      <c r="AC29" s="16"/>
      <c r="AD29" s="93">
        <v>20186</v>
      </c>
      <c r="AE29" s="93">
        <f t="shared" si="0"/>
        <v>20.186</v>
      </c>
      <c r="AF29">
        <v>14.3</v>
      </c>
      <c r="AG29" s="72">
        <f t="shared" si="1"/>
        <v>14</v>
      </c>
      <c r="AH29" s="37">
        <f t="shared" si="2"/>
        <v>20.186</v>
      </c>
      <c r="AJ29" s="38">
        <v>45813</v>
      </c>
      <c r="AL29" t="s">
        <v>5</v>
      </c>
      <c r="AN29" s="81">
        <v>0.45694444444444443</v>
      </c>
      <c r="AO29" s="81">
        <v>0.36944444444444446</v>
      </c>
      <c r="AP29" s="37">
        <v>2760</v>
      </c>
      <c r="AQ29" t="s">
        <v>672</v>
      </c>
      <c r="AR29" s="96">
        <v>45813</v>
      </c>
      <c r="AU29" s="21"/>
      <c r="BB29" s="73"/>
      <c r="BC29" s="73"/>
    </row>
    <row r="30" spans="2:55" ht="16" x14ac:dyDescent="0.4">
      <c r="B30" s="1">
        <v>45829</v>
      </c>
      <c r="C30" s="2">
        <f t="shared" si="3"/>
        <v>242.84200000000004</v>
      </c>
      <c r="D30" s="2">
        <f t="shared" si="4"/>
        <v>26.46</v>
      </c>
      <c r="E30" s="2">
        <f t="shared" si="4"/>
        <v>0</v>
      </c>
      <c r="F30" s="32">
        <f t="shared" si="5"/>
        <v>0</v>
      </c>
      <c r="G30" s="3">
        <f t="shared" si="12"/>
        <v>269.30200000000002</v>
      </c>
      <c r="H30" s="51">
        <f t="shared" si="6"/>
        <v>241.66009142857146</v>
      </c>
      <c r="I30" s="52">
        <f t="shared" si="13"/>
        <v>268.12009142857147</v>
      </c>
      <c r="J30" s="59">
        <f t="shared" si="7"/>
        <v>0</v>
      </c>
      <c r="K30" s="4"/>
      <c r="L30" s="20">
        <f t="shared" si="8"/>
        <v>0</v>
      </c>
      <c r="N30" s="43">
        <f t="shared" si="9"/>
        <v>13</v>
      </c>
      <c r="O30" s="44">
        <f t="shared" si="10"/>
        <v>8</v>
      </c>
      <c r="P30" s="41">
        <f t="shared" si="11"/>
        <v>0</v>
      </c>
      <c r="Q30" s="45">
        <f t="shared" si="14"/>
        <v>21</v>
      </c>
      <c r="V30" s="97">
        <v>45811</v>
      </c>
      <c r="W30" s="16">
        <v>155587</v>
      </c>
      <c r="X30" s="101" t="s">
        <v>36</v>
      </c>
      <c r="Y30" s="105"/>
      <c r="Z30" s="102">
        <v>0.53680555555555554</v>
      </c>
      <c r="AA30" s="102">
        <v>0.62569444444444444</v>
      </c>
      <c r="AB30" s="16"/>
      <c r="AC30" s="16"/>
      <c r="AD30" s="93">
        <v>21126</v>
      </c>
      <c r="AE30" s="93">
        <f t="shared" si="0"/>
        <v>21.126000000000001</v>
      </c>
      <c r="AF30">
        <v>14.74</v>
      </c>
      <c r="AG30" s="72">
        <f t="shared" si="1"/>
        <v>14</v>
      </c>
      <c r="AH30" s="37">
        <f t="shared" si="2"/>
        <v>21.126000000000001</v>
      </c>
      <c r="AJ30" s="38">
        <v>45813</v>
      </c>
      <c r="AL30" t="s">
        <v>5</v>
      </c>
      <c r="AN30" s="39">
        <v>0.36249999999999999</v>
      </c>
      <c r="AO30" s="39">
        <v>0.37916666666666665</v>
      </c>
      <c r="AP30" s="37">
        <v>3644</v>
      </c>
      <c r="AQ30" t="s">
        <v>670</v>
      </c>
      <c r="AR30" s="38">
        <v>45813</v>
      </c>
      <c r="AU30" s="21"/>
      <c r="BB30" s="73"/>
      <c r="BC30" s="73"/>
    </row>
    <row r="31" spans="2:55" ht="16" x14ac:dyDescent="0.4">
      <c r="B31" s="1">
        <v>45830</v>
      </c>
      <c r="C31" s="2">
        <f t="shared" si="3"/>
        <v>132.024</v>
      </c>
      <c r="D31" s="2">
        <f t="shared" si="4"/>
        <v>0</v>
      </c>
      <c r="E31" s="2">
        <f t="shared" si="4"/>
        <v>0</v>
      </c>
      <c r="F31" s="32">
        <f t="shared" si="5"/>
        <v>0</v>
      </c>
      <c r="G31" s="3">
        <f t="shared" si="12"/>
        <v>132.024</v>
      </c>
      <c r="H31" s="51">
        <f t="shared" si="6"/>
        <v>120.11244142857143</v>
      </c>
      <c r="I31" s="52">
        <f t="shared" si="13"/>
        <v>120.11244142857143</v>
      </c>
      <c r="J31" s="59">
        <f t="shared" si="7"/>
        <v>0</v>
      </c>
      <c r="K31" s="4"/>
      <c r="L31" s="20">
        <f t="shared" si="8"/>
        <v>0</v>
      </c>
      <c r="N31" s="43">
        <f t="shared" si="9"/>
        <v>8</v>
      </c>
      <c r="O31" s="44">
        <f t="shared" si="10"/>
        <v>0</v>
      </c>
      <c r="P31" s="41">
        <f t="shared" si="11"/>
        <v>0</v>
      </c>
      <c r="Q31" s="45">
        <f t="shared" si="14"/>
        <v>8</v>
      </c>
      <c r="V31" s="97">
        <v>45811</v>
      </c>
      <c r="W31" s="16">
        <v>155653</v>
      </c>
      <c r="X31" s="101" t="s">
        <v>36</v>
      </c>
      <c r="Y31" s="105"/>
      <c r="Z31" s="102">
        <v>0.62635416666666666</v>
      </c>
      <c r="AA31" s="102">
        <v>0.76170138888888894</v>
      </c>
      <c r="AB31" s="16"/>
      <c r="AC31" s="16"/>
      <c r="AD31" s="93">
        <v>14978</v>
      </c>
      <c r="AE31" s="93">
        <f t="shared" si="0"/>
        <v>14.978</v>
      </c>
      <c r="AF31">
        <v>13.81</v>
      </c>
      <c r="AG31" s="72">
        <f t="shared" si="1"/>
        <v>13.81</v>
      </c>
      <c r="AH31" s="37">
        <f t="shared" si="2"/>
        <v>14.774727142857143</v>
      </c>
      <c r="AJ31" s="38">
        <v>45813</v>
      </c>
      <c r="AL31" t="s">
        <v>5</v>
      </c>
      <c r="AN31" s="39">
        <v>0.50486111111111109</v>
      </c>
      <c r="AO31" s="39">
        <v>0.3576388888888889</v>
      </c>
      <c r="AP31" s="37">
        <v>6380</v>
      </c>
      <c r="AR31" s="38">
        <v>45813</v>
      </c>
      <c r="AU31" s="21"/>
      <c r="BB31" s="73"/>
      <c r="BC31" s="73"/>
    </row>
    <row r="32" spans="2:55" ht="16" x14ac:dyDescent="0.4">
      <c r="B32" s="1">
        <v>45831</v>
      </c>
      <c r="C32" s="2">
        <f t="shared" si="3"/>
        <v>0</v>
      </c>
      <c r="D32" s="2">
        <f t="shared" si="4"/>
        <v>24.95</v>
      </c>
      <c r="E32" s="2">
        <f t="shared" si="4"/>
        <v>0</v>
      </c>
      <c r="F32" s="32">
        <f t="shared" si="5"/>
        <v>0</v>
      </c>
      <c r="G32" s="3">
        <f t="shared" si="12"/>
        <v>24.95</v>
      </c>
      <c r="H32" s="51">
        <f t="shared" si="6"/>
        <v>0</v>
      </c>
      <c r="I32" s="52">
        <f t="shared" si="13"/>
        <v>24.95</v>
      </c>
      <c r="J32" s="59">
        <f t="shared" si="7"/>
        <v>0</v>
      </c>
      <c r="K32" s="4"/>
      <c r="L32" s="20">
        <f t="shared" si="8"/>
        <v>0</v>
      </c>
      <c r="N32" s="43">
        <f t="shared" si="9"/>
        <v>0</v>
      </c>
      <c r="O32" s="44">
        <f t="shared" si="10"/>
        <v>10</v>
      </c>
      <c r="P32" s="41">
        <f t="shared" si="11"/>
        <v>0</v>
      </c>
      <c r="Q32" s="45">
        <f t="shared" si="14"/>
        <v>10</v>
      </c>
      <c r="V32" s="97">
        <v>45811</v>
      </c>
      <c r="W32" s="16">
        <v>155691</v>
      </c>
      <c r="X32" s="101" t="s">
        <v>36</v>
      </c>
      <c r="Y32" s="105"/>
      <c r="Z32" s="102">
        <v>0.86975694444444451</v>
      </c>
      <c r="AA32" s="102">
        <v>0.84583333333333333</v>
      </c>
      <c r="AB32" s="16"/>
      <c r="AC32" s="16"/>
      <c r="AD32" s="93">
        <v>17436</v>
      </c>
      <c r="AE32" s="93">
        <f t="shared" si="0"/>
        <v>17.436</v>
      </c>
      <c r="AF32">
        <v>15.05</v>
      </c>
      <c r="AG32" s="72">
        <f t="shared" si="1"/>
        <v>14</v>
      </c>
      <c r="AH32" s="37">
        <f t="shared" si="2"/>
        <v>17.436</v>
      </c>
      <c r="AJ32" s="38">
        <v>45813</v>
      </c>
      <c r="AK32">
        <v>156382</v>
      </c>
      <c r="AL32" t="s">
        <v>5</v>
      </c>
      <c r="AN32" s="39"/>
      <c r="AO32" s="39"/>
      <c r="AP32" s="37">
        <v>2354</v>
      </c>
      <c r="AR32" s="38">
        <v>45813</v>
      </c>
      <c r="AU32" s="21"/>
      <c r="BB32" s="73"/>
      <c r="BC32" s="73"/>
    </row>
    <row r="33" spans="2:55" ht="16" x14ac:dyDescent="0.4">
      <c r="B33" s="1">
        <v>45832</v>
      </c>
      <c r="C33" s="2">
        <f t="shared" si="3"/>
        <v>156.66000000000003</v>
      </c>
      <c r="D33" s="2">
        <f t="shared" si="4"/>
        <v>4.5720000000000001</v>
      </c>
      <c r="E33" s="2">
        <f t="shared" si="4"/>
        <v>0</v>
      </c>
      <c r="F33" s="32">
        <f t="shared" si="5"/>
        <v>0</v>
      </c>
      <c r="G33" s="3">
        <f t="shared" si="12"/>
        <v>161.23200000000003</v>
      </c>
      <c r="H33" s="51">
        <f t="shared" si="6"/>
        <v>156.66000000000003</v>
      </c>
      <c r="I33" s="52">
        <f t="shared" si="13"/>
        <v>161.23200000000003</v>
      </c>
      <c r="J33" s="59">
        <f t="shared" si="7"/>
        <v>0</v>
      </c>
      <c r="K33" s="4"/>
      <c r="L33" s="20" t="s">
        <v>48</v>
      </c>
      <c r="N33" s="43">
        <f t="shared" si="9"/>
        <v>8</v>
      </c>
      <c r="O33" s="44">
        <f t="shared" si="10"/>
        <v>1</v>
      </c>
      <c r="P33" s="41">
        <f t="shared" si="11"/>
        <v>0</v>
      </c>
      <c r="Q33" s="45">
        <f t="shared" si="14"/>
        <v>9</v>
      </c>
      <c r="V33" s="97">
        <v>45811</v>
      </c>
      <c r="W33" s="16">
        <v>155722</v>
      </c>
      <c r="X33" s="101" t="s">
        <v>36</v>
      </c>
      <c r="Y33" s="105"/>
      <c r="Z33" s="102">
        <v>0.63484953703703706</v>
      </c>
      <c r="AA33" s="102">
        <v>0.91469907407407414</v>
      </c>
      <c r="AB33" s="16"/>
      <c r="AC33" s="16"/>
      <c r="AD33" s="93">
        <v>18634</v>
      </c>
      <c r="AE33" s="93">
        <f t="shared" si="0"/>
        <v>18.634</v>
      </c>
      <c r="AF33">
        <v>15.56</v>
      </c>
      <c r="AG33" s="72">
        <f t="shared" si="1"/>
        <v>14</v>
      </c>
      <c r="AH33" s="37">
        <f t="shared" si="2"/>
        <v>18.633999999999997</v>
      </c>
      <c r="AJ33" s="38">
        <v>45813</v>
      </c>
      <c r="AL33" t="s">
        <v>5</v>
      </c>
      <c r="AN33" s="39">
        <v>0.47152777777777777</v>
      </c>
      <c r="AO33" s="39"/>
      <c r="AP33" s="37">
        <v>3686</v>
      </c>
      <c r="AQ33" t="s">
        <v>670</v>
      </c>
      <c r="AR33" s="38">
        <v>45813</v>
      </c>
      <c r="AU33" s="21"/>
      <c r="BB33" s="73"/>
      <c r="BC33" s="73"/>
    </row>
    <row r="34" spans="2:55" ht="16" x14ac:dyDescent="0.4">
      <c r="B34" s="1">
        <v>45833</v>
      </c>
      <c r="C34" s="2">
        <f t="shared" si="3"/>
        <v>309.42600000000004</v>
      </c>
      <c r="D34" s="2">
        <f t="shared" si="4"/>
        <v>10.99</v>
      </c>
      <c r="E34" s="2">
        <f t="shared" si="4"/>
        <v>0</v>
      </c>
      <c r="F34" s="32">
        <f t="shared" si="5"/>
        <v>0</v>
      </c>
      <c r="G34" s="3">
        <f t="shared" si="12"/>
        <v>320.41600000000005</v>
      </c>
      <c r="H34" s="51">
        <f t="shared" si="6"/>
        <v>309.25287428571431</v>
      </c>
      <c r="I34" s="52">
        <f t="shared" si="13"/>
        <v>320.24287428571432</v>
      </c>
      <c r="J34" s="59">
        <f t="shared" si="7"/>
        <v>0</v>
      </c>
      <c r="K34" s="4"/>
      <c r="L34" s="20">
        <f t="shared" si="8"/>
        <v>0</v>
      </c>
      <c r="N34" s="43">
        <f t="shared" si="9"/>
        <v>16</v>
      </c>
      <c r="O34" s="44">
        <f t="shared" si="10"/>
        <v>6</v>
      </c>
      <c r="P34" s="41">
        <f t="shared" si="11"/>
        <v>0</v>
      </c>
      <c r="Q34" s="45">
        <f t="shared" si="14"/>
        <v>22</v>
      </c>
      <c r="V34" s="97">
        <v>45812</v>
      </c>
      <c r="W34" s="16">
        <v>155754</v>
      </c>
      <c r="X34" s="101" t="s">
        <v>36</v>
      </c>
      <c r="Y34" s="105"/>
      <c r="Z34" s="102">
        <v>0.53724537037037035</v>
      </c>
      <c r="AA34" s="102">
        <v>1.3773148148148147E-3</v>
      </c>
      <c r="AB34" s="16"/>
      <c r="AC34" s="16"/>
      <c r="AD34" s="93">
        <v>18890</v>
      </c>
      <c r="AE34" s="93">
        <f t="shared" si="0"/>
        <v>18.89</v>
      </c>
      <c r="AF34">
        <v>16.059999999999999</v>
      </c>
      <c r="AG34" s="72">
        <f t="shared" si="1"/>
        <v>14</v>
      </c>
      <c r="AH34" s="37">
        <f t="shared" si="2"/>
        <v>18.890000000000004</v>
      </c>
      <c r="AJ34" s="38">
        <v>45813</v>
      </c>
      <c r="AL34" t="s">
        <v>5</v>
      </c>
      <c r="AN34" s="39">
        <v>0.46180555555555558</v>
      </c>
      <c r="AO34" s="39">
        <v>0.48333333333333334</v>
      </c>
      <c r="AP34" s="37">
        <v>3212</v>
      </c>
      <c r="AQ34" t="s">
        <v>672</v>
      </c>
      <c r="AR34" s="38">
        <v>45813</v>
      </c>
      <c r="AU34" s="21"/>
      <c r="BB34" s="73"/>
      <c r="BC34" s="73"/>
    </row>
    <row r="35" spans="2:55" ht="16" x14ac:dyDescent="0.4">
      <c r="B35" s="1">
        <v>45834</v>
      </c>
      <c r="C35" s="2">
        <f t="shared" si="3"/>
        <v>289.25200000000001</v>
      </c>
      <c r="D35" s="2">
        <f t="shared" si="4"/>
        <v>21.352</v>
      </c>
      <c r="E35" s="2">
        <f t="shared" si="4"/>
        <v>0</v>
      </c>
      <c r="F35" s="32">
        <f t="shared" si="5"/>
        <v>0</v>
      </c>
      <c r="G35" s="3">
        <f t="shared" si="12"/>
        <v>310.60399999999998</v>
      </c>
      <c r="H35" s="51">
        <f t="shared" si="6"/>
        <v>288.74331142857142</v>
      </c>
      <c r="I35" s="52">
        <f t="shared" si="13"/>
        <v>310.09531142857139</v>
      </c>
      <c r="J35" s="59">
        <f t="shared" si="7"/>
        <v>0</v>
      </c>
      <c r="K35" s="4"/>
      <c r="L35" s="20">
        <f t="shared" si="8"/>
        <v>0</v>
      </c>
      <c r="N35" s="43">
        <f t="shared" si="9"/>
        <v>15</v>
      </c>
      <c r="O35" s="44">
        <f t="shared" si="10"/>
        <v>6</v>
      </c>
      <c r="P35" s="41">
        <f t="shared" si="11"/>
        <v>0</v>
      </c>
      <c r="Q35" s="45">
        <f t="shared" si="14"/>
        <v>21</v>
      </c>
      <c r="V35" s="97">
        <v>45812</v>
      </c>
      <c r="W35" s="16">
        <v>155775</v>
      </c>
      <c r="X35" s="101" t="s">
        <v>36</v>
      </c>
      <c r="Y35" s="105"/>
      <c r="Z35" s="102">
        <v>0.63501157407407405</v>
      </c>
      <c r="AA35" s="102">
        <v>0.26674768518518516</v>
      </c>
      <c r="AB35" s="16"/>
      <c r="AC35" s="16"/>
      <c r="AD35" s="93">
        <v>18094</v>
      </c>
      <c r="AE35" s="93">
        <f t="shared" si="0"/>
        <v>18.094000000000001</v>
      </c>
      <c r="AF35">
        <v>15.91</v>
      </c>
      <c r="AG35" s="72">
        <f t="shared" si="1"/>
        <v>14</v>
      </c>
      <c r="AH35" s="37">
        <f t="shared" si="2"/>
        <v>18.094000000000001</v>
      </c>
      <c r="AJ35" s="38">
        <v>45813</v>
      </c>
      <c r="AL35" t="s">
        <v>5</v>
      </c>
      <c r="AN35" s="39">
        <v>0.46458333333333335</v>
      </c>
      <c r="AO35" s="39"/>
      <c r="AP35" s="37">
        <v>4330</v>
      </c>
      <c r="AR35" s="38">
        <v>45813</v>
      </c>
      <c r="AU35" s="21"/>
      <c r="BB35" s="73"/>
      <c r="BC35" s="73"/>
    </row>
    <row r="36" spans="2:55" ht="16" x14ac:dyDescent="0.4">
      <c r="B36" s="1">
        <v>45835</v>
      </c>
      <c r="C36" s="2">
        <f t="shared" si="3"/>
        <v>237.55600000000001</v>
      </c>
      <c r="D36" s="2">
        <f t="shared" si="4"/>
        <v>22.33</v>
      </c>
      <c r="E36" s="2">
        <f t="shared" si="4"/>
        <v>0</v>
      </c>
      <c r="F36" s="32">
        <f t="shared" si="5"/>
        <v>4.8739999999999997</v>
      </c>
      <c r="G36" s="3">
        <f t="shared" si="12"/>
        <v>259.88600000000002</v>
      </c>
      <c r="H36" s="51">
        <f t="shared" si="6"/>
        <v>238.91027571428569</v>
      </c>
      <c r="I36" s="52">
        <f t="shared" si="13"/>
        <v>261.2402757142857</v>
      </c>
      <c r="J36" s="59">
        <f t="shared" si="7"/>
        <v>4.8739999999999997</v>
      </c>
      <c r="K36" s="4"/>
      <c r="L36" s="20">
        <f t="shared" si="8"/>
        <v>4.8739999999999997</v>
      </c>
      <c r="N36" s="43">
        <f t="shared" si="9"/>
        <v>13</v>
      </c>
      <c r="O36" s="44">
        <f t="shared" si="10"/>
        <v>9</v>
      </c>
      <c r="P36" s="41">
        <f t="shared" si="11"/>
        <v>0</v>
      </c>
      <c r="Q36" s="45">
        <f t="shared" si="14"/>
        <v>22</v>
      </c>
      <c r="V36" s="97">
        <v>45812</v>
      </c>
      <c r="W36" s="16">
        <v>155788</v>
      </c>
      <c r="X36" s="101" t="s">
        <v>36</v>
      </c>
      <c r="Y36" s="105"/>
      <c r="Z36" s="102">
        <v>5.3252314814814815E-2</v>
      </c>
      <c r="AA36" s="102">
        <v>0.13134259259259259</v>
      </c>
      <c r="AB36" s="16"/>
      <c r="AC36" s="16"/>
      <c r="AD36" s="93">
        <v>19460</v>
      </c>
      <c r="AE36" s="93">
        <f t="shared" si="0"/>
        <v>19.46</v>
      </c>
      <c r="AF36">
        <v>15.66</v>
      </c>
      <c r="AG36" s="72">
        <f t="shared" si="1"/>
        <v>14</v>
      </c>
      <c r="AH36" s="37">
        <f t="shared" si="2"/>
        <v>19.46</v>
      </c>
      <c r="AJ36" s="38">
        <v>45813</v>
      </c>
      <c r="AL36" t="s">
        <v>5</v>
      </c>
      <c r="AN36" s="39">
        <v>0.58750000000000002</v>
      </c>
      <c r="AO36" s="39">
        <v>0.60277777777777775</v>
      </c>
      <c r="AP36" s="37">
        <v>1654</v>
      </c>
      <c r="AQ36" t="s">
        <v>670</v>
      </c>
      <c r="AR36" s="38">
        <v>45813</v>
      </c>
      <c r="AU36" s="21"/>
      <c r="BB36" s="73"/>
      <c r="BC36" s="73"/>
    </row>
    <row r="37" spans="2:55" ht="16" x14ac:dyDescent="0.4">
      <c r="B37" s="1">
        <v>45836</v>
      </c>
      <c r="C37" s="2">
        <f t="shared" si="3"/>
        <v>232.964</v>
      </c>
      <c r="D37" s="2">
        <f t="shared" si="4"/>
        <v>13.055999999999999</v>
      </c>
      <c r="E37" s="2">
        <f t="shared" si="4"/>
        <v>0</v>
      </c>
      <c r="F37" s="32">
        <f t="shared" si="5"/>
        <v>15.32</v>
      </c>
      <c r="G37" s="3">
        <f t="shared" si="12"/>
        <v>246.02</v>
      </c>
      <c r="H37" s="51">
        <f t="shared" si="6"/>
        <v>245.39398857142859</v>
      </c>
      <c r="I37" s="52">
        <f t="shared" si="13"/>
        <v>258.44998857142861</v>
      </c>
      <c r="J37" s="59">
        <f t="shared" si="7"/>
        <v>15.32</v>
      </c>
      <c r="K37" s="4"/>
      <c r="L37" s="20">
        <f t="shared" si="8"/>
        <v>15.32</v>
      </c>
      <c r="N37" s="43">
        <f t="shared" si="9"/>
        <v>13</v>
      </c>
      <c r="O37" s="44">
        <f t="shared" si="10"/>
        <v>5</v>
      </c>
      <c r="P37" s="41">
        <f t="shared" si="11"/>
        <v>0</v>
      </c>
      <c r="Q37" s="45">
        <f t="shared" si="14"/>
        <v>18</v>
      </c>
      <c r="V37" s="97">
        <v>45812</v>
      </c>
      <c r="W37" s="16">
        <v>155871</v>
      </c>
      <c r="X37" s="101" t="s">
        <v>36</v>
      </c>
      <c r="Y37" s="105"/>
      <c r="Z37" s="102">
        <v>0.41875000000000001</v>
      </c>
      <c r="AA37" s="102">
        <v>0.33819444444444446</v>
      </c>
      <c r="AB37" s="16"/>
      <c r="AC37" s="16"/>
      <c r="AD37" s="93">
        <v>19170</v>
      </c>
      <c r="AE37" s="93">
        <f t="shared" si="0"/>
        <v>19.170000000000002</v>
      </c>
      <c r="AF37">
        <v>14.48</v>
      </c>
      <c r="AG37" s="72">
        <f t="shared" si="1"/>
        <v>14</v>
      </c>
      <c r="AH37" s="37">
        <f t="shared" si="2"/>
        <v>19.169999999999998</v>
      </c>
      <c r="AJ37" s="38">
        <v>45814</v>
      </c>
      <c r="AL37" t="s">
        <v>5</v>
      </c>
      <c r="AN37" s="39">
        <v>0.46180555555555558</v>
      </c>
      <c r="AO37" s="39"/>
      <c r="AP37" s="37">
        <v>2652</v>
      </c>
      <c r="AQ37" t="s">
        <v>670</v>
      </c>
      <c r="AR37" s="38">
        <v>45814</v>
      </c>
      <c r="AU37" s="21"/>
      <c r="BB37" s="73"/>
      <c r="BC37" s="73"/>
    </row>
    <row r="38" spans="2:55" ht="16" x14ac:dyDescent="0.4">
      <c r="B38" s="1">
        <v>45837</v>
      </c>
      <c r="C38" s="2">
        <f t="shared" si="3"/>
        <v>0</v>
      </c>
      <c r="D38" s="2">
        <f t="shared" si="4"/>
        <v>0</v>
      </c>
      <c r="E38" s="2">
        <f t="shared" si="4"/>
        <v>0</v>
      </c>
      <c r="F38" s="32">
        <f t="shared" si="5"/>
        <v>0</v>
      </c>
      <c r="G38" s="3">
        <f t="shared" si="12"/>
        <v>0</v>
      </c>
      <c r="H38" s="51">
        <f t="shared" si="6"/>
        <v>0</v>
      </c>
      <c r="I38" s="52">
        <f t="shared" si="13"/>
        <v>0</v>
      </c>
      <c r="J38" s="59">
        <f t="shared" si="7"/>
        <v>0</v>
      </c>
      <c r="K38" s="4"/>
      <c r="L38" s="20">
        <f t="shared" si="8"/>
        <v>0</v>
      </c>
      <c r="N38" s="43">
        <f t="shared" si="9"/>
        <v>0</v>
      </c>
      <c r="O38" s="44">
        <f t="shared" si="10"/>
        <v>0</v>
      </c>
      <c r="P38" s="41">
        <f t="shared" si="11"/>
        <v>0</v>
      </c>
      <c r="Q38" s="45">
        <f t="shared" si="14"/>
        <v>0</v>
      </c>
      <c r="V38" s="97">
        <v>45812</v>
      </c>
      <c r="W38" s="16">
        <v>155935</v>
      </c>
      <c r="X38" s="101" t="s">
        <v>36</v>
      </c>
      <c r="Y38" s="105"/>
      <c r="Z38" s="102">
        <v>5.2777777777777778E-2</v>
      </c>
      <c r="AA38" s="102">
        <v>0.40347222222222223</v>
      </c>
      <c r="AB38" s="16"/>
      <c r="AC38" s="16"/>
      <c r="AD38" s="93">
        <v>19976</v>
      </c>
      <c r="AE38" s="93">
        <f t="shared" si="0"/>
        <v>19.975999999999999</v>
      </c>
      <c r="AF38">
        <v>15.59</v>
      </c>
      <c r="AG38" s="72">
        <f t="shared" si="1"/>
        <v>14</v>
      </c>
      <c r="AH38" s="37">
        <f t="shared" si="2"/>
        <v>19.975999999999999</v>
      </c>
      <c r="AJ38" s="38">
        <v>45814</v>
      </c>
      <c r="AL38" t="s">
        <v>5</v>
      </c>
      <c r="AN38" s="39">
        <v>0.68125000000000002</v>
      </c>
      <c r="AO38" s="39">
        <v>0.4770833333333333</v>
      </c>
      <c r="AP38" s="37">
        <v>5052</v>
      </c>
      <c r="AQ38" t="s">
        <v>678</v>
      </c>
      <c r="AR38" s="38">
        <v>45814</v>
      </c>
      <c r="AU38" s="74"/>
      <c r="AV38" s="75"/>
      <c r="AX38" s="58"/>
      <c r="BB38" s="76"/>
      <c r="BC38" s="76"/>
    </row>
    <row r="39" spans="2:55" ht="16" x14ac:dyDescent="0.4">
      <c r="B39" s="1">
        <v>45838</v>
      </c>
      <c r="C39" s="2">
        <f t="shared" si="3"/>
        <v>0</v>
      </c>
      <c r="D39" s="2">
        <f t="shared" ref="D39:E39" si="15">SUMIFS($AP:$AP,$AJ:$AJ,$B39,$AL:$AL,D$7)/1000</f>
        <v>5.83</v>
      </c>
      <c r="E39" s="2">
        <f t="shared" si="15"/>
        <v>0</v>
      </c>
      <c r="F39" s="32">
        <f t="shared" si="5"/>
        <v>0</v>
      </c>
      <c r="G39" s="3">
        <f t="shared" si="12"/>
        <v>5.83</v>
      </c>
      <c r="H39" s="51">
        <f t="shared" si="6"/>
        <v>0</v>
      </c>
      <c r="I39" s="52">
        <f t="shared" si="13"/>
        <v>5.83</v>
      </c>
      <c r="J39" s="59">
        <f t="shared" si="7"/>
        <v>0</v>
      </c>
      <c r="K39" s="4"/>
      <c r="L39" s="20">
        <f t="shared" si="8"/>
        <v>0</v>
      </c>
      <c r="N39" s="43">
        <f t="shared" si="9"/>
        <v>0</v>
      </c>
      <c r="O39" s="44">
        <f t="shared" si="10"/>
        <v>2</v>
      </c>
      <c r="P39" s="41">
        <f t="shared" si="11"/>
        <v>0</v>
      </c>
      <c r="Q39" s="45">
        <f t="shared" si="14"/>
        <v>2</v>
      </c>
      <c r="V39" s="97">
        <v>45812</v>
      </c>
      <c r="W39" s="16">
        <v>155985</v>
      </c>
      <c r="X39" s="101" t="s">
        <v>36</v>
      </c>
      <c r="Y39" s="105"/>
      <c r="Z39" s="102">
        <v>0.10486111111111111</v>
      </c>
      <c r="AA39" s="102">
        <v>0.47222222222222227</v>
      </c>
      <c r="AB39" s="16"/>
      <c r="AC39" s="16"/>
      <c r="AD39" s="93">
        <v>20386</v>
      </c>
      <c r="AE39" s="93">
        <f t="shared" si="0"/>
        <v>20.385999999999999</v>
      </c>
      <c r="AF39">
        <v>15.95</v>
      </c>
      <c r="AG39" s="72">
        <f t="shared" si="1"/>
        <v>14</v>
      </c>
      <c r="AH39" s="37">
        <f t="shared" si="2"/>
        <v>20.385999999999999</v>
      </c>
      <c r="AJ39" s="38">
        <v>45814</v>
      </c>
      <c r="AL39" t="s">
        <v>5</v>
      </c>
      <c r="AN39" s="39">
        <v>0.44930555555555557</v>
      </c>
      <c r="AO39" s="39">
        <v>0.54652777777777783</v>
      </c>
      <c r="AP39" s="37">
        <v>1136</v>
      </c>
      <c r="AQ39" t="s">
        <v>670</v>
      </c>
      <c r="AR39" s="38">
        <v>45814</v>
      </c>
      <c r="AU39" s="74"/>
      <c r="AV39" s="75"/>
      <c r="AX39" s="58"/>
      <c r="BB39" s="76"/>
      <c r="BC39" s="76"/>
    </row>
    <row r="40" spans="2:55" ht="16.5" thickBot="1" x14ac:dyDescent="0.45">
      <c r="B40" s="1"/>
      <c r="C40" s="2"/>
      <c r="D40" s="2"/>
      <c r="E40" s="2"/>
      <c r="F40" s="32"/>
      <c r="G40" s="3"/>
      <c r="H40" s="51"/>
      <c r="I40" s="52"/>
      <c r="J40" s="59"/>
      <c r="K40" s="4"/>
      <c r="L40" s="20"/>
      <c r="N40" s="43"/>
      <c r="O40" s="44"/>
      <c r="P40" s="41"/>
      <c r="Q40" s="45"/>
      <c r="V40" s="97">
        <v>45812</v>
      </c>
      <c r="W40" s="16">
        <v>156027</v>
      </c>
      <c r="X40" s="101" t="s">
        <v>36</v>
      </c>
      <c r="Y40" s="105"/>
      <c r="Z40" s="102">
        <v>5.2777777777777778E-2</v>
      </c>
      <c r="AA40" s="102">
        <v>0.54583333333333328</v>
      </c>
      <c r="AB40" s="16"/>
      <c r="AC40" s="16"/>
      <c r="AD40" s="93">
        <v>21078</v>
      </c>
      <c r="AE40" s="93">
        <f t="shared" si="0"/>
        <v>21.077999999999999</v>
      </c>
      <c r="AF40">
        <v>16.73</v>
      </c>
      <c r="AG40" s="72">
        <f t="shared" si="1"/>
        <v>14</v>
      </c>
      <c r="AH40" s="37">
        <f t="shared" si="2"/>
        <v>21.077999999999999</v>
      </c>
      <c r="AJ40" s="38">
        <v>45814</v>
      </c>
      <c r="AL40" t="s">
        <v>5</v>
      </c>
      <c r="AN40" s="39">
        <v>0.43472222222222223</v>
      </c>
      <c r="AO40" s="39">
        <v>0.44930555555555557</v>
      </c>
      <c r="AP40" s="37">
        <v>3176</v>
      </c>
      <c r="AQ40" t="s">
        <v>670</v>
      </c>
      <c r="AR40" s="38">
        <v>45814</v>
      </c>
      <c r="AU40" s="74"/>
      <c r="AV40" s="75"/>
      <c r="AX40" s="58"/>
      <c r="BB40" s="76"/>
      <c r="BC40" s="76"/>
    </row>
    <row r="41" spans="2:55" ht="16" x14ac:dyDescent="0.4">
      <c r="B41" s="5" t="s">
        <v>23</v>
      </c>
      <c r="C41" s="6">
        <f t="shared" ref="C41:K41" si="16">SUM(C10:C40)</f>
        <v>6252.4220000000005</v>
      </c>
      <c r="D41" s="31">
        <f>SUM(D10:D40)</f>
        <v>733.36900000000026</v>
      </c>
      <c r="E41" s="31">
        <f t="shared" ref="E41" si="17">SUM(E10:E40)</f>
        <v>12.23</v>
      </c>
      <c r="F41" s="6">
        <f t="shared" si="16"/>
        <v>113.07399999999998</v>
      </c>
      <c r="G41" s="7">
        <f t="shared" si="16"/>
        <v>6998.0210000000006</v>
      </c>
      <c r="H41" s="54">
        <f>SUM(H10:H40)</f>
        <v>6300.6271299999999</v>
      </c>
      <c r="I41" s="7">
        <f>SUM(I10:I40)</f>
        <v>7046.2261299999991</v>
      </c>
      <c r="J41" s="8">
        <f t="shared" si="16"/>
        <v>113.07399999999998</v>
      </c>
      <c r="K41" s="8">
        <f t="shared" si="16"/>
        <v>0</v>
      </c>
      <c r="L41" s="7">
        <f>SUM(L10:L40)-J41</f>
        <v>0</v>
      </c>
      <c r="N41" s="46">
        <f>SUM(N10:N40)</f>
        <v>327</v>
      </c>
      <c r="O41" s="46">
        <f t="shared" ref="O41" si="18">SUM(O10:O40)</f>
        <v>234</v>
      </c>
      <c r="P41" s="46">
        <f>SUM(P10:P40)</f>
        <v>2</v>
      </c>
      <c r="Q41" s="46">
        <f>SUM(Q10:Q40)-Q42</f>
        <v>501</v>
      </c>
      <c r="V41" s="97">
        <v>45812</v>
      </c>
      <c r="W41" s="16">
        <v>156079</v>
      </c>
      <c r="X41" s="101" t="s">
        <v>36</v>
      </c>
      <c r="Y41" s="105"/>
      <c r="Z41" s="102">
        <v>0.10486111111111111</v>
      </c>
      <c r="AA41" s="102">
        <v>0.60972222222222217</v>
      </c>
      <c r="AB41" s="16"/>
      <c r="AC41" s="16"/>
      <c r="AD41" s="93">
        <v>21150</v>
      </c>
      <c r="AE41" s="93">
        <f t="shared" si="0"/>
        <v>21.15</v>
      </c>
      <c r="AF41" s="17">
        <v>13.27</v>
      </c>
      <c r="AG41" s="95">
        <f t="shared" si="1"/>
        <v>13.27</v>
      </c>
      <c r="AH41" s="37">
        <f t="shared" si="2"/>
        <v>20.047178571428567</v>
      </c>
      <c r="AJ41" s="38">
        <v>45814</v>
      </c>
      <c r="AL41" t="s">
        <v>5</v>
      </c>
      <c r="AN41" s="39">
        <v>0.54375000000000007</v>
      </c>
      <c r="AO41" s="39">
        <v>0.55625000000000002</v>
      </c>
      <c r="AP41" s="37">
        <v>1462</v>
      </c>
      <c r="AQ41" t="s">
        <v>670</v>
      </c>
      <c r="AR41" s="38">
        <v>45814</v>
      </c>
      <c r="AU41" s="74"/>
      <c r="AV41" s="75"/>
      <c r="AX41" s="58"/>
      <c r="BB41" s="76"/>
      <c r="BC41" s="76"/>
    </row>
    <row r="42" spans="2:55" ht="16.5" thickBot="1" x14ac:dyDescent="0.45">
      <c r="B42" s="9"/>
      <c r="C42" s="10">
        <f>C41/$G$41</f>
        <v>0.89345573555723823</v>
      </c>
      <c r="D42" s="10">
        <f t="shared" ref="D42:E42" si="19">D41/$G$41</f>
        <v>0.10479662750369</v>
      </c>
      <c r="E42" s="10">
        <f t="shared" si="19"/>
        <v>1.7476369390717747E-3</v>
      </c>
      <c r="F42" s="10">
        <f>F41/$G$41</f>
        <v>1.6157996667915109E-2</v>
      </c>
      <c r="G42" s="9"/>
      <c r="H42" s="9"/>
      <c r="I42" s="9"/>
      <c r="J42" s="10" t="e">
        <f t="shared" ref="J42:K42" si="20">J41/$L$41</f>
        <v>#DIV/0!</v>
      </c>
      <c r="K42" s="10" t="e">
        <f t="shared" si="20"/>
        <v>#DIV/0!</v>
      </c>
      <c r="L42" s="11">
        <f>G41+L41</f>
        <v>6998.0210000000006</v>
      </c>
      <c r="N42" s="28" t="s">
        <v>24</v>
      </c>
      <c r="O42" s="28"/>
      <c r="P42" s="28"/>
      <c r="Q42" s="28">
        <f>COUNTBLANK(AP5:AP302)</f>
        <v>62</v>
      </c>
      <c r="V42" s="97">
        <v>45812</v>
      </c>
      <c r="W42" s="16">
        <v>156141</v>
      </c>
      <c r="X42" s="101" t="s">
        <v>36</v>
      </c>
      <c r="Y42" s="105"/>
      <c r="Z42" s="102">
        <v>0.60763888888888895</v>
      </c>
      <c r="AA42" s="102">
        <v>0.67986111111111114</v>
      </c>
      <c r="AB42" s="16"/>
      <c r="AC42" s="16"/>
      <c r="AD42" s="93">
        <v>21028</v>
      </c>
      <c r="AE42" s="93">
        <f t="shared" si="0"/>
        <v>21.027999999999999</v>
      </c>
      <c r="AF42">
        <v>14.49</v>
      </c>
      <c r="AG42" s="72">
        <f t="shared" si="1"/>
        <v>14</v>
      </c>
      <c r="AH42" s="37">
        <f t="shared" si="2"/>
        <v>21.027999999999999</v>
      </c>
      <c r="AJ42" s="38">
        <v>45814</v>
      </c>
      <c r="AL42" t="s">
        <v>5</v>
      </c>
      <c r="AN42" s="39">
        <v>0.56388888888888888</v>
      </c>
      <c r="AO42" s="39">
        <v>0.58819444444444446</v>
      </c>
      <c r="AP42" s="37">
        <v>3000</v>
      </c>
      <c r="AR42" s="38">
        <v>45814</v>
      </c>
      <c r="AU42" s="74"/>
      <c r="AV42" s="75"/>
      <c r="AX42" s="58"/>
      <c r="BB42" s="76"/>
      <c r="BC42" s="76"/>
    </row>
    <row r="43" spans="2:55" ht="16.5" thickTop="1" x14ac:dyDescent="0.4">
      <c r="G43" s="12"/>
      <c r="H43" s="12"/>
      <c r="I43" s="12"/>
      <c r="J43" s="13"/>
      <c r="K43" s="14"/>
      <c r="V43" s="97">
        <v>45812</v>
      </c>
      <c r="W43" s="16">
        <v>156159</v>
      </c>
      <c r="X43" s="101" t="s">
        <v>36</v>
      </c>
      <c r="Y43" s="105"/>
      <c r="Z43" s="102">
        <v>0.10486111111111111</v>
      </c>
      <c r="AA43" s="102">
        <v>0.72638888888888886</v>
      </c>
      <c r="AB43" s="16"/>
      <c r="AC43" s="16"/>
      <c r="AD43" s="93">
        <v>20334</v>
      </c>
      <c r="AE43" s="93">
        <f t="shared" si="0"/>
        <v>20.334</v>
      </c>
      <c r="AF43">
        <v>13.63</v>
      </c>
      <c r="AG43" s="72">
        <f t="shared" si="1"/>
        <v>13.63</v>
      </c>
      <c r="AH43" s="37">
        <f t="shared" si="2"/>
        <v>19.796601428571428</v>
      </c>
      <c r="AJ43" s="38">
        <v>45814</v>
      </c>
      <c r="AL43" t="s">
        <v>5</v>
      </c>
      <c r="AN43" s="39">
        <v>0.58124999999999993</v>
      </c>
      <c r="AO43" s="39">
        <v>0.61944444444444446</v>
      </c>
      <c r="AP43" s="37">
        <v>3564</v>
      </c>
      <c r="AR43" s="38">
        <v>45814</v>
      </c>
      <c r="AU43" s="74"/>
      <c r="AV43" s="75"/>
      <c r="AX43" s="58"/>
      <c r="BB43" s="76"/>
      <c r="BC43" s="76"/>
    </row>
    <row r="44" spans="2:55" ht="16" x14ac:dyDescent="0.4">
      <c r="B44" s="15" t="s">
        <v>6</v>
      </c>
      <c r="G44" s="16"/>
      <c r="H44" s="16"/>
      <c r="I44" s="16"/>
      <c r="J44" s="16"/>
      <c r="K44" s="14"/>
      <c r="V44" s="97">
        <v>45812</v>
      </c>
      <c r="W44" s="16">
        <v>156182</v>
      </c>
      <c r="X44" s="101" t="s">
        <v>36</v>
      </c>
      <c r="Y44" s="105"/>
      <c r="Z44" s="102">
        <v>0.60834490740740743</v>
      </c>
      <c r="AA44" s="102">
        <v>0.79788194444444438</v>
      </c>
      <c r="AB44" s="16"/>
      <c r="AC44" s="16"/>
      <c r="AD44" s="93">
        <v>20358</v>
      </c>
      <c r="AE44" s="93">
        <f t="shared" si="0"/>
        <v>20.358000000000001</v>
      </c>
      <c r="AF44">
        <v>15.4</v>
      </c>
      <c r="AG44" s="72">
        <f t="shared" si="1"/>
        <v>14</v>
      </c>
      <c r="AH44" s="37">
        <f t="shared" si="2"/>
        <v>20.358000000000001</v>
      </c>
      <c r="AJ44" s="38">
        <v>45814</v>
      </c>
      <c r="AL44" t="s">
        <v>5</v>
      </c>
      <c r="AN44" s="81">
        <v>0.61736111111111114</v>
      </c>
      <c r="AO44" s="81">
        <v>0.64722222222222225</v>
      </c>
      <c r="AP44" s="37">
        <v>3036</v>
      </c>
      <c r="AR44" s="38">
        <v>45814</v>
      </c>
      <c r="AU44" s="74"/>
      <c r="AV44" s="75"/>
      <c r="AX44" s="58"/>
      <c r="BB44" s="76"/>
      <c r="BC44" s="76"/>
    </row>
    <row r="45" spans="2:55" ht="16" x14ac:dyDescent="0.4">
      <c r="B45" t="s">
        <v>7</v>
      </c>
      <c r="G45" s="23"/>
      <c r="H45" s="23"/>
      <c r="I45" s="23"/>
      <c r="J45" s="17"/>
      <c r="K45" s="18"/>
      <c r="V45" s="97">
        <v>45812</v>
      </c>
      <c r="W45" s="16">
        <v>156208</v>
      </c>
      <c r="X45" s="101" t="s">
        <v>36</v>
      </c>
      <c r="Y45" s="105"/>
      <c r="Z45" s="102">
        <v>0.7674537037037038</v>
      </c>
      <c r="AA45" s="102">
        <v>0.8491319444444444</v>
      </c>
      <c r="AB45" s="16"/>
      <c r="AC45" s="16"/>
      <c r="AD45" s="93">
        <v>17016</v>
      </c>
      <c r="AE45" s="93">
        <f t="shared" si="0"/>
        <v>17.015999999999998</v>
      </c>
      <c r="AF45">
        <v>16.399999999999999</v>
      </c>
      <c r="AG45" s="72">
        <f t="shared" si="1"/>
        <v>14</v>
      </c>
      <c r="AH45" s="37">
        <f t="shared" si="2"/>
        <v>17.015999999999998</v>
      </c>
      <c r="AJ45" s="38">
        <v>45814</v>
      </c>
      <c r="AL45" t="s">
        <v>5</v>
      </c>
      <c r="AN45" s="81">
        <v>0.65</v>
      </c>
      <c r="AO45" s="81">
        <v>0.70763888888888893</v>
      </c>
      <c r="AP45" s="37">
        <v>3742</v>
      </c>
      <c r="AR45" s="38">
        <v>45814</v>
      </c>
      <c r="AU45" s="74"/>
      <c r="AV45" s="75"/>
      <c r="AX45" s="58"/>
      <c r="BB45" s="76"/>
      <c r="BC45" s="76"/>
    </row>
    <row r="46" spans="2:55" ht="16" x14ac:dyDescent="0.4">
      <c r="B46" t="s">
        <v>8</v>
      </c>
      <c r="F46" s="23"/>
      <c r="G46" s="23"/>
      <c r="H46" s="23"/>
      <c r="I46" s="23"/>
      <c r="J46" s="23"/>
      <c r="K46" s="23"/>
      <c r="V46" s="97">
        <v>45812</v>
      </c>
      <c r="W46" s="16">
        <v>156243</v>
      </c>
      <c r="X46" s="101" t="s">
        <v>36</v>
      </c>
      <c r="Y46" s="105"/>
      <c r="Z46" s="102">
        <v>0.84105324074074073</v>
      </c>
      <c r="AA46" s="102">
        <v>0.93634259259259256</v>
      </c>
      <c r="AB46" s="16"/>
      <c r="AC46" s="16"/>
      <c r="AD46" s="93">
        <v>17818</v>
      </c>
      <c r="AE46" s="93">
        <f t="shared" si="0"/>
        <v>17.818000000000001</v>
      </c>
      <c r="AF46">
        <v>15.31</v>
      </c>
      <c r="AG46" s="72">
        <f t="shared" si="1"/>
        <v>14</v>
      </c>
      <c r="AH46" s="37">
        <f t="shared" si="2"/>
        <v>17.818000000000001</v>
      </c>
      <c r="AJ46" s="38">
        <v>45814</v>
      </c>
      <c r="AL46" t="s">
        <v>5</v>
      </c>
      <c r="AN46" s="81">
        <v>0.6875</v>
      </c>
      <c r="AO46" s="81">
        <v>0.72569444444444453</v>
      </c>
      <c r="AP46" s="37">
        <v>3046</v>
      </c>
      <c r="AR46" s="38">
        <v>45814</v>
      </c>
      <c r="AU46" s="74"/>
      <c r="AV46" s="75"/>
      <c r="AX46" s="58"/>
      <c r="BB46" s="76"/>
      <c r="BC46" s="76"/>
    </row>
    <row r="47" spans="2:55" ht="16" x14ac:dyDescent="0.4">
      <c r="B47" t="s">
        <v>9</v>
      </c>
      <c r="F47" s="23"/>
      <c r="G47" s="30"/>
      <c r="H47" s="30"/>
      <c r="I47" s="30"/>
      <c r="V47" s="97">
        <v>45813</v>
      </c>
      <c r="W47" s="16">
        <v>156264</v>
      </c>
      <c r="X47" s="101" t="s">
        <v>36</v>
      </c>
      <c r="Y47" s="105"/>
      <c r="Z47" s="102">
        <v>0.7672337962962964</v>
      </c>
      <c r="AA47" s="102">
        <v>3.7384259259259263E-3</v>
      </c>
      <c r="AB47" s="16"/>
      <c r="AC47" s="16"/>
      <c r="AD47" s="93">
        <v>17404</v>
      </c>
      <c r="AE47" s="93">
        <f t="shared" si="0"/>
        <v>17.404</v>
      </c>
      <c r="AF47">
        <v>16.350000000000001</v>
      </c>
      <c r="AG47" s="72">
        <f t="shared" si="1"/>
        <v>14</v>
      </c>
      <c r="AH47" s="37">
        <f t="shared" si="2"/>
        <v>17.404</v>
      </c>
      <c r="AJ47" s="38">
        <v>45814</v>
      </c>
      <c r="AL47" t="s">
        <v>5</v>
      </c>
      <c r="AN47" s="81">
        <v>0.80625000000000002</v>
      </c>
      <c r="AO47" s="81">
        <v>0.87569444444444444</v>
      </c>
      <c r="AP47" s="37">
        <v>2986</v>
      </c>
      <c r="AR47" s="38">
        <v>45814</v>
      </c>
      <c r="AU47" s="74"/>
      <c r="AV47" s="75"/>
      <c r="AX47" s="58"/>
      <c r="BB47" s="76"/>
      <c r="BC47" s="76"/>
    </row>
    <row r="48" spans="2:55" ht="16" x14ac:dyDescent="0.4">
      <c r="B48" t="s">
        <v>10</v>
      </c>
      <c r="V48" s="97">
        <v>45813</v>
      </c>
      <c r="W48" s="16">
        <v>156285</v>
      </c>
      <c r="X48" s="101" t="s">
        <v>36</v>
      </c>
      <c r="Y48" s="105"/>
      <c r="Z48" s="102">
        <v>0.84082175925925917</v>
      </c>
      <c r="AA48" s="102">
        <v>6.806712962962963E-2</v>
      </c>
      <c r="AB48" s="16"/>
      <c r="AC48" s="16"/>
      <c r="AD48" s="93">
        <v>19352</v>
      </c>
      <c r="AE48" s="93">
        <f t="shared" si="0"/>
        <v>19.352</v>
      </c>
      <c r="AF48">
        <v>15.11</v>
      </c>
      <c r="AG48" s="72">
        <f t="shared" si="1"/>
        <v>14</v>
      </c>
      <c r="AH48" s="37">
        <f t="shared" si="2"/>
        <v>19.352</v>
      </c>
      <c r="AJ48" s="38">
        <v>45815</v>
      </c>
      <c r="AL48" t="s">
        <v>5</v>
      </c>
      <c r="AN48" s="81">
        <v>0.55625000000000002</v>
      </c>
      <c r="AO48" s="81">
        <v>0.37291666666666662</v>
      </c>
      <c r="AP48" s="37">
        <v>2970</v>
      </c>
      <c r="AQ48" t="s">
        <v>679</v>
      </c>
      <c r="AR48" s="38">
        <v>45815</v>
      </c>
      <c r="AU48" s="74"/>
      <c r="AV48" s="75"/>
      <c r="AX48" s="58"/>
      <c r="BB48" s="76"/>
      <c r="BC48" s="76"/>
    </row>
    <row r="49" spans="2:55" ht="16" x14ac:dyDescent="0.4">
      <c r="V49" s="97">
        <v>45813</v>
      </c>
      <c r="W49" s="16">
        <v>156298</v>
      </c>
      <c r="X49" s="101" t="s">
        <v>36</v>
      </c>
      <c r="Y49" s="105"/>
      <c r="Z49" s="102">
        <v>0.76704861111111111</v>
      </c>
      <c r="AA49" s="102">
        <v>0.12388888888888888</v>
      </c>
      <c r="AB49" s="16"/>
      <c r="AC49" s="16"/>
      <c r="AD49" s="93">
        <v>20230</v>
      </c>
      <c r="AE49" s="93">
        <f t="shared" si="0"/>
        <v>20.23</v>
      </c>
      <c r="AF49">
        <v>14.22</v>
      </c>
      <c r="AG49" s="72">
        <f t="shared" si="1"/>
        <v>14</v>
      </c>
      <c r="AH49" s="37">
        <f t="shared" si="2"/>
        <v>20.23</v>
      </c>
      <c r="AJ49" s="38">
        <v>45815</v>
      </c>
      <c r="AL49" t="s">
        <v>5</v>
      </c>
      <c r="AN49" s="81">
        <v>0.33680555555555558</v>
      </c>
      <c r="AO49" s="81">
        <v>0.3520833333333333</v>
      </c>
      <c r="AP49" s="37">
        <v>3882</v>
      </c>
      <c r="AQ49" t="s">
        <v>680</v>
      </c>
      <c r="AR49" s="38">
        <v>45815</v>
      </c>
      <c r="AU49" s="74"/>
      <c r="AV49" s="75"/>
      <c r="AX49" s="58"/>
      <c r="BB49" s="76"/>
      <c r="BC49" s="76"/>
    </row>
    <row r="50" spans="2:55" ht="16" x14ac:dyDescent="0.4">
      <c r="B50" t="s">
        <v>11</v>
      </c>
      <c r="J50" t="s">
        <v>11</v>
      </c>
      <c r="V50" s="97">
        <v>45813</v>
      </c>
      <c r="W50" s="16">
        <v>156340</v>
      </c>
      <c r="X50" s="101" t="s">
        <v>36</v>
      </c>
      <c r="Y50" s="105"/>
      <c r="Z50" s="102">
        <v>0.15833333333333333</v>
      </c>
      <c r="AA50" s="102">
        <v>0.3</v>
      </c>
      <c r="AB50" s="16"/>
      <c r="AC50" s="16"/>
      <c r="AD50" s="93">
        <v>12242</v>
      </c>
      <c r="AE50" s="93">
        <f t="shared" si="0"/>
        <v>12.242000000000001</v>
      </c>
      <c r="AF50">
        <v>8.81</v>
      </c>
      <c r="AG50" s="72">
        <f t="shared" si="1"/>
        <v>8.81</v>
      </c>
      <c r="AH50" s="37">
        <f t="shared" si="2"/>
        <v>7.7037157142857149</v>
      </c>
      <c r="AJ50" s="38">
        <v>45815</v>
      </c>
      <c r="AL50" t="s">
        <v>5</v>
      </c>
      <c r="AN50" s="81">
        <v>0.3527777777777778</v>
      </c>
      <c r="AO50" s="81">
        <v>0.4145833333333333</v>
      </c>
      <c r="AP50" s="37">
        <v>3780</v>
      </c>
      <c r="AQ50" t="s">
        <v>681</v>
      </c>
      <c r="AR50" s="38">
        <v>45815</v>
      </c>
      <c r="AU50" s="74"/>
      <c r="AV50" s="75"/>
      <c r="AX50" s="58"/>
      <c r="BB50" s="76"/>
      <c r="BC50" s="76"/>
    </row>
    <row r="51" spans="2:55" ht="16" x14ac:dyDescent="0.4">
      <c r="V51" s="97">
        <v>45813</v>
      </c>
      <c r="W51" s="16">
        <v>156434</v>
      </c>
      <c r="X51" s="101" t="s">
        <v>36</v>
      </c>
      <c r="Y51" s="105"/>
      <c r="Z51" s="102">
        <v>0.26666666666666666</v>
      </c>
      <c r="AA51" s="102">
        <v>0.38263888888888892</v>
      </c>
      <c r="AB51" s="16"/>
      <c r="AC51" s="16"/>
      <c r="AD51" s="93">
        <v>19648</v>
      </c>
      <c r="AE51" s="93">
        <f t="shared" si="0"/>
        <v>19.648</v>
      </c>
      <c r="AF51">
        <v>14.81</v>
      </c>
      <c r="AG51" s="72">
        <f t="shared" si="1"/>
        <v>14</v>
      </c>
      <c r="AH51" s="37">
        <f t="shared" si="2"/>
        <v>19.648</v>
      </c>
      <c r="AJ51" s="38">
        <v>45815</v>
      </c>
      <c r="AL51" t="s">
        <v>5</v>
      </c>
      <c r="AN51" s="81">
        <v>0.45</v>
      </c>
      <c r="AO51" s="81">
        <v>0.46527777777777773</v>
      </c>
      <c r="AP51" s="37">
        <v>4120</v>
      </c>
      <c r="AQ51" t="s">
        <v>679</v>
      </c>
      <c r="AR51" s="38">
        <v>45815</v>
      </c>
      <c r="AU51" s="74"/>
      <c r="AV51" s="75"/>
      <c r="AX51" s="58"/>
      <c r="BB51" s="76"/>
      <c r="BC51" s="76"/>
    </row>
    <row r="52" spans="2:55" ht="16" x14ac:dyDescent="0.4">
      <c r="V52" s="97">
        <v>45813</v>
      </c>
      <c r="W52" s="16">
        <v>156484</v>
      </c>
      <c r="X52" s="101" t="s">
        <v>36</v>
      </c>
      <c r="Y52" s="105"/>
      <c r="Z52" s="102">
        <v>0.15833333333333333</v>
      </c>
      <c r="AA52" s="102">
        <v>0.44930555555555557</v>
      </c>
      <c r="AB52" s="16"/>
      <c r="AC52" s="16"/>
      <c r="AD52" s="93">
        <v>21612</v>
      </c>
      <c r="AE52" s="93">
        <f t="shared" si="0"/>
        <v>21.611999999999998</v>
      </c>
      <c r="AF52">
        <v>15.81</v>
      </c>
      <c r="AG52" s="72">
        <f t="shared" si="1"/>
        <v>14</v>
      </c>
      <c r="AH52" s="37">
        <f t="shared" si="2"/>
        <v>21.611999999999998</v>
      </c>
      <c r="AJ52" s="38">
        <v>45815</v>
      </c>
      <c r="AL52" t="s">
        <v>5</v>
      </c>
      <c r="AN52" s="81">
        <v>0.4284722222222222</v>
      </c>
      <c r="AO52" s="81">
        <v>0.47569444444444442</v>
      </c>
      <c r="AP52" s="37">
        <v>864</v>
      </c>
      <c r="AQ52" t="s">
        <v>681</v>
      </c>
      <c r="AR52" s="38">
        <v>45815</v>
      </c>
      <c r="AU52" s="74"/>
      <c r="AV52" s="75"/>
      <c r="AX52" s="58"/>
      <c r="BB52" s="76"/>
      <c r="BC52" s="76"/>
    </row>
    <row r="53" spans="2:55" ht="16.5" thickBot="1" x14ac:dyDescent="0.45">
      <c r="B53" s="19" t="s">
        <v>12</v>
      </c>
      <c r="C53" s="19"/>
      <c r="J53" s="19"/>
      <c r="K53" s="19"/>
      <c r="L53" s="19"/>
      <c r="V53" s="97">
        <v>45813</v>
      </c>
      <c r="W53" s="16">
        <v>156519</v>
      </c>
      <c r="X53" s="101" t="s">
        <v>36</v>
      </c>
      <c r="Y53" s="105"/>
      <c r="Z53" s="102">
        <v>0.84027777777777779</v>
      </c>
      <c r="AA53" s="102">
        <v>0.53125</v>
      </c>
      <c r="AB53" s="16"/>
      <c r="AC53" s="16"/>
      <c r="AD53" s="93">
        <v>21676</v>
      </c>
      <c r="AE53" s="93">
        <f t="shared" si="0"/>
        <v>21.675999999999998</v>
      </c>
      <c r="AF53">
        <v>15.55</v>
      </c>
      <c r="AG53" s="72">
        <f t="shared" si="1"/>
        <v>14</v>
      </c>
      <c r="AH53" s="37">
        <f t="shared" si="2"/>
        <v>21.675999999999998</v>
      </c>
      <c r="AJ53" s="38">
        <v>45815</v>
      </c>
      <c r="AL53" t="s">
        <v>5</v>
      </c>
      <c r="AN53" s="81">
        <v>0.51736111111111105</v>
      </c>
      <c r="AO53" s="81">
        <v>0.49444444444444446</v>
      </c>
      <c r="AP53" s="37">
        <v>5666</v>
      </c>
      <c r="AQ53" t="s">
        <v>670</v>
      </c>
      <c r="AR53" s="38">
        <v>45815</v>
      </c>
      <c r="AS53" s="88"/>
      <c r="AU53" s="21"/>
      <c r="BB53" s="73"/>
      <c r="BC53" s="73"/>
    </row>
    <row r="54" spans="2:55" ht="16" x14ac:dyDescent="0.4">
      <c r="B54" t="s">
        <v>13</v>
      </c>
      <c r="J54" t="s">
        <v>14</v>
      </c>
      <c r="V54" s="97">
        <v>45813</v>
      </c>
      <c r="W54" s="16">
        <v>156569</v>
      </c>
      <c r="X54" s="101" t="s">
        <v>36</v>
      </c>
      <c r="Y54" s="105"/>
      <c r="Z54" s="102">
        <v>0.15833333333333333</v>
      </c>
      <c r="AA54" s="102">
        <v>0.58611111111111114</v>
      </c>
      <c r="AB54" s="16"/>
      <c r="AC54" s="16"/>
      <c r="AD54" s="93">
        <v>20252</v>
      </c>
      <c r="AE54" s="93">
        <f t="shared" si="0"/>
        <v>20.251999999999999</v>
      </c>
      <c r="AF54" s="16">
        <v>15.38</v>
      </c>
      <c r="AG54" s="103">
        <f t="shared" si="1"/>
        <v>14</v>
      </c>
      <c r="AH54" s="37">
        <f t="shared" si="2"/>
        <v>20.251999999999999</v>
      </c>
      <c r="AJ54" s="38">
        <v>45815</v>
      </c>
      <c r="AL54" t="s">
        <v>5</v>
      </c>
      <c r="AN54" s="81">
        <v>0.38680555555555557</v>
      </c>
      <c r="AO54" s="81">
        <v>0.57430555555555551</v>
      </c>
      <c r="AP54" s="37">
        <v>3074</v>
      </c>
      <c r="AQ54" t="s">
        <v>679</v>
      </c>
      <c r="AR54" s="38">
        <v>45815</v>
      </c>
      <c r="AS54" s="88"/>
      <c r="AU54" s="21"/>
      <c r="BB54" s="73"/>
      <c r="BC54" s="73"/>
    </row>
    <row r="55" spans="2:55" ht="16" x14ac:dyDescent="0.4">
      <c r="V55" s="97">
        <v>45813</v>
      </c>
      <c r="W55" s="16">
        <v>156642</v>
      </c>
      <c r="X55" s="101" t="s">
        <v>36</v>
      </c>
      <c r="Y55" s="105"/>
      <c r="Z55" s="102">
        <v>0.26666666666666666</v>
      </c>
      <c r="AA55" s="102">
        <v>0.65069444444444446</v>
      </c>
      <c r="AB55" s="16"/>
      <c r="AC55" s="16"/>
      <c r="AD55" s="93">
        <v>21432</v>
      </c>
      <c r="AE55" s="93">
        <f t="shared" si="0"/>
        <v>21.431999999999999</v>
      </c>
      <c r="AF55" s="16">
        <v>15.24</v>
      </c>
      <c r="AG55" s="103">
        <f t="shared" si="1"/>
        <v>14</v>
      </c>
      <c r="AH55" s="37">
        <f t="shared" si="2"/>
        <v>21.431999999999999</v>
      </c>
      <c r="AJ55" s="38">
        <v>45816</v>
      </c>
      <c r="AL55" t="s">
        <v>5</v>
      </c>
      <c r="AN55" s="81">
        <v>0.34097222222222223</v>
      </c>
      <c r="AO55" s="81">
        <v>0.35416666666666669</v>
      </c>
      <c r="AP55" s="37">
        <v>3072</v>
      </c>
      <c r="AQ55" t="s">
        <v>682</v>
      </c>
      <c r="AR55" s="38">
        <v>45816</v>
      </c>
      <c r="AS55" s="38"/>
      <c r="AU55" s="21"/>
      <c r="BB55" s="73"/>
      <c r="BC55" s="73"/>
    </row>
    <row r="56" spans="2:55" ht="16" x14ac:dyDescent="0.4">
      <c r="V56" s="97">
        <v>45813</v>
      </c>
      <c r="W56" s="16">
        <v>156675</v>
      </c>
      <c r="X56" s="101" t="s">
        <v>36</v>
      </c>
      <c r="Y56" s="105"/>
      <c r="Z56" s="102">
        <v>0.66527777777777775</v>
      </c>
      <c r="AA56" s="102">
        <v>0.71388888888888891</v>
      </c>
      <c r="AB56" s="16"/>
      <c r="AC56" s="16"/>
      <c r="AD56" s="93">
        <v>20874</v>
      </c>
      <c r="AE56" s="93">
        <f t="shared" si="0"/>
        <v>20.873999999999999</v>
      </c>
      <c r="AF56" s="16">
        <v>15.66</v>
      </c>
      <c r="AG56" s="103">
        <f t="shared" si="1"/>
        <v>14</v>
      </c>
      <c r="AH56" s="37">
        <f t="shared" si="2"/>
        <v>20.873999999999999</v>
      </c>
      <c r="AJ56" s="38">
        <v>45816</v>
      </c>
      <c r="AL56" t="s">
        <v>5</v>
      </c>
      <c r="AN56" s="81">
        <v>0.37013888888888885</v>
      </c>
      <c r="AO56" s="81">
        <v>0.38263888888888892</v>
      </c>
      <c r="AP56" s="37">
        <v>2378</v>
      </c>
      <c r="AQ56" t="s">
        <v>670</v>
      </c>
      <c r="AR56" s="38">
        <v>45816</v>
      </c>
      <c r="AS56" s="38"/>
      <c r="AU56" s="21"/>
      <c r="BB56" s="73"/>
      <c r="BC56" s="73"/>
    </row>
    <row r="57" spans="2:55" ht="16" x14ac:dyDescent="0.4">
      <c r="V57" s="97">
        <v>45813</v>
      </c>
      <c r="W57" s="16">
        <v>156711</v>
      </c>
      <c r="X57" s="101" t="s">
        <v>36</v>
      </c>
      <c r="Y57" s="105"/>
      <c r="Z57" s="102">
        <v>0.70387731481481486</v>
      </c>
      <c r="AA57" s="102">
        <v>0.79913194444444446</v>
      </c>
      <c r="AB57" s="16"/>
      <c r="AC57" s="16"/>
      <c r="AD57" s="93">
        <v>19218</v>
      </c>
      <c r="AE57" s="93">
        <f t="shared" si="0"/>
        <v>19.218</v>
      </c>
      <c r="AF57" s="16">
        <v>15.19</v>
      </c>
      <c r="AG57" s="103">
        <f t="shared" si="1"/>
        <v>14</v>
      </c>
      <c r="AH57" s="37">
        <f t="shared" si="2"/>
        <v>19.218</v>
      </c>
      <c r="AJ57" s="38">
        <v>45816</v>
      </c>
      <c r="AL57" t="s">
        <v>5</v>
      </c>
      <c r="AN57" s="81">
        <v>0.38263888888888892</v>
      </c>
      <c r="AO57" s="81">
        <v>0.47083333333333338</v>
      </c>
      <c r="AP57" s="37">
        <v>2728</v>
      </c>
      <c r="AQ57" t="s">
        <v>683</v>
      </c>
      <c r="AR57" s="38">
        <v>45816</v>
      </c>
      <c r="AS57" s="38"/>
      <c r="AU57" s="21"/>
      <c r="BB57" s="73"/>
      <c r="BC57" s="73"/>
    </row>
    <row r="58" spans="2:55" ht="16" x14ac:dyDescent="0.4">
      <c r="V58" s="97">
        <v>45813</v>
      </c>
      <c r="W58" s="16">
        <v>156747</v>
      </c>
      <c r="X58" s="101" t="s">
        <v>36</v>
      </c>
      <c r="Y58" s="105"/>
      <c r="Z58" s="102">
        <v>0.66547453703703707</v>
      </c>
      <c r="AA58" s="102">
        <v>0.87466435185185187</v>
      </c>
      <c r="AB58" s="16"/>
      <c r="AC58" s="16"/>
      <c r="AD58" s="93">
        <v>20026</v>
      </c>
      <c r="AE58" s="93">
        <f t="shared" si="0"/>
        <v>20.026</v>
      </c>
      <c r="AF58" s="16">
        <v>14.77</v>
      </c>
      <c r="AG58" s="103">
        <f t="shared" si="1"/>
        <v>14</v>
      </c>
      <c r="AH58" s="37">
        <f t="shared" si="2"/>
        <v>20.026</v>
      </c>
      <c r="AJ58" s="38">
        <v>45816</v>
      </c>
      <c r="AL58" t="s">
        <v>5</v>
      </c>
      <c r="AN58" s="81">
        <v>0.4145833333333333</v>
      </c>
      <c r="AO58" s="81">
        <v>0.42638888888888887</v>
      </c>
      <c r="AP58" s="37">
        <v>3190</v>
      </c>
      <c r="AQ58" t="s">
        <v>684</v>
      </c>
      <c r="AR58" s="38">
        <v>45816</v>
      </c>
      <c r="AS58" s="38"/>
      <c r="AU58" s="21"/>
      <c r="BB58" s="73"/>
      <c r="BC58" s="73"/>
    </row>
    <row r="59" spans="2:55" ht="16" x14ac:dyDescent="0.4">
      <c r="V59" s="97">
        <v>45813</v>
      </c>
      <c r="W59" s="16">
        <v>156782</v>
      </c>
      <c r="X59" s="101" t="s">
        <v>36</v>
      </c>
      <c r="Y59" s="105"/>
      <c r="Z59" s="102">
        <v>0.70374999999999999</v>
      </c>
      <c r="AA59" s="102">
        <v>0.94688657407407406</v>
      </c>
      <c r="AB59" s="16"/>
      <c r="AC59" s="16"/>
      <c r="AD59" s="93">
        <v>22200</v>
      </c>
      <c r="AE59" s="93">
        <f t="shared" si="0"/>
        <v>22.2</v>
      </c>
      <c r="AF59" s="16">
        <v>14.29</v>
      </c>
      <c r="AG59" s="103">
        <f t="shared" si="1"/>
        <v>14</v>
      </c>
      <c r="AH59" s="37">
        <f t="shared" si="2"/>
        <v>22.2</v>
      </c>
      <c r="AJ59" s="38">
        <v>45816</v>
      </c>
      <c r="AL59" t="s">
        <v>5</v>
      </c>
      <c r="AN59" s="81">
        <v>0.49652777777777773</v>
      </c>
      <c r="AO59" s="81">
        <v>0.51180555555555551</v>
      </c>
      <c r="AP59" s="37">
        <v>3958</v>
      </c>
      <c r="AQ59" t="s">
        <v>684</v>
      </c>
      <c r="AR59" s="38">
        <v>45816</v>
      </c>
      <c r="AS59" s="38"/>
      <c r="AU59" s="21"/>
      <c r="BB59" s="73"/>
      <c r="BC59" s="73"/>
    </row>
    <row r="60" spans="2:55" ht="16" x14ac:dyDescent="0.4">
      <c r="V60" s="97">
        <v>45814</v>
      </c>
      <c r="W60" s="16">
        <v>156800</v>
      </c>
      <c r="X60" s="101" t="s">
        <v>36</v>
      </c>
      <c r="Y60" s="105"/>
      <c r="Z60" s="102">
        <v>0.66561342592592598</v>
      </c>
      <c r="AA60" s="102">
        <v>1.2013888888888888E-2</v>
      </c>
      <c r="AB60" s="16"/>
      <c r="AC60" s="16"/>
      <c r="AD60" s="93">
        <v>21006</v>
      </c>
      <c r="AE60" s="93">
        <f t="shared" si="0"/>
        <v>21.006</v>
      </c>
      <c r="AF60" s="16">
        <v>14.69</v>
      </c>
      <c r="AG60" s="103">
        <f t="shared" si="1"/>
        <v>14</v>
      </c>
      <c r="AH60" s="37">
        <f t="shared" si="2"/>
        <v>21.006</v>
      </c>
      <c r="AJ60" s="38">
        <v>45815</v>
      </c>
      <c r="AL60" t="s">
        <v>5</v>
      </c>
      <c r="AN60" s="81">
        <v>0.3666666666666667</v>
      </c>
      <c r="AO60" s="81">
        <v>0.3840277777777778</v>
      </c>
      <c r="AP60" s="37">
        <v>3212</v>
      </c>
      <c r="AQ60" t="s">
        <v>670</v>
      </c>
      <c r="AR60" s="38">
        <v>45817</v>
      </c>
      <c r="AS60" s="38"/>
      <c r="AU60" s="21"/>
      <c r="BB60" s="73"/>
      <c r="BC60" s="73"/>
    </row>
    <row r="61" spans="2:55" ht="16" x14ac:dyDescent="0.4">
      <c r="V61" s="97">
        <v>45814</v>
      </c>
      <c r="W61" s="16">
        <v>156815</v>
      </c>
      <c r="X61" s="101" t="s">
        <v>36</v>
      </c>
      <c r="Y61" s="105"/>
      <c r="Z61" s="102">
        <v>0.70363425925925915</v>
      </c>
      <c r="AA61" s="102">
        <v>7.440972222222221E-2</v>
      </c>
      <c r="AB61" s="16"/>
      <c r="AC61" s="16"/>
      <c r="AD61" s="93">
        <v>21814</v>
      </c>
      <c r="AE61" s="93">
        <f t="shared" si="0"/>
        <v>21.814</v>
      </c>
      <c r="AF61" s="16">
        <v>14.34</v>
      </c>
      <c r="AG61" s="103">
        <f t="shared" si="1"/>
        <v>14</v>
      </c>
      <c r="AH61" s="37">
        <f t="shared" si="2"/>
        <v>21.814</v>
      </c>
      <c r="AJ61" s="38">
        <v>45817</v>
      </c>
      <c r="AL61" t="s">
        <v>5</v>
      </c>
      <c r="AN61" s="81">
        <v>0.3840277777777778</v>
      </c>
      <c r="AO61" s="81">
        <v>0.3263888888888889</v>
      </c>
      <c r="AP61" s="37">
        <v>3232</v>
      </c>
      <c r="AQ61" t="s">
        <v>1388</v>
      </c>
      <c r="AR61" s="38">
        <v>45817</v>
      </c>
      <c r="AS61" s="38"/>
      <c r="AU61" s="21"/>
      <c r="BB61" s="73"/>
      <c r="BC61" s="73"/>
    </row>
    <row r="62" spans="2:55" ht="16" x14ac:dyDescent="0.4">
      <c r="V62" s="97">
        <v>45814</v>
      </c>
      <c r="W62" s="16">
        <v>156823</v>
      </c>
      <c r="X62" s="101" t="s">
        <v>36</v>
      </c>
      <c r="Y62" s="105"/>
      <c r="Z62" s="102">
        <v>6.1921296296296301E-2</v>
      </c>
      <c r="AA62" s="102">
        <v>0.13365740740740742</v>
      </c>
      <c r="AB62" s="16"/>
      <c r="AC62" s="16"/>
      <c r="AD62" s="93">
        <v>19892</v>
      </c>
      <c r="AE62" s="93">
        <f t="shared" si="0"/>
        <v>19.891999999999999</v>
      </c>
      <c r="AF62" s="16">
        <v>14.63</v>
      </c>
      <c r="AG62" s="103">
        <f t="shared" si="1"/>
        <v>14</v>
      </c>
      <c r="AH62" s="37">
        <f t="shared" si="2"/>
        <v>19.891999999999999</v>
      </c>
      <c r="AJ62" s="38">
        <v>45817</v>
      </c>
      <c r="AL62" t="s">
        <v>5</v>
      </c>
      <c r="AN62" s="81">
        <v>0.40347222222222223</v>
      </c>
      <c r="AO62" s="81">
        <v>0.42152777777777778</v>
      </c>
      <c r="AP62" s="37">
        <v>2996</v>
      </c>
      <c r="AQ62" t="s">
        <v>1389</v>
      </c>
      <c r="AR62" s="38">
        <v>45817</v>
      </c>
      <c r="AS62" s="38"/>
      <c r="AU62" s="55"/>
      <c r="AV62" s="16"/>
      <c r="AW62" s="16"/>
      <c r="AX62" s="16"/>
      <c r="AY62" s="16"/>
      <c r="BB62" s="77"/>
      <c r="BC62" s="77"/>
    </row>
    <row r="63" spans="2:55" ht="16" x14ac:dyDescent="0.4">
      <c r="V63" s="97">
        <v>45814</v>
      </c>
      <c r="W63" s="16">
        <v>156830</v>
      </c>
      <c r="X63" s="101" t="s">
        <v>36</v>
      </c>
      <c r="Y63" s="105"/>
      <c r="Z63" s="102">
        <v>0.12415509259259259</v>
      </c>
      <c r="AA63" s="102">
        <v>0.19091435185185182</v>
      </c>
      <c r="AB63" s="16"/>
      <c r="AC63" s="16"/>
      <c r="AD63" s="93">
        <v>19294</v>
      </c>
      <c r="AE63" s="93">
        <f t="shared" si="0"/>
        <v>19.294</v>
      </c>
      <c r="AF63" s="16">
        <v>15.17</v>
      </c>
      <c r="AG63" s="103">
        <f t="shared" si="1"/>
        <v>14</v>
      </c>
      <c r="AH63" s="37">
        <f t="shared" si="2"/>
        <v>19.294</v>
      </c>
      <c r="AJ63" s="38">
        <v>45817</v>
      </c>
      <c r="AL63" t="s">
        <v>4</v>
      </c>
      <c r="AN63" s="81">
        <v>0.4777777777777778</v>
      </c>
      <c r="AO63" s="81">
        <v>0.38819444444444445</v>
      </c>
      <c r="AP63" s="37">
        <v>6822</v>
      </c>
      <c r="AR63" s="38">
        <v>45817</v>
      </c>
      <c r="AS63" s="38"/>
      <c r="AU63" s="55"/>
      <c r="BB63" s="73"/>
      <c r="BC63" s="73"/>
    </row>
    <row r="64" spans="2:55" ht="16" x14ac:dyDescent="0.4">
      <c r="V64" s="97">
        <v>45814</v>
      </c>
      <c r="W64" s="16">
        <v>156838</v>
      </c>
      <c r="X64" s="101" t="s">
        <v>36</v>
      </c>
      <c r="Y64" s="105"/>
      <c r="Z64" s="102">
        <v>0.76388888888888884</v>
      </c>
      <c r="AA64" s="102">
        <v>0.23333333333333331</v>
      </c>
      <c r="AB64" s="16"/>
      <c r="AC64" s="16"/>
      <c r="AD64" s="93">
        <v>16942</v>
      </c>
      <c r="AE64" s="93">
        <f t="shared" si="0"/>
        <v>16.942</v>
      </c>
      <c r="AF64" s="16">
        <v>13.13</v>
      </c>
      <c r="AG64" s="103">
        <f t="shared" si="1"/>
        <v>13.13</v>
      </c>
      <c r="AH64" s="37">
        <f t="shared" si="2"/>
        <v>15.889175714285715</v>
      </c>
      <c r="AJ64" s="38">
        <v>45817</v>
      </c>
      <c r="AL64" t="s">
        <v>5</v>
      </c>
      <c r="AN64" s="81">
        <v>0.34652777777777777</v>
      </c>
      <c r="AO64" s="81">
        <v>0.4458333333333333</v>
      </c>
      <c r="AP64" s="37">
        <v>3122</v>
      </c>
      <c r="AQ64" t="s">
        <v>1390</v>
      </c>
      <c r="AR64" s="38">
        <v>45817</v>
      </c>
      <c r="AS64" s="38"/>
      <c r="AU64" s="55"/>
      <c r="BB64" s="73"/>
      <c r="BC64" s="73"/>
    </row>
    <row r="65" spans="22:55" ht="16" x14ac:dyDescent="0.4">
      <c r="V65" s="97">
        <v>45814</v>
      </c>
      <c r="W65" s="16">
        <v>156856</v>
      </c>
      <c r="X65" s="101" t="s">
        <v>36</v>
      </c>
      <c r="Y65" s="105"/>
      <c r="Z65" s="102">
        <v>0.12361111111111112</v>
      </c>
      <c r="AA65" s="102">
        <v>0.30138888888888887</v>
      </c>
      <c r="AB65" s="16"/>
      <c r="AC65" s="16"/>
      <c r="AD65" s="93">
        <v>21018</v>
      </c>
      <c r="AE65" s="93">
        <f t="shared" si="0"/>
        <v>21.018000000000001</v>
      </c>
      <c r="AF65" s="16">
        <v>15.02</v>
      </c>
      <c r="AG65" s="103">
        <f t="shared" si="1"/>
        <v>14</v>
      </c>
      <c r="AH65" s="37">
        <f t="shared" si="2"/>
        <v>21.018000000000001</v>
      </c>
      <c r="AJ65" s="38">
        <v>45817</v>
      </c>
      <c r="AL65" t="s">
        <v>5</v>
      </c>
      <c r="AN65" s="81">
        <v>0.38819444444444445</v>
      </c>
      <c r="AO65" s="81">
        <v>0.40347222222222223</v>
      </c>
      <c r="AP65" s="37">
        <v>2928</v>
      </c>
      <c r="AQ65" t="s">
        <v>1391</v>
      </c>
      <c r="AR65" s="38">
        <v>45817</v>
      </c>
      <c r="AS65" s="38"/>
      <c r="AU65" s="55"/>
      <c r="BB65" s="73"/>
      <c r="BC65" s="73"/>
    </row>
    <row r="66" spans="22:55" ht="16" x14ac:dyDescent="0.4">
      <c r="V66" s="97">
        <v>45814</v>
      </c>
      <c r="W66" s="16">
        <v>156921</v>
      </c>
      <c r="X66" s="101" t="s">
        <v>36</v>
      </c>
      <c r="Y66" s="105"/>
      <c r="Z66" s="102">
        <v>6.1805555555555558E-2</v>
      </c>
      <c r="AA66" s="102">
        <v>0.36180555555555555</v>
      </c>
      <c r="AB66" s="16"/>
      <c r="AC66" s="16"/>
      <c r="AD66" s="93">
        <v>21738</v>
      </c>
      <c r="AE66" s="93">
        <f t="shared" si="0"/>
        <v>21.738</v>
      </c>
      <c r="AF66" s="16">
        <v>15.24</v>
      </c>
      <c r="AG66" s="103">
        <f t="shared" si="1"/>
        <v>14</v>
      </c>
      <c r="AH66" s="37">
        <f t="shared" si="2"/>
        <v>21.738</v>
      </c>
      <c r="AJ66" s="38">
        <v>45817</v>
      </c>
      <c r="AL66" t="s">
        <v>5</v>
      </c>
      <c r="AN66" s="81">
        <v>0.40416666666666662</v>
      </c>
      <c r="AO66" s="81">
        <v>0.46249999999999997</v>
      </c>
      <c r="AP66" s="37">
        <v>2904</v>
      </c>
      <c r="AQ66" t="s">
        <v>1392</v>
      </c>
      <c r="AR66" s="38">
        <v>45817</v>
      </c>
      <c r="AS66" s="38"/>
      <c r="AU66" s="55"/>
      <c r="BB66" s="73"/>
      <c r="BC66" s="73"/>
    </row>
    <row r="67" spans="22:55" ht="16" x14ac:dyDescent="0.4">
      <c r="V67" s="97">
        <v>45814</v>
      </c>
      <c r="W67" s="16">
        <v>156978</v>
      </c>
      <c r="X67" s="101" t="s">
        <v>36</v>
      </c>
      <c r="Y67" s="105"/>
      <c r="Z67" s="102">
        <v>0.12361111111111112</v>
      </c>
      <c r="AA67" s="102">
        <v>0.42569444444444443</v>
      </c>
      <c r="AB67" s="16"/>
      <c r="AC67" s="16"/>
      <c r="AD67" s="93">
        <v>21728</v>
      </c>
      <c r="AE67" s="93">
        <f t="shared" si="0"/>
        <v>21.728000000000002</v>
      </c>
      <c r="AF67" s="16">
        <v>14.38</v>
      </c>
      <c r="AG67" s="103">
        <f t="shared" si="1"/>
        <v>14</v>
      </c>
      <c r="AH67" s="37">
        <f t="shared" si="2"/>
        <v>21.728000000000002</v>
      </c>
      <c r="AJ67" s="38">
        <v>45817</v>
      </c>
      <c r="AL67" t="s">
        <v>5</v>
      </c>
      <c r="AN67" s="81">
        <v>0.42152777777777778</v>
      </c>
      <c r="AO67" s="81">
        <v>0.5444444444444444</v>
      </c>
      <c r="AP67" s="37">
        <v>2804</v>
      </c>
      <c r="AQ67" t="s">
        <v>1388</v>
      </c>
      <c r="AR67" s="38">
        <v>45817</v>
      </c>
      <c r="AS67" s="38"/>
      <c r="AU67" s="55"/>
      <c r="BB67" s="73"/>
      <c r="BC67" s="73"/>
    </row>
    <row r="68" spans="22:55" ht="16" x14ac:dyDescent="0.4">
      <c r="V68" s="97">
        <v>45814</v>
      </c>
      <c r="W68" s="16">
        <v>157028</v>
      </c>
      <c r="X68" s="101" t="s">
        <v>36</v>
      </c>
      <c r="Y68" s="105"/>
      <c r="Z68" s="102">
        <v>6.1111111111111116E-2</v>
      </c>
      <c r="AA68" s="102">
        <v>0.50208333333333333</v>
      </c>
      <c r="AB68" s="16"/>
      <c r="AC68" s="16"/>
      <c r="AD68" s="93">
        <v>19614</v>
      </c>
      <c r="AE68" s="93">
        <f t="shared" si="0"/>
        <v>19.614000000000001</v>
      </c>
      <c r="AF68" s="16">
        <v>15.22</v>
      </c>
      <c r="AG68" s="103">
        <f t="shared" si="1"/>
        <v>14</v>
      </c>
      <c r="AH68" s="37">
        <f t="shared" si="2"/>
        <v>19.614000000000001</v>
      </c>
      <c r="AJ68" s="38">
        <v>45817</v>
      </c>
      <c r="AL68" t="s">
        <v>5</v>
      </c>
      <c r="AN68" s="81">
        <v>0.56666666666666665</v>
      </c>
      <c r="AO68" s="81">
        <v>0.58194444444444449</v>
      </c>
      <c r="AP68" s="37">
        <v>3020</v>
      </c>
      <c r="AQ68" t="s">
        <v>1393</v>
      </c>
      <c r="AR68" s="38">
        <v>45817</v>
      </c>
      <c r="AS68" s="38"/>
      <c r="AU68" s="55"/>
      <c r="BB68" s="73"/>
      <c r="BC68" s="73"/>
    </row>
    <row r="69" spans="22:55" ht="16" x14ac:dyDescent="0.4">
      <c r="V69" s="97">
        <v>45814</v>
      </c>
      <c r="W69" s="16">
        <v>157048</v>
      </c>
      <c r="X69" s="101" t="s">
        <v>36</v>
      </c>
      <c r="Y69" s="105"/>
      <c r="Z69" s="102">
        <v>0.46388888888888885</v>
      </c>
      <c r="AA69" s="102">
        <v>0.56180555555555556</v>
      </c>
      <c r="AB69" s="16"/>
      <c r="AC69" s="16"/>
      <c r="AD69" s="93">
        <v>19442</v>
      </c>
      <c r="AE69" s="93">
        <f t="shared" ref="AE69:AE132" si="21">AD69/1000</f>
        <v>19.442</v>
      </c>
      <c r="AF69">
        <v>14.05</v>
      </c>
      <c r="AG69" s="72">
        <f t="shared" si="1"/>
        <v>14</v>
      </c>
      <c r="AH69" s="37">
        <f t="shared" si="2"/>
        <v>19.442</v>
      </c>
      <c r="AJ69" s="38">
        <v>45817</v>
      </c>
      <c r="AL69" t="s">
        <v>5</v>
      </c>
      <c r="AN69" s="81">
        <v>0.42083333333333334</v>
      </c>
      <c r="AO69" s="81">
        <v>0.60416666666666663</v>
      </c>
      <c r="AP69" s="37">
        <v>3088</v>
      </c>
      <c r="AQ69" t="s">
        <v>1394</v>
      </c>
      <c r="AR69" s="38">
        <v>45817</v>
      </c>
      <c r="AS69" s="38"/>
      <c r="AU69" s="55"/>
      <c r="BB69" s="73"/>
      <c r="BC69" s="73"/>
    </row>
    <row r="70" spans="22:55" ht="16" x14ac:dyDescent="0.4">
      <c r="V70" s="97">
        <v>45814</v>
      </c>
      <c r="W70" s="16">
        <v>157097</v>
      </c>
      <c r="X70" s="101" t="s">
        <v>36</v>
      </c>
      <c r="Y70" s="105"/>
      <c r="Z70" s="102">
        <v>0.5541666666666667</v>
      </c>
      <c r="AA70" s="102">
        <v>0.61944444444444446</v>
      </c>
      <c r="AB70" s="16"/>
      <c r="AC70" s="16"/>
      <c r="AD70" s="93">
        <v>18558</v>
      </c>
      <c r="AE70" s="93">
        <f t="shared" si="21"/>
        <v>18.558</v>
      </c>
      <c r="AF70">
        <v>15.06</v>
      </c>
      <c r="AG70" s="72">
        <f t="shared" ref="AG70:AG133" si="22">IF($AF70&gt;14,14,$AF70)</f>
        <v>14</v>
      </c>
      <c r="AH70" s="37">
        <f t="shared" ref="AH70:AH133" si="23">AE70*AG70/14</f>
        <v>18.558</v>
      </c>
      <c r="AJ70" s="38">
        <v>45817</v>
      </c>
      <c r="AL70" t="s">
        <v>5</v>
      </c>
      <c r="AN70" s="81">
        <v>0.4055555555555555</v>
      </c>
      <c r="AO70" s="81">
        <v>0.42083333333333334</v>
      </c>
      <c r="AP70" s="37">
        <v>3408</v>
      </c>
      <c r="AQ70" t="s">
        <v>1394</v>
      </c>
      <c r="AR70" s="38">
        <v>45817</v>
      </c>
      <c r="AS70" s="38"/>
      <c r="AU70" s="55"/>
      <c r="BB70" s="73"/>
      <c r="BC70" s="73"/>
    </row>
    <row r="71" spans="22:55" ht="16" x14ac:dyDescent="0.4">
      <c r="V71" s="97">
        <v>45814</v>
      </c>
      <c r="W71" s="16">
        <v>157129</v>
      </c>
      <c r="X71" s="101" t="s">
        <v>36</v>
      </c>
      <c r="Y71" s="105"/>
      <c r="Z71" s="102">
        <v>0.46388888888888885</v>
      </c>
      <c r="AA71" s="102">
        <v>0.68125000000000002</v>
      </c>
      <c r="AB71" s="16"/>
      <c r="AC71" s="16"/>
      <c r="AD71" s="93">
        <v>19838</v>
      </c>
      <c r="AE71" s="93">
        <f t="shared" si="21"/>
        <v>19.838000000000001</v>
      </c>
      <c r="AF71">
        <v>14.16</v>
      </c>
      <c r="AG71" s="72">
        <f t="shared" si="22"/>
        <v>14</v>
      </c>
      <c r="AH71" s="37">
        <f t="shared" si="23"/>
        <v>19.838000000000001</v>
      </c>
      <c r="AJ71" s="38">
        <v>45817</v>
      </c>
      <c r="AL71" t="s">
        <v>5</v>
      </c>
      <c r="AN71" s="81">
        <v>0.58402777777777781</v>
      </c>
      <c r="AO71" s="81">
        <v>0.6020833333333333</v>
      </c>
      <c r="AP71" s="37">
        <v>2788</v>
      </c>
      <c r="AQ71" t="s">
        <v>679</v>
      </c>
      <c r="AR71" s="38">
        <v>45817</v>
      </c>
      <c r="AS71" s="38"/>
      <c r="AU71" s="55"/>
      <c r="BB71" s="73"/>
      <c r="BC71" s="73"/>
    </row>
    <row r="72" spans="22:55" ht="16" x14ac:dyDescent="0.4">
      <c r="V72" s="97">
        <v>45814</v>
      </c>
      <c r="W72" s="16">
        <v>157166</v>
      </c>
      <c r="X72" s="101" t="s">
        <v>36</v>
      </c>
      <c r="Y72" s="105"/>
      <c r="Z72" s="102">
        <v>0.5541666666666667</v>
      </c>
      <c r="AA72" s="102">
        <v>0.79375000000000007</v>
      </c>
      <c r="AB72" s="16"/>
      <c r="AC72" s="16"/>
      <c r="AD72" s="93">
        <v>21882</v>
      </c>
      <c r="AE72" s="93">
        <f t="shared" si="21"/>
        <v>21.882000000000001</v>
      </c>
      <c r="AF72">
        <v>14.59</v>
      </c>
      <c r="AG72" s="72">
        <f t="shared" si="22"/>
        <v>14</v>
      </c>
      <c r="AH72" s="37">
        <f t="shared" si="23"/>
        <v>21.882000000000001</v>
      </c>
      <c r="AJ72" s="38">
        <v>45817</v>
      </c>
      <c r="AL72" t="s">
        <v>5</v>
      </c>
      <c r="AN72" s="81">
        <v>0.34583333333333338</v>
      </c>
      <c r="AO72" s="81">
        <v>0.59583333333333333</v>
      </c>
      <c r="AP72" s="37">
        <v>1294</v>
      </c>
      <c r="AQ72" t="s">
        <v>1395</v>
      </c>
      <c r="AR72" s="38">
        <v>45817</v>
      </c>
      <c r="AS72" s="38"/>
      <c r="AU72" s="55"/>
      <c r="BB72" s="73"/>
      <c r="BC72" s="73"/>
    </row>
    <row r="73" spans="22:55" ht="16" x14ac:dyDescent="0.4">
      <c r="V73" s="97">
        <v>45814</v>
      </c>
      <c r="W73" s="16">
        <v>157202</v>
      </c>
      <c r="X73" s="101" t="s">
        <v>36</v>
      </c>
      <c r="Y73" s="105"/>
      <c r="Z73" s="102">
        <v>0.46458333333333335</v>
      </c>
      <c r="AA73" s="102">
        <v>0.86597222222222225</v>
      </c>
      <c r="AB73" s="16"/>
      <c r="AC73" s="16"/>
      <c r="AD73" s="93">
        <v>17882</v>
      </c>
      <c r="AE73" s="93">
        <f t="shared" si="21"/>
        <v>17.882000000000001</v>
      </c>
      <c r="AF73">
        <v>16.940000000000001</v>
      </c>
      <c r="AG73" s="72">
        <f t="shared" si="22"/>
        <v>14</v>
      </c>
      <c r="AH73" s="37">
        <f t="shared" si="23"/>
        <v>17.882000000000001</v>
      </c>
      <c r="AJ73" s="38">
        <v>45818</v>
      </c>
      <c r="AL73" t="s">
        <v>5</v>
      </c>
      <c r="AN73" s="81">
        <v>0.37708333333333338</v>
      </c>
      <c r="AO73" s="81">
        <v>0.4236111111111111</v>
      </c>
      <c r="AP73" s="37">
        <v>3822</v>
      </c>
      <c r="AQ73" t="s">
        <v>1390</v>
      </c>
      <c r="AR73" s="38">
        <v>45818</v>
      </c>
      <c r="AS73" s="38"/>
      <c r="AU73" s="55"/>
      <c r="BB73" s="73"/>
      <c r="BC73" s="73"/>
    </row>
    <row r="74" spans="22:55" ht="16" x14ac:dyDescent="0.4">
      <c r="V74" s="97">
        <v>45814</v>
      </c>
      <c r="W74" s="16">
        <v>157230</v>
      </c>
      <c r="X74" s="101" t="s">
        <v>36</v>
      </c>
      <c r="Y74" s="105"/>
      <c r="Z74" s="102">
        <v>0.5541666666666667</v>
      </c>
      <c r="AA74" s="102">
        <v>0.95416666666666661</v>
      </c>
      <c r="AB74" s="16"/>
      <c r="AC74" s="16"/>
      <c r="AD74" s="93">
        <v>20112</v>
      </c>
      <c r="AE74" s="93">
        <f t="shared" si="21"/>
        <v>20.111999999999998</v>
      </c>
      <c r="AF74">
        <v>15.16</v>
      </c>
      <c r="AG74" s="72">
        <f t="shared" si="22"/>
        <v>14</v>
      </c>
      <c r="AH74" s="37">
        <f t="shared" si="23"/>
        <v>20.111999999999998</v>
      </c>
      <c r="AJ74" s="38">
        <v>45818</v>
      </c>
      <c r="AL74" t="s">
        <v>5</v>
      </c>
      <c r="AN74" s="81">
        <v>0.37222222222222223</v>
      </c>
      <c r="AO74" s="81">
        <v>0.43333333333333335</v>
      </c>
      <c r="AP74" s="37">
        <v>2794</v>
      </c>
      <c r="AQ74" t="s">
        <v>660</v>
      </c>
      <c r="AR74" s="38">
        <v>45818</v>
      </c>
      <c r="AS74" s="38"/>
      <c r="AU74" s="55"/>
      <c r="BB74" s="73"/>
      <c r="BC74" s="73"/>
    </row>
    <row r="75" spans="22:55" ht="16" x14ac:dyDescent="0.4">
      <c r="V75" s="97">
        <v>45815</v>
      </c>
      <c r="W75" s="16">
        <v>157241</v>
      </c>
      <c r="X75" s="101" t="s">
        <v>36</v>
      </c>
      <c r="Y75" s="105"/>
      <c r="Z75" s="102">
        <v>0.92499999999999993</v>
      </c>
      <c r="AA75" s="102">
        <v>1.4583333333333332E-2</v>
      </c>
      <c r="AB75" s="16"/>
      <c r="AC75" s="16"/>
      <c r="AD75" s="93">
        <v>20456</v>
      </c>
      <c r="AE75" s="93">
        <f t="shared" si="21"/>
        <v>20.456</v>
      </c>
      <c r="AF75">
        <v>15.99</v>
      </c>
      <c r="AG75" s="72">
        <f t="shared" si="22"/>
        <v>14</v>
      </c>
      <c r="AH75" s="37">
        <f t="shared" si="23"/>
        <v>20.456</v>
      </c>
      <c r="AJ75" s="38">
        <v>45818</v>
      </c>
      <c r="AL75" t="s">
        <v>5</v>
      </c>
      <c r="AN75" s="81">
        <v>0.6020833333333333</v>
      </c>
      <c r="AO75" s="81">
        <v>0.3576388888888889</v>
      </c>
      <c r="AP75" s="37">
        <v>2764</v>
      </c>
      <c r="AQ75" t="s">
        <v>1396</v>
      </c>
      <c r="AR75" s="38">
        <v>45818</v>
      </c>
      <c r="AS75" s="38"/>
      <c r="AU75" s="55"/>
      <c r="BB75" s="73"/>
      <c r="BC75" s="73"/>
    </row>
    <row r="76" spans="22:55" ht="16" x14ac:dyDescent="0.4">
      <c r="V76" s="97">
        <v>45815</v>
      </c>
      <c r="W76" s="16">
        <v>157255</v>
      </c>
      <c r="X76" s="101" t="s">
        <v>36</v>
      </c>
      <c r="Y76" s="105"/>
      <c r="Z76" s="102">
        <v>0.83888888888888891</v>
      </c>
      <c r="AA76" s="102">
        <v>6.805555555555555E-2</v>
      </c>
      <c r="AB76" s="16"/>
      <c r="AC76" s="16"/>
      <c r="AD76" s="93">
        <v>18626</v>
      </c>
      <c r="AE76" s="93">
        <f t="shared" si="21"/>
        <v>18.626000000000001</v>
      </c>
      <c r="AF76">
        <v>16.64</v>
      </c>
      <c r="AG76" s="72">
        <f t="shared" si="22"/>
        <v>14</v>
      </c>
      <c r="AH76" s="37">
        <f t="shared" si="23"/>
        <v>18.626000000000001</v>
      </c>
      <c r="AJ76" s="38">
        <v>45818</v>
      </c>
      <c r="AL76" t="s">
        <v>5</v>
      </c>
      <c r="AN76" s="81">
        <v>0.5083333333333333</v>
      </c>
      <c r="AO76" s="81">
        <v>0.46736111111111112</v>
      </c>
      <c r="AP76" s="37">
        <v>4890</v>
      </c>
      <c r="AQ76" t="s">
        <v>1395</v>
      </c>
      <c r="AR76" s="38">
        <v>45818</v>
      </c>
      <c r="AS76" s="38"/>
      <c r="AU76" s="55"/>
      <c r="BB76" s="73"/>
      <c r="BC76" s="73"/>
    </row>
    <row r="77" spans="22:55" ht="16" x14ac:dyDescent="0.4">
      <c r="V77" s="97">
        <v>45815</v>
      </c>
      <c r="W77" s="16">
        <v>157266</v>
      </c>
      <c r="X77" s="101" t="s">
        <v>36</v>
      </c>
      <c r="Y77" s="105"/>
      <c r="Z77" s="102">
        <v>0.92499999999999993</v>
      </c>
      <c r="AA77" s="102">
        <v>0.13333333333333333</v>
      </c>
      <c r="AB77" s="16"/>
      <c r="AC77" s="16"/>
      <c r="AD77" s="93">
        <v>19230</v>
      </c>
      <c r="AE77" s="93">
        <f t="shared" si="21"/>
        <v>19.23</v>
      </c>
      <c r="AF77">
        <v>15.15</v>
      </c>
      <c r="AG77" s="72">
        <f t="shared" si="22"/>
        <v>14</v>
      </c>
      <c r="AH77" s="37">
        <f t="shared" si="23"/>
        <v>19.23</v>
      </c>
      <c r="AJ77" s="38">
        <v>45818</v>
      </c>
      <c r="AL77" t="s">
        <v>5</v>
      </c>
      <c r="AN77" s="81">
        <v>0.35902777777777778</v>
      </c>
      <c r="AO77" s="81">
        <v>0.38055555555555554</v>
      </c>
      <c r="AP77" s="37">
        <v>3124</v>
      </c>
      <c r="AQ77" t="s">
        <v>1397</v>
      </c>
      <c r="AR77" s="38">
        <v>45818</v>
      </c>
      <c r="AS77" s="38"/>
      <c r="AU77" s="55"/>
      <c r="BB77" s="73"/>
      <c r="BC77" s="73"/>
    </row>
    <row r="78" spans="22:55" ht="16" x14ac:dyDescent="0.4">
      <c r="V78" s="97">
        <v>45815</v>
      </c>
      <c r="W78" s="16">
        <v>157275</v>
      </c>
      <c r="X78" s="101" t="s">
        <v>36</v>
      </c>
      <c r="Y78" s="105"/>
      <c r="Z78" s="102">
        <v>0.83888888888888891</v>
      </c>
      <c r="AA78" s="102">
        <v>0.21319444444444444</v>
      </c>
      <c r="AB78" s="16"/>
      <c r="AC78" s="16"/>
      <c r="AD78" s="93">
        <v>12516</v>
      </c>
      <c r="AE78" s="93">
        <f t="shared" si="21"/>
        <v>12.516</v>
      </c>
      <c r="AF78">
        <v>14.22</v>
      </c>
      <c r="AG78" s="72">
        <f t="shared" si="22"/>
        <v>14</v>
      </c>
      <c r="AH78" s="37">
        <f t="shared" si="23"/>
        <v>12.516</v>
      </c>
      <c r="AJ78" s="38">
        <v>45818</v>
      </c>
      <c r="AL78" t="s">
        <v>5</v>
      </c>
      <c r="AN78" s="81">
        <v>0.38125000000000003</v>
      </c>
      <c r="AO78" s="81">
        <v>0.52569444444444446</v>
      </c>
      <c r="AP78" s="37">
        <v>3120</v>
      </c>
      <c r="AQ78" t="s">
        <v>1388</v>
      </c>
      <c r="AR78" s="38">
        <v>45818</v>
      </c>
      <c r="AS78" s="38"/>
      <c r="AU78" s="55"/>
      <c r="BB78" s="73"/>
      <c r="BC78" s="73"/>
    </row>
    <row r="79" spans="22:55" ht="16" x14ac:dyDescent="0.4">
      <c r="V79" s="97">
        <v>45815</v>
      </c>
      <c r="W79" s="16">
        <v>157322</v>
      </c>
      <c r="X79" s="101" t="s">
        <v>36</v>
      </c>
      <c r="Y79" s="105"/>
      <c r="Z79" s="102">
        <v>0.92499999999999993</v>
      </c>
      <c r="AA79" s="102">
        <v>0.3444444444444445</v>
      </c>
      <c r="AB79" s="16"/>
      <c r="AC79" s="16"/>
      <c r="AD79" s="93">
        <v>20420</v>
      </c>
      <c r="AE79" s="93">
        <f t="shared" si="21"/>
        <v>20.420000000000002</v>
      </c>
      <c r="AF79">
        <v>14.88</v>
      </c>
      <c r="AG79" s="72">
        <f t="shared" si="22"/>
        <v>14</v>
      </c>
      <c r="AH79" s="37">
        <f t="shared" si="23"/>
        <v>20.419999999999998</v>
      </c>
      <c r="AJ79" s="38">
        <v>45818</v>
      </c>
      <c r="AL79" t="s">
        <v>5</v>
      </c>
      <c r="AN79" s="81">
        <v>0.44236111111111115</v>
      </c>
      <c r="AO79" s="81">
        <v>0.56180555555555556</v>
      </c>
      <c r="AP79" s="37">
        <v>3044</v>
      </c>
      <c r="AQ79" t="s">
        <v>1390</v>
      </c>
      <c r="AR79" s="38">
        <v>45818</v>
      </c>
      <c r="AS79" s="38"/>
      <c r="AU79" s="55"/>
      <c r="BB79" s="73"/>
      <c r="BC79" s="73"/>
    </row>
    <row r="80" spans="22:55" ht="16" x14ac:dyDescent="0.4">
      <c r="V80" s="97">
        <v>45815</v>
      </c>
      <c r="W80" s="16">
        <v>157387</v>
      </c>
      <c r="X80" s="101" t="s">
        <v>36</v>
      </c>
      <c r="Y80" s="105"/>
      <c r="Z80" s="102">
        <v>0.29722222222222222</v>
      </c>
      <c r="AA80" s="102">
        <v>0.40972222222222227</v>
      </c>
      <c r="AB80" s="16"/>
      <c r="AC80" s="16"/>
      <c r="AD80" s="93">
        <v>18666</v>
      </c>
      <c r="AE80" s="93">
        <f t="shared" si="21"/>
        <v>18.666</v>
      </c>
      <c r="AF80">
        <v>15.24</v>
      </c>
      <c r="AG80" s="72">
        <f t="shared" si="22"/>
        <v>14</v>
      </c>
      <c r="AH80" s="37">
        <f t="shared" si="23"/>
        <v>18.666</v>
      </c>
      <c r="AJ80" s="38">
        <v>45818</v>
      </c>
      <c r="AL80" t="s">
        <v>5</v>
      </c>
      <c r="AN80" s="81">
        <v>0.38125000000000003</v>
      </c>
      <c r="AO80" s="81">
        <v>0.5854166666666667</v>
      </c>
      <c r="AP80" s="37">
        <v>3028</v>
      </c>
      <c r="AQ80" t="s">
        <v>684</v>
      </c>
      <c r="AR80" s="38">
        <v>45818</v>
      </c>
      <c r="AS80" s="38"/>
      <c r="AU80" s="55"/>
      <c r="BB80" s="73"/>
      <c r="BC80" s="73"/>
    </row>
    <row r="81" spans="22:55" ht="16" x14ac:dyDescent="0.4">
      <c r="V81" s="97">
        <v>45815</v>
      </c>
      <c r="W81" s="16">
        <v>157434</v>
      </c>
      <c r="X81" s="101" t="s">
        <v>36</v>
      </c>
      <c r="Y81" s="105"/>
      <c r="Z81" s="102">
        <v>0.40416666666666662</v>
      </c>
      <c r="AA81" s="102">
        <v>0.49513888888888885</v>
      </c>
      <c r="AB81" s="16"/>
      <c r="AC81" s="16"/>
      <c r="AD81" s="93">
        <v>20662</v>
      </c>
      <c r="AE81" s="93">
        <f t="shared" si="21"/>
        <v>20.661999999999999</v>
      </c>
      <c r="AF81">
        <v>13.05</v>
      </c>
      <c r="AG81" s="72">
        <f t="shared" si="22"/>
        <v>13.05</v>
      </c>
      <c r="AH81" s="37">
        <f t="shared" si="23"/>
        <v>19.259935714285714</v>
      </c>
      <c r="AJ81" s="38">
        <v>45818</v>
      </c>
      <c r="AL81" t="s">
        <v>5</v>
      </c>
      <c r="AN81" s="81">
        <v>0.5541666666666667</v>
      </c>
      <c r="AO81" s="81">
        <v>0.56944444444444442</v>
      </c>
      <c r="AP81" s="37">
        <v>2790</v>
      </c>
      <c r="AQ81" t="s">
        <v>660</v>
      </c>
      <c r="AR81" s="38">
        <v>45818</v>
      </c>
      <c r="AS81" s="38"/>
      <c r="AU81" s="55"/>
      <c r="BB81" s="73"/>
      <c r="BC81" s="73"/>
    </row>
    <row r="82" spans="22:55" ht="16" x14ac:dyDescent="0.4">
      <c r="V82" s="97">
        <v>45815</v>
      </c>
      <c r="W82" s="16">
        <v>157459</v>
      </c>
      <c r="X82" s="101" t="s">
        <v>36</v>
      </c>
      <c r="Y82" s="105"/>
      <c r="Z82" s="102">
        <v>0.29722222222222222</v>
      </c>
      <c r="AA82" s="102">
        <v>0.55555555555555558</v>
      </c>
      <c r="AB82" s="16"/>
      <c r="AC82" s="16"/>
      <c r="AD82" s="93">
        <v>20172</v>
      </c>
      <c r="AE82" s="93">
        <f t="shared" si="21"/>
        <v>20.172000000000001</v>
      </c>
      <c r="AF82">
        <v>14.38</v>
      </c>
      <c r="AG82" s="72">
        <f t="shared" si="22"/>
        <v>14</v>
      </c>
      <c r="AH82" s="37">
        <f t="shared" si="23"/>
        <v>20.172000000000001</v>
      </c>
      <c r="AJ82" s="38">
        <v>45818</v>
      </c>
      <c r="AL82" t="s">
        <v>5</v>
      </c>
      <c r="AN82" s="81">
        <v>0.4284722222222222</v>
      </c>
      <c r="AO82" s="81">
        <v>0.62708333333333333</v>
      </c>
      <c r="AP82" s="37">
        <v>3224</v>
      </c>
      <c r="AQ82" t="s">
        <v>1398</v>
      </c>
      <c r="AR82" s="38">
        <v>45818</v>
      </c>
      <c r="AS82" s="38"/>
      <c r="AU82" s="55"/>
      <c r="BB82" s="73"/>
      <c r="BC82" s="73"/>
    </row>
    <row r="83" spans="22:55" ht="16" x14ac:dyDescent="0.4">
      <c r="V83" s="97">
        <v>45815</v>
      </c>
      <c r="W83" s="16">
        <v>157520</v>
      </c>
      <c r="X83" s="101" t="s">
        <v>36</v>
      </c>
      <c r="Y83" s="105"/>
      <c r="Z83" s="102">
        <v>0.40416666666666662</v>
      </c>
      <c r="AA83" s="102">
        <v>0.64166666666666672</v>
      </c>
      <c r="AB83" s="16"/>
      <c r="AC83" s="16"/>
      <c r="AD83" s="93">
        <v>20054</v>
      </c>
      <c r="AE83" s="93">
        <f t="shared" si="21"/>
        <v>20.053999999999998</v>
      </c>
      <c r="AF83">
        <v>15.38</v>
      </c>
      <c r="AG83" s="72">
        <f t="shared" si="22"/>
        <v>14</v>
      </c>
      <c r="AH83" s="37">
        <f t="shared" si="23"/>
        <v>20.053999999999998</v>
      </c>
      <c r="AJ83" s="38">
        <v>45818</v>
      </c>
      <c r="AL83" t="s">
        <v>5</v>
      </c>
      <c r="AN83" s="81">
        <v>0.41666666666666669</v>
      </c>
      <c r="AO83" s="81">
        <v>0.4284722222222222</v>
      </c>
      <c r="AP83" s="37">
        <v>3602</v>
      </c>
      <c r="AQ83" t="s">
        <v>1394</v>
      </c>
      <c r="AR83" s="38">
        <v>45818</v>
      </c>
      <c r="AS83" s="38"/>
      <c r="AU83" s="55"/>
      <c r="BB83" s="73"/>
      <c r="BC83" s="73"/>
    </row>
    <row r="84" spans="22:55" ht="16" x14ac:dyDescent="0.4">
      <c r="V84" s="97">
        <v>45815</v>
      </c>
      <c r="W84" s="16">
        <v>157552</v>
      </c>
      <c r="X84" s="101" t="s">
        <v>36</v>
      </c>
      <c r="Y84" s="105"/>
      <c r="Z84" s="102">
        <v>0.29722222222222222</v>
      </c>
      <c r="AA84" s="102">
        <v>0.70000000000000007</v>
      </c>
      <c r="AB84" s="16"/>
      <c r="AC84" s="16"/>
      <c r="AD84" s="93">
        <v>20726</v>
      </c>
      <c r="AE84" s="93">
        <f t="shared" si="21"/>
        <v>20.725999999999999</v>
      </c>
      <c r="AF84">
        <v>14.24</v>
      </c>
      <c r="AG84" s="72">
        <f t="shared" si="22"/>
        <v>14</v>
      </c>
      <c r="AH84" s="37">
        <f t="shared" si="23"/>
        <v>20.725999999999999</v>
      </c>
      <c r="AJ84" s="38">
        <v>45818</v>
      </c>
      <c r="AL84" t="s">
        <v>5</v>
      </c>
      <c r="AN84" s="81">
        <v>0.47361111111111115</v>
      </c>
      <c r="AO84" s="81">
        <v>0.60833333333333328</v>
      </c>
      <c r="AP84" s="37">
        <v>1302</v>
      </c>
      <c r="AQ84" t="s">
        <v>1393</v>
      </c>
      <c r="AR84" s="38">
        <v>45818</v>
      </c>
      <c r="AS84" s="38"/>
      <c r="AU84" s="55"/>
      <c r="BB84" s="73"/>
      <c r="BC84" s="73"/>
    </row>
    <row r="85" spans="22:55" ht="16" x14ac:dyDescent="0.4">
      <c r="V85" s="97">
        <v>45815</v>
      </c>
      <c r="W85" s="16">
        <v>157570</v>
      </c>
      <c r="X85" s="101" t="s">
        <v>36</v>
      </c>
      <c r="Y85" s="105"/>
      <c r="Z85" s="102">
        <v>0.40462962962962962</v>
      </c>
      <c r="AA85" s="102">
        <v>0.74334490740740744</v>
      </c>
      <c r="AB85" s="16"/>
      <c r="AC85" s="16"/>
      <c r="AD85" s="93">
        <v>18768</v>
      </c>
      <c r="AE85" s="93">
        <f t="shared" si="21"/>
        <v>18.768000000000001</v>
      </c>
      <c r="AF85">
        <v>14.91</v>
      </c>
      <c r="AG85" s="72">
        <f t="shared" si="22"/>
        <v>14</v>
      </c>
      <c r="AH85" s="37">
        <f t="shared" si="23"/>
        <v>18.768000000000001</v>
      </c>
      <c r="AJ85" s="38">
        <v>45818</v>
      </c>
      <c r="AL85" t="s">
        <v>5</v>
      </c>
      <c r="AN85" s="81">
        <v>0.45</v>
      </c>
      <c r="AO85" s="81">
        <v>0.47361111111111115</v>
      </c>
      <c r="AP85" s="37">
        <v>1812</v>
      </c>
      <c r="AQ85" t="s">
        <v>1393</v>
      </c>
      <c r="AR85" s="38">
        <v>45818</v>
      </c>
      <c r="AS85" s="38"/>
      <c r="AU85" s="55"/>
      <c r="BB85" s="73"/>
      <c r="BC85" s="73"/>
    </row>
    <row r="86" spans="22:55" ht="16" x14ac:dyDescent="0.4">
      <c r="V86" s="97">
        <v>45815</v>
      </c>
      <c r="W86" s="16">
        <v>157599</v>
      </c>
      <c r="X86" s="101" t="s">
        <v>36</v>
      </c>
      <c r="Y86" s="105"/>
      <c r="Z86" s="102">
        <v>0.74234953703703699</v>
      </c>
      <c r="AA86" s="102">
        <v>0.82103009259259263</v>
      </c>
      <c r="AB86" s="16"/>
      <c r="AC86" s="16"/>
      <c r="AD86" s="93">
        <v>22158</v>
      </c>
      <c r="AE86" s="93">
        <f t="shared" si="21"/>
        <v>22.158000000000001</v>
      </c>
      <c r="AF86">
        <v>14.38</v>
      </c>
      <c r="AG86" s="72">
        <f t="shared" si="22"/>
        <v>14</v>
      </c>
      <c r="AH86" s="37">
        <f t="shared" si="23"/>
        <v>22.157999999999998</v>
      </c>
      <c r="AJ86" s="38">
        <v>45818</v>
      </c>
      <c r="AL86" t="s">
        <v>5</v>
      </c>
      <c r="AN86" s="81">
        <v>0.58263888888888882</v>
      </c>
      <c r="AO86" s="81">
        <v>0.31805555555555554</v>
      </c>
      <c r="AP86" s="37">
        <v>3748</v>
      </c>
      <c r="AQ86" t="s">
        <v>1390</v>
      </c>
      <c r="AR86" s="38">
        <v>45818</v>
      </c>
      <c r="AS86" s="38"/>
      <c r="AU86" s="55"/>
      <c r="BB86" s="73"/>
      <c r="BC86" s="73"/>
    </row>
    <row r="87" spans="22:55" ht="16" x14ac:dyDescent="0.4">
      <c r="V87" s="97">
        <v>45815</v>
      </c>
      <c r="W87" s="16">
        <v>157625</v>
      </c>
      <c r="X87" s="101" t="s">
        <v>36</v>
      </c>
      <c r="Y87" s="105"/>
      <c r="Z87" s="102">
        <v>0.7830555555555555</v>
      </c>
      <c r="AA87" s="102">
        <v>0.87996527777777789</v>
      </c>
      <c r="AB87" s="16"/>
      <c r="AC87" s="16"/>
      <c r="AD87" s="93">
        <v>21878</v>
      </c>
      <c r="AE87" s="93">
        <f t="shared" si="21"/>
        <v>21.878</v>
      </c>
      <c r="AF87">
        <v>14.52</v>
      </c>
      <c r="AG87" s="72">
        <f t="shared" si="22"/>
        <v>14</v>
      </c>
      <c r="AH87" s="37">
        <f t="shared" si="23"/>
        <v>21.878000000000004</v>
      </c>
      <c r="AJ87" s="38">
        <v>45819</v>
      </c>
      <c r="AL87" t="s">
        <v>5</v>
      </c>
      <c r="AN87" s="81">
        <v>0.56527777777777777</v>
      </c>
      <c r="AO87" s="81">
        <v>0.3888888888888889</v>
      </c>
      <c r="AP87" s="37">
        <v>2978</v>
      </c>
      <c r="AQ87" t="s">
        <v>660</v>
      </c>
      <c r="AR87" s="38">
        <v>45819</v>
      </c>
      <c r="AS87" s="38"/>
      <c r="AU87" s="55"/>
      <c r="BB87" s="73"/>
      <c r="BC87" s="73"/>
    </row>
    <row r="88" spans="22:55" ht="16" x14ac:dyDescent="0.4">
      <c r="V88" s="97">
        <v>45815</v>
      </c>
      <c r="W88" s="16">
        <v>157644</v>
      </c>
      <c r="X88" s="101" t="s">
        <v>36</v>
      </c>
      <c r="Y88" s="105"/>
      <c r="Z88" s="102">
        <v>0.74262731481481481</v>
      </c>
      <c r="AA88" s="102">
        <v>0.93853009259259268</v>
      </c>
      <c r="AB88" s="16"/>
      <c r="AC88" s="16"/>
      <c r="AD88" s="93">
        <v>21112</v>
      </c>
      <c r="AE88" s="93">
        <f t="shared" si="21"/>
        <v>21.111999999999998</v>
      </c>
      <c r="AF88">
        <v>15.55</v>
      </c>
      <c r="AG88" s="72">
        <f t="shared" si="22"/>
        <v>14</v>
      </c>
      <c r="AH88" s="37">
        <f t="shared" si="23"/>
        <v>21.111999999999998</v>
      </c>
      <c r="AJ88" s="38">
        <v>45819</v>
      </c>
      <c r="AL88" t="s">
        <v>5</v>
      </c>
      <c r="AN88" s="81">
        <v>0.48055555555555557</v>
      </c>
      <c r="AO88" s="81">
        <v>0.43541666666666662</v>
      </c>
      <c r="AP88" s="37">
        <v>4764</v>
      </c>
      <c r="AQ88" t="s">
        <v>1399</v>
      </c>
      <c r="AR88" s="38">
        <v>45819</v>
      </c>
      <c r="AS88" s="38"/>
      <c r="AU88" s="78"/>
      <c r="AV88" s="57"/>
      <c r="AX88" s="36"/>
      <c r="BB88" s="79"/>
      <c r="BC88" s="79"/>
    </row>
    <row r="89" spans="22:55" ht="16" x14ac:dyDescent="0.4">
      <c r="V89" s="97">
        <v>45816</v>
      </c>
      <c r="W89" s="16">
        <v>157661</v>
      </c>
      <c r="X89" s="101" t="s">
        <v>36</v>
      </c>
      <c r="Y89" s="105"/>
      <c r="Z89" s="102">
        <v>0.78288194444444448</v>
      </c>
      <c r="AA89" s="102">
        <v>2.8935185185185188E-3</v>
      </c>
      <c r="AB89" s="16"/>
      <c r="AC89" s="16"/>
      <c r="AD89" s="93">
        <v>21560</v>
      </c>
      <c r="AE89" s="93">
        <f t="shared" si="21"/>
        <v>21.56</v>
      </c>
      <c r="AF89">
        <v>15.14</v>
      </c>
      <c r="AG89" s="72">
        <f t="shared" si="22"/>
        <v>14</v>
      </c>
      <c r="AH89" s="37">
        <f t="shared" si="23"/>
        <v>21.56</v>
      </c>
      <c r="AJ89" s="38">
        <v>45819</v>
      </c>
      <c r="AL89" t="s">
        <v>5</v>
      </c>
      <c r="AN89" s="81">
        <v>0.40277777777777773</v>
      </c>
      <c r="AO89" s="81">
        <v>0.55625000000000002</v>
      </c>
      <c r="AP89" s="37">
        <v>2614</v>
      </c>
      <c r="AQ89" t="s">
        <v>1400</v>
      </c>
      <c r="AR89" s="38">
        <v>45819</v>
      </c>
      <c r="AS89" s="38"/>
      <c r="AU89" s="78"/>
      <c r="AV89" s="57"/>
      <c r="AX89" s="36"/>
      <c r="BB89" s="79"/>
      <c r="BC89" s="79"/>
    </row>
    <row r="90" spans="22:55" ht="16" x14ac:dyDescent="0.4">
      <c r="V90" s="97">
        <v>45816</v>
      </c>
      <c r="W90" s="16">
        <v>157669</v>
      </c>
      <c r="X90" s="101" t="s">
        <v>36</v>
      </c>
      <c r="Y90" s="105"/>
      <c r="Z90" s="102">
        <v>0.98590277777777768</v>
      </c>
      <c r="AA90" s="102">
        <v>5.1134259259259261E-2</v>
      </c>
      <c r="AB90" s="16"/>
      <c r="AC90" s="16"/>
      <c r="AD90" s="93">
        <v>20874</v>
      </c>
      <c r="AE90" s="93">
        <f t="shared" si="21"/>
        <v>20.873999999999999</v>
      </c>
      <c r="AF90">
        <v>14.35</v>
      </c>
      <c r="AG90" s="72">
        <f t="shared" si="22"/>
        <v>14</v>
      </c>
      <c r="AH90" s="37">
        <f t="shared" si="23"/>
        <v>20.873999999999999</v>
      </c>
      <c r="AJ90" s="38">
        <v>45819</v>
      </c>
      <c r="AL90" t="s">
        <v>5</v>
      </c>
      <c r="AN90" s="81">
        <v>0.38819444444444445</v>
      </c>
      <c r="AO90" s="81">
        <v>0.40208333333333335</v>
      </c>
      <c r="AP90" s="37">
        <v>2446</v>
      </c>
      <c r="AQ90" t="s">
        <v>1401</v>
      </c>
      <c r="AR90" s="38">
        <v>45819</v>
      </c>
      <c r="AS90" s="38"/>
      <c r="AU90" s="78"/>
      <c r="AV90" s="57"/>
      <c r="AX90" s="36"/>
      <c r="BB90" s="79"/>
      <c r="BC90" s="79"/>
    </row>
    <row r="91" spans="22:55" ht="16" x14ac:dyDescent="0.4">
      <c r="V91" s="97">
        <v>45816</v>
      </c>
      <c r="W91" s="16">
        <v>157675</v>
      </c>
      <c r="X91" s="101" t="s">
        <v>36</v>
      </c>
      <c r="Y91" s="105"/>
      <c r="Z91" s="102">
        <v>0.78277777777777768</v>
      </c>
      <c r="AA91" s="102">
        <v>0.10503472222222222</v>
      </c>
      <c r="AB91" s="16"/>
      <c r="AC91" s="16"/>
      <c r="AD91" s="93">
        <v>22090</v>
      </c>
      <c r="AE91" s="93">
        <f t="shared" si="21"/>
        <v>22.09</v>
      </c>
      <c r="AF91">
        <v>14.72</v>
      </c>
      <c r="AG91" s="72">
        <f t="shared" si="22"/>
        <v>14</v>
      </c>
      <c r="AH91" s="37">
        <f t="shared" si="23"/>
        <v>22.09</v>
      </c>
      <c r="AJ91" s="38">
        <v>45819</v>
      </c>
      <c r="AL91" t="s">
        <v>5</v>
      </c>
      <c r="AN91" s="81">
        <v>0.31527777777777777</v>
      </c>
      <c r="AO91" s="81">
        <v>0.51180555555555551</v>
      </c>
      <c r="AP91" s="37">
        <v>6722</v>
      </c>
      <c r="AR91" s="38">
        <v>45819</v>
      </c>
      <c r="AS91" s="38"/>
      <c r="AU91" s="78"/>
      <c r="AV91" s="57"/>
      <c r="AX91" s="36"/>
      <c r="BB91" s="79"/>
      <c r="BC91" s="79"/>
    </row>
    <row r="92" spans="22:55" ht="16" x14ac:dyDescent="0.4">
      <c r="V92" s="97">
        <v>45816</v>
      </c>
      <c r="W92" s="16">
        <v>157860</v>
      </c>
      <c r="X92" s="101" t="s">
        <v>36</v>
      </c>
      <c r="Y92" s="105"/>
      <c r="Z92" s="102">
        <v>72.882638888888891</v>
      </c>
      <c r="AA92" s="102">
        <v>0.15063657407407408</v>
      </c>
      <c r="AB92" s="16"/>
      <c r="AC92" s="16"/>
      <c r="AD92" s="93">
        <v>20334</v>
      </c>
      <c r="AE92" s="93">
        <f t="shared" si="21"/>
        <v>20.334</v>
      </c>
      <c r="AF92">
        <v>15.83</v>
      </c>
      <c r="AG92" s="72">
        <f t="shared" si="22"/>
        <v>14</v>
      </c>
      <c r="AH92" s="37">
        <f t="shared" si="23"/>
        <v>20.334</v>
      </c>
      <c r="AJ92" s="38">
        <v>45819</v>
      </c>
      <c r="AL92" t="s">
        <v>5</v>
      </c>
      <c r="AN92" s="81">
        <v>0.50347222222222221</v>
      </c>
      <c r="AO92" s="81">
        <v>0.61041666666666672</v>
      </c>
      <c r="AP92" s="37">
        <v>3454</v>
      </c>
      <c r="AQ92" t="s">
        <v>660</v>
      </c>
      <c r="AR92" s="38">
        <v>45819</v>
      </c>
      <c r="AS92" s="38"/>
      <c r="AU92" s="78"/>
      <c r="AV92" s="57"/>
      <c r="AX92" s="36"/>
      <c r="BB92" s="79"/>
      <c r="BC92" s="79"/>
    </row>
    <row r="93" spans="22:55" ht="16" x14ac:dyDescent="0.4">
      <c r="V93" s="97">
        <v>45816</v>
      </c>
      <c r="W93" s="16">
        <v>157690</v>
      </c>
      <c r="X93" s="101" t="s">
        <v>36</v>
      </c>
      <c r="Y93" s="105"/>
      <c r="Z93" s="102">
        <v>0.14510416666666667</v>
      </c>
      <c r="AA93" s="102">
        <v>0.21792824074074071</v>
      </c>
      <c r="AB93" s="16"/>
      <c r="AC93" s="16"/>
      <c r="AD93" s="93">
        <v>18494</v>
      </c>
      <c r="AE93" s="93">
        <f t="shared" si="21"/>
        <v>18.494</v>
      </c>
      <c r="AF93">
        <v>14.86</v>
      </c>
      <c r="AG93" s="72">
        <f t="shared" si="22"/>
        <v>14</v>
      </c>
      <c r="AH93" s="37">
        <f t="shared" si="23"/>
        <v>18.494</v>
      </c>
      <c r="AJ93" s="38">
        <v>45819</v>
      </c>
      <c r="AL93" t="s">
        <v>5</v>
      </c>
      <c r="AN93" s="81">
        <v>0.4770833333333333</v>
      </c>
      <c r="AO93" s="81">
        <v>0.50277777777777777</v>
      </c>
      <c r="AP93" s="37">
        <v>3208</v>
      </c>
      <c r="AQ93" t="s">
        <v>660</v>
      </c>
      <c r="AR93" s="38">
        <v>45819</v>
      </c>
      <c r="AS93" s="38"/>
      <c r="AU93" s="78"/>
      <c r="AV93" s="57"/>
      <c r="AX93" s="36"/>
      <c r="BB93" s="79"/>
      <c r="BC93" s="79"/>
    </row>
    <row r="94" spans="22:55" ht="16" x14ac:dyDescent="0.4">
      <c r="V94" s="97">
        <v>45816</v>
      </c>
      <c r="W94" s="16">
        <v>157712</v>
      </c>
      <c r="X94" s="101" t="s">
        <v>36</v>
      </c>
      <c r="Y94" s="105"/>
      <c r="Z94" s="102">
        <v>0.98541666666666661</v>
      </c>
      <c r="AA94" s="102">
        <v>0.32083333333333336</v>
      </c>
      <c r="AB94" s="16"/>
      <c r="AC94" s="16"/>
      <c r="AD94" s="93">
        <v>8398</v>
      </c>
      <c r="AE94" s="93">
        <f t="shared" si="21"/>
        <v>8.3979999999999997</v>
      </c>
      <c r="AF94">
        <v>12.31</v>
      </c>
      <c r="AG94" s="72">
        <f t="shared" si="22"/>
        <v>12.31</v>
      </c>
      <c r="AH94" s="37">
        <f t="shared" si="23"/>
        <v>7.3842414285714284</v>
      </c>
      <c r="AJ94" s="38">
        <v>45819</v>
      </c>
      <c r="AL94" t="s">
        <v>5</v>
      </c>
      <c r="AN94" s="81">
        <v>0.63263888888888886</v>
      </c>
      <c r="AO94" s="81">
        <v>0.64861111111111114</v>
      </c>
      <c r="AP94" s="37">
        <v>2914</v>
      </c>
      <c r="AQ94" t="s">
        <v>1393</v>
      </c>
      <c r="AR94" s="38">
        <v>45819</v>
      </c>
      <c r="AS94" s="38"/>
      <c r="AU94" s="78"/>
      <c r="AV94" s="57"/>
      <c r="AX94" s="36"/>
      <c r="BB94" s="79"/>
      <c r="BC94" s="79"/>
    </row>
    <row r="95" spans="22:55" ht="16" x14ac:dyDescent="0.4">
      <c r="V95" s="97">
        <v>45816</v>
      </c>
      <c r="W95" s="16">
        <v>157725</v>
      </c>
      <c r="X95" s="101" t="s">
        <v>36</v>
      </c>
      <c r="Y95" s="105"/>
      <c r="Z95" s="102">
        <v>0.1451388888888889</v>
      </c>
      <c r="AA95" s="102">
        <v>0.39861111111111108</v>
      </c>
      <c r="AB95" s="16"/>
      <c r="AC95" s="16"/>
      <c r="AD95" s="93">
        <v>18876</v>
      </c>
      <c r="AE95" s="93">
        <f t="shared" si="21"/>
        <v>18.876000000000001</v>
      </c>
      <c r="AF95">
        <v>14.99</v>
      </c>
      <c r="AG95" s="72">
        <f t="shared" si="22"/>
        <v>14</v>
      </c>
      <c r="AH95" s="37">
        <f t="shared" si="23"/>
        <v>18.876000000000001</v>
      </c>
      <c r="AJ95" s="38">
        <v>45819</v>
      </c>
      <c r="AL95" t="s">
        <v>5</v>
      </c>
      <c r="AN95" s="81">
        <v>0.66875000000000007</v>
      </c>
      <c r="AO95" s="81">
        <v>0.68125000000000002</v>
      </c>
      <c r="AP95" s="37">
        <v>1680</v>
      </c>
      <c r="AQ95" t="s">
        <v>1401</v>
      </c>
      <c r="AR95" s="38">
        <v>45819</v>
      </c>
      <c r="AS95" s="38"/>
      <c r="AU95" s="78"/>
      <c r="AV95" s="57"/>
      <c r="AX95" s="36"/>
      <c r="BB95" s="79"/>
      <c r="BC95" s="79"/>
    </row>
    <row r="96" spans="22:55" ht="16" x14ac:dyDescent="0.4">
      <c r="V96" s="97">
        <v>45816</v>
      </c>
      <c r="W96" s="16">
        <v>157751</v>
      </c>
      <c r="X96" s="101" t="s">
        <v>36</v>
      </c>
      <c r="Y96" s="105"/>
      <c r="Z96" s="102">
        <v>0.40902777777777777</v>
      </c>
      <c r="AA96" s="102">
        <v>0.46319444444444446</v>
      </c>
      <c r="AB96" s="16"/>
      <c r="AC96" s="16"/>
      <c r="AD96" s="93">
        <v>21614</v>
      </c>
      <c r="AE96" s="93">
        <f t="shared" si="21"/>
        <v>21.614000000000001</v>
      </c>
      <c r="AF96">
        <v>14.81</v>
      </c>
      <c r="AG96" s="72">
        <f t="shared" si="22"/>
        <v>14</v>
      </c>
      <c r="AH96" s="37">
        <f t="shared" si="23"/>
        <v>21.614000000000001</v>
      </c>
      <c r="AJ96" s="38">
        <v>45819</v>
      </c>
      <c r="AL96" t="s">
        <v>5</v>
      </c>
      <c r="AN96" s="81">
        <v>0.44791666666666669</v>
      </c>
      <c r="AO96" s="81">
        <v>0.70000000000000007</v>
      </c>
      <c r="AP96" s="37">
        <v>4946</v>
      </c>
      <c r="AQ96" t="s">
        <v>1399</v>
      </c>
      <c r="AR96" s="38">
        <v>45819</v>
      </c>
      <c r="AS96" s="38"/>
      <c r="AU96" s="78"/>
      <c r="AV96" s="57"/>
      <c r="AX96" s="36"/>
      <c r="BB96" s="79"/>
      <c r="BC96" s="79"/>
    </row>
    <row r="97" spans="22:55" ht="16" x14ac:dyDescent="0.4">
      <c r="V97" s="97">
        <v>45816</v>
      </c>
      <c r="W97" s="16">
        <v>157761</v>
      </c>
      <c r="X97" s="101" t="s">
        <v>36</v>
      </c>
      <c r="Y97" s="105"/>
      <c r="Z97" s="102">
        <v>0.1451388888888889</v>
      </c>
      <c r="AA97" s="102">
        <v>0.53749999999999998</v>
      </c>
      <c r="AB97" s="16"/>
      <c r="AC97" s="16"/>
      <c r="AD97" s="93">
        <v>20052</v>
      </c>
      <c r="AE97" s="93">
        <f t="shared" si="21"/>
        <v>20.052</v>
      </c>
      <c r="AF97">
        <v>14.2</v>
      </c>
      <c r="AG97" s="72">
        <f t="shared" si="22"/>
        <v>14</v>
      </c>
      <c r="AH97" s="37">
        <f t="shared" si="23"/>
        <v>20.052</v>
      </c>
      <c r="AJ97" s="38">
        <v>45820</v>
      </c>
      <c r="AL97" t="s">
        <v>5</v>
      </c>
      <c r="AN97" s="81">
        <v>0.40277777777777773</v>
      </c>
      <c r="AO97" s="81">
        <v>0.35625000000000001</v>
      </c>
      <c r="AP97" s="37">
        <v>3110</v>
      </c>
      <c r="AQ97" t="s">
        <v>1401</v>
      </c>
      <c r="AR97" s="38">
        <v>45820</v>
      </c>
      <c r="AS97" s="38"/>
      <c r="AU97" s="78"/>
      <c r="AV97" s="57"/>
      <c r="AX97" s="36"/>
      <c r="BB97" s="79"/>
      <c r="BC97" s="79"/>
    </row>
    <row r="98" spans="22:55" ht="16" x14ac:dyDescent="0.4">
      <c r="V98" s="97">
        <v>45816</v>
      </c>
      <c r="W98" s="16">
        <v>157775</v>
      </c>
      <c r="X98" s="101" t="s">
        <v>36</v>
      </c>
      <c r="Y98" s="105"/>
      <c r="Z98" s="102">
        <v>0.40902777777777777</v>
      </c>
      <c r="AA98" s="102">
        <v>0.59027777777777779</v>
      </c>
      <c r="AB98" s="16"/>
      <c r="AC98" s="16"/>
      <c r="AD98" s="93">
        <v>18970</v>
      </c>
      <c r="AE98" s="93">
        <f t="shared" si="21"/>
        <v>18.97</v>
      </c>
      <c r="AF98">
        <v>16.09</v>
      </c>
      <c r="AG98" s="72">
        <f t="shared" si="22"/>
        <v>14</v>
      </c>
      <c r="AH98" s="37">
        <f t="shared" si="23"/>
        <v>18.97</v>
      </c>
      <c r="AJ98" s="38">
        <v>45820</v>
      </c>
      <c r="AL98" t="s">
        <v>5</v>
      </c>
      <c r="AN98" s="81">
        <v>0.82013888888888886</v>
      </c>
      <c r="AO98" s="81">
        <v>0.31805555555555554</v>
      </c>
      <c r="AP98" s="37">
        <v>3834</v>
      </c>
      <c r="AQ98" t="s">
        <v>1390</v>
      </c>
      <c r="AR98" s="38">
        <v>45820</v>
      </c>
      <c r="AS98" s="38"/>
      <c r="AU98" s="78"/>
      <c r="AV98" s="57"/>
      <c r="AX98" s="36"/>
      <c r="BB98" s="79"/>
      <c r="BC98" s="79"/>
    </row>
    <row r="99" spans="22:55" ht="16" x14ac:dyDescent="0.4">
      <c r="V99" s="97">
        <v>45816</v>
      </c>
      <c r="W99" s="16">
        <v>157788</v>
      </c>
      <c r="X99" s="101" t="s">
        <v>36</v>
      </c>
      <c r="Y99" s="105"/>
      <c r="Z99" s="102">
        <v>0.58194444444444449</v>
      </c>
      <c r="AA99" s="102">
        <v>0.65763888888888888</v>
      </c>
      <c r="AB99" s="16"/>
      <c r="AC99" s="16"/>
      <c r="AD99" s="93">
        <v>19766</v>
      </c>
      <c r="AE99" s="93">
        <f t="shared" si="21"/>
        <v>19.765999999999998</v>
      </c>
      <c r="AF99">
        <v>15.13</v>
      </c>
      <c r="AG99" s="72">
        <f t="shared" si="22"/>
        <v>14</v>
      </c>
      <c r="AH99" s="37">
        <f t="shared" si="23"/>
        <v>19.765999999999998</v>
      </c>
      <c r="AJ99" s="38">
        <v>45820</v>
      </c>
      <c r="AL99" t="s">
        <v>5</v>
      </c>
      <c r="AN99" s="81">
        <v>0.3354166666666667</v>
      </c>
      <c r="AO99" s="81">
        <v>0.41666666666666669</v>
      </c>
      <c r="AP99" s="37">
        <v>4014</v>
      </c>
      <c r="AQ99" t="s">
        <v>139</v>
      </c>
      <c r="AR99" s="38">
        <v>45820</v>
      </c>
      <c r="AS99" s="38"/>
      <c r="AU99" s="78"/>
      <c r="AV99" s="57"/>
      <c r="AX99" s="36"/>
      <c r="BB99" s="79"/>
      <c r="BC99" s="79"/>
    </row>
    <row r="100" spans="22:55" ht="16" x14ac:dyDescent="0.4">
      <c r="V100" s="97">
        <v>45816</v>
      </c>
      <c r="W100" s="16">
        <v>157796</v>
      </c>
      <c r="X100" s="101" t="s">
        <v>36</v>
      </c>
      <c r="Y100" s="105"/>
      <c r="Z100" s="102">
        <v>0.40902777777777777</v>
      </c>
      <c r="AA100" s="102">
        <v>0.71319444444444446</v>
      </c>
      <c r="AB100" s="16"/>
      <c r="AC100" s="16"/>
      <c r="AD100" s="93">
        <v>19058</v>
      </c>
      <c r="AE100" s="93">
        <f t="shared" si="21"/>
        <v>19.058</v>
      </c>
      <c r="AF100">
        <v>14.55</v>
      </c>
      <c r="AG100" s="72">
        <f t="shared" si="22"/>
        <v>14</v>
      </c>
      <c r="AH100" s="37">
        <f t="shared" si="23"/>
        <v>19.058</v>
      </c>
      <c r="AJ100" s="38">
        <v>45820</v>
      </c>
      <c r="AL100" t="s">
        <v>5</v>
      </c>
      <c r="AN100" s="81">
        <v>0.39027777777777778</v>
      </c>
      <c r="AO100" s="81">
        <v>0.40416666666666662</v>
      </c>
      <c r="AP100" s="37">
        <v>3080</v>
      </c>
      <c r="AQ100" t="s">
        <v>672</v>
      </c>
      <c r="AR100" s="38">
        <v>45820</v>
      </c>
      <c r="AS100" s="38"/>
      <c r="AU100" s="78"/>
      <c r="AV100" s="57"/>
      <c r="AX100" s="36"/>
      <c r="BB100" s="80"/>
      <c r="BC100" s="80"/>
    </row>
    <row r="101" spans="22:55" ht="16" x14ac:dyDescent="0.4">
      <c r="V101" s="97">
        <v>45816</v>
      </c>
      <c r="W101" s="16">
        <v>157806</v>
      </c>
      <c r="X101" s="101" t="s">
        <v>36</v>
      </c>
      <c r="Y101" s="105"/>
      <c r="Z101" s="102">
        <v>0.5823842592592593</v>
      </c>
      <c r="AA101" s="102">
        <v>0.7860300925925926</v>
      </c>
      <c r="AB101" s="16"/>
      <c r="AC101" s="16"/>
      <c r="AD101" s="93">
        <v>18342</v>
      </c>
      <c r="AE101" s="93">
        <f t="shared" si="21"/>
        <v>18.341999999999999</v>
      </c>
      <c r="AF101">
        <v>15.99</v>
      </c>
      <c r="AG101" s="72">
        <f t="shared" si="22"/>
        <v>14</v>
      </c>
      <c r="AH101" s="37">
        <f t="shared" si="23"/>
        <v>18.342000000000002</v>
      </c>
      <c r="AJ101" s="38">
        <v>45820</v>
      </c>
      <c r="AL101" t="s">
        <v>5</v>
      </c>
      <c r="AN101" s="81">
        <v>0.37361111111111112</v>
      </c>
      <c r="AO101" s="81">
        <v>0.45694444444444443</v>
      </c>
      <c r="AP101" s="37">
        <v>2872</v>
      </c>
      <c r="AQ101" t="s">
        <v>1401</v>
      </c>
      <c r="AR101" s="38">
        <v>45820</v>
      </c>
      <c r="AS101" s="38"/>
      <c r="AU101" s="78"/>
      <c r="AV101" s="57"/>
      <c r="AX101" s="36"/>
      <c r="BB101" s="79"/>
      <c r="BC101" s="79"/>
    </row>
    <row r="102" spans="22:55" ht="16" x14ac:dyDescent="0.4">
      <c r="V102" s="97">
        <v>45816</v>
      </c>
      <c r="W102" s="16">
        <v>157823</v>
      </c>
      <c r="X102" s="101" t="s">
        <v>36</v>
      </c>
      <c r="Y102" s="105"/>
      <c r="Z102" s="102">
        <v>0.76337962962962969</v>
      </c>
      <c r="AA102" s="102">
        <v>0.84015046296296303</v>
      </c>
      <c r="AB102" s="16"/>
      <c r="AC102" s="16"/>
      <c r="AD102" s="93">
        <v>16136</v>
      </c>
      <c r="AE102" s="93">
        <f t="shared" si="21"/>
        <v>16.135999999999999</v>
      </c>
      <c r="AF102">
        <v>16.73</v>
      </c>
      <c r="AG102" s="72">
        <f t="shared" si="22"/>
        <v>14</v>
      </c>
      <c r="AH102" s="37">
        <f t="shared" si="23"/>
        <v>16.135999999999999</v>
      </c>
      <c r="AJ102" s="38">
        <v>45820</v>
      </c>
      <c r="AL102" t="s">
        <v>5</v>
      </c>
      <c r="AN102" s="81">
        <v>0.40416666666666662</v>
      </c>
      <c r="AO102" s="81">
        <v>0.48472222222222222</v>
      </c>
      <c r="AP102" s="37">
        <v>2790</v>
      </c>
      <c r="AQ102" t="s">
        <v>672</v>
      </c>
      <c r="AR102" s="38">
        <v>45820</v>
      </c>
      <c r="AS102" s="38"/>
      <c r="AU102" s="78"/>
      <c r="AV102" s="57"/>
      <c r="AX102" s="36"/>
      <c r="BB102" s="79"/>
      <c r="BC102" s="79"/>
    </row>
    <row r="103" spans="22:55" ht="16" x14ac:dyDescent="0.4">
      <c r="V103" s="97">
        <v>45816</v>
      </c>
      <c r="W103" s="16">
        <v>157836</v>
      </c>
      <c r="X103" s="101" t="s">
        <v>36</v>
      </c>
      <c r="Y103" s="105"/>
      <c r="Z103" s="102">
        <v>0.58223379629629635</v>
      </c>
      <c r="AA103" s="102">
        <v>0.90773148148148142</v>
      </c>
      <c r="AB103" s="16"/>
      <c r="AC103" s="16"/>
      <c r="AD103" s="93">
        <v>19214</v>
      </c>
      <c r="AE103" s="93">
        <f t="shared" si="21"/>
        <v>19.213999999999999</v>
      </c>
      <c r="AF103">
        <v>15.4</v>
      </c>
      <c r="AG103" s="72">
        <f t="shared" si="22"/>
        <v>14</v>
      </c>
      <c r="AH103" s="37">
        <f t="shared" si="23"/>
        <v>19.213999999999999</v>
      </c>
      <c r="AJ103" s="38">
        <v>45820</v>
      </c>
      <c r="AK103" s="16"/>
      <c r="AL103" t="s">
        <v>5</v>
      </c>
      <c r="AN103" s="81">
        <v>0.43541666666666662</v>
      </c>
      <c r="AO103" s="81">
        <v>0.49861111111111112</v>
      </c>
      <c r="AP103" s="37">
        <v>3476</v>
      </c>
      <c r="AQ103" t="s">
        <v>1390</v>
      </c>
      <c r="AR103" s="38">
        <v>45820</v>
      </c>
      <c r="AS103" s="38"/>
      <c r="AU103" s="78"/>
      <c r="AV103" s="57"/>
      <c r="AX103" s="36"/>
      <c r="BB103" s="79"/>
      <c r="BC103" s="79"/>
    </row>
    <row r="104" spans="22:55" ht="16" x14ac:dyDescent="0.4">
      <c r="V104" s="97">
        <v>45816</v>
      </c>
      <c r="W104" s="16">
        <v>157846</v>
      </c>
      <c r="X104" s="101" t="s">
        <v>36</v>
      </c>
      <c r="Y104" s="105"/>
      <c r="Z104" s="102">
        <v>0.76356481481481486</v>
      </c>
      <c r="AA104" s="102">
        <v>0.97833333333333339</v>
      </c>
      <c r="AB104" s="16"/>
      <c r="AC104" s="16"/>
      <c r="AD104" s="93">
        <v>20018</v>
      </c>
      <c r="AE104" s="93">
        <f t="shared" si="21"/>
        <v>20.018000000000001</v>
      </c>
      <c r="AF104">
        <v>14.69</v>
      </c>
      <c r="AG104" s="72">
        <f t="shared" si="22"/>
        <v>14</v>
      </c>
      <c r="AH104" s="37">
        <f t="shared" si="23"/>
        <v>20.018000000000001</v>
      </c>
      <c r="AJ104" s="38">
        <v>45820</v>
      </c>
      <c r="AK104" s="16"/>
      <c r="AL104" t="s">
        <v>5</v>
      </c>
      <c r="AN104" s="81">
        <v>0.37361111111111112</v>
      </c>
      <c r="AO104" s="81">
        <v>0.58888888888888891</v>
      </c>
      <c r="AP104" s="37">
        <v>2594</v>
      </c>
      <c r="AQ104" t="s">
        <v>1401</v>
      </c>
      <c r="AR104" s="38">
        <v>45820</v>
      </c>
      <c r="AS104" s="38"/>
      <c r="AU104" s="78"/>
      <c r="AV104" s="57"/>
      <c r="AX104" s="36"/>
      <c r="BB104" s="79"/>
      <c r="BC104" s="79"/>
    </row>
    <row r="105" spans="22:55" ht="16" x14ac:dyDescent="0.4">
      <c r="V105" s="97">
        <v>45817</v>
      </c>
      <c r="W105" s="16">
        <v>157855</v>
      </c>
      <c r="X105" s="101" t="s">
        <v>36</v>
      </c>
      <c r="Y105" s="105"/>
      <c r="Z105" s="102">
        <v>0.96158564814814806</v>
      </c>
      <c r="AA105" s="102">
        <v>4.1909722222222223E-2</v>
      </c>
      <c r="AB105" s="16"/>
      <c r="AC105" s="16"/>
      <c r="AD105" s="93">
        <v>19996</v>
      </c>
      <c r="AE105" s="93">
        <f t="shared" si="21"/>
        <v>19.995999999999999</v>
      </c>
      <c r="AF105">
        <v>15.06</v>
      </c>
      <c r="AG105" s="72">
        <f t="shared" si="22"/>
        <v>14</v>
      </c>
      <c r="AH105" s="37">
        <f t="shared" si="23"/>
        <v>19.995999999999999</v>
      </c>
      <c r="AJ105" s="38">
        <v>45820</v>
      </c>
      <c r="AK105" s="16"/>
      <c r="AL105" t="s">
        <v>5</v>
      </c>
      <c r="AN105" s="81">
        <v>0.59583333333333333</v>
      </c>
      <c r="AO105" s="81">
        <v>0.6118055555555556</v>
      </c>
      <c r="AP105" s="37">
        <v>2892</v>
      </c>
      <c r="AQ105" t="s">
        <v>672</v>
      </c>
      <c r="AR105" s="38">
        <v>45820</v>
      </c>
      <c r="AS105" s="38"/>
      <c r="AU105" s="78"/>
      <c r="AV105" s="57"/>
      <c r="AX105" s="36"/>
      <c r="BB105" s="79"/>
      <c r="BC105" s="79"/>
    </row>
    <row r="106" spans="22:55" ht="16" x14ac:dyDescent="0.4">
      <c r="V106" s="97">
        <v>45817</v>
      </c>
      <c r="W106" s="16">
        <v>157856</v>
      </c>
      <c r="X106" s="101" t="s">
        <v>36</v>
      </c>
      <c r="Y106" s="105"/>
      <c r="Z106" s="102">
        <v>0.76347222222222222</v>
      </c>
      <c r="AA106" s="102">
        <v>9.8148148148148151E-2</v>
      </c>
      <c r="AB106" s="16"/>
      <c r="AC106" s="16"/>
      <c r="AD106" s="93">
        <v>18718</v>
      </c>
      <c r="AE106" s="93">
        <f t="shared" si="21"/>
        <v>18.718</v>
      </c>
      <c r="AF106">
        <v>16.38</v>
      </c>
      <c r="AG106" s="72">
        <f t="shared" si="22"/>
        <v>14</v>
      </c>
      <c r="AH106" s="37">
        <f t="shared" si="23"/>
        <v>18.718</v>
      </c>
      <c r="AJ106" s="38">
        <v>45820</v>
      </c>
      <c r="AK106" s="16"/>
      <c r="AL106" t="s">
        <v>5</v>
      </c>
      <c r="AN106" s="81">
        <v>0.45902777777777781</v>
      </c>
      <c r="AO106" s="81">
        <v>0.48125000000000001</v>
      </c>
      <c r="AP106" s="37">
        <v>4304</v>
      </c>
      <c r="AQ106" t="s">
        <v>1402</v>
      </c>
      <c r="AR106" s="38">
        <v>45820</v>
      </c>
      <c r="AS106" s="38"/>
      <c r="AU106" s="78"/>
      <c r="AV106" s="57"/>
      <c r="AX106" s="36"/>
      <c r="BB106" s="79"/>
      <c r="BC106" s="79"/>
    </row>
    <row r="107" spans="22:55" ht="16" x14ac:dyDescent="0.4">
      <c r="V107" s="97">
        <v>45817</v>
      </c>
      <c r="W107" s="16">
        <v>157858</v>
      </c>
      <c r="X107" s="101" t="s">
        <v>36</v>
      </c>
      <c r="Y107" s="105"/>
      <c r="Z107" s="102">
        <v>0.96146990740740745</v>
      </c>
      <c r="AA107" s="102">
        <v>0.18177083333333333</v>
      </c>
      <c r="AB107" s="16"/>
      <c r="AC107" s="16"/>
      <c r="AD107" s="93">
        <v>20730</v>
      </c>
      <c r="AE107" s="93">
        <f t="shared" si="21"/>
        <v>20.73</v>
      </c>
      <c r="AF107">
        <v>14.23</v>
      </c>
      <c r="AG107" s="72">
        <f t="shared" si="22"/>
        <v>14</v>
      </c>
      <c r="AH107" s="37">
        <f t="shared" si="23"/>
        <v>20.73</v>
      </c>
      <c r="AJ107" s="38">
        <v>45820</v>
      </c>
      <c r="AK107" s="16"/>
      <c r="AL107" t="s">
        <v>5</v>
      </c>
      <c r="AN107" s="81">
        <v>0.71666666666666667</v>
      </c>
      <c r="AO107" s="81">
        <v>0.63888888888888895</v>
      </c>
      <c r="AP107" s="37">
        <v>5550</v>
      </c>
      <c r="AQ107" t="s">
        <v>1403</v>
      </c>
      <c r="AR107" s="38">
        <v>45820</v>
      </c>
      <c r="AS107" s="38"/>
      <c r="AU107" s="78"/>
      <c r="AV107" s="57"/>
      <c r="AX107" s="36"/>
      <c r="BB107" s="79"/>
      <c r="BC107" s="79"/>
    </row>
    <row r="108" spans="22:55" ht="16" x14ac:dyDescent="0.4">
      <c r="V108" s="97">
        <v>45817</v>
      </c>
      <c r="W108" s="16">
        <v>157881</v>
      </c>
      <c r="X108" s="101" t="s">
        <v>36</v>
      </c>
      <c r="Y108" s="105"/>
      <c r="Z108" s="102">
        <v>0.15625</v>
      </c>
      <c r="AA108" s="102">
        <v>0.28333333333333333</v>
      </c>
      <c r="AB108" s="16">
        <v>104</v>
      </c>
      <c r="AC108" s="16" t="s">
        <v>667</v>
      </c>
      <c r="AD108" s="93">
        <v>7946</v>
      </c>
      <c r="AE108" s="93">
        <f t="shared" si="21"/>
        <v>7.9459999999999997</v>
      </c>
      <c r="AF108">
        <v>8.66</v>
      </c>
      <c r="AG108" s="72">
        <f t="shared" si="22"/>
        <v>8.66</v>
      </c>
      <c r="AH108" s="37">
        <f t="shared" si="23"/>
        <v>4.9151685714285716</v>
      </c>
      <c r="AJ108" s="38">
        <v>45821</v>
      </c>
      <c r="AK108" s="16"/>
      <c r="AL108" t="s">
        <v>5</v>
      </c>
      <c r="AN108" s="81">
        <v>0.43541666666666662</v>
      </c>
      <c r="AO108" s="81">
        <v>0.36736111111111108</v>
      </c>
      <c r="AP108" s="37">
        <v>4070</v>
      </c>
      <c r="AQ108" t="s">
        <v>1404</v>
      </c>
      <c r="AR108" s="38">
        <v>45821</v>
      </c>
      <c r="BB108" s="73"/>
      <c r="BC108" s="73"/>
    </row>
    <row r="109" spans="22:55" ht="16" x14ac:dyDescent="0.4">
      <c r="V109" s="97">
        <v>45817</v>
      </c>
      <c r="W109" s="16">
        <v>158228</v>
      </c>
      <c r="X109" s="101" t="s">
        <v>36</v>
      </c>
      <c r="Y109" s="105"/>
      <c r="Z109" s="102">
        <v>0.76429398148148142</v>
      </c>
      <c r="AA109" s="102">
        <v>0.83739583333333334</v>
      </c>
      <c r="AB109" s="16">
        <v>104</v>
      </c>
      <c r="AC109" s="16" t="s">
        <v>667</v>
      </c>
      <c r="AD109" s="93">
        <v>11946</v>
      </c>
      <c r="AE109" s="93">
        <f t="shared" si="21"/>
        <v>11.946</v>
      </c>
      <c r="AF109">
        <v>15.49</v>
      </c>
      <c r="AG109" s="72">
        <f t="shared" si="22"/>
        <v>14</v>
      </c>
      <c r="AH109" s="37">
        <f t="shared" si="23"/>
        <v>11.946</v>
      </c>
      <c r="AJ109" s="38">
        <v>45821</v>
      </c>
      <c r="AK109" s="16"/>
      <c r="AL109" t="s">
        <v>5</v>
      </c>
      <c r="AN109" s="81">
        <v>0.6118055555555556</v>
      </c>
      <c r="AO109" s="81">
        <v>0.38125000000000003</v>
      </c>
      <c r="AP109" s="37">
        <v>3124</v>
      </c>
      <c r="AQ109" t="s">
        <v>672</v>
      </c>
      <c r="AR109" s="38">
        <v>45821</v>
      </c>
      <c r="BB109" s="73"/>
      <c r="BC109" s="73"/>
    </row>
    <row r="110" spans="22:55" ht="16" x14ac:dyDescent="0.4">
      <c r="V110" s="97">
        <v>45817</v>
      </c>
      <c r="W110" s="16">
        <v>158258</v>
      </c>
      <c r="X110" s="101" t="s">
        <v>36</v>
      </c>
      <c r="Y110" s="105"/>
      <c r="Z110" s="102">
        <v>0.76782407407407405</v>
      </c>
      <c r="AA110" s="102">
        <v>0.89730324074074075</v>
      </c>
      <c r="AB110" s="16"/>
      <c r="AC110" s="16"/>
      <c r="AD110" s="93">
        <v>19518</v>
      </c>
      <c r="AE110" s="93">
        <f t="shared" si="21"/>
        <v>19.518000000000001</v>
      </c>
      <c r="AF110">
        <v>16.09</v>
      </c>
      <c r="AG110" s="72">
        <f t="shared" si="22"/>
        <v>14</v>
      </c>
      <c r="AH110" s="37">
        <f t="shared" si="23"/>
        <v>19.518000000000001</v>
      </c>
      <c r="AJ110" s="38">
        <v>45821</v>
      </c>
      <c r="AK110" s="98"/>
      <c r="AL110" t="s">
        <v>5</v>
      </c>
      <c r="AN110" s="81">
        <v>0.35416666666666669</v>
      </c>
      <c r="AO110" s="81">
        <v>0.44166666666666665</v>
      </c>
      <c r="AP110" s="37">
        <v>2704</v>
      </c>
      <c r="AQ110" t="s">
        <v>1401</v>
      </c>
      <c r="AR110" s="38">
        <v>45821</v>
      </c>
    </row>
    <row r="111" spans="22:55" ht="16" x14ac:dyDescent="0.4">
      <c r="V111" s="97">
        <v>45817</v>
      </c>
      <c r="W111" s="16">
        <v>158289</v>
      </c>
      <c r="X111" s="101" t="s">
        <v>36</v>
      </c>
      <c r="Y111" s="105"/>
      <c r="Z111" s="102">
        <v>0.16033564814814816</v>
      </c>
      <c r="AA111" s="102">
        <v>0.98509259259259263</v>
      </c>
      <c r="AB111" s="16"/>
      <c r="AC111" s="16"/>
      <c r="AD111" s="93">
        <v>20948</v>
      </c>
      <c r="AE111" s="93">
        <f t="shared" si="21"/>
        <v>20.948</v>
      </c>
      <c r="AF111">
        <v>16.77</v>
      </c>
      <c r="AG111" s="72">
        <f t="shared" si="22"/>
        <v>14</v>
      </c>
      <c r="AH111" s="37">
        <f t="shared" si="23"/>
        <v>20.948</v>
      </c>
      <c r="AJ111" s="38">
        <v>45821</v>
      </c>
      <c r="AK111" s="16"/>
      <c r="AL111" t="s">
        <v>5</v>
      </c>
      <c r="AN111" s="81">
        <v>0.33888888888888885</v>
      </c>
      <c r="AO111" s="81">
        <v>0.35347222222222219</v>
      </c>
      <c r="AP111" s="37">
        <v>2830</v>
      </c>
      <c r="AQ111" t="s">
        <v>1401</v>
      </c>
      <c r="AR111" s="38">
        <v>45821</v>
      </c>
    </row>
    <row r="112" spans="22:55" ht="16" x14ac:dyDescent="0.4">
      <c r="V112" s="97">
        <v>45818</v>
      </c>
      <c r="W112" s="16">
        <v>158303</v>
      </c>
      <c r="X112" s="101" t="s">
        <v>36</v>
      </c>
      <c r="Y112" s="105"/>
      <c r="Z112" s="102">
        <v>0.76769675925925929</v>
      </c>
      <c r="AA112" s="102">
        <v>4.9155092592592597E-2</v>
      </c>
      <c r="AB112" s="16"/>
      <c r="AC112" s="16"/>
      <c r="AD112" s="93">
        <v>19666</v>
      </c>
      <c r="AE112" s="93">
        <f t="shared" si="21"/>
        <v>19.666</v>
      </c>
      <c r="AF112">
        <v>16.39</v>
      </c>
      <c r="AG112" s="72">
        <f t="shared" si="22"/>
        <v>14</v>
      </c>
      <c r="AH112" s="37">
        <f t="shared" si="23"/>
        <v>19.666</v>
      </c>
      <c r="AJ112" s="38">
        <v>45821</v>
      </c>
      <c r="AK112" s="16"/>
      <c r="AL112" t="s">
        <v>5</v>
      </c>
      <c r="AN112" s="81">
        <v>0.34861111111111115</v>
      </c>
      <c r="AO112" s="81">
        <v>0.39097222222222222</v>
      </c>
      <c r="AP112" s="37">
        <v>2864</v>
      </c>
      <c r="AQ112" t="s">
        <v>684</v>
      </c>
      <c r="AR112" s="38">
        <v>45821</v>
      </c>
    </row>
    <row r="113" spans="22:44" ht="16" x14ac:dyDescent="0.4">
      <c r="V113" s="97">
        <v>45818</v>
      </c>
      <c r="W113" s="16">
        <v>158314</v>
      </c>
      <c r="X113" s="101" t="s">
        <v>36</v>
      </c>
      <c r="Y113" s="105"/>
      <c r="Z113" s="102">
        <v>0.76377314814814812</v>
      </c>
      <c r="AA113" s="102">
        <v>0.11121527777777777</v>
      </c>
      <c r="AB113" s="16"/>
      <c r="AC113" s="16"/>
      <c r="AD113" s="93">
        <v>18646</v>
      </c>
      <c r="AE113" s="93">
        <f t="shared" si="21"/>
        <v>18.646000000000001</v>
      </c>
      <c r="AF113">
        <v>16.12</v>
      </c>
      <c r="AG113" s="72">
        <f t="shared" si="22"/>
        <v>14</v>
      </c>
      <c r="AH113" s="37">
        <f t="shared" si="23"/>
        <v>18.645999999999997</v>
      </c>
      <c r="AJ113" s="38">
        <v>45821</v>
      </c>
      <c r="AK113" s="16"/>
      <c r="AL113" t="s">
        <v>4</v>
      </c>
      <c r="AN113" s="81">
        <v>0.27152777777777776</v>
      </c>
      <c r="AO113" s="81">
        <v>0.45277777777777778</v>
      </c>
      <c r="AP113" s="37">
        <v>5408</v>
      </c>
      <c r="AR113" s="38">
        <v>45821</v>
      </c>
    </row>
    <row r="114" spans="22:44" ht="16" x14ac:dyDescent="0.4">
      <c r="V114" s="97">
        <v>45818</v>
      </c>
      <c r="W114" s="16">
        <v>158323</v>
      </c>
      <c r="X114" s="101" t="s">
        <v>36</v>
      </c>
      <c r="Y114" s="105"/>
      <c r="Z114" s="102">
        <v>0.76756944444444442</v>
      </c>
      <c r="AA114" s="102">
        <v>0.16915509259259257</v>
      </c>
      <c r="AB114" s="16"/>
      <c r="AC114" s="16"/>
      <c r="AD114" s="93">
        <v>20634</v>
      </c>
      <c r="AE114" s="93">
        <f t="shared" si="21"/>
        <v>20.634</v>
      </c>
      <c r="AF114">
        <v>14.49</v>
      </c>
      <c r="AG114" s="72">
        <f t="shared" si="22"/>
        <v>14</v>
      </c>
      <c r="AH114" s="37">
        <f t="shared" si="23"/>
        <v>20.633999999999997</v>
      </c>
      <c r="AJ114" s="38">
        <v>45821</v>
      </c>
      <c r="AK114" s="16"/>
      <c r="AL114" t="s">
        <v>5</v>
      </c>
      <c r="AN114" s="81">
        <v>0.46666666666666662</v>
      </c>
      <c r="AO114" s="81">
        <v>0.50694444444444442</v>
      </c>
      <c r="AP114" s="37">
        <v>3130</v>
      </c>
      <c r="AQ114" t="s">
        <v>681</v>
      </c>
      <c r="AR114" s="38">
        <v>45821</v>
      </c>
    </row>
    <row r="115" spans="22:44" ht="16" x14ac:dyDescent="0.4">
      <c r="V115" s="97">
        <v>45818</v>
      </c>
      <c r="W115" s="16">
        <v>158325</v>
      </c>
      <c r="X115" s="101" t="s">
        <v>36</v>
      </c>
      <c r="Y115" s="105"/>
      <c r="Z115" s="102">
        <v>0.15622685185185184</v>
      </c>
      <c r="AA115" s="102">
        <v>0.22083333333333333</v>
      </c>
      <c r="AB115" s="16"/>
      <c r="AC115" s="16"/>
      <c r="AD115" s="93">
        <v>19766</v>
      </c>
      <c r="AE115" s="93">
        <f t="shared" si="21"/>
        <v>19.765999999999998</v>
      </c>
      <c r="AF115">
        <v>15.37</v>
      </c>
      <c r="AG115" s="72">
        <f t="shared" si="22"/>
        <v>14</v>
      </c>
      <c r="AH115" s="37">
        <f t="shared" si="23"/>
        <v>19.765999999999998</v>
      </c>
      <c r="AJ115" s="38">
        <v>45821</v>
      </c>
      <c r="AK115" s="16"/>
      <c r="AL115" t="s">
        <v>5</v>
      </c>
      <c r="AN115" s="81">
        <v>0.51111111111111118</v>
      </c>
      <c r="AO115" s="81">
        <v>0.53263888888888888</v>
      </c>
      <c r="AP115" s="37">
        <v>4286</v>
      </c>
      <c r="AQ115" t="s">
        <v>1402</v>
      </c>
      <c r="AR115" s="38">
        <v>45821</v>
      </c>
    </row>
    <row r="116" spans="22:44" ht="16" x14ac:dyDescent="0.4">
      <c r="V116" s="97">
        <v>45818</v>
      </c>
      <c r="W116" s="16">
        <v>158367</v>
      </c>
      <c r="X116" s="101" t="s">
        <v>36</v>
      </c>
      <c r="Y116" s="105"/>
      <c r="Z116" s="102">
        <v>0.22222222222222221</v>
      </c>
      <c r="AA116" s="102">
        <v>0.30833333333333335</v>
      </c>
      <c r="AB116" s="16"/>
      <c r="AC116" s="16"/>
      <c r="AD116" s="93">
        <v>20392</v>
      </c>
      <c r="AE116" s="93">
        <f t="shared" si="21"/>
        <v>20.391999999999999</v>
      </c>
      <c r="AF116">
        <v>16.309999999999999</v>
      </c>
      <c r="AG116" s="72">
        <f t="shared" si="22"/>
        <v>14</v>
      </c>
      <c r="AH116" s="37">
        <f t="shared" si="23"/>
        <v>20.391999999999999</v>
      </c>
      <c r="AJ116" s="38">
        <v>45821</v>
      </c>
      <c r="AK116" s="16"/>
      <c r="AL116" t="s">
        <v>5</v>
      </c>
      <c r="AN116" s="81"/>
      <c r="AO116" s="81"/>
      <c r="AP116" s="37">
        <v>2680</v>
      </c>
      <c r="AR116" s="38">
        <v>45821</v>
      </c>
    </row>
    <row r="117" spans="22:44" ht="16" x14ac:dyDescent="0.4">
      <c r="V117" s="97">
        <v>45818</v>
      </c>
      <c r="W117" s="16">
        <v>158451</v>
      </c>
      <c r="X117" s="101" t="s">
        <v>36</v>
      </c>
      <c r="Y117" s="105"/>
      <c r="Z117" s="102">
        <v>0.15555555555555556</v>
      </c>
      <c r="AA117" s="102">
        <v>0.37847222222222227</v>
      </c>
      <c r="AB117" s="16"/>
      <c r="AC117" s="16"/>
      <c r="AD117" s="93">
        <v>18940</v>
      </c>
      <c r="AE117" s="93">
        <f t="shared" si="21"/>
        <v>18.940000000000001</v>
      </c>
      <c r="AF117">
        <v>17.559999999999999</v>
      </c>
      <c r="AG117" s="72">
        <f t="shared" si="22"/>
        <v>14</v>
      </c>
      <c r="AH117" s="37">
        <f t="shared" si="23"/>
        <v>18.940000000000001</v>
      </c>
      <c r="AJ117" s="38">
        <v>45821</v>
      </c>
      <c r="AK117" s="16"/>
      <c r="AL117" t="s">
        <v>5</v>
      </c>
      <c r="AN117" s="81">
        <v>0.35555555555555557</v>
      </c>
      <c r="AO117" s="81">
        <v>0.4236111111111111</v>
      </c>
      <c r="AP117" s="37">
        <v>3666</v>
      </c>
      <c r="AQ117" t="s">
        <v>1405</v>
      </c>
      <c r="AR117" s="38">
        <v>45821</v>
      </c>
    </row>
    <row r="118" spans="22:44" ht="16" x14ac:dyDescent="0.4">
      <c r="V118" s="97">
        <v>45818</v>
      </c>
      <c r="W118" s="16">
        <v>158527</v>
      </c>
      <c r="X118" s="101" t="s">
        <v>36</v>
      </c>
      <c r="Y118" s="105"/>
      <c r="Z118" s="102">
        <v>0.22222222222222221</v>
      </c>
      <c r="AA118" s="102">
        <v>0.46458333333333335</v>
      </c>
      <c r="AB118" s="16"/>
      <c r="AC118" s="16"/>
      <c r="AD118" s="93">
        <v>19752</v>
      </c>
      <c r="AE118" s="93">
        <f t="shared" si="21"/>
        <v>19.751999999999999</v>
      </c>
      <c r="AF118">
        <v>17.489999999999998</v>
      </c>
      <c r="AG118" s="72">
        <f t="shared" si="22"/>
        <v>14</v>
      </c>
      <c r="AH118" s="37">
        <f t="shared" si="23"/>
        <v>19.751999999999999</v>
      </c>
      <c r="AJ118" s="38">
        <v>45821</v>
      </c>
      <c r="AK118" s="16"/>
      <c r="AL118" t="s">
        <v>5</v>
      </c>
      <c r="AN118" s="81">
        <v>0.4236111111111111</v>
      </c>
      <c r="AO118" s="81">
        <v>0.55347222222222225</v>
      </c>
      <c r="AP118" s="37">
        <v>4134</v>
      </c>
      <c r="AQ118" t="s">
        <v>671</v>
      </c>
      <c r="AR118" s="38">
        <v>45821</v>
      </c>
    </row>
    <row r="119" spans="22:44" ht="16" x14ac:dyDescent="0.4">
      <c r="V119" s="97">
        <v>45818</v>
      </c>
      <c r="W119" s="16">
        <v>158565</v>
      </c>
      <c r="X119" s="101" t="s">
        <v>36</v>
      </c>
      <c r="Y119" s="105"/>
      <c r="Z119" s="102">
        <v>0.15555555555555556</v>
      </c>
      <c r="AA119" s="102">
        <v>0.54305555555555551</v>
      </c>
      <c r="AB119" s="16"/>
      <c r="AC119" s="16"/>
      <c r="AD119" s="93">
        <v>19856</v>
      </c>
      <c r="AE119" s="93">
        <f t="shared" si="21"/>
        <v>19.856000000000002</v>
      </c>
      <c r="AF119">
        <v>16.73</v>
      </c>
      <c r="AG119" s="72">
        <f t="shared" si="22"/>
        <v>14</v>
      </c>
      <c r="AH119" s="37">
        <f t="shared" si="23"/>
        <v>19.856000000000002</v>
      </c>
      <c r="AJ119" s="38">
        <v>45821</v>
      </c>
      <c r="AK119" s="16"/>
      <c r="AL119" t="s">
        <v>5</v>
      </c>
      <c r="AN119" s="81">
        <v>0.56111111111111112</v>
      </c>
      <c r="AO119" s="81">
        <v>0.57708333333333328</v>
      </c>
      <c r="AP119" s="37">
        <v>2878</v>
      </c>
      <c r="AQ119" t="s">
        <v>1406</v>
      </c>
      <c r="AR119" s="38">
        <v>45821</v>
      </c>
    </row>
    <row r="120" spans="22:44" ht="16" x14ac:dyDescent="0.4">
      <c r="V120" s="97">
        <v>45818</v>
      </c>
      <c r="W120" s="16">
        <v>158652</v>
      </c>
      <c r="X120" s="101" t="s">
        <v>36</v>
      </c>
      <c r="Y120" s="105"/>
      <c r="Z120" s="102">
        <v>0.22222222222222221</v>
      </c>
      <c r="AA120" s="102">
        <v>0.62638888888888888</v>
      </c>
      <c r="AB120" s="16"/>
      <c r="AC120" s="16"/>
      <c r="AD120" s="93">
        <v>19314</v>
      </c>
      <c r="AE120" s="93">
        <f t="shared" si="21"/>
        <v>19.314</v>
      </c>
      <c r="AF120">
        <v>14.84</v>
      </c>
      <c r="AG120" s="72">
        <f t="shared" si="22"/>
        <v>14</v>
      </c>
      <c r="AH120" s="37">
        <f t="shared" si="23"/>
        <v>19.314</v>
      </c>
      <c r="AJ120" s="38">
        <v>45821</v>
      </c>
      <c r="AK120" s="16"/>
      <c r="AL120" t="s">
        <v>5</v>
      </c>
      <c r="AN120" s="81">
        <v>0.35416666666666669</v>
      </c>
      <c r="AO120" s="81">
        <v>0.57152777777777775</v>
      </c>
      <c r="AP120" s="37">
        <v>2872</v>
      </c>
      <c r="AQ120" t="s">
        <v>1401</v>
      </c>
      <c r="AR120" s="38">
        <v>45821</v>
      </c>
    </row>
    <row r="121" spans="22:44" ht="16" x14ac:dyDescent="0.4">
      <c r="V121" s="97">
        <v>45818</v>
      </c>
      <c r="W121" s="16">
        <v>158691</v>
      </c>
      <c r="X121" s="101" t="s">
        <v>36</v>
      </c>
      <c r="Y121" s="105"/>
      <c r="Z121" s="102">
        <v>0.60277777777777775</v>
      </c>
      <c r="AA121" s="102">
        <v>0.70347222222222217</v>
      </c>
      <c r="AB121" s="16"/>
      <c r="AC121" s="16"/>
      <c r="AD121" s="93">
        <v>19390</v>
      </c>
      <c r="AE121" s="93">
        <f t="shared" si="21"/>
        <v>19.39</v>
      </c>
      <c r="AF121">
        <v>14.2</v>
      </c>
      <c r="AG121" s="72">
        <f t="shared" si="22"/>
        <v>14</v>
      </c>
      <c r="AH121" s="37">
        <f t="shared" si="23"/>
        <v>19.390000000000004</v>
      </c>
      <c r="AJ121" s="38">
        <v>45821</v>
      </c>
      <c r="AL121" t="s">
        <v>5</v>
      </c>
      <c r="AN121" s="81">
        <v>0.65416666666666667</v>
      </c>
      <c r="AO121" s="81">
        <v>0.61597222222222225</v>
      </c>
      <c r="AP121" s="37">
        <v>4678</v>
      </c>
      <c r="AQ121" t="s">
        <v>1403</v>
      </c>
      <c r="AR121" s="38">
        <v>45821</v>
      </c>
    </row>
    <row r="122" spans="22:44" ht="16" x14ac:dyDescent="0.4">
      <c r="V122" s="97">
        <v>45818</v>
      </c>
      <c r="W122" s="16">
        <v>158730</v>
      </c>
      <c r="X122" s="101" t="s">
        <v>36</v>
      </c>
      <c r="Y122" s="105"/>
      <c r="Z122" s="102">
        <v>0.68679398148148152</v>
      </c>
      <c r="AA122" s="102">
        <v>0.80140046296296286</v>
      </c>
      <c r="AB122" s="16"/>
      <c r="AC122" s="16"/>
      <c r="AD122" s="93">
        <v>21718</v>
      </c>
      <c r="AE122" s="93">
        <f t="shared" si="21"/>
        <v>21.718</v>
      </c>
      <c r="AF122">
        <v>14.37</v>
      </c>
      <c r="AG122" s="72">
        <f t="shared" si="22"/>
        <v>14</v>
      </c>
      <c r="AH122" s="37">
        <f t="shared" si="23"/>
        <v>21.718</v>
      </c>
      <c r="AJ122" s="38">
        <v>45821</v>
      </c>
      <c r="AL122" t="s">
        <v>5</v>
      </c>
      <c r="AN122" s="81">
        <v>0.6645833333333333</v>
      </c>
      <c r="AO122" s="81">
        <v>0.68402777777777779</v>
      </c>
      <c r="AP122" s="37">
        <v>3818</v>
      </c>
      <c r="AQ122" t="s">
        <v>1402</v>
      </c>
      <c r="AR122" s="38">
        <v>45821</v>
      </c>
    </row>
    <row r="123" spans="22:44" ht="16" x14ac:dyDescent="0.4">
      <c r="V123" s="97">
        <v>45818</v>
      </c>
      <c r="W123" s="16">
        <v>158762</v>
      </c>
      <c r="X123" s="101" t="s">
        <v>36</v>
      </c>
      <c r="Y123" s="105"/>
      <c r="Z123" s="102">
        <v>0.60296296296296303</v>
      </c>
      <c r="AA123" s="102">
        <v>0.87039351851851843</v>
      </c>
      <c r="AB123" s="16"/>
      <c r="AC123" s="16"/>
      <c r="AD123" s="93">
        <v>17692</v>
      </c>
      <c r="AE123" s="93">
        <f t="shared" si="21"/>
        <v>17.692</v>
      </c>
      <c r="AF123">
        <v>17.489999999999998</v>
      </c>
      <c r="AG123" s="72">
        <f t="shared" si="22"/>
        <v>14</v>
      </c>
      <c r="AH123" s="37">
        <f t="shared" si="23"/>
        <v>17.692</v>
      </c>
      <c r="AJ123" s="38">
        <v>45821</v>
      </c>
      <c r="AL123" t="s">
        <v>5</v>
      </c>
      <c r="AN123" s="81">
        <v>0.63402777777777775</v>
      </c>
      <c r="AO123" s="81">
        <v>0.65486111111111112</v>
      </c>
      <c r="AP123" s="37">
        <v>2858</v>
      </c>
      <c r="AQ123" t="s">
        <v>1407</v>
      </c>
      <c r="AR123" s="38">
        <v>45821</v>
      </c>
    </row>
    <row r="124" spans="22:44" ht="16" x14ac:dyDescent="0.4">
      <c r="V124" s="97">
        <v>45818</v>
      </c>
      <c r="W124" s="16">
        <v>158788</v>
      </c>
      <c r="X124" s="101" t="s">
        <v>36</v>
      </c>
      <c r="Y124" s="105"/>
      <c r="Z124" s="102">
        <v>0.68010416666666673</v>
      </c>
      <c r="AA124" s="102">
        <v>0.9604166666666667</v>
      </c>
      <c r="AB124" s="16"/>
      <c r="AC124" s="16"/>
      <c r="AD124" s="93">
        <v>23130</v>
      </c>
      <c r="AE124" s="93">
        <f t="shared" si="21"/>
        <v>23.13</v>
      </c>
      <c r="AF124">
        <v>14.26</v>
      </c>
      <c r="AG124" s="72">
        <f t="shared" si="22"/>
        <v>14</v>
      </c>
      <c r="AH124" s="37">
        <f t="shared" si="23"/>
        <v>23.13</v>
      </c>
      <c r="AJ124" s="38">
        <v>45821</v>
      </c>
      <c r="AL124" t="s">
        <v>5</v>
      </c>
      <c r="AN124" s="81">
        <v>0.62569444444444444</v>
      </c>
      <c r="AO124" s="81">
        <v>0.64166666666666672</v>
      </c>
      <c r="AP124" s="37">
        <v>3092</v>
      </c>
      <c r="AQ124" t="s">
        <v>1408</v>
      </c>
      <c r="AR124" s="38">
        <v>45821</v>
      </c>
    </row>
    <row r="125" spans="22:44" ht="16" x14ac:dyDescent="0.4">
      <c r="V125" s="97">
        <v>45819</v>
      </c>
      <c r="W125" s="16">
        <v>158810</v>
      </c>
      <c r="X125" s="101" t="s">
        <v>36</v>
      </c>
      <c r="Y125" s="105"/>
      <c r="Z125" s="102">
        <v>0.60309027777777779</v>
      </c>
      <c r="AA125" s="102">
        <v>2.4594907407407409E-2</v>
      </c>
      <c r="AB125" s="16"/>
      <c r="AC125" s="16"/>
      <c r="AD125" s="93">
        <v>18842</v>
      </c>
      <c r="AE125" s="93">
        <f t="shared" si="21"/>
        <v>18.841999999999999</v>
      </c>
      <c r="AF125">
        <v>16.38</v>
      </c>
      <c r="AG125" s="72">
        <f t="shared" si="22"/>
        <v>14</v>
      </c>
      <c r="AH125" s="37">
        <f t="shared" si="23"/>
        <v>18.842000000000002</v>
      </c>
      <c r="AJ125" s="38">
        <v>45822</v>
      </c>
      <c r="AL125" t="s">
        <v>5</v>
      </c>
      <c r="AN125" s="81">
        <v>0.63384259259259257</v>
      </c>
      <c r="AO125" s="81">
        <v>0.62921296296296292</v>
      </c>
      <c r="AP125" s="37">
        <v>3502</v>
      </c>
      <c r="AQ125" t="s">
        <v>1409</v>
      </c>
      <c r="AR125" s="38">
        <v>45822</v>
      </c>
    </row>
    <row r="126" spans="22:44" ht="16" x14ac:dyDescent="0.4">
      <c r="V126" s="97">
        <v>45819</v>
      </c>
      <c r="W126" s="16">
        <v>158814</v>
      </c>
      <c r="X126" s="101" t="s">
        <v>36</v>
      </c>
      <c r="Y126" s="105"/>
      <c r="Z126" s="102">
        <v>0.6868981481481482</v>
      </c>
      <c r="AA126" s="102">
        <v>8.7557870370370369E-2</v>
      </c>
      <c r="AB126" s="16"/>
      <c r="AC126" s="16"/>
      <c r="AD126" s="93">
        <v>20812</v>
      </c>
      <c r="AE126" s="93">
        <f t="shared" si="21"/>
        <v>20.812000000000001</v>
      </c>
      <c r="AF126">
        <v>14.74</v>
      </c>
      <c r="AG126" s="72">
        <f t="shared" si="22"/>
        <v>14</v>
      </c>
      <c r="AH126" s="37">
        <f t="shared" si="23"/>
        <v>20.812000000000001</v>
      </c>
      <c r="AJ126" s="38">
        <v>45822</v>
      </c>
      <c r="AL126" t="s">
        <v>5</v>
      </c>
      <c r="AN126" s="81">
        <v>0.41513888888888889</v>
      </c>
      <c r="AO126" s="81">
        <v>0.59165509259259264</v>
      </c>
      <c r="AP126" s="37">
        <v>2954</v>
      </c>
      <c r="AQ126" t="s">
        <v>1410</v>
      </c>
      <c r="AR126" s="38">
        <v>45822</v>
      </c>
    </row>
    <row r="127" spans="22:44" ht="16" x14ac:dyDescent="0.4">
      <c r="V127" s="97">
        <v>45819</v>
      </c>
      <c r="W127" s="16">
        <v>158826</v>
      </c>
      <c r="X127" s="101" t="s">
        <v>36</v>
      </c>
      <c r="Y127" s="105"/>
      <c r="Z127" s="102">
        <v>0.10932870370370369</v>
      </c>
      <c r="AA127" s="102">
        <v>0.1491550925925926</v>
      </c>
      <c r="AB127" s="16"/>
      <c r="AC127" s="16"/>
      <c r="AD127" s="93">
        <v>19664</v>
      </c>
      <c r="AE127" s="93">
        <f t="shared" si="21"/>
        <v>19.664000000000001</v>
      </c>
      <c r="AF127">
        <v>15.02</v>
      </c>
      <c r="AG127" s="72">
        <f t="shared" si="22"/>
        <v>14</v>
      </c>
      <c r="AH127" s="37">
        <f t="shared" si="23"/>
        <v>19.664000000000005</v>
      </c>
      <c r="AJ127" s="38">
        <v>45822</v>
      </c>
      <c r="AL127" t="s">
        <v>5</v>
      </c>
      <c r="AN127" s="81">
        <v>0.74771990740740735</v>
      </c>
      <c r="AO127" s="81">
        <v>0.58629629629629632</v>
      </c>
      <c r="AP127" s="37">
        <v>2838</v>
      </c>
      <c r="AQ127" t="s">
        <v>1411</v>
      </c>
      <c r="AR127" s="38">
        <v>45822</v>
      </c>
    </row>
    <row r="128" spans="22:44" ht="16" x14ac:dyDescent="0.4">
      <c r="V128" s="97">
        <v>45819</v>
      </c>
      <c r="W128" s="16">
        <v>158854</v>
      </c>
      <c r="X128" s="101" t="s">
        <v>36</v>
      </c>
      <c r="Y128" s="105"/>
      <c r="Z128" s="102">
        <v>0.11875000000000001</v>
      </c>
      <c r="AA128" s="102">
        <v>0.28888888888888892</v>
      </c>
      <c r="AB128" s="16"/>
      <c r="AC128" s="16"/>
      <c r="AD128" s="93">
        <v>18608</v>
      </c>
      <c r="AE128" s="93">
        <f t="shared" si="21"/>
        <v>18.608000000000001</v>
      </c>
      <c r="AF128">
        <v>12.49</v>
      </c>
      <c r="AG128" s="72">
        <f t="shared" si="22"/>
        <v>12.49</v>
      </c>
      <c r="AH128" s="37">
        <f t="shared" si="23"/>
        <v>16.600994285714286</v>
      </c>
      <c r="AJ128" s="38">
        <v>45822</v>
      </c>
      <c r="AL128" t="s">
        <v>5</v>
      </c>
      <c r="AN128" s="81">
        <v>0.53282407407407406</v>
      </c>
      <c r="AO128" s="81">
        <v>0.47939814814814818</v>
      </c>
      <c r="AP128" s="37">
        <v>2446</v>
      </c>
      <c r="AQ128" t="s">
        <v>1412</v>
      </c>
      <c r="AR128" s="38">
        <v>45822</v>
      </c>
    </row>
    <row r="129" spans="22:44" ht="16" x14ac:dyDescent="0.4">
      <c r="V129" s="97">
        <v>45819</v>
      </c>
      <c r="W129" s="16">
        <v>158896</v>
      </c>
      <c r="X129" s="101" t="s">
        <v>36</v>
      </c>
      <c r="Y129" s="105"/>
      <c r="Z129" s="102">
        <v>0.10902777777777778</v>
      </c>
      <c r="AA129" s="102">
        <v>0.32708333333333334</v>
      </c>
      <c r="AB129" s="16"/>
      <c r="AC129" s="16"/>
      <c r="AD129" s="93">
        <v>19494</v>
      </c>
      <c r="AE129" s="93">
        <f t="shared" si="21"/>
        <v>19.494</v>
      </c>
      <c r="AF129">
        <v>17.77</v>
      </c>
      <c r="AG129" s="72">
        <f t="shared" si="22"/>
        <v>14</v>
      </c>
      <c r="AH129" s="37">
        <f t="shared" si="23"/>
        <v>19.494</v>
      </c>
      <c r="AJ129" s="38">
        <v>45822</v>
      </c>
      <c r="AL129" t="s">
        <v>5</v>
      </c>
      <c r="AN129" s="81">
        <v>0.46307870370370369</v>
      </c>
      <c r="AO129" s="81">
        <v>0.53497685185185184</v>
      </c>
      <c r="AP129" s="37">
        <v>2592</v>
      </c>
      <c r="AQ129" t="s">
        <v>1413</v>
      </c>
      <c r="AR129" s="38">
        <v>45822</v>
      </c>
    </row>
    <row r="130" spans="22:44" ht="16" x14ac:dyDescent="0.4">
      <c r="V130" s="97">
        <v>45819</v>
      </c>
      <c r="W130" s="16">
        <v>158950</v>
      </c>
      <c r="X130" s="101" t="s">
        <v>36</v>
      </c>
      <c r="Y130" s="105"/>
      <c r="Z130" s="102">
        <v>0.11875000000000001</v>
      </c>
      <c r="AA130" s="102">
        <v>0.39374999999999999</v>
      </c>
      <c r="AB130" s="16"/>
      <c r="AC130" s="16"/>
      <c r="AD130" s="93">
        <v>20024</v>
      </c>
      <c r="AE130" s="93">
        <f t="shared" si="21"/>
        <v>20.024000000000001</v>
      </c>
      <c r="AF130">
        <v>15.77</v>
      </c>
      <c r="AG130" s="72">
        <f t="shared" si="22"/>
        <v>14</v>
      </c>
      <c r="AH130" s="37">
        <f t="shared" si="23"/>
        <v>20.024000000000001</v>
      </c>
      <c r="AJ130" s="38">
        <v>45822</v>
      </c>
      <c r="AL130" t="s">
        <v>5</v>
      </c>
      <c r="AN130" s="81">
        <v>0.44153935185185184</v>
      </c>
      <c r="AO130" s="81">
        <v>0.46230324074074075</v>
      </c>
      <c r="AP130" s="37">
        <v>4574</v>
      </c>
      <c r="AQ130" t="s">
        <v>1414</v>
      </c>
      <c r="AR130" s="38">
        <v>45822</v>
      </c>
    </row>
    <row r="131" spans="22:44" ht="16" x14ac:dyDescent="0.4">
      <c r="V131" s="97">
        <v>45819</v>
      </c>
      <c r="W131" s="16">
        <v>159024</v>
      </c>
      <c r="X131" s="101" t="s">
        <v>36</v>
      </c>
      <c r="Y131" s="105"/>
      <c r="Z131" s="102">
        <v>0.10902777777777778</v>
      </c>
      <c r="AA131" s="102">
        <v>0.48055555555555557</v>
      </c>
      <c r="AB131" s="16"/>
      <c r="AC131" s="16"/>
      <c r="AD131" s="93">
        <v>21816</v>
      </c>
      <c r="AE131" s="93">
        <f t="shared" si="21"/>
        <v>21.815999999999999</v>
      </c>
      <c r="AF131">
        <v>15.98</v>
      </c>
      <c r="AG131" s="72">
        <f t="shared" si="22"/>
        <v>14</v>
      </c>
      <c r="AH131" s="37">
        <f t="shared" si="23"/>
        <v>21.815999999999999</v>
      </c>
      <c r="AJ131" s="38">
        <v>45822</v>
      </c>
      <c r="AL131" t="s">
        <v>5</v>
      </c>
      <c r="AN131" s="81">
        <v>0.57797453703703705</v>
      </c>
      <c r="AO131" s="81">
        <v>0.42383101851851851</v>
      </c>
      <c r="AP131" s="37">
        <v>2902</v>
      </c>
      <c r="AQ131" t="s">
        <v>1415</v>
      </c>
      <c r="AR131" s="38">
        <v>45822</v>
      </c>
    </row>
    <row r="132" spans="22:44" ht="16" x14ac:dyDescent="0.4">
      <c r="V132" s="97">
        <v>45819</v>
      </c>
      <c r="W132" s="16">
        <v>159052</v>
      </c>
      <c r="X132" s="101" t="s">
        <v>36</v>
      </c>
      <c r="Y132" s="105"/>
      <c r="Z132" s="102">
        <v>0.45624999999999999</v>
      </c>
      <c r="AA132" s="102">
        <v>0.4465277777777778</v>
      </c>
      <c r="AB132" s="16"/>
      <c r="AC132" s="16"/>
      <c r="AD132" s="93">
        <v>21882</v>
      </c>
      <c r="AE132" s="93">
        <f t="shared" si="21"/>
        <v>21.882000000000001</v>
      </c>
      <c r="AF132">
        <v>13.45</v>
      </c>
      <c r="AG132" s="72">
        <f t="shared" si="22"/>
        <v>13.45</v>
      </c>
      <c r="AH132" s="37">
        <f t="shared" si="23"/>
        <v>21.022349999999999</v>
      </c>
      <c r="AJ132" s="38">
        <v>45822</v>
      </c>
      <c r="AL132" t="s">
        <v>5</v>
      </c>
      <c r="AN132" s="81">
        <v>0.39658564814814817</v>
      </c>
      <c r="AO132" s="81">
        <v>0.41472222222222221</v>
      </c>
      <c r="AP132" s="37">
        <v>3064</v>
      </c>
      <c r="AQ132" t="s">
        <v>1416</v>
      </c>
      <c r="AR132" s="38">
        <v>45822</v>
      </c>
    </row>
    <row r="133" spans="22:44" ht="16" x14ac:dyDescent="0.4">
      <c r="V133" s="97">
        <v>45819</v>
      </c>
      <c r="W133" s="16">
        <v>159097</v>
      </c>
      <c r="X133" s="101" t="s">
        <v>36</v>
      </c>
      <c r="Y133" s="105"/>
      <c r="Z133" s="102">
        <v>0.76041666666666663</v>
      </c>
      <c r="AA133" s="102">
        <v>0.58680555555555558</v>
      </c>
      <c r="AB133" s="16"/>
      <c r="AC133" s="16"/>
      <c r="AD133" s="93">
        <v>20204</v>
      </c>
      <c r="AE133" s="93">
        <f t="shared" ref="AE133:AE196" si="24">AD133/1000</f>
        <v>20.204000000000001</v>
      </c>
      <c r="AF133">
        <v>15.81</v>
      </c>
      <c r="AG133" s="72">
        <f t="shared" si="22"/>
        <v>14</v>
      </c>
      <c r="AH133" s="37">
        <f t="shared" si="23"/>
        <v>20.204000000000001</v>
      </c>
      <c r="AJ133" s="38">
        <v>45822</v>
      </c>
      <c r="AL133" t="s">
        <v>5</v>
      </c>
      <c r="AN133" s="81">
        <v>0.30614583333333334</v>
      </c>
      <c r="AO133" s="81">
        <v>0.32146990740740738</v>
      </c>
      <c r="AP133" s="37">
        <v>3232</v>
      </c>
      <c r="AQ133" t="s">
        <v>1414</v>
      </c>
      <c r="AR133" s="38">
        <v>45822</v>
      </c>
    </row>
    <row r="134" spans="22:44" ht="16" x14ac:dyDescent="0.4">
      <c r="V134" s="97">
        <v>45819</v>
      </c>
      <c r="W134" s="16">
        <v>159165</v>
      </c>
      <c r="X134" s="101" t="s">
        <v>36</v>
      </c>
      <c r="Y134" s="105"/>
      <c r="Z134" s="102">
        <v>0.45624999999999999</v>
      </c>
      <c r="AA134" s="102">
        <v>0.65416666666666667</v>
      </c>
      <c r="AB134" s="16"/>
      <c r="AC134" s="16"/>
      <c r="AD134" s="93">
        <v>20728</v>
      </c>
      <c r="AE134" s="93">
        <f t="shared" si="24"/>
        <v>20.728000000000002</v>
      </c>
      <c r="AF134">
        <v>14.88</v>
      </c>
      <c r="AG134" s="72">
        <f t="shared" ref="AG134:AG197" si="25">IF($AF134&gt;14,14,$AF134)</f>
        <v>14</v>
      </c>
      <c r="AH134" s="37">
        <f t="shared" ref="AH134:AH197" si="26">AE134*AG134/14</f>
        <v>20.728000000000002</v>
      </c>
      <c r="AJ134" s="38">
        <v>45822</v>
      </c>
      <c r="AL134" t="s">
        <v>5</v>
      </c>
      <c r="AN134" s="81">
        <v>0.59956018518518517</v>
      </c>
      <c r="AO134" s="81">
        <v>0.36868055555555551</v>
      </c>
      <c r="AP134" s="37">
        <v>3316</v>
      </c>
      <c r="AQ134" t="s">
        <v>681</v>
      </c>
      <c r="AR134" s="38">
        <v>45822</v>
      </c>
    </row>
    <row r="135" spans="22:44" ht="16" x14ac:dyDescent="0.4">
      <c r="V135" s="97">
        <v>45819</v>
      </c>
      <c r="W135" s="16">
        <v>159206</v>
      </c>
      <c r="X135" s="101" t="s">
        <v>36</v>
      </c>
      <c r="Y135" s="105"/>
      <c r="Z135" s="102">
        <v>0.64861111111111114</v>
      </c>
      <c r="AA135" s="102">
        <v>0.71944444444444444</v>
      </c>
      <c r="AB135" s="16"/>
      <c r="AC135" s="16"/>
      <c r="AD135" s="93">
        <v>21558</v>
      </c>
      <c r="AE135" s="93">
        <f t="shared" si="24"/>
        <v>21.558</v>
      </c>
      <c r="AF135">
        <v>13.98</v>
      </c>
      <c r="AG135" s="72">
        <f t="shared" si="25"/>
        <v>13.98</v>
      </c>
      <c r="AH135" s="37">
        <f t="shared" si="26"/>
        <v>21.527202857142861</v>
      </c>
      <c r="AJ135" s="38">
        <v>45824</v>
      </c>
      <c r="AL135" t="s">
        <v>5</v>
      </c>
      <c r="AN135" s="81">
        <v>0.37291666666666662</v>
      </c>
      <c r="AO135" s="81">
        <v>0.38750000000000001</v>
      </c>
      <c r="AP135" s="37">
        <v>2944</v>
      </c>
      <c r="AQ135" t="s">
        <v>1417</v>
      </c>
      <c r="AR135" s="38">
        <v>45824</v>
      </c>
    </row>
    <row r="136" spans="22:44" ht="16" x14ac:dyDescent="0.4">
      <c r="V136" s="97">
        <v>45819</v>
      </c>
      <c r="W136" s="16">
        <v>159234</v>
      </c>
      <c r="X136" s="101" t="s">
        <v>36</v>
      </c>
      <c r="Y136" s="105"/>
      <c r="Z136" s="102">
        <v>0.70127314814814812</v>
      </c>
      <c r="AA136" s="102">
        <v>0.79399305555555555</v>
      </c>
      <c r="AB136" s="16"/>
      <c r="AC136" s="16"/>
      <c r="AD136" s="93">
        <v>20418</v>
      </c>
      <c r="AE136" s="93">
        <f t="shared" si="24"/>
        <v>20.417999999999999</v>
      </c>
      <c r="AF136">
        <v>14.29</v>
      </c>
      <c r="AG136" s="72">
        <f t="shared" si="25"/>
        <v>14</v>
      </c>
      <c r="AH136" s="37">
        <f t="shared" si="26"/>
        <v>20.417999999999999</v>
      </c>
      <c r="AJ136" s="38">
        <v>45824</v>
      </c>
      <c r="AL136" t="s">
        <v>5</v>
      </c>
      <c r="AN136" s="81">
        <v>0.38750000000000001</v>
      </c>
      <c r="AO136" s="81">
        <v>0.4694444444444445</v>
      </c>
      <c r="AP136" s="37">
        <v>2826</v>
      </c>
      <c r="AQ136" t="s">
        <v>1417</v>
      </c>
      <c r="AR136" s="38">
        <v>45824</v>
      </c>
    </row>
    <row r="137" spans="22:44" ht="16" x14ac:dyDescent="0.4">
      <c r="V137" s="97">
        <v>45819</v>
      </c>
      <c r="W137" s="16">
        <v>159286</v>
      </c>
      <c r="X137" s="101" t="s">
        <v>36</v>
      </c>
      <c r="Y137" s="105"/>
      <c r="Z137" s="102">
        <v>0.64931712962962962</v>
      </c>
      <c r="AA137" s="102">
        <v>0.87188657407407411</v>
      </c>
      <c r="AB137" s="16"/>
      <c r="AC137" s="16"/>
      <c r="AD137" s="93">
        <v>20854</v>
      </c>
      <c r="AE137" s="93">
        <f t="shared" si="24"/>
        <v>20.853999999999999</v>
      </c>
      <c r="AF137">
        <v>15.34</v>
      </c>
      <c r="AG137" s="72">
        <f t="shared" si="25"/>
        <v>14</v>
      </c>
      <c r="AH137" s="37">
        <f t="shared" si="26"/>
        <v>20.854000000000003</v>
      </c>
      <c r="AJ137" s="38">
        <v>45824</v>
      </c>
      <c r="AL137" t="s">
        <v>5</v>
      </c>
      <c r="AN137" s="81">
        <v>0.50347222222222221</v>
      </c>
      <c r="AO137" s="81">
        <v>0.5854166666666667</v>
      </c>
      <c r="AP137" s="37">
        <v>2740</v>
      </c>
      <c r="AQ137" t="s">
        <v>1418</v>
      </c>
      <c r="AR137" s="38">
        <v>45824</v>
      </c>
    </row>
    <row r="138" spans="22:44" ht="16" x14ac:dyDescent="0.4">
      <c r="V138" s="97">
        <v>45819</v>
      </c>
      <c r="W138" s="16">
        <v>159309</v>
      </c>
      <c r="X138" s="101" t="s">
        <v>36</v>
      </c>
      <c r="Y138" s="105"/>
      <c r="Z138" s="102">
        <v>0.7015393518518519</v>
      </c>
      <c r="AA138" s="102">
        <v>0.95050925925925922</v>
      </c>
      <c r="AB138" s="16"/>
      <c r="AC138" s="16"/>
      <c r="AD138" s="93">
        <v>20860</v>
      </c>
      <c r="AE138" s="93">
        <f t="shared" si="24"/>
        <v>20.86</v>
      </c>
      <c r="AF138">
        <v>14.58</v>
      </c>
      <c r="AG138" s="72">
        <f t="shared" si="25"/>
        <v>14</v>
      </c>
      <c r="AH138" s="37">
        <f t="shared" si="26"/>
        <v>20.859999999999996</v>
      </c>
      <c r="AJ138" s="38">
        <v>45824</v>
      </c>
      <c r="AL138" t="s">
        <v>5</v>
      </c>
      <c r="AN138" s="81">
        <v>0.4826388888888889</v>
      </c>
      <c r="AO138" s="81">
        <v>0.50347222222222221</v>
      </c>
      <c r="AP138" s="37">
        <v>2360</v>
      </c>
      <c r="AR138" s="38">
        <v>45824</v>
      </c>
    </row>
    <row r="139" spans="22:44" ht="16" x14ac:dyDescent="0.4">
      <c r="V139" s="97">
        <v>45820</v>
      </c>
      <c r="W139" s="16">
        <v>159325</v>
      </c>
      <c r="X139" s="101" t="s">
        <v>36</v>
      </c>
      <c r="Y139" s="105"/>
      <c r="Z139" s="102">
        <v>0.64949074074074076</v>
      </c>
      <c r="AA139" s="102">
        <v>0.99699074074074068</v>
      </c>
      <c r="AB139" s="16"/>
      <c r="AC139" s="16"/>
      <c r="AD139" s="93">
        <v>19770</v>
      </c>
      <c r="AE139" s="93">
        <f t="shared" si="24"/>
        <v>19.77</v>
      </c>
      <c r="AF139">
        <v>14.25</v>
      </c>
      <c r="AG139" s="72">
        <f t="shared" si="25"/>
        <v>14</v>
      </c>
      <c r="AH139" s="37">
        <f t="shared" si="26"/>
        <v>19.77</v>
      </c>
      <c r="AJ139" s="38">
        <v>45824</v>
      </c>
      <c r="AL139" t="s">
        <v>5</v>
      </c>
      <c r="AN139" s="81">
        <v>0.36527777777777781</v>
      </c>
      <c r="AO139" s="81">
        <v>0.57916666666666672</v>
      </c>
      <c r="AP139" s="37">
        <v>4178</v>
      </c>
      <c r="AQ139" t="s">
        <v>671</v>
      </c>
      <c r="AR139" s="38">
        <v>45824</v>
      </c>
    </row>
    <row r="140" spans="22:44" ht="16" x14ac:dyDescent="0.4">
      <c r="V140" s="97">
        <v>45820</v>
      </c>
      <c r="W140" s="16">
        <v>159338</v>
      </c>
      <c r="X140" s="101" t="s">
        <v>36</v>
      </c>
      <c r="Y140" s="105"/>
      <c r="Z140" s="102">
        <v>0.70137731481481491</v>
      </c>
      <c r="AA140" s="102">
        <v>5.4166666666666669E-2</v>
      </c>
      <c r="AB140" s="16"/>
      <c r="AC140" s="16"/>
      <c r="AD140" s="93">
        <v>19524</v>
      </c>
      <c r="AE140" s="93">
        <f t="shared" si="24"/>
        <v>19.524000000000001</v>
      </c>
      <c r="AF140">
        <v>15.22</v>
      </c>
      <c r="AG140" s="72">
        <f t="shared" si="25"/>
        <v>14</v>
      </c>
      <c r="AH140" s="37">
        <f t="shared" si="26"/>
        <v>19.524000000000001</v>
      </c>
      <c r="AJ140" s="38">
        <v>45824</v>
      </c>
      <c r="AL140" t="s">
        <v>5</v>
      </c>
      <c r="AN140" s="81">
        <v>0.34166666666666662</v>
      </c>
      <c r="AO140" s="81">
        <v>0.36527777777777781</v>
      </c>
      <c r="AP140" s="37">
        <v>3728</v>
      </c>
      <c r="AQ140" t="s">
        <v>671</v>
      </c>
      <c r="AR140" s="38">
        <v>45824</v>
      </c>
    </row>
    <row r="141" spans="22:44" ht="16" x14ac:dyDescent="0.4">
      <c r="V141" s="97">
        <v>45820</v>
      </c>
      <c r="W141" s="16">
        <v>159346</v>
      </c>
      <c r="X141" s="101" t="s">
        <v>36</v>
      </c>
      <c r="Y141" s="105"/>
      <c r="Z141" s="102">
        <v>0.64554398148148151</v>
      </c>
      <c r="AA141" s="102">
        <v>9.5196759259259259E-2</v>
      </c>
      <c r="AB141" s="16"/>
      <c r="AC141" s="16"/>
      <c r="AD141" s="93">
        <v>19102</v>
      </c>
      <c r="AE141" s="93">
        <f t="shared" si="24"/>
        <v>19.102</v>
      </c>
      <c r="AF141">
        <v>16.75</v>
      </c>
      <c r="AG141" s="72">
        <f t="shared" si="25"/>
        <v>14</v>
      </c>
      <c r="AH141" s="37">
        <f t="shared" si="26"/>
        <v>19.102</v>
      </c>
      <c r="AJ141" s="38">
        <v>45824</v>
      </c>
      <c r="AL141" t="s">
        <v>5</v>
      </c>
      <c r="AN141" s="81">
        <v>0.39999999999999997</v>
      </c>
      <c r="AO141" s="81">
        <v>0.41736111111111113</v>
      </c>
      <c r="AP141" s="48">
        <v>3338</v>
      </c>
      <c r="AQ141" t="s">
        <v>1419</v>
      </c>
      <c r="AR141" s="38">
        <v>45824</v>
      </c>
    </row>
    <row r="142" spans="22:44" ht="16" x14ac:dyDescent="0.4">
      <c r="V142" s="97">
        <v>45820</v>
      </c>
      <c r="W142" s="16">
        <v>159359</v>
      </c>
      <c r="X142" s="101" t="s">
        <v>36</v>
      </c>
      <c r="Y142" s="105"/>
      <c r="Z142" s="102">
        <v>9.3599537037037037E-2</v>
      </c>
      <c r="AA142" s="102">
        <v>0.1542824074074074</v>
      </c>
      <c r="AB142" s="16">
        <v>104</v>
      </c>
      <c r="AC142" s="16" t="s">
        <v>667</v>
      </c>
      <c r="AD142" s="93">
        <v>15782</v>
      </c>
      <c r="AE142" s="93">
        <f t="shared" si="24"/>
        <v>15.782</v>
      </c>
      <c r="AF142">
        <v>12.29</v>
      </c>
      <c r="AG142" s="72">
        <f t="shared" si="25"/>
        <v>12.29</v>
      </c>
      <c r="AH142" s="37">
        <f t="shared" si="26"/>
        <v>13.854341428571429</v>
      </c>
      <c r="AJ142" s="38">
        <v>45824</v>
      </c>
      <c r="AL142" t="s">
        <v>5</v>
      </c>
      <c r="AN142" s="81">
        <v>0.41805555555555557</v>
      </c>
      <c r="AO142" s="81">
        <v>0.58750000000000002</v>
      </c>
      <c r="AP142" s="48">
        <v>3056</v>
      </c>
      <c r="AQ142" t="s">
        <v>1418</v>
      </c>
      <c r="AR142" s="38">
        <v>45824</v>
      </c>
    </row>
    <row r="143" spans="22:44" ht="16" x14ac:dyDescent="0.4">
      <c r="V143" s="97">
        <v>45820</v>
      </c>
      <c r="W143" s="16">
        <v>159415</v>
      </c>
      <c r="X143" s="101" t="s">
        <v>36</v>
      </c>
      <c r="Y143" s="105"/>
      <c r="Z143" s="102">
        <v>0.1451388888888889</v>
      </c>
      <c r="AA143" s="102">
        <v>0.34097222222222223</v>
      </c>
      <c r="AB143" s="16">
        <v>104</v>
      </c>
      <c r="AC143" s="16" t="s">
        <v>667</v>
      </c>
      <c r="AD143" s="93">
        <v>13488</v>
      </c>
      <c r="AE143" s="93">
        <f t="shared" si="24"/>
        <v>13.488</v>
      </c>
      <c r="AF143">
        <v>8.34</v>
      </c>
      <c r="AG143" s="72">
        <f t="shared" si="25"/>
        <v>8.34</v>
      </c>
      <c r="AH143" s="37">
        <f t="shared" si="26"/>
        <v>8.0349942857142853</v>
      </c>
      <c r="AJ143" s="38">
        <v>45824</v>
      </c>
      <c r="AL143" t="s">
        <v>5</v>
      </c>
      <c r="AN143" s="81">
        <v>0.46736111111111112</v>
      </c>
      <c r="AO143" s="81">
        <v>0.49027777777777781</v>
      </c>
      <c r="AP143" s="48">
        <v>5018</v>
      </c>
      <c r="AQ143" t="s">
        <v>1420</v>
      </c>
      <c r="AR143" s="38">
        <v>45824</v>
      </c>
    </row>
    <row r="144" spans="22:44" ht="16" x14ac:dyDescent="0.4">
      <c r="V144" s="97">
        <v>45820</v>
      </c>
      <c r="W144" s="16">
        <v>159470</v>
      </c>
      <c r="X144" s="101" t="s">
        <v>36</v>
      </c>
      <c r="Y144" s="105"/>
      <c r="Z144" s="102">
        <v>9.3055555555555558E-2</v>
      </c>
      <c r="AA144" s="102">
        <v>0.41250000000000003</v>
      </c>
      <c r="AB144" s="16"/>
      <c r="AC144" s="16"/>
      <c r="AD144" s="93">
        <v>21298</v>
      </c>
      <c r="AE144" s="93">
        <f t="shared" si="24"/>
        <v>21.297999999999998</v>
      </c>
      <c r="AF144">
        <v>14.56</v>
      </c>
      <c r="AG144" s="72">
        <f t="shared" si="25"/>
        <v>14</v>
      </c>
      <c r="AH144" s="37">
        <f t="shared" si="26"/>
        <v>21.297999999999998</v>
      </c>
      <c r="AJ144" s="38">
        <v>45824</v>
      </c>
      <c r="AL144" t="s">
        <v>5</v>
      </c>
      <c r="AN144" s="81">
        <v>0.49027777777777781</v>
      </c>
      <c r="AO144" s="81">
        <v>0.67361111111111116</v>
      </c>
      <c r="AP144" s="48">
        <v>4068</v>
      </c>
      <c r="AQ144" t="s">
        <v>1420</v>
      </c>
      <c r="AR144" s="38">
        <v>45824</v>
      </c>
    </row>
    <row r="145" spans="22:44" ht="16" x14ac:dyDescent="0.4">
      <c r="V145" s="97">
        <v>45820</v>
      </c>
      <c r="W145" s="16">
        <v>159517</v>
      </c>
      <c r="X145" s="101" t="s">
        <v>36</v>
      </c>
      <c r="Y145" s="105"/>
      <c r="Z145" s="102">
        <v>0.1423611111111111</v>
      </c>
      <c r="AA145" s="102">
        <v>0.48749999999999999</v>
      </c>
      <c r="AB145" s="16"/>
      <c r="AC145" s="16"/>
      <c r="AD145" s="93">
        <v>21462</v>
      </c>
      <c r="AE145" s="93">
        <f t="shared" si="24"/>
        <v>21.462</v>
      </c>
      <c r="AF145">
        <v>15.13</v>
      </c>
      <c r="AG145" s="72">
        <f t="shared" si="25"/>
        <v>14</v>
      </c>
      <c r="AH145" s="37">
        <f t="shared" si="26"/>
        <v>21.462</v>
      </c>
      <c r="AJ145" s="38">
        <v>45825</v>
      </c>
      <c r="AL145" t="s">
        <v>5</v>
      </c>
      <c r="AN145" s="81">
        <v>0.36458333333333331</v>
      </c>
      <c r="AO145" s="81">
        <v>0.44027777777777777</v>
      </c>
      <c r="AP145" s="48">
        <v>1766</v>
      </c>
      <c r="AQ145" t="s">
        <v>1417</v>
      </c>
      <c r="AR145" s="38">
        <v>45825</v>
      </c>
    </row>
    <row r="146" spans="22:44" ht="16" x14ac:dyDescent="0.4">
      <c r="V146" s="97">
        <v>45820</v>
      </c>
      <c r="W146" s="16">
        <v>159541</v>
      </c>
      <c r="X146" s="101" t="s">
        <v>36</v>
      </c>
      <c r="Y146" s="105"/>
      <c r="Z146" s="102">
        <v>9.3055555555555558E-2</v>
      </c>
      <c r="AA146" s="102">
        <v>0.56944444444444442</v>
      </c>
      <c r="AB146" s="16"/>
      <c r="AC146" s="16"/>
      <c r="AD146" s="93">
        <v>22422</v>
      </c>
      <c r="AE146" s="93">
        <f t="shared" si="24"/>
        <v>22.422000000000001</v>
      </c>
      <c r="AF146">
        <v>14.31</v>
      </c>
      <c r="AG146" s="72">
        <f t="shared" si="25"/>
        <v>14</v>
      </c>
      <c r="AH146" s="37">
        <f t="shared" si="26"/>
        <v>22.422000000000001</v>
      </c>
      <c r="AJ146" s="38">
        <v>45825</v>
      </c>
      <c r="AL146" t="s">
        <v>5</v>
      </c>
      <c r="AN146" s="81">
        <v>0.34513888888888888</v>
      </c>
      <c r="AO146" s="81">
        <v>0.36458333333333331</v>
      </c>
      <c r="AP146" s="48">
        <v>2760</v>
      </c>
      <c r="AQ146" t="s">
        <v>1417</v>
      </c>
      <c r="AR146" s="38">
        <v>45825</v>
      </c>
    </row>
    <row r="147" spans="22:44" ht="16" x14ac:dyDescent="0.4">
      <c r="V147" s="97">
        <v>45820</v>
      </c>
      <c r="W147" s="16">
        <v>159573</v>
      </c>
      <c r="X147" s="101" t="s">
        <v>36</v>
      </c>
      <c r="Y147" s="105"/>
      <c r="Z147" s="102">
        <v>0.1451388888888889</v>
      </c>
      <c r="AA147" s="102">
        <v>0.64861111111111114</v>
      </c>
      <c r="AB147" s="16"/>
      <c r="AC147" s="16"/>
      <c r="AD147" s="93">
        <v>19958</v>
      </c>
      <c r="AE147" s="93">
        <f t="shared" si="24"/>
        <v>19.957999999999998</v>
      </c>
      <c r="AF147">
        <v>15.88</v>
      </c>
      <c r="AG147" s="72">
        <f t="shared" si="25"/>
        <v>14</v>
      </c>
      <c r="AH147" s="37">
        <f t="shared" si="26"/>
        <v>19.957999999999998</v>
      </c>
      <c r="AJ147" s="38">
        <v>45825</v>
      </c>
      <c r="AL147" t="s">
        <v>5</v>
      </c>
      <c r="AN147" s="81">
        <v>0.46736111111111112</v>
      </c>
      <c r="AO147" s="81">
        <v>0.4826388888888889</v>
      </c>
      <c r="AP147" s="48">
        <v>3208</v>
      </c>
      <c r="AQ147" t="s">
        <v>671</v>
      </c>
      <c r="AR147" s="38">
        <v>45825</v>
      </c>
    </row>
    <row r="148" spans="22:44" ht="16" x14ac:dyDescent="0.4">
      <c r="V148" s="97">
        <v>45820</v>
      </c>
      <c r="W148" s="16">
        <v>159592</v>
      </c>
      <c r="X148" s="101" t="s">
        <v>36</v>
      </c>
      <c r="Y148" s="105"/>
      <c r="Z148" s="102">
        <v>0.61319444444444449</v>
      </c>
      <c r="AA148" s="102">
        <v>0.72152777777777777</v>
      </c>
      <c r="AB148" s="16"/>
      <c r="AC148" s="16"/>
      <c r="AD148" s="93">
        <v>19264</v>
      </c>
      <c r="AE148" s="93">
        <f t="shared" si="24"/>
        <v>19.263999999999999</v>
      </c>
      <c r="AF148">
        <v>14.2</v>
      </c>
      <c r="AG148" s="72">
        <f t="shared" si="25"/>
        <v>14</v>
      </c>
      <c r="AH148" s="37">
        <f t="shared" si="26"/>
        <v>19.263999999999999</v>
      </c>
      <c r="AJ148" s="38">
        <v>45825</v>
      </c>
      <c r="AL148" t="s">
        <v>5</v>
      </c>
      <c r="AN148" s="81">
        <v>0.37986111111111115</v>
      </c>
      <c r="AO148" s="81">
        <v>0.58194444444444449</v>
      </c>
      <c r="AP148" s="48">
        <v>2602</v>
      </c>
      <c r="AR148" s="38">
        <v>45825</v>
      </c>
    </row>
    <row r="149" spans="22:44" ht="16" x14ac:dyDescent="0.4">
      <c r="V149" s="97">
        <v>45820</v>
      </c>
      <c r="W149" s="16">
        <v>159616</v>
      </c>
      <c r="X149" s="101" t="s">
        <v>36</v>
      </c>
      <c r="Y149" s="105"/>
      <c r="Z149" s="102">
        <v>0.14553240740740739</v>
      </c>
      <c r="AA149" s="102">
        <v>0.82546296296296295</v>
      </c>
      <c r="AB149" s="16"/>
      <c r="AC149" s="16"/>
      <c r="AD149" s="93">
        <v>20790</v>
      </c>
      <c r="AE149" s="93">
        <f t="shared" si="24"/>
        <v>20.79</v>
      </c>
      <c r="AF149">
        <v>15.68</v>
      </c>
      <c r="AG149" s="72">
        <f t="shared" si="25"/>
        <v>14</v>
      </c>
      <c r="AH149" s="37">
        <f t="shared" si="26"/>
        <v>20.79</v>
      </c>
      <c r="AJ149" s="38">
        <v>45825</v>
      </c>
      <c r="AL149" t="s">
        <v>5</v>
      </c>
      <c r="AN149" s="81">
        <v>0.3666666666666667</v>
      </c>
      <c r="AO149" s="81">
        <v>0.37986111111111115</v>
      </c>
      <c r="AP149" s="48">
        <v>2974</v>
      </c>
      <c r="AQ149" t="s">
        <v>1421</v>
      </c>
      <c r="AR149" s="38">
        <v>45825</v>
      </c>
    </row>
    <row r="150" spans="22:44" ht="16" x14ac:dyDescent="0.4">
      <c r="V150" s="97">
        <v>45820</v>
      </c>
      <c r="W150" s="16">
        <v>159644</v>
      </c>
      <c r="X150" s="101" t="s">
        <v>36</v>
      </c>
      <c r="Y150" s="105"/>
      <c r="Z150" s="102">
        <v>0.61380787037037032</v>
      </c>
      <c r="AA150" s="102">
        <v>0.88054398148148139</v>
      </c>
      <c r="AB150" s="16"/>
      <c r="AC150" s="16"/>
      <c r="AD150" s="93">
        <v>18592</v>
      </c>
      <c r="AE150" s="93">
        <f t="shared" si="24"/>
        <v>18.591999999999999</v>
      </c>
      <c r="AF150">
        <v>15.38</v>
      </c>
      <c r="AG150" s="72">
        <f t="shared" si="25"/>
        <v>14</v>
      </c>
      <c r="AH150" s="37">
        <f t="shared" si="26"/>
        <v>18.592000000000002</v>
      </c>
      <c r="AJ150" s="38">
        <v>45825</v>
      </c>
      <c r="AL150" t="s">
        <v>5</v>
      </c>
      <c r="AN150" s="81">
        <v>0.46111111111111108</v>
      </c>
      <c r="AO150" s="81">
        <v>0.58124999999999993</v>
      </c>
      <c r="AP150" s="48">
        <v>2484</v>
      </c>
      <c r="AQ150" t="s">
        <v>1422</v>
      </c>
      <c r="AR150" s="38">
        <v>45825</v>
      </c>
    </row>
    <row r="151" spans="22:44" ht="16" x14ac:dyDescent="0.4">
      <c r="V151" s="97">
        <v>45820</v>
      </c>
      <c r="W151" s="16">
        <v>159668</v>
      </c>
      <c r="X151" s="101" t="s">
        <v>36</v>
      </c>
      <c r="Y151" s="105"/>
      <c r="Z151" s="102">
        <v>0.70688657407407407</v>
      </c>
      <c r="AA151" s="102">
        <v>0.9496296296296296</v>
      </c>
      <c r="AB151" s="16"/>
      <c r="AC151" s="16"/>
      <c r="AD151" s="93">
        <v>20586</v>
      </c>
      <c r="AE151" s="93">
        <f t="shared" si="24"/>
        <v>20.585999999999999</v>
      </c>
      <c r="AF151">
        <v>14.84</v>
      </c>
      <c r="AG151" s="72">
        <f t="shared" si="25"/>
        <v>14</v>
      </c>
      <c r="AH151" s="37">
        <f t="shared" si="26"/>
        <v>20.585999999999995</v>
      </c>
      <c r="AJ151" s="38">
        <v>45825</v>
      </c>
      <c r="AL151" t="s">
        <v>5</v>
      </c>
      <c r="AN151" s="81">
        <v>0.62638888888888888</v>
      </c>
      <c r="AO151" s="81">
        <v>0.63958333333333328</v>
      </c>
      <c r="AP151" s="48">
        <v>1446</v>
      </c>
      <c r="AQ151" t="s">
        <v>1423</v>
      </c>
      <c r="AR151" s="38">
        <v>45825</v>
      </c>
    </row>
    <row r="152" spans="22:44" ht="16" x14ac:dyDescent="0.4">
      <c r="V152" s="97">
        <v>45821</v>
      </c>
      <c r="W152" s="16">
        <v>159687</v>
      </c>
      <c r="X152" s="101" t="s">
        <v>36</v>
      </c>
      <c r="Y152" s="105"/>
      <c r="Z152" s="102">
        <v>0.61365740740740737</v>
      </c>
      <c r="AA152" s="102">
        <v>2.6921296296296294E-2</v>
      </c>
      <c r="AB152" s="16"/>
      <c r="AC152" s="16"/>
      <c r="AD152" s="93">
        <v>21200</v>
      </c>
      <c r="AE152" s="93">
        <f t="shared" si="24"/>
        <v>21.2</v>
      </c>
      <c r="AF152">
        <v>14.66</v>
      </c>
      <c r="AG152" s="72">
        <f t="shared" si="25"/>
        <v>14</v>
      </c>
      <c r="AH152" s="37">
        <f t="shared" si="26"/>
        <v>21.2</v>
      </c>
      <c r="AJ152" s="38">
        <v>45826</v>
      </c>
      <c r="AL152" t="s">
        <v>5</v>
      </c>
      <c r="AN152" s="81">
        <v>0.37777777777777777</v>
      </c>
      <c r="AO152" s="81">
        <v>0.39513888888888887</v>
      </c>
      <c r="AP152" s="48">
        <v>3298</v>
      </c>
      <c r="AQ152" t="s">
        <v>671</v>
      </c>
      <c r="AR152" s="38">
        <v>45826</v>
      </c>
    </row>
    <row r="153" spans="22:44" ht="16" x14ac:dyDescent="0.4">
      <c r="V153" s="97">
        <v>45821</v>
      </c>
      <c r="W153" s="16">
        <v>159691</v>
      </c>
      <c r="X153" s="101" t="s">
        <v>36</v>
      </c>
      <c r="Y153" s="105"/>
      <c r="Z153" s="102">
        <v>0.70673611111111112</v>
      </c>
      <c r="AA153" s="102">
        <v>7.6469907407407403E-2</v>
      </c>
      <c r="AB153" s="16"/>
      <c r="AC153" s="16"/>
      <c r="AD153" s="93">
        <v>20090</v>
      </c>
      <c r="AE153" s="93">
        <f t="shared" si="24"/>
        <v>20.09</v>
      </c>
      <c r="AF153">
        <v>14.58</v>
      </c>
      <c r="AG153" s="72">
        <f t="shared" si="25"/>
        <v>14</v>
      </c>
      <c r="AH153" s="37">
        <f t="shared" si="26"/>
        <v>20.09</v>
      </c>
      <c r="AJ153" s="38">
        <v>45825</v>
      </c>
      <c r="AL153" t="s">
        <v>5</v>
      </c>
      <c r="AN153" s="81">
        <v>0.36736111111111108</v>
      </c>
      <c r="AO153" s="81">
        <v>0.40208333333333335</v>
      </c>
      <c r="AP153" s="48">
        <v>3184</v>
      </c>
      <c r="AQ153" t="s">
        <v>1423</v>
      </c>
      <c r="AR153" s="38">
        <v>45826</v>
      </c>
    </row>
    <row r="154" spans="22:44" ht="16" x14ac:dyDescent="0.4">
      <c r="V154" s="97">
        <v>45821</v>
      </c>
      <c r="W154" s="16">
        <v>159702</v>
      </c>
      <c r="X154" s="101" t="s">
        <v>36</v>
      </c>
      <c r="Y154" s="105"/>
      <c r="Z154" s="102">
        <v>0.26644675925925926</v>
      </c>
      <c r="AA154" s="102">
        <v>0.13545138888888889</v>
      </c>
      <c r="AB154" s="16"/>
      <c r="AC154" s="16"/>
      <c r="AD154" s="93">
        <v>22056</v>
      </c>
      <c r="AE154" s="93">
        <f t="shared" si="24"/>
        <v>22.056000000000001</v>
      </c>
      <c r="AF154">
        <v>15.13</v>
      </c>
      <c r="AG154" s="72">
        <f t="shared" si="25"/>
        <v>14</v>
      </c>
      <c r="AH154" s="37">
        <f t="shared" si="26"/>
        <v>22.056000000000001</v>
      </c>
      <c r="AJ154" s="38">
        <v>45826</v>
      </c>
      <c r="AL154" t="s">
        <v>5</v>
      </c>
      <c r="AN154" s="81">
        <v>0.59444444444444444</v>
      </c>
      <c r="AO154" s="81">
        <v>0.39930555555555558</v>
      </c>
      <c r="AP154" s="48">
        <v>3072</v>
      </c>
      <c r="AQ154" t="s">
        <v>1424</v>
      </c>
      <c r="AR154" s="38">
        <v>45826</v>
      </c>
    </row>
    <row r="155" spans="22:44" ht="16" x14ac:dyDescent="0.4">
      <c r="V155" s="97">
        <v>45821</v>
      </c>
      <c r="W155" s="16">
        <v>159716</v>
      </c>
      <c r="X155" s="101" t="s">
        <v>36</v>
      </c>
      <c r="Y155" s="105"/>
      <c r="Z155" s="102">
        <v>0.11179398148148149</v>
      </c>
      <c r="AA155" s="102">
        <v>0.21020833333333333</v>
      </c>
      <c r="AB155" s="16"/>
      <c r="AC155" s="16"/>
      <c r="AD155" s="93">
        <v>20490</v>
      </c>
      <c r="AE155" s="93">
        <f t="shared" si="24"/>
        <v>20.49</v>
      </c>
      <c r="AF155">
        <v>15.41</v>
      </c>
      <c r="AG155" s="72">
        <f t="shared" si="25"/>
        <v>14</v>
      </c>
      <c r="AH155" s="37">
        <f t="shared" si="26"/>
        <v>20.49</v>
      </c>
      <c r="AJ155" s="38">
        <v>45826</v>
      </c>
      <c r="AL155" t="s">
        <v>5</v>
      </c>
      <c r="AN155" s="81">
        <v>0.44166666666666665</v>
      </c>
      <c r="AO155" s="81">
        <v>0.46597222222222223</v>
      </c>
      <c r="AP155" s="48">
        <v>2348</v>
      </c>
      <c r="AQ155" t="s">
        <v>1408</v>
      </c>
      <c r="AR155" s="38">
        <v>45826</v>
      </c>
    </row>
    <row r="156" spans="22:44" ht="16" x14ac:dyDescent="0.4">
      <c r="V156" s="97">
        <v>45821</v>
      </c>
      <c r="W156" s="16">
        <v>159774</v>
      </c>
      <c r="X156" s="101" t="s">
        <v>36</v>
      </c>
      <c r="Y156" s="105"/>
      <c r="Z156" s="102">
        <v>0.17916666666666667</v>
      </c>
      <c r="AA156" s="102">
        <v>0.33055555555555555</v>
      </c>
      <c r="AB156" s="16"/>
      <c r="AC156" s="16"/>
      <c r="AD156" s="93">
        <v>21378</v>
      </c>
      <c r="AE156" s="93">
        <f t="shared" si="24"/>
        <v>21.378</v>
      </c>
      <c r="AF156">
        <v>13.49</v>
      </c>
      <c r="AG156" s="72">
        <f t="shared" si="25"/>
        <v>13.49</v>
      </c>
      <c r="AH156" s="37">
        <f t="shared" si="26"/>
        <v>20.599230000000002</v>
      </c>
      <c r="AJ156" s="38">
        <v>45826</v>
      </c>
      <c r="AL156" t="s">
        <v>5</v>
      </c>
      <c r="AN156" s="81">
        <v>0.36736111111111108</v>
      </c>
      <c r="AO156" s="81">
        <v>0.39305555555555555</v>
      </c>
      <c r="AP156" s="48">
        <v>3534</v>
      </c>
      <c r="AQ156" t="s">
        <v>671</v>
      </c>
      <c r="AR156" s="38">
        <v>45826</v>
      </c>
    </row>
    <row r="157" spans="22:44" ht="16" x14ac:dyDescent="0.4">
      <c r="V157" s="97">
        <v>45821</v>
      </c>
      <c r="W157" s="16">
        <v>159839</v>
      </c>
      <c r="X157" s="101" t="s">
        <v>36</v>
      </c>
      <c r="Y157" s="105"/>
      <c r="Z157" s="102">
        <v>0.1111111111111111</v>
      </c>
      <c r="AA157" s="102">
        <v>0.38263888888888892</v>
      </c>
      <c r="AB157" s="16"/>
      <c r="AC157" s="16"/>
      <c r="AD157" s="93">
        <v>21144</v>
      </c>
      <c r="AE157" s="93">
        <f t="shared" si="24"/>
        <v>21.143999999999998</v>
      </c>
      <c r="AF157">
        <v>14.02</v>
      </c>
      <c r="AG157" s="72">
        <f t="shared" si="25"/>
        <v>14</v>
      </c>
      <c r="AH157" s="37">
        <f t="shared" si="26"/>
        <v>21.143999999999998</v>
      </c>
      <c r="AJ157" s="38">
        <v>45826</v>
      </c>
      <c r="AL157" t="s">
        <v>5</v>
      </c>
      <c r="AN157" s="81">
        <v>0.39305555555555555</v>
      </c>
      <c r="AO157" s="81">
        <v>0.4694444444444445</v>
      </c>
      <c r="AP157" s="48">
        <v>3730</v>
      </c>
      <c r="AQ157" t="s">
        <v>671</v>
      </c>
      <c r="AR157" s="38">
        <v>45826</v>
      </c>
    </row>
    <row r="158" spans="22:44" ht="16" x14ac:dyDescent="0.4">
      <c r="V158" s="97">
        <v>45821</v>
      </c>
      <c r="W158" s="16">
        <v>159898</v>
      </c>
      <c r="X158" s="101" t="s">
        <v>36</v>
      </c>
      <c r="Y158" s="105"/>
      <c r="Z158" s="102">
        <v>0.17916666666666667</v>
      </c>
      <c r="AA158" s="102">
        <v>0.46111111111111108</v>
      </c>
      <c r="AB158" s="16"/>
      <c r="AC158" s="16"/>
      <c r="AD158" s="93">
        <v>20406</v>
      </c>
      <c r="AE158" s="93">
        <f t="shared" si="24"/>
        <v>20.405999999999999</v>
      </c>
      <c r="AF158">
        <v>14.88</v>
      </c>
      <c r="AG158" s="72">
        <f t="shared" si="25"/>
        <v>14</v>
      </c>
      <c r="AH158" s="37">
        <f t="shared" si="26"/>
        <v>20.405999999999999</v>
      </c>
      <c r="AJ158" s="38">
        <v>45826</v>
      </c>
      <c r="AL158" t="s">
        <v>5</v>
      </c>
      <c r="AN158" s="81">
        <v>0.63958333333333328</v>
      </c>
      <c r="AO158" s="81">
        <v>0.48055555555555557</v>
      </c>
      <c r="AP158" s="48">
        <v>3552</v>
      </c>
      <c r="AQ158" t="s">
        <v>1425</v>
      </c>
      <c r="AR158" s="38">
        <v>45826</v>
      </c>
    </row>
    <row r="159" spans="22:44" ht="16" x14ac:dyDescent="0.4">
      <c r="V159" s="97">
        <v>45821</v>
      </c>
      <c r="W159" s="16">
        <v>159927</v>
      </c>
      <c r="X159" s="101" t="s">
        <v>36</v>
      </c>
      <c r="Y159" s="105"/>
      <c r="Z159" s="102">
        <v>0.1111111111111111</v>
      </c>
      <c r="AA159" s="102">
        <v>0.53749999999999998</v>
      </c>
      <c r="AB159" s="16"/>
      <c r="AC159" s="16"/>
      <c r="AD159" s="93">
        <v>21272</v>
      </c>
      <c r="AE159" s="93">
        <f t="shared" si="24"/>
        <v>21.271999999999998</v>
      </c>
      <c r="AF159">
        <v>15.52</v>
      </c>
      <c r="AG159" s="72">
        <f t="shared" si="25"/>
        <v>14</v>
      </c>
      <c r="AH159" s="37">
        <f t="shared" si="26"/>
        <v>21.271999999999998</v>
      </c>
      <c r="AJ159" s="38">
        <v>45826</v>
      </c>
      <c r="AL159" t="s">
        <v>5</v>
      </c>
      <c r="AN159" s="81">
        <v>0.77013888888888893</v>
      </c>
      <c r="AO159" s="81">
        <v>0.5</v>
      </c>
      <c r="AP159" s="48">
        <v>4084</v>
      </c>
      <c r="AQ159" s="39" t="s">
        <v>1426</v>
      </c>
      <c r="AR159" s="38">
        <v>45826</v>
      </c>
    </row>
    <row r="160" spans="22:44" ht="16" x14ac:dyDescent="0.4">
      <c r="V160" s="97">
        <v>45821</v>
      </c>
      <c r="W160" s="16">
        <v>159989</v>
      </c>
      <c r="X160" s="101" t="s">
        <v>36</v>
      </c>
      <c r="Y160" s="105"/>
      <c r="Z160" s="102">
        <v>0.17916666666666667</v>
      </c>
      <c r="AA160" s="102">
        <v>0.60555555555555551</v>
      </c>
      <c r="AB160" s="16"/>
      <c r="AC160" s="16"/>
      <c r="AD160" s="93">
        <v>20872</v>
      </c>
      <c r="AE160" s="93">
        <f t="shared" si="24"/>
        <v>20.872</v>
      </c>
      <c r="AF160">
        <v>16.52</v>
      </c>
      <c r="AG160" s="72">
        <f t="shared" si="25"/>
        <v>14</v>
      </c>
      <c r="AH160" s="37">
        <f t="shared" si="26"/>
        <v>20.871999999999996</v>
      </c>
      <c r="AJ160" s="38">
        <v>45826</v>
      </c>
      <c r="AL160" t="s">
        <v>5</v>
      </c>
      <c r="AN160" s="81">
        <v>0.46319444444444446</v>
      </c>
      <c r="AO160" s="81">
        <v>0.48333333333333334</v>
      </c>
      <c r="AP160" s="48">
        <v>3136</v>
      </c>
      <c r="AQ160" t="s">
        <v>1422</v>
      </c>
      <c r="AR160" s="38">
        <v>45826</v>
      </c>
    </row>
    <row r="161" spans="22:44" ht="16" x14ac:dyDescent="0.4">
      <c r="V161" s="97">
        <v>45821</v>
      </c>
      <c r="W161" s="16">
        <v>160036</v>
      </c>
      <c r="X161" s="101" t="s">
        <v>36</v>
      </c>
      <c r="Y161" s="105"/>
      <c r="Z161" s="102">
        <v>0.70277777777777783</v>
      </c>
      <c r="AA161" s="102">
        <v>0.66180555555555554</v>
      </c>
      <c r="AB161" s="16"/>
      <c r="AC161" s="16"/>
      <c r="AD161" s="93">
        <v>20534</v>
      </c>
      <c r="AE161" s="93">
        <f t="shared" si="24"/>
        <v>20.533999999999999</v>
      </c>
      <c r="AF161">
        <v>15.59</v>
      </c>
      <c r="AG161" s="72">
        <f t="shared" si="25"/>
        <v>14</v>
      </c>
      <c r="AH161" s="37">
        <f t="shared" si="26"/>
        <v>20.533999999999999</v>
      </c>
      <c r="AJ161" s="38">
        <v>45826</v>
      </c>
      <c r="AL161" t="s">
        <v>5</v>
      </c>
      <c r="AN161" s="81">
        <v>0.48333333333333334</v>
      </c>
      <c r="AO161" s="81">
        <v>0.55694444444444446</v>
      </c>
      <c r="AP161" s="48">
        <v>942</v>
      </c>
      <c r="AQ161" t="s">
        <v>1422</v>
      </c>
      <c r="AR161" s="38">
        <v>45826</v>
      </c>
    </row>
    <row r="162" spans="22:44" ht="16" x14ac:dyDescent="0.4">
      <c r="V162" s="97">
        <v>45821</v>
      </c>
      <c r="W162" s="16">
        <v>160056</v>
      </c>
      <c r="X162" s="101" t="s">
        <v>36</v>
      </c>
      <c r="Y162" s="105"/>
      <c r="Z162" s="102">
        <v>0.65486111111111112</v>
      </c>
      <c r="AA162" s="102">
        <v>0.72013888888888899</v>
      </c>
      <c r="AB162" s="16"/>
      <c r="AC162" s="16"/>
      <c r="AD162" s="93">
        <v>19890</v>
      </c>
      <c r="AE162" s="93">
        <f t="shared" si="24"/>
        <v>19.89</v>
      </c>
      <c r="AF162">
        <v>13.91</v>
      </c>
      <c r="AG162" s="72">
        <f t="shared" si="25"/>
        <v>13.91</v>
      </c>
      <c r="AH162" s="37">
        <f t="shared" si="26"/>
        <v>19.762135714285712</v>
      </c>
      <c r="AJ162" s="38">
        <v>45826</v>
      </c>
      <c r="AL162" t="s">
        <v>5</v>
      </c>
      <c r="AN162" s="81">
        <v>0.50694444444444442</v>
      </c>
      <c r="AO162" s="81">
        <v>0.52430555555555558</v>
      </c>
      <c r="AP162" s="48">
        <v>3112</v>
      </c>
      <c r="AQ162" t="s">
        <v>1411</v>
      </c>
      <c r="AR162" s="38">
        <v>45826</v>
      </c>
    </row>
    <row r="163" spans="22:44" ht="16" x14ac:dyDescent="0.4">
      <c r="V163" s="97">
        <v>45821</v>
      </c>
      <c r="W163" s="16">
        <v>160082</v>
      </c>
      <c r="X163" s="101" t="s">
        <v>36</v>
      </c>
      <c r="Y163" s="105"/>
      <c r="Z163" s="102">
        <v>0.69973379629629628</v>
      </c>
      <c r="AA163" s="102">
        <v>0.83060185185185187</v>
      </c>
      <c r="AB163" s="16"/>
      <c r="AC163" s="16"/>
      <c r="AD163" s="93">
        <v>21468</v>
      </c>
      <c r="AE163" s="93">
        <f t="shared" si="24"/>
        <v>21.468</v>
      </c>
      <c r="AF163">
        <v>15.38</v>
      </c>
      <c r="AG163" s="72">
        <f t="shared" si="25"/>
        <v>14</v>
      </c>
      <c r="AH163" s="37">
        <f t="shared" si="26"/>
        <v>21.468</v>
      </c>
      <c r="AJ163" s="38">
        <v>45826</v>
      </c>
      <c r="AL163" t="s">
        <v>5</v>
      </c>
      <c r="AN163" s="81">
        <v>0.51527777777777783</v>
      </c>
      <c r="AO163" s="81">
        <v>0.62222222222222223</v>
      </c>
      <c r="AP163" s="48">
        <v>4690</v>
      </c>
      <c r="AQ163" t="s">
        <v>1427</v>
      </c>
      <c r="AR163" s="38">
        <v>45826</v>
      </c>
    </row>
    <row r="164" spans="22:44" ht="16" x14ac:dyDescent="0.4">
      <c r="V164" s="97">
        <v>45821</v>
      </c>
      <c r="W164" s="16">
        <v>160120</v>
      </c>
      <c r="X164" s="101" t="s">
        <v>36</v>
      </c>
      <c r="Y164" s="105"/>
      <c r="Z164" s="102">
        <v>0.76960648148148147</v>
      </c>
      <c r="AA164" s="102">
        <v>9.2282638888888879</v>
      </c>
      <c r="AB164" s="16"/>
      <c r="AC164" s="16"/>
      <c r="AD164" s="93">
        <v>20502</v>
      </c>
      <c r="AE164" s="93">
        <f t="shared" si="24"/>
        <v>20.501999999999999</v>
      </c>
      <c r="AF164">
        <v>15.04</v>
      </c>
      <c r="AG164" s="72">
        <f t="shared" si="25"/>
        <v>14</v>
      </c>
      <c r="AH164" s="37">
        <f t="shared" si="26"/>
        <v>20.501999999999999</v>
      </c>
      <c r="AJ164" s="38">
        <v>45826</v>
      </c>
      <c r="AL164" t="s">
        <v>5</v>
      </c>
      <c r="AN164" s="39">
        <v>0.59166666666666667</v>
      </c>
      <c r="AO164" s="39">
        <v>0.58333333333333337</v>
      </c>
      <c r="AP164" s="48">
        <v>3118</v>
      </c>
      <c r="AQ164" t="s">
        <v>1408</v>
      </c>
      <c r="AR164" s="38">
        <v>45826</v>
      </c>
    </row>
    <row r="165" spans="22:44" ht="16" x14ac:dyDescent="0.4">
      <c r="V165" s="97">
        <v>45821</v>
      </c>
      <c r="W165" s="16">
        <v>160143</v>
      </c>
      <c r="X165" s="101" t="s">
        <v>36</v>
      </c>
      <c r="Y165" s="105"/>
      <c r="Z165" s="102">
        <v>0.6551851851851852</v>
      </c>
      <c r="AA165" s="102">
        <v>9.3073726851851841</v>
      </c>
      <c r="AB165" s="16"/>
      <c r="AC165" s="16"/>
      <c r="AD165" s="93">
        <v>21966</v>
      </c>
      <c r="AE165" s="93">
        <f t="shared" si="24"/>
        <v>21.966000000000001</v>
      </c>
      <c r="AF165">
        <v>14.66</v>
      </c>
      <c r="AG165" s="72">
        <f t="shared" si="25"/>
        <v>14</v>
      </c>
      <c r="AH165" s="37">
        <f t="shared" si="26"/>
        <v>21.966000000000001</v>
      </c>
      <c r="AJ165" s="38">
        <v>45826</v>
      </c>
      <c r="AL165" t="s">
        <v>5</v>
      </c>
      <c r="AN165" s="39">
        <v>0.62361111111111112</v>
      </c>
      <c r="AO165" s="39"/>
      <c r="AP165" s="48">
        <v>3402</v>
      </c>
      <c r="AQ165" t="s">
        <v>1428</v>
      </c>
      <c r="AR165" s="38">
        <v>45826</v>
      </c>
    </row>
    <row r="166" spans="22:44" ht="16" x14ac:dyDescent="0.4">
      <c r="V166" s="97">
        <v>45822</v>
      </c>
      <c r="W166" s="16">
        <v>160164</v>
      </c>
      <c r="X166" s="101" t="s">
        <v>36</v>
      </c>
      <c r="Y166" s="105"/>
      <c r="Z166" s="102">
        <v>0.76945601851851853</v>
      </c>
      <c r="AA166" s="102">
        <v>4.5162037037037035E-2</v>
      </c>
      <c r="AB166" s="16"/>
      <c r="AC166" s="16"/>
      <c r="AD166" s="93">
        <v>20350</v>
      </c>
      <c r="AE166" s="93">
        <f t="shared" si="24"/>
        <v>20.350000000000001</v>
      </c>
      <c r="AF166">
        <v>15.19</v>
      </c>
      <c r="AG166" s="72">
        <f t="shared" si="25"/>
        <v>14</v>
      </c>
      <c r="AH166" s="37">
        <f t="shared" si="26"/>
        <v>20.350000000000001</v>
      </c>
      <c r="AJ166" s="38">
        <v>45826</v>
      </c>
      <c r="AL166" t="s">
        <v>5</v>
      </c>
      <c r="AN166" s="39">
        <v>0.37847222222222227</v>
      </c>
      <c r="AO166" s="39">
        <v>0.43611111111111112</v>
      </c>
      <c r="AP166" s="48">
        <v>2816</v>
      </c>
      <c r="AQ166" t="s">
        <v>1429</v>
      </c>
      <c r="AR166" s="38">
        <v>45827</v>
      </c>
    </row>
    <row r="167" spans="22:44" ht="16" x14ac:dyDescent="0.4">
      <c r="V167" s="97">
        <v>45822</v>
      </c>
      <c r="W167" s="16">
        <v>160172</v>
      </c>
      <c r="X167" s="101" t="s">
        <v>36</v>
      </c>
      <c r="Y167" s="105"/>
      <c r="Z167" s="102">
        <v>0.65506944444444437</v>
      </c>
      <c r="AA167" s="102">
        <v>0.11465277777777778</v>
      </c>
      <c r="AB167" s="16"/>
      <c r="AC167" s="16"/>
      <c r="AD167" s="93">
        <v>21368</v>
      </c>
      <c r="AE167" s="93">
        <f t="shared" si="24"/>
        <v>21.367999999999999</v>
      </c>
      <c r="AF167">
        <v>15.68</v>
      </c>
      <c r="AG167" s="72">
        <f t="shared" si="25"/>
        <v>14</v>
      </c>
      <c r="AH167" s="37">
        <f t="shared" si="26"/>
        <v>21.367999999999999</v>
      </c>
      <c r="AJ167" s="38">
        <v>45827</v>
      </c>
      <c r="AL167" t="s">
        <v>5</v>
      </c>
      <c r="AN167" s="39">
        <v>0.7368055555555556</v>
      </c>
      <c r="AO167" s="39">
        <v>0.78402777777777777</v>
      </c>
      <c r="AP167" s="48">
        <v>3938</v>
      </c>
      <c r="AR167" s="38">
        <v>45827</v>
      </c>
    </row>
    <row r="168" spans="22:44" ht="16" x14ac:dyDescent="0.4">
      <c r="V168" s="97">
        <v>45822</v>
      </c>
      <c r="W168" s="16">
        <v>160187</v>
      </c>
      <c r="X168" s="101" t="s">
        <v>36</v>
      </c>
      <c r="Y168" s="105"/>
      <c r="Z168" s="102">
        <v>0.7693402777777778</v>
      </c>
      <c r="AA168" s="102">
        <v>0.17706018518518518</v>
      </c>
      <c r="AB168" s="16"/>
      <c r="AC168" s="16"/>
      <c r="AD168" s="93">
        <v>19552</v>
      </c>
      <c r="AE168" s="93">
        <f t="shared" si="24"/>
        <v>19.552</v>
      </c>
      <c r="AF168">
        <v>14.49</v>
      </c>
      <c r="AG168" s="72">
        <f t="shared" si="25"/>
        <v>14</v>
      </c>
      <c r="AH168" s="37">
        <f t="shared" si="26"/>
        <v>19.552</v>
      </c>
      <c r="AJ168" s="38">
        <v>45827</v>
      </c>
      <c r="AL168" t="s">
        <v>5</v>
      </c>
      <c r="AN168" s="39">
        <v>0.43333333333333335</v>
      </c>
      <c r="AO168" s="39">
        <v>0.4513888888888889</v>
      </c>
      <c r="AP168" s="48">
        <v>3438</v>
      </c>
      <c r="AQ168" t="s">
        <v>1430</v>
      </c>
      <c r="AR168" s="38">
        <v>45827</v>
      </c>
    </row>
    <row r="169" spans="22:44" ht="16" x14ac:dyDescent="0.4">
      <c r="V169" s="97">
        <v>45822</v>
      </c>
      <c r="W169" s="16">
        <v>160196</v>
      </c>
      <c r="X169" s="101" t="s">
        <v>36</v>
      </c>
      <c r="Y169" s="105"/>
      <c r="Z169" s="102">
        <v>0.23243055555555556</v>
      </c>
      <c r="AA169" s="102"/>
      <c r="AB169" s="16"/>
      <c r="AC169" s="16"/>
      <c r="AD169" s="93">
        <v>16436</v>
      </c>
      <c r="AE169" s="93">
        <f t="shared" si="24"/>
        <v>16.436</v>
      </c>
      <c r="AF169">
        <v>16.04</v>
      </c>
      <c r="AG169" s="72">
        <f t="shared" si="25"/>
        <v>14</v>
      </c>
      <c r="AH169" s="37">
        <f t="shared" si="26"/>
        <v>16.436</v>
      </c>
      <c r="AJ169" s="38">
        <v>45827</v>
      </c>
      <c r="AL169" t="s">
        <v>5</v>
      </c>
      <c r="AN169" s="39">
        <v>0.6430555555555556</v>
      </c>
      <c r="AO169" s="39">
        <v>0.45694444444444443</v>
      </c>
      <c r="AP169" s="48">
        <v>5644</v>
      </c>
      <c r="AQ169" t="s">
        <v>1426</v>
      </c>
      <c r="AR169" s="38">
        <v>45827</v>
      </c>
    </row>
    <row r="170" spans="22:44" ht="16" x14ac:dyDescent="0.4">
      <c r="V170" s="97">
        <v>45822</v>
      </c>
      <c r="W170" s="16">
        <v>160214</v>
      </c>
      <c r="X170" s="101" t="s">
        <v>36</v>
      </c>
      <c r="Y170" s="105"/>
      <c r="Z170" s="102">
        <v>0.22146990740740743</v>
      </c>
      <c r="AA170" s="102">
        <v>0.30125000000000002</v>
      </c>
      <c r="AB170" s="16"/>
      <c r="AC170" s="16"/>
      <c r="AD170" s="93">
        <v>21812</v>
      </c>
      <c r="AE170" s="93">
        <f t="shared" si="24"/>
        <v>21.812000000000001</v>
      </c>
      <c r="AF170">
        <v>15.81</v>
      </c>
      <c r="AG170" s="72">
        <f t="shared" si="25"/>
        <v>14</v>
      </c>
      <c r="AH170" s="37">
        <f t="shared" si="26"/>
        <v>21.812000000000001</v>
      </c>
      <c r="AJ170" s="38">
        <v>45827</v>
      </c>
      <c r="AL170" t="s">
        <v>5</v>
      </c>
      <c r="AN170" s="39">
        <v>0.37777777777777777</v>
      </c>
      <c r="AO170" s="39">
        <v>0.52986111111111112</v>
      </c>
      <c r="AP170" s="48">
        <v>2268</v>
      </c>
      <c r="AQ170" t="s">
        <v>1431</v>
      </c>
      <c r="AR170" s="38">
        <v>45827</v>
      </c>
    </row>
    <row r="171" spans="22:44" ht="16" x14ac:dyDescent="0.4">
      <c r="V171" s="97">
        <v>45822</v>
      </c>
      <c r="W171" s="16">
        <v>160280</v>
      </c>
      <c r="X171" s="101" t="s">
        <v>36</v>
      </c>
      <c r="Y171" s="105"/>
      <c r="Z171" s="102">
        <v>0.1547685185185185</v>
      </c>
      <c r="AA171" s="102">
        <v>0.37491898148148151</v>
      </c>
      <c r="AB171" s="16"/>
      <c r="AC171" s="16"/>
      <c r="AD171" s="93">
        <v>22682</v>
      </c>
      <c r="AE171" s="93">
        <f t="shared" si="24"/>
        <v>22.681999999999999</v>
      </c>
      <c r="AF171">
        <v>14.38</v>
      </c>
      <c r="AG171" s="72">
        <f t="shared" si="25"/>
        <v>14</v>
      </c>
      <c r="AH171" s="37">
        <f t="shared" si="26"/>
        <v>22.681999999999999</v>
      </c>
      <c r="AJ171" s="38">
        <v>45827</v>
      </c>
      <c r="AL171" t="s">
        <v>5</v>
      </c>
      <c r="AN171" s="39">
        <v>0.4694444444444445</v>
      </c>
      <c r="AO171" s="39">
        <v>0.48472222222222222</v>
      </c>
      <c r="AP171" s="48">
        <v>2762</v>
      </c>
      <c r="AQ171" t="s">
        <v>1432</v>
      </c>
      <c r="AR171" s="38">
        <v>45827</v>
      </c>
    </row>
    <row r="172" spans="22:44" ht="16" x14ac:dyDescent="0.4">
      <c r="V172" s="97">
        <v>45822</v>
      </c>
      <c r="W172" s="16">
        <v>160341</v>
      </c>
      <c r="X172" s="101" t="s">
        <v>36</v>
      </c>
      <c r="Y172" s="105"/>
      <c r="Z172" s="102">
        <v>0.22122685185185187</v>
      </c>
      <c r="AA172" s="102">
        <v>0.45326388888888891</v>
      </c>
      <c r="AB172" s="16"/>
      <c r="AC172" s="16"/>
      <c r="AD172" s="93">
        <v>22686</v>
      </c>
      <c r="AE172" s="93">
        <f t="shared" si="24"/>
        <v>22.686</v>
      </c>
      <c r="AF172">
        <v>14.45</v>
      </c>
      <c r="AG172" s="72">
        <f t="shared" si="25"/>
        <v>14</v>
      </c>
      <c r="AH172" s="37">
        <f t="shared" si="26"/>
        <v>22.686</v>
      </c>
      <c r="AJ172" s="38">
        <v>45827</v>
      </c>
      <c r="AL172" t="s">
        <v>5</v>
      </c>
      <c r="AN172" s="39">
        <v>0.43611111111111112</v>
      </c>
      <c r="AO172" s="39">
        <v>0.35416666666666669</v>
      </c>
      <c r="AP172" s="48">
        <v>3070</v>
      </c>
      <c r="AQ172" t="s">
        <v>1398</v>
      </c>
      <c r="AR172" s="38">
        <v>45827</v>
      </c>
    </row>
    <row r="173" spans="22:44" ht="16" x14ac:dyDescent="0.4">
      <c r="V173" s="97">
        <v>45822</v>
      </c>
      <c r="W173" s="16">
        <v>160383</v>
      </c>
      <c r="X173" s="101" t="s">
        <v>36</v>
      </c>
      <c r="Y173" s="105"/>
      <c r="Z173" s="102">
        <v>0.155</v>
      </c>
      <c r="AA173" s="102">
        <v>0.54874999999999996</v>
      </c>
      <c r="AB173" s="16"/>
      <c r="AC173" s="16"/>
      <c r="AD173" s="93">
        <v>21810</v>
      </c>
      <c r="AE173" s="93">
        <f t="shared" si="24"/>
        <v>21.81</v>
      </c>
      <c r="AF173">
        <v>15.48</v>
      </c>
      <c r="AG173" s="72">
        <f t="shared" si="25"/>
        <v>14</v>
      </c>
      <c r="AH173" s="37">
        <f t="shared" si="26"/>
        <v>21.81</v>
      </c>
      <c r="AJ173" s="38">
        <v>45827</v>
      </c>
      <c r="AL173" t="s">
        <v>5</v>
      </c>
      <c r="AN173" s="39">
        <v>0.41180555555555554</v>
      </c>
      <c r="AO173" s="39">
        <v>0.53749999999999998</v>
      </c>
      <c r="AP173" s="48">
        <v>2056</v>
      </c>
      <c r="AQ173" t="s">
        <v>1431</v>
      </c>
      <c r="AR173" s="38">
        <v>45827</v>
      </c>
    </row>
    <row r="174" spans="22:44" ht="16" x14ac:dyDescent="0.4">
      <c r="V174" s="97">
        <v>45822</v>
      </c>
      <c r="W174" s="16">
        <v>160428</v>
      </c>
      <c r="X174" s="101" t="s">
        <v>36</v>
      </c>
      <c r="Y174" s="105"/>
      <c r="Z174" s="102">
        <v>0.22134259259259259</v>
      </c>
      <c r="AA174" s="102">
        <v>0.61866898148148153</v>
      </c>
      <c r="AB174" s="16"/>
      <c r="AC174" s="16"/>
      <c r="AD174" s="93">
        <v>21006</v>
      </c>
      <c r="AE174" s="93">
        <f t="shared" si="24"/>
        <v>21.006</v>
      </c>
      <c r="AF174">
        <v>16.41</v>
      </c>
      <c r="AG174" s="72">
        <f t="shared" si="25"/>
        <v>14</v>
      </c>
      <c r="AH174" s="37">
        <f t="shared" si="26"/>
        <v>21.006</v>
      </c>
      <c r="AJ174" s="38">
        <v>45827</v>
      </c>
      <c r="AL174" t="s">
        <v>5</v>
      </c>
      <c r="AN174" s="39">
        <v>0.41388888888888892</v>
      </c>
      <c r="AO174" s="39">
        <v>0.53888888888888886</v>
      </c>
      <c r="AP174" s="48">
        <v>2098</v>
      </c>
      <c r="AQ174" t="s">
        <v>1433</v>
      </c>
      <c r="AR174" s="38">
        <v>45827</v>
      </c>
    </row>
    <row r="175" spans="22:44" ht="16" x14ac:dyDescent="0.4">
      <c r="V175" s="97">
        <v>45822</v>
      </c>
      <c r="W175" s="16">
        <v>160466</v>
      </c>
      <c r="X175" s="101" t="s">
        <v>36</v>
      </c>
      <c r="Y175" s="105"/>
      <c r="Z175" s="102">
        <v>0.60515046296296293</v>
      </c>
      <c r="AA175" s="102">
        <v>0.68881944444444443</v>
      </c>
      <c r="AB175" s="16"/>
      <c r="AC175" s="16"/>
      <c r="AD175" s="93">
        <v>21054</v>
      </c>
      <c r="AE175" s="93">
        <f t="shared" si="24"/>
        <v>21.053999999999998</v>
      </c>
      <c r="AF175">
        <v>13.73</v>
      </c>
      <c r="AG175" s="72">
        <f t="shared" si="25"/>
        <v>13.73</v>
      </c>
      <c r="AH175" s="37">
        <f t="shared" si="26"/>
        <v>20.647958571428571</v>
      </c>
      <c r="AJ175" s="38">
        <v>45827</v>
      </c>
      <c r="AL175" t="s">
        <v>5</v>
      </c>
      <c r="AN175" s="39">
        <v>0.3979166666666667</v>
      </c>
      <c r="AO175" s="39">
        <v>0.41180555555555554</v>
      </c>
      <c r="AP175" s="48">
        <v>2578</v>
      </c>
      <c r="AQ175" t="s">
        <v>1431</v>
      </c>
      <c r="AR175" s="38">
        <v>45827</v>
      </c>
    </row>
    <row r="176" spans="22:44" ht="16" x14ac:dyDescent="0.4">
      <c r="V176" s="97">
        <v>45822</v>
      </c>
      <c r="W176" s="16">
        <v>160477</v>
      </c>
      <c r="X176" s="101" t="s">
        <v>36</v>
      </c>
      <c r="Y176" s="105"/>
      <c r="Z176" s="102">
        <v>0.66035879629629635</v>
      </c>
      <c r="AA176" s="102">
        <v>0.73960648148148145</v>
      </c>
      <c r="AB176" s="16"/>
      <c r="AC176" s="16"/>
      <c r="AD176" s="93">
        <v>18902</v>
      </c>
      <c r="AE176" s="93">
        <f t="shared" si="24"/>
        <v>18.902000000000001</v>
      </c>
      <c r="AF176">
        <v>13.77</v>
      </c>
      <c r="AG176" s="72">
        <f t="shared" si="25"/>
        <v>13.77</v>
      </c>
      <c r="AH176" s="37">
        <f t="shared" si="26"/>
        <v>18.591467142857145</v>
      </c>
      <c r="AJ176" s="38">
        <v>45827</v>
      </c>
      <c r="AL176" t="s">
        <v>5</v>
      </c>
      <c r="AN176" s="39">
        <v>0.59861111111111109</v>
      </c>
      <c r="AO176" s="39">
        <v>0.61805555555555558</v>
      </c>
      <c r="AP176" s="48">
        <v>1942</v>
      </c>
      <c r="AQ176" t="s">
        <v>1434</v>
      </c>
      <c r="AR176" s="38">
        <v>45827</v>
      </c>
    </row>
    <row r="177" spans="22:45" ht="16" x14ac:dyDescent="0.4">
      <c r="V177" s="97">
        <v>45822</v>
      </c>
      <c r="W177" s="16">
        <v>160497</v>
      </c>
      <c r="X177" s="101" t="s">
        <v>36</v>
      </c>
      <c r="Y177" s="105"/>
      <c r="Z177" s="102">
        <v>0.60526620370370365</v>
      </c>
      <c r="AA177" s="102">
        <v>0.81518518518518512</v>
      </c>
      <c r="AB177" s="16"/>
      <c r="AC177" s="16"/>
      <c r="AD177" s="93">
        <v>22732</v>
      </c>
      <c r="AE177" s="93">
        <f t="shared" si="24"/>
        <v>22.731999999999999</v>
      </c>
      <c r="AF177">
        <v>14.77</v>
      </c>
      <c r="AG177" s="72">
        <f t="shared" si="25"/>
        <v>14</v>
      </c>
      <c r="AH177" s="37">
        <f t="shared" si="26"/>
        <v>22.731999999999999</v>
      </c>
      <c r="AJ177" s="38">
        <v>45827</v>
      </c>
      <c r="AL177" t="s">
        <v>5</v>
      </c>
      <c r="AN177" s="39">
        <v>0.47569444444444442</v>
      </c>
      <c r="AO177" s="39">
        <v>0.64236111111111105</v>
      </c>
      <c r="AP177" s="48">
        <v>5118</v>
      </c>
      <c r="AQ177" t="s">
        <v>1426</v>
      </c>
      <c r="AR177" s="38">
        <v>45827</v>
      </c>
    </row>
    <row r="178" spans="22:45" ht="16" x14ac:dyDescent="0.4">
      <c r="V178" s="97">
        <v>45822</v>
      </c>
      <c r="W178" s="16">
        <v>160519</v>
      </c>
      <c r="X178" s="101" t="s">
        <v>36</v>
      </c>
      <c r="Y178" s="105"/>
      <c r="Z178" s="102">
        <v>0.65972222222222221</v>
      </c>
      <c r="AA178" s="102">
        <v>0.8930555555555556</v>
      </c>
      <c r="AB178" s="16"/>
      <c r="AC178" s="16"/>
      <c r="AD178" s="93">
        <v>20090</v>
      </c>
      <c r="AE178" s="93">
        <f t="shared" si="24"/>
        <v>20.09</v>
      </c>
      <c r="AF178">
        <v>16.09</v>
      </c>
      <c r="AG178" s="72">
        <f t="shared" si="25"/>
        <v>14</v>
      </c>
      <c r="AH178" s="37">
        <f t="shared" si="26"/>
        <v>20.09</v>
      </c>
      <c r="AJ178" s="38">
        <v>45827</v>
      </c>
      <c r="AL178" t="s">
        <v>5</v>
      </c>
      <c r="AN178" s="39">
        <v>0.54587962962962966</v>
      </c>
      <c r="AO178" s="39">
        <v>0.7378703703703704</v>
      </c>
      <c r="AP178" s="48">
        <v>2900</v>
      </c>
      <c r="AQ178" t="s">
        <v>1435</v>
      </c>
      <c r="AR178" s="38">
        <v>45827</v>
      </c>
    </row>
    <row r="179" spans="22:45" ht="16" x14ac:dyDescent="0.4">
      <c r="V179" s="97">
        <v>45822</v>
      </c>
      <c r="W179" s="16">
        <v>160543</v>
      </c>
      <c r="X179" s="101" t="s">
        <v>36</v>
      </c>
      <c r="Y179" s="105"/>
      <c r="Z179" s="102">
        <v>0.60416666666666663</v>
      </c>
      <c r="AA179" s="102">
        <v>0.96319444444444446</v>
      </c>
      <c r="AB179" s="16"/>
      <c r="AC179" s="16"/>
      <c r="AD179" s="93">
        <v>20434</v>
      </c>
      <c r="AE179" s="93">
        <f t="shared" si="24"/>
        <v>20.434000000000001</v>
      </c>
      <c r="AF179">
        <v>15.99</v>
      </c>
      <c r="AG179" s="72">
        <f t="shared" si="25"/>
        <v>14</v>
      </c>
      <c r="AH179" s="37">
        <f t="shared" si="26"/>
        <v>20.434000000000001</v>
      </c>
      <c r="AJ179" s="38">
        <v>45828</v>
      </c>
      <c r="AL179" s="16" t="s">
        <v>5</v>
      </c>
      <c r="AN179" s="39">
        <v>0.59097222222222223</v>
      </c>
      <c r="AO179" s="39">
        <v>0.60277777777777775</v>
      </c>
      <c r="AP179" s="48">
        <v>4006</v>
      </c>
      <c r="AR179" s="38">
        <v>45828</v>
      </c>
    </row>
    <row r="180" spans="22:45" ht="16" x14ac:dyDescent="0.4">
      <c r="V180" s="97">
        <v>45823</v>
      </c>
      <c r="W180" s="16">
        <v>160556</v>
      </c>
      <c r="X180" s="101" t="s">
        <v>36</v>
      </c>
      <c r="Y180" s="105"/>
      <c r="Z180" s="102">
        <v>0.66055555555555556</v>
      </c>
      <c r="AA180" s="102">
        <v>3.5277777777777776E-2</v>
      </c>
      <c r="AB180" s="16"/>
      <c r="AC180" s="16"/>
      <c r="AD180" s="93">
        <v>22330</v>
      </c>
      <c r="AE180" s="93">
        <f t="shared" si="24"/>
        <v>22.33</v>
      </c>
      <c r="AF180">
        <v>15.26</v>
      </c>
      <c r="AG180" s="72">
        <f t="shared" si="25"/>
        <v>14</v>
      </c>
      <c r="AH180" s="37">
        <f t="shared" si="26"/>
        <v>22.330000000000002</v>
      </c>
      <c r="AJ180" s="38">
        <v>45828</v>
      </c>
      <c r="AL180" s="16" t="s">
        <v>5</v>
      </c>
      <c r="AN180" s="39">
        <v>0.58472222222222225</v>
      </c>
      <c r="AO180" s="39">
        <v>0.6020833333333333</v>
      </c>
      <c r="AP180" s="48">
        <v>5478</v>
      </c>
      <c r="AR180" s="38">
        <v>45828</v>
      </c>
    </row>
    <row r="181" spans="22:45" ht="16" x14ac:dyDescent="0.4">
      <c r="V181" s="97">
        <v>45823</v>
      </c>
      <c r="W181" s="16">
        <v>160566</v>
      </c>
      <c r="X181" s="101" t="s">
        <v>36</v>
      </c>
      <c r="Y181" s="105"/>
      <c r="Z181" s="102">
        <v>7.3842592592592597E-3</v>
      </c>
      <c r="AA181" s="102">
        <v>8.6805555555555566E-2</v>
      </c>
      <c r="AB181" s="16"/>
      <c r="AC181" s="16"/>
      <c r="AD181" s="93">
        <v>22842</v>
      </c>
      <c r="AE181" s="93">
        <f t="shared" si="24"/>
        <v>22.841999999999999</v>
      </c>
      <c r="AF181">
        <v>14.77</v>
      </c>
      <c r="AG181" s="72">
        <f t="shared" si="25"/>
        <v>14</v>
      </c>
      <c r="AH181" s="37">
        <f t="shared" si="26"/>
        <v>22.842000000000002</v>
      </c>
      <c r="AJ181" s="38">
        <v>45828</v>
      </c>
      <c r="AL181" s="16" t="s">
        <v>5</v>
      </c>
      <c r="AN181" s="39">
        <v>0.48541666666666666</v>
      </c>
      <c r="AO181" s="39">
        <v>0.4465277777777778</v>
      </c>
      <c r="AP181" s="48">
        <v>2310</v>
      </c>
      <c r="AQ181" t="s">
        <v>1436</v>
      </c>
      <c r="AR181" s="38">
        <v>45828</v>
      </c>
    </row>
    <row r="182" spans="22:45" ht="16" x14ac:dyDescent="0.4">
      <c r="V182" s="97">
        <v>45823</v>
      </c>
      <c r="W182" s="16">
        <v>160573</v>
      </c>
      <c r="X182" s="101" t="s">
        <v>36</v>
      </c>
      <c r="Y182" s="105"/>
      <c r="Z182" s="102">
        <v>0.77749999999999997</v>
      </c>
      <c r="AA182" s="102">
        <v>0.14276620370370371</v>
      </c>
      <c r="AB182" s="16"/>
      <c r="AC182" s="16"/>
      <c r="AD182" s="93">
        <v>19000</v>
      </c>
      <c r="AE182" s="93">
        <f t="shared" si="24"/>
        <v>19</v>
      </c>
      <c r="AF182">
        <v>16.59</v>
      </c>
      <c r="AG182" s="72">
        <f t="shared" si="25"/>
        <v>14</v>
      </c>
      <c r="AH182" s="37">
        <f t="shared" si="26"/>
        <v>19</v>
      </c>
      <c r="AJ182" s="38">
        <v>45828</v>
      </c>
      <c r="AL182" s="16" t="s">
        <v>5</v>
      </c>
      <c r="AN182" s="39">
        <v>0.65625</v>
      </c>
      <c r="AO182" s="39">
        <v>0.46597222222222223</v>
      </c>
      <c r="AP182" s="48">
        <v>4704</v>
      </c>
      <c r="AQ182" t="s">
        <v>1426</v>
      </c>
      <c r="AR182" s="38">
        <v>45828</v>
      </c>
    </row>
    <row r="183" spans="22:45" ht="16" x14ac:dyDescent="0.4">
      <c r="V183" s="97">
        <v>45823</v>
      </c>
      <c r="W183" s="16">
        <v>160577</v>
      </c>
      <c r="X183" s="101" t="s">
        <v>36</v>
      </c>
      <c r="Y183" s="105"/>
      <c r="Z183" s="102">
        <v>7.2569444444444443E-3</v>
      </c>
      <c r="AA183" s="102">
        <v>0.19635416666666669</v>
      </c>
      <c r="AB183" s="16"/>
      <c r="AC183" s="16"/>
      <c r="AD183" s="93">
        <v>19938</v>
      </c>
      <c r="AE183" s="93">
        <f t="shared" si="24"/>
        <v>19.937999999999999</v>
      </c>
      <c r="AF183">
        <v>16.84</v>
      </c>
      <c r="AG183" s="72">
        <f t="shared" si="25"/>
        <v>14</v>
      </c>
      <c r="AH183" s="37">
        <f t="shared" si="26"/>
        <v>19.937999999999999</v>
      </c>
      <c r="AJ183" s="38">
        <v>45824</v>
      </c>
      <c r="AL183" s="16" t="s">
        <v>5</v>
      </c>
      <c r="AN183" s="39">
        <v>0.39930555555555558</v>
      </c>
      <c r="AO183" s="39">
        <v>0.41388888888888892</v>
      </c>
      <c r="AP183" s="48">
        <v>2422</v>
      </c>
      <c r="AQ183" t="s">
        <v>671</v>
      </c>
      <c r="AR183" s="38">
        <v>45828</v>
      </c>
    </row>
    <row r="184" spans="22:45" ht="16" x14ac:dyDescent="0.4">
      <c r="V184" s="97">
        <v>45823</v>
      </c>
      <c r="W184" s="16">
        <v>160579</v>
      </c>
      <c r="X184" s="101" t="s">
        <v>36</v>
      </c>
      <c r="Y184" s="105"/>
      <c r="Z184" s="102">
        <v>0.7729166666666667</v>
      </c>
      <c r="AA184" s="102">
        <v>0.2388888888888889</v>
      </c>
      <c r="AB184" s="16"/>
      <c r="AC184" s="16"/>
      <c r="AD184" s="93">
        <v>19424</v>
      </c>
      <c r="AE184" s="93">
        <f t="shared" si="24"/>
        <v>19.423999999999999</v>
      </c>
      <c r="AF184">
        <v>16.39</v>
      </c>
      <c r="AG184" s="72">
        <f t="shared" si="25"/>
        <v>14</v>
      </c>
      <c r="AH184" s="37">
        <f t="shared" si="26"/>
        <v>19.423999999999999</v>
      </c>
      <c r="AJ184" s="38">
        <v>45824</v>
      </c>
      <c r="AL184" s="16" t="s">
        <v>5</v>
      </c>
      <c r="AN184" s="39">
        <v>0.60625000000000007</v>
      </c>
      <c r="AO184" s="39"/>
      <c r="AP184" s="48">
        <v>4300</v>
      </c>
      <c r="AQ184" t="s">
        <v>671</v>
      </c>
      <c r="AR184" s="38">
        <v>45828</v>
      </c>
      <c r="AS184" s="49"/>
    </row>
    <row r="185" spans="22:45" ht="16" x14ac:dyDescent="0.4">
      <c r="V185" s="97">
        <v>45823</v>
      </c>
      <c r="W185" s="16">
        <v>160583</v>
      </c>
      <c r="X185" s="101" t="s">
        <v>36</v>
      </c>
      <c r="Y185" s="105"/>
      <c r="Z185" s="102">
        <v>0.27708333333333335</v>
      </c>
      <c r="AA185" s="102">
        <v>0.28472222222222221</v>
      </c>
      <c r="AB185" s="16"/>
      <c r="AC185" s="16"/>
      <c r="AD185" s="93">
        <v>20188</v>
      </c>
      <c r="AE185" s="93">
        <f t="shared" si="24"/>
        <v>20.187999999999999</v>
      </c>
      <c r="AF185">
        <v>15.02</v>
      </c>
      <c r="AG185" s="72">
        <f t="shared" si="25"/>
        <v>14</v>
      </c>
      <c r="AH185" s="37">
        <f t="shared" si="26"/>
        <v>20.187999999999999</v>
      </c>
      <c r="AJ185" s="38">
        <v>45828</v>
      </c>
      <c r="AL185" s="16" t="s">
        <v>5</v>
      </c>
      <c r="AN185" s="39">
        <v>0.4777777777777778</v>
      </c>
      <c r="AO185" s="39">
        <v>0.52847222222222223</v>
      </c>
      <c r="AP185" s="48">
        <v>1866</v>
      </c>
      <c r="AQ185" t="s">
        <v>1426</v>
      </c>
      <c r="AR185" s="38">
        <v>45828</v>
      </c>
      <c r="AS185" s="49"/>
    </row>
    <row r="186" spans="22:45" ht="16" x14ac:dyDescent="0.4">
      <c r="V186" s="97">
        <v>45823</v>
      </c>
      <c r="W186" s="16">
        <v>160591</v>
      </c>
      <c r="X186" s="101" t="s">
        <v>36</v>
      </c>
      <c r="Y186" s="105"/>
      <c r="Z186" s="102">
        <v>0.18124999999999999</v>
      </c>
      <c r="AA186" s="102">
        <v>0.33749999999999997</v>
      </c>
      <c r="AB186" s="16"/>
      <c r="AC186" s="16"/>
      <c r="AD186" s="93">
        <v>21382</v>
      </c>
      <c r="AE186" s="93">
        <f t="shared" si="24"/>
        <v>21.382000000000001</v>
      </c>
      <c r="AF186">
        <v>14.31</v>
      </c>
      <c r="AG186" s="72">
        <f t="shared" si="25"/>
        <v>14</v>
      </c>
      <c r="AH186" s="37">
        <f t="shared" si="26"/>
        <v>21.382000000000001</v>
      </c>
      <c r="AJ186" s="38">
        <v>45828</v>
      </c>
      <c r="AL186" s="16" t="s">
        <v>5</v>
      </c>
      <c r="AN186" s="39">
        <v>0.66249999999999998</v>
      </c>
      <c r="AO186" s="39">
        <v>0.6020833333333333</v>
      </c>
      <c r="AP186" s="48">
        <v>5264</v>
      </c>
      <c r="AR186" s="38">
        <v>45828</v>
      </c>
      <c r="AS186" s="49"/>
    </row>
    <row r="187" spans="22:45" ht="16" x14ac:dyDescent="0.4">
      <c r="V187" s="97">
        <v>45823</v>
      </c>
      <c r="W187" s="16">
        <v>160595</v>
      </c>
      <c r="X187" s="101" t="s">
        <v>36</v>
      </c>
      <c r="Y187" s="105"/>
      <c r="Z187" s="102">
        <v>0.4069444444444445</v>
      </c>
      <c r="AA187" s="102"/>
      <c r="AB187" s="16"/>
      <c r="AC187" s="16"/>
      <c r="AD187" s="93">
        <v>12004</v>
      </c>
      <c r="AE187" s="93">
        <f t="shared" si="24"/>
        <v>12.004</v>
      </c>
      <c r="AF187">
        <v>13.84</v>
      </c>
      <c r="AG187" s="72">
        <f t="shared" si="25"/>
        <v>13.84</v>
      </c>
      <c r="AH187" s="37">
        <f t="shared" si="26"/>
        <v>11.866811428571427</v>
      </c>
      <c r="AJ187" s="38">
        <v>45828</v>
      </c>
      <c r="AL187" s="16" t="s">
        <v>5</v>
      </c>
      <c r="AN187" s="39">
        <v>0.41736111111111113</v>
      </c>
      <c r="AO187" s="39">
        <v>0.57638888888888895</v>
      </c>
      <c r="AP187" s="48">
        <v>2280</v>
      </c>
      <c r="AQ187" t="s">
        <v>1437</v>
      </c>
      <c r="AR187" s="38">
        <v>45828</v>
      </c>
      <c r="AS187" s="49"/>
    </row>
    <row r="188" spans="22:45" ht="16" x14ac:dyDescent="0.4">
      <c r="V188" s="97">
        <v>45823</v>
      </c>
      <c r="W188" s="16">
        <v>160598</v>
      </c>
      <c r="X188" s="101" t="s">
        <v>36</v>
      </c>
      <c r="Y188" s="105"/>
      <c r="Z188" s="102">
        <v>0.27708333333333335</v>
      </c>
      <c r="AA188" s="102">
        <v>0.45208333333333334</v>
      </c>
      <c r="AB188" s="16">
        <v>104</v>
      </c>
      <c r="AC188" s="16" t="s">
        <v>667</v>
      </c>
      <c r="AD188" s="93">
        <v>14196</v>
      </c>
      <c r="AE188" s="93">
        <f t="shared" si="24"/>
        <v>14.196</v>
      </c>
      <c r="AF188">
        <v>8.84</v>
      </c>
      <c r="AG188" s="72">
        <f t="shared" si="25"/>
        <v>8.84</v>
      </c>
      <c r="AH188" s="37">
        <f t="shared" si="26"/>
        <v>8.9637599999999988</v>
      </c>
      <c r="AJ188" s="38">
        <v>45828</v>
      </c>
      <c r="AL188" s="16" t="s">
        <v>5</v>
      </c>
      <c r="AN188" s="39">
        <v>0.39027777777777778</v>
      </c>
      <c r="AO188" s="39">
        <v>0.41736111111111113</v>
      </c>
      <c r="AP188" s="48">
        <v>2486</v>
      </c>
      <c r="AQ188" t="s">
        <v>1437</v>
      </c>
      <c r="AR188" s="38">
        <v>45828</v>
      </c>
      <c r="AS188" s="49"/>
    </row>
    <row r="189" spans="22:45" ht="16" x14ac:dyDescent="0.4">
      <c r="V189" s="97">
        <v>45824</v>
      </c>
      <c r="W189" s="16">
        <v>161020</v>
      </c>
      <c r="X189" s="101" t="s">
        <v>36</v>
      </c>
      <c r="Y189" s="105"/>
      <c r="Z189" s="102">
        <v>0.18184027777777778</v>
      </c>
      <c r="AA189" s="102">
        <v>0.88292824074074072</v>
      </c>
      <c r="AB189" s="16"/>
      <c r="AC189" s="16"/>
      <c r="AD189" s="93">
        <v>21068</v>
      </c>
      <c r="AE189" s="93">
        <f t="shared" si="24"/>
        <v>21.068000000000001</v>
      </c>
      <c r="AF189">
        <v>15.95</v>
      </c>
      <c r="AG189" s="72">
        <f t="shared" si="25"/>
        <v>14</v>
      </c>
      <c r="AH189" s="37">
        <f t="shared" si="26"/>
        <v>21.068000000000001</v>
      </c>
      <c r="AJ189" s="38">
        <v>45828</v>
      </c>
      <c r="AL189" s="16" t="s">
        <v>5</v>
      </c>
      <c r="AN189" s="39">
        <v>0.45208333333333334</v>
      </c>
      <c r="AO189" s="39">
        <v>0.60763888888888895</v>
      </c>
      <c r="AP189" s="48">
        <v>3560</v>
      </c>
      <c r="AQ189" t="s">
        <v>1438</v>
      </c>
      <c r="AR189" s="38">
        <v>45828</v>
      </c>
      <c r="AS189" s="49"/>
    </row>
    <row r="190" spans="22:45" ht="16" x14ac:dyDescent="0.4">
      <c r="V190" s="97">
        <v>45824</v>
      </c>
      <c r="W190" s="16">
        <v>161054</v>
      </c>
      <c r="X190" s="101" t="s">
        <v>36</v>
      </c>
      <c r="Y190" s="105"/>
      <c r="Z190" s="102">
        <v>7.1527777777777787E-3</v>
      </c>
      <c r="AA190" s="102">
        <v>0.98340277777777774</v>
      </c>
      <c r="AB190" s="16"/>
      <c r="AC190" s="16"/>
      <c r="AD190" s="93">
        <v>21912</v>
      </c>
      <c r="AE190" s="93">
        <f t="shared" si="24"/>
        <v>21.911999999999999</v>
      </c>
      <c r="AF190">
        <v>15.87</v>
      </c>
      <c r="AG190" s="72">
        <f t="shared" si="25"/>
        <v>14</v>
      </c>
      <c r="AH190" s="37">
        <f t="shared" si="26"/>
        <v>21.911999999999999</v>
      </c>
      <c r="AJ190" s="38">
        <v>45828</v>
      </c>
      <c r="AL190" s="16" t="s">
        <v>5</v>
      </c>
      <c r="AN190" s="39">
        <v>0.61041666666666672</v>
      </c>
      <c r="AO190" s="39">
        <v>0.62986111111111109</v>
      </c>
      <c r="AP190" s="48">
        <v>3508</v>
      </c>
      <c r="AQ190" t="s">
        <v>1394</v>
      </c>
      <c r="AR190" s="38">
        <v>45828</v>
      </c>
      <c r="AS190" s="49"/>
    </row>
    <row r="191" spans="22:45" ht="16" x14ac:dyDescent="0.4">
      <c r="V191" s="97">
        <v>45825</v>
      </c>
      <c r="W191" s="16">
        <v>161073</v>
      </c>
      <c r="X191" s="101" t="s">
        <v>36</v>
      </c>
      <c r="Y191" s="105"/>
      <c r="Z191" s="102">
        <v>0.72916666666666663</v>
      </c>
      <c r="AA191" s="102">
        <v>6.653935185185185E-2</v>
      </c>
      <c r="AB191" s="16"/>
      <c r="AC191" s="16"/>
      <c r="AD191" s="93">
        <v>20422</v>
      </c>
      <c r="AE191" s="93">
        <f t="shared" si="24"/>
        <v>20.422000000000001</v>
      </c>
      <c r="AF191">
        <v>14.7</v>
      </c>
      <c r="AG191" s="72">
        <f t="shared" si="25"/>
        <v>14</v>
      </c>
      <c r="AH191" s="37">
        <f t="shared" si="26"/>
        <v>20.422000000000001</v>
      </c>
      <c r="AJ191" s="38">
        <v>45828</v>
      </c>
      <c r="AL191" s="16" t="s">
        <v>5</v>
      </c>
      <c r="AN191" s="39">
        <v>0.62430555555555556</v>
      </c>
      <c r="AO191" s="39">
        <v>0.65347222222222223</v>
      </c>
      <c r="AP191" s="48">
        <v>1456</v>
      </c>
      <c r="AQ191" t="s">
        <v>1439</v>
      </c>
      <c r="AR191" s="38">
        <v>45828</v>
      </c>
      <c r="AS191" s="49"/>
    </row>
    <row r="192" spans="22:45" ht="16" x14ac:dyDescent="0.4">
      <c r="V192" s="97">
        <v>45825</v>
      </c>
      <c r="W192" s="16">
        <v>161082</v>
      </c>
      <c r="X192" s="101" t="s">
        <v>36</v>
      </c>
      <c r="Y192" s="105"/>
      <c r="Z192" s="102">
        <v>0.77054398148148151</v>
      </c>
      <c r="AA192" s="102">
        <v>0.14092592592592593</v>
      </c>
      <c r="AB192" s="16"/>
      <c r="AC192" s="16"/>
      <c r="AD192" s="93">
        <v>20524</v>
      </c>
      <c r="AE192" s="93">
        <f t="shared" si="24"/>
        <v>20.524000000000001</v>
      </c>
      <c r="AF192">
        <v>15.27</v>
      </c>
      <c r="AG192" s="72">
        <f t="shared" si="25"/>
        <v>14</v>
      </c>
      <c r="AH192" s="37">
        <f t="shared" si="26"/>
        <v>20.524000000000001</v>
      </c>
      <c r="AJ192" s="38">
        <v>45829</v>
      </c>
      <c r="AL192" s="16" t="s">
        <v>5</v>
      </c>
      <c r="AN192" s="39">
        <v>0.62569444444444444</v>
      </c>
      <c r="AO192" s="39">
        <v>0.36944444444444446</v>
      </c>
      <c r="AP192" s="48">
        <v>3128</v>
      </c>
      <c r="AQ192" t="s">
        <v>1398</v>
      </c>
      <c r="AR192" s="38">
        <v>45829</v>
      </c>
      <c r="AS192" s="49"/>
    </row>
    <row r="193" spans="22:45" ht="16" x14ac:dyDescent="0.4">
      <c r="V193" s="97">
        <v>45825</v>
      </c>
      <c r="W193" s="16">
        <v>161087</v>
      </c>
      <c r="X193" s="101" t="s">
        <v>36</v>
      </c>
      <c r="Y193" s="105"/>
      <c r="Z193" s="102">
        <v>0.7290740740740741</v>
      </c>
      <c r="AA193" s="102">
        <v>0.21331018518518519</v>
      </c>
      <c r="AB193" s="16"/>
      <c r="AC193" s="16"/>
      <c r="AD193" s="93">
        <v>19368</v>
      </c>
      <c r="AE193" s="93">
        <f t="shared" si="24"/>
        <v>19.367999999999999</v>
      </c>
      <c r="AF193">
        <v>15.16</v>
      </c>
      <c r="AG193" s="72">
        <f t="shared" si="25"/>
        <v>14</v>
      </c>
      <c r="AH193" s="37">
        <f t="shared" si="26"/>
        <v>19.367999999999999</v>
      </c>
      <c r="AJ193" s="38">
        <v>45828</v>
      </c>
      <c r="AL193" s="16" t="s">
        <v>5</v>
      </c>
      <c r="AN193" s="39">
        <v>0.4770833333333333</v>
      </c>
      <c r="AO193" s="39">
        <v>0.49444444444444446</v>
      </c>
      <c r="AP193" s="48">
        <v>3443</v>
      </c>
      <c r="AQ193" t="s">
        <v>1432</v>
      </c>
      <c r="AR193" s="38">
        <v>45829</v>
      </c>
      <c r="AS193" s="49"/>
    </row>
    <row r="194" spans="22:45" ht="16" x14ac:dyDescent="0.4">
      <c r="V194" s="97">
        <v>45825</v>
      </c>
      <c r="W194" s="16">
        <v>161095</v>
      </c>
      <c r="X194" s="101" t="s">
        <v>36</v>
      </c>
      <c r="Y194" s="105"/>
      <c r="Z194" s="102">
        <v>0.77013888888888893</v>
      </c>
      <c r="AA194" s="102">
        <v>0.28472222222222221</v>
      </c>
      <c r="AB194" s="16"/>
      <c r="AC194" s="16"/>
      <c r="AD194" s="93">
        <v>16594</v>
      </c>
      <c r="AE194" s="93">
        <f t="shared" si="24"/>
        <v>16.594000000000001</v>
      </c>
      <c r="AF194">
        <v>17.38</v>
      </c>
      <c r="AG194" s="72">
        <f t="shared" si="25"/>
        <v>14</v>
      </c>
      <c r="AH194" s="37">
        <f t="shared" si="26"/>
        <v>16.594000000000001</v>
      </c>
      <c r="AJ194" s="38">
        <v>45829</v>
      </c>
      <c r="AL194" s="16" t="s">
        <v>5</v>
      </c>
      <c r="AN194" s="39">
        <v>0.49652777777777773</v>
      </c>
      <c r="AO194" s="39">
        <v>0.37777777777777777</v>
      </c>
      <c r="AP194" s="48">
        <v>2188</v>
      </c>
      <c r="AQ194" t="s">
        <v>1440</v>
      </c>
      <c r="AR194" s="38">
        <v>45829</v>
      </c>
      <c r="AS194" s="49"/>
    </row>
    <row r="195" spans="22:45" ht="16" x14ac:dyDescent="0.4">
      <c r="V195" s="97">
        <v>45825</v>
      </c>
      <c r="W195" s="16">
        <v>161175</v>
      </c>
      <c r="X195" s="101" t="s">
        <v>36</v>
      </c>
      <c r="Y195" s="105"/>
      <c r="Z195" s="102">
        <v>0.25694444444444448</v>
      </c>
      <c r="AA195" s="102">
        <v>0.35833333333333334</v>
      </c>
      <c r="AB195" s="16"/>
      <c r="AC195" s="16"/>
      <c r="AD195" s="93">
        <v>19628</v>
      </c>
      <c r="AE195" s="93">
        <f t="shared" si="24"/>
        <v>19.628</v>
      </c>
      <c r="AF195">
        <v>16.559999999999999</v>
      </c>
      <c r="AG195" s="72">
        <f t="shared" si="25"/>
        <v>14</v>
      </c>
      <c r="AH195" s="37">
        <f t="shared" si="26"/>
        <v>19.628000000000004</v>
      </c>
      <c r="AJ195" s="38">
        <v>45829</v>
      </c>
      <c r="AL195" s="16" t="s">
        <v>5</v>
      </c>
      <c r="AN195" s="39">
        <v>0.38472222222222219</v>
      </c>
      <c r="AO195" s="39">
        <v>0.57152777777777775</v>
      </c>
      <c r="AP195" s="48">
        <v>2830</v>
      </c>
      <c r="AQ195" s="16" t="s">
        <v>1398</v>
      </c>
      <c r="AR195" s="38">
        <v>45829</v>
      </c>
      <c r="AS195" s="49"/>
    </row>
    <row r="196" spans="22:45" ht="16" x14ac:dyDescent="0.4">
      <c r="V196" s="97">
        <v>45825</v>
      </c>
      <c r="W196" s="16">
        <v>161242</v>
      </c>
      <c r="X196" s="101" t="s">
        <v>36</v>
      </c>
      <c r="Y196" s="105"/>
      <c r="Z196" s="102">
        <v>0.35555555555555557</v>
      </c>
      <c r="AA196" s="102">
        <v>0.4458333333333333</v>
      </c>
      <c r="AB196" s="16"/>
      <c r="AC196" s="16"/>
      <c r="AD196" s="93">
        <v>20644</v>
      </c>
      <c r="AE196" s="93">
        <f t="shared" si="24"/>
        <v>20.643999999999998</v>
      </c>
      <c r="AF196">
        <v>16.68</v>
      </c>
      <c r="AG196" s="72">
        <f t="shared" si="25"/>
        <v>14</v>
      </c>
      <c r="AH196" s="37">
        <f t="shared" si="26"/>
        <v>20.643999999999998</v>
      </c>
      <c r="AJ196" s="38">
        <v>45829</v>
      </c>
      <c r="AL196" s="16" t="s">
        <v>5</v>
      </c>
      <c r="AM196" s="17"/>
      <c r="AN196" s="81">
        <v>0.65416666666666667</v>
      </c>
      <c r="AO196" s="39">
        <v>0.43333333333333335</v>
      </c>
      <c r="AP196" s="48">
        <v>2724</v>
      </c>
      <c r="AQ196" t="s">
        <v>1441</v>
      </c>
      <c r="AR196" s="38">
        <v>45829</v>
      </c>
      <c r="AS196" s="49"/>
    </row>
    <row r="197" spans="22:45" ht="16" x14ac:dyDescent="0.4">
      <c r="V197" s="97">
        <v>45825</v>
      </c>
      <c r="W197" s="16">
        <v>161270</v>
      </c>
      <c r="X197" s="101" t="s">
        <v>36</v>
      </c>
      <c r="Y197" s="105"/>
      <c r="Z197" s="102">
        <v>0.69930555555555562</v>
      </c>
      <c r="AA197" s="102">
        <v>0.52708333333333335</v>
      </c>
      <c r="AB197" s="16"/>
      <c r="AC197" s="16"/>
      <c r="AD197" s="93">
        <v>20164</v>
      </c>
      <c r="AE197" s="93">
        <f t="shared" ref="AE197:AE260" si="27">AD197/1000</f>
        <v>20.164000000000001</v>
      </c>
      <c r="AF197">
        <v>16.04</v>
      </c>
      <c r="AG197" s="72">
        <f t="shared" si="25"/>
        <v>14</v>
      </c>
      <c r="AH197" s="37">
        <f t="shared" si="26"/>
        <v>20.164000000000005</v>
      </c>
      <c r="AJ197" s="38">
        <v>45829</v>
      </c>
      <c r="AL197" s="16" t="s">
        <v>5</v>
      </c>
      <c r="AN197" s="81">
        <v>0.42152777777777778</v>
      </c>
      <c r="AO197" s="39">
        <v>0.4458333333333333</v>
      </c>
      <c r="AP197" s="48">
        <v>3148</v>
      </c>
      <c r="AR197" s="38">
        <v>45829</v>
      </c>
      <c r="AS197" s="16"/>
    </row>
    <row r="198" spans="22:45" ht="16" x14ac:dyDescent="0.4">
      <c r="V198" s="97">
        <v>45825</v>
      </c>
      <c r="W198" s="16">
        <v>161325</v>
      </c>
      <c r="X198" s="101" t="s">
        <v>36</v>
      </c>
      <c r="Y198" s="105"/>
      <c r="Z198" s="102">
        <v>0.35486111111111113</v>
      </c>
      <c r="AA198" s="102">
        <v>0.59861111111111109</v>
      </c>
      <c r="AB198" s="16"/>
      <c r="AC198" s="16"/>
      <c r="AD198" s="93">
        <v>18518</v>
      </c>
      <c r="AE198" s="93">
        <f t="shared" si="27"/>
        <v>18.518000000000001</v>
      </c>
      <c r="AF198">
        <v>16.63</v>
      </c>
      <c r="AG198" s="72">
        <f t="shared" ref="AG198:AG261" si="28">IF($AF198&gt;14,14,$AF198)</f>
        <v>14</v>
      </c>
      <c r="AH198" s="37">
        <f t="shared" ref="AH198:AH261" si="29">AE198*AG198/14</f>
        <v>18.518000000000001</v>
      </c>
      <c r="AJ198" s="38">
        <v>45829</v>
      </c>
      <c r="AL198" s="16" t="s">
        <v>5</v>
      </c>
      <c r="AN198" s="81">
        <v>0.4465277777777778</v>
      </c>
      <c r="AO198" s="39">
        <v>0.4993055555555555</v>
      </c>
      <c r="AP198" s="48">
        <v>1204</v>
      </c>
      <c r="AR198" s="38">
        <v>45829</v>
      </c>
      <c r="AS198" s="16"/>
    </row>
    <row r="199" spans="22:45" ht="16" x14ac:dyDescent="0.4">
      <c r="V199" s="97">
        <v>45825</v>
      </c>
      <c r="W199" s="16">
        <v>161395</v>
      </c>
      <c r="X199" s="101" t="s">
        <v>36</v>
      </c>
      <c r="Y199" s="105"/>
      <c r="Z199" s="102">
        <v>0.69930555555555562</v>
      </c>
      <c r="AA199" s="102">
        <v>0.68958333333333333</v>
      </c>
      <c r="AB199" s="16"/>
      <c r="AC199" s="16"/>
      <c r="AD199" s="93">
        <v>20024</v>
      </c>
      <c r="AE199" s="93">
        <f t="shared" si="27"/>
        <v>20.024000000000001</v>
      </c>
      <c r="AF199">
        <v>15.22</v>
      </c>
      <c r="AG199" s="72">
        <f t="shared" si="28"/>
        <v>14</v>
      </c>
      <c r="AH199" s="37">
        <f t="shared" si="29"/>
        <v>20.024000000000001</v>
      </c>
      <c r="AJ199" s="38">
        <v>45829</v>
      </c>
      <c r="AL199" s="16" t="s">
        <v>5</v>
      </c>
      <c r="AN199" s="81">
        <v>0.54722222222222217</v>
      </c>
      <c r="AO199" s="39">
        <v>0.57777777777777783</v>
      </c>
      <c r="AP199" s="48">
        <v>4948</v>
      </c>
      <c r="AQ199" t="s">
        <v>1429</v>
      </c>
      <c r="AR199" s="38">
        <v>45829</v>
      </c>
      <c r="AS199" s="16"/>
    </row>
    <row r="200" spans="22:45" ht="16" x14ac:dyDescent="0.4">
      <c r="V200" s="97">
        <v>45825</v>
      </c>
      <c r="W200" s="16">
        <v>161414</v>
      </c>
      <c r="X200" s="101" t="s">
        <v>36</v>
      </c>
      <c r="Y200" s="105"/>
      <c r="Z200" s="102">
        <v>0.35539351851851847</v>
      </c>
      <c r="AA200" s="102">
        <v>0.7446180555555556</v>
      </c>
      <c r="AB200" s="16"/>
      <c r="AC200" s="16"/>
      <c r="AD200" s="93">
        <v>17876</v>
      </c>
      <c r="AE200" s="93">
        <f t="shared" si="27"/>
        <v>17.876000000000001</v>
      </c>
      <c r="AF200">
        <v>14.81</v>
      </c>
      <c r="AG200" s="72">
        <f t="shared" si="28"/>
        <v>14</v>
      </c>
      <c r="AH200" s="37">
        <f t="shared" si="29"/>
        <v>17.876000000000001</v>
      </c>
      <c r="AJ200" s="38">
        <v>45829</v>
      </c>
      <c r="AL200" s="16" t="s">
        <v>5</v>
      </c>
      <c r="AN200" s="81">
        <v>0.55277777777777781</v>
      </c>
      <c r="AO200" s="39">
        <v>0.57291666666666663</v>
      </c>
      <c r="AP200" s="48">
        <v>6290</v>
      </c>
      <c r="AR200" s="38">
        <v>45829</v>
      </c>
      <c r="AS200" s="16"/>
    </row>
    <row r="201" spans="22:45" ht="16" x14ac:dyDescent="0.4">
      <c r="V201" s="97">
        <v>45825</v>
      </c>
      <c r="W201" s="16">
        <v>161429</v>
      </c>
      <c r="X201" s="101" t="s">
        <v>36</v>
      </c>
      <c r="Y201" s="105"/>
      <c r="Z201" s="102">
        <v>0.73643518518518514</v>
      </c>
      <c r="AA201" s="102">
        <v>0.79946759259259259</v>
      </c>
      <c r="AB201" s="16"/>
      <c r="AC201" s="16"/>
      <c r="AD201" s="93">
        <v>19960</v>
      </c>
      <c r="AE201" s="93">
        <f t="shared" si="27"/>
        <v>19.96</v>
      </c>
      <c r="AF201">
        <v>15.2</v>
      </c>
      <c r="AG201" s="72">
        <f t="shared" si="28"/>
        <v>14</v>
      </c>
      <c r="AH201" s="37">
        <f t="shared" si="29"/>
        <v>19.96</v>
      </c>
      <c r="AJ201" s="38">
        <v>45831</v>
      </c>
      <c r="AK201">
        <v>163299</v>
      </c>
      <c r="AL201" s="16" t="s">
        <v>5</v>
      </c>
      <c r="AN201" s="81">
        <v>0.73737268518518517</v>
      </c>
      <c r="AO201" s="39">
        <v>0.74267361111111108</v>
      </c>
      <c r="AP201" s="48">
        <v>4396</v>
      </c>
      <c r="AQ201" t="s">
        <v>1442</v>
      </c>
      <c r="AR201" s="38">
        <v>45831</v>
      </c>
      <c r="AS201" s="16"/>
    </row>
    <row r="202" spans="22:45" ht="16" x14ac:dyDescent="0.4">
      <c r="V202" s="97">
        <v>45825</v>
      </c>
      <c r="W202" s="16">
        <v>161459</v>
      </c>
      <c r="X202" s="101" t="s">
        <v>36</v>
      </c>
      <c r="Y202" s="105"/>
      <c r="Z202" s="102">
        <v>0.76695601851851858</v>
      </c>
      <c r="AA202" s="102">
        <v>0.86768518518518523</v>
      </c>
      <c r="AB202" s="16"/>
      <c r="AC202" s="16"/>
      <c r="AD202" s="93">
        <v>19994</v>
      </c>
      <c r="AE202" s="93">
        <f t="shared" si="27"/>
        <v>19.994</v>
      </c>
      <c r="AF202">
        <v>15.02</v>
      </c>
      <c r="AG202" s="72">
        <f t="shared" si="28"/>
        <v>14</v>
      </c>
      <c r="AH202" s="37">
        <f t="shared" si="29"/>
        <v>19.994</v>
      </c>
      <c r="AJ202" s="38">
        <v>45831</v>
      </c>
      <c r="AK202">
        <v>163301</v>
      </c>
      <c r="AL202" s="16" t="s">
        <v>5</v>
      </c>
      <c r="AN202" s="81">
        <v>0.33680555555555558</v>
      </c>
      <c r="AO202" s="39">
        <v>0.36527777777777781</v>
      </c>
      <c r="AP202" s="48">
        <v>4574</v>
      </c>
      <c r="AQ202" t="s">
        <v>1442</v>
      </c>
      <c r="AR202" s="38">
        <v>45831</v>
      </c>
      <c r="AS202" s="16"/>
    </row>
    <row r="203" spans="22:45" ht="16" x14ac:dyDescent="0.4">
      <c r="V203" s="97">
        <v>45825</v>
      </c>
      <c r="W203" s="16">
        <v>161479</v>
      </c>
      <c r="X203" s="101" t="s">
        <v>36</v>
      </c>
      <c r="Y203" s="105"/>
      <c r="Z203" s="102">
        <v>0.84912037037037036</v>
      </c>
      <c r="AA203" s="102">
        <v>0.94098379629629625</v>
      </c>
      <c r="AB203" s="16"/>
      <c r="AC203" s="16"/>
      <c r="AD203" s="93">
        <v>20976</v>
      </c>
      <c r="AE203" s="93">
        <f t="shared" si="27"/>
        <v>20.975999999999999</v>
      </c>
      <c r="AF203">
        <v>13.56</v>
      </c>
      <c r="AG203" s="72">
        <f t="shared" si="28"/>
        <v>13.56</v>
      </c>
      <c r="AH203" s="37">
        <f t="shared" si="29"/>
        <v>20.316754285714286</v>
      </c>
      <c r="AJ203" s="38">
        <v>45831</v>
      </c>
      <c r="AL203" s="16" t="s">
        <v>5</v>
      </c>
      <c r="AN203" s="81">
        <v>0.45612268518518517</v>
      </c>
      <c r="AO203" s="39">
        <v>0.4767824074074074</v>
      </c>
      <c r="AP203" s="48">
        <v>1996</v>
      </c>
      <c r="AQ203" t="s">
        <v>1443</v>
      </c>
      <c r="AR203" s="38">
        <v>45831</v>
      </c>
      <c r="AS203" s="16"/>
    </row>
    <row r="204" spans="22:45" ht="16" x14ac:dyDescent="0.4">
      <c r="V204" s="97">
        <v>45826</v>
      </c>
      <c r="W204" s="16">
        <v>161495</v>
      </c>
      <c r="X204" s="101" t="s">
        <v>36</v>
      </c>
      <c r="Y204" s="105"/>
      <c r="Z204" s="102">
        <v>0.91251157407407402</v>
      </c>
      <c r="AA204" s="102">
        <v>9.3749999999999997E-3</v>
      </c>
      <c r="AB204" s="16"/>
      <c r="AC204" s="16"/>
      <c r="AD204" s="93">
        <v>21998</v>
      </c>
      <c r="AE204" s="93">
        <f t="shared" si="27"/>
        <v>21.998000000000001</v>
      </c>
      <c r="AF204">
        <v>14.49</v>
      </c>
      <c r="AG204" s="72">
        <f t="shared" si="28"/>
        <v>14</v>
      </c>
      <c r="AH204" s="37">
        <f t="shared" si="29"/>
        <v>21.998000000000001</v>
      </c>
      <c r="AJ204" s="38">
        <v>45831</v>
      </c>
      <c r="AL204" s="16" t="s">
        <v>5</v>
      </c>
      <c r="AN204" s="81">
        <v>6.761574074074074E-2</v>
      </c>
      <c r="AO204" s="39">
        <v>0.49809027777777781</v>
      </c>
      <c r="AP204" s="48">
        <v>1962</v>
      </c>
      <c r="AQ204" t="s">
        <v>1409</v>
      </c>
      <c r="AR204" s="38">
        <v>45831</v>
      </c>
      <c r="AS204" s="16"/>
    </row>
    <row r="205" spans="22:45" ht="16" x14ac:dyDescent="0.4">
      <c r="V205" s="97">
        <v>45826</v>
      </c>
      <c r="W205" s="16">
        <v>161503</v>
      </c>
      <c r="X205" s="101" t="s">
        <v>36</v>
      </c>
      <c r="Y205" s="105"/>
      <c r="Z205" s="102">
        <v>0.99516203703703709</v>
      </c>
      <c r="AA205" s="102">
        <v>7.8842592592592589E-2</v>
      </c>
      <c r="AB205" s="16"/>
      <c r="AC205" s="16"/>
      <c r="AD205" s="93">
        <v>19320</v>
      </c>
      <c r="AE205" s="93">
        <f t="shared" si="27"/>
        <v>19.32</v>
      </c>
      <c r="AF205">
        <v>15.31</v>
      </c>
      <c r="AG205" s="72">
        <f t="shared" si="28"/>
        <v>14</v>
      </c>
      <c r="AH205" s="37">
        <f t="shared" si="29"/>
        <v>19.32</v>
      </c>
      <c r="AJ205" s="38">
        <v>45831</v>
      </c>
      <c r="AL205" s="16" t="s">
        <v>5</v>
      </c>
      <c r="AN205" s="81">
        <v>0.44067129629629626</v>
      </c>
      <c r="AO205" s="39">
        <v>0.56736111111111109</v>
      </c>
      <c r="AP205" s="48">
        <v>3630</v>
      </c>
      <c r="AQ205" t="s">
        <v>1444</v>
      </c>
      <c r="AR205" s="38">
        <v>45831</v>
      </c>
      <c r="AS205" s="16"/>
    </row>
    <row r="206" spans="22:45" ht="16" x14ac:dyDescent="0.4">
      <c r="V206" s="97">
        <v>45826</v>
      </c>
      <c r="W206" s="16">
        <v>161514</v>
      </c>
      <c r="X206" s="101" t="s">
        <v>36</v>
      </c>
      <c r="Y206" s="105"/>
      <c r="Z206" s="102">
        <v>0.91263888888888889</v>
      </c>
      <c r="AA206" s="102">
        <v>0.13060185185185186</v>
      </c>
      <c r="AB206" s="16"/>
      <c r="AC206" s="16"/>
      <c r="AD206" s="93">
        <v>20598</v>
      </c>
      <c r="AE206" s="93">
        <f t="shared" si="27"/>
        <v>20.597999999999999</v>
      </c>
      <c r="AF206">
        <v>13.16</v>
      </c>
      <c r="AG206" s="72">
        <f t="shared" si="28"/>
        <v>13.16</v>
      </c>
      <c r="AH206" s="37">
        <f t="shared" si="29"/>
        <v>19.362120000000001</v>
      </c>
      <c r="AJ206" s="38">
        <v>45831</v>
      </c>
      <c r="AL206" s="16" t="s">
        <v>5</v>
      </c>
      <c r="AN206" s="81">
        <v>0.59861111111111109</v>
      </c>
      <c r="AO206" s="39">
        <v>0.62797453703703698</v>
      </c>
      <c r="AP206" s="48">
        <v>2544</v>
      </c>
      <c r="AQ206" t="s">
        <v>1445</v>
      </c>
      <c r="AR206" s="38">
        <v>45831</v>
      </c>
      <c r="AS206" s="16"/>
    </row>
    <row r="207" spans="22:45" ht="16" x14ac:dyDescent="0.4">
      <c r="V207" s="97">
        <v>45826</v>
      </c>
      <c r="W207" s="16">
        <v>161518</v>
      </c>
      <c r="X207" s="101" t="s">
        <v>36</v>
      </c>
      <c r="Y207" s="105"/>
      <c r="Z207" s="102">
        <v>0.99473379629629621</v>
      </c>
      <c r="AA207" s="102">
        <v>0.18265046296296295</v>
      </c>
      <c r="AB207" s="16"/>
      <c r="AC207" s="16"/>
      <c r="AD207" s="93">
        <v>20432</v>
      </c>
      <c r="AE207" s="93">
        <f t="shared" si="27"/>
        <v>20.431999999999999</v>
      </c>
      <c r="AF207">
        <v>14.16</v>
      </c>
      <c r="AG207" s="72">
        <f t="shared" si="28"/>
        <v>14</v>
      </c>
      <c r="AH207" s="37">
        <f t="shared" si="29"/>
        <v>20.431999999999999</v>
      </c>
      <c r="AJ207" s="38">
        <v>45831</v>
      </c>
      <c r="AL207" s="16" t="s">
        <v>5</v>
      </c>
      <c r="AN207" s="81">
        <v>0.40979166666666672</v>
      </c>
      <c r="AO207" s="39">
        <v>0.4213425925925926</v>
      </c>
      <c r="AP207" s="48">
        <v>2462</v>
      </c>
      <c r="AQ207" t="s">
        <v>1443</v>
      </c>
      <c r="AR207" s="38">
        <v>45831</v>
      </c>
      <c r="AS207" s="16"/>
    </row>
    <row r="208" spans="22:45" ht="16" x14ac:dyDescent="0.4">
      <c r="V208" s="97">
        <v>45826</v>
      </c>
      <c r="W208" s="16">
        <v>161519</v>
      </c>
      <c r="X208" s="101" t="s">
        <v>36</v>
      </c>
      <c r="Y208" s="105"/>
      <c r="Z208" s="102">
        <v>0.91280092592592599</v>
      </c>
      <c r="AA208" s="102">
        <v>0.23181712962962964</v>
      </c>
      <c r="AB208" s="16"/>
      <c r="AC208" s="16"/>
      <c r="AD208" s="93">
        <v>19450</v>
      </c>
      <c r="AE208" s="93">
        <f t="shared" si="27"/>
        <v>19.45</v>
      </c>
      <c r="AF208">
        <v>15.13</v>
      </c>
      <c r="AG208" s="72">
        <f t="shared" si="28"/>
        <v>14</v>
      </c>
      <c r="AH208" s="37">
        <f t="shared" si="29"/>
        <v>19.45</v>
      </c>
      <c r="AJ208" s="38">
        <v>45831</v>
      </c>
      <c r="AL208" s="16" t="s">
        <v>5</v>
      </c>
      <c r="AN208" s="81">
        <v>0.58472222222222225</v>
      </c>
      <c r="AO208" s="39">
        <v>0.65372685185185186</v>
      </c>
      <c r="AP208" s="48">
        <v>162</v>
      </c>
      <c r="AQ208" t="s">
        <v>1436</v>
      </c>
      <c r="AR208" s="38">
        <v>45831</v>
      </c>
      <c r="AS208" s="16"/>
    </row>
    <row r="209" spans="18:45" ht="16" x14ac:dyDescent="0.4">
      <c r="V209" s="97">
        <v>45826</v>
      </c>
      <c r="W209" s="16">
        <v>161542</v>
      </c>
      <c r="X209" s="101" t="s">
        <v>36</v>
      </c>
      <c r="Y209" s="105"/>
      <c r="Z209" s="102">
        <v>0.23472222222222219</v>
      </c>
      <c r="AA209" s="102">
        <v>0.31666666666666665</v>
      </c>
      <c r="AB209" s="16"/>
      <c r="AC209" s="16"/>
      <c r="AD209" s="93">
        <v>18472</v>
      </c>
      <c r="AE209" s="93">
        <f t="shared" si="27"/>
        <v>18.472000000000001</v>
      </c>
      <c r="AF209">
        <v>14.95</v>
      </c>
      <c r="AG209" s="72">
        <f t="shared" si="28"/>
        <v>14</v>
      </c>
      <c r="AH209" s="37">
        <f t="shared" si="29"/>
        <v>18.472000000000001</v>
      </c>
      <c r="AJ209" s="38">
        <v>45831</v>
      </c>
      <c r="AL209" s="16" t="s">
        <v>5</v>
      </c>
      <c r="AN209" s="81">
        <v>0.73832175925925936</v>
      </c>
      <c r="AO209" s="81">
        <v>0.62946759259259266</v>
      </c>
      <c r="AP209" s="48">
        <v>2046</v>
      </c>
      <c r="AQ209" t="s">
        <v>1409</v>
      </c>
      <c r="AR209" s="38">
        <v>45831</v>
      </c>
      <c r="AS209" s="16"/>
    </row>
    <row r="210" spans="18:45" ht="16" x14ac:dyDescent="0.4">
      <c r="V210" s="97">
        <v>45826</v>
      </c>
      <c r="W210" s="16">
        <v>161622</v>
      </c>
      <c r="X210" s="101" t="s">
        <v>36</v>
      </c>
      <c r="Y210" s="105"/>
      <c r="Z210" s="102">
        <v>0.27638888888888885</v>
      </c>
      <c r="AA210" s="102">
        <v>0.39583333333333331</v>
      </c>
      <c r="AB210" s="16"/>
      <c r="AC210" s="16"/>
      <c r="AD210" s="93">
        <v>19664</v>
      </c>
      <c r="AE210" s="93">
        <f t="shared" si="27"/>
        <v>19.664000000000001</v>
      </c>
      <c r="AF210">
        <v>14.62</v>
      </c>
      <c r="AG210" s="72">
        <f t="shared" si="28"/>
        <v>14</v>
      </c>
      <c r="AH210" s="37">
        <f t="shared" si="29"/>
        <v>19.664000000000005</v>
      </c>
      <c r="AJ210" s="38">
        <v>45832</v>
      </c>
      <c r="AL210" s="16" t="s">
        <v>5</v>
      </c>
      <c r="AN210" s="81">
        <v>0.59444444444444444</v>
      </c>
      <c r="AO210" s="81">
        <v>0.46111111111111108</v>
      </c>
      <c r="AP210" s="48">
        <v>4572</v>
      </c>
      <c r="AQ210" t="s">
        <v>1418</v>
      </c>
      <c r="AR210" s="38">
        <v>45832</v>
      </c>
      <c r="AS210" s="16"/>
    </row>
    <row r="211" spans="18:45" ht="16" x14ac:dyDescent="0.4">
      <c r="V211" s="97">
        <v>45826</v>
      </c>
      <c r="W211" s="16">
        <v>161697</v>
      </c>
      <c r="X211" s="101" t="s">
        <v>36</v>
      </c>
      <c r="Y211" s="105"/>
      <c r="Z211" s="102">
        <v>0.23472222222222219</v>
      </c>
      <c r="AA211" s="102">
        <v>0.4777777777777778</v>
      </c>
      <c r="AB211" s="16"/>
      <c r="AC211" s="16"/>
      <c r="AD211" s="93">
        <v>21186</v>
      </c>
      <c r="AE211" s="93">
        <f t="shared" si="27"/>
        <v>21.186</v>
      </c>
      <c r="AF211">
        <v>15.91</v>
      </c>
      <c r="AG211" s="72">
        <f t="shared" si="28"/>
        <v>14</v>
      </c>
      <c r="AH211" s="37">
        <f t="shared" si="29"/>
        <v>21.186</v>
      </c>
      <c r="AJ211" s="38">
        <v>45826</v>
      </c>
      <c r="AL211" s="16" t="s">
        <v>5</v>
      </c>
      <c r="AN211" s="81">
        <v>0.53055555555555556</v>
      </c>
      <c r="AO211" s="81">
        <v>0.55208333333333337</v>
      </c>
      <c r="AP211" s="48">
        <v>680</v>
      </c>
      <c r="AQ211" t="s">
        <v>671</v>
      </c>
      <c r="AR211" s="38">
        <v>45833</v>
      </c>
      <c r="AS211" s="16"/>
    </row>
    <row r="212" spans="18:45" ht="16" x14ac:dyDescent="0.4">
      <c r="V212" s="97">
        <v>45826</v>
      </c>
      <c r="W212" s="16">
        <v>161724</v>
      </c>
      <c r="X212" s="101" t="s">
        <v>36</v>
      </c>
      <c r="Y212" s="105"/>
      <c r="Z212" s="102">
        <v>0.45833333333333331</v>
      </c>
      <c r="AA212" s="102">
        <v>0.54513888888888895</v>
      </c>
      <c r="AB212" s="16"/>
      <c r="AC212" s="16"/>
      <c r="AD212" s="93">
        <v>18748</v>
      </c>
      <c r="AE212" s="93">
        <f t="shared" si="27"/>
        <v>18.748000000000001</v>
      </c>
      <c r="AF212">
        <v>14.34</v>
      </c>
      <c r="AG212" s="72">
        <f t="shared" si="28"/>
        <v>14</v>
      </c>
      <c r="AH212" s="37">
        <f t="shared" si="29"/>
        <v>18.748000000000001</v>
      </c>
      <c r="AJ212" s="38">
        <v>45833</v>
      </c>
      <c r="AL212" s="16" t="s">
        <v>5</v>
      </c>
      <c r="AN212" s="81">
        <v>0.29583333333333334</v>
      </c>
      <c r="AO212" s="81">
        <v>0.43958333333333338</v>
      </c>
      <c r="AP212" s="48">
        <v>2754</v>
      </c>
      <c r="AQ212" t="s">
        <v>1446</v>
      </c>
      <c r="AR212" s="38">
        <v>45833</v>
      </c>
      <c r="AS212" s="16"/>
    </row>
    <row r="213" spans="18:45" ht="16" x14ac:dyDescent="0.4">
      <c r="V213" s="97">
        <v>45826</v>
      </c>
      <c r="W213" s="16">
        <v>161788</v>
      </c>
      <c r="X213" s="101" t="s">
        <v>36</v>
      </c>
      <c r="Y213" s="105"/>
      <c r="Z213" s="102">
        <v>0.99444444444444446</v>
      </c>
      <c r="AA213" s="102">
        <v>0.6166666666666667</v>
      </c>
      <c r="AB213" s="16"/>
      <c r="AC213" s="16"/>
      <c r="AD213" s="93">
        <v>21174</v>
      </c>
      <c r="AE213" s="93">
        <f t="shared" si="27"/>
        <v>21.173999999999999</v>
      </c>
      <c r="AF213">
        <v>15.16</v>
      </c>
      <c r="AG213" s="72">
        <f t="shared" si="28"/>
        <v>14</v>
      </c>
      <c r="AH213" s="37">
        <f t="shared" si="29"/>
        <v>21.173999999999999</v>
      </c>
      <c r="AJ213" s="38">
        <v>45833</v>
      </c>
      <c r="AL213" s="16" t="s">
        <v>5</v>
      </c>
      <c r="AN213" s="81">
        <v>0.57847222222222217</v>
      </c>
      <c r="AO213" s="81">
        <v>0.64374999999999993</v>
      </c>
      <c r="AP213" s="48">
        <v>1460</v>
      </c>
      <c r="AQ213" t="s">
        <v>1419</v>
      </c>
      <c r="AR213" s="38">
        <v>45833</v>
      </c>
      <c r="AS213" s="16"/>
    </row>
    <row r="214" spans="18:45" ht="16" x14ac:dyDescent="0.4">
      <c r="V214" s="97">
        <v>45826</v>
      </c>
      <c r="W214" s="16">
        <v>161828</v>
      </c>
      <c r="X214" s="101" t="s">
        <v>36</v>
      </c>
      <c r="Y214" s="105"/>
      <c r="Z214" s="102">
        <v>0.45833333333333331</v>
      </c>
      <c r="AA214" s="102">
        <v>0.69791666666666663</v>
      </c>
      <c r="AB214" s="16"/>
      <c r="AC214" s="16"/>
      <c r="AD214" s="93">
        <v>18454</v>
      </c>
      <c r="AE214" s="93">
        <f t="shared" si="27"/>
        <v>18.454000000000001</v>
      </c>
      <c r="AF214">
        <v>14.38</v>
      </c>
      <c r="AG214" s="72">
        <f t="shared" si="28"/>
        <v>14</v>
      </c>
      <c r="AH214" s="37">
        <f t="shared" si="29"/>
        <v>18.454000000000001</v>
      </c>
      <c r="AJ214" s="38">
        <v>45833</v>
      </c>
      <c r="AL214" s="16" t="s">
        <v>5</v>
      </c>
      <c r="AN214" s="81">
        <v>0.59305555555555556</v>
      </c>
      <c r="AO214" s="81"/>
      <c r="AP214" s="48">
        <v>632</v>
      </c>
      <c r="AQ214" t="s">
        <v>1428</v>
      </c>
      <c r="AR214" s="38">
        <v>45833</v>
      </c>
      <c r="AS214" s="16"/>
    </row>
    <row r="215" spans="18:45" ht="16" x14ac:dyDescent="0.4">
      <c r="V215" s="97">
        <v>45826</v>
      </c>
      <c r="W215" s="16">
        <v>161849</v>
      </c>
      <c r="X215" s="101" t="s">
        <v>36</v>
      </c>
      <c r="Y215" s="105"/>
      <c r="Z215" s="102">
        <v>0.66057870370370375</v>
      </c>
      <c r="AA215" s="102">
        <v>0.7642592592592593</v>
      </c>
      <c r="AB215" s="16"/>
      <c r="AC215" s="16"/>
      <c r="AD215" s="93">
        <v>20242</v>
      </c>
      <c r="AE215" s="93">
        <f t="shared" si="27"/>
        <v>20.242000000000001</v>
      </c>
      <c r="AF215">
        <v>14.99</v>
      </c>
      <c r="AG215" s="72">
        <f t="shared" si="28"/>
        <v>14</v>
      </c>
      <c r="AH215" s="37">
        <f t="shared" si="29"/>
        <v>20.242000000000001</v>
      </c>
      <c r="AJ215" s="38">
        <v>45833</v>
      </c>
      <c r="AL215" s="16" t="s">
        <v>5</v>
      </c>
      <c r="AN215" s="81">
        <v>0.4597222222222222</v>
      </c>
      <c r="AO215" s="81">
        <v>0.48680555555555555</v>
      </c>
      <c r="AP215" s="48">
        <v>3264</v>
      </c>
      <c r="AQ215" t="s">
        <v>1419</v>
      </c>
      <c r="AR215" s="38">
        <v>45833</v>
      </c>
      <c r="AS215" s="16"/>
    </row>
    <row r="216" spans="18:45" ht="16" x14ac:dyDescent="0.4">
      <c r="V216" s="97">
        <v>45826</v>
      </c>
      <c r="W216" s="16">
        <v>161867</v>
      </c>
      <c r="X216" s="101" t="s">
        <v>36</v>
      </c>
      <c r="Y216" s="105"/>
      <c r="Z216" s="102">
        <v>0.73660879629629628</v>
      </c>
      <c r="AA216" s="102">
        <v>0.82199074074074074</v>
      </c>
      <c r="AB216" s="16"/>
      <c r="AC216" s="16"/>
      <c r="AD216" s="93">
        <v>19032</v>
      </c>
      <c r="AE216" s="93">
        <f t="shared" si="27"/>
        <v>19.032</v>
      </c>
      <c r="AF216">
        <v>16.309999999999999</v>
      </c>
      <c r="AG216" s="72">
        <f t="shared" si="28"/>
        <v>14</v>
      </c>
      <c r="AH216" s="37">
        <f t="shared" si="29"/>
        <v>19.032</v>
      </c>
      <c r="AJ216" s="38">
        <v>45833</v>
      </c>
      <c r="AL216" s="16" t="s">
        <v>5</v>
      </c>
      <c r="AN216" s="81">
        <v>0.58611111111111114</v>
      </c>
      <c r="AO216" s="81">
        <v>0.62013888888888891</v>
      </c>
      <c r="AP216" s="48">
        <v>1514</v>
      </c>
      <c r="AQ216" t="s">
        <v>1447</v>
      </c>
      <c r="AR216" s="38">
        <v>45834</v>
      </c>
      <c r="AS216" s="16"/>
    </row>
    <row r="217" spans="18:45" ht="16" x14ac:dyDescent="0.4">
      <c r="V217" s="97">
        <v>45826</v>
      </c>
      <c r="W217" s="16">
        <v>161902</v>
      </c>
      <c r="X217" s="101" t="s">
        <v>36</v>
      </c>
      <c r="Y217" s="105"/>
      <c r="Z217" s="102">
        <v>0.66047453703703707</v>
      </c>
      <c r="AA217" s="102">
        <v>0.88894675925925926</v>
      </c>
      <c r="AB217" s="16"/>
      <c r="AC217" s="16"/>
      <c r="AD217" s="93">
        <v>20146</v>
      </c>
      <c r="AE217" s="93">
        <f t="shared" si="27"/>
        <v>20.146000000000001</v>
      </c>
      <c r="AF217">
        <v>14.41</v>
      </c>
      <c r="AG217" s="72">
        <f t="shared" si="28"/>
        <v>14</v>
      </c>
      <c r="AH217" s="37">
        <f t="shared" si="29"/>
        <v>20.145999999999997</v>
      </c>
      <c r="AJ217" s="38">
        <v>45834</v>
      </c>
      <c r="AL217" s="16" t="s">
        <v>5</v>
      </c>
      <c r="AN217" s="81">
        <v>0.62847222222222221</v>
      </c>
      <c r="AO217" s="81">
        <v>0.46666666666666662</v>
      </c>
      <c r="AP217" s="48">
        <v>3530</v>
      </c>
      <c r="AQ217" t="s">
        <v>1448</v>
      </c>
      <c r="AR217" s="38">
        <v>45834</v>
      </c>
      <c r="AS217" s="16"/>
    </row>
    <row r="218" spans="18:45" ht="16" x14ac:dyDescent="0.4">
      <c r="V218" s="97">
        <v>45826</v>
      </c>
      <c r="W218" s="16">
        <v>161932</v>
      </c>
      <c r="X218" s="101" t="s">
        <v>36</v>
      </c>
      <c r="Y218" s="105"/>
      <c r="Z218" s="102">
        <v>0.87435185185185194</v>
      </c>
      <c r="AA218" s="102">
        <v>0.97640046296296301</v>
      </c>
      <c r="AB218" s="16"/>
      <c r="AC218" s="16"/>
      <c r="AD218" s="93">
        <v>21260</v>
      </c>
      <c r="AE218" s="93">
        <f t="shared" si="27"/>
        <v>21.26</v>
      </c>
      <c r="AF218">
        <v>14.7</v>
      </c>
      <c r="AG218" s="72">
        <f t="shared" si="28"/>
        <v>14</v>
      </c>
      <c r="AH218" s="37">
        <f t="shared" si="29"/>
        <v>21.26</v>
      </c>
      <c r="AJ218" s="38">
        <v>45833</v>
      </c>
      <c r="AL218" s="16" t="s">
        <v>5</v>
      </c>
      <c r="AN218" s="81">
        <v>0.58958333333333335</v>
      </c>
      <c r="AO218" s="81">
        <v>0.62847222222222221</v>
      </c>
      <c r="AP218" s="48">
        <v>1366</v>
      </c>
      <c r="AQ218" t="s">
        <v>1428</v>
      </c>
      <c r="AR218" s="38">
        <v>45834</v>
      </c>
      <c r="AS218" s="16"/>
    </row>
    <row r="219" spans="18:45" ht="16" x14ac:dyDescent="0.4">
      <c r="R219" s="33"/>
      <c r="V219" s="97">
        <v>45827</v>
      </c>
      <c r="W219" s="16">
        <v>161943</v>
      </c>
      <c r="X219" s="101" t="s">
        <v>36</v>
      </c>
      <c r="Y219" s="105"/>
      <c r="Z219" s="102">
        <v>0.66021990740740744</v>
      </c>
      <c r="AA219" s="102">
        <v>3.2349537037037038E-2</v>
      </c>
      <c r="AB219" s="16"/>
      <c r="AC219" s="16"/>
      <c r="AD219" s="93">
        <v>19766</v>
      </c>
      <c r="AE219" s="93">
        <f t="shared" si="27"/>
        <v>19.765999999999998</v>
      </c>
      <c r="AF219">
        <v>15.16</v>
      </c>
      <c r="AG219" s="72">
        <f t="shared" si="28"/>
        <v>14</v>
      </c>
      <c r="AH219" s="37">
        <f t="shared" si="29"/>
        <v>19.765999999999998</v>
      </c>
      <c r="AJ219" s="38">
        <v>45834</v>
      </c>
      <c r="AL219" s="16" t="s">
        <v>5</v>
      </c>
      <c r="AN219" s="81">
        <v>0.47847222222222219</v>
      </c>
      <c r="AO219" s="81">
        <v>0.56527777777777777</v>
      </c>
      <c r="AP219" s="48">
        <v>5906</v>
      </c>
      <c r="AQ219" t="s">
        <v>1449</v>
      </c>
      <c r="AR219" s="38">
        <v>45834</v>
      </c>
    </row>
    <row r="220" spans="18:45" ht="16" x14ac:dyDescent="0.4">
      <c r="R220" s="33"/>
      <c r="V220" s="97">
        <v>45827</v>
      </c>
      <c r="W220" s="16">
        <v>161956</v>
      </c>
      <c r="X220" s="101" t="s">
        <v>36</v>
      </c>
      <c r="Y220" s="105"/>
      <c r="Z220" s="102">
        <v>0.8744791666666667</v>
      </c>
      <c r="AA220" s="102">
        <v>9.5057870370370376E-2</v>
      </c>
      <c r="AB220" s="16"/>
      <c r="AC220" s="16"/>
      <c r="AD220" s="93">
        <v>18644</v>
      </c>
      <c r="AE220" s="93">
        <f t="shared" si="27"/>
        <v>18.643999999999998</v>
      </c>
      <c r="AF220">
        <v>15.02</v>
      </c>
      <c r="AG220" s="72">
        <f t="shared" si="28"/>
        <v>14</v>
      </c>
      <c r="AH220" s="37">
        <f t="shared" si="29"/>
        <v>18.643999999999998</v>
      </c>
      <c r="AJ220" s="38">
        <v>45834</v>
      </c>
      <c r="AL220" s="16" t="s">
        <v>5</v>
      </c>
      <c r="AN220" s="81">
        <v>0.62430555555555556</v>
      </c>
      <c r="AO220" s="81">
        <v>0.64930555555555558</v>
      </c>
      <c r="AP220" s="48">
        <v>2978</v>
      </c>
      <c r="AQ220" t="s">
        <v>1409</v>
      </c>
      <c r="AR220" s="38">
        <v>45834</v>
      </c>
    </row>
    <row r="221" spans="18:45" ht="16" x14ac:dyDescent="0.4">
      <c r="V221" s="97">
        <v>45827</v>
      </c>
      <c r="W221" s="16">
        <v>161964</v>
      </c>
      <c r="X221" s="101" t="s">
        <v>36</v>
      </c>
      <c r="Y221" s="105"/>
      <c r="Z221" s="102">
        <v>7.3784722222222224E-2</v>
      </c>
      <c r="AA221" s="102">
        <v>0.12784722222222222</v>
      </c>
      <c r="AB221" s="16"/>
      <c r="AC221" s="16"/>
      <c r="AD221" s="93">
        <v>13014</v>
      </c>
      <c r="AE221" s="93">
        <f t="shared" si="27"/>
        <v>13.013999999999999</v>
      </c>
      <c r="AF221">
        <v>13.59</v>
      </c>
      <c r="AG221" s="72">
        <f t="shared" si="28"/>
        <v>13.59</v>
      </c>
      <c r="AH221" s="37">
        <f t="shared" si="29"/>
        <v>12.632875714285714</v>
      </c>
      <c r="AJ221" s="38">
        <v>45834</v>
      </c>
      <c r="AL221" s="16" t="s">
        <v>5</v>
      </c>
      <c r="AN221" s="81">
        <v>0.47222222222222227</v>
      </c>
      <c r="AO221" s="81">
        <v>0.63541666666666663</v>
      </c>
      <c r="AP221" s="48">
        <v>2746</v>
      </c>
      <c r="AQ221" t="s">
        <v>1397</v>
      </c>
      <c r="AR221" s="38">
        <v>45834</v>
      </c>
    </row>
    <row r="222" spans="18:45" ht="16" x14ac:dyDescent="0.4">
      <c r="V222" s="97">
        <v>45827</v>
      </c>
      <c r="W222" s="16">
        <v>161984</v>
      </c>
      <c r="X222" s="101" t="s">
        <v>36</v>
      </c>
      <c r="Y222" s="105"/>
      <c r="Z222" s="102">
        <v>0.87430555555555556</v>
      </c>
      <c r="AA222" s="102">
        <v>0.27638888888888885</v>
      </c>
      <c r="AB222" s="16">
        <v>104</v>
      </c>
      <c r="AC222" s="16" t="s">
        <v>612</v>
      </c>
      <c r="AD222" s="93">
        <v>12110</v>
      </c>
      <c r="AE222" s="93">
        <f t="shared" si="27"/>
        <v>12.11</v>
      </c>
      <c r="AF222">
        <v>7.65</v>
      </c>
      <c r="AG222" s="72">
        <f t="shared" si="28"/>
        <v>7.65</v>
      </c>
      <c r="AH222" s="37">
        <f t="shared" si="29"/>
        <v>6.6172499999999994</v>
      </c>
      <c r="AJ222" s="38">
        <v>45834</v>
      </c>
      <c r="AL222" s="16" t="s">
        <v>5</v>
      </c>
      <c r="AN222" s="81">
        <v>0.44861111111111113</v>
      </c>
      <c r="AO222" s="81">
        <v>0.47222222222222227</v>
      </c>
      <c r="AP222" s="48">
        <v>3540</v>
      </c>
      <c r="AQ222" t="s">
        <v>1450</v>
      </c>
      <c r="AR222" s="38">
        <v>45834</v>
      </c>
    </row>
    <row r="223" spans="18:45" ht="16" x14ac:dyDescent="0.4">
      <c r="V223" s="97">
        <v>45827</v>
      </c>
      <c r="W223" s="16">
        <v>162121</v>
      </c>
      <c r="X223" s="101" t="s">
        <v>36</v>
      </c>
      <c r="Y223" s="105"/>
      <c r="Z223" s="102">
        <v>7.3611111111111113E-2</v>
      </c>
      <c r="AA223" s="102">
        <v>0.43055555555555558</v>
      </c>
      <c r="AB223" s="16"/>
      <c r="AC223" s="16"/>
      <c r="AD223" s="93">
        <v>22040</v>
      </c>
      <c r="AE223" s="93">
        <f t="shared" si="27"/>
        <v>22.04</v>
      </c>
      <c r="AF223">
        <v>15.79</v>
      </c>
      <c r="AG223" s="72">
        <f t="shared" si="28"/>
        <v>14</v>
      </c>
      <c r="AH223" s="37">
        <f t="shared" si="29"/>
        <v>22.04</v>
      </c>
      <c r="AJ223" s="38">
        <v>45834</v>
      </c>
      <c r="AL223" s="16" t="s">
        <v>5</v>
      </c>
      <c r="AN223" s="81">
        <v>0.57708333333333328</v>
      </c>
      <c r="AO223" s="81">
        <v>0.60069444444444442</v>
      </c>
      <c r="AP223" s="48">
        <v>2652</v>
      </c>
      <c r="AQ223" t="s">
        <v>1446</v>
      </c>
      <c r="AR223" s="38">
        <v>45835</v>
      </c>
    </row>
    <row r="224" spans="18:45" ht="16" x14ac:dyDescent="0.4">
      <c r="V224" s="97">
        <v>45827</v>
      </c>
      <c r="W224" s="16">
        <v>162168</v>
      </c>
      <c r="X224" s="101" t="s">
        <v>36</v>
      </c>
      <c r="Y224" s="105"/>
      <c r="Z224" s="102">
        <v>0.38819444444444445</v>
      </c>
      <c r="AA224" s="102">
        <v>0.51388888888888895</v>
      </c>
      <c r="AB224" s="16"/>
      <c r="AC224" s="16"/>
      <c r="AD224" s="93">
        <v>22794</v>
      </c>
      <c r="AE224" s="93">
        <f t="shared" si="27"/>
        <v>22.794</v>
      </c>
      <c r="AF224">
        <v>15.73</v>
      </c>
      <c r="AG224" s="72">
        <f t="shared" si="28"/>
        <v>14</v>
      </c>
      <c r="AH224" s="37">
        <f t="shared" si="29"/>
        <v>22.794</v>
      </c>
      <c r="AJ224" s="38">
        <v>45835</v>
      </c>
      <c r="AL224" s="16" t="s">
        <v>5</v>
      </c>
      <c r="AN224" s="81">
        <v>0.60069444444444442</v>
      </c>
      <c r="AO224" s="81">
        <v>0.36388888888888887</v>
      </c>
      <c r="AP224" s="48">
        <v>2512</v>
      </c>
      <c r="AQ224" t="s">
        <v>1397</v>
      </c>
      <c r="AR224" s="38">
        <v>45835</v>
      </c>
    </row>
    <row r="225" spans="22:45" ht="16" x14ac:dyDescent="0.4">
      <c r="V225" s="97">
        <v>45827</v>
      </c>
      <c r="W225" s="16">
        <v>162218</v>
      </c>
      <c r="X225" s="101" t="s">
        <v>36</v>
      </c>
      <c r="Y225" s="105"/>
      <c r="Z225" s="102">
        <v>7.2916666666666671E-2</v>
      </c>
      <c r="AA225" s="102">
        <v>0.58819444444444446</v>
      </c>
      <c r="AB225" s="16"/>
      <c r="AC225" s="16"/>
      <c r="AD225" s="93">
        <v>22962</v>
      </c>
      <c r="AE225" s="93">
        <f t="shared" si="27"/>
        <v>22.962</v>
      </c>
      <c r="AF225">
        <v>15.38</v>
      </c>
      <c r="AG225" s="72">
        <f t="shared" si="28"/>
        <v>14</v>
      </c>
      <c r="AH225" s="37">
        <f t="shared" si="29"/>
        <v>22.962</v>
      </c>
      <c r="AJ225" s="38">
        <v>45835</v>
      </c>
      <c r="AL225" s="16" t="s">
        <v>5</v>
      </c>
      <c r="AN225" s="39">
        <v>0.55763888888888891</v>
      </c>
      <c r="AO225" s="39">
        <v>0.59305555555555556</v>
      </c>
      <c r="AP225" s="48">
        <v>1488</v>
      </c>
      <c r="AQ225" t="s">
        <v>1448</v>
      </c>
      <c r="AR225" s="38">
        <v>45835</v>
      </c>
    </row>
    <row r="226" spans="22:45" ht="16" x14ac:dyDescent="0.4">
      <c r="V226" s="97">
        <v>45827</v>
      </c>
      <c r="W226" s="16">
        <v>162269</v>
      </c>
      <c r="X226" s="101" t="s">
        <v>36</v>
      </c>
      <c r="Y226" s="105"/>
      <c r="Z226" s="102">
        <v>0.64374999999999993</v>
      </c>
      <c r="AA226" s="102"/>
      <c r="AB226" s="16"/>
      <c r="AC226" s="16"/>
      <c r="AD226" s="93">
        <v>21308</v>
      </c>
      <c r="AE226" s="93">
        <f t="shared" si="27"/>
        <v>21.308</v>
      </c>
      <c r="AF226">
        <v>14.59</v>
      </c>
      <c r="AG226" s="72">
        <f t="shared" si="28"/>
        <v>14</v>
      </c>
      <c r="AH226" s="37">
        <f t="shared" si="29"/>
        <v>21.308</v>
      </c>
      <c r="AJ226" s="38">
        <v>45835</v>
      </c>
      <c r="AL226" s="16" t="s">
        <v>5</v>
      </c>
      <c r="AN226" s="39">
        <v>0.59375</v>
      </c>
      <c r="AO226" s="39">
        <v>0.44027777777777777</v>
      </c>
      <c r="AP226" s="48">
        <v>2496</v>
      </c>
      <c r="AQ226" t="s">
        <v>1431</v>
      </c>
      <c r="AR226" s="38">
        <v>45835</v>
      </c>
    </row>
    <row r="227" spans="22:45" ht="16" x14ac:dyDescent="0.4">
      <c r="V227" s="97">
        <v>45827</v>
      </c>
      <c r="W227" s="16">
        <v>162310</v>
      </c>
      <c r="X227" s="101" t="s">
        <v>36</v>
      </c>
      <c r="Y227" s="105"/>
      <c r="Z227" s="102">
        <v>0.84513888888888899</v>
      </c>
      <c r="AA227" s="102">
        <v>0.70694444444444438</v>
      </c>
      <c r="AB227" s="16"/>
      <c r="AC227" s="16"/>
      <c r="AD227" s="93">
        <v>19196</v>
      </c>
      <c r="AE227" s="93">
        <f t="shared" si="27"/>
        <v>19.196000000000002</v>
      </c>
      <c r="AF227">
        <v>14.24</v>
      </c>
      <c r="AG227" s="72">
        <f t="shared" si="28"/>
        <v>14</v>
      </c>
      <c r="AH227" s="37">
        <f t="shared" si="29"/>
        <v>19.196000000000002</v>
      </c>
      <c r="AJ227" s="38">
        <v>45835</v>
      </c>
      <c r="AL227" s="16" t="s">
        <v>5</v>
      </c>
      <c r="AN227" s="39">
        <v>0.64930555555555558</v>
      </c>
      <c r="AO227" s="39">
        <v>0.58124999999999993</v>
      </c>
      <c r="AP227" s="48">
        <v>3658</v>
      </c>
      <c r="AR227" s="38">
        <v>45835</v>
      </c>
    </row>
    <row r="228" spans="22:45" ht="16" x14ac:dyDescent="0.4">
      <c r="V228" s="97">
        <v>45827</v>
      </c>
      <c r="W228" s="16">
        <v>162326</v>
      </c>
      <c r="X228" s="101" t="s">
        <v>36</v>
      </c>
      <c r="Y228" s="105"/>
      <c r="Z228" s="102">
        <v>0.38827546296296295</v>
      </c>
      <c r="AA228" s="102">
        <v>0.77354166666666668</v>
      </c>
      <c r="AB228" s="16"/>
      <c r="AC228" s="16"/>
      <c r="AD228" s="93">
        <v>21400</v>
      </c>
      <c r="AE228" s="93">
        <f t="shared" si="27"/>
        <v>21.4</v>
      </c>
      <c r="AF228">
        <v>13.62</v>
      </c>
      <c r="AG228" s="72">
        <f t="shared" si="28"/>
        <v>13.62</v>
      </c>
      <c r="AH228" s="37">
        <f t="shared" si="29"/>
        <v>20.819142857142854</v>
      </c>
      <c r="AJ228" s="38">
        <v>45835</v>
      </c>
      <c r="AL228" s="16" t="s">
        <v>5</v>
      </c>
      <c r="AM228" s="16"/>
      <c r="AN228" s="81">
        <v>0.45902777777777781</v>
      </c>
      <c r="AO228" s="81">
        <v>0.60347222222222219</v>
      </c>
      <c r="AP228" s="48">
        <v>2838</v>
      </c>
      <c r="AQ228" t="s">
        <v>1451</v>
      </c>
      <c r="AR228" s="38">
        <v>45835</v>
      </c>
    </row>
    <row r="229" spans="22:45" ht="16" x14ac:dyDescent="0.4">
      <c r="V229" s="97">
        <v>45827</v>
      </c>
      <c r="W229" s="16">
        <v>162358</v>
      </c>
      <c r="X229" s="101" t="s">
        <v>36</v>
      </c>
      <c r="Y229" s="105"/>
      <c r="Z229" s="102">
        <v>0.64842592592592596</v>
      </c>
      <c r="AA229" s="102">
        <v>0.84034722222222225</v>
      </c>
      <c r="AB229" s="16"/>
      <c r="AC229" s="16"/>
      <c r="AD229" s="93">
        <v>20704</v>
      </c>
      <c r="AE229" s="93">
        <f t="shared" si="27"/>
        <v>20.704000000000001</v>
      </c>
      <c r="AF229">
        <v>13.77</v>
      </c>
      <c r="AG229" s="72">
        <f t="shared" si="28"/>
        <v>13.77</v>
      </c>
      <c r="AH229" s="37">
        <f t="shared" si="29"/>
        <v>20.363862857142859</v>
      </c>
      <c r="AJ229" s="38">
        <v>45835</v>
      </c>
      <c r="AL229" s="16" t="s">
        <v>5</v>
      </c>
      <c r="AM229" s="16"/>
      <c r="AN229" s="81">
        <v>0.42291666666666666</v>
      </c>
      <c r="AO229">
        <v>0.45833333333333331</v>
      </c>
      <c r="AP229" s="48">
        <v>646</v>
      </c>
      <c r="AQ229" t="s">
        <v>1397</v>
      </c>
      <c r="AR229" s="38">
        <v>45835</v>
      </c>
    </row>
    <row r="230" spans="22:45" ht="16" x14ac:dyDescent="0.4">
      <c r="V230" s="97">
        <v>45827</v>
      </c>
      <c r="W230" s="16">
        <v>162383</v>
      </c>
      <c r="X230" s="101" t="s">
        <v>36</v>
      </c>
      <c r="Y230" s="105"/>
      <c r="Z230" s="102">
        <v>0.38814814814814813</v>
      </c>
      <c r="AA230" s="102">
        <v>0.90136574074074083</v>
      </c>
      <c r="AB230" s="16"/>
      <c r="AC230" s="16"/>
      <c r="AD230" s="93">
        <v>19658</v>
      </c>
      <c r="AE230" s="93">
        <f t="shared" si="27"/>
        <v>19.658000000000001</v>
      </c>
      <c r="AF230">
        <v>15.59</v>
      </c>
      <c r="AG230" s="72">
        <f t="shared" si="28"/>
        <v>14</v>
      </c>
      <c r="AH230" s="37">
        <f t="shared" si="29"/>
        <v>19.657999999999998</v>
      </c>
      <c r="AJ230" s="38">
        <v>45831</v>
      </c>
      <c r="AL230" s="16" t="s">
        <v>5</v>
      </c>
      <c r="AM230" s="16"/>
      <c r="AN230" s="81">
        <v>0.48472222222222222</v>
      </c>
      <c r="AO230" s="81">
        <v>0.49861111111111112</v>
      </c>
      <c r="AP230" s="48">
        <v>1178</v>
      </c>
      <c r="AQ230" t="s">
        <v>1452</v>
      </c>
      <c r="AR230" s="38">
        <v>45835</v>
      </c>
      <c r="AS230" s="49"/>
    </row>
    <row r="231" spans="22:45" ht="16" x14ac:dyDescent="0.4">
      <c r="V231" s="97">
        <v>45828</v>
      </c>
      <c r="W231" s="16">
        <v>162411</v>
      </c>
      <c r="X231" s="101" t="s">
        <v>36</v>
      </c>
      <c r="Y231" s="105"/>
      <c r="Z231" s="102">
        <v>0.64864583333333337</v>
      </c>
      <c r="AA231" s="102">
        <v>0.98706018518518512</v>
      </c>
      <c r="AB231" s="16"/>
      <c r="AC231" s="16"/>
      <c r="AD231" s="93">
        <v>20210</v>
      </c>
      <c r="AE231" s="93">
        <f t="shared" si="27"/>
        <v>20.21</v>
      </c>
      <c r="AF231">
        <v>14.81</v>
      </c>
      <c r="AG231" s="72">
        <f t="shared" si="28"/>
        <v>14</v>
      </c>
      <c r="AH231" s="37">
        <f t="shared" si="29"/>
        <v>20.21</v>
      </c>
      <c r="AJ231" s="38">
        <v>45835</v>
      </c>
      <c r="AL231" s="16" t="s">
        <v>5</v>
      </c>
      <c r="AM231" s="16"/>
      <c r="AN231" s="81">
        <v>0.5854166666666667</v>
      </c>
      <c r="AO231" s="81">
        <v>0.61527777777777781</v>
      </c>
      <c r="AP231" s="48">
        <v>2892</v>
      </c>
      <c r="AQ231" t="s">
        <v>1431</v>
      </c>
      <c r="AR231" s="38">
        <v>45835</v>
      </c>
      <c r="AS231" s="49"/>
    </row>
    <row r="232" spans="22:45" ht="16" x14ac:dyDescent="0.4">
      <c r="V232" s="97">
        <v>45828</v>
      </c>
      <c r="W232" s="16">
        <v>162418</v>
      </c>
      <c r="X232" s="101" t="s">
        <v>36</v>
      </c>
      <c r="Y232" s="105"/>
      <c r="Z232" s="102">
        <v>0.94276620370370379</v>
      </c>
      <c r="AA232" s="102">
        <v>4.7974537037037045E-2</v>
      </c>
      <c r="AB232" s="16"/>
      <c r="AC232" s="16"/>
      <c r="AD232" s="93">
        <v>20430</v>
      </c>
      <c r="AE232" s="93">
        <f t="shared" si="27"/>
        <v>20.43</v>
      </c>
      <c r="AF232">
        <v>14.49</v>
      </c>
      <c r="AG232" s="72">
        <f t="shared" si="28"/>
        <v>14</v>
      </c>
      <c r="AH232" s="37">
        <f t="shared" si="29"/>
        <v>20.43</v>
      </c>
      <c r="AJ232" s="38">
        <v>45835</v>
      </c>
      <c r="AL232" s="16" t="s">
        <v>5</v>
      </c>
      <c r="AM232" s="16"/>
      <c r="AN232" s="81">
        <v>0.34652777777777777</v>
      </c>
      <c r="AO232" s="81">
        <v>0.62777777777777777</v>
      </c>
      <c r="AP232" s="48">
        <v>3978</v>
      </c>
      <c r="AQ232" t="s">
        <v>1452</v>
      </c>
      <c r="AR232" s="38">
        <v>45835</v>
      </c>
      <c r="AS232" s="49"/>
    </row>
    <row r="233" spans="22:45" ht="16" x14ac:dyDescent="0.4">
      <c r="V233" s="97">
        <v>45828</v>
      </c>
      <c r="W233" s="16">
        <v>162428</v>
      </c>
      <c r="X233" s="101" t="s">
        <v>36</v>
      </c>
      <c r="Y233" s="105"/>
      <c r="Z233" s="102">
        <v>0.6487384259259259</v>
      </c>
      <c r="AA233" s="102">
        <v>0.11234953703703704</v>
      </c>
      <c r="AB233" s="16"/>
      <c r="AC233" s="16"/>
      <c r="AD233" s="93">
        <v>19620</v>
      </c>
      <c r="AE233" s="93">
        <f t="shared" si="27"/>
        <v>19.62</v>
      </c>
      <c r="AF233">
        <v>15.22</v>
      </c>
      <c r="AG233" s="72">
        <f t="shared" si="28"/>
        <v>14</v>
      </c>
      <c r="AH233" s="37">
        <f t="shared" si="29"/>
        <v>19.62</v>
      </c>
      <c r="AJ233" s="38">
        <v>45836</v>
      </c>
      <c r="AL233" s="16" t="s">
        <v>5</v>
      </c>
      <c r="AN233" s="81">
        <v>0.62430555555555556</v>
      </c>
      <c r="AO233" s="81">
        <v>0.40972222222222227</v>
      </c>
      <c r="AP233" s="48">
        <v>2612</v>
      </c>
      <c r="AQ233" t="s">
        <v>1453</v>
      </c>
      <c r="AR233" s="38">
        <v>45836</v>
      </c>
      <c r="AS233" s="49"/>
    </row>
    <row r="234" spans="22:45" ht="16" x14ac:dyDescent="0.4">
      <c r="V234" s="97">
        <v>45828</v>
      </c>
      <c r="W234" s="16">
        <v>162435</v>
      </c>
      <c r="X234" s="101" t="s">
        <v>36</v>
      </c>
      <c r="Y234" s="105"/>
      <c r="Z234" s="102">
        <v>0.94307870370370372</v>
      </c>
      <c r="AA234" s="102">
        <v>0.16392361111111112</v>
      </c>
      <c r="AB234" s="16"/>
      <c r="AC234" s="16"/>
      <c r="AD234" s="93">
        <v>19120</v>
      </c>
      <c r="AE234" s="93">
        <f t="shared" si="27"/>
        <v>19.12</v>
      </c>
      <c r="AF234">
        <v>15.35</v>
      </c>
      <c r="AG234" s="72">
        <f t="shared" si="28"/>
        <v>14</v>
      </c>
      <c r="AH234" s="37">
        <f t="shared" si="29"/>
        <v>19.12</v>
      </c>
      <c r="AJ234" s="38">
        <v>45836</v>
      </c>
      <c r="AL234" s="16" t="s">
        <v>5</v>
      </c>
      <c r="AN234" s="81">
        <v>0.4458333333333333</v>
      </c>
      <c r="AO234" s="81"/>
      <c r="AP234" s="48">
        <v>3754</v>
      </c>
      <c r="AQ234" t="s">
        <v>1454</v>
      </c>
      <c r="AR234" s="38">
        <v>45836</v>
      </c>
      <c r="AS234" s="49"/>
    </row>
    <row r="235" spans="22:45" ht="16" x14ac:dyDescent="0.4">
      <c r="V235" s="97">
        <v>45828</v>
      </c>
      <c r="W235" s="16">
        <v>162447</v>
      </c>
      <c r="X235" s="101" t="s">
        <v>36</v>
      </c>
      <c r="Y235" s="105"/>
      <c r="Z235" s="102">
        <v>0.14975694444444446</v>
      </c>
      <c r="AA235" s="102">
        <v>0.2288078703703704</v>
      </c>
      <c r="AB235" s="16"/>
      <c r="AC235" s="16"/>
      <c r="AD235" s="93">
        <v>18918</v>
      </c>
      <c r="AE235" s="93">
        <f t="shared" si="27"/>
        <v>18.917999999999999</v>
      </c>
      <c r="AF235">
        <v>14.16</v>
      </c>
      <c r="AG235" s="72">
        <f t="shared" si="28"/>
        <v>14</v>
      </c>
      <c r="AH235" s="37">
        <f t="shared" si="29"/>
        <v>18.917999999999999</v>
      </c>
      <c r="AJ235" s="38">
        <v>45835</v>
      </c>
      <c r="AL235" s="16" t="s">
        <v>5</v>
      </c>
      <c r="AN235" s="81">
        <v>0.62986111111111109</v>
      </c>
      <c r="AO235" s="81">
        <v>0.64930555555555558</v>
      </c>
      <c r="AP235" s="48">
        <v>1822</v>
      </c>
      <c r="AQ235" t="s">
        <v>1431</v>
      </c>
      <c r="AR235" s="38">
        <v>45836</v>
      </c>
      <c r="AS235" s="49"/>
    </row>
    <row r="236" spans="22:45" ht="16" x14ac:dyDescent="0.4">
      <c r="V236" s="97">
        <v>45828</v>
      </c>
      <c r="W236" s="16">
        <v>162456</v>
      </c>
      <c r="X236" s="101" t="s">
        <v>36</v>
      </c>
      <c r="Y236" s="105"/>
      <c r="Z236" s="102">
        <v>0.94236111111111109</v>
      </c>
      <c r="AA236" s="102">
        <v>0.29791666666666666</v>
      </c>
      <c r="AB236" s="16"/>
      <c r="AC236" s="16"/>
      <c r="AD236" s="93">
        <v>18002</v>
      </c>
      <c r="AE236" s="93">
        <f t="shared" si="27"/>
        <v>18.001999999999999</v>
      </c>
      <c r="AF236">
        <v>16.63</v>
      </c>
      <c r="AG236" s="72">
        <f t="shared" si="28"/>
        <v>14</v>
      </c>
      <c r="AH236" s="37">
        <f t="shared" si="29"/>
        <v>18.001999999999999</v>
      </c>
      <c r="AJ236" s="38">
        <v>45836</v>
      </c>
      <c r="AL236" s="16" t="s">
        <v>5</v>
      </c>
      <c r="AN236" s="81">
        <v>0.65</v>
      </c>
      <c r="AO236">
        <v>0.56805555555555554</v>
      </c>
      <c r="AP236" s="48">
        <v>1406</v>
      </c>
      <c r="AQ236" t="s">
        <v>1431</v>
      </c>
      <c r="AR236" s="38">
        <v>45836</v>
      </c>
      <c r="AS236" s="49"/>
    </row>
    <row r="237" spans="22:45" ht="16" x14ac:dyDescent="0.4">
      <c r="V237" s="97">
        <v>45828</v>
      </c>
      <c r="W237" s="16">
        <v>162525</v>
      </c>
      <c r="X237" s="101" t="s">
        <v>36</v>
      </c>
      <c r="Y237" s="105"/>
      <c r="Z237" s="102">
        <v>0.15</v>
      </c>
      <c r="AA237" s="102">
        <v>0.35625000000000001</v>
      </c>
      <c r="AB237" s="16"/>
      <c r="AC237" s="16"/>
      <c r="AD237" s="93">
        <v>17632</v>
      </c>
      <c r="AE237" s="93">
        <f t="shared" si="27"/>
        <v>17.632000000000001</v>
      </c>
      <c r="AF237">
        <v>16.77</v>
      </c>
      <c r="AG237" s="72">
        <f t="shared" si="28"/>
        <v>14</v>
      </c>
      <c r="AH237" s="37">
        <f t="shared" si="29"/>
        <v>17.632000000000001</v>
      </c>
      <c r="AJ237" s="38">
        <v>45836</v>
      </c>
      <c r="AL237" s="16" t="s">
        <v>5</v>
      </c>
      <c r="AN237" s="81">
        <v>0.65833333333333333</v>
      </c>
      <c r="AO237" s="81">
        <v>0.59930555555555554</v>
      </c>
      <c r="AP237" s="48">
        <v>2766</v>
      </c>
      <c r="AQ237" t="s">
        <v>1452</v>
      </c>
      <c r="AR237" s="38">
        <v>45836</v>
      </c>
      <c r="AS237" s="49"/>
    </row>
    <row r="238" spans="22:45" ht="16" x14ac:dyDescent="0.4">
      <c r="V238" s="97">
        <v>45828</v>
      </c>
      <c r="W238" s="16">
        <v>162582</v>
      </c>
      <c r="X238" s="101" t="s">
        <v>36</v>
      </c>
      <c r="Y238" s="105"/>
      <c r="Z238" s="102">
        <v>0.93819444444444444</v>
      </c>
      <c r="AA238" s="102">
        <v>0.4152777777777778</v>
      </c>
      <c r="AB238" s="16"/>
      <c r="AC238" s="16"/>
      <c r="AD238" s="93">
        <v>17002</v>
      </c>
      <c r="AE238" s="93">
        <f t="shared" si="27"/>
        <v>17.001999999999999</v>
      </c>
      <c r="AF238">
        <v>15.45</v>
      </c>
      <c r="AG238" s="72">
        <f t="shared" si="28"/>
        <v>14</v>
      </c>
      <c r="AH238" s="37">
        <f t="shared" si="29"/>
        <v>17.001999999999999</v>
      </c>
      <c r="AJ238" s="38">
        <v>45836</v>
      </c>
      <c r="AL238" s="16" t="s">
        <v>5</v>
      </c>
      <c r="AN238" s="81">
        <v>0.42291666666666666</v>
      </c>
      <c r="AO238" s="81">
        <v>0.60902777777777783</v>
      </c>
      <c r="AP238" s="48">
        <v>2518</v>
      </c>
      <c r="AQ238" t="s">
        <v>1455</v>
      </c>
      <c r="AR238" s="38">
        <v>45836</v>
      </c>
      <c r="AS238" s="49"/>
    </row>
    <row r="239" spans="22:45" ht="16" x14ac:dyDescent="0.4">
      <c r="V239" s="97">
        <v>45828</v>
      </c>
      <c r="W239" s="16">
        <v>162667</v>
      </c>
      <c r="X239" s="101" t="s">
        <v>36</v>
      </c>
      <c r="Y239" s="105"/>
      <c r="Z239" s="102">
        <v>0.14930555555555555</v>
      </c>
      <c r="AA239" s="102">
        <v>0.52222222222222225</v>
      </c>
      <c r="AB239" s="16"/>
      <c r="AC239" s="16"/>
      <c r="AD239" s="93">
        <v>21570</v>
      </c>
      <c r="AE239" s="93">
        <f t="shared" si="27"/>
        <v>21.57</v>
      </c>
      <c r="AF239">
        <v>16.010000000000002</v>
      </c>
      <c r="AG239" s="72">
        <f t="shared" si="28"/>
        <v>14</v>
      </c>
      <c r="AH239" s="37">
        <f t="shared" si="29"/>
        <v>21.57</v>
      </c>
      <c r="AJ239" s="38">
        <v>45838</v>
      </c>
      <c r="AL239" s="16" t="s">
        <v>5</v>
      </c>
      <c r="AN239">
        <v>0.61597222222222225</v>
      </c>
      <c r="AO239">
        <v>0.43055555555555558</v>
      </c>
      <c r="AP239" s="48">
        <v>2628</v>
      </c>
      <c r="AQ239" t="s">
        <v>1456</v>
      </c>
      <c r="AR239" s="38">
        <v>45838</v>
      </c>
      <c r="AS239" s="49"/>
    </row>
    <row r="240" spans="22:45" ht="16" x14ac:dyDescent="0.4">
      <c r="V240" s="97">
        <v>45828</v>
      </c>
      <c r="W240" s="16">
        <v>162707</v>
      </c>
      <c r="X240" s="101" t="s">
        <v>36</v>
      </c>
      <c r="Y240" s="105"/>
      <c r="Z240" s="102">
        <v>0.50347222222222221</v>
      </c>
      <c r="AA240" s="102">
        <v>0.57986111111111105</v>
      </c>
      <c r="AB240" s="16"/>
      <c r="AC240" s="16"/>
      <c r="AD240" s="93">
        <v>19652</v>
      </c>
      <c r="AE240" s="93">
        <f t="shared" si="27"/>
        <v>19.652000000000001</v>
      </c>
      <c r="AF240">
        <v>15.75</v>
      </c>
      <c r="AG240" s="72">
        <f t="shared" si="28"/>
        <v>14</v>
      </c>
      <c r="AH240" s="37">
        <f t="shared" si="29"/>
        <v>19.652000000000005</v>
      </c>
      <c r="AJ240" s="38">
        <v>45838</v>
      </c>
      <c r="AL240" s="16" t="s">
        <v>5</v>
      </c>
      <c r="AN240" s="81">
        <v>0.54722222222222217</v>
      </c>
      <c r="AO240" s="81">
        <v>0.55902777777777779</v>
      </c>
      <c r="AP240" s="48">
        <v>3202</v>
      </c>
      <c r="AQ240" t="s">
        <v>1456</v>
      </c>
      <c r="AR240" s="38">
        <v>45838</v>
      </c>
      <c r="AS240" s="49"/>
    </row>
    <row r="241" spans="22:45" ht="16" x14ac:dyDescent="0.4">
      <c r="V241" s="97">
        <v>45828</v>
      </c>
      <c r="W241" s="16">
        <v>162776</v>
      </c>
      <c r="X241" s="101" t="s">
        <v>36</v>
      </c>
      <c r="Y241" s="105"/>
      <c r="Z241" s="102">
        <v>0.14583333333333334</v>
      </c>
      <c r="AA241" s="102">
        <v>0.65625</v>
      </c>
      <c r="AB241" s="16"/>
      <c r="AC241" s="16"/>
      <c r="AD241" s="93">
        <v>20870</v>
      </c>
      <c r="AE241" s="93">
        <f t="shared" si="27"/>
        <v>20.87</v>
      </c>
      <c r="AF241">
        <v>14.81</v>
      </c>
      <c r="AG241" s="72">
        <f t="shared" si="28"/>
        <v>14</v>
      </c>
      <c r="AH241" s="37">
        <f t="shared" si="29"/>
        <v>20.87</v>
      </c>
      <c r="AJ241" s="38"/>
      <c r="AL241" s="16"/>
      <c r="AN241" s="81"/>
      <c r="AO241" s="81"/>
      <c r="AP241" s="48"/>
      <c r="AR241" s="38"/>
      <c r="AS241" s="49"/>
    </row>
    <row r="242" spans="22:45" ht="16" x14ac:dyDescent="0.4">
      <c r="V242" s="97">
        <v>45828</v>
      </c>
      <c r="W242" s="16">
        <v>162805</v>
      </c>
      <c r="X242" s="101" t="s">
        <v>36</v>
      </c>
      <c r="Y242" s="105"/>
      <c r="Z242" s="102">
        <v>0.50347222222222221</v>
      </c>
      <c r="AA242" s="102">
        <v>0.72430555555555554</v>
      </c>
      <c r="AB242" s="16"/>
      <c r="AC242" s="16"/>
      <c r="AD242" s="93">
        <v>18682</v>
      </c>
      <c r="AE242" s="93">
        <f t="shared" si="27"/>
        <v>18.681999999999999</v>
      </c>
      <c r="AF242">
        <v>15.88</v>
      </c>
      <c r="AG242" s="72">
        <f t="shared" si="28"/>
        <v>14</v>
      </c>
      <c r="AH242" s="37">
        <f t="shared" si="29"/>
        <v>18.681999999999999</v>
      </c>
      <c r="AJ242" s="38"/>
      <c r="AL242" s="16"/>
      <c r="AN242" s="81"/>
      <c r="AO242" s="81"/>
      <c r="AP242" s="48"/>
      <c r="AR242" s="38"/>
      <c r="AS242" s="49"/>
    </row>
    <row r="243" spans="22:45" ht="16" x14ac:dyDescent="0.4">
      <c r="V243" s="97">
        <v>45828</v>
      </c>
      <c r="W243" s="16">
        <v>162824</v>
      </c>
      <c r="X243" s="101" t="s">
        <v>36</v>
      </c>
      <c r="Y243" s="105"/>
      <c r="Z243" s="102">
        <v>0.57832175925925922</v>
      </c>
      <c r="AA243" s="102">
        <v>0.79152777777777772</v>
      </c>
      <c r="AB243" s="16"/>
      <c r="AC243" s="16"/>
      <c r="AD243" s="93">
        <v>17264</v>
      </c>
      <c r="AE243" s="93">
        <f t="shared" si="27"/>
        <v>17.263999999999999</v>
      </c>
      <c r="AF243">
        <v>15.13</v>
      </c>
      <c r="AG243" s="72">
        <f t="shared" si="28"/>
        <v>14</v>
      </c>
      <c r="AH243" s="37">
        <f t="shared" si="29"/>
        <v>17.263999999999999</v>
      </c>
      <c r="AJ243" s="38"/>
      <c r="AL243" s="16"/>
      <c r="AN243" s="39"/>
      <c r="AO243" s="39"/>
      <c r="AP243" s="48"/>
      <c r="AR243" s="38"/>
      <c r="AS243" s="49"/>
    </row>
    <row r="244" spans="22:45" ht="16" x14ac:dyDescent="0.4">
      <c r="V244" s="97">
        <v>45828</v>
      </c>
      <c r="W244" s="16">
        <v>162863</v>
      </c>
      <c r="X244" s="101" t="s">
        <v>36</v>
      </c>
      <c r="Y244" s="105"/>
      <c r="Z244" s="102">
        <v>0.50422453703703707</v>
      </c>
      <c r="AA244" s="102">
        <v>0.8612037037037038</v>
      </c>
      <c r="AB244" s="16"/>
      <c r="AC244" s="16"/>
      <c r="AD244" s="93">
        <v>18212</v>
      </c>
      <c r="AE244" s="93">
        <f t="shared" si="27"/>
        <v>18.212</v>
      </c>
      <c r="AF244">
        <v>15.24</v>
      </c>
      <c r="AG244" s="72">
        <f t="shared" si="28"/>
        <v>14</v>
      </c>
      <c r="AH244" s="37">
        <f t="shared" si="29"/>
        <v>18.212</v>
      </c>
      <c r="AJ244" s="38"/>
      <c r="AL244" s="16"/>
      <c r="AN244" s="81"/>
      <c r="AO244" s="81"/>
      <c r="AP244" s="48"/>
      <c r="AR244" s="38"/>
      <c r="AS244" s="49"/>
    </row>
    <row r="245" spans="22:45" ht="16" x14ac:dyDescent="0.4">
      <c r="V245" s="97">
        <v>45828</v>
      </c>
      <c r="W245" s="16">
        <v>162889</v>
      </c>
      <c r="X245" s="101" t="s">
        <v>36</v>
      </c>
      <c r="Y245" s="105"/>
      <c r="Z245" s="102">
        <v>0.57806712962962969</v>
      </c>
      <c r="AA245" s="102">
        <v>0.92599537037037039</v>
      </c>
      <c r="AB245" s="16"/>
      <c r="AC245" s="16"/>
      <c r="AD245" s="93">
        <v>18538</v>
      </c>
      <c r="AE245" s="93">
        <f t="shared" si="27"/>
        <v>18.538</v>
      </c>
      <c r="AF245">
        <v>14.33</v>
      </c>
      <c r="AG245" s="72">
        <f t="shared" si="28"/>
        <v>14</v>
      </c>
      <c r="AH245" s="37">
        <f t="shared" si="29"/>
        <v>18.538</v>
      </c>
      <c r="AJ245" s="38"/>
      <c r="AK245" s="81"/>
      <c r="AL245" s="16"/>
      <c r="AN245" s="81"/>
      <c r="AO245" s="81"/>
      <c r="AP245" s="48"/>
      <c r="AR245" s="38"/>
      <c r="AS245" s="49"/>
    </row>
    <row r="246" spans="22:45" ht="16" x14ac:dyDescent="0.4">
      <c r="V246" s="97">
        <v>45829</v>
      </c>
      <c r="W246" s="16">
        <v>162909</v>
      </c>
      <c r="X246" s="101" t="s">
        <v>36</v>
      </c>
      <c r="Y246" s="105"/>
      <c r="Z246" s="102">
        <v>0.90855324074074073</v>
      </c>
      <c r="AA246" s="102">
        <v>1.3518518518518518E-2</v>
      </c>
      <c r="AB246" s="16"/>
      <c r="AC246" s="16"/>
      <c r="AD246" s="93">
        <v>21890</v>
      </c>
      <c r="AE246" s="93">
        <f t="shared" si="27"/>
        <v>21.89</v>
      </c>
      <c r="AF246">
        <v>14.49</v>
      </c>
      <c r="AG246" s="72">
        <f t="shared" si="28"/>
        <v>14</v>
      </c>
      <c r="AH246" s="37">
        <f t="shared" si="29"/>
        <v>21.890000000000004</v>
      </c>
      <c r="AJ246" s="38"/>
      <c r="AL246" s="16"/>
      <c r="AN246" s="81"/>
      <c r="AO246" s="81"/>
      <c r="AP246" s="48"/>
      <c r="AR246" s="38"/>
      <c r="AS246" s="49"/>
    </row>
    <row r="247" spans="22:45" ht="16" x14ac:dyDescent="0.4">
      <c r="V247" s="97">
        <v>45829</v>
      </c>
      <c r="W247" s="16">
        <v>162925</v>
      </c>
      <c r="X247" s="101" t="s">
        <v>36</v>
      </c>
      <c r="Y247" s="105"/>
      <c r="Z247" s="102">
        <v>0.57820601851851849</v>
      </c>
      <c r="AA247" s="102">
        <v>0.26695601851851852</v>
      </c>
      <c r="AB247" s="16"/>
      <c r="AC247" s="16"/>
      <c r="AD247" s="93">
        <v>20484</v>
      </c>
      <c r="AE247" s="93">
        <f t="shared" si="27"/>
        <v>20.484000000000002</v>
      </c>
      <c r="AF247">
        <v>15.48</v>
      </c>
      <c r="AG247" s="72">
        <f t="shared" si="28"/>
        <v>14</v>
      </c>
      <c r="AH247" s="37">
        <f t="shared" si="29"/>
        <v>20.484000000000002</v>
      </c>
      <c r="AJ247" s="38"/>
      <c r="AL247" s="16"/>
      <c r="AN247" s="81"/>
      <c r="AO247" s="81"/>
      <c r="AP247" s="48"/>
      <c r="AR247" s="38"/>
      <c r="AS247" s="49"/>
    </row>
    <row r="248" spans="22:45" ht="16" x14ac:dyDescent="0.4">
      <c r="V248" s="97">
        <v>45829</v>
      </c>
      <c r="W248" s="16">
        <v>162936</v>
      </c>
      <c r="X248" s="101" t="s">
        <v>36</v>
      </c>
      <c r="Y248" s="105"/>
      <c r="Z248" s="102">
        <v>9.2420254629629621</v>
      </c>
      <c r="AA248" s="102">
        <v>0.12430555555555556</v>
      </c>
      <c r="AB248" s="16"/>
      <c r="AC248" s="16"/>
      <c r="AD248" s="93">
        <v>18186</v>
      </c>
      <c r="AE248" s="93">
        <f t="shared" si="27"/>
        <v>18.186</v>
      </c>
      <c r="AF248">
        <v>15.11</v>
      </c>
      <c r="AG248" s="72">
        <f t="shared" si="28"/>
        <v>14</v>
      </c>
      <c r="AH248" s="37">
        <f t="shared" si="29"/>
        <v>18.186</v>
      </c>
      <c r="AJ248" s="38"/>
      <c r="AL248" s="16"/>
      <c r="AN248" s="81"/>
      <c r="AO248" s="81"/>
      <c r="AP248" s="48"/>
      <c r="AR248" s="38"/>
      <c r="AS248" s="49"/>
    </row>
    <row r="249" spans="22:45" ht="16" x14ac:dyDescent="0.4">
      <c r="V249" s="97">
        <v>45829</v>
      </c>
      <c r="W249" s="16">
        <v>162943</v>
      </c>
      <c r="X249" s="101" t="s">
        <v>36</v>
      </c>
      <c r="Y249" s="105"/>
      <c r="Z249" s="102">
        <v>0.11721064814814815</v>
      </c>
      <c r="AA249" s="102">
        <v>0.17444444444444443</v>
      </c>
      <c r="AB249" s="16"/>
      <c r="AC249" s="16"/>
      <c r="AD249" s="93">
        <v>18176</v>
      </c>
      <c r="AE249" s="93">
        <f t="shared" si="27"/>
        <v>18.175999999999998</v>
      </c>
      <c r="AF249">
        <v>15.59</v>
      </c>
      <c r="AG249" s="72">
        <f t="shared" si="28"/>
        <v>14</v>
      </c>
      <c r="AH249" s="37">
        <f t="shared" si="29"/>
        <v>18.175999999999998</v>
      </c>
      <c r="AJ249" s="38"/>
      <c r="AN249" s="81"/>
      <c r="AO249" s="81"/>
      <c r="AP249" s="48"/>
      <c r="AR249" s="38"/>
      <c r="AS249" s="49"/>
    </row>
    <row r="250" spans="22:45" ht="16" x14ac:dyDescent="0.4">
      <c r="V250" s="97">
        <v>45829</v>
      </c>
      <c r="W250" s="16">
        <v>162966</v>
      </c>
      <c r="X250" s="101" t="s">
        <v>36</v>
      </c>
      <c r="Y250" s="105"/>
      <c r="Z250" s="102">
        <v>0.90833333333333333</v>
      </c>
      <c r="AA250" s="102">
        <v>0.30694444444444441</v>
      </c>
      <c r="AB250" s="16"/>
      <c r="AC250" s="16"/>
      <c r="AD250" s="93">
        <v>21772</v>
      </c>
      <c r="AE250" s="93">
        <f t="shared" si="27"/>
        <v>21.771999999999998</v>
      </c>
      <c r="AF250">
        <v>13.24</v>
      </c>
      <c r="AG250" s="72">
        <f t="shared" si="28"/>
        <v>13.24</v>
      </c>
      <c r="AH250" s="37">
        <f t="shared" si="29"/>
        <v>20.59009142857143</v>
      </c>
      <c r="AJ250" s="38"/>
      <c r="AN250" s="81"/>
      <c r="AO250" s="81"/>
      <c r="AP250" s="48"/>
      <c r="AR250" s="38"/>
      <c r="AS250" s="49"/>
    </row>
    <row r="251" spans="22:45" ht="16" x14ac:dyDescent="0.4">
      <c r="V251" s="97">
        <v>45829</v>
      </c>
      <c r="W251" s="16">
        <v>163036</v>
      </c>
      <c r="X251" s="101" t="s">
        <v>36</v>
      </c>
      <c r="Y251" s="105"/>
      <c r="Z251" s="102">
        <v>0.1173611111111111</v>
      </c>
      <c r="AA251" s="102">
        <v>0.43194444444444446</v>
      </c>
      <c r="AB251" s="16"/>
      <c r="AC251" s="16"/>
      <c r="AD251" s="93">
        <v>18588</v>
      </c>
      <c r="AE251" s="93">
        <f t="shared" si="27"/>
        <v>18.588000000000001</v>
      </c>
      <c r="AF251">
        <v>15.21</v>
      </c>
      <c r="AG251" s="72">
        <f t="shared" si="28"/>
        <v>14</v>
      </c>
      <c r="AH251" s="37">
        <f t="shared" si="29"/>
        <v>18.588000000000001</v>
      </c>
      <c r="AJ251" s="38"/>
      <c r="AN251" s="81"/>
      <c r="AO251" s="81"/>
      <c r="AP251" s="48"/>
      <c r="AR251" s="38"/>
      <c r="AS251" s="49"/>
    </row>
    <row r="252" spans="22:45" ht="16" x14ac:dyDescent="0.4">
      <c r="V252" s="97">
        <v>45829</v>
      </c>
      <c r="W252" s="16">
        <v>163087</v>
      </c>
      <c r="X252" s="101" t="s">
        <v>36</v>
      </c>
      <c r="Y252" s="105"/>
      <c r="Z252" s="102">
        <v>0.50138888888888888</v>
      </c>
      <c r="AA252" s="102">
        <v>0.51527777777777783</v>
      </c>
      <c r="AB252" s="16"/>
      <c r="AC252" s="16"/>
      <c r="AD252" s="93">
        <v>15238</v>
      </c>
      <c r="AE252" s="93">
        <f t="shared" si="27"/>
        <v>15.238</v>
      </c>
      <c r="AF252">
        <v>16.239999999999998</v>
      </c>
      <c r="AG252" s="72">
        <f t="shared" si="28"/>
        <v>14</v>
      </c>
      <c r="AH252" s="37">
        <f t="shared" si="29"/>
        <v>15.238</v>
      </c>
      <c r="AJ252" s="38"/>
      <c r="AN252" s="81"/>
      <c r="AO252" s="81"/>
      <c r="AP252" s="48"/>
      <c r="AR252" s="38"/>
      <c r="AS252" s="49"/>
    </row>
    <row r="253" spans="22:45" ht="16" x14ac:dyDescent="0.4">
      <c r="V253" s="97">
        <v>45829</v>
      </c>
      <c r="W253" s="16">
        <v>163110</v>
      </c>
      <c r="X253" s="101" t="s">
        <v>36</v>
      </c>
      <c r="Y253" s="105"/>
      <c r="Z253" s="102">
        <v>0.1173611111111111</v>
      </c>
      <c r="AA253" s="102">
        <v>0.60486111111111118</v>
      </c>
      <c r="AB253" s="16"/>
      <c r="AC253" s="16"/>
      <c r="AD253" s="93">
        <v>18112</v>
      </c>
      <c r="AE253" s="93">
        <f t="shared" si="27"/>
        <v>18.111999999999998</v>
      </c>
      <c r="AF253">
        <v>16.37</v>
      </c>
      <c r="AG253" s="72">
        <f t="shared" si="28"/>
        <v>14</v>
      </c>
      <c r="AH253" s="37">
        <f t="shared" si="29"/>
        <v>18.111999999999998</v>
      </c>
      <c r="AJ253" s="38"/>
      <c r="AN253" s="81"/>
      <c r="AO253" s="81"/>
      <c r="AP253" s="48"/>
      <c r="AR253" s="38"/>
      <c r="AS253" s="49"/>
    </row>
    <row r="254" spans="22:45" ht="16" x14ac:dyDescent="0.4">
      <c r="V254" s="97">
        <v>45829</v>
      </c>
      <c r="W254" s="16">
        <v>163131</v>
      </c>
      <c r="X254" s="101" t="s">
        <v>36</v>
      </c>
      <c r="Y254" s="105"/>
      <c r="Z254" s="102">
        <v>0.60972222222222217</v>
      </c>
      <c r="AA254" s="102">
        <v>0.67152777777777783</v>
      </c>
      <c r="AB254" s="16"/>
      <c r="AC254" s="16"/>
      <c r="AD254" s="93">
        <v>15334</v>
      </c>
      <c r="AE254" s="93">
        <f t="shared" si="27"/>
        <v>15.334</v>
      </c>
      <c r="AF254">
        <v>15.77</v>
      </c>
      <c r="AG254" s="72">
        <f t="shared" si="28"/>
        <v>14</v>
      </c>
      <c r="AH254" s="37">
        <f t="shared" si="29"/>
        <v>15.334</v>
      </c>
      <c r="AJ254" s="38"/>
      <c r="AP254" s="48"/>
      <c r="AR254" s="38"/>
      <c r="AS254" s="49"/>
    </row>
    <row r="255" spans="22:45" ht="16" x14ac:dyDescent="0.4">
      <c r="V255" s="97">
        <v>45829</v>
      </c>
      <c r="W255" s="16">
        <v>163145</v>
      </c>
      <c r="X255" s="101" t="s">
        <v>36</v>
      </c>
      <c r="Y255" s="105"/>
      <c r="Z255" s="102">
        <v>0.67013888888888884</v>
      </c>
      <c r="AA255" s="102">
        <v>0.72777777777777775</v>
      </c>
      <c r="AB255" s="16"/>
      <c r="AC255" s="16"/>
      <c r="AD255" s="93">
        <v>17788</v>
      </c>
      <c r="AE255" s="93">
        <f t="shared" si="27"/>
        <v>17.788</v>
      </c>
      <c r="AF255">
        <v>15.63</v>
      </c>
      <c r="AG255" s="72">
        <f t="shared" si="28"/>
        <v>14</v>
      </c>
      <c r="AH255" s="37">
        <f t="shared" si="29"/>
        <v>17.788</v>
      </c>
      <c r="AJ255" s="38"/>
      <c r="AN255" s="81"/>
      <c r="AO255" s="81"/>
      <c r="AP255" s="48"/>
      <c r="AR255" s="38"/>
      <c r="AS255" s="71"/>
    </row>
    <row r="256" spans="22:45" ht="16" x14ac:dyDescent="0.4">
      <c r="V256" s="97">
        <v>45829</v>
      </c>
      <c r="W256" s="16">
        <v>163158</v>
      </c>
      <c r="X256" s="101" t="s">
        <v>36</v>
      </c>
      <c r="Y256" s="105"/>
      <c r="Z256" s="102">
        <v>0.60988425925925926</v>
      </c>
      <c r="AA256" s="102">
        <v>0.79789351851851853</v>
      </c>
      <c r="AB256" s="16"/>
      <c r="AC256" s="16"/>
      <c r="AD256" s="93">
        <v>20108</v>
      </c>
      <c r="AE256" s="93">
        <f t="shared" si="27"/>
        <v>20.108000000000001</v>
      </c>
      <c r="AF256">
        <v>15.8</v>
      </c>
      <c r="AG256" s="72">
        <f t="shared" si="28"/>
        <v>14</v>
      </c>
      <c r="AH256" s="37">
        <f t="shared" si="29"/>
        <v>20.108000000000001</v>
      </c>
      <c r="AJ256" s="38"/>
      <c r="AN256" s="81"/>
      <c r="AO256" s="81"/>
      <c r="AP256" s="48"/>
      <c r="AR256" s="38"/>
      <c r="AS256" s="49"/>
    </row>
    <row r="257" spans="22:45" ht="16" x14ac:dyDescent="0.4">
      <c r="V257" s="97">
        <v>45829</v>
      </c>
      <c r="W257" s="16">
        <v>163181</v>
      </c>
      <c r="X257" s="101" t="s">
        <v>36</v>
      </c>
      <c r="Y257" s="105"/>
      <c r="Z257" s="102">
        <v>0.67069444444444448</v>
      </c>
      <c r="AA257" s="102">
        <v>0.86981481481481471</v>
      </c>
      <c r="AB257" s="16"/>
      <c r="AC257" s="16"/>
      <c r="AD257" s="93">
        <v>18604</v>
      </c>
      <c r="AE257" s="93">
        <f t="shared" si="27"/>
        <v>18.603999999999999</v>
      </c>
      <c r="AF257">
        <v>16.329999999999998</v>
      </c>
      <c r="AG257" s="72">
        <f t="shared" si="28"/>
        <v>14</v>
      </c>
      <c r="AH257" s="37">
        <f t="shared" si="29"/>
        <v>18.604000000000003</v>
      </c>
      <c r="AJ257" s="38"/>
      <c r="AN257" s="81"/>
      <c r="AO257" s="81"/>
      <c r="AP257" s="48"/>
      <c r="AR257" s="38"/>
      <c r="AS257" s="49"/>
    </row>
    <row r="258" spans="22:45" ht="16" x14ac:dyDescent="0.4">
      <c r="V258" s="97">
        <v>45829</v>
      </c>
      <c r="W258" s="16">
        <v>163204</v>
      </c>
      <c r="X258" s="101" t="s">
        <v>36</v>
      </c>
      <c r="Y258" s="105"/>
      <c r="Z258" s="102">
        <v>0.60979166666666662</v>
      </c>
      <c r="AA258" s="102">
        <v>0.96127314814814813</v>
      </c>
      <c r="AB258" s="16"/>
      <c r="AC258" s="16"/>
      <c r="AD258" s="93">
        <v>18562</v>
      </c>
      <c r="AE258" s="93">
        <f t="shared" si="27"/>
        <v>18.562000000000001</v>
      </c>
      <c r="AF258">
        <v>15.56</v>
      </c>
      <c r="AG258" s="72">
        <f t="shared" si="28"/>
        <v>14</v>
      </c>
      <c r="AH258" s="37">
        <f t="shared" si="29"/>
        <v>18.562000000000001</v>
      </c>
      <c r="AJ258" s="97"/>
      <c r="AN258" s="39"/>
      <c r="AO258" s="39"/>
      <c r="AP258" s="47"/>
      <c r="AR258" s="38"/>
      <c r="AS258" s="49"/>
    </row>
    <row r="259" spans="22:45" ht="16" x14ac:dyDescent="0.4">
      <c r="V259" s="97">
        <v>45830</v>
      </c>
      <c r="W259" s="16">
        <v>163213</v>
      </c>
      <c r="X259" s="101" t="s">
        <v>36</v>
      </c>
      <c r="Y259" s="105"/>
      <c r="Z259" s="102">
        <v>0.67013888888888884</v>
      </c>
      <c r="AA259" s="102">
        <v>1.2499999999999999E-2</v>
      </c>
      <c r="AB259" s="16"/>
      <c r="AC259" s="16"/>
      <c r="AD259" s="93">
        <v>20424</v>
      </c>
      <c r="AE259" s="93">
        <f t="shared" si="27"/>
        <v>20.423999999999999</v>
      </c>
      <c r="AF259">
        <v>15.12</v>
      </c>
      <c r="AG259" s="72">
        <f t="shared" si="28"/>
        <v>14</v>
      </c>
      <c r="AH259" s="37">
        <f t="shared" si="29"/>
        <v>20.423999999999999</v>
      </c>
      <c r="AJ259" s="97"/>
      <c r="AP259" s="47"/>
      <c r="AR259" s="38"/>
      <c r="AS259" s="49"/>
    </row>
    <row r="260" spans="22:45" ht="16" x14ac:dyDescent="0.4">
      <c r="V260" s="97">
        <v>45830</v>
      </c>
      <c r="W260" s="16">
        <v>163218</v>
      </c>
      <c r="X260" s="101" t="s">
        <v>36</v>
      </c>
      <c r="Y260" s="105"/>
      <c r="Z260" s="102">
        <v>0.99444444444444446</v>
      </c>
      <c r="AA260" s="102">
        <v>6.805555555555555E-2</v>
      </c>
      <c r="AB260" s="16"/>
      <c r="AC260" s="16"/>
      <c r="AD260" s="93">
        <v>18948</v>
      </c>
      <c r="AE260" s="93">
        <f t="shared" si="27"/>
        <v>18.948</v>
      </c>
      <c r="AF260">
        <v>14.41</v>
      </c>
      <c r="AG260" s="72">
        <f t="shared" si="28"/>
        <v>14</v>
      </c>
      <c r="AH260" s="37">
        <f t="shared" si="29"/>
        <v>18.948</v>
      </c>
      <c r="AJ260" s="97"/>
      <c r="AN260" s="39"/>
      <c r="AO260" s="39"/>
      <c r="AP260" s="47"/>
      <c r="AR260" s="38"/>
      <c r="AS260" s="49"/>
    </row>
    <row r="261" spans="22:45" ht="16" x14ac:dyDescent="0.4">
      <c r="V261" s="97">
        <v>45830</v>
      </c>
      <c r="W261" s="16">
        <v>163226</v>
      </c>
      <c r="X261" s="101" t="s">
        <v>36</v>
      </c>
      <c r="Y261" s="105"/>
      <c r="Z261" s="102">
        <v>5.302083333333333E-2</v>
      </c>
      <c r="AA261" s="102">
        <v>0.12636574074074072</v>
      </c>
      <c r="AB261" s="16"/>
      <c r="AC261" s="16"/>
      <c r="AD261" s="93">
        <v>18642</v>
      </c>
      <c r="AE261" s="93">
        <f t="shared" ref="AE261:AE324" si="30">AD261/1000</f>
        <v>18.641999999999999</v>
      </c>
      <c r="AF261">
        <v>14.98</v>
      </c>
      <c r="AG261" s="72">
        <f t="shared" si="28"/>
        <v>14</v>
      </c>
      <c r="AH261" s="37">
        <f t="shared" si="29"/>
        <v>18.641999999999999</v>
      </c>
      <c r="AJ261" s="97"/>
      <c r="AN261" s="39"/>
      <c r="AO261" s="39"/>
      <c r="AP261" s="47"/>
      <c r="AR261" s="38"/>
      <c r="AS261" s="49"/>
    </row>
    <row r="262" spans="22:45" ht="16" x14ac:dyDescent="0.4">
      <c r="V262" s="97">
        <v>45830</v>
      </c>
      <c r="W262" s="16">
        <v>163235</v>
      </c>
      <c r="X262" s="101" t="s">
        <v>36</v>
      </c>
      <c r="Y262" s="105"/>
      <c r="Z262" s="102">
        <v>0.11055555555555556</v>
      </c>
      <c r="AA262" s="102">
        <v>0.18916666666666668</v>
      </c>
      <c r="AB262" s="16"/>
      <c r="AC262" s="16"/>
      <c r="AD262" s="93">
        <v>19340</v>
      </c>
      <c r="AE262" s="93">
        <f t="shared" si="30"/>
        <v>19.34</v>
      </c>
      <c r="AF262">
        <v>15.51</v>
      </c>
      <c r="AG262" s="72">
        <f t="shared" ref="AG262:AG325" si="31">IF($AF262&gt;14,14,$AF262)</f>
        <v>14</v>
      </c>
      <c r="AH262" s="37">
        <f t="shared" ref="AH262:AH325" si="32">AE262*AG262/14</f>
        <v>19.34</v>
      </c>
      <c r="AJ262" s="97"/>
      <c r="AN262" s="39"/>
      <c r="AO262" s="39"/>
      <c r="AP262" s="94"/>
      <c r="AR262" s="38"/>
      <c r="AS262" s="49"/>
    </row>
    <row r="263" spans="22:45" ht="16" x14ac:dyDescent="0.4">
      <c r="V263" s="97">
        <v>45830</v>
      </c>
      <c r="W263" s="16">
        <v>163237</v>
      </c>
      <c r="X263" s="101" t="s">
        <v>36</v>
      </c>
      <c r="Y263" s="105"/>
      <c r="Z263" s="102">
        <v>5.2777777777777778E-2</v>
      </c>
      <c r="AA263" s="102">
        <v>0.24097222222222223</v>
      </c>
      <c r="AB263" s="16"/>
      <c r="AC263" s="16"/>
      <c r="AD263" s="93">
        <v>18208</v>
      </c>
      <c r="AE263" s="93">
        <f t="shared" si="30"/>
        <v>18.207999999999998</v>
      </c>
      <c r="AF263">
        <v>15.22</v>
      </c>
      <c r="AG263" s="72">
        <f t="shared" si="31"/>
        <v>14</v>
      </c>
      <c r="AH263" s="37">
        <f t="shared" si="32"/>
        <v>18.207999999999998</v>
      </c>
      <c r="AJ263" s="97"/>
      <c r="AN263" s="39"/>
      <c r="AO263" s="39"/>
      <c r="AP263" s="94"/>
      <c r="AR263" s="38"/>
      <c r="AS263" s="49"/>
    </row>
    <row r="264" spans="22:45" ht="16" x14ac:dyDescent="0.4">
      <c r="V264" s="97">
        <v>45830</v>
      </c>
      <c r="W264" s="16">
        <v>163241</v>
      </c>
      <c r="X264" s="101" t="s">
        <v>36</v>
      </c>
      <c r="Y264" s="105"/>
      <c r="Z264" s="102">
        <v>0.70624999999999993</v>
      </c>
      <c r="AA264" s="102">
        <v>0.28958333333333336</v>
      </c>
      <c r="AB264" s="16"/>
      <c r="AC264" s="16"/>
      <c r="AD264" s="93">
        <v>18000</v>
      </c>
      <c r="AE264" s="93">
        <f t="shared" si="30"/>
        <v>18</v>
      </c>
      <c r="AF264">
        <v>12.44</v>
      </c>
      <c r="AG264" s="72">
        <f t="shared" si="31"/>
        <v>12.44</v>
      </c>
      <c r="AH264" s="37">
        <f t="shared" si="32"/>
        <v>15.994285714285713</v>
      </c>
      <c r="AJ264" s="97"/>
      <c r="AN264" s="39"/>
      <c r="AO264" s="39"/>
      <c r="AP264" s="94"/>
      <c r="AR264" s="38"/>
      <c r="AS264" s="49"/>
    </row>
    <row r="265" spans="22:45" ht="16" x14ac:dyDescent="0.4">
      <c r="V265" s="97">
        <v>45830</v>
      </c>
      <c r="W265" s="16">
        <v>163257</v>
      </c>
      <c r="X265" s="101" t="s">
        <v>36</v>
      </c>
      <c r="Y265" s="105"/>
      <c r="Z265" s="102">
        <v>0.84166666666666667</v>
      </c>
      <c r="AA265" s="102">
        <v>0.41666666666666669</v>
      </c>
      <c r="AB265" s="16"/>
      <c r="AC265" s="16"/>
      <c r="AD265" s="93">
        <v>14224</v>
      </c>
      <c r="AE265" s="93">
        <f t="shared" si="30"/>
        <v>14.224</v>
      </c>
      <c r="AF265">
        <v>7.03</v>
      </c>
      <c r="AG265" s="72">
        <f t="shared" si="31"/>
        <v>7.03</v>
      </c>
      <c r="AH265" s="37">
        <f t="shared" si="32"/>
        <v>7.1424799999999999</v>
      </c>
      <c r="AJ265" s="97"/>
      <c r="AN265" s="39"/>
      <c r="AO265" s="39"/>
      <c r="AP265" s="94"/>
      <c r="AR265" s="38"/>
      <c r="AS265" s="49"/>
    </row>
    <row r="266" spans="22:45" ht="16" x14ac:dyDescent="0.4">
      <c r="V266" s="97">
        <v>45830</v>
      </c>
      <c r="W266" s="16">
        <v>163270</v>
      </c>
      <c r="X266" s="101" t="s">
        <v>36</v>
      </c>
      <c r="Y266" s="105"/>
      <c r="Z266" s="102">
        <v>0.46736111111111112</v>
      </c>
      <c r="AA266" s="102">
        <v>0.55625000000000002</v>
      </c>
      <c r="AB266" s="16"/>
      <c r="AC266" s="16"/>
      <c r="AD266" s="93">
        <v>4238</v>
      </c>
      <c r="AE266" s="93">
        <f t="shared" si="30"/>
        <v>4.2380000000000004</v>
      </c>
      <c r="AF266">
        <v>4.67</v>
      </c>
      <c r="AG266" s="72">
        <f t="shared" si="31"/>
        <v>4.67</v>
      </c>
      <c r="AH266" s="37">
        <f t="shared" si="32"/>
        <v>1.4136757142857144</v>
      </c>
      <c r="AJ266" s="97"/>
      <c r="AN266" s="39"/>
      <c r="AO266" s="39"/>
      <c r="AP266" s="94"/>
      <c r="AR266" s="38"/>
      <c r="AS266" s="49"/>
    </row>
    <row r="267" spans="22:45" ht="16" x14ac:dyDescent="0.4">
      <c r="V267" s="97">
        <v>45832</v>
      </c>
      <c r="W267" s="16">
        <v>163743</v>
      </c>
      <c r="X267" s="101" t="s">
        <v>36</v>
      </c>
      <c r="Y267" s="105"/>
      <c r="Z267" s="102">
        <v>0.25694444444444448</v>
      </c>
      <c r="AA267" s="102">
        <v>0.36319444444444443</v>
      </c>
      <c r="AB267" s="16"/>
      <c r="AC267" s="16"/>
      <c r="AD267" s="93">
        <v>19588</v>
      </c>
      <c r="AE267" s="93">
        <f t="shared" si="30"/>
        <v>19.588000000000001</v>
      </c>
      <c r="AF267">
        <v>17.41</v>
      </c>
      <c r="AG267" s="72">
        <f t="shared" si="31"/>
        <v>14</v>
      </c>
      <c r="AH267" s="37">
        <f t="shared" si="32"/>
        <v>19.588000000000001</v>
      </c>
      <c r="AJ267" s="97"/>
      <c r="AN267" s="39"/>
      <c r="AO267" s="39"/>
      <c r="AP267" s="47"/>
      <c r="AR267" s="38"/>
      <c r="AS267" s="49"/>
    </row>
    <row r="268" spans="22:45" ht="16" x14ac:dyDescent="0.4">
      <c r="V268" s="97">
        <v>45832</v>
      </c>
      <c r="W268" s="16">
        <v>163805</v>
      </c>
      <c r="X268" s="101" t="s">
        <v>36</v>
      </c>
      <c r="Y268" s="105"/>
      <c r="Z268" s="102">
        <v>0.2722222222222222</v>
      </c>
      <c r="AA268" s="102">
        <v>0.44097222222222227</v>
      </c>
      <c r="AB268" s="16"/>
      <c r="AC268" s="16"/>
      <c r="AD268" s="93">
        <v>19892</v>
      </c>
      <c r="AE268" s="93">
        <f t="shared" si="30"/>
        <v>19.891999999999999</v>
      </c>
      <c r="AF268">
        <v>16.63</v>
      </c>
      <c r="AG268" s="72">
        <f t="shared" si="31"/>
        <v>14</v>
      </c>
      <c r="AH268" s="37">
        <f t="shared" si="32"/>
        <v>19.891999999999999</v>
      </c>
      <c r="AJ268" s="97"/>
      <c r="AN268" s="39"/>
      <c r="AO268" s="39"/>
      <c r="AP268" s="47"/>
      <c r="AR268" s="38"/>
      <c r="AS268" s="49"/>
    </row>
    <row r="269" spans="22:45" ht="16" x14ac:dyDescent="0.4">
      <c r="V269" s="97">
        <v>45832</v>
      </c>
      <c r="W269" s="16">
        <v>163855</v>
      </c>
      <c r="X269" s="101" t="s">
        <v>36</v>
      </c>
      <c r="Y269" s="105"/>
      <c r="Z269" s="102">
        <v>0.99513888888888891</v>
      </c>
      <c r="AA269" s="102">
        <v>0.54097222222222219</v>
      </c>
      <c r="AB269" s="16"/>
      <c r="AC269" s="16"/>
      <c r="AD269" s="93">
        <v>19506</v>
      </c>
      <c r="AE269" s="93">
        <f t="shared" si="30"/>
        <v>19.506</v>
      </c>
      <c r="AF269">
        <v>15.33</v>
      </c>
      <c r="AG269" s="72">
        <f t="shared" si="31"/>
        <v>14</v>
      </c>
      <c r="AH269" s="37">
        <f t="shared" si="32"/>
        <v>19.506</v>
      </c>
      <c r="AJ269" s="97"/>
      <c r="AN269" s="39"/>
      <c r="AO269" s="39"/>
      <c r="AP269" s="47"/>
      <c r="AR269" s="38"/>
      <c r="AS269" s="49"/>
    </row>
    <row r="270" spans="22:45" ht="16" x14ac:dyDescent="0.4">
      <c r="V270" s="97">
        <v>45832</v>
      </c>
      <c r="W270" s="16">
        <v>163936</v>
      </c>
      <c r="X270" s="101" t="s">
        <v>36</v>
      </c>
      <c r="Y270" s="105"/>
      <c r="Z270" s="102">
        <v>0.2722222222222222</v>
      </c>
      <c r="AA270" s="102">
        <v>0.625</v>
      </c>
      <c r="AB270" s="16"/>
      <c r="AC270" s="16"/>
      <c r="AD270" s="93">
        <v>19966</v>
      </c>
      <c r="AE270" s="93">
        <f t="shared" si="30"/>
        <v>19.966000000000001</v>
      </c>
      <c r="AF270">
        <v>15.61</v>
      </c>
      <c r="AG270" s="72">
        <f t="shared" si="31"/>
        <v>14</v>
      </c>
      <c r="AH270" s="37">
        <f t="shared" si="32"/>
        <v>19.966000000000001</v>
      </c>
      <c r="AJ270" s="97"/>
      <c r="AN270" s="39"/>
      <c r="AO270" s="39"/>
      <c r="AP270" s="47"/>
      <c r="AR270" s="38"/>
      <c r="AS270" s="49"/>
    </row>
    <row r="271" spans="22:45" ht="16" x14ac:dyDescent="0.4">
      <c r="V271" s="97">
        <v>45832</v>
      </c>
      <c r="W271" s="16">
        <v>163977</v>
      </c>
      <c r="X271" s="101" t="s">
        <v>36</v>
      </c>
      <c r="Y271" s="105"/>
      <c r="Z271" s="102">
        <v>0.99444444444444446</v>
      </c>
      <c r="AA271" s="102">
        <v>0.70277777777777783</v>
      </c>
      <c r="AB271" s="16"/>
      <c r="AC271" s="16"/>
      <c r="AD271" s="93">
        <v>19620</v>
      </c>
      <c r="AE271" s="93">
        <f t="shared" si="30"/>
        <v>19.62</v>
      </c>
      <c r="AF271">
        <v>15.31</v>
      </c>
      <c r="AG271" s="72">
        <f t="shared" si="31"/>
        <v>14</v>
      </c>
      <c r="AH271" s="37">
        <f t="shared" si="32"/>
        <v>19.62</v>
      </c>
      <c r="AJ271" s="97"/>
      <c r="AN271" s="39"/>
      <c r="AO271" s="39"/>
      <c r="AP271" s="47"/>
      <c r="AR271" s="38"/>
      <c r="AS271" s="49"/>
    </row>
    <row r="272" spans="22:45" ht="16" x14ac:dyDescent="0.4">
      <c r="V272" s="97">
        <v>45832</v>
      </c>
      <c r="W272" s="16">
        <v>163992</v>
      </c>
      <c r="X272" s="101" t="s">
        <v>36</v>
      </c>
      <c r="Y272" s="105"/>
      <c r="Z272" s="102">
        <v>5.3310185185185183E-2</v>
      </c>
      <c r="AA272" s="102">
        <v>0.76148148148148154</v>
      </c>
      <c r="AB272" s="16"/>
      <c r="AC272" s="16"/>
      <c r="AD272" s="93">
        <v>19216</v>
      </c>
      <c r="AE272" s="93">
        <f t="shared" si="30"/>
        <v>19.216000000000001</v>
      </c>
      <c r="AF272">
        <v>14.09</v>
      </c>
      <c r="AG272" s="72">
        <f t="shared" si="31"/>
        <v>14</v>
      </c>
      <c r="AH272" s="37">
        <f t="shared" si="32"/>
        <v>19.216000000000001</v>
      </c>
      <c r="AJ272" s="97"/>
      <c r="AN272" s="39"/>
      <c r="AO272" s="39"/>
      <c r="AP272" s="47"/>
      <c r="AR272" s="38"/>
      <c r="AS272" s="49"/>
    </row>
    <row r="273" spans="22:45" ht="16" x14ac:dyDescent="0.4">
      <c r="V273" s="97">
        <v>45832</v>
      </c>
      <c r="W273" s="16">
        <v>164016</v>
      </c>
      <c r="X273" s="101" t="s">
        <v>36</v>
      </c>
      <c r="Y273" s="105"/>
      <c r="Z273" s="102">
        <v>0.76491898148148152</v>
      </c>
      <c r="AA273" s="102">
        <v>0.84464120370370377</v>
      </c>
      <c r="AB273" s="16"/>
      <c r="AC273" s="16"/>
      <c r="AD273" s="93">
        <v>19568</v>
      </c>
      <c r="AE273" s="93">
        <f t="shared" si="30"/>
        <v>19.568000000000001</v>
      </c>
      <c r="AF273">
        <v>14.06</v>
      </c>
      <c r="AG273" s="72">
        <f t="shared" si="31"/>
        <v>14</v>
      </c>
      <c r="AH273" s="37">
        <f t="shared" si="32"/>
        <v>19.568000000000001</v>
      </c>
      <c r="AJ273" s="97"/>
      <c r="AN273" s="39"/>
      <c r="AO273" s="39"/>
      <c r="AP273" s="47"/>
      <c r="AR273" s="38"/>
      <c r="AS273" s="49"/>
    </row>
    <row r="274" spans="22:45" ht="16" x14ac:dyDescent="0.4">
      <c r="V274" s="97">
        <v>45832</v>
      </c>
      <c r="W274" s="16">
        <v>164046</v>
      </c>
      <c r="X274" s="101" t="s">
        <v>36</v>
      </c>
      <c r="Y274" s="105"/>
      <c r="Z274" s="102">
        <v>0.82399305555555558</v>
      </c>
      <c r="AA274" s="102">
        <v>0.90818287037037038</v>
      </c>
      <c r="AB274" s="16"/>
      <c r="AC274" s="16"/>
      <c r="AD274" s="93">
        <v>19304</v>
      </c>
      <c r="AE274" s="93">
        <f t="shared" si="30"/>
        <v>19.303999999999998</v>
      </c>
      <c r="AF274">
        <v>14.24</v>
      </c>
      <c r="AG274" s="72">
        <f t="shared" si="31"/>
        <v>14</v>
      </c>
      <c r="AH274" s="37">
        <f t="shared" si="32"/>
        <v>19.303999999999998</v>
      </c>
      <c r="AJ274" s="97"/>
      <c r="AN274" s="39"/>
      <c r="AO274" s="39"/>
      <c r="AP274" s="47"/>
      <c r="AR274" s="38"/>
      <c r="AS274" s="49"/>
    </row>
    <row r="275" spans="22:45" ht="16" x14ac:dyDescent="0.4">
      <c r="V275" s="97">
        <v>45833</v>
      </c>
      <c r="W275" s="16">
        <v>164066</v>
      </c>
      <c r="X275" s="101" t="s">
        <v>36</v>
      </c>
      <c r="Y275" s="105"/>
      <c r="Z275" s="102">
        <v>0.76503472222222213</v>
      </c>
      <c r="AA275" s="102">
        <v>0.9981944444444445</v>
      </c>
      <c r="AB275" s="16"/>
      <c r="AC275" s="16"/>
      <c r="AD275" s="93">
        <v>19676</v>
      </c>
      <c r="AE275" s="93">
        <f t="shared" si="30"/>
        <v>19.675999999999998</v>
      </c>
      <c r="AF275">
        <v>14.38</v>
      </c>
      <c r="AG275" s="72">
        <f t="shared" si="31"/>
        <v>14</v>
      </c>
      <c r="AH275" s="37">
        <f t="shared" si="32"/>
        <v>19.675999999999998</v>
      </c>
      <c r="AJ275" s="97"/>
      <c r="AN275" s="39"/>
      <c r="AO275" s="39"/>
      <c r="AP275" s="47"/>
      <c r="AR275" s="38"/>
      <c r="AS275" s="49"/>
    </row>
    <row r="276" spans="22:45" ht="16" x14ac:dyDescent="0.4">
      <c r="V276" s="97">
        <v>45833</v>
      </c>
      <c r="W276" s="16">
        <v>164081</v>
      </c>
      <c r="X276" s="101" t="s">
        <v>36</v>
      </c>
      <c r="Y276" s="105"/>
      <c r="Z276" s="102">
        <v>0.8238657407407407</v>
      </c>
      <c r="AA276" s="102">
        <v>5.1828703703703703E-2</v>
      </c>
      <c r="AB276" s="16"/>
      <c r="AC276" s="16"/>
      <c r="AD276" s="93">
        <v>20198</v>
      </c>
      <c r="AE276" s="93">
        <f t="shared" si="30"/>
        <v>20.198</v>
      </c>
      <c r="AF276">
        <v>13.88</v>
      </c>
      <c r="AG276" s="72">
        <f t="shared" si="31"/>
        <v>13.88</v>
      </c>
      <c r="AH276" s="37">
        <f t="shared" si="32"/>
        <v>20.024874285714287</v>
      </c>
      <c r="AJ276" s="97"/>
      <c r="AN276" s="39"/>
      <c r="AO276" s="39"/>
      <c r="AP276" s="47"/>
      <c r="AR276" s="38"/>
      <c r="AS276" s="49"/>
    </row>
    <row r="277" spans="22:45" ht="16" x14ac:dyDescent="0.4">
      <c r="V277" s="97">
        <v>45833</v>
      </c>
      <c r="W277" s="16">
        <v>164092</v>
      </c>
      <c r="X277" s="101" t="s">
        <v>36</v>
      </c>
      <c r="Y277" s="105"/>
      <c r="Z277" s="102">
        <v>0.76515046296296296</v>
      </c>
      <c r="AA277" s="102">
        <v>0.11296296296296297</v>
      </c>
      <c r="AB277" s="16"/>
      <c r="AC277" s="16"/>
      <c r="AD277" s="93">
        <v>19886</v>
      </c>
      <c r="AE277" s="93">
        <f t="shared" si="30"/>
        <v>19.885999999999999</v>
      </c>
      <c r="AF277">
        <v>15.13</v>
      </c>
      <c r="AG277" s="72">
        <f t="shared" si="31"/>
        <v>14</v>
      </c>
      <c r="AH277" s="37">
        <f t="shared" si="32"/>
        <v>19.885999999999999</v>
      </c>
      <c r="AJ277" s="97"/>
      <c r="AN277" s="39"/>
      <c r="AO277" s="39"/>
      <c r="AP277" s="47"/>
      <c r="AR277" s="38"/>
      <c r="AS277" s="49"/>
    </row>
    <row r="278" spans="22:45" ht="16" x14ac:dyDescent="0.4">
      <c r="V278" s="97">
        <v>45833</v>
      </c>
      <c r="W278" s="16">
        <v>164101</v>
      </c>
      <c r="X278" s="101" t="s">
        <v>36</v>
      </c>
      <c r="Y278" s="105"/>
      <c r="Z278" s="102">
        <v>0.82412037037037045</v>
      </c>
      <c r="AA278" s="102">
        <v>0.16708333333333333</v>
      </c>
      <c r="AB278" s="16"/>
      <c r="AC278" s="16"/>
      <c r="AD278" s="93">
        <v>19962</v>
      </c>
      <c r="AE278" s="93">
        <f t="shared" si="30"/>
        <v>19.962</v>
      </c>
      <c r="AF278">
        <v>15.33</v>
      </c>
      <c r="AG278" s="72">
        <f t="shared" si="31"/>
        <v>14</v>
      </c>
      <c r="AH278" s="37">
        <f t="shared" si="32"/>
        <v>19.962</v>
      </c>
      <c r="AJ278" s="97"/>
      <c r="AN278" s="39"/>
      <c r="AO278" s="39"/>
      <c r="AP278" s="47"/>
      <c r="AR278" s="38"/>
      <c r="AS278" s="49"/>
    </row>
    <row r="279" spans="22:45" ht="16" x14ac:dyDescent="0.4">
      <c r="V279" s="97">
        <v>45833</v>
      </c>
      <c r="W279" s="16">
        <v>164105</v>
      </c>
      <c r="X279" s="101" t="s">
        <v>36</v>
      </c>
      <c r="Y279" s="105"/>
      <c r="Z279" s="102">
        <v>0.15581018518518519</v>
      </c>
      <c r="AA279" s="102">
        <v>0.21469907407407407</v>
      </c>
      <c r="AB279" s="16"/>
      <c r="AC279" s="16"/>
      <c r="AD279" s="93">
        <v>19602</v>
      </c>
      <c r="AE279" s="93">
        <f t="shared" si="30"/>
        <v>19.602</v>
      </c>
      <c r="AF279">
        <v>14.56</v>
      </c>
      <c r="AG279" s="72">
        <f t="shared" si="31"/>
        <v>14</v>
      </c>
      <c r="AH279" s="37">
        <f t="shared" si="32"/>
        <v>19.602</v>
      </c>
      <c r="AJ279" s="97"/>
      <c r="AN279" s="39"/>
      <c r="AO279" s="39"/>
      <c r="AP279" s="47"/>
      <c r="AR279" s="38"/>
      <c r="AS279" s="49"/>
    </row>
    <row r="280" spans="22:45" ht="16" x14ac:dyDescent="0.4">
      <c r="V280" s="97">
        <v>45833</v>
      </c>
      <c r="W280" s="16">
        <v>164118</v>
      </c>
      <c r="X280" s="101" t="s">
        <v>36</v>
      </c>
      <c r="Y280" s="105"/>
      <c r="Z280" s="102">
        <v>0.21041666666666667</v>
      </c>
      <c r="AA280" s="102">
        <v>0.26666666666666666</v>
      </c>
      <c r="AB280" s="16"/>
      <c r="AC280" s="16"/>
      <c r="AD280" s="93">
        <v>17732</v>
      </c>
      <c r="AE280" s="93">
        <f t="shared" si="30"/>
        <v>17.731999999999999</v>
      </c>
      <c r="AF280">
        <v>15.34</v>
      </c>
      <c r="AG280" s="72">
        <f t="shared" si="31"/>
        <v>14</v>
      </c>
      <c r="AH280" s="37">
        <f t="shared" si="32"/>
        <v>17.731999999999999</v>
      </c>
      <c r="AJ280" s="97"/>
      <c r="AN280" s="39"/>
      <c r="AO280" s="39"/>
      <c r="AP280" s="47"/>
      <c r="AR280" s="38"/>
      <c r="AS280" s="49"/>
    </row>
    <row r="281" spans="22:45" ht="16" x14ac:dyDescent="0.4">
      <c r="V281" s="97">
        <v>45833</v>
      </c>
      <c r="W281" s="16">
        <v>164158</v>
      </c>
      <c r="X281" s="101" t="s">
        <v>36</v>
      </c>
      <c r="Y281" s="105"/>
      <c r="Z281" s="102">
        <v>0.15555555555555556</v>
      </c>
      <c r="AA281" s="102">
        <v>0.33124999999999999</v>
      </c>
      <c r="AB281" s="16"/>
      <c r="AC281" s="16"/>
      <c r="AD281" s="93">
        <v>17590</v>
      </c>
      <c r="AE281" s="93">
        <f t="shared" si="30"/>
        <v>17.59</v>
      </c>
      <c r="AF281">
        <v>15.23</v>
      </c>
      <c r="AG281" s="72">
        <f t="shared" si="31"/>
        <v>14</v>
      </c>
      <c r="AH281" s="37">
        <f t="shared" si="32"/>
        <v>17.59</v>
      </c>
      <c r="AJ281" s="97"/>
      <c r="AN281" s="39"/>
      <c r="AO281" s="39"/>
      <c r="AP281" s="47"/>
      <c r="AR281" s="38"/>
      <c r="AS281" s="49"/>
    </row>
    <row r="282" spans="22:45" ht="16" x14ac:dyDescent="0.4">
      <c r="V282" s="97">
        <v>45833</v>
      </c>
      <c r="W282" s="16">
        <v>164246</v>
      </c>
      <c r="X282" s="101" t="s">
        <v>36</v>
      </c>
      <c r="Y282" s="105"/>
      <c r="Z282" s="102">
        <v>0.21041666666666667</v>
      </c>
      <c r="AA282" s="102">
        <v>0.39652777777777781</v>
      </c>
      <c r="AB282" s="16"/>
      <c r="AC282" s="16"/>
      <c r="AD282" s="93">
        <v>19202</v>
      </c>
      <c r="AE282" s="93">
        <f t="shared" si="30"/>
        <v>19.202000000000002</v>
      </c>
      <c r="AF282">
        <v>14.19</v>
      </c>
      <c r="AG282" s="72">
        <f t="shared" si="31"/>
        <v>14</v>
      </c>
      <c r="AH282" s="37">
        <f t="shared" si="32"/>
        <v>19.202000000000002</v>
      </c>
      <c r="AJ282" s="97"/>
      <c r="AN282" s="39"/>
      <c r="AO282" s="39"/>
      <c r="AP282" s="47"/>
      <c r="AR282" s="38"/>
      <c r="AS282" s="49"/>
    </row>
    <row r="283" spans="22:45" ht="16" x14ac:dyDescent="0.4">
      <c r="V283" s="97">
        <v>45833</v>
      </c>
      <c r="W283" s="16">
        <v>164328</v>
      </c>
      <c r="X283" s="101" t="s">
        <v>36</v>
      </c>
      <c r="Y283" s="105"/>
      <c r="Z283" s="102">
        <v>0.15555555555555556</v>
      </c>
      <c r="AA283" s="102">
        <v>0.49236111111111108</v>
      </c>
      <c r="AB283" s="16"/>
      <c r="AC283" s="16"/>
      <c r="AD283" s="93">
        <v>20728</v>
      </c>
      <c r="AE283" s="93">
        <f t="shared" si="30"/>
        <v>20.728000000000002</v>
      </c>
      <c r="AF283">
        <v>15.13</v>
      </c>
      <c r="AG283" s="72">
        <f t="shared" si="31"/>
        <v>14</v>
      </c>
      <c r="AH283" s="37">
        <f t="shared" si="32"/>
        <v>20.728000000000002</v>
      </c>
      <c r="AJ283" s="97"/>
      <c r="AN283" s="39"/>
      <c r="AO283" s="39"/>
      <c r="AP283" s="47"/>
      <c r="AR283" s="38"/>
      <c r="AS283" s="49"/>
    </row>
    <row r="284" spans="22:45" ht="16" x14ac:dyDescent="0.4">
      <c r="V284" s="97">
        <v>45833</v>
      </c>
      <c r="W284" s="16">
        <v>164361</v>
      </c>
      <c r="X284" s="101" t="s">
        <v>36</v>
      </c>
      <c r="Y284" s="105"/>
      <c r="Z284" s="102">
        <v>0.21041666666666667</v>
      </c>
      <c r="AA284" s="102">
        <v>0.55555555555555558</v>
      </c>
      <c r="AB284" s="16"/>
      <c r="AC284" s="16"/>
      <c r="AD284" s="93">
        <v>20302</v>
      </c>
      <c r="AE284" s="93">
        <f t="shared" si="30"/>
        <v>20.302</v>
      </c>
      <c r="AF284">
        <v>14.24</v>
      </c>
      <c r="AG284" s="72">
        <f t="shared" si="31"/>
        <v>14</v>
      </c>
      <c r="AH284" s="37">
        <f t="shared" si="32"/>
        <v>20.302</v>
      </c>
      <c r="AJ284" s="97"/>
      <c r="AN284" s="39"/>
      <c r="AO284" s="39"/>
      <c r="AP284" s="47"/>
      <c r="AR284" s="38"/>
      <c r="AS284" s="49"/>
    </row>
    <row r="285" spans="22:45" ht="16" x14ac:dyDescent="0.4">
      <c r="V285" s="97">
        <v>45833</v>
      </c>
      <c r="W285" s="16">
        <v>164419</v>
      </c>
      <c r="X285" s="101" t="s">
        <v>36</v>
      </c>
      <c r="Y285" s="105"/>
      <c r="Z285" s="102">
        <v>0.55625000000000002</v>
      </c>
      <c r="AA285" s="102">
        <v>0.62013888888888891</v>
      </c>
      <c r="AB285" s="16"/>
      <c r="AC285" s="16"/>
      <c r="AD285" s="93">
        <v>19032</v>
      </c>
      <c r="AE285" s="93">
        <f t="shared" si="30"/>
        <v>19.032</v>
      </c>
      <c r="AF285">
        <v>14.88</v>
      </c>
      <c r="AG285" s="72">
        <f t="shared" si="31"/>
        <v>14</v>
      </c>
      <c r="AH285" s="37">
        <f t="shared" si="32"/>
        <v>19.032</v>
      </c>
      <c r="AJ285" s="97"/>
      <c r="AN285" s="39"/>
      <c r="AO285" s="39"/>
      <c r="AP285" s="47"/>
      <c r="AR285" s="38"/>
      <c r="AS285" s="49"/>
    </row>
    <row r="286" spans="22:45" ht="16" x14ac:dyDescent="0.4">
      <c r="V286" s="97">
        <v>45833</v>
      </c>
      <c r="W286" s="16">
        <v>164473</v>
      </c>
      <c r="X286" s="101" t="s">
        <v>36</v>
      </c>
      <c r="Y286" s="105"/>
      <c r="Z286" s="102">
        <v>0.60763888888888895</v>
      </c>
      <c r="AA286" s="102">
        <v>0.68472222222222223</v>
      </c>
      <c r="AB286" s="16"/>
      <c r="AC286" s="16"/>
      <c r="AD286" s="93">
        <v>18576</v>
      </c>
      <c r="AE286" s="93">
        <f t="shared" si="30"/>
        <v>18.576000000000001</v>
      </c>
      <c r="AF286">
        <v>14.34</v>
      </c>
      <c r="AG286" s="72">
        <f t="shared" si="31"/>
        <v>14</v>
      </c>
      <c r="AH286" s="37">
        <f t="shared" si="32"/>
        <v>18.576000000000001</v>
      </c>
      <c r="AJ286" s="97"/>
      <c r="AN286" s="39"/>
      <c r="AP286" s="47"/>
      <c r="AR286" s="38"/>
      <c r="AS286" s="49"/>
    </row>
    <row r="287" spans="22:45" ht="16" x14ac:dyDescent="0.4">
      <c r="V287" s="97">
        <v>45833</v>
      </c>
      <c r="W287" s="16">
        <v>164496</v>
      </c>
      <c r="X287" s="101" t="s">
        <v>36</v>
      </c>
      <c r="Y287" s="105"/>
      <c r="Z287" s="102">
        <v>0.55684027777777778</v>
      </c>
      <c r="AA287" s="102">
        <v>0.73359953703703706</v>
      </c>
      <c r="AB287" s="16"/>
      <c r="AC287" s="16"/>
      <c r="AD287" s="93">
        <v>20384</v>
      </c>
      <c r="AE287" s="93">
        <f t="shared" si="30"/>
        <v>20.384</v>
      </c>
      <c r="AF287">
        <v>14.87</v>
      </c>
      <c r="AG287" s="72">
        <f t="shared" si="31"/>
        <v>14</v>
      </c>
      <c r="AH287" s="37">
        <f t="shared" si="32"/>
        <v>20.383999999999997</v>
      </c>
      <c r="AJ287" s="97"/>
      <c r="AN287" s="39"/>
      <c r="AO287" s="39"/>
      <c r="AP287" s="47"/>
      <c r="AR287" s="38"/>
      <c r="AS287" s="49"/>
    </row>
    <row r="288" spans="22:45" ht="16" x14ac:dyDescent="0.4">
      <c r="V288" s="97">
        <v>45833</v>
      </c>
      <c r="W288" s="16">
        <v>164524</v>
      </c>
      <c r="X288" s="101" t="s">
        <v>36</v>
      </c>
      <c r="Y288" s="105"/>
      <c r="Z288" s="102">
        <v>0.62190972222222218</v>
      </c>
      <c r="AA288" s="102">
        <v>0.79440972222222228</v>
      </c>
      <c r="AB288" s="16"/>
      <c r="AC288" s="16"/>
      <c r="AD288" s="93">
        <v>18432</v>
      </c>
      <c r="AE288" s="93">
        <f t="shared" si="30"/>
        <v>18.431999999999999</v>
      </c>
      <c r="AF288">
        <v>15.13</v>
      </c>
      <c r="AG288" s="72">
        <f t="shared" si="31"/>
        <v>14</v>
      </c>
      <c r="AH288" s="37">
        <f t="shared" si="32"/>
        <v>18.431999999999999</v>
      </c>
      <c r="AJ288" s="97"/>
      <c r="AN288" s="39"/>
      <c r="AO288" s="39"/>
      <c r="AP288" s="47"/>
      <c r="AR288" s="38"/>
      <c r="AS288" s="49"/>
    </row>
    <row r="289" spans="22:45" ht="16" x14ac:dyDescent="0.4">
      <c r="V289" s="97">
        <v>45833</v>
      </c>
      <c r="W289" s="16">
        <v>164554</v>
      </c>
      <c r="X289" s="101" t="s">
        <v>36</v>
      </c>
      <c r="Y289" s="105"/>
      <c r="Z289" s="102">
        <v>0.55675925925925929</v>
      </c>
      <c r="AA289" s="102">
        <v>0.86135416666666664</v>
      </c>
      <c r="AB289" s="16"/>
      <c r="AC289" s="16"/>
      <c r="AD289" s="93">
        <v>18560</v>
      </c>
      <c r="AE289" s="93">
        <f t="shared" si="30"/>
        <v>18.559999999999999</v>
      </c>
      <c r="AF289">
        <v>15.09</v>
      </c>
      <c r="AG289" s="72">
        <f t="shared" si="31"/>
        <v>14</v>
      </c>
      <c r="AH289" s="37">
        <f t="shared" si="32"/>
        <v>18.559999999999999</v>
      </c>
      <c r="AJ289" s="97"/>
      <c r="AN289" s="39"/>
      <c r="AO289" s="39"/>
      <c r="AP289" s="47"/>
      <c r="AR289" s="38"/>
      <c r="AS289" s="49"/>
    </row>
    <row r="290" spans="22:45" ht="16" x14ac:dyDescent="0.4">
      <c r="V290" s="97">
        <v>45833</v>
      </c>
      <c r="W290" s="16">
        <v>164572</v>
      </c>
      <c r="X290" s="101" t="s">
        <v>36</v>
      </c>
      <c r="Y290" s="105"/>
      <c r="Z290" s="102">
        <v>0.60793981481481485</v>
      </c>
      <c r="AA290" s="102">
        <v>0.91174768518518512</v>
      </c>
      <c r="AB290" s="16"/>
      <c r="AC290" s="16"/>
      <c r="AD290" s="93">
        <v>19564</v>
      </c>
      <c r="AE290" s="93">
        <f t="shared" si="30"/>
        <v>19.564</v>
      </c>
      <c r="AF290">
        <v>15.33</v>
      </c>
      <c r="AG290" s="72">
        <f t="shared" si="31"/>
        <v>14</v>
      </c>
      <c r="AH290" s="37">
        <f t="shared" si="32"/>
        <v>19.564</v>
      </c>
      <c r="AJ290" s="97"/>
      <c r="AN290" s="39"/>
      <c r="AO290" s="39"/>
      <c r="AP290" s="47"/>
      <c r="AR290" s="38"/>
      <c r="AS290" s="38"/>
    </row>
    <row r="291" spans="22:45" ht="16" x14ac:dyDescent="0.4">
      <c r="V291" s="97">
        <v>45834</v>
      </c>
      <c r="W291" s="16">
        <v>164598</v>
      </c>
      <c r="X291" s="101" t="s">
        <v>36</v>
      </c>
      <c r="Y291" s="105"/>
      <c r="Z291" s="102">
        <v>0.90337962962962959</v>
      </c>
      <c r="AA291" s="102">
        <v>0.99866898148148142</v>
      </c>
      <c r="AB291" s="16"/>
      <c r="AC291" s="16"/>
      <c r="AD291" s="93">
        <v>20946</v>
      </c>
      <c r="AE291" s="93">
        <f t="shared" si="30"/>
        <v>20.946000000000002</v>
      </c>
      <c r="AF291">
        <v>13.66</v>
      </c>
      <c r="AG291" s="72">
        <f t="shared" si="31"/>
        <v>13.66</v>
      </c>
      <c r="AH291" s="37">
        <f t="shared" si="32"/>
        <v>20.43731142857143</v>
      </c>
      <c r="AJ291" s="97"/>
      <c r="AN291" s="39"/>
      <c r="AO291" s="39"/>
      <c r="AP291" s="47"/>
      <c r="AR291" s="38"/>
      <c r="AS291" s="38"/>
    </row>
    <row r="292" spans="22:45" ht="16" x14ac:dyDescent="0.4">
      <c r="V292" s="97">
        <v>45834</v>
      </c>
      <c r="W292" s="16">
        <v>164603</v>
      </c>
      <c r="X292" s="101" t="s">
        <v>36</v>
      </c>
      <c r="Y292" s="105"/>
      <c r="Z292" s="102">
        <v>0.95787037037037026</v>
      </c>
      <c r="AA292" s="102">
        <v>5.707175925925926E-2</v>
      </c>
      <c r="AB292" s="16"/>
      <c r="AC292" s="16"/>
      <c r="AD292" s="93">
        <v>20076</v>
      </c>
      <c r="AE292" s="93">
        <f t="shared" si="30"/>
        <v>20.076000000000001</v>
      </c>
      <c r="AF292">
        <v>14.63</v>
      </c>
      <c r="AG292" s="72">
        <f t="shared" si="31"/>
        <v>14</v>
      </c>
      <c r="AH292" s="37">
        <f t="shared" si="32"/>
        <v>20.076000000000001</v>
      </c>
      <c r="AJ292" s="97"/>
      <c r="AN292" s="39"/>
      <c r="AO292" s="39"/>
      <c r="AP292" s="47"/>
      <c r="AR292" s="38"/>
      <c r="AS292" s="38"/>
    </row>
    <row r="293" spans="22:45" ht="16" x14ac:dyDescent="0.4">
      <c r="V293" s="97">
        <v>45834</v>
      </c>
      <c r="W293" s="16">
        <v>164612</v>
      </c>
      <c r="X293" s="101" t="s">
        <v>36</v>
      </c>
      <c r="Y293" s="105"/>
      <c r="Z293" s="102">
        <v>0.90325231481481483</v>
      </c>
      <c r="AA293" s="102">
        <v>0.11434027777777778</v>
      </c>
      <c r="AB293" s="16"/>
      <c r="AC293" s="16"/>
      <c r="AD293" s="93">
        <v>18820</v>
      </c>
      <c r="AE293" s="93">
        <f t="shared" si="30"/>
        <v>18.82</v>
      </c>
      <c r="AF293">
        <v>14.13</v>
      </c>
      <c r="AG293" s="72">
        <f t="shared" si="31"/>
        <v>14</v>
      </c>
      <c r="AH293" s="37">
        <f t="shared" si="32"/>
        <v>18.82</v>
      </c>
      <c r="AJ293" s="97"/>
      <c r="AN293" s="39"/>
      <c r="AO293" s="39"/>
      <c r="AP293" s="47"/>
      <c r="AR293" s="38"/>
      <c r="AS293" s="38"/>
    </row>
    <row r="294" spans="22:45" ht="16" x14ac:dyDescent="0.4">
      <c r="V294" s="97">
        <v>45834</v>
      </c>
      <c r="W294" s="16">
        <v>164619</v>
      </c>
      <c r="X294" s="101" t="s">
        <v>36</v>
      </c>
      <c r="Y294" s="105"/>
      <c r="Z294" s="102">
        <v>0.95775462962962965</v>
      </c>
      <c r="AA294" s="102">
        <v>0.1622800925925926</v>
      </c>
      <c r="AB294" s="16"/>
      <c r="AC294" s="16"/>
      <c r="AD294" s="93">
        <v>19316</v>
      </c>
      <c r="AE294" s="93">
        <f t="shared" si="30"/>
        <v>19.315999999999999</v>
      </c>
      <c r="AF294">
        <v>14.66</v>
      </c>
      <c r="AG294" s="72">
        <f t="shared" si="31"/>
        <v>14</v>
      </c>
      <c r="AH294" s="37">
        <f t="shared" si="32"/>
        <v>19.315999999999999</v>
      </c>
      <c r="AJ294" s="97"/>
      <c r="AN294" s="39"/>
      <c r="AO294" s="39"/>
      <c r="AP294" s="47"/>
      <c r="AR294" s="38"/>
      <c r="AS294" s="38"/>
    </row>
    <row r="295" spans="22:45" ht="16" x14ac:dyDescent="0.4">
      <c r="V295" s="97">
        <v>45834</v>
      </c>
      <c r="W295" s="16">
        <v>164624</v>
      </c>
      <c r="X295" s="101" t="s">
        <v>36</v>
      </c>
      <c r="Y295" s="105"/>
      <c r="Z295" s="102">
        <v>8.8614699074074075</v>
      </c>
      <c r="AA295" s="102">
        <v>0.21799768518518517</v>
      </c>
      <c r="AB295" s="16"/>
      <c r="AC295" s="16"/>
      <c r="AD295" s="93">
        <v>18510</v>
      </c>
      <c r="AE295" s="93">
        <f t="shared" si="30"/>
        <v>18.510000000000002</v>
      </c>
      <c r="AF295" s="16">
        <v>16.38</v>
      </c>
      <c r="AG295" s="72">
        <f t="shared" si="31"/>
        <v>14</v>
      </c>
      <c r="AH295" s="37">
        <f t="shared" si="32"/>
        <v>18.510000000000002</v>
      </c>
      <c r="AJ295" s="97"/>
      <c r="AN295" s="39"/>
      <c r="AP295" s="47"/>
      <c r="AR295" s="38"/>
      <c r="AS295" s="38"/>
    </row>
    <row r="296" spans="22:45" ht="16" x14ac:dyDescent="0.4">
      <c r="V296" s="97">
        <v>45834</v>
      </c>
      <c r="W296" s="16">
        <v>164642</v>
      </c>
      <c r="X296" s="101" t="s">
        <v>36</v>
      </c>
      <c r="Y296" s="105"/>
      <c r="Z296" s="102">
        <v>0.20694444444444446</v>
      </c>
      <c r="AA296" s="102">
        <v>0.30069444444444443</v>
      </c>
      <c r="AB296" s="16"/>
      <c r="AC296" s="16"/>
      <c r="AD296" s="93">
        <v>18606</v>
      </c>
      <c r="AE296" s="93">
        <f t="shared" si="30"/>
        <v>18.606000000000002</v>
      </c>
      <c r="AF296">
        <v>15.52</v>
      </c>
      <c r="AG296" s="72">
        <f t="shared" si="31"/>
        <v>14</v>
      </c>
      <c r="AH296" s="37">
        <f t="shared" si="32"/>
        <v>18.606000000000002</v>
      </c>
      <c r="AJ296" s="97"/>
      <c r="AN296" s="39"/>
      <c r="AO296" s="39"/>
      <c r="AP296" s="47"/>
      <c r="AR296" s="38"/>
      <c r="AS296" s="38"/>
    </row>
    <row r="297" spans="22:45" ht="16" x14ac:dyDescent="0.4">
      <c r="V297" s="97">
        <v>45834</v>
      </c>
      <c r="W297" s="16">
        <v>164713</v>
      </c>
      <c r="X297" s="101" t="s">
        <v>36</v>
      </c>
      <c r="Y297" s="105"/>
      <c r="Z297" s="102">
        <v>0.36805555555555558</v>
      </c>
      <c r="AA297" s="102"/>
      <c r="AB297" s="16"/>
      <c r="AC297" s="16"/>
      <c r="AD297" s="93">
        <v>19590</v>
      </c>
      <c r="AE297" s="93">
        <f t="shared" si="30"/>
        <v>19.59</v>
      </c>
      <c r="AF297">
        <v>15.16</v>
      </c>
      <c r="AG297" s="72">
        <f t="shared" si="31"/>
        <v>14</v>
      </c>
      <c r="AH297" s="37">
        <f t="shared" si="32"/>
        <v>19.59</v>
      </c>
      <c r="AJ297" s="97"/>
      <c r="AN297" s="39"/>
      <c r="AO297" s="39"/>
      <c r="AP297" s="47"/>
      <c r="AR297" s="38"/>
      <c r="AS297" s="38"/>
    </row>
    <row r="298" spans="22:45" ht="16" x14ac:dyDescent="0.4">
      <c r="V298" s="97">
        <v>45834</v>
      </c>
      <c r="W298" s="16">
        <v>164770</v>
      </c>
      <c r="X298" s="101" t="s">
        <v>36</v>
      </c>
      <c r="Y298" s="105"/>
      <c r="Z298" s="102">
        <v>0.95763888888888893</v>
      </c>
      <c r="AA298" s="102">
        <v>0.43402777777777773</v>
      </c>
      <c r="AB298" s="16"/>
      <c r="AC298" s="16"/>
      <c r="AD298" s="93">
        <v>18660</v>
      </c>
      <c r="AE298" s="93">
        <f t="shared" si="30"/>
        <v>18.66</v>
      </c>
      <c r="AF298">
        <v>16.34</v>
      </c>
      <c r="AG298" s="72">
        <f t="shared" si="31"/>
        <v>14</v>
      </c>
      <c r="AH298" s="37">
        <f t="shared" si="32"/>
        <v>18.66</v>
      </c>
      <c r="AJ298" s="97"/>
      <c r="AN298" s="39"/>
      <c r="AO298" s="39"/>
      <c r="AP298" s="47"/>
      <c r="AR298" s="38"/>
      <c r="AS298" s="38"/>
    </row>
    <row r="299" spans="22:45" ht="16" x14ac:dyDescent="0.4">
      <c r="V299" s="97">
        <v>45834</v>
      </c>
      <c r="W299" s="16">
        <v>164808</v>
      </c>
      <c r="X299" s="101" t="s">
        <v>36</v>
      </c>
      <c r="Y299" s="105"/>
      <c r="Z299" s="102">
        <v>0.44444444444444442</v>
      </c>
      <c r="AA299" s="102">
        <v>0.51597222222222217</v>
      </c>
      <c r="AB299" s="16"/>
      <c r="AC299" s="16"/>
      <c r="AD299" s="93">
        <v>20678</v>
      </c>
      <c r="AE299" s="93">
        <f t="shared" si="30"/>
        <v>20.678000000000001</v>
      </c>
      <c r="AF299">
        <v>14.84</v>
      </c>
      <c r="AG299" s="72">
        <f t="shared" si="31"/>
        <v>14</v>
      </c>
      <c r="AH299" s="37">
        <f t="shared" si="32"/>
        <v>20.678000000000001</v>
      </c>
      <c r="AJ299" s="97"/>
      <c r="AO299" s="39"/>
      <c r="AP299" s="47"/>
      <c r="AR299" s="38"/>
      <c r="AS299" s="38"/>
    </row>
    <row r="300" spans="22:45" ht="16" x14ac:dyDescent="0.4">
      <c r="V300" s="97">
        <v>45834</v>
      </c>
      <c r="W300" s="16">
        <v>164842</v>
      </c>
      <c r="X300" s="101" t="s">
        <v>36</v>
      </c>
      <c r="Y300" s="105"/>
      <c r="Z300" s="102">
        <v>0.20625000000000002</v>
      </c>
      <c r="AA300" s="102">
        <v>0.57291666666666663</v>
      </c>
      <c r="AB300" s="16"/>
      <c r="AC300" s="16"/>
      <c r="AD300" s="93">
        <v>17130</v>
      </c>
      <c r="AE300" s="93">
        <f t="shared" si="30"/>
        <v>17.13</v>
      </c>
      <c r="AF300">
        <v>14.59</v>
      </c>
      <c r="AG300" s="72">
        <f t="shared" si="31"/>
        <v>14</v>
      </c>
      <c r="AH300" s="37">
        <f t="shared" si="32"/>
        <v>17.13</v>
      </c>
      <c r="AJ300" s="97"/>
      <c r="AN300" s="39"/>
      <c r="AO300" s="39"/>
      <c r="AP300" s="47"/>
      <c r="AR300" s="38"/>
      <c r="AS300" s="38"/>
    </row>
    <row r="301" spans="22:45" ht="16" x14ac:dyDescent="0.4">
      <c r="V301" s="97">
        <v>45834</v>
      </c>
      <c r="W301" s="16">
        <v>164902</v>
      </c>
      <c r="X301" s="101" t="s">
        <v>36</v>
      </c>
      <c r="Y301" s="105"/>
      <c r="Z301" s="102">
        <v>1040</v>
      </c>
      <c r="AA301" s="102">
        <v>0.63680555555555551</v>
      </c>
      <c r="AB301" s="16"/>
      <c r="AC301" s="16"/>
      <c r="AD301" s="93">
        <v>17442</v>
      </c>
      <c r="AE301" s="93">
        <f t="shared" si="30"/>
        <v>17.442</v>
      </c>
      <c r="AF301">
        <v>15.63</v>
      </c>
      <c r="AG301" s="72">
        <f t="shared" si="31"/>
        <v>14</v>
      </c>
      <c r="AH301" s="37">
        <f t="shared" si="32"/>
        <v>17.442</v>
      </c>
      <c r="AJ301" s="97"/>
      <c r="AN301" s="39"/>
      <c r="AO301" s="39"/>
      <c r="AP301" s="47"/>
      <c r="AR301" s="38"/>
      <c r="AS301" s="38"/>
    </row>
    <row r="302" spans="22:45" ht="16" x14ac:dyDescent="0.4">
      <c r="V302" s="97">
        <v>45834</v>
      </c>
      <c r="W302" s="16">
        <v>164982</v>
      </c>
      <c r="X302" s="101" t="s">
        <v>36</v>
      </c>
      <c r="Y302" s="105"/>
      <c r="Z302" s="102">
        <v>0.61572916666666666</v>
      </c>
      <c r="AA302" s="102">
        <v>0.79400462962962959</v>
      </c>
      <c r="AB302" s="16"/>
      <c r="AC302" s="16"/>
      <c r="AD302" s="105">
        <v>20494</v>
      </c>
      <c r="AE302" s="93">
        <f t="shared" si="30"/>
        <v>20.494</v>
      </c>
      <c r="AF302">
        <v>14.63</v>
      </c>
      <c r="AG302" s="72">
        <f t="shared" si="31"/>
        <v>14</v>
      </c>
      <c r="AH302" s="37">
        <f t="shared" si="32"/>
        <v>20.494</v>
      </c>
      <c r="AJ302" s="97"/>
      <c r="AN302" s="39"/>
      <c r="AO302" s="39"/>
      <c r="AP302" s="47"/>
      <c r="AR302" s="38"/>
      <c r="AS302" s="38"/>
    </row>
    <row r="303" spans="22:45" ht="16" x14ac:dyDescent="0.4">
      <c r="V303" s="97">
        <v>45834</v>
      </c>
      <c r="W303" s="16">
        <v>165004</v>
      </c>
      <c r="X303" s="101" t="s">
        <v>36</v>
      </c>
      <c r="Y303" s="107"/>
      <c r="Z303" s="102">
        <v>0.76116898148148149</v>
      </c>
      <c r="AA303" s="102">
        <v>0.8499537037037036</v>
      </c>
      <c r="AB303" s="16"/>
      <c r="AC303" s="16"/>
      <c r="AD303" s="105">
        <v>18922</v>
      </c>
      <c r="AE303" s="93">
        <f t="shared" si="30"/>
        <v>18.922000000000001</v>
      </c>
      <c r="AF303">
        <v>16.09</v>
      </c>
      <c r="AG303" s="72">
        <f t="shared" si="31"/>
        <v>14</v>
      </c>
      <c r="AH303" s="37">
        <f t="shared" si="32"/>
        <v>18.922000000000001</v>
      </c>
      <c r="AJ303" s="97"/>
      <c r="AK303" s="34"/>
      <c r="AN303" s="39"/>
      <c r="AO303" s="39"/>
      <c r="AP303" s="47"/>
      <c r="AR303" s="38"/>
      <c r="AS303" s="38"/>
    </row>
    <row r="304" spans="22:45" ht="16" x14ac:dyDescent="0.4">
      <c r="V304" s="97">
        <v>45834</v>
      </c>
      <c r="W304" s="16">
        <v>165039</v>
      </c>
      <c r="X304" s="101" t="s">
        <v>36</v>
      </c>
      <c r="Y304" s="107"/>
      <c r="Z304" s="102">
        <v>0.6158217592592593</v>
      </c>
      <c r="AA304" s="102">
        <v>0.93315972222222221</v>
      </c>
      <c r="AB304" s="16"/>
      <c r="AC304" s="16"/>
      <c r="AD304" s="105">
        <v>21088</v>
      </c>
      <c r="AE304" s="93">
        <f t="shared" si="30"/>
        <v>21.088000000000001</v>
      </c>
      <c r="AF304">
        <v>15.7</v>
      </c>
      <c r="AG304" s="72">
        <f t="shared" si="31"/>
        <v>14</v>
      </c>
      <c r="AH304" s="37">
        <f t="shared" si="32"/>
        <v>21.088000000000001</v>
      </c>
      <c r="AJ304" s="97"/>
      <c r="AK304" s="34"/>
      <c r="AN304" s="39"/>
      <c r="AP304" s="47"/>
      <c r="AR304" s="38"/>
      <c r="AS304" s="38"/>
    </row>
    <row r="305" spans="22:45" ht="16" x14ac:dyDescent="0.4">
      <c r="V305" s="97">
        <v>45834</v>
      </c>
      <c r="W305" s="16">
        <v>165060</v>
      </c>
      <c r="X305" s="101" t="s">
        <v>36</v>
      </c>
      <c r="Y305" s="107"/>
      <c r="Z305" s="102">
        <v>0.76123842592592583</v>
      </c>
      <c r="AA305" s="102">
        <v>0.98627314814814815</v>
      </c>
      <c r="AB305" s="16"/>
      <c r="AC305" s="16"/>
      <c r="AD305" s="105">
        <v>18974</v>
      </c>
      <c r="AE305" s="93">
        <f t="shared" si="30"/>
        <v>18.974</v>
      </c>
      <c r="AF305">
        <v>16.77</v>
      </c>
      <c r="AG305" s="72">
        <f t="shared" si="31"/>
        <v>14</v>
      </c>
      <c r="AH305" s="37">
        <f t="shared" si="32"/>
        <v>18.974</v>
      </c>
      <c r="AJ305" s="97"/>
      <c r="AK305" s="34"/>
      <c r="AN305" s="39"/>
      <c r="AO305" s="39"/>
      <c r="AP305" s="47"/>
      <c r="AR305" s="38"/>
      <c r="AS305" s="84"/>
    </row>
    <row r="306" spans="22:45" ht="16" x14ac:dyDescent="0.4">
      <c r="V306" s="97">
        <v>45835</v>
      </c>
      <c r="W306" s="16">
        <v>165067</v>
      </c>
      <c r="X306" s="101" t="s">
        <v>36</v>
      </c>
      <c r="Y306" s="107"/>
      <c r="Z306" s="102">
        <v>0.61593750000000003</v>
      </c>
      <c r="AA306" s="102">
        <v>4.2025462962962966E-2</v>
      </c>
      <c r="AB306" s="16"/>
      <c r="AC306" s="16"/>
      <c r="AD306" s="105">
        <v>19026</v>
      </c>
      <c r="AE306" s="93">
        <f t="shared" si="30"/>
        <v>19.026</v>
      </c>
      <c r="AF306">
        <v>15.98</v>
      </c>
      <c r="AG306" s="72">
        <f t="shared" si="31"/>
        <v>14</v>
      </c>
      <c r="AH306" s="37">
        <f t="shared" si="32"/>
        <v>19.026</v>
      </c>
      <c r="AJ306" s="97"/>
      <c r="AK306" s="34"/>
      <c r="AN306" s="39"/>
      <c r="AO306" s="39"/>
      <c r="AP306" s="47"/>
      <c r="AR306" s="38"/>
      <c r="AS306" s="38"/>
    </row>
    <row r="307" spans="22:45" ht="16" x14ac:dyDescent="0.4">
      <c r="V307" s="97">
        <v>45835</v>
      </c>
      <c r="W307" s="16">
        <v>165077</v>
      </c>
      <c r="X307" s="101" t="s">
        <v>36</v>
      </c>
      <c r="Y307" s="107"/>
      <c r="Z307" s="102">
        <v>0.44473379629629628</v>
      </c>
      <c r="AA307" s="102">
        <v>8.3993055555555543E-2</v>
      </c>
      <c r="AB307" s="16"/>
      <c r="AC307" s="16"/>
      <c r="AD307" s="105">
        <v>20318</v>
      </c>
      <c r="AE307" s="93">
        <f t="shared" si="30"/>
        <v>20.318000000000001</v>
      </c>
      <c r="AF307">
        <v>14.59</v>
      </c>
      <c r="AG307" s="72">
        <f t="shared" si="31"/>
        <v>14</v>
      </c>
      <c r="AH307" s="37">
        <f t="shared" si="32"/>
        <v>20.318000000000001</v>
      </c>
      <c r="AJ307" s="38"/>
      <c r="AK307" s="34"/>
      <c r="AL307" s="16"/>
      <c r="AN307" s="39"/>
      <c r="AO307" s="39"/>
      <c r="AP307" s="47"/>
      <c r="AR307" s="38"/>
      <c r="AS307" s="38"/>
    </row>
    <row r="308" spans="22:45" ht="16" x14ac:dyDescent="0.4">
      <c r="V308" s="97">
        <v>45835</v>
      </c>
      <c r="W308" s="16">
        <v>165090</v>
      </c>
      <c r="X308" s="101" t="s">
        <v>36</v>
      </c>
      <c r="Y308" s="107"/>
      <c r="Z308" s="102">
        <v>0.10077546296296297</v>
      </c>
      <c r="AA308" s="102">
        <v>0.14346064814814816</v>
      </c>
      <c r="AB308" s="16"/>
      <c r="AC308" s="16"/>
      <c r="AD308" s="105">
        <v>16962</v>
      </c>
      <c r="AE308" s="93">
        <f t="shared" si="30"/>
        <v>16.962</v>
      </c>
      <c r="AF308">
        <v>15.38</v>
      </c>
      <c r="AG308" s="72">
        <f t="shared" si="31"/>
        <v>14</v>
      </c>
      <c r="AH308" s="37">
        <f t="shared" si="32"/>
        <v>16.962</v>
      </c>
      <c r="AJ308" s="38"/>
      <c r="AK308" s="34"/>
      <c r="AL308" s="16"/>
      <c r="AN308" s="39"/>
      <c r="AO308" s="39"/>
      <c r="AP308" s="47"/>
      <c r="AR308" s="38"/>
      <c r="AS308" s="38"/>
    </row>
    <row r="309" spans="22:45" ht="16" x14ac:dyDescent="0.4">
      <c r="V309" s="97">
        <v>45835</v>
      </c>
      <c r="W309" s="16">
        <v>165139</v>
      </c>
      <c r="X309" s="101" t="s">
        <v>36</v>
      </c>
      <c r="Y309" s="107"/>
      <c r="Z309" s="102">
        <v>0.12638888888888888</v>
      </c>
      <c r="AA309" s="102">
        <v>0.3298611111111111</v>
      </c>
      <c r="AB309" s="16">
        <v>104</v>
      </c>
      <c r="AC309" s="16" t="s">
        <v>612</v>
      </c>
      <c r="AD309" s="105">
        <v>4874</v>
      </c>
      <c r="AE309" s="93">
        <f t="shared" si="30"/>
        <v>4.8739999999999997</v>
      </c>
      <c r="AF309">
        <v>3.89</v>
      </c>
      <c r="AG309" s="72">
        <f t="shared" si="31"/>
        <v>3.89</v>
      </c>
      <c r="AH309" s="37">
        <f t="shared" si="32"/>
        <v>1.3542757142857142</v>
      </c>
      <c r="AJ309" s="38"/>
      <c r="AK309" s="34"/>
      <c r="AL309" s="16"/>
      <c r="AN309" s="39"/>
      <c r="AO309" s="39"/>
      <c r="AP309" s="47"/>
      <c r="AR309" s="38"/>
      <c r="AS309" s="38"/>
    </row>
    <row r="310" spans="22:45" ht="16" x14ac:dyDescent="0.4">
      <c r="V310" s="97">
        <v>45835</v>
      </c>
      <c r="W310" s="16">
        <v>165232</v>
      </c>
      <c r="X310" s="101" t="s">
        <v>36</v>
      </c>
      <c r="Y310" s="107"/>
      <c r="Z310" s="102">
        <v>0.10069444444444443</v>
      </c>
      <c r="AA310" s="102">
        <v>0.42222222222222222</v>
      </c>
      <c r="AB310" s="16"/>
      <c r="AC310" s="16"/>
      <c r="AD310" s="105">
        <v>20214</v>
      </c>
      <c r="AE310" s="93">
        <f t="shared" si="30"/>
        <v>20.213999999999999</v>
      </c>
      <c r="AF310">
        <v>17.13</v>
      </c>
      <c r="AG310" s="72">
        <f t="shared" si="31"/>
        <v>14</v>
      </c>
      <c r="AH310" s="37">
        <f t="shared" si="32"/>
        <v>20.213999999999999</v>
      </c>
      <c r="AJ310" s="38"/>
      <c r="AK310" s="34"/>
      <c r="AL310" s="16"/>
      <c r="AN310" s="39"/>
      <c r="AO310" s="39"/>
      <c r="AP310" s="47"/>
      <c r="AR310" s="38"/>
      <c r="AS310" s="38"/>
    </row>
    <row r="311" spans="22:45" ht="16" x14ac:dyDescent="0.4">
      <c r="V311" s="97">
        <v>45835</v>
      </c>
      <c r="W311" s="16">
        <v>165293</v>
      </c>
      <c r="X311" s="101" t="s">
        <v>36</v>
      </c>
      <c r="Y311" s="107"/>
      <c r="Z311" s="102">
        <v>0.12638888888888888</v>
      </c>
      <c r="AA311" s="102">
        <v>0.51041666666666663</v>
      </c>
      <c r="AB311" s="16"/>
      <c r="AC311" s="16"/>
      <c r="AD311" s="105">
        <v>20422</v>
      </c>
      <c r="AE311" s="93">
        <f t="shared" si="30"/>
        <v>20.422000000000001</v>
      </c>
      <c r="AF311">
        <v>16.739999999999998</v>
      </c>
      <c r="AG311" s="72">
        <f t="shared" si="31"/>
        <v>14</v>
      </c>
      <c r="AH311" s="37">
        <f t="shared" si="32"/>
        <v>20.422000000000001</v>
      </c>
      <c r="AJ311" s="38"/>
      <c r="AK311" s="34"/>
      <c r="AL311" s="16"/>
      <c r="AN311" s="39"/>
      <c r="AO311" s="39"/>
      <c r="AP311" s="47"/>
      <c r="AR311" s="38"/>
      <c r="AS311" s="38"/>
    </row>
    <row r="312" spans="22:45" ht="16" x14ac:dyDescent="0.4">
      <c r="V312" s="97">
        <v>45835</v>
      </c>
      <c r="W312" s="16">
        <v>165333</v>
      </c>
      <c r="X312" s="101" t="s">
        <v>36</v>
      </c>
      <c r="Y312" s="107"/>
      <c r="Z312" s="102">
        <v>0.95277777777777783</v>
      </c>
      <c r="AA312" s="102">
        <v>0.57638888888888895</v>
      </c>
      <c r="AB312" s="16"/>
      <c r="AC312" s="16"/>
      <c r="AD312" s="105">
        <v>20734</v>
      </c>
      <c r="AE312" s="93">
        <f t="shared" si="30"/>
        <v>20.734000000000002</v>
      </c>
      <c r="AF312">
        <v>15.49</v>
      </c>
      <c r="AG312" s="72">
        <f t="shared" si="31"/>
        <v>14</v>
      </c>
      <c r="AH312" s="37">
        <f t="shared" si="32"/>
        <v>20.734000000000002</v>
      </c>
      <c r="AJ312" s="38"/>
      <c r="AK312" s="34"/>
      <c r="AL312" s="16"/>
      <c r="AN312" s="39"/>
      <c r="AO312" s="39"/>
      <c r="AP312" s="47"/>
      <c r="AR312" s="38"/>
      <c r="AS312" s="38"/>
    </row>
    <row r="313" spans="22:45" ht="16" x14ac:dyDescent="0.4">
      <c r="V313" s="97">
        <v>45835</v>
      </c>
      <c r="W313" s="16">
        <v>165404</v>
      </c>
      <c r="X313" s="101" t="s">
        <v>36</v>
      </c>
      <c r="Y313" s="107"/>
      <c r="Z313" s="102">
        <v>0.12638888888888888</v>
      </c>
      <c r="AA313" s="102">
        <v>0.64444444444444449</v>
      </c>
      <c r="AB313" s="16"/>
      <c r="AC313" s="16"/>
      <c r="AD313" s="105">
        <v>20110</v>
      </c>
      <c r="AE313" s="93">
        <f t="shared" si="30"/>
        <v>20.11</v>
      </c>
      <c r="AF313">
        <v>16.62</v>
      </c>
      <c r="AG313" s="72">
        <f t="shared" si="31"/>
        <v>14</v>
      </c>
      <c r="AH313" s="37">
        <f t="shared" si="32"/>
        <v>20.109999999999996</v>
      </c>
      <c r="AJ313" s="38"/>
      <c r="AK313" s="34"/>
      <c r="AL313" s="16"/>
      <c r="AN313" s="39"/>
      <c r="AO313" s="39"/>
      <c r="AP313" s="47"/>
      <c r="AR313" s="38"/>
      <c r="AS313" s="38"/>
    </row>
    <row r="314" spans="22:45" ht="16" x14ac:dyDescent="0.4">
      <c r="V314" s="97">
        <v>45835</v>
      </c>
      <c r="W314" s="16">
        <v>165439</v>
      </c>
      <c r="X314" s="101" t="s">
        <v>36</v>
      </c>
      <c r="Y314" s="107"/>
      <c r="Z314" s="102">
        <v>0.63055555555555554</v>
      </c>
      <c r="AA314" s="102">
        <v>0.71319444444444446</v>
      </c>
      <c r="AB314" s="16"/>
      <c r="AC314" s="16"/>
      <c r="AD314" s="105">
        <v>19840</v>
      </c>
      <c r="AE314" s="93">
        <f t="shared" si="30"/>
        <v>19.84</v>
      </c>
      <c r="AF314">
        <v>15.63</v>
      </c>
      <c r="AG314" s="72">
        <f t="shared" si="31"/>
        <v>14</v>
      </c>
      <c r="AH314" s="37">
        <f t="shared" si="32"/>
        <v>19.84</v>
      </c>
      <c r="AJ314" s="38"/>
      <c r="AK314" s="34"/>
      <c r="AL314" s="16"/>
      <c r="AN314" s="39"/>
      <c r="AO314" s="39"/>
      <c r="AP314" s="47"/>
      <c r="AR314" s="38"/>
      <c r="AS314" s="38"/>
    </row>
    <row r="315" spans="22:45" ht="16" x14ac:dyDescent="0.4">
      <c r="V315" s="97">
        <v>45835</v>
      </c>
      <c r="W315" s="16">
        <v>165460</v>
      </c>
      <c r="X315" s="101" t="s">
        <v>36</v>
      </c>
      <c r="Y315" s="107"/>
      <c r="Z315" s="102">
        <v>0.69901620370370365</v>
      </c>
      <c r="AA315" s="102">
        <v>0.77446759259259268</v>
      </c>
      <c r="AB315" s="16"/>
      <c r="AC315" s="16"/>
      <c r="AD315" s="105">
        <v>19248</v>
      </c>
      <c r="AE315" s="93">
        <f t="shared" si="30"/>
        <v>19.248000000000001</v>
      </c>
      <c r="AF315">
        <v>15.8</v>
      </c>
      <c r="AG315" s="72">
        <f t="shared" si="31"/>
        <v>14</v>
      </c>
      <c r="AH315" s="37">
        <f t="shared" si="32"/>
        <v>19.248000000000001</v>
      </c>
      <c r="AJ315" s="38"/>
      <c r="AK315" s="34"/>
      <c r="AL315" s="16"/>
      <c r="AN315" s="39"/>
      <c r="AO315" s="39"/>
      <c r="AP315" s="47"/>
      <c r="AR315" s="38"/>
      <c r="AS315" s="38"/>
    </row>
    <row r="316" spans="22:45" ht="16" x14ac:dyDescent="0.4">
      <c r="V316" s="97">
        <v>45835</v>
      </c>
      <c r="W316" s="16">
        <v>165482</v>
      </c>
      <c r="X316" s="101" t="s">
        <v>36</v>
      </c>
      <c r="Y316" s="107"/>
      <c r="Z316" s="102">
        <v>0.63023148148148145</v>
      </c>
      <c r="AA316" s="102">
        <v>0.82611111111111113</v>
      </c>
      <c r="AB316" s="16"/>
      <c r="AC316" s="16"/>
      <c r="AD316" s="105">
        <v>19348</v>
      </c>
      <c r="AE316" s="93">
        <f t="shared" si="30"/>
        <v>19.347999999999999</v>
      </c>
      <c r="AF316">
        <v>16.45</v>
      </c>
      <c r="AG316" s="72">
        <f t="shared" si="31"/>
        <v>14</v>
      </c>
      <c r="AH316" s="37">
        <f t="shared" si="32"/>
        <v>19.347999999999995</v>
      </c>
      <c r="AJ316" s="38"/>
      <c r="AK316" s="34"/>
      <c r="AL316" s="16"/>
      <c r="AN316" s="39"/>
      <c r="AP316" s="47"/>
      <c r="AR316" s="38"/>
      <c r="AS316" s="38"/>
    </row>
    <row r="317" spans="22:45" ht="16" x14ac:dyDescent="0.4">
      <c r="V317" s="97">
        <v>45835</v>
      </c>
      <c r="W317" s="16">
        <v>165511</v>
      </c>
      <c r="X317" s="101" t="s">
        <v>36</v>
      </c>
      <c r="Y317" s="107"/>
      <c r="Z317" s="102">
        <v>0.69888888888888889</v>
      </c>
      <c r="AA317" s="102">
        <v>0.89254629629629623</v>
      </c>
      <c r="AB317" s="16"/>
      <c r="AC317" s="16"/>
      <c r="AD317" s="105">
        <v>20800</v>
      </c>
      <c r="AE317" s="93">
        <f t="shared" si="30"/>
        <v>20.8</v>
      </c>
      <c r="AF317">
        <v>14.02</v>
      </c>
      <c r="AG317" s="72">
        <f t="shared" si="31"/>
        <v>14</v>
      </c>
      <c r="AH317" s="37">
        <f t="shared" si="32"/>
        <v>20.8</v>
      </c>
      <c r="AJ317" s="38"/>
      <c r="AK317" s="34"/>
      <c r="AL317" s="16"/>
      <c r="AN317" s="39"/>
      <c r="AO317" s="39"/>
      <c r="AP317" s="47"/>
      <c r="AR317" s="38"/>
      <c r="AS317" s="38"/>
    </row>
    <row r="318" spans="22:45" ht="16" x14ac:dyDescent="0.4">
      <c r="V318" s="97">
        <v>45835</v>
      </c>
      <c r="W318" s="16">
        <v>165546</v>
      </c>
      <c r="X318" s="101" t="s">
        <v>36</v>
      </c>
      <c r="Y318" s="107"/>
      <c r="Z318" s="102">
        <v>0.63032407407407409</v>
      </c>
      <c r="AA318" s="102">
        <v>0.97734953703703698</v>
      </c>
      <c r="AB318" s="16"/>
      <c r="AC318" s="16"/>
      <c r="AD318" s="105">
        <v>20534</v>
      </c>
      <c r="AE318" s="93">
        <f t="shared" si="30"/>
        <v>20.533999999999999</v>
      </c>
      <c r="AF318">
        <v>14.24</v>
      </c>
      <c r="AG318" s="72">
        <f t="shared" si="31"/>
        <v>14</v>
      </c>
      <c r="AH318" s="37">
        <f t="shared" si="32"/>
        <v>20.533999999999999</v>
      </c>
      <c r="AJ318" s="38"/>
      <c r="AK318" s="34"/>
      <c r="AL318" s="16"/>
      <c r="AN318" s="39"/>
      <c r="AO318" s="39"/>
      <c r="AP318" s="47"/>
      <c r="AR318" s="38"/>
      <c r="AS318" s="38"/>
    </row>
    <row r="319" spans="22:45" ht="16" x14ac:dyDescent="0.4">
      <c r="V319" s="97">
        <v>45836</v>
      </c>
      <c r="W319" s="16">
        <v>165566</v>
      </c>
      <c r="X319" s="101" t="s">
        <v>36</v>
      </c>
      <c r="Y319" s="107"/>
      <c r="Z319" s="102">
        <v>0.69879629629629625</v>
      </c>
      <c r="AA319" s="102">
        <v>4.2696759259259261E-2</v>
      </c>
      <c r="AB319" s="16"/>
      <c r="AC319" s="16"/>
      <c r="AD319" s="105">
        <v>19866</v>
      </c>
      <c r="AE319" s="93">
        <f t="shared" si="30"/>
        <v>19.866</v>
      </c>
      <c r="AF319">
        <v>15.91</v>
      </c>
      <c r="AG319" s="72">
        <f t="shared" si="31"/>
        <v>14</v>
      </c>
      <c r="AH319" s="37">
        <f t="shared" si="32"/>
        <v>19.866000000000003</v>
      </c>
      <c r="AJ319" s="38"/>
      <c r="AK319" s="34"/>
      <c r="AL319" s="16"/>
      <c r="AN319" s="39"/>
      <c r="AP319" s="47"/>
      <c r="AR319" s="38"/>
      <c r="AS319" s="38"/>
    </row>
    <row r="320" spans="22:45" ht="16" x14ac:dyDescent="0.4">
      <c r="V320" s="97">
        <v>45836</v>
      </c>
      <c r="W320" s="16">
        <v>165584</v>
      </c>
      <c r="X320" s="101" t="s">
        <v>36</v>
      </c>
      <c r="Y320" s="107"/>
      <c r="Z320" s="102">
        <v>2.3842592592592596E-2</v>
      </c>
      <c r="AA320" s="102">
        <v>9.9293981481481483E-2</v>
      </c>
      <c r="AB320" s="16"/>
      <c r="AC320" s="16"/>
      <c r="AD320" s="105">
        <v>19420</v>
      </c>
      <c r="AE320" s="93">
        <f t="shared" si="30"/>
        <v>19.420000000000002</v>
      </c>
      <c r="AF320">
        <v>15.49</v>
      </c>
      <c r="AG320" s="72">
        <f t="shared" si="31"/>
        <v>14</v>
      </c>
      <c r="AH320" s="37">
        <f t="shared" si="32"/>
        <v>19.419999999999998</v>
      </c>
      <c r="AJ320" s="38"/>
      <c r="AK320" s="34"/>
      <c r="AL320" s="16"/>
      <c r="AN320" s="39"/>
      <c r="AO320" s="39"/>
      <c r="AP320" s="47"/>
      <c r="AR320" s="38"/>
      <c r="AS320" s="38"/>
    </row>
    <row r="321" spans="22:45" ht="16" x14ac:dyDescent="0.4">
      <c r="V321" s="97">
        <v>45836</v>
      </c>
      <c r="W321" s="16">
        <v>165595</v>
      </c>
      <c r="X321" s="101" t="s">
        <v>36</v>
      </c>
      <c r="Y321" s="107"/>
      <c r="Z321" s="102">
        <v>8.1712962962962959E-2</v>
      </c>
      <c r="AA321" s="102">
        <v>0.15949074074074074</v>
      </c>
      <c r="AB321" s="16"/>
      <c r="AC321" s="16"/>
      <c r="AD321" s="105">
        <v>19932</v>
      </c>
      <c r="AE321" s="93">
        <f t="shared" si="30"/>
        <v>19.931999999999999</v>
      </c>
      <c r="AF321">
        <v>15.84</v>
      </c>
      <c r="AG321" s="72">
        <f t="shared" si="31"/>
        <v>14</v>
      </c>
      <c r="AH321" s="37">
        <f t="shared" si="32"/>
        <v>19.931999999999999</v>
      </c>
      <c r="AJ321" s="34"/>
      <c r="AK321" s="34"/>
      <c r="AL321" s="82"/>
      <c r="AN321" s="83"/>
      <c r="AO321" s="83"/>
      <c r="AP321" s="82"/>
      <c r="AQ321" s="84"/>
      <c r="AR321" s="84"/>
      <c r="AS321" s="38"/>
    </row>
    <row r="322" spans="22:45" ht="16" x14ac:dyDescent="0.4">
      <c r="V322" s="97">
        <v>45836</v>
      </c>
      <c r="W322" s="16">
        <v>165604</v>
      </c>
      <c r="X322" s="101" t="s">
        <v>36</v>
      </c>
      <c r="Y322" s="107"/>
      <c r="Z322" s="102">
        <v>2.3981481481481479E-2</v>
      </c>
      <c r="AA322" s="102">
        <v>0.21026620370370372</v>
      </c>
      <c r="AB322" s="16"/>
      <c r="AC322" s="16"/>
      <c r="AD322" s="105">
        <v>18914</v>
      </c>
      <c r="AE322" s="93">
        <f t="shared" si="30"/>
        <v>18.914000000000001</v>
      </c>
      <c r="AF322">
        <v>14.98</v>
      </c>
      <c r="AG322" s="72">
        <f t="shared" si="31"/>
        <v>14</v>
      </c>
      <c r="AH322" s="37">
        <f t="shared" si="32"/>
        <v>18.914000000000005</v>
      </c>
      <c r="AJ322" s="34"/>
      <c r="AK322" s="34"/>
      <c r="AL322" s="82"/>
      <c r="AN322" s="83"/>
      <c r="AO322" s="83"/>
      <c r="AP322" s="82"/>
      <c r="AQ322" s="84"/>
      <c r="AR322" s="84"/>
      <c r="AS322" s="38"/>
    </row>
    <row r="323" spans="22:45" ht="16" x14ac:dyDescent="0.4">
      <c r="V323" s="97">
        <v>45836</v>
      </c>
      <c r="W323" s="16">
        <v>165653</v>
      </c>
      <c r="X323" s="101" t="s">
        <v>36</v>
      </c>
      <c r="Y323" s="107"/>
      <c r="Z323" s="102">
        <v>0.69444444444444453</v>
      </c>
      <c r="AA323" s="102">
        <v>0.27291666666666664</v>
      </c>
      <c r="AB323" s="16"/>
      <c r="AC323" s="16"/>
      <c r="AD323" s="105">
        <v>17734</v>
      </c>
      <c r="AE323" s="93">
        <f t="shared" si="30"/>
        <v>17.734000000000002</v>
      </c>
      <c r="AF323">
        <v>16.13</v>
      </c>
      <c r="AG323" s="72">
        <f t="shared" si="31"/>
        <v>14</v>
      </c>
      <c r="AH323" s="37">
        <f t="shared" si="32"/>
        <v>17.734000000000002</v>
      </c>
      <c r="AJ323" s="34"/>
      <c r="AK323" s="34"/>
      <c r="AL323" s="82"/>
      <c r="AN323" s="83"/>
      <c r="AO323" s="83"/>
      <c r="AP323" s="82"/>
      <c r="AQ323" s="84"/>
      <c r="AR323" s="84"/>
      <c r="AS323" s="84"/>
    </row>
    <row r="324" spans="22:45" ht="16" x14ac:dyDescent="0.4">
      <c r="V324" s="97">
        <v>45836</v>
      </c>
      <c r="W324" s="16">
        <v>165677</v>
      </c>
      <c r="X324" s="101" t="s">
        <v>36</v>
      </c>
      <c r="Y324" s="107"/>
      <c r="Z324" s="102">
        <v>0.62916666666666665</v>
      </c>
      <c r="AA324" s="102">
        <v>0.36388888888888887</v>
      </c>
      <c r="AB324" s="16"/>
      <c r="AC324" s="16"/>
      <c r="AD324" s="105">
        <v>19472</v>
      </c>
      <c r="AE324" s="93">
        <f t="shared" si="30"/>
        <v>19.472000000000001</v>
      </c>
      <c r="AF324">
        <v>15.88</v>
      </c>
      <c r="AG324" s="72">
        <f t="shared" si="31"/>
        <v>14</v>
      </c>
      <c r="AH324" s="37">
        <f t="shared" si="32"/>
        <v>19.472000000000001</v>
      </c>
      <c r="AJ324" s="34"/>
      <c r="AK324" s="34"/>
      <c r="AL324" s="82"/>
      <c r="AN324" s="83"/>
      <c r="AO324" s="83"/>
      <c r="AP324" s="82"/>
      <c r="AQ324" s="84"/>
      <c r="AR324" s="84"/>
      <c r="AS324" s="84"/>
    </row>
    <row r="325" spans="22:45" ht="16" x14ac:dyDescent="0.4">
      <c r="V325" s="97">
        <v>45836</v>
      </c>
      <c r="W325" s="16">
        <v>165762</v>
      </c>
      <c r="X325" s="101" t="s">
        <v>36</v>
      </c>
      <c r="Y325" s="107"/>
      <c r="Z325" s="102">
        <v>2.361111111111111E-2</v>
      </c>
      <c r="AA325" s="102">
        <v>0.48125000000000001</v>
      </c>
      <c r="AB325" s="16"/>
      <c r="AC325" s="16"/>
      <c r="AD325" s="105">
        <v>21752</v>
      </c>
      <c r="AE325" s="93">
        <f t="shared" ref="AE325:AE388" si="33">AD325/1000</f>
        <v>21.751999999999999</v>
      </c>
      <c r="AF325">
        <v>14.12</v>
      </c>
      <c r="AG325" s="72">
        <f t="shared" si="31"/>
        <v>14</v>
      </c>
      <c r="AH325" s="37">
        <f t="shared" si="32"/>
        <v>21.751999999999999</v>
      </c>
      <c r="AJ325" s="34"/>
      <c r="AK325" s="34"/>
      <c r="AL325" s="82"/>
      <c r="AN325" s="83"/>
      <c r="AO325" s="83"/>
      <c r="AP325" s="82"/>
      <c r="AQ325" s="84"/>
      <c r="AR325" s="84"/>
      <c r="AS325" s="84"/>
    </row>
    <row r="326" spans="22:45" ht="16" x14ac:dyDescent="0.4">
      <c r="V326" s="97">
        <v>45836</v>
      </c>
      <c r="W326" s="16">
        <v>165780</v>
      </c>
      <c r="X326" s="101" t="s">
        <v>36</v>
      </c>
      <c r="Y326" s="107"/>
      <c r="Z326" s="102">
        <v>8.1250000000000003E-2</v>
      </c>
      <c r="AA326" s="102">
        <v>0.54999999999999993</v>
      </c>
      <c r="AB326" s="16"/>
      <c r="AC326" s="16"/>
      <c r="AD326" s="105">
        <v>19664</v>
      </c>
      <c r="AE326" s="93">
        <f t="shared" si="33"/>
        <v>19.664000000000001</v>
      </c>
      <c r="AF326">
        <v>14.24</v>
      </c>
      <c r="AG326" s="72">
        <f t="shared" ref="AG326:AG389" si="34">IF($AF326&gt;14,14,$AF326)</f>
        <v>14</v>
      </c>
      <c r="AH326" s="37">
        <f t="shared" ref="AH326:AH389" si="35">AE326*AG326/14</f>
        <v>19.664000000000005</v>
      </c>
      <c r="AJ326" s="34"/>
      <c r="AK326" s="34"/>
      <c r="AL326" s="82"/>
      <c r="AN326" s="83"/>
      <c r="AO326" s="83"/>
      <c r="AP326" s="82"/>
      <c r="AQ326" s="84"/>
      <c r="AR326" s="84"/>
      <c r="AS326" s="84"/>
    </row>
    <row r="327" spans="22:45" ht="16" x14ac:dyDescent="0.4">
      <c r="V327" s="97">
        <v>45836</v>
      </c>
      <c r="W327" s="16">
        <v>165819</v>
      </c>
      <c r="X327" s="101" t="s">
        <v>36</v>
      </c>
      <c r="Y327" s="107"/>
      <c r="Z327" s="102">
        <v>0.54027777777777775</v>
      </c>
      <c r="AA327" s="102">
        <v>0.62638888888888888</v>
      </c>
      <c r="AB327" s="16"/>
      <c r="AC327" s="16"/>
      <c r="AD327" s="105">
        <v>19608</v>
      </c>
      <c r="AE327" s="93">
        <f t="shared" si="33"/>
        <v>19.608000000000001</v>
      </c>
      <c r="AF327">
        <v>15.13</v>
      </c>
      <c r="AG327" s="72">
        <f t="shared" si="34"/>
        <v>14</v>
      </c>
      <c r="AH327" s="37">
        <f t="shared" si="35"/>
        <v>19.608000000000001</v>
      </c>
      <c r="AJ327" s="34"/>
      <c r="AK327" s="34"/>
      <c r="AL327" s="82"/>
      <c r="AN327" s="83"/>
      <c r="AO327" s="83"/>
      <c r="AP327" s="82"/>
      <c r="AQ327" s="84"/>
      <c r="AR327" s="84"/>
      <c r="AS327" s="84"/>
    </row>
    <row r="328" spans="22:45" ht="16" x14ac:dyDescent="0.4">
      <c r="V328" s="97">
        <v>45836</v>
      </c>
      <c r="W328" s="16">
        <v>165855</v>
      </c>
      <c r="X328" s="101" t="s">
        <v>36</v>
      </c>
      <c r="Y328" s="107"/>
      <c r="Z328" s="102">
        <v>8.1250000000000003E-2</v>
      </c>
      <c r="AA328" s="102">
        <v>0.70138888888888884</v>
      </c>
      <c r="AB328" s="16"/>
      <c r="AC328" s="16"/>
      <c r="AD328" s="105">
        <v>19778</v>
      </c>
      <c r="AE328" s="93">
        <f t="shared" si="33"/>
        <v>19.777999999999999</v>
      </c>
      <c r="AF328">
        <v>14.34</v>
      </c>
      <c r="AG328" s="72">
        <f t="shared" si="34"/>
        <v>14</v>
      </c>
      <c r="AH328" s="37">
        <f t="shared" si="35"/>
        <v>19.777999999999999</v>
      </c>
      <c r="AJ328" s="34"/>
      <c r="AK328" s="34"/>
      <c r="AL328" s="82"/>
      <c r="AN328" s="83"/>
      <c r="AO328" s="83"/>
      <c r="AP328" s="82"/>
      <c r="AQ328" s="84"/>
      <c r="AR328" s="84"/>
      <c r="AS328" s="84"/>
    </row>
    <row r="329" spans="22:45" ht="16" x14ac:dyDescent="0.4">
      <c r="V329" s="97">
        <v>45836</v>
      </c>
      <c r="W329" s="16">
        <v>165583</v>
      </c>
      <c r="X329" s="101" t="s">
        <v>36</v>
      </c>
      <c r="Y329" s="107"/>
      <c r="Z329" s="102">
        <v>0.54031249999999997</v>
      </c>
      <c r="AA329" s="102">
        <v>0.79197916666666668</v>
      </c>
      <c r="AB329" s="16"/>
      <c r="AC329" s="16"/>
      <c r="AD329" s="105">
        <v>19088</v>
      </c>
      <c r="AE329" s="93">
        <f t="shared" si="33"/>
        <v>19.088000000000001</v>
      </c>
      <c r="AF329">
        <v>14.13</v>
      </c>
      <c r="AG329" s="72">
        <f t="shared" si="34"/>
        <v>14</v>
      </c>
      <c r="AH329" s="37">
        <f t="shared" si="35"/>
        <v>19.088000000000001</v>
      </c>
      <c r="AJ329" s="34"/>
      <c r="AK329" s="34"/>
      <c r="AL329" s="82"/>
      <c r="AN329" s="83"/>
      <c r="AO329" s="83"/>
      <c r="AP329" s="82"/>
      <c r="AQ329" s="84"/>
      <c r="AR329" s="84"/>
      <c r="AS329" s="84"/>
    </row>
    <row r="330" spans="22:45" ht="16" x14ac:dyDescent="0.4">
      <c r="V330" s="97">
        <v>45836</v>
      </c>
      <c r="W330" s="16">
        <v>165897</v>
      </c>
      <c r="X330" s="101" t="s">
        <v>36</v>
      </c>
      <c r="Y330" s="107"/>
      <c r="Z330" s="102">
        <v>0.74440972222222224</v>
      </c>
      <c r="AA330" s="102">
        <v>0.85567129629629635</v>
      </c>
      <c r="AB330" s="16"/>
      <c r="AC330" s="16"/>
      <c r="AD330" s="105">
        <v>17736</v>
      </c>
      <c r="AE330" s="93">
        <f t="shared" si="33"/>
        <v>17.736000000000001</v>
      </c>
      <c r="AF330">
        <v>13.74</v>
      </c>
      <c r="AG330" s="72">
        <f t="shared" si="34"/>
        <v>13.74</v>
      </c>
      <c r="AH330" s="37">
        <f t="shared" si="35"/>
        <v>17.406617142857144</v>
      </c>
      <c r="AJ330" s="34"/>
      <c r="AK330" s="34"/>
      <c r="AL330" s="82"/>
      <c r="AN330" s="83"/>
      <c r="AO330" s="83"/>
      <c r="AP330" s="82"/>
      <c r="AQ330" s="84"/>
      <c r="AR330" s="84"/>
      <c r="AS330" s="84"/>
    </row>
    <row r="331" spans="22:45" ht="16" x14ac:dyDescent="0.4">
      <c r="V331" s="97">
        <v>45836</v>
      </c>
      <c r="W331" s="16">
        <v>165907</v>
      </c>
      <c r="X331" s="101" t="s">
        <v>36</v>
      </c>
      <c r="Y331" s="107"/>
      <c r="Z331" s="102">
        <v>0.53708333333333336</v>
      </c>
      <c r="AA331" s="102">
        <v>0.91212962962962962</v>
      </c>
      <c r="AB331" s="16">
        <v>104</v>
      </c>
      <c r="AC331" s="16" t="s">
        <v>612</v>
      </c>
      <c r="AD331" s="105">
        <v>15320</v>
      </c>
      <c r="AE331" s="93">
        <f t="shared" si="33"/>
        <v>15.32</v>
      </c>
      <c r="AF331">
        <v>11.66</v>
      </c>
      <c r="AG331" s="72">
        <f t="shared" si="34"/>
        <v>11.66</v>
      </c>
      <c r="AH331" s="37">
        <f t="shared" si="35"/>
        <v>12.759371428571429</v>
      </c>
      <c r="AJ331" s="34"/>
      <c r="AK331" s="34"/>
      <c r="AL331" s="82"/>
      <c r="AN331" s="83"/>
      <c r="AO331" s="83"/>
      <c r="AP331" s="82"/>
      <c r="AQ331" s="84"/>
      <c r="AR331" s="84"/>
      <c r="AS331" s="84"/>
    </row>
    <row r="332" spans="22:45" ht="16" x14ac:dyDescent="0.4">
      <c r="V332" s="97"/>
      <c r="W332" s="16"/>
      <c r="X332" s="101"/>
      <c r="Y332" s="107"/>
      <c r="Z332" s="102"/>
      <c r="AA332" s="102"/>
      <c r="AB332" s="16"/>
      <c r="AC332" s="16"/>
      <c r="AD332" s="105"/>
      <c r="AE332" s="93">
        <f t="shared" si="33"/>
        <v>0</v>
      </c>
      <c r="AG332" s="72">
        <f t="shared" si="34"/>
        <v>0</v>
      </c>
      <c r="AH332" s="37">
        <f t="shared" si="35"/>
        <v>0</v>
      </c>
      <c r="AJ332" s="34"/>
      <c r="AK332" s="34"/>
      <c r="AL332" s="82"/>
      <c r="AN332" s="83"/>
      <c r="AO332" s="83"/>
      <c r="AP332" s="82"/>
      <c r="AQ332" s="84"/>
      <c r="AR332" s="84"/>
      <c r="AS332" s="84"/>
    </row>
    <row r="333" spans="22:45" ht="16" x14ac:dyDescent="0.4">
      <c r="V333" s="97"/>
      <c r="W333" s="16"/>
      <c r="X333" s="101"/>
      <c r="Y333" s="107"/>
      <c r="Z333" s="102"/>
      <c r="AA333" s="102"/>
      <c r="AB333" s="16"/>
      <c r="AC333" s="16"/>
      <c r="AD333" s="105"/>
      <c r="AE333" s="93">
        <f t="shared" si="33"/>
        <v>0</v>
      </c>
      <c r="AG333" s="72">
        <f t="shared" si="34"/>
        <v>0</v>
      </c>
      <c r="AH333" s="37">
        <f t="shared" si="35"/>
        <v>0</v>
      </c>
      <c r="AJ333" s="34"/>
      <c r="AK333" s="34"/>
      <c r="AL333" s="82"/>
      <c r="AN333" s="83"/>
      <c r="AO333" s="83"/>
      <c r="AP333" s="82"/>
      <c r="AQ333" s="84"/>
      <c r="AR333" s="84"/>
      <c r="AS333" s="84"/>
    </row>
    <row r="334" spans="22:45" ht="16" x14ac:dyDescent="0.4">
      <c r="V334" s="97"/>
      <c r="W334" s="16"/>
      <c r="X334" s="101"/>
      <c r="Y334" s="107"/>
      <c r="Z334" s="102"/>
      <c r="AA334" s="102"/>
      <c r="AB334" s="16"/>
      <c r="AC334" s="16"/>
      <c r="AD334" s="105"/>
      <c r="AE334" s="93">
        <f t="shared" si="33"/>
        <v>0</v>
      </c>
      <c r="AG334" s="72">
        <f t="shared" si="34"/>
        <v>0</v>
      </c>
      <c r="AH334" s="37">
        <f t="shared" si="35"/>
        <v>0</v>
      </c>
      <c r="AJ334" s="34"/>
      <c r="AK334" s="34"/>
      <c r="AL334" s="82"/>
      <c r="AN334" s="83"/>
      <c r="AO334" s="83"/>
      <c r="AP334" s="82"/>
      <c r="AQ334" s="84"/>
      <c r="AR334" s="84"/>
      <c r="AS334" s="84"/>
    </row>
    <row r="335" spans="22:45" ht="16" x14ac:dyDescent="0.4">
      <c r="V335" s="97"/>
      <c r="W335" s="16"/>
      <c r="X335" s="101"/>
      <c r="Y335" s="107"/>
      <c r="Z335" s="102"/>
      <c r="AA335" s="102"/>
      <c r="AB335" s="16"/>
      <c r="AC335" s="16"/>
      <c r="AD335" s="105"/>
      <c r="AE335" s="93">
        <f t="shared" si="33"/>
        <v>0</v>
      </c>
      <c r="AG335" s="72">
        <f t="shared" si="34"/>
        <v>0</v>
      </c>
      <c r="AH335" s="37">
        <f t="shared" si="35"/>
        <v>0</v>
      </c>
      <c r="AJ335" s="34"/>
      <c r="AK335" s="34"/>
      <c r="AL335" s="82"/>
      <c r="AN335" s="83"/>
      <c r="AO335" s="83"/>
      <c r="AP335" s="82"/>
      <c r="AQ335" s="84"/>
      <c r="AR335" s="84"/>
      <c r="AS335" s="84"/>
    </row>
    <row r="336" spans="22:45" ht="16" x14ac:dyDescent="0.4">
      <c r="V336" s="97"/>
      <c r="W336" s="16"/>
      <c r="X336" s="101"/>
      <c r="Y336" s="107"/>
      <c r="Z336" s="102"/>
      <c r="AA336" s="102"/>
      <c r="AB336" s="16"/>
      <c r="AC336" s="16"/>
      <c r="AD336" s="105"/>
      <c r="AE336" s="93">
        <f t="shared" si="33"/>
        <v>0</v>
      </c>
      <c r="AG336" s="72">
        <f t="shared" si="34"/>
        <v>0</v>
      </c>
      <c r="AH336" s="37">
        <f t="shared" si="35"/>
        <v>0</v>
      </c>
      <c r="AJ336" s="34"/>
      <c r="AK336" s="34"/>
      <c r="AL336" s="82"/>
      <c r="AN336" s="83"/>
      <c r="AO336" s="83"/>
      <c r="AP336" s="82"/>
      <c r="AQ336" s="84"/>
      <c r="AR336" s="84"/>
      <c r="AS336" s="84"/>
    </row>
    <row r="337" spans="22:45" ht="16" x14ac:dyDescent="0.4">
      <c r="V337" s="97"/>
      <c r="W337" s="16"/>
      <c r="X337" s="101"/>
      <c r="Y337" s="107"/>
      <c r="Z337" s="102"/>
      <c r="AA337" s="102"/>
      <c r="AB337" s="16"/>
      <c r="AC337" s="16"/>
      <c r="AD337" s="105"/>
      <c r="AE337" s="93">
        <f t="shared" si="33"/>
        <v>0</v>
      </c>
      <c r="AG337" s="72">
        <f t="shared" si="34"/>
        <v>0</v>
      </c>
      <c r="AH337" s="37">
        <f t="shared" si="35"/>
        <v>0</v>
      </c>
      <c r="AJ337" s="34"/>
      <c r="AK337" s="34"/>
      <c r="AL337" s="82"/>
      <c r="AN337" s="83"/>
      <c r="AO337" s="83"/>
      <c r="AP337" s="82"/>
      <c r="AQ337" s="84"/>
      <c r="AR337" s="84"/>
      <c r="AS337" s="84"/>
    </row>
    <row r="338" spans="22:45" ht="16" x14ac:dyDescent="0.4">
      <c r="V338" s="97"/>
      <c r="W338" s="16"/>
      <c r="X338" s="101"/>
      <c r="Y338" s="107"/>
      <c r="Z338" s="102"/>
      <c r="AA338" s="102"/>
      <c r="AB338" s="16"/>
      <c r="AC338" s="16"/>
      <c r="AD338" s="105"/>
      <c r="AE338" s="93">
        <f t="shared" si="33"/>
        <v>0</v>
      </c>
      <c r="AG338" s="72">
        <f t="shared" si="34"/>
        <v>0</v>
      </c>
      <c r="AH338" s="37">
        <f t="shared" si="35"/>
        <v>0</v>
      </c>
      <c r="AJ338" s="34"/>
      <c r="AK338" s="34"/>
      <c r="AL338" s="82"/>
      <c r="AN338" s="83"/>
      <c r="AO338" s="83"/>
      <c r="AP338" s="82"/>
      <c r="AQ338" s="84"/>
      <c r="AR338" s="84"/>
      <c r="AS338" s="84"/>
    </row>
    <row r="339" spans="22:45" ht="16" x14ac:dyDescent="0.4">
      <c r="V339" s="97"/>
      <c r="W339" s="16"/>
      <c r="X339" s="101"/>
      <c r="Y339" s="107"/>
      <c r="Z339" s="102"/>
      <c r="AA339" s="102"/>
      <c r="AB339" s="16"/>
      <c r="AC339" s="16"/>
      <c r="AD339" s="105"/>
      <c r="AE339" s="93">
        <f t="shared" si="33"/>
        <v>0</v>
      </c>
      <c r="AG339" s="72">
        <f t="shared" si="34"/>
        <v>0</v>
      </c>
      <c r="AH339" s="37">
        <f t="shared" si="35"/>
        <v>0</v>
      </c>
      <c r="AJ339" s="34"/>
      <c r="AK339" s="34"/>
      <c r="AL339" s="82"/>
      <c r="AN339" s="83"/>
      <c r="AO339" s="83"/>
      <c r="AP339" s="82"/>
      <c r="AQ339" s="84"/>
      <c r="AR339" s="84"/>
      <c r="AS339" s="84"/>
    </row>
    <row r="340" spans="22:45" ht="16" x14ac:dyDescent="0.4">
      <c r="V340" s="97"/>
      <c r="W340" s="16"/>
      <c r="X340" s="101"/>
      <c r="Y340" s="107"/>
      <c r="Z340" s="102"/>
      <c r="AA340" s="102"/>
      <c r="AB340" s="16"/>
      <c r="AC340" s="16"/>
      <c r="AD340" s="105"/>
      <c r="AE340" s="93">
        <f t="shared" si="33"/>
        <v>0</v>
      </c>
      <c r="AG340" s="72">
        <f t="shared" si="34"/>
        <v>0</v>
      </c>
      <c r="AH340" s="37">
        <f t="shared" si="35"/>
        <v>0</v>
      </c>
      <c r="AJ340" s="34"/>
      <c r="AK340" s="34"/>
      <c r="AL340" s="82"/>
      <c r="AN340" s="83"/>
      <c r="AO340" s="83"/>
      <c r="AP340" s="82"/>
      <c r="AQ340" s="84"/>
      <c r="AR340" s="84"/>
      <c r="AS340" s="84"/>
    </row>
    <row r="341" spans="22:45" ht="16" x14ac:dyDescent="0.4">
      <c r="V341" s="97"/>
      <c r="W341" s="16"/>
      <c r="X341" s="101"/>
      <c r="Y341" s="107"/>
      <c r="Z341" s="102"/>
      <c r="AA341" s="102"/>
      <c r="AB341" s="16"/>
      <c r="AC341" s="16"/>
      <c r="AD341" s="105"/>
      <c r="AE341" s="93">
        <f t="shared" si="33"/>
        <v>0</v>
      </c>
      <c r="AG341" s="72">
        <f t="shared" si="34"/>
        <v>0</v>
      </c>
      <c r="AH341" s="37">
        <f t="shared" si="35"/>
        <v>0</v>
      </c>
      <c r="AJ341" s="34"/>
      <c r="AK341" s="34"/>
      <c r="AL341" s="82"/>
      <c r="AN341" s="83"/>
      <c r="AO341" s="83"/>
      <c r="AP341" s="82"/>
      <c r="AQ341" s="84"/>
      <c r="AR341" s="84"/>
      <c r="AS341" s="84"/>
    </row>
    <row r="342" spans="22:45" ht="16" x14ac:dyDescent="0.4">
      <c r="V342" s="97"/>
      <c r="W342" s="16"/>
      <c r="X342" s="101"/>
      <c r="Y342" s="107"/>
      <c r="Z342" s="102"/>
      <c r="AA342" s="102"/>
      <c r="AB342" s="16"/>
      <c r="AC342" s="16"/>
      <c r="AD342" s="105"/>
      <c r="AE342" s="93">
        <f t="shared" si="33"/>
        <v>0</v>
      </c>
      <c r="AG342" s="72">
        <f t="shared" si="34"/>
        <v>0</v>
      </c>
      <c r="AH342" s="37">
        <f t="shared" si="35"/>
        <v>0</v>
      </c>
      <c r="AJ342" s="34"/>
      <c r="AK342" s="34"/>
      <c r="AL342" s="82"/>
      <c r="AN342" s="83"/>
      <c r="AO342" s="83"/>
      <c r="AP342" s="82"/>
      <c r="AQ342" s="84"/>
      <c r="AR342" s="84"/>
      <c r="AS342" s="84"/>
    </row>
    <row r="343" spans="22:45" ht="16" x14ac:dyDescent="0.4">
      <c r="V343" s="97"/>
      <c r="W343" s="16"/>
      <c r="X343" s="101"/>
      <c r="Y343" s="107"/>
      <c r="Z343" s="102"/>
      <c r="AA343" s="102"/>
      <c r="AB343" s="16"/>
      <c r="AC343" s="16"/>
      <c r="AD343" s="105"/>
      <c r="AE343" s="93">
        <f t="shared" si="33"/>
        <v>0</v>
      </c>
      <c r="AG343" s="72">
        <f t="shared" si="34"/>
        <v>0</v>
      </c>
      <c r="AH343" s="37">
        <f t="shared" si="35"/>
        <v>0</v>
      </c>
      <c r="AJ343" s="34"/>
      <c r="AK343" s="34"/>
      <c r="AL343" s="82"/>
      <c r="AN343" s="83"/>
      <c r="AO343" s="83"/>
      <c r="AP343" s="82"/>
      <c r="AQ343" s="84"/>
      <c r="AR343" s="84"/>
      <c r="AS343" s="84"/>
    </row>
    <row r="344" spans="22:45" ht="16" x14ac:dyDescent="0.4">
      <c r="V344" s="97"/>
      <c r="W344" s="16"/>
      <c r="X344" s="101"/>
      <c r="Y344" s="105"/>
      <c r="Z344" s="102"/>
      <c r="AA344" s="102"/>
      <c r="AB344" s="16"/>
      <c r="AC344" s="16"/>
      <c r="AD344" s="105"/>
      <c r="AE344" s="93">
        <f t="shared" si="33"/>
        <v>0</v>
      </c>
      <c r="AG344" s="72">
        <f t="shared" si="34"/>
        <v>0</v>
      </c>
      <c r="AH344" s="37">
        <f t="shared" si="35"/>
        <v>0</v>
      </c>
      <c r="AJ344" s="34"/>
      <c r="AK344" s="34"/>
      <c r="AL344" s="82"/>
      <c r="AN344" s="83"/>
      <c r="AO344" s="83"/>
      <c r="AP344" s="82"/>
      <c r="AQ344" s="84"/>
      <c r="AR344" s="84"/>
      <c r="AS344" s="84"/>
    </row>
    <row r="345" spans="22:45" ht="16" x14ac:dyDescent="0.4">
      <c r="V345" s="97"/>
      <c r="W345" s="16"/>
      <c r="X345" s="89"/>
      <c r="Z345" s="50"/>
      <c r="AA345" s="50"/>
      <c r="AD345" s="37"/>
      <c r="AE345" s="48">
        <f t="shared" si="33"/>
        <v>0</v>
      </c>
      <c r="AG345" s="72">
        <f t="shared" si="34"/>
        <v>0</v>
      </c>
      <c r="AH345" s="37">
        <f t="shared" si="35"/>
        <v>0</v>
      </c>
      <c r="AJ345" s="34"/>
      <c r="AK345" s="34"/>
      <c r="AL345" s="82"/>
      <c r="AN345" s="83"/>
      <c r="AO345" s="83"/>
      <c r="AP345" s="82"/>
      <c r="AQ345" s="84"/>
      <c r="AR345" s="84"/>
      <c r="AS345" s="84"/>
    </row>
    <row r="346" spans="22:45" ht="16" x14ac:dyDescent="0.4">
      <c r="V346" s="97"/>
      <c r="W346" s="16"/>
      <c r="X346" s="89"/>
      <c r="Z346" s="50"/>
      <c r="AA346" s="50"/>
      <c r="AD346" s="37"/>
      <c r="AE346" s="48">
        <f t="shared" si="33"/>
        <v>0</v>
      </c>
      <c r="AG346" s="72">
        <f t="shared" si="34"/>
        <v>0</v>
      </c>
      <c r="AH346" s="37">
        <f t="shared" si="35"/>
        <v>0</v>
      </c>
      <c r="AJ346" s="34"/>
      <c r="AK346" s="34"/>
      <c r="AL346" s="82"/>
      <c r="AN346" s="83"/>
      <c r="AO346" s="83"/>
      <c r="AP346" s="82"/>
      <c r="AQ346" s="84"/>
      <c r="AR346" s="84"/>
      <c r="AS346" s="84"/>
    </row>
    <row r="347" spans="22:45" ht="16" x14ac:dyDescent="0.4">
      <c r="V347" s="97"/>
      <c r="W347" s="16"/>
      <c r="X347" s="89"/>
      <c r="Z347" s="50"/>
      <c r="AA347" s="50"/>
      <c r="AD347" s="37"/>
      <c r="AE347" s="48">
        <f t="shared" si="33"/>
        <v>0</v>
      </c>
      <c r="AG347" s="72">
        <f t="shared" si="34"/>
        <v>0</v>
      </c>
      <c r="AH347" s="37">
        <f t="shared" si="35"/>
        <v>0</v>
      </c>
      <c r="AJ347" s="34"/>
      <c r="AK347" s="34"/>
      <c r="AL347" s="82"/>
      <c r="AN347" s="83"/>
      <c r="AO347" s="83"/>
      <c r="AP347" s="82"/>
      <c r="AQ347" s="84"/>
      <c r="AR347" s="84"/>
      <c r="AS347" s="84"/>
    </row>
    <row r="348" spans="22:45" ht="16" x14ac:dyDescent="0.4">
      <c r="V348" s="97"/>
      <c r="W348" s="16"/>
      <c r="X348" s="89"/>
      <c r="Z348" s="50"/>
      <c r="AA348" s="50"/>
      <c r="AD348" s="100"/>
      <c r="AE348" s="48">
        <f t="shared" si="33"/>
        <v>0</v>
      </c>
      <c r="AF348" s="16"/>
      <c r="AG348" s="72">
        <f t="shared" si="34"/>
        <v>0</v>
      </c>
      <c r="AH348" s="37">
        <f t="shared" si="35"/>
        <v>0</v>
      </c>
      <c r="AJ348" s="34"/>
      <c r="AK348" s="34"/>
      <c r="AL348" s="82"/>
      <c r="AN348" s="83"/>
      <c r="AO348" s="83"/>
      <c r="AP348" s="82"/>
      <c r="AQ348" s="84"/>
      <c r="AR348" s="84"/>
      <c r="AS348" s="84"/>
    </row>
    <row r="349" spans="22:45" ht="16" x14ac:dyDescent="0.4">
      <c r="V349" s="97"/>
      <c r="W349" s="16"/>
      <c r="X349" s="89"/>
      <c r="Z349" s="50"/>
      <c r="AA349" s="50"/>
      <c r="AD349" s="100"/>
      <c r="AE349" s="48">
        <f t="shared" si="33"/>
        <v>0</v>
      </c>
      <c r="AF349" s="16"/>
      <c r="AG349" s="72">
        <f t="shared" si="34"/>
        <v>0</v>
      </c>
      <c r="AH349" s="37">
        <f t="shared" si="35"/>
        <v>0</v>
      </c>
      <c r="AJ349" s="34"/>
      <c r="AK349" s="34"/>
      <c r="AL349" s="82"/>
      <c r="AN349" s="83"/>
      <c r="AO349" s="83"/>
      <c r="AP349" s="82"/>
      <c r="AQ349" s="84"/>
      <c r="AR349" s="84"/>
      <c r="AS349" s="84"/>
    </row>
    <row r="350" spans="22:45" ht="16" x14ac:dyDescent="0.4">
      <c r="V350" s="97"/>
      <c r="W350" s="16"/>
      <c r="X350" s="89"/>
      <c r="Z350" s="50"/>
      <c r="AA350" s="50"/>
      <c r="AD350" s="100"/>
      <c r="AE350" s="48">
        <f t="shared" si="33"/>
        <v>0</v>
      </c>
      <c r="AF350" s="16"/>
      <c r="AG350" s="72">
        <f t="shared" si="34"/>
        <v>0</v>
      </c>
      <c r="AH350" s="37">
        <f t="shared" si="35"/>
        <v>0</v>
      </c>
      <c r="AJ350" s="34"/>
      <c r="AK350" s="34"/>
      <c r="AL350" s="82"/>
      <c r="AN350" s="83"/>
      <c r="AO350" s="83"/>
      <c r="AP350" s="82"/>
      <c r="AQ350" s="84"/>
      <c r="AR350" s="84"/>
      <c r="AS350" s="84"/>
    </row>
    <row r="351" spans="22:45" ht="16" x14ac:dyDescent="0.4">
      <c r="V351" s="97"/>
      <c r="W351" s="16"/>
      <c r="X351" s="89"/>
      <c r="Z351" s="50"/>
      <c r="AA351" s="50"/>
      <c r="AD351" s="100"/>
      <c r="AE351" s="48">
        <f t="shared" si="33"/>
        <v>0</v>
      </c>
      <c r="AF351" s="16"/>
      <c r="AG351" s="72">
        <f t="shared" si="34"/>
        <v>0</v>
      </c>
      <c r="AH351" s="37">
        <f t="shared" si="35"/>
        <v>0</v>
      </c>
      <c r="AJ351" s="34"/>
      <c r="AK351" s="34"/>
      <c r="AL351" s="82"/>
      <c r="AN351" s="83"/>
      <c r="AO351" s="83"/>
      <c r="AP351" s="82"/>
      <c r="AQ351" s="84"/>
      <c r="AR351" s="84"/>
      <c r="AS351" s="84"/>
    </row>
    <row r="352" spans="22:45" ht="16" x14ac:dyDescent="0.4">
      <c r="V352" s="97"/>
      <c r="W352" s="16"/>
      <c r="X352" s="89"/>
      <c r="Z352" s="50"/>
      <c r="AA352" s="50"/>
      <c r="AD352" s="100"/>
      <c r="AE352" s="48">
        <f t="shared" si="33"/>
        <v>0</v>
      </c>
      <c r="AF352" s="16"/>
      <c r="AG352" s="72">
        <f t="shared" si="34"/>
        <v>0</v>
      </c>
      <c r="AH352" s="37">
        <f t="shared" si="35"/>
        <v>0</v>
      </c>
      <c r="AJ352" s="34"/>
      <c r="AK352" s="34"/>
      <c r="AL352" s="82"/>
      <c r="AN352" s="83"/>
      <c r="AO352" s="83"/>
      <c r="AP352" s="82"/>
      <c r="AQ352" s="84"/>
      <c r="AR352" s="84"/>
      <c r="AS352" s="84"/>
    </row>
    <row r="353" spans="22:45" ht="16" x14ac:dyDescent="0.4">
      <c r="V353" s="97"/>
      <c r="W353" s="16"/>
      <c r="X353" s="89"/>
      <c r="Z353" s="50"/>
      <c r="AA353" s="50"/>
      <c r="AD353" s="100"/>
      <c r="AE353" s="48">
        <f t="shared" si="33"/>
        <v>0</v>
      </c>
      <c r="AF353" s="16"/>
      <c r="AG353" s="72">
        <f t="shared" si="34"/>
        <v>0</v>
      </c>
      <c r="AH353" s="37">
        <f t="shared" si="35"/>
        <v>0</v>
      </c>
      <c r="AJ353" s="34"/>
      <c r="AK353" s="34"/>
      <c r="AL353" s="82"/>
      <c r="AN353" s="83"/>
      <c r="AO353" s="83"/>
      <c r="AP353" s="82"/>
      <c r="AQ353" s="84"/>
      <c r="AR353" s="84"/>
      <c r="AS353" s="84"/>
    </row>
    <row r="354" spans="22:45" ht="16" x14ac:dyDescent="0.4">
      <c r="V354" s="97"/>
      <c r="W354" s="16"/>
      <c r="X354" s="89"/>
      <c r="Z354" s="50"/>
      <c r="AA354" s="50"/>
      <c r="AD354" s="100"/>
      <c r="AE354" s="48">
        <f t="shared" si="33"/>
        <v>0</v>
      </c>
      <c r="AF354" s="16"/>
      <c r="AG354" s="72">
        <f t="shared" si="34"/>
        <v>0</v>
      </c>
      <c r="AH354" s="37">
        <f t="shared" si="35"/>
        <v>0</v>
      </c>
      <c r="AJ354" s="34"/>
      <c r="AK354" s="34"/>
      <c r="AL354" s="82"/>
      <c r="AN354" s="83"/>
      <c r="AO354" s="83"/>
      <c r="AP354" s="82"/>
      <c r="AQ354" s="84"/>
      <c r="AR354" s="84"/>
      <c r="AS354" s="84"/>
    </row>
    <row r="355" spans="22:45" ht="16" x14ac:dyDescent="0.4">
      <c r="V355" s="97"/>
      <c r="W355" s="16"/>
      <c r="X355" s="89"/>
      <c r="Z355" s="50"/>
      <c r="AA355" s="50"/>
      <c r="AD355" s="100"/>
      <c r="AE355" s="48">
        <f t="shared" si="33"/>
        <v>0</v>
      </c>
      <c r="AF355" s="16"/>
      <c r="AG355" s="72">
        <f t="shared" si="34"/>
        <v>0</v>
      </c>
      <c r="AH355" s="37">
        <f t="shared" si="35"/>
        <v>0</v>
      </c>
      <c r="AJ355" s="34"/>
      <c r="AK355" s="34"/>
      <c r="AL355" s="82"/>
      <c r="AN355" s="83"/>
      <c r="AO355" s="83"/>
      <c r="AP355" s="82"/>
      <c r="AQ355" s="84"/>
      <c r="AR355" s="84"/>
      <c r="AS355" s="84"/>
    </row>
    <row r="356" spans="22:45" ht="16" x14ac:dyDescent="0.4">
      <c r="V356" s="97"/>
      <c r="W356" s="16"/>
      <c r="X356" s="89"/>
      <c r="Z356" s="50"/>
      <c r="AA356" s="50"/>
      <c r="AD356" s="100"/>
      <c r="AE356" s="48">
        <f t="shared" si="33"/>
        <v>0</v>
      </c>
      <c r="AF356" s="16"/>
      <c r="AG356" s="72">
        <f t="shared" si="34"/>
        <v>0</v>
      </c>
      <c r="AH356" s="37">
        <f t="shared" si="35"/>
        <v>0</v>
      </c>
      <c r="AJ356" s="34"/>
      <c r="AK356" s="34"/>
      <c r="AL356" s="82"/>
      <c r="AN356" s="83"/>
      <c r="AO356" s="83"/>
      <c r="AP356" s="82"/>
      <c r="AQ356" s="84"/>
      <c r="AR356" s="84"/>
      <c r="AS356" s="84"/>
    </row>
    <row r="357" spans="22:45" ht="16" x14ac:dyDescent="0.4">
      <c r="V357" s="97"/>
      <c r="W357" s="16"/>
      <c r="X357" s="89"/>
      <c r="Z357" s="50"/>
      <c r="AA357" s="50"/>
      <c r="AD357" s="100"/>
      <c r="AE357" s="48">
        <f t="shared" si="33"/>
        <v>0</v>
      </c>
      <c r="AF357" s="16"/>
      <c r="AG357" s="72">
        <f t="shared" si="34"/>
        <v>0</v>
      </c>
      <c r="AH357" s="37">
        <f t="shared" si="35"/>
        <v>0</v>
      </c>
      <c r="AJ357" s="34"/>
      <c r="AK357" s="34"/>
      <c r="AL357" s="82"/>
      <c r="AN357" s="83"/>
      <c r="AO357" s="83"/>
      <c r="AP357" s="82"/>
      <c r="AQ357" s="84"/>
      <c r="AR357" s="84"/>
      <c r="AS357" s="84"/>
    </row>
    <row r="358" spans="22:45" ht="16" x14ac:dyDescent="0.4">
      <c r="V358" s="97"/>
      <c r="W358" s="16"/>
      <c r="X358" s="89"/>
      <c r="Z358" s="50"/>
      <c r="AA358" s="50"/>
      <c r="AD358" s="100"/>
      <c r="AE358" s="48">
        <f t="shared" si="33"/>
        <v>0</v>
      </c>
      <c r="AF358" s="16"/>
      <c r="AG358" s="72">
        <f t="shared" si="34"/>
        <v>0</v>
      </c>
      <c r="AH358" s="37">
        <f t="shared" si="35"/>
        <v>0</v>
      </c>
      <c r="AJ358" s="34"/>
      <c r="AK358" s="34"/>
      <c r="AL358" s="82"/>
      <c r="AN358" s="83"/>
      <c r="AO358" s="83"/>
      <c r="AP358" s="82"/>
      <c r="AQ358" s="84"/>
      <c r="AR358" s="84"/>
      <c r="AS358" s="84"/>
    </row>
    <row r="359" spans="22:45" ht="16" x14ac:dyDescent="0.4">
      <c r="V359" s="97"/>
      <c r="W359" s="16"/>
      <c r="X359" s="89"/>
      <c r="Z359" s="50"/>
      <c r="AA359" s="50"/>
      <c r="AD359" s="100"/>
      <c r="AE359" s="48">
        <f t="shared" si="33"/>
        <v>0</v>
      </c>
      <c r="AF359" s="16"/>
      <c r="AG359" s="72">
        <f t="shared" si="34"/>
        <v>0</v>
      </c>
      <c r="AH359" s="37">
        <f t="shared" si="35"/>
        <v>0</v>
      </c>
      <c r="AJ359" s="34"/>
      <c r="AK359" s="34"/>
      <c r="AL359" s="82"/>
      <c r="AN359" s="83"/>
      <c r="AO359" s="83"/>
      <c r="AP359" s="82"/>
      <c r="AQ359" s="84"/>
      <c r="AR359" s="84"/>
      <c r="AS359" s="84"/>
    </row>
    <row r="360" spans="22:45" ht="16" x14ac:dyDescent="0.4">
      <c r="V360" s="97"/>
      <c r="W360" s="16"/>
      <c r="X360" s="89"/>
      <c r="Z360" s="50"/>
      <c r="AA360" s="50"/>
      <c r="AD360" s="100"/>
      <c r="AE360" s="48">
        <f t="shared" si="33"/>
        <v>0</v>
      </c>
      <c r="AF360" s="16"/>
      <c r="AG360" s="72">
        <f t="shared" si="34"/>
        <v>0</v>
      </c>
      <c r="AH360" s="37">
        <f t="shared" si="35"/>
        <v>0</v>
      </c>
      <c r="AJ360" s="34"/>
      <c r="AK360" s="34"/>
      <c r="AL360" s="82"/>
      <c r="AN360" s="83"/>
      <c r="AO360" s="83"/>
      <c r="AP360" s="82"/>
      <c r="AQ360" s="84"/>
      <c r="AR360" s="84"/>
      <c r="AS360" s="84"/>
    </row>
    <row r="361" spans="22:45" ht="16" x14ac:dyDescent="0.4">
      <c r="V361" s="97"/>
      <c r="W361" s="16"/>
      <c r="X361" s="89"/>
      <c r="Z361" s="50"/>
      <c r="AA361" s="50"/>
      <c r="AD361" s="100"/>
      <c r="AE361" s="48">
        <f t="shared" si="33"/>
        <v>0</v>
      </c>
      <c r="AF361" s="16"/>
      <c r="AG361" s="72">
        <f t="shared" si="34"/>
        <v>0</v>
      </c>
      <c r="AH361" s="37">
        <f t="shared" si="35"/>
        <v>0</v>
      </c>
      <c r="AJ361" s="34"/>
      <c r="AK361" s="34"/>
      <c r="AL361" s="82"/>
      <c r="AN361" s="83"/>
      <c r="AO361" s="83"/>
      <c r="AP361" s="82"/>
      <c r="AQ361" s="84"/>
      <c r="AR361" s="84"/>
      <c r="AS361" s="84"/>
    </row>
    <row r="362" spans="22:45" ht="16" x14ac:dyDescent="0.4">
      <c r="V362" s="97"/>
      <c r="W362" s="16"/>
      <c r="X362" s="89"/>
      <c r="Z362" s="50"/>
      <c r="AA362" s="50"/>
      <c r="AD362" s="100"/>
      <c r="AE362" s="48">
        <f t="shared" si="33"/>
        <v>0</v>
      </c>
      <c r="AF362" s="16"/>
      <c r="AG362" s="72">
        <f t="shared" si="34"/>
        <v>0</v>
      </c>
      <c r="AH362" s="37">
        <f t="shared" si="35"/>
        <v>0</v>
      </c>
      <c r="AJ362" s="34"/>
      <c r="AK362" s="34"/>
      <c r="AL362" s="82"/>
      <c r="AN362" s="83"/>
      <c r="AO362" s="83"/>
      <c r="AP362" s="82"/>
      <c r="AQ362" s="84"/>
      <c r="AR362" s="84"/>
      <c r="AS362" s="84"/>
    </row>
    <row r="363" spans="22:45" ht="16" x14ac:dyDescent="0.4">
      <c r="V363" s="97"/>
      <c r="W363" s="16"/>
      <c r="X363" s="89"/>
      <c r="Z363" s="50"/>
      <c r="AA363" s="50"/>
      <c r="AD363" s="100"/>
      <c r="AE363" s="48">
        <f t="shared" si="33"/>
        <v>0</v>
      </c>
      <c r="AF363" s="16"/>
      <c r="AG363" s="72">
        <f t="shared" si="34"/>
        <v>0</v>
      </c>
      <c r="AH363" s="37">
        <f t="shared" si="35"/>
        <v>0</v>
      </c>
      <c r="AJ363" s="34"/>
      <c r="AK363" s="34"/>
      <c r="AL363" s="82"/>
      <c r="AN363" s="83"/>
      <c r="AO363" s="83"/>
      <c r="AP363" s="82"/>
      <c r="AQ363" s="84"/>
      <c r="AR363" s="84"/>
      <c r="AS363" s="84"/>
    </row>
    <row r="364" spans="22:45" ht="16" x14ac:dyDescent="0.4">
      <c r="V364" s="97"/>
      <c r="W364" s="16"/>
      <c r="X364" s="89"/>
      <c r="Z364" s="50"/>
      <c r="AA364" s="50"/>
      <c r="AD364" s="100"/>
      <c r="AE364" s="48">
        <f t="shared" si="33"/>
        <v>0</v>
      </c>
      <c r="AF364" s="16"/>
      <c r="AG364" s="72">
        <f t="shared" si="34"/>
        <v>0</v>
      </c>
      <c r="AH364" s="37">
        <f t="shared" si="35"/>
        <v>0</v>
      </c>
      <c r="AJ364" s="34"/>
      <c r="AK364" s="34"/>
      <c r="AL364" s="82"/>
      <c r="AN364" s="83"/>
      <c r="AO364" s="83"/>
      <c r="AP364" s="82"/>
      <c r="AQ364" s="84"/>
      <c r="AR364" s="84"/>
      <c r="AS364" s="84"/>
    </row>
    <row r="365" spans="22:45" ht="16" x14ac:dyDescent="0.4">
      <c r="V365" s="97"/>
      <c r="W365" s="16"/>
      <c r="X365" s="89"/>
      <c r="Z365" s="50"/>
      <c r="AA365" s="50"/>
      <c r="AD365" s="100"/>
      <c r="AE365" s="48">
        <f t="shared" si="33"/>
        <v>0</v>
      </c>
      <c r="AF365" s="16"/>
      <c r="AG365" s="72">
        <f t="shared" si="34"/>
        <v>0</v>
      </c>
      <c r="AH365" s="37">
        <f t="shared" si="35"/>
        <v>0</v>
      </c>
      <c r="AJ365" s="34"/>
      <c r="AK365" s="34"/>
      <c r="AL365" s="82"/>
      <c r="AN365" s="83"/>
      <c r="AO365" s="83"/>
      <c r="AP365" s="82"/>
      <c r="AQ365" s="84"/>
      <c r="AR365" s="84"/>
      <c r="AS365" s="84"/>
    </row>
    <row r="366" spans="22:45" ht="16" x14ac:dyDescent="0.4">
      <c r="V366" s="97"/>
      <c r="W366" s="16"/>
      <c r="X366" s="89"/>
      <c r="Z366" s="50"/>
      <c r="AA366" s="50"/>
      <c r="AD366" s="100"/>
      <c r="AE366" s="48">
        <f t="shared" si="33"/>
        <v>0</v>
      </c>
      <c r="AF366" s="16"/>
      <c r="AG366" s="72">
        <f t="shared" si="34"/>
        <v>0</v>
      </c>
      <c r="AH366" s="37">
        <f t="shared" si="35"/>
        <v>0</v>
      </c>
      <c r="AJ366" s="34"/>
      <c r="AK366" s="34"/>
      <c r="AL366" s="82"/>
      <c r="AN366" s="83"/>
      <c r="AO366" s="83"/>
      <c r="AP366" s="82"/>
      <c r="AQ366" s="84"/>
      <c r="AR366" s="84"/>
      <c r="AS366" s="84"/>
    </row>
    <row r="367" spans="22:45" ht="16" x14ac:dyDescent="0.4">
      <c r="V367" s="97"/>
      <c r="W367" s="16"/>
      <c r="X367" s="89"/>
      <c r="Z367" s="50"/>
      <c r="AA367" s="50"/>
      <c r="AD367" s="100"/>
      <c r="AE367" s="48">
        <f t="shared" si="33"/>
        <v>0</v>
      </c>
      <c r="AF367" s="16"/>
      <c r="AG367" s="72">
        <f t="shared" si="34"/>
        <v>0</v>
      </c>
      <c r="AH367" s="37">
        <f t="shared" si="35"/>
        <v>0</v>
      </c>
      <c r="AJ367" s="34"/>
      <c r="AK367" s="34"/>
      <c r="AL367" s="82"/>
      <c r="AN367" s="83"/>
      <c r="AO367" s="83"/>
      <c r="AP367" s="82"/>
      <c r="AQ367" s="84"/>
      <c r="AR367" s="84"/>
      <c r="AS367" s="84"/>
    </row>
    <row r="368" spans="22:45" ht="16" x14ac:dyDescent="0.4">
      <c r="V368" s="97"/>
      <c r="W368" s="16"/>
      <c r="X368" s="89"/>
      <c r="Z368" s="50"/>
      <c r="AA368" s="50"/>
      <c r="AD368" s="100"/>
      <c r="AE368" s="48">
        <f t="shared" si="33"/>
        <v>0</v>
      </c>
      <c r="AF368" s="16"/>
      <c r="AG368" s="72">
        <f t="shared" si="34"/>
        <v>0</v>
      </c>
      <c r="AH368" s="37">
        <f t="shared" si="35"/>
        <v>0</v>
      </c>
      <c r="AJ368" s="34"/>
      <c r="AK368" s="34"/>
      <c r="AL368" s="82"/>
      <c r="AN368" s="83"/>
      <c r="AO368" s="83"/>
      <c r="AP368" s="82"/>
      <c r="AQ368" s="84"/>
      <c r="AR368" s="84"/>
      <c r="AS368" s="84"/>
    </row>
    <row r="369" spans="22:45" ht="16" x14ac:dyDescent="0.4">
      <c r="V369" s="97"/>
      <c r="W369" s="16"/>
      <c r="X369" s="89"/>
      <c r="Z369" s="50"/>
      <c r="AA369" s="50"/>
      <c r="AD369" s="100"/>
      <c r="AE369" s="48">
        <f t="shared" si="33"/>
        <v>0</v>
      </c>
      <c r="AF369" s="16"/>
      <c r="AG369" s="72">
        <f t="shared" si="34"/>
        <v>0</v>
      </c>
      <c r="AH369" s="37">
        <f t="shared" si="35"/>
        <v>0</v>
      </c>
      <c r="AJ369" s="34"/>
      <c r="AK369" s="34"/>
      <c r="AL369" s="82"/>
      <c r="AN369" s="83"/>
      <c r="AO369" s="83"/>
      <c r="AP369" s="82"/>
      <c r="AQ369" s="84"/>
      <c r="AR369" s="84"/>
      <c r="AS369" s="84"/>
    </row>
    <row r="370" spans="22:45" ht="16" x14ac:dyDescent="0.4">
      <c r="V370" s="97"/>
      <c r="W370" s="16"/>
      <c r="X370" s="89"/>
      <c r="Z370" s="50"/>
      <c r="AA370" s="50"/>
      <c r="AD370" s="100"/>
      <c r="AE370" s="48">
        <f t="shared" si="33"/>
        <v>0</v>
      </c>
      <c r="AF370" s="16"/>
      <c r="AG370" s="72">
        <f t="shared" si="34"/>
        <v>0</v>
      </c>
      <c r="AH370" s="37">
        <f t="shared" si="35"/>
        <v>0</v>
      </c>
      <c r="AJ370" s="34"/>
      <c r="AK370" s="34"/>
      <c r="AL370" s="82"/>
      <c r="AN370" s="83"/>
      <c r="AO370" s="83"/>
      <c r="AP370" s="82"/>
      <c r="AQ370" s="84"/>
      <c r="AR370" s="84"/>
      <c r="AS370" s="84"/>
    </row>
    <row r="371" spans="22:45" ht="16" x14ac:dyDescent="0.4">
      <c r="V371" s="97"/>
      <c r="W371" s="16"/>
      <c r="X371" s="89"/>
      <c r="Z371" s="50"/>
      <c r="AA371" s="50"/>
      <c r="AD371" s="100"/>
      <c r="AE371" s="48">
        <f t="shared" si="33"/>
        <v>0</v>
      </c>
      <c r="AF371" s="16"/>
      <c r="AG371" s="72">
        <f t="shared" si="34"/>
        <v>0</v>
      </c>
      <c r="AH371" s="37">
        <f t="shared" si="35"/>
        <v>0</v>
      </c>
      <c r="AJ371" s="34"/>
      <c r="AK371" s="34"/>
      <c r="AL371" s="82"/>
      <c r="AN371" s="83"/>
      <c r="AO371" s="83"/>
      <c r="AP371" s="82"/>
      <c r="AQ371" s="84"/>
      <c r="AR371" s="84"/>
      <c r="AS371" s="84"/>
    </row>
    <row r="372" spans="22:45" ht="16" x14ac:dyDescent="0.4">
      <c r="V372" s="97"/>
      <c r="W372" s="16"/>
      <c r="X372" s="89"/>
      <c r="Z372" s="50"/>
      <c r="AA372" s="50"/>
      <c r="AD372" s="100"/>
      <c r="AE372" s="48">
        <f t="shared" si="33"/>
        <v>0</v>
      </c>
      <c r="AF372" s="16"/>
      <c r="AG372" s="72">
        <f t="shared" si="34"/>
        <v>0</v>
      </c>
      <c r="AH372" s="37">
        <f t="shared" si="35"/>
        <v>0</v>
      </c>
      <c r="AJ372" s="34"/>
      <c r="AK372" s="34"/>
      <c r="AL372" s="82"/>
      <c r="AN372" s="83"/>
      <c r="AO372" s="83"/>
      <c r="AP372" s="82"/>
      <c r="AQ372" s="84"/>
      <c r="AR372" s="84"/>
      <c r="AS372" s="84"/>
    </row>
    <row r="373" spans="22:45" ht="16" x14ac:dyDescent="0.4">
      <c r="V373" s="97"/>
      <c r="W373" s="16"/>
      <c r="X373" s="89"/>
      <c r="Z373" s="50"/>
      <c r="AA373" s="50"/>
      <c r="AD373" s="100"/>
      <c r="AE373" s="48">
        <f t="shared" si="33"/>
        <v>0</v>
      </c>
      <c r="AF373" s="16"/>
      <c r="AG373" s="72">
        <f t="shared" si="34"/>
        <v>0</v>
      </c>
      <c r="AH373" s="37">
        <f t="shared" si="35"/>
        <v>0</v>
      </c>
      <c r="AJ373" s="34"/>
      <c r="AK373" s="34"/>
      <c r="AL373" s="82"/>
      <c r="AN373" s="83"/>
      <c r="AO373" s="83"/>
      <c r="AP373" s="82"/>
      <c r="AQ373" s="84"/>
      <c r="AR373" s="84"/>
      <c r="AS373" s="84"/>
    </row>
    <row r="374" spans="22:45" ht="16" x14ac:dyDescent="0.4">
      <c r="V374" s="97"/>
      <c r="W374" s="16"/>
      <c r="X374" s="89"/>
      <c r="Z374" s="50"/>
      <c r="AA374" s="50"/>
      <c r="AD374" s="100"/>
      <c r="AE374" s="48">
        <f t="shared" si="33"/>
        <v>0</v>
      </c>
      <c r="AF374" s="16"/>
      <c r="AG374" s="72">
        <f t="shared" si="34"/>
        <v>0</v>
      </c>
      <c r="AH374" s="37">
        <f t="shared" si="35"/>
        <v>0</v>
      </c>
      <c r="AJ374" s="34"/>
      <c r="AK374" s="34"/>
      <c r="AL374" s="82"/>
      <c r="AN374" s="83"/>
      <c r="AO374" s="83"/>
      <c r="AP374" s="82"/>
      <c r="AQ374" s="84"/>
      <c r="AR374" s="84"/>
      <c r="AS374" s="84"/>
    </row>
    <row r="375" spans="22:45" ht="16" x14ac:dyDescent="0.4">
      <c r="V375" s="97"/>
      <c r="W375" s="16"/>
      <c r="X375" s="89"/>
      <c r="Z375" s="50"/>
      <c r="AA375" s="50"/>
      <c r="AD375" s="100"/>
      <c r="AE375" s="48">
        <f t="shared" si="33"/>
        <v>0</v>
      </c>
      <c r="AF375" s="16"/>
      <c r="AG375" s="72">
        <f t="shared" si="34"/>
        <v>0</v>
      </c>
      <c r="AH375" s="37">
        <f t="shared" si="35"/>
        <v>0</v>
      </c>
      <c r="AJ375" s="34"/>
      <c r="AK375" s="34"/>
      <c r="AL375" s="82"/>
      <c r="AN375" s="83"/>
      <c r="AO375" s="83"/>
      <c r="AP375" s="82"/>
      <c r="AQ375" s="84"/>
      <c r="AR375" s="84"/>
      <c r="AS375" s="84"/>
    </row>
    <row r="376" spans="22:45" ht="16" x14ac:dyDescent="0.4">
      <c r="V376" s="97"/>
      <c r="W376" s="16"/>
      <c r="X376" s="89"/>
      <c r="Z376" s="50"/>
      <c r="AA376" s="50"/>
      <c r="AD376" s="100"/>
      <c r="AE376" s="48">
        <f t="shared" si="33"/>
        <v>0</v>
      </c>
      <c r="AF376" s="16"/>
      <c r="AG376" s="72">
        <f t="shared" si="34"/>
        <v>0</v>
      </c>
      <c r="AH376" s="37">
        <f t="shared" si="35"/>
        <v>0</v>
      </c>
      <c r="AJ376" s="34"/>
      <c r="AK376" s="34"/>
      <c r="AL376" s="82"/>
      <c r="AN376" s="83"/>
      <c r="AO376" s="83"/>
      <c r="AP376" s="82"/>
      <c r="AQ376" s="84"/>
      <c r="AR376" s="84"/>
      <c r="AS376" s="84"/>
    </row>
    <row r="377" spans="22:45" ht="16" x14ac:dyDescent="0.4">
      <c r="V377" s="97"/>
      <c r="W377" s="16"/>
      <c r="X377" s="89"/>
      <c r="Z377" s="50"/>
      <c r="AA377" s="50"/>
      <c r="AD377" s="100"/>
      <c r="AE377" s="48">
        <f t="shared" si="33"/>
        <v>0</v>
      </c>
      <c r="AF377" s="16"/>
      <c r="AG377" s="72">
        <f t="shared" si="34"/>
        <v>0</v>
      </c>
      <c r="AH377" s="37">
        <f t="shared" si="35"/>
        <v>0</v>
      </c>
      <c r="AJ377" s="34"/>
      <c r="AK377" s="34"/>
      <c r="AL377" s="82"/>
      <c r="AN377" s="83"/>
      <c r="AO377" s="83"/>
      <c r="AP377" s="82"/>
      <c r="AQ377" s="84"/>
      <c r="AR377" s="84"/>
      <c r="AS377" s="84"/>
    </row>
    <row r="378" spans="22:45" ht="16" x14ac:dyDescent="0.4">
      <c r="V378" s="97"/>
      <c r="W378" s="16"/>
      <c r="X378" s="89"/>
      <c r="Z378" s="50"/>
      <c r="AA378" s="50"/>
      <c r="AD378" s="100"/>
      <c r="AE378" s="48">
        <f t="shared" si="33"/>
        <v>0</v>
      </c>
      <c r="AF378" s="16"/>
      <c r="AG378" s="72">
        <f t="shared" si="34"/>
        <v>0</v>
      </c>
      <c r="AH378" s="37">
        <f t="shared" si="35"/>
        <v>0</v>
      </c>
      <c r="AJ378" s="34"/>
      <c r="AK378" s="34"/>
      <c r="AL378" s="82"/>
      <c r="AN378" s="83"/>
      <c r="AO378" s="83"/>
      <c r="AP378" s="82"/>
      <c r="AQ378" s="84"/>
      <c r="AR378" s="84"/>
      <c r="AS378" s="84"/>
    </row>
    <row r="379" spans="22:45" ht="16" x14ac:dyDescent="0.4">
      <c r="V379" s="97"/>
      <c r="W379" s="16"/>
      <c r="X379" s="89"/>
      <c r="Z379" s="50"/>
      <c r="AA379" s="50"/>
      <c r="AD379" s="100"/>
      <c r="AE379" s="48">
        <f t="shared" si="33"/>
        <v>0</v>
      </c>
      <c r="AF379" s="16"/>
      <c r="AG379" s="72">
        <f t="shared" si="34"/>
        <v>0</v>
      </c>
      <c r="AH379" s="37">
        <f t="shared" si="35"/>
        <v>0</v>
      </c>
      <c r="AJ379" s="34"/>
      <c r="AK379" s="34"/>
      <c r="AL379" s="82"/>
      <c r="AN379" s="83"/>
      <c r="AO379" s="83"/>
      <c r="AP379" s="82"/>
      <c r="AQ379" s="84"/>
      <c r="AR379" s="84"/>
      <c r="AS379" s="84"/>
    </row>
    <row r="380" spans="22:45" ht="16" x14ac:dyDescent="0.4">
      <c r="V380" s="97"/>
      <c r="W380" s="16"/>
      <c r="X380" s="89"/>
      <c r="Z380" s="50"/>
      <c r="AA380" s="50"/>
      <c r="AD380" s="100"/>
      <c r="AE380" s="48">
        <f t="shared" si="33"/>
        <v>0</v>
      </c>
      <c r="AF380" s="16"/>
      <c r="AG380" s="72">
        <f t="shared" si="34"/>
        <v>0</v>
      </c>
      <c r="AH380" s="37">
        <f t="shared" si="35"/>
        <v>0</v>
      </c>
      <c r="AJ380" s="34"/>
      <c r="AK380" s="34"/>
      <c r="AL380" s="82"/>
      <c r="AN380" s="83"/>
      <c r="AO380" s="83"/>
      <c r="AP380" s="82"/>
      <c r="AQ380" s="84"/>
      <c r="AR380" s="84"/>
      <c r="AS380" s="84"/>
    </row>
    <row r="381" spans="22:45" ht="16" x14ac:dyDescent="0.4">
      <c r="V381" s="97"/>
      <c r="W381" s="16"/>
      <c r="X381" s="89"/>
      <c r="Z381" s="50"/>
      <c r="AA381" s="50"/>
      <c r="AD381" s="100"/>
      <c r="AE381" s="48">
        <f t="shared" si="33"/>
        <v>0</v>
      </c>
      <c r="AF381" s="16"/>
      <c r="AG381" s="72">
        <f t="shared" si="34"/>
        <v>0</v>
      </c>
      <c r="AH381" s="37">
        <f t="shared" si="35"/>
        <v>0</v>
      </c>
      <c r="AJ381" s="34"/>
      <c r="AK381" s="34"/>
      <c r="AL381" s="82"/>
      <c r="AN381" s="83"/>
      <c r="AO381" s="83"/>
      <c r="AP381" s="82"/>
      <c r="AQ381" s="84"/>
      <c r="AR381" s="84"/>
      <c r="AS381" s="84"/>
    </row>
    <row r="382" spans="22:45" ht="16" x14ac:dyDescent="0.4">
      <c r="V382" s="97"/>
      <c r="W382" s="16"/>
      <c r="X382" s="89"/>
      <c r="Z382" s="50"/>
      <c r="AA382" s="50"/>
      <c r="AD382" s="100"/>
      <c r="AE382" s="48">
        <f t="shared" si="33"/>
        <v>0</v>
      </c>
      <c r="AF382" s="16"/>
      <c r="AG382" s="72">
        <f t="shared" si="34"/>
        <v>0</v>
      </c>
      <c r="AH382" s="37">
        <f t="shared" si="35"/>
        <v>0</v>
      </c>
      <c r="AJ382" s="34"/>
      <c r="AK382" s="34"/>
      <c r="AL382" s="82"/>
      <c r="AN382" s="83"/>
      <c r="AO382" s="83"/>
      <c r="AP382" s="82"/>
      <c r="AQ382" s="84"/>
      <c r="AR382" s="84"/>
      <c r="AS382" s="84"/>
    </row>
    <row r="383" spans="22:45" ht="16" x14ac:dyDescent="0.4">
      <c r="V383" s="97"/>
      <c r="W383" s="16"/>
      <c r="X383" s="89"/>
      <c r="Z383" s="50"/>
      <c r="AA383" s="50"/>
      <c r="AD383" s="100"/>
      <c r="AE383" s="48">
        <f t="shared" si="33"/>
        <v>0</v>
      </c>
      <c r="AF383" s="16"/>
      <c r="AG383" s="72">
        <f t="shared" si="34"/>
        <v>0</v>
      </c>
      <c r="AH383" s="37">
        <f t="shared" si="35"/>
        <v>0</v>
      </c>
      <c r="AJ383" s="34"/>
      <c r="AK383" s="34"/>
      <c r="AL383" s="82"/>
      <c r="AN383" s="83"/>
      <c r="AO383" s="83"/>
      <c r="AP383" s="82"/>
      <c r="AQ383" s="84"/>
      <c r="AR383" s="84"/>
      <c r="AS383" s="84"/>
    </row>
    <row r="384" spans="22:45" ht="16" x14ac:dyDescent="0.4">
      <c r="V384" s="97"/>
      <c r="W384" s="16"/>
      <c r="X384" s="89"/>
      <c r="Z384" s="50"/>
      <c r="AA384" s="50"/>
      <c r="AD384" s="100"/>
      <c r="AE384" s="48">
        <f t="shared" si="33"/>
        <v>0</v>
      </c>
      <c r="AF384" s="16"/>
      <c r="AG384" s="72">
        <f t="shared" si="34"/>
        <v>0</v>
      </c>
      <c r="AH384" s="37">
        <f t="shared" si="35"/>
        <v>0</v>
      </c>
      <c r="AJ384" s="34"/>
      <c r="AK384" s="34"/>
      <c r="AL384" s="82"/>
      <c r="AN384" s="83"/>
      <c r="AO384" s="83"/>
      <c r="AP384" s="82"/>
      <c r="AQ384" s="84"/>
      <c r="AR384" s="84"/>
      <c r="AS384" s="84"/>
    </row>
    <row r="385" spans="22:45" ht="16" x14ac:dyDescent="0.4">
      <c r="V385" s="97"/>
      <c r="W385" s="16"/>
      <c r="X385" s="89"/>
      <c r="Z385" s="50"/>
      <c r="AA385" s="50"/>
      <c r="AD385" s="100"/>
      <c r="AE385" s="48">
        <f t="shared" si="33"/>
        <v>0</v>
      </c>
      <c r="AF385" s="16"/>
      <c r="AG385" s="72">
        <f t="shared" si="34"/>
        <v>0</v>
      </c>
      <c r="AH385" s="37">
        <f t="shared" si="35"/>
        <v>0</v>
      </c>
      <c r="AJ385" s="34"/>
      <c r="AK385" s="34"/>
      <c r="AL385" s="82"/>
      <c r="AN385" s="83"/>
      <c r="AO385" s="83"/>
      <c r="AP385" s="82"/>
      <c r="AQ385" s="84"/>
      <c r="AR385" s="84"/>
      <c r="AS385" s="84"/>
    </row>
    <row r="386" spans="22:45" ht="16" x14ac:dyDescent="0.4">
      <c r="V386" s="97"/>
      <c r="W386" s="16"/>
      <c r="X386" s="89"/>
      <c r="Z386" s="50"/>
      <c r="AA386" s="50"/>
      <c r="AD386" s="100"/>
      <c r="AE386" s="48">
        <f t="shared" si="33"/>
        <v>0</v>
      </c>
      <c r="AF386" s="16"/>
      <c r="AG386" s="72">
        <f t="shared" si="34"/>
        <v>0</v>
      </c>
      <c r="AH386" s="37">
        <f t="shared" si="35"/>
        <v>0</v>
      </c>
      <c r="AJ386" s="34"/>
      <c r="AK386" s="34"/>
      <c r="AL386" s="82"/>
      <c r="AN386" s="83"/>
      <c r="AO386" s="83"/>
      <c r="AP386" s="82"/>
      <c r="AQ386" s="84"/>
      <c r="AR386" s="84"/>
      <c r="AS386" s="84"/>
    </row>
    <row r="387" spans="22:45" ht="16" x14ac:dyDescent="0.4">
      <c r="V387" s="97"/>
      <c r="W387" s="16"/>
      <c r="X387" s="89"/>
      <c r="Z387" s="50"/>
      <c r="AA387" s="50"/>
      <c r="AD387" s="100"/>
      <c r="AE387" s="48">
        <f t="shared" si="33"/>
        <v>0</v>
      </c>
      <c r="AF387" s="16"/>
      <c r="AG387" s="72">
        <f t="shared" si="34"/>
        <v>0</v>
      </c>
      <c r="AH387" s="37">
        <f t="shared" si="35"/>
        <v>0</v>
      </c>
      <c r="AJ387" s="34"/>
      <c r="AK387" s="34"/>
      <c r="AL387" s="82"/>
      <c r="AN387" s="83"/>
      <c r="AO387" s="83"/>
      <c r="AP387" s="82"/>
      <c r="AQ387" s="84"/>
      <c r="AR387" s="84"/>
      <c r="AS387" s="84"/>
    </row>
    <row r="388" spans="22:45" ht="16" x14ac:dyDescent="0.4">
      <c r="V388" s="97"/>
      <c r="W388" s="16"/>
      <c r="X388" s="89"/>
      <c r="Z388" s="50"/>
      <c r="AA388" s="50"/>
      <c r="AD388" s="100"/>
      <c r="AE388" s="48">
        <f t="shared" si="33"/>
        <v>0</v>
      </c>
      <c r="AF388" s="16"/>
      <c r="AG388" s="72">
        <f t="shared" si="34"/>
        <v>0</v>
      </c>
      <c r="AH388" s="37">
        <f t="shared" si="35"/>
        <v>0</v>
      </c>
      <c r="AJ388" s="34"/>
      <c r="AK388" s="34"/>
      <c r="AL388" s="82"/>
      <c r="AN388" s="83"/>
      <c r="AO388" s="83"/>
      <c r="AP388" s="82"/>
      <c r="AQ388" s="84"/>
      <c r="AR388" s="84"/>
      <c r="AS388" s="84"/>
    </row>
    <row r="389" spans="22:45" ht="16" x14ac:dyDescent="0.4">
      <c r="V389" s="97"/>
      <c r="W389" s="16"/>
      <c r="X389" s="89"/>
      <c r="Z389" s="50"/>
      <c r="AA389" s="50"/>
      <c r="AD389" s="100"/>
      <c r="AE389" s="48">
        <f t="shared" ref="AE389:AE452" si="36">AD389/1000</f>
        <v>0</v>
      </c>
      <c r="AF389" s="16"/>
      <c r="AG389" s="72">
        <f t="shared" si="34"/>
        <v>0</v>
      </c>
      <c r="AH389" s="37">
        <f t="shared" si="35"/>
        <v>0</v>
      </c>
      <c r="AJ389" s="34"/>
      <c r="AK389" s="34"/>
      <c r="AL389" s="82"/>
      <c r="AN389" s="83"/>
      <c r="AO389" s="83"/>
      <c r="AP389" s="82"/>
      <c r="AQ389" s="84"/>
      <c r="AR389" s="84"/>
      <c r="AS389" s="84"/>
    </row>
    <row r="390" spans="22:45" ht="16" x14ac:dyDescent="0.4">
      <c r="V390" s="97"/>
      <c r="W390" s="16"/>
      <c r="X390" s="89"/>
      <c r="Z390" s="50"/>
      <c r="AA390" s="50"/>
      <c r="AD390" s="100"/>
      <c r="AE390" s="48">
        <f t="shared" si="36"/>
        <v>0</v>
      </c>
      <c r="AF390" s="16"/>
      <c r="AG390" s="72">
        <f t="shared" ref="AG390:AG453" si="37">IF($AF390&gt;14,14,$AF390)</f>
        <v>0</v>
      </c>
      <c r="AH390" s="37">
        <f t="shared" ref="AH390:AH453" si="38">AE390*AG390/14</f>
        <v>0</v>
      </c>
      <c r="AJ390" s="34"/>
      <c r="AK390" s="34"/>
      <c r="AL390" s="82"/>
      <c r="AN390" s="83"/>
      <c r="AO390" s="83"/>
      <c r="AP390" s="82"/>
      <c r="AQ390" s="84"/>
      <c r="AR390" s="84"/>
      <c r="AS390" s="84"/>
    </row>
    <row r="391" spans="22:45" ht="16" x14ac:dyDescent="0.4">
      <c r="V391" s="97"/>
      <c r="W391" s="16"/>
      <c r="X391" s="89"/>
      <c r="Z391" s="50"/>
      <c r="AA391" s="50"/>
      <c r="AD391" s="100"/>
      <c r="AE391" s="48">
        <f t="shared" si="36"/>
        <v>0</v>
      </c>
      <c r="AF391" s="16"/>
      <c r="AG391" s="72">
        <f t="shared" si="37"/>
        <v>0</v>
      </c>
      <c r="AH391" s="37">
        <f t="shared" si="38"/>
        <v>0</v>
      </c>
      <c r="AJ391" s="34"/>
      <c r="AK391" s="34"/>
      <c r="AL391" s="82"/>
      <c r="AN391" s="83"/>
      <c r="AO391" s="83"/>
      <c r="AP391" s="82"/>
      <c r="AQ391" s="84"/>
      <c r="AR391" s="84"/>
      <c r="AS391" s="84"/>
    </row>
    <row r="392" spans="22:45" ht="16" x14ac:dyDescent="0.4">
      <c r="V392" s="97"/>
      <c r="W392" s="16"/>
      <c r="X392" s="89"/>
      <c r="Z392" s="50"/>
      <c r="AA392" s="50"/>
      <c r="AD392" s="100"/>
      <c r="AE392" s="48">
        <f t="shared" si="36"/>
        <v>0</v>
      </c>
      <c r="AF392" s="16"/>
      <c r="AG392" s="72">
        <f t="shared" si="37"/>
        <v>0</v>
      </c>
      <c r="AH392" s="37">
        <f t="shared" si="38"/>
        <v>0</v>
      </c>
      <c r="AJ392" s="34"/>
      <c r="AK392" s="34"/>
      <c r="AL392" s="82"/>
      <c r="AN392" s="83"/>
      <c r="AO392" s="83"/>
      <c r="AP392" s="82"/>
      <c r="AQ392" s="84"/>
      <c r="AR392" s="84"/>
      <c r="AS392" s="84"/>
    </row>
    <row r="393" spans="22:45" ht="16" x14ac:dyDescent="0.4">
      <c r="V393" s="97"/>
      <c r="W393" s="16"/>
      <c r="X393" s="89"/>
      <c r="Z393" s="50"/>
      <c r="AA393" s="50"/>
      <c r="AD393" s="100"/>
      <c r="AE393" s="48">
        <f t="shared" si="36"/>
        <v>0</v>
      </c>
      <c r="AF393" s="16"/>
      <c r="AG393" s="72">
        <f t="shared" si="37"/>
        <v>0</v>
      </c>
      <c r="AH393" s="37">
        <f t="shared" si="38"/>
        <v>0</v>
      </c>
      <c r="AJ393" s="34"/>
      <c r="AK393" s="34"/>
      <c r="AL393" s="82"/>
      <c r="AN393" s="83"/>
      <c r="AO393" s="83"/>
      <c r="AP393" s="82"/>
      <c r="AQ393" s="84"/>
      <c r="AR393" s="84"/>
      <c r="AS393" s="84"/>
    </row>
    <row r="394" spans="22:45" ht="16" x14ac:dyDescent="0.4">
      <c r="V394" s="97"/>
      <c r="W394" s="16"/>
      <c r="X394" s="89"/>
      <c r="Z394" s="50"/>
      <c r="AA394" s="50"/>
      <c r="AD394" s="100"/>
      <c r="AE394" s="48">
        <f t="shared" si="36"/>
        <v>0</v>
      </c>
      <c r="AF394" s="16"/>
      <c r="AG394" s="72">
        <f t="shared" si="37"/>
        <v>0</v>
      </c>
      <c r="AH394" s="37">
        <f t="shared" si="38"/>
        <v>0</v>
      </c>
      <c r="AJ394" s="34"/>
      <c r="AK394" s="34"/>
      <c r="AL394" s="82"/>
      <c r="AN394" s="83"/>
      <c r="AO394" s="83"/>
      <c r="AP394" s="82"/>
      <c r="AQ394" s="84"/>
      <c r="AR394" s="84"/>
      <c r="AS394" s="84"/>
    </row>
    <row r="395" spans="22:45" ht="16" x14ac:dyDescent="0.4">
      <c r="V395" s="97"/>
      <c r="W395" s="16"/>
      <c r="X395" s="89"/>
      <c r="Z395" s="50"/>
      <c r="AA395" s="50"/>
      <c r="AD395" s="100"/>
      <c r="AE395" s="48">
        <f t="shared" si="36"/>
        <v>0</v>
      </c>
      <c r="AF395" s="16"/>
      <c r="AG395" s="72">
        <f t="shared" si="37"/>
        <v>0</v>
      </c>
      <c r="AH395" s="37">
        <f t="shared" si="38"/>
        <v>0</v>
      </c>
      <c r="AJ395" s="34"/>
      <c r="AK395" s="34"/>
      <c r="AL395" s="82"/>
      <c r="AN395" s="83"/>
      <c r="AO395" s="83"/>
      <c r="AP395" s="82"/>
      <c r="AQ395" s="84"/>
      <c r="AR395" s="84"/>
      <c r="AS395" s="84"/>
    </row>
    <row r="396" spans="22:45" ht="16" x14ac:dyDescent="0.4">
      <c r="V396" s="97"/>
      <c r="W396" s="16"/>
      <c r="X396" s="89"/>
      <c r="Z396" s="50"/>
      <c r="AA396" s="50"/>
      <c r="AD396" s="100"/>
      <c r="AE396" s="48">
        <f t="shared" si="36"/>
        <v>0</v>
      </c>
      <c r="AF396" s="16"/>
      <c r="AG396" s="72">
        <f t="shared" si="37"/>
        <v>0</v>
      </c>
      <c r="AH396" s="37">
        <f t="shared" si="38"/>
        <v>0</v>
      </c>
      <c r="AJ396" s="34"/>
      <c r="AK396" s="34"/>
      <c r="AL396" s="82"/>
      <c r="AN396" s="83"/>
      <c r="AO396" s="83"/>
      <c r="AP396" s="82"/>
      <c r="AQ396" s="84"/>
      <c r="AR396" s="84"/>
      <c r="AS396" s="84"/>
    </row>
    <row r="397" spans="22:45" ht="16" x14ac:dyDescent="0.4">
      <c r="V397" s="97"/>
      <c r="W397" s="16"/>
      <c r="X397" s="89"/>
      <c r="Z397" s="50"/>
      <c r="AA397" s="50"/>
      <c r="AD397" s="48"/>
      <c r="AE397" s="48">
        <f t="shared" si="36"/>
        <v>0</v>
      </c>
      <c r="AF397" s="16"/>
      <c r="AG397" s="72">
        <f t="shared" si="37"/>
        <v>0</v>
      </c>
      <c r="AH397" s="37">
        <f t="shared" si="38"/>
        <v>0</v>
      </c>
      <c r="AJ397" s="34"/>
      <c r="AK397" s="34"/>
      <c r="AL397" s="82"/>
      <c r="AN397" s="83"/>
      <c r="AO397" s="83"/>
      <c r="AP397" s="82"/>
      <c r="AQ397" s="84"/>
      <c r="AR397" s="84"/>
      <c r="AS397" s="84"/>
    </row>
    <row r="398" spans="22:45" ht="16" x14ac:dyDescent="0.4">
      <c r="V398" s="97"/>
      <c r="W398" s="16"/>
      <c r="X398" s="89"/>
      <c r="Z398" s="50"/>
      <c r="AA398" s="50"/>
      <c r="AD398" s="48"/>
      <c r="AE398" s="48">
        <f t="shared" si="36"/>
        <v>0</v>
      </c>
      <c r="AF398" s="16"/>
      <c r="AG398" s="72">
        <f t="shared" si="37"/>
        <v>0</v>
      </c>
      <c r="AH398" s="37">
        <f t="shared" si="38"/>
        <v>0</v>
      </c>
      <c r="AJ398" s="85"/>
      <c r="AK398" s="86"/>
      <c r="AL398" s="82"/>
      <c r="AP398" s="86"/>
      <c r="AS398" s="84"/>
    </row>
    <row r="399" spans="22:45" ht="16" x14ac:dyDescent="0.4">
      <c r="V399" s="97"/>
      <c r="W399" s="16"/>
      <c r="X399" s="89"/>
      <c r="Z399" s="50"/>
      <c r="AA399" s="50"/>
      <c r="AD399" s="48"/>
      <c r="AE399" s="48">
        <f t="shared" si="36"/>
        <v>0</v>
      </c>
      <c r="AF399" s="16"/>
      <c r="AG399" s="72">
        <f t="shared" si="37"/>
        <v>0</v>
      </c>
      <c r="AH399" s="37">
        <f t="shared" si="38"/>
        <v>0</v>
      </c>
      <c r="AJ399" s="85"/>
      <c r="AK399" s="86"/>
      <c r="AL399" s="82"/>
      <c r="AP399" s="86"/>
      <c r="AS399" s="84"/>
    </row>
    <row r="400" spans="22:45" ht="16" x14ac:dyDescent="0.4">
      <c r="V400" s="97"/>
      <c r="W400" s="16"/>
      <c r="X400" s="89"/>
      <c r="Z400" s="50"/>
      <c r="AA400" s="50"/>
      <c r="AD400" s="48"/>
      <c r="AE400" s="48">
        <f t="shared" si="36"/>
        <v>0</v>
      </c>
      <c r="AF400" s="16"/>
      <c r="AG400" s="72">
        <f t="shared" si="37"/>
        <v>0</v>
      </c>
      <c r="AH400" s="37">
        <f t="shared" si="38"/>
        <v>0</v>
      </c>
      <c r="AJ400" s="85"/>
      <c r="AK400" s="86"/>
      <c r="AL400" s="82"/>
      <c r="AP400" s="86"/>
    </row>
    <row r="401" spans="22:42" ht="16" x14ac:dyDescent="0.4">
      <c r="V401" s="97"/>
      <c r="W401" s="16"/>
      <c r="X401" s="89"/>
      <c r="Z401" s="50"/>
      <c r="AA401" s="50"/>
      <c r="AD401" s="48"/>
      <c r="AE401" s="48">
        <f t="shared" si="36"/>
        <v>0</v>
      </c>
      <c r="AF401" s="16"/>
      <c r="AG401" s="72">
        <f t="shared" si="37"/>
        <v>0</v>
      </c>
      <c r="AH401" s="37">
        <f t="shared" si="38"/>
        <v>0</v>
      </c>
      <c r="AJ401" s="85"/>
      <c r="AK401" s="86"/>
      <c r="AL401" s="82"/>
      <c r="AP401" s="86"/>
    </row>
    <row r="402" spans="22:42" ht="16" x14ac:dyDescent="0.4">
      <c r="V402" s="97"/>
      <c r="W402" s="16"/>
      <c r="X402" s="89"/>
      <c r="Z402" s="50"/>
      <c r="AA402" s="50"/>
      <c r="AD402" s="48"/>
      <c r="AE402" s="48">
        <f t="shared" si="36"/>
        <v>0</v>
      </c>
      <c r="AF402" s="16"/>
      <c r="AG402" s="72">
        <f t="shared" si="37"/>
        <v>0</v>
      </c>
      <c r="AH402" s="37">
        <f t="shared" si="38"/>
        <v>0</v>
      </c>
      <c r="AJ402" s="87"/>
      <c r="AK402" s="82"/>
      <c r="AL402" s="82"/>
      <c r="AP402" s="82"/>
    </row>
    <row r="403" spans="22:42" ht="16" x14ac:dyDescent="0.4">
      <c r="V403" s="97"/>
      <c r="W403" s="16"/>
      <c r="X403" s="89"/>
      <c r="Z403" s="50"/>
      <c r="AA403" s="50"/>
      <c r="AD403" s="48"/>
      <c r="AE403" s="48">
        <f t="shared" si="36"/>
        <v>0</v>
      </c>
      <c r="AF403" s="16"/>
      <c r="AG403" s="72">
        <f t="shared" si="37"/>
        <v>0</v>
      </c>
      <c r="AH403" s="37">
        <f t="shared" si="38"/>
        <v>0</v>
      </c>
    </row>
    <row r="404" spans="22:42" ht="16" x14ac:dyDescent="0.4">
      <c r="V404" s="97"/>
      <c r="W404" s="16"/>
      <c r="X404" s="89"/>
      <c r="Z404" s="50"/>
      <c r="AA404" s="50"/>
      <c r="AD404" s="48"/>
      <c r="AE404" s="48">
        <f t="shared" si="36"/>
        <v>0</v>
      </c>
      <c r="AF404" s="16"/>
      <c r="AG404" s="72">
        <f t="shared" si="37"/>
        <v>0</v>
      </c>
      <c r="AH404" s="37">
        <f t="shared" si="38"/>
        <v>0</v>
      </c>
    </row>
    <row r="405" spans="22:42" ht="16" x14ac:dyDescent="0.4">
      <c r="V405" s="97"/>
      <c r="W405" s="16"/>
      <c r="X405" s="89"/>
      <c r="Z405" s="50"/>
      <c r="AA405" s="50"/>
      <c r="AD405" s="48"/>
      <c r="AE405" s="48">
        <f t="shared" si="36"/>
        <v>0</v>
      </c>
      <c r="AF405" s="16"/>
      <c r="AG405" s="72">
        <f t="shared" si="37"/>
        <v>0</v>
      </c>
      <c r="AH405" s="37">
        <f t="shared" si="38"/>
        <v>0</v>
      </c>
    </row>
    <row r="406" spans="22:42" ht="16" x14ac:dyDescent="0.4">
      <c r="V406" s="97"/>
      <c r="W406" s="16"/>
      <c r="X406" s="89"/>
      <c r="Z406" s="50"/>
      <c r="AA406" s="50"/>
      <c r="AD406" s="48"/>
      <c r="AE406" s="48">
        <f t="shared" si="36"/>
        <v>0</v>
      </c>
      <c r="AF406" s="16"/>
      <c r="AG406" s="72">
        <f t="shared" si="37"/>
        <v>0</v>
      </c>
      <c r="AH406" s="37">
        <f t="shared" si="38"/>
        <v>0</v>
      </c>
    </row>
    <row r="407" spans="22:42" ht="16" x14ac:dyDescent="0.4">
      <c r="V407" s="97"/>
      <c r="W407" s="16"/>
      <c r="X407" s="89"/>
      <c r="Z407" s="50"/>
      <c r="AA407" s="50"/>
      <c r="AD407" s="48"/>
      <c r="AE407" s="48">
        <f t="shared" si="36"/>
        <v>0</v>
      </c>
      <c r="AF407" s="16"/>
      <c r="AG407" s="72">
        <f t="shared" si="37"/>
        <v>0</v>
      </c>
      <c r="AH407" s="37">
        <f t="shared" si="38"/>
        <v>0</v>
      </c>
      <c r="AJ407" s="34"/>
      <c r="AK407" s="34"/>
    </row>
    <row r="408" spans="22:42" ht="16" x14ac:dyDescent="0.4">
      <c r="V408" s="97"/>
      <c r="W408" s="16"/>
      <c r="X408" s="89"/>
      <c r="Z408" s="50"/>
      <c r="AA408" s="50"/>
      <c r="AD408" s="48"/>
      <c r="AE408" s="48">
        <f t="shared" si="36"/>
        <v>0</v>
      </c>
      <c r="AF408" s="16"/>
      <c r="AG408" s="72">
        <f t="shared" si="37"/>
        <v>0</v>
      </c>
      <c r="AH408" s="37">
        <f t="shared" si="38"/>
        <v>0</v>
      </c>
      <c r="AJ408" s="34"/>
      <c r="AK408" s="34"/>
    </row>
    <row r="409" spans="22:42" ht="16" x14ac:dyDescent="0.4">
      <c r="V409" s="97"/>
      <c r="W409" s="16"/>
      <c r="X409" s="89"/>
      <c r="Z409" s="50"/>
      <c r="AA409" s="50"/>
      <c r="AD409" s="48"/>
      <c r="AE409" s="48">
        <f t="shared" si="36"/>
        <v>0</v>
      </c>
      <c r="AF409" s="16"/>
      <c r="AG409" s="72">
        <f t="shared" si="37"/>
        <v>0</v>
      </c>
      <c r="AH409" s="37">
        <f t="shared" si="38"/>
        <v>0</v>
      </c>
      <c r="AJ409" s="34"/>
      <c r="AK409" s="34"/>
    </row>
    <row r="410" spans="22:42" ht="16" x14ac:dyDescent="0.4">
      <c r="V410" s="97"/>
      <c r="W410" s="16"/>
      <c r="X410" s="89"/>
      <c r="Z410" s="50"/>
      <c r="AA410" s="50"/>
      <c r="AD410" s="48"/>
      <c r="AE410" s="48">
        <f t="shared" si="36"/>
        <v>0</v>
      </c>
      <c r="AF410" s="16"/>
      <c r="AG410" s="72">
        <f t="shared" si="37"/>
        <v>0</v>
      </c>
      <c r="AH410" s="37">
        <f t="shared" si="38"/>
        <v>0</v>
      </c>
      <c r="AJ410" s="34"/>
      <c r="AK410" s="34"/>
    </row>
    <row r="411" spans="22:42" ht="16" x14ac:dyDescent="0.4">
      <c r="V411" s="97"/>
      <c r="W411" s="16"/>
      <c r="X411" s="89"/>
      <c r="Z411" s="50"/>
      <c r="AA411" s="50"/>
      <c r="AD411" s="48"/>
      <c r="AE411" s="48">
        <f t="shared" si="36"/>
        <v>0</v>
      </c>
      <c r="AF411" s="16"/>
      <c r="AG411" s="72">
        <f t="shared" si="37"/>
        <v>0</v>
      </c>
      <c r="AH411" s="37">
        <f t="shared" si="38"/>
        <v>0</v>
      </c>
      <c r="AJ411" s="34"/>
      <c r="AK411" s="34"/>
    </row>
    <row r="412" spans="22:42" ht="16" x14ac:dyDescent="0.4">
      <c r="V412" s="97"/>
      <c r="W412" s="16"/>
      <c r="X412" s="89"/>
      <c r="Z412" s="50"/>
      <c r="AA412" s="50"/>
      <c r="AD412" s="48"/>
      <c r="AE412" s="48">
        <f t="shared" si="36"/>
        <v>0</v>
      </c>
      <c r="AF412" s="16"/>
      <c r="AG412" s="72">
        <f t="shared" si="37"/>
        <v>0</v>
      </c>
      <c r="AH412" s="37">
        <f t="shared" si="38"/>
        <v>0</v>
      </c>
      <c r="AJ412" s="34"/>
      <c r="AK412" s="34"/>
    </row>
    <row r="413" spans="22:42" ht="16" x14ac:dyDescent="0.4">
      <c r="V413" s="97"/>
      <c r="W413" s="16"/>
      <c r="X413" s="89"/>
      <c r="Z413" s="50"/>
      <c r="AA413" s="50"/>
      <c r="AD413" s="48"/>
      <c r="AE413" s="48">
        <f t="shared" si="36"/>
        <v>0</v>
      </c>
      <c r="AF413" s="16"/>
      <c r="AG413" s="72">
        <f t="shared" si="37"/>
        <v>0</v>
      </c>
      <c r="AH413" s="37">
        <f t="shared" si="38"/>
        <v>0</v>
      </c>
      <c r="AJ413" s="34"/>
      <c r="AK413" s="34"/>
    </row>
    <row r="414" spans="22:42" ht="16" x14ac:dyDescent="0.4">
      <c r="V414" s="97"/>
      <c r="W414" s="16"/>
      <c r="X414" s="89"/>
      <c r="Z414" s="50"/>
      <c r="AA414" s="50"/>
      <c r="AD414" s="48"/>
      <c r="AE414" s="48">
        <f t="shared" si="36"/>
        <v>0</v>
      </c>
      <c r="AF414" s="16"/>
      <c r="AG414" s="72">
        <f t="shared" si="37"/>
        <v>0</v>
      </c>
      <c r="AH414" s="37">
        <f t="shared" si="38"/>
        <v>0</v>
      </c>
      <c r="AJ414" s="34"/>
      <c r="AK414" s="34"/>
    </row>
    <row r="415" spans="22:42" ht="16" x14ac:dyDescent="0.4">
      <c r="V415" s="97"/>
      <c r="W415" s="16"/>
      <c r="X415" s="89"/>
      <c r="Z415" s="50"/>
      <c r="AA415" s="50"/>
      <c r="AD415" s="48"/>
      <c r="AE415" s="48">
        <f t="shared" si="36"/>
        <v>0</v>
      </c>
      <c r="AF415" s="16"/>
      <c r="AG415" s="72">
        <f t="shared" si="37"/>
        <v>0</v>
      </c>
      <c r="AH415" s="37">
        <f t="shared" si="38"/>
        <v>0</v>
      </c>
      <c r="AJ415" s="34"/>
      <c r="AK415" s="34"/>
    </row>
    <row r="416" spans="22:42" ht="16" x14ac:dyDescent="0.4">
      <c r="V416" s="97"/>
      <c r="W416" s="16"/>
      <c r="X416" s="89"/>
      <c r="Z416" s="50"/>
      <c r="AA416" s="50"/>
      <c r="AD416" s="48"/>
      <c r="AE416" s="48">
        <f t="shared" si="36"/>
        <v>0</v>
      </c>
      <c r="AF416" s="16"/>
      <c r="AG416" s="72">
        <f t="shared" si="37"/>
        <v>0</v>
      </c>
      <c r="AH416" s="37">
        <f t="shared" si="38"/>
        <v>0</v>
      </c>
      <c r="AJ416" s="34"/>
      <c r="AK416" s="34"/>
    </row>
    <row r="417" spans="22:37" ht="16" x14ac:dyDescent="0.4">
      <c r="V417" s="97"/>
      <c r="W417" s="16"/>
      <c r="X417" s="89"/>
      <c r="Z417" s="50"/>
      <c r="AA417" s="50"/>
      <c r="AD417" s="48"/>
      <c r="AE417" s="48">
        <f t="shared" si="36"/>
        <v>0</v>
      </c>
      <c r="AF417" s="16"/>
      <c r="AG417" s="72">
        <f t="shared" si="37"/>
        <v>0</v>
      </c>
      <c r="AH417" s="37">
        <f t="shared" si="38"/>
        <v>0</v>
      </c>
      <c r="AJ417" s="34"/>
      <c r="AK417" s="34"/>
    </row>
    <row r="418" spans="22:37" ht="16" x14ac:dyDescent="0.4">
      <c r="V418" s="97"/>
      <c r="W418" s="16"/>
      <c r="X418" s="89"/>
      <c r="Z418" s="50"/>
      <c r="AA418" s="50"/>
      <c r="AD418" s="48"/>
      <c r="AE418" s="48">
        <f t="shared" si="36"/>
        <v>0</v>
      </c>
      <c r="AF418" s="16"/>
      <c r="AG418" s="72">
        <f t="shared" si="37"/>
        <v>0</v>
      </c>
      <c r="AH418" s="37">
        <f t="shared" si="38"/>
        <v>0</v>
      </c>
      <c r="AJ418" s="34"/>
      <c r="AK418" s="34"/>
    </row>
    <row r="419" spans="22:37" ht="16" x14ac:dyDescent="0.4">
      <c r="V419" s="97"/>
      <c r="W419" s="16"/>
      <c r="X419" s="89"/>
      <c r="Z419" s="50"/>
      <c r="AA419" s="50"/>
      <c r="AD419" s="48"/>
      <c r="AE419" s="48">
        <f t="shared" si="36"/>
        <v>0</v>
      </c>
      <c r="AF419" s="16"/>
      <c r="AG419" s="72">
        <f t="shared" si="37"/>
        <v>0</v>
      </c>
      <c r="AH419" s="37">
        <f t="shared" si="38"/>
        <v>0</v>
      </c>
      <c r="AJ419" s="34"/>
      <c r="AK419" s="34"/>
    </row>
    <row r="420" spans="22:37" ht="16" x14ac:dyDescent="0.4">
      <c r="V420" s="97"/>
      <c r="W420" s="16"/>
      <c r="X420" s="89"/>
      <c r="Z420" s="50"/>
      <c r="AA420" s="50"/>
      <c r="AD420" s="48"/>
      <c r="AE420" s="48">
        <f t="shared" si="36"/>
        <v>0</v>
      </c>
      <c r="AF420" s="16"/>
      <c r="AG420" s="72">
        <f t="shared" si="37"/>
        <v>0</v>
      </c>
      <c r="AH420" s="37">
        <f t="shared" si="38"/>
        <v>0</v>
      </c>
      <c r="AJ420" s="34"/>
      <c r="AK420" s="34"/>
    </row>
    <row r="421" spans="22:37" ht="16" x14ac:dyDescent="0.4">
      <c r="V421" s="97"/>
      <c r="W421" s="16"/>
      <c r="X421" s="89"/>
      <c r="Z421" s="50"/>
      <c r="AA421" s="50"/>
      <c r="AD421" s="48"/>
      <c r="AE421" s="48">
        <f t="shared" si="36"/>
        <v>0</v>
      </c>
      <c r="AF421" s="16"/>
      <c r="AG421" s="72">
        <f t="shared" si="37"/>
        <v>0</v>
      </c>
      <c r="AH421" s="37">
        <f t="shared" si="38"/>
        <v>0</v>
      </c>
      <c r="AJ421" s="34"/>
      <c r="AK421" s="34"/>
    </row>
    <row r="422" spans="22:37" ht="16" x14ac:dyDescent="0.4">
      <c r="V422" s="97"/>
      <c r="W422" s="16"/>
      <c r="X422" s="89"/>
      <c r="Z422" s="50"/>
      <c r="AA422" s="50"/>
      <c r="AD422" s="48"/>
      <c r="AE422" s="48">
        <f t="shared" si="36"/>
        <v>0</v>
      </c>
      <c r="AF422" s="16"/>
      <c r="AG422" s="72">
        <f t="shared" si="37"/>
        <v>0</v>
      </c>
      <c r="AH422" s="37">
        <f t="shared" si="38"/>
        <v>0</v>
      </c>
      <c r="AJ422" s="34"/>
      <c r="AK422" s="34"/>
    </row>
    <row r="423" spans="22:37" ht="16" x14ac:dyDescent="0.4">
      <c r="V423" s="97"/>
      <c r="W423" s="16"/>
      <c r="X423" s="89"/>
      <c r="Z423" s="50"/>
      <c r="AA423" s="50"/>
      <c r="AD423" s="48"/>
      <c r="AE423" s="48">
        <f t="shared" si="36"/>
        <v>0</v>
      </c>
      <c r="AF423" s="16"/>
      <c r="AG423" s="72">
        <f t="shared" si="37"/>
        <v>0</v>
      </c>
      <c r="AH423" s="37">
        <f t="shared" si="38"/>
        <v>0</v>
      </c>
      <c r="AJ423" s="34"/>
      <c r="AK423" s="34"/>
    </row>
    <row r="424" spans="22:37" ht="16" x14ac:dyDescent="0.4">
      <c r="V424" s="97"/>
      <c r="W424" s="16"/>
      <c r="X424" s="89"/>
      <c r="Z424" s="50"/>
      <c r="AA424" s="50"/>
      <c r="AD424" s="48"/>
      <c r="AE424" s="48">
        <f t="shared" si="36"/>
        <v>0</v>
      </c>
      <c r="AF424" s="16"/>
      <c r="AG424" s="72">
        <f t="shared" si="37"/>
        <v>0</v>
      </c>
      <c r="AH424" s="37">
        <f t="shared" si="38"/>
        <v>0</v>
      </c>
      <c r="AJ424" s="34"/>
      <c r="AK424" s="34"/>
    </row>
    <row r="425" spans="22:37" ht="16" x14ac:dyDescent="0.4">
      <c r="V425" s="97"/>
      <c r="W425" s="16"/>
      <c r="X425" s="89"/>
      <c r="Z425" s="50"/>
      <c r="AA425" s="50"/>
      <c r="AD425" s="48"/>
      <c r="AE425" s="48">
        <f t="shared" si="36"/>
        <v>0</v>
      </c>
      <c r="AF425" s="16"/>
      <c r="AG425" s="72">
        <f t="shared" si="37"/>
        <v>0</v>
      </c>
      <c r="AH425" s="37">
        <f t="shared" si="38"/>
        <v>0</v>
      </c>
      <c r="AJ425" s="34"/>
      <c r="AK425" s="34"/>
    </row>
    <row r="426" spans="22:37" ht="16" x14ac:dyDescent="0.4">
      <c r="V426" s="97"/>
      <c r="W426" s="16"/>
      <c r="X426" s="89"/>
      <c r="Z426" s="50"/>
      <c r="AA426" s="50"/>
      <c r="AD426" s="48"/>
      <c r="AE426" s="48">
        <f t="shared" si="36"/>
        <v>0</v>
      </c>
      <c r="AF426" s="16"/>
      <c r="AG426" s="72">
        <f t="shared" si="37"/>
        <v>0</v>
      </c>
      <c r="AH426" s="37">
        <f t="shared" si="38"/>
        <v>0</v>
      </c>
      <c r="AJ426" s="34"/>
      <c r="AK426" s="34"/>
    </row>
    <row r="427" spans="22:37" ht="16" x14ac:dyDescent="0.4">
      <c r="V427" s="97"/>
      <c r="W427" s="16"/>
      <c r="X427" s="89"/>
      <c r="Z427" s="50"/>
      <c r="AA427" s="50"/>
      <c r="AD427" s="48"/>
      <c r="AE427" s="48">
        <f t="shared" si="36"/>
        <v>0</v>
      </c>
      <c r="AF427" s="16"/>
      <c r="AG427" s="72">
        <f t="shared" si="37"/>
        <v>0</v>
      </c>
      <c r="AH427" s="37">
        <f t="shared" si="38"/>
        <v>0</v>
      </c>
      <c r="AJ427" s="34"/>
      <c r="AK427" s="34"/>
    </row>
    <row r="428" spans="22:37" ht="16" x14ac:dyDescent="0.4">
      <c r="V428" s="97"/>
      <c r="W428" s="16"/>
      <c r="X428" s="89"/>
      <c r="Z428" s="50"/>
      <c r="AA428" s="50"/>
      <c r="AD428" s="48"/>
      <c r="AE428" s="48">
        <f t="shared" si="36"/>
        <v>0</v>
      </c>
      <c r="AF428" s="16"/>
      <c r="AG428" s="72">
        <f t="shared" si="37"/>
        <v>0</v>
      </c>
      <c r="AH428" s="37">
        <f t="shared" si="38"/>
        <v>0</v>
      </c>
      <c r="AJ428" s="34"/>
      <c r="AK428" s="34"/>
    </row>
    <row r="429" spans="22:37" ht="16" x14ac:dyDescent="0.4">
      <c r="V429" s="97"/>
      <c r="W429" s="16"/>
      <c r="X429" s="89"/>
      <c r="Z429" s="50"/>
      <c r="AA429" s="50"/>
      <c r="AD429" s="48"/>
      <c r="AE429" s="48">
        <f t="shared" si="36"/>
        <v>0</v>
      </c>
      <c r="AF429" s="16"/>
      <c r="AG429" s="72">
        <f t="shared" si="37"/>
        <v>0</v>
      </c>
      <c r="AH429" s="37">
        <f t="shared" si="38"/>
        <v>0</v>
      </c>
      <c r="AJ429" s="34"/>
      <c r="AK429" s="34"/>
    </row>
    <row r="430" spans="22:37" ht="16" x14ac:dyDescent="0.4">
      <c r="V430" s="97"/>
      <c r="W430" s="16"/>
      <c r="X430" s="89"/>
      <c r="Z430" s="50"/>
      <c r="AA430" s="50"/>
      <c r="AD430" s="48"/>
      <c r="AE430" s="48">
        <f t="shared" si="36"/>
        <v>0</v>
      </c>
      <c r="AF430" s="16"/>
      <c r="AG430" s="72">
        <f t="shared" si="37"/>
        <v>0</v>
      </c>
      <c r="AH430" s="37">
        <f t="shared" si="38"/>
        <v>0</v>
      </c>
      <c r="AJ430" s="34"/>
      <c r="AK430" s="34"/>
    </row>
    <row r="431" spans="22:37" ht="16" x14ac:dyDescent="0.4">
      <c r="V431" s="97"/>
      <c r="W431" s="16"/>
      <c r="X431" s="89"/>
      <c r="Z431" s="50"/>
      <c r="AA431" s="50"/>
      <c r="AD431" s="48"/>
      <c r="AE431" s="48">
        <f t="shared" si="36"/>
        <v>0</v>
      </c>
      <c r="AF431" s="16"/>
      <c r="AG431" s="72">
        <f t="shared" si="37"/>
        <v>0</v>
      </c>
      <c r="AH431" s="37">
        <f t="shared" si="38"/>
        <v>0</v>
      </c>
      <c r="AJ431" s="34"/>
      <c r="AK431" s="34"/>
    </row>
    <row r="432" spans="22:37" ht="16" x14ac:dyDescent="0.4">
      <c r="V432" s="97"/>
      <c r="W432" s="16"/>
      <c r="X432" s="89"/>
      <c r="Z432" s="50"/>
      <c r="AA432" s="50"/>
      <c r="AD432" s="48"/>
      <c r="AE432" s="48">
        <f t="shared" si="36"/>
        <v>0</v>
      </c>
      <c r="AF432" s="16"/>
      <c r="AG432" s="72">
        <f t="shared" si="37"/>
        <v>0</v>
      </c>
      <c r="AH432" s="37">
        <f t="shared" si="38"/>
        <v>0</v>
      </c>
      <c r="AJ432" s="34"/>
      <c r="AK432" s="34"/>
    </row>
    <row r="433" spans="22:37" ht="16" x14ac:dyDescent="0.4">
      <c r="V433" s="97"/>
      <c r="W433" s="16"/>
      <c r="X433" s="89"/>
      <c r="Z433" s="50"/>
      <c r="AA433" s="50"/>
      <c r="AD433" s="48"/>
      <c r="AE433" s="48">
        <f t="shared" si="36"/>
        <v>0</v>
      </c>
      <c r="AF433" s="16"/>
      <c r="AG433" s="72">
        <f t="shared" si="37"/>
        <v>0</v>
      </c>
      <c r="AH433" s="37">
        <f t="shared" si="38"/>
        <v>0</v>
      </c>
      <c r="AJ433" s="34"/>
      <c r="AK433" s="34"/>
    </row>
    <row r="434" spans="22:37" ht="16" x14ac:dyDescent="0.4">
      <c r="V434" s="97"/>
      <c r="W434" s="16"/>
      <c r="X434" s="89"/>
      <c r="Z434" s="50"/>
      <c r="AA434" s="50"/>
      <c r="AD434" s="48"/>
      <c r="AE434" s="48">
        <f t="shared" si="36"/>
        <v>0</v>
      </c>
      <c r="AF434" s="16"/>
      <c r="AG434" s="72">
        <f t="shared" si="37"/>
        <v>0</v>
      </c>
      <c r="AH434" s="37">
        <f t="shared" si="38"/>
        <v>0</v>
      </c>
      <c r="AJ434" s="34"/>
      <c r="AK434" s="34"/>
    </row>
    <row r="435" spans="22:37" ht="16" x14ac:dyDescent="0.4">
      <c r="V435" s="97"/>
      <c r="W435" s="16"/>
      <c r="X435" s="89"/>
      <c r="Z435" s="50"/>
      <c r="AA435" s="50"/>
      <c r="AD435" s="48"/>
      <c r="AE435" s="48">
        <f t="shared" si="36"/>
        <v>0</v>
      </c>
      <c r="AF435" s="16"/>
      <c r="AG435" s="72">
        <f t="shared" si="37"/>
        <v>0</v>
      </c>
      <c r="AH435" s="37">
        <f t="shared" si="38"/>
        <v>0</v>
      </c>
      <c r="AJ435" s="34"/>
      <c r="AK435" s="34"/>
    </row>
    <row r="436" spans="22:37" ht="16" x14ac:dyDescent="0.4">
      <c r="V436" s="97"/>
      <c r="W436" s="16"/>
      <c r="X436" s="89"/>
      <c r="Z436" s="50"/>
      <c r="AA436" s="50"/>
      <c r="AD436" s="48"/>
      <c r="AE436" s="48">
        <f t="shared" si="36"/>
        <v>0</v>
      </c>
      <c r="AF436" s="16"/>
      <c r="AG436" s="72">
        <f t="shared" si="37"/>
        <v>0</v>
      </c>
      <c r="AH436" s="37">
        <f t="shared" si="38"/>
        <v>0</v>
      </c>
      <c r="AJ436" s="34"/>
      <c r="AK436" s="34"/>
    </row>
    <row r="437" spans="22:37" ht="16" x14ac:dyDescent="0.4">
      <c r="V437" s="97"/>
      <c r="W437" s="16"/>
      <c r="X437" s="89"/>
      <c r="Z437" s="50"/>
      <c r="AA437" s="50"/>
      <c r="AD437" s="48"/>
      <c r="AE437" s="48">
        <f t="shared" si="36"/>
        <v>0</v>
      </c>
      <c r="AF437" s="16"/>
      <c r="AG437" s="72">
        <f t="shared" si="37"/>
        <v>0</v>
      </c>
      <c r="AH437" s="37">
        <f t="shared" si="38"/>
        <v>0</v>
      </c>
      <c r="AJ437" s="34"/>
      <c r="AK437" s="34"/>
    </row>
    <row r="438" spans="22:37" ht="16" x14ac:dyDescent="0.4">
      <c r="V438" s="97"/>
      <c r="W438" s="16"/>
      <c r="X438" s="89"/>
      <c r="Z438" s="50"/>
      <c r="AA438" s="50"/>
      <c r="AD438" s="48"/>
      <c r="AE438" s="48">
        <f t="shared" si="36"/>
        <v>0</v>
      </c>
      <c r="AF438" s="16"/>
      <c r="AG438" s="72">
        <f t="shared" si="37"/>
        <v>0</v>
      </c>
      <c r="AH438" s="37">
        <f t="shared" si="38"/>
        <v>0</v>
      </c>
      <c r="AJ438" s="34"/>
      <c r="AK438" s="34"/>
    </row>
    <row r="439" spans="22:37" ht="16" x14ac:dyDescent="0.4">
      <c r="V439" s="97"/>
      <c r="W439" s="16"/>
      <c r="X439" s="89"/>
      <c r="Z439" s="50"/>
      <c r="AA439" s="50"/>
      <c r="AD439" s="48"/>
      <c r="AE439" s="48">
        <f t="shared" si="36"/>
        <v>0</v>
      </c>
      <c r="AF439" s="16"/>
      <c r="AG439" s="72">
        <f t="shared" si="37"/>
        <v>0</v>
      </c>
      <c r="AH439" s="37">
        <f t="shared" si="38"/>
        <v>0</v>
      </c>
      <c r="AJ439" s="34"/>
      <c r="AK439" s="34"/>
    </row>
    <row r="440" spans="22:37" ht="16" x14ac:dyDescent="0.4">
      <c r="V440" s="97"/>
      <c r="W440" s="16"/>
      <c r="X440" s="89"/>
      <c r="Z440" s="50"/>
      <c r="AA440" s="50"/>
      <c r="AD440" s="48"/>
      <c r="AE440" s="48">
        <f t="shared" si="36"/>
        <v>0</v>
      </c>
      <c r="AF440" s="16"/>
      <c r="AG440" s="72">
        <f t="shared" si="37"/>
        <v>0</v>
      </c>
      <c r="AH440" s="37">
        <f t="shared" si="38"/>
        <v>0</v>
      </c>
      <c r="AJ440" s="34"/>
      <c r="AK440" s="34"/>
    </row>
    <row r="441" spans="22:37" ht="16" x14ac:dyDescent="0.4">
      <c r="V441" s="97"/>
      <c r="W441" s="16"/>
      <c r="X441" s="89"/>
      <c r="Z441" s="50"/>
      <c r="AA441" s="50"/>
      <c r="AD441" s="48"/>
      <c r="AE441" s="48">
        <f t="shared" si="36"/>
        <v>0</v>
      </c>
      <c r="AF441" s="16"/>
      <c r="AG441" s="72">
        <f t="shared" si="37"/>
        <v>0</v>
      </c>
      <c r="AH441" s="37">
        <f t="shared" si="38"/>
        <v>0</v>
      </c>
      <c r="AJ441" s="34"/>
      <c r="AK441" s="34"/>
    </row>
    <row r="442" spans="22:37" ht="16" x14ac:dyDescent="0.4">
      <c r="V442" s="97"/>
      <c r="W442" s="16"/>
      <c r="X442" s="89"/>
      <c r="Z442" s="50"/>
      <c r="AA442" s="50"/>
      <c r="AD442" s="48"/>
      <c r="AE442" s="48">
        <f t="shared" si="36"/>
        <v>0</v>
      </c>
      <c r="AF442" s="16"/>
      <c r="AG442" s="72">
        <f t="shared" si="37"/>
        <v>0</v>
      </c>
      <c r="AH442" s="37">
        <f t="shared" si="38"/>
        <v>0</v>
      </c>
      <c r="AJ442" s="34"/>
      <c r="AK442" s="34"/>
    </row>
    <row r="443" spans="22:37" ht="16" x14ac:dyDescent="0.4">
      <c r="V443" s="97"/>
      <c r="W443" s="16"/>
      <c r="X443" s="89"/>
      <c r="Z443" s="50"/>
      <c r="AA443" s="50"/>
      <c r="AD443" s="48"/>
      <c r="AE443" s="48">
        <f t="shared" si="36"/>
        <v>0</v>
      </c>
      <c r="AF443" s="16"/>
      <c r="AG443" s="72">
        <f t="shared" si="37"/>
        <v>0</v>
      </c>
      <c r="AH443" s="37">
        <f t="shared" si="38"/>
        <v>0</v>
      </c>
      <c r="AJ443" s="34"/>
      <c r="AK443" s="34"/>
    </row>
    <row r="444" spans="22:37" ht="16" x14ac:dyDescent="0.4">
      <c r="V444" s="97"/>
      <c r="W444" s="16"/>
      <c r="X444" s="89"/>
      <c r="Z444" s="50"/>
      <c r="AA444" s="50"/>
      <c r="AD444" s="48"/>
      <c r="AE444" s="48">
        <f t="shared" si="36"/>
        <v>0</v>
      </c>
      <c r="AF444" s="16"/>
      <c r="AG444" s="72">
        <f t="shared" si="37"/>
        <v>0</v>
      </c>
      <c r="AH444" s="37">
        <f t="shared" si="38"/>
        <v>0</v>
      </c>
      <c r="AJ444" s="34"/>
      <c r="AK444" s="34"/>
    </row>
    <row r="445" spans="22:37" ht="16" x14ac:dyDescent="0.4">
      <c r="V445" s="97"/>
      <c r="W445" s="16"/>
      <c r="X445" s="89"/>
      <c r="Z445" s="50"/>
      <c r="AA445" s="50"/>
      <c r="AD445" s="48"/>
      <c r="AE445" s="48">
        <f t="shared" si="36"/>
        <v>0</v>
      </c>
      <c r="AF445" s="16"/>
      <c r="AG445" s="72">
        <f t="shared" si="37"/>
        <v>0</v>
      </c>
      <c r="AH445" s="37">
        <f t="shared" si="38"/>
        <v>0</v>
      </c>
      <c r="AJ445" s="34"/>
      <c r="AK445" s="34"/>
    </row>
    <row r="446" spans="22:37" ht="16" x14ac:dyDescent="0.4">
      <c r="V446" s="97"/>
      <c r="W446" s="16"/>
      <c r="X446" s="89"/>
      <c r="Z446" s="50"/>
      <c r="AA446" s="50"/>
      <c r="AD446" s="48"/>
      <c r="AE446" s="48">
        <f t="shared" si="36"/>
        <v>0</v>
      </c>
      <c r="AF446" s="16"/>
      <c r="AG446" s="72">
        <f t="shared" si="37"/>
        <v>0</v>
      </c>
      <c r="AH446" s="37">
        <f t="shared" si="38"/>
        <v>0</v>
      </c>
      <c r="AJ446" s="34"/>
      <c r="AK446" s="34"/>
    </row>
    <row r="447" spans="22:37" ht="16" x14ac:dyDescent="0.4">
      <c r="V447" s="97"/>
      <c r="W447" s="16"/>
      <c r="X447" s="89"/>
      <c r="Z447" s="50"/>
      <c r="AA447" s="50"/>
      <c r="AD447" s="48"/>
      <c r="AE447" s="48">
        <f t="shared" si="36"/>
        <v>0</v>
      </c>
      <c r="AF447" s="16"/>
      <c r="AG447" s="72">
        <f t="shared" si="37"/>
        <v>0</v>
      </c>
      <c r="AH447" s="37">
        <f t="shared" si="38"/>
        <v>0</v>
      </c>
      <c r="AJ447" s="34"/>
      <c r="AK447" s="34"/>
    </row>
    <row r="448" spans="22:37" ht="16" x14ac:dyDescent="0.4">
      <c r="V448" s="97"/>
      <c r="W448" s="16"/>
      <c r="X448" s="89"/>
      <c r="Z448" s="50"/>
      <c r="AA448" s="50"/>
      <c r="AD448" s="48"/>
      <c r="AE448" s="48">
        <f t="shared" si="36"/>
        <v>0</v>
      </c>
      <c r="AF448" s="16"/>
      <c r="AG448" s="72">
        <f t="shared" si="37"/>
        <v>0</v>
      </c>
      <c r="AH448" s="37">
        <f t="shared" si="38"/>
        <v>0</v>
      </c>
      <c r="AJ448" s="34"/>
      <c r="AK448" s="34"/>
    </row>
    <row r="449" spans="22:37" ht="16" x14ac:dyDescent="0.4">
      <c r="V449" s="97"/>
      <c r="W449" s="16"/>
      <c r="X449" s="89"/>
      <c r="Z449" s="50"/>
      <c r="AA449" s="50"/>
      <c r="AD449" s="48"/>
      <c r="AE449" s="48">
        <f t="shared" si="36"/>
        <v>0</v>
      </c>
      <c r="AF449" s="16"/>
      <c r="AG449" s="72">
        <f t="shared" si="37"/>
        <v>0</v>
      </c>
      <c r="AH449" s="37">
        <f t="shared" si="38"/>
        <v>0</v>
      </c>
      <c r="AJ449" s="34"/>
      <c r="AK449" s="34"/>
    </row>
    <row r="450" spans="22:37" ht="16" x14ac:dyDescent="0.4">
      <c r="V450" s="97"/>
      <c r="W450" s="16"/>
      <c r="X450" s="89"/>
      <c r="Z450" s="50"/>
      <c r="AA450" s="50"/>
      <c r="AD450" s="48"/>
      <c r="AE450" s="48">
        <f t="shared" si="36"/>
        <v>0</v>
      </c>
      <c r="AF450" s="16"/>
      <c r="AG450" s="72">
        <f t="shared" si="37"/>
        <v>0</v>
      </c>
      <c r="AH450" s="37">
        <f t="shared" si="38"/>
        <v>0</v>
      </c>
      <c r="AJ450" s="34"/>
      <c r="AK450" s="34"/>
    </row>
    <row r="451" spans="22:37" ht="16" x14ac:dyDescent="0.4">
      <c r="V451" s="97"/>
      <c r="W451" s="16"/>
      <c r="X451" s="89"/>
      <c r="Z451" s="50"/>
      <c r="AA451" s="50"/>
      <c r="AD451" s="48"/>
      <c r="AE451" s="48">
        <f t="shared" si="36"/>
        <v>0</v>
      </c>
      <c r="AF451" s="16"/>
      <c r="AG451" s="72">
        <f t="shared" si="37"/>
        <v>0</v>
      </c>
      <c r="AH451" s="37">
        <f t="shared" si="38"/>
        <v>0</v>
      </c>
      <c r="AJ451" s="34"/>
      <c r="AK451" s="34"/>
    </row>
    <row r="452" spans="22:37" ht="16" x14ac:dyDescent="0.4">
      <c r="V452" s="97"/>
      <c r="W452" s="16"/>
      <c r="X452" s="89"/>
      <c r="Z452" s="50"/>
      <c r="AA452" s="50"/>
      <c r="AD452" s="48"/>
      <c r="AE452" s="48">
        <f t="shared" si="36"/>
        <v>0</v>
      </c>
      <c r="AF452" s="16"/>
      <c r="AG452" s="72">
        <f t="shared" si="37"/>
        <v>0</v>
      </c>
      <c r="AH452" s="37">
        <f t="shared" si="38"/>
        <v>0</v>
      </c>
      <c r="AJ452" s="34"/>
      <c r="AK452" s="34"/>
    </row>
    <row r="453" spans="22:37" ht="16" x14ac:dyDescent="0.4">
      <c r="V453" s="97"/>
      <c r="W453" s="16"/>
      <c r="X453" s="89"/>
      <c r="Z453" s="50"/>
      <c r="AA453" s="50"/>
      <c r="AD453" s="48"/>
      <c r="AE453" s="48">
        <f t="shared" ref="AE453:AE483" si="39">AD453/1000</f>
        <v>0</v>
      </c>
      <c r="AF453" s="16"/>
      <c r="AG453" s="72">
        <f t="shared" si="37"/>
        <v>0</v>
      </c>
      <c r="AH453" s="37">
        <f t="shared" si="38"/>
        <v>0</v>
      </c>
      <c r="AJ453" s="34"/>
      <c r="AK453" s="34"/>
    </row>
    <row r="454" spans="22:37" ht="16" x14ac:dyDescent="0.4">
      <c r="V454" s="97"/>
      <c r="W454" s="16"/>
      <c r="X454" s="89"/>
      <c r="Z454" s="50"/>
      <c r="AA454" s="50"/>
      <c r="AD454" s="48"/>
      <c r="AE454" s="48">
        <f t="shared" si="39"/>
        <v>0</v>
      </c>
      <c r="AF454" s="16"/>
      <c r="AG454" s="72">
        <f t="shared" ref="AG454:AG455" si="40">IF($AF454&gt;14,14,$AF454)</f>
        <v>0</v>
      </c>
      <c r="AH454" s="37">
        <f t="shared" ref="AH454:AH487" si="41">AE454*AG454/14</f>
        <v>0</v>
      </c>
      <c r="AJ454" s="34"/>
      <c r="AK454" s="34"/>
    </row>
    <row r="455" spans="22:37" ht="16" x14ac:dyDescent="0.4">
      <c r="V455" s="97"/>
      <c r="X455" s="89"/>
      <c r="Z455" s="50"/>
      <c r="AA455" s="50"/>
      <c r="AD455" s="37"/>
      <c r="AE455" s="48">
        <f t="shared" si="39"/>
        <v>0</v>
      </c>
      <c r="AG455" s="72">
        <f t="shared" si="40"/>
        <v>0</v>
      </c>
      <c r="AH455" s="37">
        <f t="shared" si="41"/>
        <v>0</v>
      </c>
      <c r="AJ455" s="34"/>
      <c r="AK455" s="34"/>
    </row>
    <row r="456" spans="22:37" x14ac:dyDescent="0.35">
      <c r="AE456" s="48">
        <f t="shared" si="39"/>
        <v>0</v>
      </c>
      <c r="AH456" s="37">
        <f t="shared" si="41"/>
        <v>0</v>
      </c>
      <c r="AJ456" s="34"/>
      <c r="AK456" s="34"/>
    </row>
    <row r="457" spans="22:37" x14ac:dyDescent="0.35">
      <c r="AE457" s="48">
        <f t="shared" si="39"/>
        <v>0</v>
      </c>
      <c r="AH457" s="37">
        <f t="shared" si="41"/>
        <v>0</v>
      </c>
      <c r="AJ457" s="34"/>
      <c r="AK457" s="34"/>
    </row>
    <row r="458" spans="22:37" x14ac:dyDescent="0.35">
      <c r="AE458" s="48">
        <f t="shared" si="39"/>
        <v>0</v>
      </c>
      <c r="AH458" s="37">
        <f t="shared" si="41"/>
        <v>0</v>
      </c>
      <c r="AJ458" s="34"/>
      <c r="AK458" s="34"/>
    </row>
    <row r="459" spans="22:37" x14ac:dyDescent="0.35">
      <c r="AE459" s="48">
        <f t="shared" si="39"/>
        <v>0</v>
      </c>
      <c r="AH459" s="37">
        <f t="shared" si="41"/>
        <v>0</v>
      </c>
      <c r="AJ459" s="34"/>
      <c r="AK459" s="34"/>
    </row>
    <row r="460" spans="22:37" x14ac:dyDescent="0.35">
      <c r="AE460" s="48">
        <f t="shared" si="39"/>
        <v>0</v>
      </c>
      <c r="AH460" s="37">
        <f t="shared" si="41"/>
        <v>0</v>
      </c>
      <c r="AJ460" s="34"/>
      <c r="AK460" s="34"/>
    </row>
    <row r="461" spans="22:37" x14ac:dyDescent="0.35">
      <c r="AE461" s="48">
        <f t="shared" si="39"/>
        <v>0</v>
      </c>
      <c r="AH461" s="37">
        <f t="shared" si="41"/>
        <v>0</v>
      </c>
      <c r="AJ461" s="34"/>
      <c r="AK461" s="34"/>
    </row>
    <row r="462" spans="22:37" x14ac:dyDescent="0.35">
      <c r="AE462" s="48">
        <f t="shared" si="39"/>
        <v>0</v>
      </c>
      <c r="AH462" s="37">
        <f t="shared" si="41"/>
        <v>0</v>
      </c>
      <c r="AJ462" s="34"/>
      <c r="AK462" s="34"/>
    </row>
    <row r="463" spans="22:37" x14ac:dyDescent="0.35">
      <c r="AE463" s="48">
        <f t="shared" si="39"/>
        <v>0</v>
      </c>
      <c r="AH463" s="37">
        <f t="shared" si="41"/>
        <v>0</v>
      </c>
      <c r="AJ463" s="34"/>
      <c r="AK463" s="34"/>
    </row>
    <row r="464" spans="22:37" x14ac:dyDescent="0.35">
      <c r="AE464" s="48">
        <f t="shared" si="39"/>
        <v>0</v>
      </c>
      <c r="AH464" s="37">
        <f t="shared" si="41"/>
        <v>0</v>
      </c>
      <c r="AJ464" s="34"/>
      <c r="AK464" s="34"/>
    </row>
    <row r="465" spans="31:37" x14ac:dyDescent="0.35">
      <c r="AE465" s="48">
        <f t="shared" si="39"/>
        <v>0</v>
      </c>
      <c r="AH465" s="37">
        <f t="shared" si="41"/>
        <v>0</v>
      </c>
      <c r="AJ465" s="34"/>
      <c r="AK465" s="34"/>
    </row>
    <row r="466" spans="31:37" x14ac:dyDescent="0.35">
      <c r="AE466" s="48">
        <f t="shared" si="39"/>
        <v>0</v>
      </c>
      <c r="AH466" s="37">
        <f t="shared" si="41"/>
        <v>0</v>
      </c>
      <c r="AJ466" s="34"/>
      <c r="AK466" s="34"/>
    </row>
    <row r="467" spans="31:37" x14ac:dyDescent="0.35">
      <c r="AE467" s="48">
        <f t="shared" si="39"/>
        <v>0</v>
      </c>
      <c r="AH467" s="37">
        <f t="shared" si="41"/>
        <v>0</v>
      </c>
      <c r="AJ467" s="34"/>
      <c r="AK467" s="34"/>
    </row>
    <row r="468" spans="31:37" x14ac:dyDescent="0.35">
      <c r="AE468" s="48">
        <f t="shared" si="39"/>
        <v>0</v>
      </c>
      <c r="AH468" s="37">
        <f t="shared" si="41"/>
        <v>0</v>
      </c>
      <c r="AJ468" s="34"/>
      <c r="AK468" s="34"/>
    </row>
    <row r="469" spans="31:37" x14ac:dyDescent="0.35">
      <c r="AE469" s="48">
        <f t="shared" si="39"/>
        <v>0</v>
      </c>
      <c r="AH469" s="37">
        <f t="shared" si="41"/>
        <v>0</v>
      </c>
      <c r="AJ469" s="34"/>
      <c r="AK469" s="34"/>
    </row>
    <row r="470" spans="31:37" x14ac:dyDescent="0.35">
      <c r="AE470" s="48">
        <f t="shared" si="39"/>
        <v>0</v>
      </c>
      <c r="AH470" s="37">
        <f t="shared" si="41"/>
        <v>0</v>
      </c>
      <c r="AJ470" s="34"/>
      <c r="AK470" s="34"/>
    </row>
    <row r="471" spans="31:37" x14ac:dyDescent="0.35">
      <c r="AE471" s="48">
        <f t="shared" si="39"/>
        <v>0</v>
      </c>
      <c r="AH471" s="37">
        <f t="shared" si="41"/>
        <v>0</v>
      </c>
      <c r="AJ471" s="34"/>
      <c r="AK471" s="34"/>
    </row>
    <row r="472" spans="31:37" x14ac:dyDescent="0.35">
      <c r="AE472" s="48">
        <f t="shared" si="39"/>
        <v>0</v>
      </c>
      <c r="AH472" s="37">
        <f t="shared" si="41"/>
        <v>0</v>
      </c>
      <c r="AJ472" s="34"/>
      <c r="AK472" s="34"/>
    </row>
    <row r="473" spans="31:37" x14ac:dyDescent="0.35">
      <c r="AE473" s="48">
        <f t="shared" si="39"/>
        <v>0</v>
      </c>
      <c r="AH473" s="37">
        <f t="shared" si="41"/>
        <v>0</v>
      </c>
      <c r="AJ473" s="34"/>
      <c r="AK473" s="34"/>
    </row>
    <row r="474" spans="31:37" x14ac:dyDescent="0.35">
      <c r="AE474" s="48">
        <f t="shared" si="39"/>
        <v>0</v>
      </c>
      <c r="AH474" s="37">
        <f t="shared" si="41"/>
        <v>0</v>
      </c>
      <c r="AJ474" s="34"/>
      <c r="AK474" s="34"/>
    </row>
    <row r="475" spans="31:37" x14ac:dyDescent="0.35">
      <c r="AE475" s="48">
        <f t="shared" si="39"/>
        <v>0</v>
      </c>
      <c r="AH475" s="37">
        <f t="shared" si="41"/>
        <v>0</v>
      </c>
      <c r="AJ475" s="34"/>
      <c r="AK475" s="34"/>
    </row>
    <row r="476" spans="31:37" x14ac:dyDescent="0.35">
      <c r="AE476" s="48">
        <f t="shared" si="39"/>
        <v>0</v>
      </c>
      <c r="AH476" s="37">
        <f t="shared" si="41"/>
        <v>0</v>
      </c>
      <c r="AJ476" s="34"/>
      <c r="AK476" s="34"/>
    </row>
    <row r="477" spans="31:37" x14ac:dyDescent="0.35">
      <c r="AE477" s="48">
        <f t="shared" si="39"/>
        <v>0</v>
      </c>
      <c r="AH477" s="37">
        <f t="shared" si="41"/>
        <v>0</v>
      </c>
      <c r="AJ477" s="34"/>
      <c r="AK477" s="34"/>
    </row>
    <row r="478" spans="31:37" x14ac:dyDescent="0.35">
      <c r="AE478" s="48">
        <f t="shared" si="39"/>
        <v>0</v>
      </c>
      <c r="AH478" s="37">
        <f t="shared" si="41"/>
        <v>0</v>
      </c>
      <c r="AJ478" s="34"/>
      <c r="AK478" s="34"/>
    </row>
    <row r="479" spans="31:37" x14ac:dyDescent="0.35">
      <c r="AE479" s="48">
        <f t="shared" si="39"/>
        <v>0</v>
      </c>
      <c r="AH479" s="37">
        <f t="shared" si="41"/>
        <v>0</v>
      </c>
      <c r="AJ479" s="34"/>
      <c r="AK479" s="34"/>
    </row>
    <row r="480" spans="31:37" x14ac:dyDescent="0.35">
      <c r="AE480" s="48">
        <f t="shared" si="39"/>
        <v>0</v>
      </c>
      <c r="AH480" s="37">
        <f t="shared" si="41"/>
        <v>0</v>
      </c>
      <c r="AJ480" s="34"/>
      <c r="AK480" s="34"/>
    </row>
    <row r="481" spans="31:37" x14ac:dyDescent="0.35">
      <c r="AE481" s="48">
        <f t="shared" si="39"/>
        <v>0</v>
      </c>
      <c r="AH481" s="37">
        <f t="shared" si="41"/>
        <v>0</v>
      </c>
      <c r="AJ481" s="34"/>
      <c r="AK481" s="34"/>
    </row>
    <row r="482" spans="31:37" x14ac:dyDescent="0.35">
      <c r="AE482" s="48">
        <f t="shared" si="39"/>
        <v>0</v>
      </c>
      <c r="AH482" s="37">
        <f t="shared" si="41"/>
        <v>0</v>
      </c>
      <c r="AJ482" s="34"/>
      <c r="AK482" s="34"/>
    </row>
    <row r="483" spans="31:37" x14ac:dyDescent="0.35">
      <c r="AE483" s="48">
        <f t="shared" si="39"/>
        <v>0</v>
      </c>
      <c r="AH483" s="37">
        <f t="shared" si="41"/>
        <v>0</v>
      </c>
      <c r="AJ483" s="34"/>
      <c r="AK483" s="34"/>
    </row>
    <row r="484" spans="31:37" x14ac:dyDescent="0.35">
      <c r="AH484" s="37">
        <f t="shared" si="41"/>
        <v>0</v>
      </c>
      <c r="AJ484" s="34"/>
      <c r="AK484" s="34"/>
    </row>
    <row r="485" spans="31:37" x14ac:dyDescent="0.35">
      <c r="AH485" s="37">
        <f t="shared" si="41"/>
        <v>0</v>
      </c>
      <c r="AJ485" s="34"/>
      <c r="AK485" s="34"/>
    </row>
    <row r="486" spans="31:37" x14ac:dyDescent="0.35">
      <c r="AH486" s="37">
        <f t="shared" si="41"/>
        <v>0</v>
      </c>
      <c r="AJ486" s="34"/>
      <c r="AK486" s="34"/>
    </row>
    <row r="487" spans="31:37" x14ac:dyDescent="0.35">
      <c r="AH487" s="37">
        <f t="shared" si="41"/>
        <v>0</v>
      </c>
      <c r="AJ487" s="34"/>
      <c r="AK487" s="34"/>
    </row>
    <row r="488" spans="31:37" x14ac:dyDescent="0.35">
      <c r="AJ488" s="34"/>
      <c r="AK488" s="34"/>
    </row>
    <row r="489" spans="31:37" x14ac:dyDescent="0.35">
      <c r="AJ489" s="34"/>
      <c r="AK489" s="34"/>
    </row>
    <row r="490" spans="31:37" x14ac:dyDescent="0.35">
      <c r="AJ490" s="34"/>
      <c r="AK490" s="34"/>
    </row>
    <row r="491" spans="31:37" x14ac:dyDescent="0.35">
      <c r="AJ491" s="34"/>
      <c r="AK491" s="34"/>
    </row>
    <row r="492" spans="31:37" x14ac:dyDescent="0.35">
      <c r="AJ492" s="34"/>
      <c r="AK492" s="34"/>
    </row>
    <row r="493" spans="31:37" x14ac:dyDescent="0.35">
      <c r="AJ493" s="34"/>
      <c r="AK493" s="34"/>
    </row>
    <row r="494" spans="31:37" x14ac:dyDescent="0.35">
      <c r="AJ494" s="34"/>
      <c r="AK494" s="34"/>
    </row>
    <row r="495" spans="31:37" x14ac:dyDescent="0.35">
      <c r="AJ495" s="34"/>
      <c r="AK495" s="34"/>
    </row>
    <row r="496" spans="31:37" x14ac:dyDescent="0.35">
      <c r="AJ496" s="34"/>
      <c r="AK496" s="34"/>
    </row>
    <row r="497" spans="36:37" x14ac:dyDescent="0.35">
      <c r="AJ497" s="34"/>
      <c r="AK497" s="34"/>
    </row>
    <row r="498" spans="36:37" x14ac:dyDescent="0.35">
      <c r="AJ498" s="34"/>
      <c r="AK498" s="34"/>
    </row>
    <row r="499" spans="36:37" x14ac:dyDescent="0.35">
      <c r="AJ499" s="34"/>
      <c r="AK499" s="34"/>
    </row>
    <row r="500" spans="36:37" x14ac:dyDescent="0.35">
      <c r="AJ500" s="34"/>
      <c r="AK500" s="34"/>
    </row>
    <row r="501" spans="36:37" x14ac:dyDescent="0.35">
      <c r="AJ501" s="34"/>
      <c r="AK501" s="34"/>
    </row>
    <row r="502" spans="36:37" x14ac:dyDescent="0.35">
      <c r="AJ502" s="34"/>
      <c r="AK502" s="34"/>
    </row>
    <row r="503" spans="36:37" x14ac:dyDescent="0.35">
      <c r="AJ503" s="34"/>
      <c r="AK503" s="34"/>
    </row>
    <row r="504" spans="36:37" x14ac:dyDescent="0.35">
      <c r="AJ504" s="34"/>
      <c r="AK504" s="34"/>
    </row>
    <row r="505" spans="36:37" x14ac:dyDescent="0.35">
      <c r="AJ505" s="34"/>
      <c r="AK505" s="34"/>
    </row>
    <row r="506" spans="36:37" x14ac:dyDescent="0.35">
      <c r="AJ506" s="34"/>
      <c r="AK506" s="34"/>
    </row>
    <row r="507" spans="36:37" x14ac:dyDescent="0.35">
      <c r="AJ507" s="34"/>
      <c r="AK507" s="34"/>
    </row>
    <row r="508" spans="36:37" x14ac:dyDescent="0.35">
      <c r="AJ508" s="34"/>
      <c r="AK508" s="34"/>
    </row>
    <row r="509" spans="36:37" x14ac:dyDescent="0.35">
      <c r="AJ509" s="34"/>
      <c r="AK509" s="34"/>
    </row>
    <row r="510" spans="36:37" x14ac:dyDescent="0.35">
      <c r="AJ510" s="34"/>
      <c r="AK510" s="34"/>
    </row>
    <row r="511" spans="36:37" x14ac:dyDescent="0.35">
      <c r="AJ511" s="34"/>
      <c r="AK511" s="34"/>
    </row>
    <row r="512" spans="36:37" x14ac:dyDescent="0.35">
      <c r="AJ512" s="34"/>
      <c r="AK512" s="34"/>
    </row>
    <row r="513" spans="36:37" x14ac:dyDescent="0.35">
      <c r="AJ513" s="34"/>
      <c r="AK513" s="34"/>
    </row>
    <row r="514" spans="36:37" x14ac:dyDescent="0.35">
      <c r="AJ514" s="34"/>
      <c r="AK514" s="34"/>
    </row>
    <row r="515" spans="36:37" x14ac:dyDescent="0.35">
      <c r="AJ515" s="34"/>
      <c r="AK515" s="34"/>
    </row>
    <row r="516" spans="36:37" x14ac:dyDescent="0.35">
      <c r="AJ516" s="34"/>
      <c r="AK516" s="34"/>
    </row>
    <row r="517" spans="36:37" x14ac:dyDescent="0.35">
      <c r="AJ517" s="34"/>
      <c r="AK517" s="34"/>
    </row>
    <row r="518" spans="36:37" x14ac:dyDescent="0.35">
      <c r="AJ518" s="34"/>
      <c r="AK518" s="34"/>
    </row>
    <row r="519" spans="36:37" x14ac:dyDescent="0.35">
      <c r="AJ519" s="34"/>
      <c r="AK519" s="34"/>
    </row>
    <row r="520" spans="36:37" x14ac:dyDescent="0.35">
      <c r="AJ520" s="34"/>
      <c r="AK520" s="34"/>
    </row>
    <row r="521" spans="36:37" x14ac:dyDescent="0.35">
      <c r="AJ521" s="34"/>
      <c r="AK521" s="34"/>
    </row>
    <row r="522" spans="36:37" x14ac:dyDescent="0.35">
      <c r="AJ522" s="34"/>
      <c r="AK522" s="34"/>
    </row>
    <row r="523" spans="36:37" x14ac:dyDescent="0.35">
      <c r="AJ523" s="34"/>
      <c r="AK523" s="34"/>
    </row>
    <row r="524" spans="36:37" x14ac:dyDescent="0.35">
      <c r="AJ524" s="34"/>
      <c r="AK524" s="34"/>
    </row>
    <row r="525" spans="36:37" x14ac:dyDescent="0.35">
      <c r="AJ525" s="34"/>
      <c r="AK525" s="34"/>
    </row>
    <row r="526" spans="36:37" x14ac:dyDescent="0.35">
      <c r="AJ526" s="34"/>
      <c r="AK526" s="34"/>
    </row>
    <row r="527" spans="36:37" x14ac:dyDescent="0.35">
      <c r="AJ527" s="34"/>
      <c r="AK527" s="34"/>
    </row>
    <row r="528" spans="36:37" x14ac:dyDescent="0.35">
      <c r="AJ528" s="34"/>
      <c r="AK528" s="34"/>
    </row>
    <row r="529" spans="36:37" x14ac:dyDescent="0.35">
      <c r="AJ529" s="34"/>
      <c r="AK529" s="34"/>
    </row>
    <row r="530" spans="36:37" x14ac:dyDescent="0.35">
      <c r="AJ530" s="34"/>
      <c r="AK530" s="34"/>
    </row>
    <row r="531" spans="36:37" x14ac:dyDescent="0.35">
      <c r="AJ531" s="34"/>
      <c r="AK531" s="34"/>
    </row>
    <row r="532" spans="36:37" x14ac:dyDescent="0.35">
      <c r="AJ532" s="34"/>
      <c r="AK532" s="34"/>
    </row>
    <row r="533" spans="36:37" x14ac:dyDescent="0.35">
      <c r="AJ533" s="34"/>
      <c r="AK533" s="34"/>
    </row>
    <row r="534" spans="36:37" x14ac:dyDescent="0.35">
      <c r="AJ534" s="34"/>
      <c r="AK534" s="34"/>
    </row>
    <row r="535" spans="36:37" x14ac:dyDescent="0.35">
      <c r="AJ535" s="34"/>
      <c r="AK535" s="34"/>
    </row>
    <row r="536" spans="36:37" x14ac:dyDescent="0.35">
      <c r="AJ536" s="34"/>
      <c r="AK536" s="34"/>
    </row>
    <row r="537" spans="36:37" x14ac:dyDescent="0.35">
      <c r="AJ537" s="34"/>
      <c r="AK537" s="34"/>
    </row>
    <row r="538" spans="36:37" x14ac:dyDescent="0.35">
      <c r="AJ538" s="34"/>
      <c r="AK538" s="34"/>
    </row>
    <row r="539" spans="36:37" x14ac:dyDescent="0.35">
      <c r="AJ539" s="34"/>
      <c r="AK539" s="34"/>
    </row>
    <row r="540" spans="36:37" x14ac:dyDescent="0.35">
      <c r="AJ540" s="34"/>
      <c r="AK540" s="34"/>
    </row>
    <row r="541" spans="36:37" x14ac:dyDescent="0.35">
      <c r="AJ541" s="34"/>
      <c r="AK541" s="34"/>
    </row>
    <row r="542" spans="36:37" x14ac:dyDescent="0.35">
      <c r="AJ542" s="34"/>
      <c r="AK542" s="34"/>
    </row>
    <row r="543" spans="36:37" x14ac:dyDescent="0.35">
      <c r="AJ543" s="34"/>
      <c r="AK543" s="34"/>
    </row>
    <row r="544" spans="36:37" x14ac:dyDescent="0.35">
      <c r="AJ544" s="34"/>
      <c r="AK544" s="34"/>
    </row>
    <row r="545" spans="36:37" x14ac:dyDescent="0.35">
      <c r="AJ545" s="34"/>
      <c r="AK545" s="34"/>
    </row>
    <row r="546" spans="36:37" x14ac:dyDescent="0.35">
      <c r="AJ546" s="34"/>
      <c r="AK546" s="34"/>
    </row>
    <row r="547" spans="36:37" x14ac:dyDescent="0.35">
      <c r="AJ547" s="34"/>
      <c r="AK547" s="34"/>
    </row>
    <row r="548" spans="36:37" x14ac:dyDescent="0.35">
      <c r="AJ548" s="34"/>
      <c r="AK548" s="34"/>
    </row>
    <row r="549" spans="36:37" x14ac:dyDescent="0.35">
      <c r="AJ549" s="34"/>
      <c r="AK549" s="34"/>
    </row>
    <row r="550" spans="36:37" x14ac:dyDescent="0.35">
      <c r="AJ550" s="34"/>
      <c r="AK550" s="34"/>
    </row>
    <row r="551" spans="36:37" x14ac:dyDescent="0.35">
      <c r="AJ551" s="34"/>
      <c r="AK551" s="34"/>
    </row>
    <row r="552" spans="36:37" x14ac:dyDescent="0.35">
      <c r="AJ552" s="34"/>
      <c r="AK552" s="34"/>
    </row>
    <row r="553" spans="36:37" x14ac:dyDescent="0.35">
      <c r="AJ553" s="34"/>
      <c r="AK553" s="34"/>
    </row>
    <row r="554" spans="36:37" x14ac:dyDescent="0.35">
      <c r="AJ554" s="34"/>
      <c r="AK554" s="34"/>
    </row>
    <row r="555" spans="36:37" x14ac:dyDescent="0.35">
      <c r="AJ555" s="34"/>
      <c r="AK555" s="34"/>
    </row>
    <row r="556" spans="36:37" x14ac:dyDescent="0.35">
      <c r="AJ556" s="34"/>
      <c r="AK556" s="34"/>
    </row>
    <row r="557" spans="36:37" x14ac:dyDescent="0.35">
      <c r="AJ557" s="34"/>
      <c r="AK557" s="34"/>
    </row>
    <row r="558" spans="36:37" x14ac:dyDescent="0.35">
      <c r="AJ558" s="34"/>
      <c r="AK558" s="34"/>
    </row>
    <row r="559" spans="36:37" x14ac:dyDescent="0.35">
      <c r="AJ559" s="34"/>
      <c r="AK559" s="34"/>
    </row>
    <row r="560" spans="36:37" x14ac:dyDescent="0.35">
      <c r="AJ560" s="34"/>
      <c r="AK560" s="34"/>
    </row>
    <row r="561" spans="36:37" x14ac:dyDescent="0.35">
      <c r="AJ561" s="34"/>
      <c r="AK561" s="34"/>
    </row>
    <row r="562" spans="36:37" x14ac:dyDescent="0.35">
      <c r="AJ562" s="34"/>
      <c r="AK562" s="34"/>
    </row>
    <row r="563" spans="36:37" x14ac:dyDescent="0.35">
      <c r="AJ563" s="34"/>
      <c r="AK563" s="34"/>
    </row>
    <row r="564" spans="36:37" x14ac:dyDescent="0.35">
      <c r="AJ564" s="34"/>
      <c r="AK564" s="34"/>
    </row>
    <row r="565" spans="36:37" x14ac:dyDescent="0.35">
      <c r="AJ565" s="34"/>
      <c r="AK565" s="34"/>
    </row>
    <row r="566" spans="36:37" x14ac:dyDescent="0.35">
      <c r="AJ566" s="34"/>
      <c r="AK566" s="34"/>
    </row>
    <row r="567" spans="36:37" x14ac:dyDescent="0.35">
      <c r="AJ567" s="34"/>
      <c r="AK567" s="34"/>
    </row>
    <row r="568" spans="36:37" x14ac:dyDescent="0.35">
      <c r="AJ568" s="34"/>
      <c r="AK568" s="34"/>
    </row>
    <row r="569" spans="36:37" x14ac:dyDescent="0.35">
      <c r="AJ569" s="34"/>
      <c r="AK569" s="34"/>
    </row>
    <row r="570" spans="36:37" x14ac:dyDescent="0.35">
      <c r="AJ570" s="34"/>
      <c r="AK570" s="34"/>
    </row>
    <row r="571" spans="36:37" x14ac:dyDescent="0.35">
      <c r="AJ571" s="34"/>
      <c r="AK571" s="34"/>
    </row>
    <row r="572" spans="36:37" x14ac:dyDescent="0.35">
      <c r="AJ572" s="34"/>
      <c r="AK572" s="34"/>
    </row>
    <row r="573" spans="36:37" x14ac:dyDescent="0.35">
      <c r="AJ573" s="34"/>
      <c r="AK573" s="34"/>
    </row>
    <row r="574" spans="36:37" x14ac:dyDescent="0.35">
      <c r="AJ574" s="34"/>
      <c r="AK574" s="34"/>
    </row>
    <row r="575" spans="36:37" x14ac:dyDescent="0.35">
      <c r="AJ575" s="34"/>
      <c r="AK575" s="34"/>
    </row>
    <row r="576" spans="36:37" x14ac:dyDescent="0.35">
      <c r="AJ576" s="34"/>
      <c r="AK576" s="34"/>
    </row>
    <row r="577" spans="36:37" x14ac:dyDescent="0.35">
      <c r="AJ577" s="34"/>
      <c r="AK577" s="34"/>
    </row>
    <row r="578" spans="36:37" x14ac:dyDescent="0.35">
      <c r="AJ578" s="34"/>
      <c r="AK578" s="34"/>
    </row>
    <row r="579" spans="36:37" x14ac:dyDescent="0.35">
      <c r="AJ579" s="34"/>
      <c r="AK579" s="34"/>
    </row>
    <row r="580" spans="36:37" x14ac:dyDescent="0.35">
      <c r="AJ580" s="34"/>
      <c r="AK580" s="34"/>
    </row>
    <row r="581" spans="36:37" x14ac:dyDescent="0.35">
      <c r="AJ581" s="34"/>
      <c r="AK581" s="34"/>
    </row>
    <row r="582" spans="36:37" x14ac:dyDescent="0.35">
      <c r="AJ582" s="34"/>
      <c r="AK582" s="34"/>
    </row>
    <row r="583" spans="36:37" x14ac:dyDescent="0.35">
      <c r="AJ583" s="34"/>
      <c r="AK583" s="34"/>
    </row>
    <row r="584" spans="36:37" x14ac:dyDescent="0.35">
      <c r="AJ584" s="34"/>
      <c r="AK584" s="34"/>
    </row>
    <row r="585" spans="36:37" x14ac:dyDescent="0.35">
      <c r="AJ585" s="34"/>
      <c r="AK585" s="34"/>
    </row>
    <row r="586" spans="36:37" x14ac:dyDescent="0.35">
      <c r="AJ586" s="34"/>
      <c r="AK586" s="34"/>
    </row>
    <row r="587" spans="36:37" x14ac:dyDescent="0.35">
      <c r="AJ587" s="34"/>
      <c r="AK587" s="34"/>
    </row>
    <row r="588" spans="36:37" x14ac:dyDescent="0.35">
      <c r="AJ588" s="34"/>
      <c r="AK588" s="34"/>
    </row>
    <row r="589" spans="36:37" x14ac:dyDescent="0.35">
      <c r="AJ589" s="34"/>
      <c r="AK589" s="34"/>
    </row>
    <row r="590" spans="36:37" x14ac:dyDescent="0.35">
      <c r="AJ590" s="34"/>
      <c r="AK590" s="34"/>
    </row>
    <row r="591" spans="36:37" x14ac:dyDescent="0.35">
      <c r="AJ591" s="34"/>
      <c r="AK591" s="34"/>
    </row>
    <row r="592" spans="36:37" x14ac:dyDescent="0.35">
      <c r="AJ592" s="34"/>
      <c r="AK592" s="34"/>
    </row>
    <row r="593" spans="36:37" x14ac:dyDescent="0.35">
      <c r="AJ593" s="34"/>
      <c r="AK593" s="34"/>
    </row>
    <row r="594" spans="36:37" x14ac:dyDescent="0.35">
      <c r="AJ594" s="34"/>
      <c r="AK594" s="34"/>
    </row>
    <row r="595" spans="36:37" x14ac:dyDescent="0.35">
      <c r="AJ595" s="34"/>
      <c r="AK595" s="34"/>
    </row>
    <row r="596" spans="36:37" x14ac:dyDescent="0.35">
      <c r="AJ596" s="34"/>
      <c r="AK596" s="34"/>
    </row>
    <row r="597" spans="36:37" x14ac:dyDescent="0.35">
      <c r="AJ597" s="34"/>
      <c r="AK597" s="34"/>
    </row>
    <row r="598" spans="36:37" x14ac:dyDescent="0.35">
      <c r="AJ598" s="34"/>
      <c r="AK598" s="34"/>
    </row>
    <row r="599" spans="36:37" x14ac:dyDescent="0.35">
      <c r="AJ599" s="34"/>
      <c r="AK599" s="34"/>
    </row>
    <row r="600" spans="36:37" x14ac:dyDescent="0.35">
      <c r="AJ600" s="34"/>
      <c r="AK600" s="34"/>
    </row>
    <row r="601" spans="36:37" x14ac:dyDescent="0.35">
      <c r="AJ601" s="34"/>
      <c r="AK601" s="34"/>
    </row>
    <row r="602" spans="36:37" x14ac:dyDescent="0.35">
      <c r="AJ602" s="34"/>
      <c r="AK602" s="34"/>
    </row>
    <row r="603" spans="36:37" x14ac:dyDescent="0.35">
      <c r="AJ603" s="34"/>
      <c r="AK603" s="34"/>
    </row>
    <row r="604" spans="36:37" x14ac:dyDescent="0.35">
      <c r="AJ604" s="34"/>
      <c r="AK604" s="34"/>
    </row>
    <row r="605" spans="36:37" x14ac:dyDescent="0.35">
      <c r="AJ605" s="34"/>
      <c r="AK605" s="34"/>
    </row>
    <row r="606" spans="36:37" x14ac:dyDescent="0.35">
      <c r="AJ606" s="34"/>
      <c r="AK606" s="34"/>
    </row>
    <row r="607" spans="36:37" x14ac:dyDescent="0.35">
      <c r="AJ607" s="34"/>
      <c r="AK607" s="34"/>
    </row>
    <row r="608" spans="36:37" x14ac:dyDescent="0.35">
      <c r="AJ608" s="34"/>
      <c r="AK608" s="34"/>
    </row>
    <row r="609" spans="36:37" x14ac:dyDescent="0.35">
      <c r="AJ609" s="34"/>
      <c r="AK609" s="34"/>
    </row>
    <row r="610" spans="36:37" x14ac:dyDescent="0.35">
      <c r="AJ610" s="34"/>
      <c r="AK610" s="34"/>
    </row>
    <row r="611" spans="36:37" x14ac:dyDescent="0.35">
      <c r="AJ611" s="34"/>
      <c r="AK611" s="34"/>
    </row>
    <row r="612" spans="36:37" x14ac:dyDescent="0.35">
      <c r="AJ612" s="34"/>
      <c r="AK612" s="34"/>
    </row>
    <row r="613" spans="36:37" x14ac:dyDescent="0.35">
      <c r="AJ613" s="34"/>
      <c r="AK613" s="34"/>
    </row>
    <row r="614" spans="36:37" x14ac:dyDescent="0.35">
      <c r="AJ614" s="34"/>
      <c r="AK614" s="34"/>
    </row>
    <row r="615" spans="36:37" x14ac:dyDescent="0.35">
      <c r="AJ615" s="34"/>
      <c r="AK615" s="34"/>
    </row>
    <row r="616" spans="36:37" x14ac:dyDescent="0.35">
      <c r="AJ616" s="34"/>
      <c r="AK616" s="34"/>
    </row>
    <row r="617" spans="36:37" x14ac:dyDescent="0.35">
      <c r="AJ617" s="34"/>
      <c r="AK617" s="34"/>
    </row>
    <row r="618" spans="36:37" x14ac:dyDescent="0.35">
      <c r="AJ618" s="34"/>
      <c r="AK618" s="34"/>
    </row>
    <row r="619" spans="36:37" x14ac:dyDescent="0.35">
      <c r="AJ619" s="34"/>
      <c r="AK619" s="34"/>
    </row>
    <row r="620" spans="36:37" x14ac:dyDescent="0.35">
      <c r="AJ620" s="34"/>
      <c r="AK620" s="34"/>
    </row>
    <row r="621" spans="36:37" x14ac:dyDescent="0.35">
      <c r="AJ621" s="34"/>
      <c r="AK621" s="34"/>
    </row>
    <row r="622" spans="36:37" x14ac:dyDescent="0.35">
      <c r="AJ622" s="34"/>
      <c r="AK622" s="34"/>
    </row>
    <row r="623" spans="36:37" x14ac:dyDescent="0.35">
      <c r="AJ623" s="34"/>
      <c r="AK623" s="34"/>
    </row>
    <row r="624" spans="36:37" x14ac:dyDescent="0.35">
      <c r="AJ624" s="34"/>
      <c r="AK624" s="34"/>
    </row>
    <row r="625" spans="36:37" x14ac:dyDescent="0.35">
      <c r="AJ625" s="34"/>
      <c r="AK625" s="34"/>
    </row>
    <row r="626" spans="36:37" x14ac:dyDescent="0.35">
      <c r="AJ626" s="34"/>
      <c r="AK626" s="34"/>
    </row>
    <row r="627" spans="36:37" x14ac:dyDescent="0.35">
      <c r="AJ627" s="34"/>
      <c r="AK627" s="34"/>
    </row>
    <row r="628" spans="36:37" x14ac:dyDescent="0.35">
      <c r="AJ628" s="34"/>
      <c r="AK628" s="34"/>
    </row>
    <row r="629" spans="36:37" x14ac:dyDescent="0.35">
      <c r="AJ629" s="34"/>
      <c r="AK629" s="34"/>
    </row>
    <row r="630" spans="36:37" x14ac:dyDescent="0.35">
      <c r="AJ630" s="34"/>
      <c r="AK630" s="34"/>
    </row>
    <row r="631" spans="36:37" x14ac:dyDescent="0.35">
      <c r="AJ631" s="34"/>
      <c r="AK631" s="34"/>
    </row>
    <row r="632" spans="36:37" x14ac:dyDescent="0.35">
      <c r="AJ632" s="34"/>
      <c r="AK632" s="34"/>
    </row>
    <row r="633" spans="36:37" x14ac:dyDescent="0.35">
      <c r="AJ633" s="34"/>
      <c r="AK633" s="34"/>
    </row>
    <row r="634" spans="36:37" x14ac:dyDescent="0.35">
      <c r="AJ634" s="34"/>
      <c r="AK634" s="34"/>
    </row>
    <row r="635" spans="36:37" x14ac:dyDescent="0.35">
      <c r="AJ635" s="34"/>
      <c r="AK635" s="34"/>
    </row>
    <row r="636" spans="36:37" x14ac:dyDescent="0.35">
      <c r="AJ636" s="34"/>
      <c r="AK636" s="34"/>
    </row>
    <row r="637" spans="36:37" x14ac:dyDescent="0.35">
      <c r="AJ637" s="34"/>
      <c r="AK637" s="34"/>
    </row>
    <row r="638" spans="36:37" x14ac:dyDescent="0.35">
      <c r="AJ638" s="34"/>
      <c r="AK638" s="34"/>
    </row>
    <row r="639" spans="36:37" x14ac:dyDescent="0.35">
      <c r="AJ639" s="34"/>
      <c r="AK639" s="34"/>
    </row>
    <row r="640" spans="36:37" x14ac:dyDescent="0.35">
      <c r="AJ640" s="34"/>
      <c r="AK640" s="34"/>
    </row>
    <row r="641" spans="36:37" x14ac:dyDescent="0.35">
      <c r="AJ641" s="34"/>
      <c r="AK641" s="34"/>
    </row>
    <row r="642" spans="36:37" x14ac:dyDescent="0.35">
      <c r="AJ642" s="34"/>
      <c r="AK642" s="34"/>
    </row>
    <row r="643" spans="36:37" x14ac:dyDescent="0.35">
      <c r="AJ643" s="34"/>
      <c r="AK643" s="34"/>
    </row>
    <row r="644" spans="36:37" x14ac:dyDescent="0.35">
      <c r="AJ644" s="34"/>
      <c r="AK644" s="34"/>
    </row>
    <row r="645" spans="36:37" x14ac:dyDescent="0.35">
      <c r="AJ645" s="34"/>
      <c r="AK645" s="34"/>
    </row>
    <row r="646" spans="36:37" x14ac:dyDescent="0.35">
      <c r="AJ646" s="34"/>
      <c r="AK646" s="34"/>
    </row>
    <row r="647" spans="36:37" x14ac:dyDescent="0.35">
      <c r="AJ647" s="34"/>
      <c r="AK647" s="34"/>
    </row>
    <row r="648" spans="36:37" x14ac:dyDescent="0.35">
      <c r="AJ648" s="34"/>
      <c r="AK648" s="34"/>
    </row>
    <row r="649" spans="36:37" x14ac:dyDescent="0.35">
      <c r="AJ649" s="34"/>
      <c r="AK649" s="34"/>
    </row>
    <row r="650" spans="36:37" x14ac:dyDescent="0.35">
      <c r="AJ650" s="34"/>
      <c r="AK650" s="34"/>
    </row>
    <row r="651" spans="36:37" x14ac:dyDescent="0.35">
      <c r="AJ651" s="34"/>
      <c r="AK651" s="34"/>
    </row>
    <row r="652" spans="36:37" x14ac:dyDescent="0.35">
      <c r="AJ652" s="34"/>
      <c r="AK652" s="34"/>
    </row>
    <row r="653" spans="36:37" x14ac:dyDescent="0.35">
      <c r="AJ653" s="34"/>
      <c r="AK653" s="34"/>
    </row>
    <row r="654" spans="36:37" x14ac:dyDescent="0.35">
      <c r="AJ654" s="34"/>
      <c r="AK654" s="34"/>
    </row>
    <row r="655" spans="36:37" x14ac:dyDescent="0.35">
      <c r="AJ655" s="34"/>
      <c r="AK655" s="34"/>
    </row>
    <row r="656" spans="36:37" x14ac:dyDescent="0.35">
      <c r="AJ656" s="34"/>
      <c r="AK656" s="34"/>
    </row>
    <row r="657" spans="36:37" x14ac:dyDescent="0.35">
      <c r="AJ657" s="34"/>
      <c r="AK657" s="34"/>
    </row>
    <row r="658" spans="36:37" x14ac:dyDescent="0.35">
      <c r="AJ658" s="34"/>
      <c r="AK658" s="34"/>
    </row>
    <row r="659" spans="36:37" x14ac:dyDescent="0.35">
      <c r="AJ659" s="34"/>
      <c r="AK659" s="34"/>
    </row>
    <row r="660" spans="36:37" x14ac:dyDescent="0.35">
      <c r="AJ660" s="34"/>
      <c r="AK660" s="34"/>
    </row>
    <row r="661" spans="36:37" x14ac:dyDescent="0.35">
      <c r="AJ661" s="34"/>
      <c r="AK661" s="34"/>
    </row>
    <row r="662" spans="36:37" x14ac:dyDescent="0.35">
      <c r="AJ662" s="34"/>
      <c r="AK662" s="34"/>
    </row>
    <row r="663" spans="36:37" x14ac:dyDescent="0.35">
      <c r="AJ663" s="34"/>
      <c r="AK663" s="34"/>
    </row>
    <row r="664" spans="36:37" x14ac:dyDescent="0.35">
      <c r="AJ664" s="34"/>
      <c r="AK664" s="34"/>
    </row>
    <row r="665" spans="36:37" x14ac:dyDescent="0.35">
      <c r="AJ665" s="34"/>
      <c r="AK665" s="34"/>
    </row>
    <row r="666" spans="36:37" x14ac:dyDescent="0.35">
      <c r="AJ666" s="34"/>
      <c r="AK666" s="34"/>
    </row>
    <row r="667" spans="36:37" x14ac:dyDescent="0.35">
      <c r="AJ667" s="34"/>
      <c r="AK667" s="34"/>
    </row>
    <row r="668" spans="36:37" x14ac:dyDescent="0.35">
      <c r="AJ668" s="34"/>
      <c r="AK668" s="34"/>
    </row>
    <row r="669" spans="36:37" x14ac:dyDescent="0.35">
      <c r="AJ669" s="34"/>
      <c r="AK669" s="34"/>
    </row>
    <row r="670" spans="36:37" x14ac:dyDescent="0.35">
      <c r="AJ670" s="34"/>
      <c r="AK670" s="34"/>
    </row>
    <row r="671" spans="36:37" x14ac:dyDescent="0.35">
      <c r="AJ671" s="34"/>
      <c r="AK671" s="34"/>
    </row>
    <row r="672" spans="36:37" x14ac:dyDescent="0.35">
      <c r="AJ672" s="34"/>
      <c r="AK672" s="34"/>
    </row>
    <row r="673" spans="36:37" x14ac:dyDescent="0.35">
      <c r="AJ673" s="34"/>
      <c r="AK673" s="34"/>
    </row>
    <row r="674" spans="36:37" x14ac:dyDescent="0.35">
      <c r="AJ674" s="34"/>
      <c r="AK674" s="34"/>
    </row>
    <row r="675" spans="36:37" x14ac:dyDescent="0.35">
      <c r="AJ675" s="34"/>
      <c r="AK675" s="34"/>
    </row>
    <row r="676" spans="36:37" x14ac:dyDescent="0.35">
      <c r="AJ676" s="34"/>
      <c r="AK676" s="34"/>
    </row>
    <row r="677" spans="36:37" x14ac:dyDescent="0.35">
      <c r="AJ677" s="34"/>
      <c r="AK677" s="34"/>
    </row>
    <row r="678" spans="36:37" x14ac:dyDescent="0.35">
      <c r="AJ678" s="34"/>
      <c r="AK678" s="34"/>
    </row>
    <row r="679" spans="36:37" x14ac:dyDescent="0.35">
      <c r="AJ679" s="34"/>
      <c r="AK679" s="34"/>
    </row>
    <row r="680" spans="36:37" x14ac:dyDescent="0.35">
      <c r="AJ680" s="34"/>
      <c r="AK680" s="34"/>
    </row>
    <row r="681" spans="36:37" x14ac:dyDescent="0.35">
      <c r="AJ681" s="34"/>
      <c r="AK681" s="34"/>
    </row>
    <row r="682" spans="36:37" x14ac:dyDescent="0.35">
      <c r="AJ682" s="34"/>
      <c r="AK682" s="34"/>
    </row>
    <row r="683" spans="36:37" x14ac:dyDescent="0.35">
      <c r="AJ683" s="34"/>
      <c r="AK683" s="34"/>
    </row>
    <row r="684" spans="36:37" x14ac:dyDescent="0.35">
      <c r="AJ684" s="34"/>
      <c r="AK684" s="34"/>
    </row>
    <row r="685" spans="36:37" x14ac:dyDescent="0.35">
      <c r="AJ685" s="34"/>
      <c r="AK685" s="34"/>
    </row>
    <row r="686" spans="36:37" x14ac:dyDescent="0.35">
      <c r="AJ686" s="34"/>
      <c r="AK686" s="34"/>
    </row>
    <row r="687" spans="36:37" x14ac:dyDescent="0.35">
      <c r="AJ687" s="34"/>
      <c r="AK687" s="34"/>
    </row>
    <row r="688" spans="36:37" x14ac:dyDescent="0.35">
      <c r="AJ688" s="34"/>
      <c r="AK688" s="34"/>
    </row>
    <row r="689" spans="36:37" x14ac:dyDescent="0.35">
      <c r="AJ689" s="34"/>
      <c r="AK689" s="34"/>
    </row>
    <row r="690" spans="36:37" x14ac:dyDescent="0.35">
      <c r="AJ690" s="34"/>
      <c r="AK690" s="34"/>
    </row>
    <row r="691" spans="36:37" x14ac:dyDescent="0.35">
      <c r="AJ691" s="34"/>
      <c r="AK691" s="34"/>
    </row>
    <row r="692" spans="36:37" x14ac:dyDescent="0.35">
      <c r="AJ692" s="34"/>
      <c r="AK692" s="34"/>
    </row>
    <row r="693" spans="36:37" x14ac:dyDescent="0.35">
      <c r="AJ693" s="34"/>
      <c r="AK693" s="34"/>
    </row>
    <row r="694" spans="36:37" x14ac:dyDescent="0.35">
      <c r="AJ694" s="34"/>
      <c r="AK694" s="34"/>
    </row>
    <row r="695" spans="36:37" x14ac:dyDescent="0.35">
      <c r="AJ695" s="34"/>
      <c r="AK695" s="34"/>
    </row>
    <row r="696" spans="36:37" x14ac:dyDescent="0.35">
      <c r="AJ696" s="34"/>
      <c r="AK696" s="34"/>
    </row>
    <row r="697" spans="36:37" x14ac:dyDescent="0.35">
      <c r="AJ697" s="34"/>
      <c r="AK697" s="34"/>
    </row>
    <row r="698" spans="36:37" x14ac:dyDescent="0.35">
      <c r="AJ698" s="34"/>
      <c r="AK698" s="34"/>
    </row>
    <row r="699" spans="36:37" x14ac:dyDescent="0.35">
      <c r="AJ699" s="34"/>
      <c r="AK699" s="34"/>
    </row>
    <row r="700" spans="36:37" x14ac:dyDescent="0.35">
      <c r="AJ700" s="34"/>
      <c r="AK700" s="34"/>
    </row>
    <row r="701" spans="36:37" x14ac:dyDescent="0.35">
      <c r="AJ701" s="34"/>
      <c r="AK701" s="34"/>
    </row>
    <row r="702" spans="36:37" x14ac:dyDescent="0.35">
      <c r="AJ702" s="34"/>
      <c r="AK702" s="34"/>
    </row>
    <row r="703" spans="36:37" x14ac:dyDescent="0.35">
      <c r="AJ703" s="34"/>
      <c r="AK703" s="34"/>
    </row>
    <row r="704" spans="36:37" x14ac:dyDescent="0.35">
      <c r="AJ704" s="34"/>
      <c r="AK704" s="34"/>
    </row>
    <row r="705" spans="36:37" x14ac:dyDescent="0.35">
      <c r="AJ705" s="34"/>
      <c r="AK705" s="34"/>
    </row>
    <row r="706" spans="36:37" x14ac:dyDescent="0.35">
      <c r="AJ706" s="34"/>
      <c r="AK706" s="34"/>
    </row>
    <row r="707" spans="36:37" x14ac:dyDescent="0.35">
      <c r="AJ707" s="34"/>
      <c r="AK707" s="34"/>
    </row>
    <row r="708" spans="36:37" x14ac:dyDescent="0.35">
      <c r="AJ708" s="34"/>
      <c r="AK708" s="34"/>
    </row>
    <row r="709" spans="36:37" x14ac:dyDescent="0.35">
      <c r="AJ709" s="34"/>
      <c r="AK709" s="34"/>
    </row>
    <row r="710" spans="36:37" x14ac:dyDescent="0.35">
      <c r="AJ710" s="34"/>
      <c r="AK710" s="34"/>
    </row>
    <row r="711" spans="36:37" x14ac:dyDescent="0.35">
      <c r="AJ711" s="34"/>
      <c r="AK711" s="34"/>
    </row>
    <row r="712" spans="36:37" x14ac:dyDescent="0.35">
      <c r="AJ712" s="34"/>
      <c r="AK712" s="34"/>
    </row>
    <row r="713" spans="36:37" x14ac:dyDescent="0.35">
      <c r="AJ713" s="34"/>
      <c r="AK713" s="34"/>
    </row>
    <row r="714" spans="36:37" x14ac:dyDescent="0.35">
      <c r="AJ714" s="34"/>
      <c r="AK714" s="34"/>
    </row>
    <row r="715" spans="36:37" x14ac:dyDescent="0.35">
      <c r="AJ715" s="34"/>
      <c r="AK715" s="34"/>
    </row>
    <row r="716" spans="36:37" x14ac:dyDescent="0.35">
      <c r="AJ716" s="34"/>
      <c r="AK716" s="34"/>
    </row>
    <row r="717" spans="36:37" x14ac:dyDescent="0.35">
      <c r="AJ717" s="34"/>
      <c r="AK717" s="34"/>
    </row>
    <row r="718" spans="36:37" x14ac:dyDescent="0.35">
      <c r="AJ718" s="34"/>
      <c r="AK718" s="34"/>
    </row>
    <row r="719" spans="36:37" x14ac:dyDescent="0.35">
      <c r="AJ719" s="34"/>
      <c r="AK719" s="34"/>
    </row>
    <row r="720" spans="36:37" x14ac:dyDescent="0.35">
      <c r="AJ720" s="34"/>
      <c r="AK720" s="34"/>
    </row>
    <row r="721" spans="36:37" x14ac:dyDescent="0.35">
      <c r="AJ721" s="34"/>
      <c r="AK721" s="34"/>
    </row>
    <row r="722" spans="36:37" x14ac:dyDescent="0.35">
      <c r="AJ722" s="34"/>
      <c r="AK722" s="34"/>
    </row>
    <row r="723" spans="36:37" x14ac:dyDescent="0.35">
      <c r="AJ723" s="34"/>
      <c r="AK723" s="34"/>
    </row>
    <row r="724" spans="36:37" x14ac:dyDescent="0.35">
      <c r="AJ724" s="34"/>
      <c r="AK724" s="34"/>
    </row>
    <row r="725" spans="36:37" x14ac:dyDescent="0.35">
      <c r="AJ725" s="34"/>
      <c r="AK725" s="34"/>
    </row>
    <row r="726" spans="36:37" x14ac:dyDescent="0.35">
      <c r="AJ726" s="34"/>
      <c r="AK726" s="34"/>
    </row>
    <row r="727" spans="36:37" x14ac:dyDescent="0.35">
      <c r="AJ727" s="34"/>
      <c r="AK727" s="34"/>
    </row>
    <row r="728" spans="36:37" x14ac:dyDescent="0.35">
      <c r="AJ728" s="34"/>
      <c r="AK728" s="34"/>
    </row>
    <row r="729" spans="36:37" x14ac:dyDescent="0.35">
      <c r="AJ729" s="34"/>
      <c r="AK729" s="34"/>
    </row>
    <row r="730" spans="36:37" x14ac:dyDescent="0.35">
      <c r="AJ730" s="34"/>
      <c r="AK730" s="34"/>
    </row>
    <row r="731" spans="36:37" x14ac:dyDescent="0.35">
      <c r="AJ731" s="34"/>
      <c r="AK731" s="34"/>
    </row>
    <row r="732" spans="36:37" x14ac:dyDescent="0.35">
      <c r="AJ732" s="34"/>
      <c r="AK732" s="34"/>
    </row>
    <row r="733" spans="36:37" x14ac:dyDescent="0.35">
      <c r="AJ733" s="34"/>
      <c r="AK733" s="34"/>
    </row>
    <row r="734" spans="36:37" x14ac:dyDescent="0.35">
      <c r="AJ734" s="34"/>
      <c r="AK734" s="34"/>
    </row>
    <row r="735" spans="36:37" x14ac:dyDescent="0.35">
      <c r="AJ735" s="34"/>
      <c r="AK735" s="34"/>
    </row>
    <row r="736" spans="36:37" x14ac:dyDescent="0.35">
      <c r="AJ736" s="34"/>
      <c r="AK736" s="34"/>
    </row>
    <row r="737" spans="36:37" x14ac:dyDescent="0.35">
      <c r="AJ737" s="34"/>
      <c r="AK737" s="34"/>
    </row>
    <row r="738" spans="36:37" x14ac:dyDescent="0.35">
      <c r="AJ738" s="34"/>
      <c r="AK738" s="34"/>
    </row>
    <row r="739" spans="36:37" x14ac:dyDescent="0.35">
      <c r="AJ739" s="34"/>
      <c r="AK739" s="34"/>
    </row>
    <row r="740" spans="36:37" x14ac:dyDescent="0.35">
      <c r="AJ740" s="34"/>
      <c r="AK740" s="34"/>
    </row>
    <row r="741" spans="36:37" x14ac:dyDescent="0.35">
      <c r="AJ741" s="34"/>
      <c r="AK741" s="34"/>
    </row>
    <row r="742" spans="36:37" x14ac:dyDescent="0.35">
      <c r="AJ742" s="34"/>
      <c r="AK742" s="34"/>
    </row>
    <row r="743" spans="36:37" x14ac:dyDescent="0.35">
      <c r="AJ743" s="34"/>
      <c r="AK743" s="34"/>
    </row>
    <row r="744" spans="36:37" x14ac:dyDescent="0.35">
      <c r="AJ744" s="34"/>
      <c r="AK744" s="34"/>
    </row>
    <row r="745" spans="36:37" x14ac:dyDescent="0.35">
      <c r="AJ745" s="34"/>
      <c r="AK745" s="34"/>
    </row>
    <row r="746" spans="36:37" x14ac:dyDescent="0.35">
      <c r="AJ746" s="34"/>
      <c r="AK746" s="34"/>
    </row>
    <row r="747" spans="36:37" x14ac:dyDescent="0.35">
      <c r="AJ747" s="34"/>
      <c r="AK747" s="34"/>
    </row>
    <row r="748" spans="36:37" x14ac:dyDescent="0.35">
      <c r="AJ748" s="34"/>
      <c r="AK748" s="34"/>
    </row>
    <row r="749" spans="36:37" x14ac:dyDescent="0.35">
      <c r="AJ749" s="34"/>
      <c r="AK749" s="34"/>
    </row>
    <row r="750" spans="36:37" x14ac:dyDescent="0.35">
      <c r="AJ750" s="34"/>
      <c r="AK750" s="34"/>
    </row>
    <row r="751" spans="36:37" x14ac:dyDescent="0.35">
      <c r="AJ751" s="34"/>
      <c r="AK751" s="34"/>
    </row>
    <row r="752" spans="36:37" x14ac:dyDescent="0.35">
      <c r="AJ752" s="34"/>
      <c r="AK752" s="34"/>
    </row>
    <row r="753" spans="36:37" x14ac:dyDescent="0.35">
      <c r="AJ753" s="34"/>
      <c r="AK753" s="34"/>
    </row>
    <row r="754" spans="36:37" x14ac:dyDescent="0.35">
      <c r="AJ754" s="34"/>
      <c r="AK754" s="34"/>
    </row>
    <row r="755" spans="36:37" x14ac:dyDescent="0.35">
      <c r="AJ755" s="34"/>
      <c r="AK755" s="34"/>
    </row>
    <row r="756" spans="36:37" x14ac:dyDescent="0.35">
      <c r="AJ756" s="34"/>
      <c r="AK756" s="34"/>
    </row>
    <row r="757" spans="36:37" x14ac:dyDescent="0.35">
      <c r="AJ757" s="34"/>
      <c r="AK757" s="34"/>
    </row>
    <row r="758" spans="36:37" x14ac:dyDescent="0.35">
      <c r="AJ758" s="34"/>
      <c r="AK758" s="34"/>
    </row>
    <row r="759" spans="36:37" x14ac:dyDescent="0.35">
      <c r="AJ759" s="34"/>
      <c r="AK759" s="34"/>
    </row>
    <row r="760" spans="36:37" x14ac:dyDescent="0.35">
      <c r="AJ760" s="34"/>
      <c r="AK760" s="34"/>
    </row>
    <row r="761" spans="36:37" x14ac:dyDescent="0.35">
      <c r="AJ761" s="34"/>
      <c r="AK761" s="34"/>
    </row>
    <row r="762" spans="36:37" x14ac:dyDescent="0.35">
      <c r="AJ762" s="34"/>
      <c r="AK762" s="34"/>
    </row>
    <row r="763" spans="36:37" x14ac:dyDescent="0.35">
      <c r="AJ763" s="34"/>
      <c r="AK763" s="34"/>
    </row>
    <row r="764" spans="36:37" x14ac:dyDescent="0.35">
      <c r="AJ764" s="34"/>
      <c r="AK764" s="34"/>
    </row>
    <row r="765" spans="36:37" x14ac:dyDescent="0.35">
      <c r="AJ765" s="34"/>
      <c r="AK765" s="34"/>
    </row>
    <row r="766" spans="36:37" x14ac:dyDescent="0.35">
      <c r="AJ766" s="34"/>
      <c r="AK766" s="34"/>
    </row>
    <row r="767" spans="36:37" x14ac:dyDescent="0.35">
      <c r="AJ767" s="34"/>
      <c r="AK767" s="34"/>
    </row>
    <row r="768" spans="36:37" x14ac:dyDescent="0.35">
      <c r="AJ768" s="34"/>
      <c r="AK768" s="34"/>
    </row>
    <row r="769" spans="36:37" x14ac:dyDescent="0.35">
      <c r="AJ769" s="34"/>
      <c r="AK769" s="34"/>
    </row>
    <row r="770" spans="36:37" x14ac:dyDescent="0.35">
      <c r="AJ770" s="34"/>
      <c r="AK770" s="34"/>
    </row>
    <row r="771" spans="36:37" x14ac:dyDescent="0.35">
      <c r="AJ771" s="34"/>
      <c r="AK771" s="34"/>
    </row>
    <row r="772" spans="36:37" x14ac:dyDescent="0.35">
      <c r="AJ772" s="34"/>
      <c r="AK772" s="34"/>
    </row>
    <row r="773" spans="36:37" x14ac:dyDescent="0.35">
      <c r="AJ773" s="34"/>
      <c r="AK773" s="34"/>
    </row>
    <row r="774" spans="36:37" x14ac:dyDescent="0.35">
      <c r="AJ774" s="34"/>
      <c r="AK774" s="34"/>
    </row>
  </sheetData>
  <autoFilter ref="V4:BJ4" xr:uid="{F679762A-47DC-4E46-BA92-6E91B14CCD94}"/>
  <mergeCells count="16">
    <mergeCell ref="K8:K9"/>
    <mergeCell ref="B3:L4"/>
    <mergeCell ref="B5:L5"/>
    <mergeCell ref="B6:B9"/>
    <mergeCell ref="C6:F6"/>
    <mergeCell ref="G6:G9"/>
    <mergeCell ref="H6:I6"/>
    <mergeCell ref="J6:K7"/>
    <mergeCell ref="L6:L9"/>
    <mergeCell ref="C7:C9"/>
    <mergeCell ref="D7:D9"/>
    <mergeCell ref="E7:E9"/>
    <mergeCell ref="F7:F9"/>
    <mergeCell ref="H7:H9"/>
    <mergeCell ref="I7:I9"/>
    <mergeCell ref="J8:J9"/>
  </mergeCells>
  <conditionalFormatting sqref="W5:W99">
    <cfRule type="duplicateValues" dxfId="128" priority="50"/>
  </conditionalFormatting>
  <conditionalFormatting sqref="W100:W162">
    <cfRule type="duplicateValues" dxfId="127" priority="2"/>
  </conditionalFormatting>
  <conditionalFormatting sqref="W163:W193">
    <cfRule type="duplicateValues" dxfId="126" priority="5"/>
  </conditionalFormatting>
  <conditionalFormatting sqref="W194:W243">
    <cfRule type="duplicateValues" dxfId="125" priority="4"/>
  </conditionalFormatting>
  <conditionalFormatting sqref="W244:W300">
    <cfRule type="duplicateValues" dxfId="124" priority="1"/>
  </conditionalFormatting>
  <conditionalFormatting sqref="W301:W347">
    <cfRule type="duplicateValues" dxfId="123" priority="3"/>
  </conditionalFormatting>
  <conditionalFormatting sqref="W348:W396">
    <cfRule type="duplicateValues" dxfId="122" priority="7"/>
  </conditionalFormatting>
  <conditionalFormatting sqref="W397:W454">
    <cfRule type="duplicateValues" dxfId="121" priority="6"/>
  </conditionalFormatting>
  <conditionalFormatting sqref="W455">
    <cfRule type="duplicateValues" dxfId="120" priority="8"/>
  </conditionalFormatting>
  <conditionalFormatting sqref="W456:W1048576 W1:W4">
    <cfRule type="duplicateValues" dxfId="119" priority="9"/>
  </conditionalFormatting>
  <conditionalFormatting sqref="AK193:AK196 AK28:AK38 AK14 AK1:AK4 AK61:AK106 AK254:AK1048576">
    <cfRule type="duplicateValues" dxfId="118" priority="10"/>
  </conditionalFormatting>
  <conditionalFormatting sqref="AK14 AK254 AK193:AK196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330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1048576 AK14 AK1:AK4 AK193:AK196 AK254">
    <cfRule type="duplicateValues" dxfId="117" priority="46"/>
  </conditionalFormatting>
  <conditionalFormatting sqref="AK331:AK397 AK407:AK68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K402">
    <cfRule type="duplicateValues" dxfId="116" priority="39"/>
  </conditionalFormatting>
  <conditionalFormatting sqref="AK681:AK77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L402">
    <cfRule type="expression" dxfId="115" priority="37">
      <formula>MOD(ROW(),2)=0</formula>
    </cfRule>
  </conditionalFormatting>
  <conditionalFormatting sqref="AN16">
    <cfRule type="duplicateValues" dxfId="114" priority="40"/>
  </conditionalFormatting>
  <conditionalFormatting sqref="AP5:AP6 AP9:AP15">
    <cfRule type="duplicateValues" dxfId="113" priority="49"/>
  </conditionalFormatting>
  <conditionalFormatting sqref="AP68:AP142 AP5:AP6 AP17:AP21 AP23:AP63 AP65:AP66 AP145:AP147 AP254:AP330 AP237:AP251 AP9:AP15 AP149:AP229">
    <cfRule type="duplicateValues" dxfId="112" priority="48"/>
  </conditionalFormatting>
  <conditionalFormatting sqref="AP331:AP397">
    <cfRule type="duplicateValues" dxfId="111" priority="41"/>
  </conditionalFormatting>
  <conditionalFormatting sqref="AP398:AP402">
    <cfRule type="expression" dxfId="110" priority="38">
      <formula>MOD(ROW(),2)=0</formula>
    </cfRule>
  </conditionalFormatting>
  <conditionalFormatting sqref="AV5:AV6">
    <cfRule type="duplicateValues" dxfId="109" priority="36"/>
  </conditionalFormatting>
  <conditionalFormatting sqref="AV7:AV8">
    <cfRule type="duplicateValues" dxfId="108" priority="35"/>
  </conditionalFormatting>
  <conditionalFormatting sqref="AV9:AV10">
    <cfRule type="duplicateValues" dxfId="107" priority="34"/>
  </conditionalFormatting>
  <conditionalFormatting sqref="AV11:AV12">
    <cfRule type="duplicateValues" dxfId="106" priority="33"/>
  </conditionalFormatting>
  <conditionalFormatting sqref="AV13:AV30">
    <cfRule type="duplicateValues" dxfId="105" priority="32"/>
  </conditionalFormatting>
  <conditionalFormatting sqref="AV53:AV54 AV31:AV37">
    <cfRule type="duplicateValues" dxfId="104" priority="45"/>
  </conditionalFormatting>
  <conditionalFormatting sqref="AV55">
    <cfRule type="duplicateValues" dxfId="103" priority="23"/>
  </conditionalFormatting>
  <conditionalFormatting sqref="AV56">
    <cfRule type="duplicateValues" dxfId="102" priority="22"/>
  </conditionalFormatting>
  <conditionalFormatting sqref="AV57:AV58">
    <cfRule type="duplicateValues" dxfId="101" priority="21"/>
  </conditionalFormatting>
  <conditionalFormatting sqref="AV59:AV60">
    <cfRule type="duplicateValues" dxfId="100" priority="20"/>
  </conditionalFormatting>
  <conditionalFormatting sqref="AV61:AV62">
    <cfRule type="duplicateValues" dxfId="99" priority="19"/>
  </conditionalFormatting>
  <conditionalFormatting sqref="AV63">
    <cfRule type="duplicateValues" dxfId="98" priority="18"/>
  </conditionalFormatting>
  <conditionalFormatting sqref="AV64">
    <cfRule type="duplicateValues" dxfId="97" priority="17"/>
  </conditionalFormatting>
  <conditionalFormatting sqref="AV65:AV66">
    <cfRule type="duplicateValues" dxfId="96" priority="16"/>
  </conditionalFormatting>
  <conditionalFormatting sqref="AV67:AV68">
    <cfRule type="duplicateValues" dxfId="95" priority="15"/>
  </conditionalFormatting>
  <conditionalFormatting sqref="AV69">
    <cfRule type="duplicateValues" dxfId="94" priority="14"/>
  </conditionalFormatting>
  <conditionalFormatting sqref="AV70">
    <cfRule type="duplicateValues" dxfId="93" priority="13"/>
  </conditionalFormatting>
  <conditionalFormatting sqref="AV71">
    <cfRule type="duplicateValues" dxfId="92" priority="12"/>
  </conditionalFormatting>
  <conditionalFormatting sqref="AV72:AV73">
    <cfRule type="duplicateValues" dxfId="91" priority="24"/>
  </conditionalFormatting>
  <conditionalFormatting sqref="AV74">
    <cfRule type="duplicateValues" dxfId="90" priority="25"/>
  </conditionalFormatting>
  <conditionalFormatting sqref="AV75">
    <cfRule type="duplicateValues" dxfId="89" priority="26"/>
  </conditionalFormatting>
  <conditionalFormatting sqref="AV76">
    <cfRule type="duplicateValues" dxfId="88" priority="27"/>
  </conditionalFormatting>
  <conditionalFormatting sqref="AV77:AV78">
    <cfRule type="duplicateValues" dxfId="87" priority="28"/>
  </conditionalFormatting>
  <conditionalFormatting sqref="AV79:AV81">
    <cfRule type="duplicateValues" dxfId="86" priority="29"/>
  </conditionalFormatting>
  <conditionalFormatting sqref="AV82:AV84">
    <cfRule type="duplicateValues" dxfId="85" priority="30"/>
  </conditionalFormatting>
  <conditionalFormatting sqref="AV85:AV87">
    <cfRule type="duplicateValues" dxfId="84" priority="31"/>
  </conditionalFormatting>
  <conditionalFormatting sqref="BB1:BC104 BB108:BC1048576">
    <cfRule type="duplicateValues" dxfId="83" priority="11"/>
  </conditionalFormatting>
  <dataValidations count="1">
    <dataValidation type="list" allowBlank="1" showInputMessage="1" showErrorMessage="1" sqref="AC345:AC346 AC79:AC90 AC93:AC105 AC107:AC134 AC136:AC159 AC161:AC202 AC204:AC343" xr:uid="{42F1B72A-91DE-43B8-AC8D-FB7A3A2E63D7}">
      <formula1>"N/A,CLEAN UP"</formula1>
    </dataValidation>
  </dataValidations>
  <pageMargins left="0.78740157480314965" right="0" top="0.15748031496062992" bottom="0" header="0.31496062992125984" footer="0.31496062992125984"/>
  <pageSetup paperSize="9" fitToHeight="0" orientation="portrait" horizontalDpi="0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CD43-7804-4BFB-AA10-9BD97CB03511}">
  <sheetPr>
    <pageSetUpPr fitToPage="1"/>
  </sheetPr>
  <dimension ref="B1:BV774"/>
  <sheetViews>
    <sheetView showGridLines="0" topLeftCell="AF1" zoomScale="55" zoomScaleNormal="55" workbookViewId="0">
      <selection activeCell="AP308" sqref="AJ308:AP308"/>
    </sheetView>
  </sheetViews>
  <sheetFormatPr defaultRowHeight="14.5" x14ac:dyDescent="0.35"/>
  <cols>
    <col min="2" max="2" width="15.7265625" customWidth="1"/>
    <col min="3" max="3" width="13.453125" bestFit="1" customWidth="1"/>
    <col min="4" max="5" width="9.7265625" bestFit="1" customWidth="1"/>
    <col min="6" max="6" width="8.1796875" bestFit="1" customWidth="1"/>
    <col min="7" max="7" width="9.453125" bestFit="1" customWidth="1"/>
    <col min="8" max="9" width="11" customWidth="1"/>
    <col min="10" max="10" width="17.453125" customWidth="1"/>
    <col min="11" max="11" width="11.7265625" hidden="1" customWidth="1"/>
    <col min="12" max="12" width="12" customWidth="1"/>
    <col min="14" max="14" width="12.81640625" bestFit="1" customWidth="1"/>
    <col min="15" max="16" width="10.36328125" customWidth="1"/>
    <col min="18" max="18" width="10.1796875" bestFit="1" customWidth="1"/>
    <col min="21" max="21" width="2.453125" style="24" customWidth="1"/>
    <col min="22" max="22" width="13.36328125" customWidth="1"/>
    <col min="24" max="24" width="13.453125" customWidth="1"/>
    <col min="25" max="25" width="13.453125" style="37" customWidth="1"/>
    <col min="26" max="27" width="19.7265625" bestFit="1" customWidth="1"/>
    <col min="28" max="29" width="19.7265625" customWidth="1"/>
    <col min="30" max="30" width="11.1796875" bestFit="1" customWidth="1"/>
    <col min="31" max="31" width="10.81640625" customWidth="1"/>
    <col min="32" max="32" width="19.453125" bestFit="1" customWidth="1"/>
    <col min="33" max="33" width="19.453125" customWidth="1"/>
    <col min="34" max="34" width="24.08984375" bestFit="1" customWidth="1"/>
    <col min="35" max="35" width="2.453125" style="24" customWidth="1"/>
    <col min="36" max="36" width="12.453125" customWidth="1"/>
    <col min="37" max="37" width="17.81640625" bestFit="1" customWidth="1"/>
    <col min="38" max="38" width="11.6328125" customWidth="1"/>
    <col min="39" max="39" width="12.81640625" bestFit="1" customWidth="1"/>
    <col min="40" max="40" width="19.7265625" bestFit="1" customWidth="1"/>
    <col min="41" max="41" width="23.08984375" bestFit="1" customWidth="1"/>
    <col min="42" max="42" width="12.453125" bestFit="1" customWidth="1"/>
    <col min="43" max="45" width="13.26953125" customWidth="1"/>
    <col min="46" max="46" width="2.453125" style="24" customWidth="1"/>
    <col min="47" max="47" width="12.453125" customWidth="1"/>
    <col min="48" max="48" width="11.453125" customWidth="1"/>
    <col min="49" max="49" width="11.6328125" customWidth="1"/>
    <col min="50" max="50" width="12.81640625" bestFit="1" customWidth="1"/>
    <col min="51" max="51" width="19.7265625" bestFit="1" customWidth="1"/>
    <col min="52" max="52" width="23.08984375" bestFit="1" customWidth="1"/>
    <col min="53" max="53" width="12.453125" bestFit="1" customWidth="1"/>
    <col min="54" max="56" width="13.26953125" customWidth="1"/>
    <col min="57" max="57" width="2.453125" style="24" customWidth="1"/>
    <col min="58" max="58" width="14.90625" customWidth="1"/>
    <col min="59" max="59" width="15.36328125" bestFit="1" customWidth="1"/>
    <col min="60" max="60" width="11.36328125" bestFit="1" customWidth="1"/>
    <col min="61" max="61" width="26.08984375" bestFit="1" customWidth="1"/>
    <col min="62" max="62" width="21.1796875" bestFit="1" customWidth="1"/>
    <col min="63" max="64" width="16.453125" bestFit="1" customWidth="1"/>
    <col min="65" max="65" width="10.6328125" style="56" bestFit="1" customWidth="1"/>
    <col min="66" max="66" width="10.6328125" style="56" customWidth="1"/>
    <col min="67" max="67" width="2.453125" style="24" customWidth="1"/>
    <col min="68" max="68" width="15.81640625" customWidth="1"/>
    <col min="69" max="70" width="17.90625" bestFit="1" customWidth="1"/>
    <col min="71" max="71" width="15.26953125" bestFit="1" customWidth="1"/>
    <col min="72" max="72" width="16.81640625" bestFit="1" customWidth="1"/>
    <col min="73" max="73" width="10.6328125" bestFit="1" customWidth="1"/>
    <col min="74" max="74" width="2.453125" style="24" customWidth="1"/>
  </cols>
  <sheetData>
    <row r="1" spans="2:73" x14ac:dyDescent="0.35">
      <c r="AA1" s="15" t="s">
        <v>26</v>
      </c>
      <c r="AN1" s="15" t="s">
        <v>26</v>
      </c>
      <c r="AY1" s="15" t="s">
        <v>26</v>
      </c>
      <c r="BI1" s="22" t="s">
        <v>29</v>
      </c>
      <c r="BR1" s="15" t="s">
        <v>3</v>
      </c>
    </row>
    <row r="2" spans="2:73" x14ac:dyDescent="0.35">
      <c r="V2" s="15" t="s">
        <v>27</v>
      </c>
      <c r="AJ2" s="15" t="s">
        <v>28</v>
      </c>
      <c r="AK2" s="15"/>
      <c r="AU2" s="15" t="s">
        <v>28</v>
      </c>
      <c r="AV2" s="15"/>
      <c r="BF2" s="15" t="s">
        <v>30</v>
      </c>
      <c r="BP2" s="15" t="s">
        <v>31</v>
      </c>
    </row>
    <row r="3" spans="2:73" x14ac:dyDescent="0.35">
      <c r="B3" s="120" t="s">
        <v>25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V3" s="15" t="s">
        <v>33</v>
      </c>
      <c r="AJ3" s="15" t="s">
        <v>33</v>
      </c>
      <c r="AK3" s="15"/>
      <c r="AU3" s="15" t="s">
        <v>33</v>
      </c>
      <c r="AV3" s="15"/>
      <c r="BF3" s="15" t="s">
        <v>33</v>
      </c>
      <c r="BP3" s="15" t="s">
        <v>33</v>
      </c>
    </row>
    <row r="4" spans="2:73" x14ac:dyDescent="0.35"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V4" s="29" t="s">
        <v>0</v>
      </c>
      <c r="W4" s="29" t="s">
        <v>15</v>
      </c>
      <c r="X4" s="29" t="s">
        <v>16</v>
      </c>
      <c r="Y4" s="53" t="s">
        <v>16</v>
      </c>
      <c r="Z4" s="29" t="s">
        <v>17</v>
      </c>
      <c r="AA4" s="29" t="s">
        <v>18</v>
      </c>
      <c r="AB4" s="29" t="s">
        <v>20</v>
      </c>
      <c r="AC4" s="29" t="s">
        <v>21</v>
      </c>
      <c r="AD4" s="29" t="s">
        <v>19</v>
      </c>
      <c r="AE4" s="29" t="s">
        <v>44</v>
      </c>
      <c r="AF4" s="53" t="s">
        <v>43</v>
      </c>
      <c r="AG4" s="53" t="s">
        <v>46</v>
      </c>
      <c r="AH4" s="53" t="s">
        <v>41</v>
      </c>
      <c r="AJ4" s="29" t="s">
        <v>0</v>
      </c>
      <c r="AK4" s="29" t="s">
        <v>37</v>
      </c>
      <c r="AL4" s="29" t="s">
        <v>16</v>
      </c>
      <c r="AM4" s="29" t="s">
        <v>16</v>
      </c>
      <c r="AN4" s="29" t="s">
        <v>17</v>
      </c>
      <c r="AO4" s="29" t="s">
        <v>18</v>
      </c>
      <c r="AP4" s="29" t="s">
        <v>19</v>
      </c>
      <c r="AQ4" s="29" t="s">
        <v>34</v>
      </c>
      <c r="AR4" s="29" t="s">
        <v>39</v>
      </c>
      <c r="AS4" s="29" t="s">
        <v>47</v>
      </c>
      <c r="AU4" s="29" t="s">
        <v>0</v>
      </c>
      <c r="AV4" s="29" t="s">
        <v>37</v>
      </c>
      <c r="AW4" s="29" t="s">
        <v>16</v>
      </c>
      <c r="AX4" s="29" t="s">
        <v>16</v>
      </c>
      <c r="AY4" s="29" t="s">
        <v>17</v>
      </c>
      <c r="AZ4" s="29" t="s">
        <v>18</v>
      </c>
      <c r="BA4" s="29" t="s">
        <v>19</v>
      </c>
      <c r="BB4" s="29" t="s">
        <v>34</v>
      </c>
      <c r="BC4" s="29" t="s">
        <v>39</v>
      </c>
      <c r="BD4" s="29" t="s">
        <v>47</v>
      </c>
      <c r="BF4" s="29" t="s">
        <v>0</v>
      </c>
      <c r="BG4" s="29" t="s">
        <v>45</v>
      </c>
      <c r="BH4" s="29" t="s">
        <v>16</v>
      </c>
      <c r="BI4" s="29" t="s">
        <v>17</v>
      </c>
      <c r="BJ4" s="29" t="s">
        <v>18</v>
      </c>
      <c r="BK4" s="29" t="s">
        <v>20</v>
      </c>
      <c r="BL4" s="29" t="s">
        <v>21</v>
      </c>
      <c r="BM4" s="69" t="s">
        <v>19</v>
      </c>
      <c r="BN4" s="69"/>
      <c r="BP4" s="29" t="s">
        <v>0</v>
      </c>
      <c r="BQ4" s="29" t="s">
        <v>16</v>
      </c>
      <c r="BR4" s="29" t="s">
        <v>16</v>
      </c>
      <c r="BS4" s="29" t="s">
        <v>17</v>
      </c>
      <c r="BT4" s="29" t="s">
        <v>18</v>
      </c>
      <c r="BU4" s="29" t="s">
        <v>19</v>
      </c>
    </row>
    <row r="5" spans="2:73" ht="24" thickBot="1" x14ac:dyDescent="0.6">
      <c r="B5" s="121" t="s">
        <v>112</v>
      </c>
      <c r="C5" s="121"/>
      <c r="D5" s="121"/>
      <c r="E5" s="121"/>
      <c r="F5" s="121"/>
      <c r="G5" s="121"/>
      <c r="H5" s="122"/>
      <c r="I5" s="122"/>
      <c r="J5" s="122"/>
      <c r="K5" s="122"/>
      <c r="L5" s="122"/>
      <c r="V5" s="97">
        <v>45778</v>
      </c>
      <c r="W5">
        <v>141990</v>
      </c>
      <c r="X5" s="89" t="s">
        <v>36</v>
      </c>
      <c r="Z5" s="50">
        <v>0.86754629629629632</v>
      </c>
      <c r="AA5" s="50">
        <v>1.954861111111111E-2</v>
      </c>
      <c r="AD5" s="48">
        <v>20458</v>
      </c>
      <c r="AE5" s="48">
        <f t="shared" ref="AE5:AE44" si="0">AD5/1000</f>
        <v>20.457999999999998</v>
      </c>
      <c r="AF5">
        <v>15.72</v>
      </c>
      <c r="AG5" s="72">
        <f>IF($AF5&gt;14,14,$AF5)</f>
        <v>14</v>
      </c>
      <c r="AH5" s="37">
        <f>AE5*AG5/14</f>
        <v>20.457999999999998</v>
      </c>
      <c r="AJ5" s="38">
        <v>45778</v>
      </c>
      <c r="AK5" t="s">
        <v>685</v>
      </c>
      <c r="AL5" t="s">
        <v>5</v>
      </c>
      <c r="AN5" s="81" t="s">
        <v>991</v>
      </c>
      <c r="AO5" s="81" t="s">
        <v>991</v>
      </c>
      <c r="AP5" s="37">
        <v>3100</v>
      </c>
      <c r="AR5" s="96"/>
      <c r="AU5" s="38">
        <v>45777</v>
      </c>
      <c r="AW5" t="s">
        <v>5</v>
      </c>
      <c r="AY5" s="81">
        <v>0.4458333333333333</v>
      </c>
      <c r="AZ5" s="81">
        <v>0.47013888888888888</v>
      </c>
      <c r="BA5" s="37">
        <v>3130</v>
      </c>
      <c r="BB5" t="s">
        <v>101</v>
      </c>
      <c r="BC5" s="96">
        <v>45778</v>
      </c>
      <c r="BF5" s="21"/>
      <c r="BM5" s="73"/>
      <c r="BN5" s="73"/>
    </row>
    <row r="6" spans="2:73" ht="28.5" customHeight="1" x14ac:dyDescent="0.4">
      <c r="B6" s="123" t="s">
        <v>0</v>
      </c>
      <c r="C6" s="126" t="s">
        <v>1</v>
      </c>
      <c r="D6" s="127"/>
      <c r="E6" s="127"/>
      <c r="F6" s="128"/>
      <c r="G6" s="129" t="s">
        <v>2</v>
      </c>
      <c r="H6" s="132" t="s">
        <v>40</v>
      </c>
      <c r="I6" s="133"/>
      <c r="J6" s="134" t="s">
        <v>35</v>
      </c>
      <c r="K6" s="135"/>
      <c r="L6" s="138" t="s">
        <v>2</v>
      </c>
      <c r="V6" s="97">
        <v>45778</v>
      </c>
      <c r="W6">
        <v>142000</v>
      </c>
      <c r="X6" s="89" t="s">
        <v>36</v>
      </c>
      <c r="Z6" s="50">
        <v>4.6053240740740742E-2</v>
      </c>
      <c r="AA6" s="50">
        <v>7.2384259259259259E-2</v>
      </c>
      <c r="AD6" s="48">
        <v>20730</v>
      </c>
      <c r="AE6" s="48">
        <f t="shared" si="0"/>
        <v>20.73</v>
      </c>
      <c r="AF6">
        <v>15.26</v>
      </c>
      <c r="AG6" s="72">
        <f t="shared" ref="AG6:AG68" si="1">IF($AF6&gt;14,14,$AF6)</f>
        <v>14</v>
      </c>
      <c r="AH6" s="37">
        <f t="shared" ref="AH6:AH69" si="2">AE6*AG6/14</f>
        <v>20.73</v>
      </c>
      <c r="AJ6" s="38">
        <v>45778</v>
      </c>
      <c r="AK6" t="s">
        <v>686</v>
      </c>
      <c r="AL6" t="s">
        <v>5</v>
      </c>
      <c r="AN6" s="81" t="s">
        <v>992</v>
      </c>
      <c r="AO6" s="81" t="s">
        <v>992</v>
      </c>
      <c r="AP6" s="37">
        <v>2350</v>
      </c>
      <c r="AR6" s="96"/>
      <c r="AU6" s="38">
        <v>45778</v>
      </c>
      <c r="AW6" t="s">
        <v>5</v>
      </c>
      <c r="AY6" s="81">
        <v>0.47638888888888892</v>
      </c>
      <c r="AZ6" s="81">
        <v>0.34930555555555554</v>
      </c>
      <c r="BA6" s="37">
        <v>3624</v>
      </c>
      <c r="BB6" t="s">
        <v>107</v>
      </c>
      <c r="BC6" s="96">
        <v>45778</v>
      </c>
      <c r="BF6" s="21"/>
      <c r="BM6" s="73"/>
      <c r="BN6" s="73"/>
    </row>
    <row r="7" spans="2:73" ht="15.5" customHeight="1" x14ac:dyDescent="0.4">
      <c r="B7" s="124"/>
      <c r="C7" s="141" t="s">
        <v>36</v>
      </c>
      <c r="D7" s="143" t="s">
        <v>5</v>
      </c>
      <c r="E7" s="146" t="s">
        <v>4</v>
      </c>
      <c r="F7" s="141">
        <v>104</v>
      </c>
      <c r="G7" s="130"/>
      <c r="H7" s="149" t="s">
        <v>41</v>
      </c>
      <c r="I7" s="152" t="s">
        <v>42</v>
      </c>
      <c r="J7" s="136"/>
      <c r="K7" s="137"/>
      <c r="L7" s="139"/>
      <c r="N7" s="15" t="s">
        <v>32</v>
      </c>
      <c r="V7" s="97">
        <v>45778</v>
      </c>
      <c r="W7">
        <v>142012</v>
      </c>
      <c r="X7" s="89" t="s">
        <v>36</v>
      </c>
      <c r="Z7" s="50">
        <v>0.71690972222222227</v>
      </c>
      <c r="AA7" s="50">
        <v>0.11659722222222223</v>
      </c>
      <c r="AD7" s="48">
        <v>21272</v>
      </c>
      <c r="AE7" s="48">
        <f t="shared" si="0"/>
        <v>21.271999999999998</v>
      </c>
      <c r="AF7">
        <v>15.83</v>
      </c>
      <c r="AG7" s="72">
        <f t="shared" si="1"/>
        <v>14</v>
      </c>
      <c r="AH7" s="37">
        <f t="shared" si="2"/>
        <v>21.271999999999998</v>
      </c>
      <c r="AJ7" s="38">
        <v>45778</v>
      </c>
      <c r="AK7" t="s">
        <v>687</v>
      </c>
      <c r="AL7" t="s">
        <v>5</v>
      </c>
      <c r="AN7" s="81" t="s">
        <v>993</v>
      </c>
      <c r="AO7" s="81" t="s">
        <v>994</v>
      </c>
      <c r="AP7" s="37">
        <v>3630</v>
      </c>
      <c r="AR7" s="96"/>
      <c r="AU7" s="38">
        <v>45778</v>
      </c>
      <c r="AW7" t="s">
        <v>5</v>
      </c>
      <c r="AY7" s="81">
        <v>0.30763888888888891</v>
      </c>
      <c r="AZ7" s="81">
        <v>0.3666666666666667</v>
      </c>
      <c r="BA7" s="37">
        <v>3250</v>
      </c>
      <c r="BB7" t="s">
        <v>98</v>
      </c>
      <c r="BC7" s="96">
        <v>45778</v>
      </c>
      <c r="BF7" s="21"/>
      <c r="BM7" s="73"/>
      <c r="BN7" s="73"/>
    </row>
    <row r="8" spans="2:73" ht="15" customHeight="1" thickBot="1" x14ac:dyDescent="0.45">
      <c r="B8" s="124"/>
      <c r="C8" s="141"/>
      <c r="D8" s="144"/>
      <c r="E8" s="147"/>
      <c r="F8" s="141"/>
      <c r="G8" s="130"/>
      <c r="H8" s="150"/>
      <c r="I8" s="153"/>
      <c r="J8" s="155" t="s">
        <v>22</v>
      </c>
      <c r="K8" s="118" t="s">
        <v>5</v>
      </c>
      <c r="L8" s="139"/>
      <c r="N8" s="15" t="s">
        <v>38</v>
      </c>
      <c r="V8" s="97">
        <v>45778</v>
      </c>
      <c r="W8">
        <v>142014</v>
      </c>
      <c r="X8" s="89" t="s">
        <v>36</v>
      </c>
      <c r="Z8" s="50">
        <v>4.5960648148148146E-2</v>
      </c>
      <c r="AA8" s="50">
        <v>0.16553240740740741</v>
      </c>
      <c r="AD8" s="48">
        <v>21068</v>
      </c>
      <c r="AE8" s="48">
        <f t="shared" si="0"/>
        <v>21.068000000000001</v>
      </c>
      <c r="AF8">
        <v>15.77</v>
      </c>
      <c r="AG8" s="72">
        <f t="shared" si="1"/>
        <v>14</v>
      </c>
      <c r="AH8" s="37">
        <f t="shared" si="2"/>
        <v>21.068000000000001</v>
      </c>
      <c r="AJ8" s="38">
        <v>45778</v>
      </c>
      <c r="AK8" t="s">
        <v>688</v>
      </c>
      <c r="AL8" t="s">
        <v>5</v>
      </c>
      <c r="AM8" s="16"/>
      <c r="AN8" s="81" t="s">
        <v>995</v>
      </c>
      <c r="AO8" s="81" t="s">
        <v>995</v>
      </c>
      <c r="AP8" s="37">
        <v>3150</v>
      </c>
      <c r="AR8" s="96"/>
      <c r="AU8" s="38">
        <v>45778</v>
      </c>
      <c r="AW8" t="s">
        <v>5</v>
      </c>
      <c r="AX8" s="16"/>
      <c r="AY8" s="81">
        <v>0.29305555555555557</v>
      </c>
      <c r="AZ8" s="81">
        <v>0.34861111111111115</v>
      </c>
      <c r="BA8" s="37">
        <v>3114</v>
      </c>
      <c r="BC8" s="96">
        <v>45778</v>
      </c>
      <c r="BF8" s="21"/>
      <c r="BM8" s="73"/>
      <c r="BN8" s="73"/>
    </row>
    <row r="9" spans="2:73" ht="16.5" thickBot="1" x14ac:dyDescent="0.45">
      <c r="B9" s="125"/>
      <c r="C9" s="142"/>
      <c r="D9" s="145"/>
      <c r="E9" s="148"/>
      <c r="F9" s="142"/>
      <c r="G9" s="131"/>
      <c r="H9" s="151"/>
      <c r="I9" s="154"/>
      <c r="J9" s="156"/>
      <c r="K9" s="119"/>
      <c r="L9" s="140"/>
      <c r="N9" s="25" t="s">
        <v>36</v>
      </c>
      <c r="O9" s="26" t="s">
        <v>5</v>
      </c>
      <c r="P9" s="35" t="s">
        <v>4</v>
      </c>
      <c r="Q9" s="27" t="s">
        <v>23</v>
      </c>
      <c r="V9" s="97">
        <v>45778</v>
      </c>
      <c r="W9">
        <v>142022</v>
      </c>
      <c r="X9" s="89" t="s">
        <v>36</v>
      </c>
      <c r="Z9" s="50">
        <v>4.5868055555555558E-2</v>
      </c>
      <c r="AA9" s="50">
        <v>0.21329861111111112</v>
      </c>
      <c r="AD9" s="48">
        <v>22138</v>
      </c>
      <c r="AE9" s="48">
        <f t="shared" si="0"/>
        <v>22.138000000000002</v>
      </c>
      <c r="AF9">
        <v>14.48</v>
      </c>
      <c r="AG9" s="72">
        <f t="shared" si="1"/>
        <v>14</v>
      </c>
      <c r="AH9" s="37">
        <f t="shared" si="2"/>
        <v>22.138000000000002</v>
      </c>
      <c r="AJ9" s="38">
        <v>45778</v>
      </c>
      <c r="AK9" t="s">
        <v>689</v>
      </c>
      <c r="AL9" t="s">
        <v>5</v>
      </c>
      <c r="AM9" s="16"/>
      <c r="AN9" s="81" t="s">
        <v>996</v>
      </c>
      <c r="AO9" s="81" t="s">
        <v>996</v>
      </c>
      <c r="AP9" s="37">
        <v>4000</v>
      </c>
      <c r="AR9" s="96"/>
      <c r="AU9" s="38">
        <v>45778</v>
      </c>
      <c r="AW9" t="s">
        <v>5</v>
      </c>
      <c r="AX9" s="16"/>
      <c r="AY9" s="81">
        <v>0.33680555555555558</v>
      </c>
      <c r="AZ9" s="81">
        <v>0.39583333333333331</v>
      </c>
      <c r="BA9" s="37">
        <v>2370</v>
      </c>
      <c r="BB9" t="s">
        <v>113</v>
      </c>
      <c r="BC9" s="96">
        <v>45778</v>
      </c>
      <c r="BF9" s="21"/>
      <c r="BM9" s="73"/>
      <c r="BN9" s="73"/>
    </row>
    <row r="10" spans="2:73" ht="16" x14ac:dyDescent="0.4">
      <c r="B10" s="60">
        <v>45778</v>
      </c>
      <c r="C10" s="61">
        <f t="shared" ref="C10:C40" si="3">SUMIFS($AE:$AE,$V:$V,$B10,$X:$X,C$7)-$J10</f>
        <v>142.26000000000002</v>
      </c>
      <c r="D10" s="61">
        <f t="shared" ref="D10:E38" si="4">SUMIFS($AP:$AP,$AJ:$AJ,$B10,$AL:$AL,D$7)/1000</f>
        <v>56.69</v>
      </c>
      <c r="E10" s="62">
        <f t="shared" si="4"/>
        <v>0</v>
      </c>
      <c r="F10" s="63">
        <f t="shared" ref="F10:F40" si="5">SUMIFS($AD:$AD,$V:$V,$B10,$AB:$AB,$F$7)/1000</f>
        <v>0</v>
      </c>
      <c r="G10" s="64">
        <f>SUM(C10:E10)</f>
        <v>198.95000000000002</v>
      </c>
      <c r="H10" s="65">
        <f t="shared" ref="H10:H40" si="6">SUMIF($V:$V,$B10,$AH:$AH)</f>
        <v>123.40200000000002</v>
      </c>
      <c r="I10" s="66">
        <f>H10+D10+E10</f>
        <v>180.09200000000001</v>
      </c>
      <c r="J10" s="70">
        <f t="shared" ref="J10:J40" si="7">SUMIFS($AE:$AE,$V:$V,$B10,$AC:$AC,$J$8)</f>
        <v>0</v>
      </c>
      <c r="K10" s="67"/>
      <c r="L10" s="68">
        <f t="shared" ref="L10:L40" si="8">SUM(J10:K10)</f>
        <v>0</v>
      </c>
      <c r="N10" s="40">
        <f t="shared" ref="N10:N40" si="9">COUNTIFS($V:$V,$B10,$X:$X,N$9)</f>
        <v>7</v>
      </c>
      <c r="O10" s="41">
        <f t="shared" ref="O10:O40" si="10">COUNTIFS($AJ:$AJ,$B10,$AL:$AL,$O$9)</f>
        <v>17</v>
      </c>
      <c r="P10" s="41">
        <f t="shared" ref="P10:P40" si="11">COUNTIFS($AJ:$AJ,$B10,$AL:$AL,P$9)</f>
        <v>0</v>
      </c>
      <c r="Q10" s="42">
        <f>SUM(N10:P10)</f>
        <v>24</v>
      </c>
      <c r="V10" s="90">
        <v>45778</v>
      </c>
      <c r="W10" s="17">
        <v>142023</v>
      </c>
      <c r="X10" s="99" t="s">
        <v>36</v>
      </c>
      <c r="Z10" s="91">
        <v>0.18402777777777779</v>
      </c>
      <c r="AA10" s="91">
        <v>0.24097222222222223</v>
      </c>
      <c r="AB10" s="17"/>
      <c r="AC10" s="17"/>
      <c r="AD10" s="92">
        <v>18858</v>
      </c>
      <c r="AE10" s="92">
        <f t="shared" si="0"/>
        <v>18.858000000000001</v>
      </c>
      <c r="AF10" s="17"/>
      <c r="AG10" s="95">
        <f t="shared" si="1"/>
        <v>0</v>
      </c>
      <c r="AH10" s="37">
        <f t="shared" si="2"/>
        <v>0</v>
      </c>
      <c r="AJ10" s="38">
        <v>45778</v>
      </c>
      <c r="AK10" t="s">
        <v>690</v>
      </c>
      <c r="AL10" t="s">
        <v>5</v>
      </c>
      <c r="AM10" s="16"/>
      <c r="AN10" s="81" t="s">
        <v>997</v>
      </c>
      <c r="AO10" s="81" t="s">
        <v>998</v>
      </c>
      <c r="AP10" s="37">
        <v>3610</v>
      </c>
      <c r="AR10" s="96"/>
      <c r="AU10" s="38">
        <v>45778</v>
      </c>
      <c r="AW10" t="s">
        <v>5</v>
      </c>
      <c r="AX10" s="16"/>
      <c r="AY10" s="81">
        <v>0.32222222222222224</v>
      </c>
      <c r="AZ10" s="81">
        <v>0.33680555555555558</v>
      </c>
      <c r="BA10" s="37">
        <v>2400</v>
      </c>
      <c r="BC10" s="96">
        <v>45778</v>
      </c>
      <c r="BF10" s="21"/>
      <c r="BM10" s="73"/>
      <c r="BN10" s="73"/>
    </row>
    <row r="11" spans="2:73" ht="16" x14ac:dyDescent="0.4">
      <c r="B11" s="1">
        <v>45779</v>
      </c>
      <c r="C11" s="2">
        <f t="shared" si="3"/>
        <v>199.00799999999998</v>
      </c>
      <c r="D11" s="2">
        <f t="shared" si="4"/>
        <v>37.15</v>
      </c>
      <c r="E11" s="2">
        <f t="shared" si="4"/>
        <v>5.75</v>
      </c>
      <c r="F11" s="32">
        <f t="shared" si="5"/>
        <v>0</v>
      </c>
      <c r="G11" s="3">
        <f>SUM(C11:E11)</f>
        <v>241.90799999999999</v>
      </c>
      <c r="H11" s="51">
        <f t="shared" si="6"/>
        <v>199.00799999999998</v>
      </c>
      <c r="I11" s="52">
        <f>H11+D11+E11</f>
        <v>241.90799999999999</v>
      </c>
      <c r="J11" s="59">
        <f t="shared" si="7"/>
        <v>0</v>
      </c>
      <c r="K11" s="4"/>
      <c r="L11" s="20">
        <f t="shared" si="8"/>
        <v>0</v>
      </c>
      <c r="N11" s="43">
        <f t="shared" si="9"/>
        <v>10</v>
      </c>
      <c r="O11" s="44">
        <f t="shared" si="10"/>
        <v>11</v>
      </c>
      <c r="P11" s="41">
        <f t="shared" si="11"/>
        <v>1</v>
      </c>
      <c r="Q11" s="45">
        <f>SUM(N11:P11)</f>
        <v>22</v>
      </c>
      <c r="V11" s="97">
        <v>45778</v>
      </c>
      <c r="W11">
        <v>142033</v>
      </c>
      <c r="X11" s="89" t="s">
        <v>36</v>
      </c>
      <c r="Z11" s="50">
        <v>0.26805555555555555</v>
      </c>
      <c r="AA11" s="50">
        <v>0.28750000000000003</v>
      </c>
      <c r="AD11" s="48">
        <v>17736</v>
      </c>
      <c r="AE11" s="48">
        <f t="shared" si="0"/>
        <v>17.736000000000001</v>
      </c>
      <c r="AF11">
        <v>15.83</v>
      </c>
      <c r="AG11" s="72">
        <f t="shared" si="1"/>
        <v>14</v>
      </c>
      <c r="AH11" s="37">
        <f t="shared" si="2"/>
        <v>17.736000000000001</v>
      </c>
      <c r="AJ11" s="38">
        <v>45778</v>
      </c>
      <c r="AK11" t="s">
        <v>691</v>
      </c>
      <c r="AL11" t="s">
        <v>5</v>
      </c>
      <c r="AM11" s="16"/>
      <c r="AN11" s="81" t="s">
        <v>999</v>
      </c>
      <c r="AO11" s="81" t="s">
        <v>1000</v>
      </c>
      <c r="AP11" s="37">
        <v>2250</v>
      </c>
      <c r="AR11" s="96"/>
      <c r="AU11" s="38">
        <v>45778</v>
      </c>
      <c r="AW11" t="s">
        <v>5</v>
      </c>
      <c r="AX11" s="16"/>
      <c r="AY11" s="81">
        <v>0.30763888888888891</v>
      </c>
      <c r="AZ11" s="81">
        <v>0.43194444444444446</v>
      </c>
      <c r="BA11" s="37">
        <v>3606</v>
      </c>
      <c r="BB11" t="s">
        <v>98</v>
      </c>
      <c r="BC11" s="96">
        <v>45778</v>
      </c>
      <c r="BF11" s="21"/>
      <c r="BM11" s="73"/>
      <c r="BN11" s="73"/>
    </row>
    <row r="12" spans="2:73" ht="16" x14ac:dyDescent="0.4">
      <c r="B12" s="1">
        <v>45780</v>
      </c>
      <c r="C12" s="2">
        <f t="shared" si="3"/>
        <v>305.41999999999996</v>
      </c>
      <c r="D12" s="2">
        <f t="shared" si="4"/>
        <v>25.11</v>
      </c>
      <c r="E12" s="2">
        <f t="shared" si="4"/>
        <v>0</v>
      </c>
      <c r="F12" s="32">
        <f t="shared" si="5"/>
        <v>0</v>
      </c>
      <c r="G12" s="3">
        <f t="shared" ref="G12:G40" si="12">SUM(C12:E12)</f>
        <v>330.53</v>
      </c>
      <c r="H12" s="51">
        <f t="shared" si="6"/>
        <v>303.12479714285712</v>
      </c>
      <c r="I12" s="52">
        <f t="shared" ref="I12:I40" si="13">H12+D12+E12</f>
        <v>328.23479714285713</v>
      </c>
      <c r="J12" s="59">
        <f t="shared" si="7"/>
        <v>0</v>
      </c>
      <c r="K12" s="4"/>
      <c r="L12" s="20">
        <f t="shared" si="8"/>
        <v>0</v>
      </c>
      <c r="N12" s="43">
        <f t="shared" si="9"/>
        <v>15</v>
      </c>
      <c r="O12" s="44">
        <f t="shared" si="10"/>
        <v>8</v>
      </c>
      <c r="P12" s="41">
        <f t="shared" si="11"/>
        <v>0</v>
      </c>
      <c r="Q12" s="45">
        <f t="shared" ref="Q12:Q40" si="14">SUM(N12:P12)</f>
        <v>23</v>
      </c>
      <c r="V12" s="97">
        <v>45779</v>
      </c>
      <c r="W12">
        <v>142311</v>
      </c>
      <c r="X12" s="89" t="s">
        <v>36</v>
      </c>
      <c r="Z12" s="50">
        <v>0.25208333333333333</v>
      </c>
      <c r="AA12" s="50">
        <v>0.35694444444444445</v>
      </c>
      <c r="AD12" s="48">
        <v>21186</v>
      </c>
      <c r="AE12" s="48">
        <f t="shared" si="0"/>
        <v>21.186</v>
      </c>
      <c r="AF12">
        <v>14.66</v>
      </c>
      <c r="AG12" s="72">
        <f t="shared" si="1"/>
        <v>14</v>
      </c>
      <c r="AH12" s="37">
        <f t="shared" si="2"/>
        <v>21.186</v>
      </c>
      <c r="AJ12" s="38">
        <v>45778</v>
      </c>
      <c r="AK12" t="s">
        <v>692</v>
      </c>
      <c r="AL12" t="s">
        <v>5</v>
      </c>
      <c r="AM12" s="16"/>
      <c r="AN12" s="81" t="s">
        <v>1001</v>
      </c>
      <c r="AO12" s="81" t="s">
        <v>1001</v>
      </c>
      <c r="AP12" s="37">
        <v>3500</v>
      </c>
      <c r="AR12" s="96"/>
      <c r="AU12" s="38">
        <v>45778</v>
      </c>
      <c r="AW12" t="s">
        <v>5</v>
      </c>
      <c r="AX12" s="16"/>
      <c r="AY12" s="81">
        <v>0.43124999999999997</v>
      </c>
      <c r="AZ12" s="81">
        <v>0.37152777777777773</v>
      </c>
      <c r="BA12" s="37">
        <v>4026</v>
      </c>
      <c r="BB12" t="s">
        <v>114</v>
      </c>
      <c r="BC12" s="96">
        <v>45778</v>
      </c>
      <c r="BF12" s="21"/>
      <c r="BM12" s="73"/>
      <c r="BN12" s="73"/>
    </row>
    <row r="13" spans="2:73" ht="16" x14ac:dyDescent="0.4">
      <c r="B13" s="1">
        <v>45781</v>
      </c>
      <c r="C13" s="2">
        <f t="shared" si="3"/>
        <v>154.62800000000001</v>
      </c>
      <c r="D13" s="2">
        <f t="shared" si="4"/>
        <v>0</v>
      </c>
      <c r="E13" s="2">
        <f t="shared" si="4"/>
        <v>0</v>
      </c>
      <c r="F13" s="32">
        <f t="shared" si="5"/>
        <v>0</v>
      </c>
      <c r="G13" s="3">
        <f t="shared" si="12"/>
        <v>154.62800000000001</v>
      </c>
      <c r="H13" s="51">
        <f t="shared" si="6"/>
        <v>130.09954142857146</v>
      </c>
      <c r="I13" s="52">
        <f t="shared" si="13"/>
        <v>130.09954142857146</v>
      </c>
      <c r="J13" s="59">
        <f t="shared" si="7"/>
        <v>0</v>
      </c>
      <c r="K13" s="4"/>
      <c r="L13" s="20">
        <f t="shared" si="8"/>
        <v>0</v>
      </c>
      <c r="N13" s="43">
        <f t="shared" si="9"/>
        <v>8</v>
      </c>
      <c r="O13" s="44">
        <f t="shared" si="10"/>
        <v>0</v>
      </c>
      <c r="P13" s="41">
        <f t="shared" si="11"/>
        <v>0</v>
      </c>
      <c r="Q13" s="45">
        <f t="shared" si="14"/>
        <v>8</v>
      </c>
      <c r="V13" s="97">
        <v>45779</v>
      </c>
      <c r="W13">
        <v>142407</v>
      </c>
      <c r="X13" s="89" t="s">
        <v>36</v>
      </c>
      <c r="Z13" s="50">
        <v>0.40416666666666662</v>
      </c>
      <c r="AA13" s="50">
        <v>0.45833333333333331</v>
      </c>
      <c r="AD13" s="48">
        <v>18670</v>
      </c>
      <c r="AE13" s="48">
        <f t="shared" si="0"/>
        <v>18.670000000000002</v>
      </c>
      <c r="AF13">
        <v>14.23</v>
      </c>
      <c r="AG13" s="72">
        <f t="shared" si="1"/>
        <v>14</v>
      </c>
      <c r="AH13" s="37">
        <f t="shared" si="2"/>
        <v>18.669999999999998</v>
      </c>
      <c r="AJ13" s="38">
        <v>45778</v>
      </c>
      <c r="AK13" t="s">
        <v>693</v>
      </c>
      <c r="AL13" t="s">
        <v>5</v>
      </c>
      <c r="AM13" s="16"/>
      <c r="AN13" s="81" t="s">
        <v>1002</v>
      </c>
      <c r="AO13" s="81" t="s">
        <v>1002</v>
      </c>
      <c r="AP13" s="37">
        <v>3220</v>
      </c>
      <c r="AR13" s="96"/>
      <c r="AU13" s="38">
        <v>45778</v>
      </c>
      <c r="AW13" t="s">
        <v>5</v>
      </c>
      <c r="AX13" s="16"/>
      <c r="AY13" s="81">
        <v>0.42222222222222222</v>
      </c>
      <c r="AZ13" s="81">
        <v>0.44791666666666669</v>
      </c>
      <c r="BA13" s="37">
        <v>3298</v>
      </c>
      <c r="BB13" t="s">
        <v>105</v>
      </c>
      <c r="BC13" s="96">
        <v>45778</v>
      </c>
      <c r="BF13" s="21"/>
      <c r="BM13" s="73"/>
      <c r="BN13" s="73"/>
    </row>
    <row r="14" spans="2:73" ht="16" x14ac:dyDescent="0.4">
      <c r="B14" s="1">
        <v>45782</v>
      </c>
      <c r="C14" s="2">
        <f t="shared" si="3"/>
        <v>146.07599999999999</v>
      </c>
      <c r="D14" s="2">
        <f t="shared" si="4"/>
        <v>59.69</v>
      </c>
      <c r="E14" s="2">
        <f t="shared" si="4"/>
        <v>0</v>
      </c>
      <c r="F14" s="32">
        <f t="shared" si="5"/>
        <v>5.5720000000000001</v>
      </c>
      <c r="G14" s="3">
        <f t="shared" si="12"/>
        <v>205.76599999999999</v>
      </c>
      <c r="H14" s="51">
        <f t="shared" si="6"/>
        <v>148.29458571428569</v>
      </c>
      <c r="I14" s="52">
        <f t="shared" si="13"/>
        <v>207.98458571428569</v>
      </c>
      <c r="J14" s="59">
        <f t="shared" si="7"/>
        <v>5.5720000000000001</v>
      </c>
      <c r="K14" s="4"/>
      <c r="L14" s="20">
        <f t="shared" si="8"/>
        <v>5.5720000000000001</v>
      </c>
      <c r="N14" s="43">
        <f t="shared" si="9"/>
        <v>8</v>
      </c>
      <c r="O14" s="44">
        <f t="shared" si="10"/>
        <v>11</v>
      </c>
      <c r="P14" s="41">
        <f t="shared" si="11"/>
        <v>0</v>
      </c>
      <c r="Q14" s="45">
        <f t="shared" si="14"/>
        <v>19</v>
      </c>
      <c r="V14" s="97">
        <v>45779</v>
      </c>
      <c r="W14">
        <v>142444</v>
      </c>
      <c r="X14" s="89" t="s">
        <v>36</v>
      </c>
      <c r="Z14" s="50">
        <v>0.40416666666666662</v>
      </c>
      <c r="AA14" s="50">
        <v>0.52152777777777781</v>
      </c>
      <c r="AD14" s="48">
        <v>16410</v>
      </c>
      <c r="AE14" s="48">
        <f t="shared" si="0"/>
        <v>16.41</v>
      </c>
      <c r="AF14">
        <v>15.87</v>
      </c>
      <c r="AG14" s="72">
        <f t="shared" si="1"/>
        <v>14</v>
      </c>
      <c r="AH14" s="37">
        <f t="shared" si="2"/>
        <v>16.41</v>
      </c>
      <c r="AJ14" s="38">
        <v>45778</v>
      </c>
      <c r="AK14" t="s">
        <v>694</v>
      </c>
      <c r="AL14" t="s">
        <v>5</v>
      </c>
      <c r="AM14" s="16"/>
      <c r="AN14" s="81" t="s">
        <v>1003</v>
      </c>
      <c r="AO14" s="81" t="s">
        <v>1003</v>
      </c>
      <c r="AP14" s="37">
        <v>2250</v>
      </c>
      <c r="AR14" s="96"/>
      <c r="AU14" s="38">
        <v>45778</v>
      </c>
      <c r="AW14" t="s">
        <v>5</v>
      </c>
      <c r="AX14" s="16"/>
      <c r="AY14" s="81">
        <v>0.4513888888888889</v>
      </c>
      <c r="AZ14" s="81">
        <v>0.46666666666666662</v>
      </c>
      <c r="BA14" s="37">
        <v>3598</v>
      </c>
      <c r="BB14" t="s">
        <v>107</v>
      </c>
      <c r="BC14" s="96">
        <v>45778</v>
      </c>
      <c r="BF14" s="21"/>
      <c r="BM14" s="73"/>
      <c r="BN14" s="73"/>
    </row>
    <row r="15" spans="2:73" ht="16" x14ac:dyDescent="0.4">
      <c r="B15" s="1">
        <v>45783</v>
      </c>
      <c r="C15" s="2">
        <f t="shared" si="3"/>
        <v>290.55</v>
      </c>
      <c r="D15" s="2">
        <f t="shared" si="4"/>
        <v>56.57</v>
      </c>
      <c r="E15" s="2">
        <f t="shared" si="4"/>
        <v>0</v>
      </c>
      <c r="F15" s="32">
        <f t="shared" si="5"/>
        <v>0</v>
      </c>
      <c r="G15" s="3">
        <f t="shared" si="12"/>
        <v>347.12</v>
      </c>
      <c r="H15" s="51">
        <f t="shared" si="6"/>
        <v>290.04853714285719</v>
      </c>
      <c r="I15" s="52">
        <f t="shared" si="13"/>
        <v>346.61853714285718</v>
      </c>
      <c r="J15" s="59">
        <f t="shared" si="7"/>
        <v>0</v>
      </c>
      <c r="K15" s="4"/>
      <c r="L15" s="20">
        <f t="shared" si="8"/>
        <v>0</v>
      </c>
      <c r="N15" s="43">
        <f t="shared" si="9"/>
        <v>14</v>
      </c>
      <c r="O15" s="44">
        <f t="shared" si="10"/>
        <v>16</v>
      </c>
      <c r="P15" s="41">
        <f t="shared" si="11"/>
        <v>0</v>
      </c>
      <c r="Q15" s="45">
        <f t="shared" si="14"/>
        <v>30</v>
      </c>
      <c r="V15" s="97">
        <v>45779</v>
      </c>
      <c r="W15">
        <v>142486</v>
      </c>
      <c r="X15" s="89" t="s">
        <v>36</v>
      </c>
      <c r="Z15" s="50">
        <v>0.40416666666666662</v>
      </c>
      <c r="AA15" s="50">
        <v>0.59236111111111112</v>
      </c>
      <c r="AD15" s="48">
        <v>18606</v>
      </c>
      <c r="AE15" s="48">
        <f t="shared" si="0"/>
        <v>18.606000000000002</v>
      </c>
      <c r="AF15">
        <v>16.059999999999999</v>
      </c>
      <c r="AG15" s="72">
        <f t="shared" si="1"/>
        <v>14</v>
      </c>
      <c r="AH15" s="37">
        <f t="shared" si="2"/>
        <v>18.606000000000002</v>
      </c>
      <c r="AJ15" s="38">
        <v>45778</v>
      </c>
      <c r="AK15" t="s">
        <v>695</v>
      </c>
      <c r="AL15" t="s">
        <v>5</v>
      </c>
      <c r="AM15" s="16"/>
      <c r="AN15" s="81" t="s">
        <v>1004</v>
      </c>
      <c r="AO15" s="81" t="s">
        <v>1005</v>
      </c>
      <c r="AP15" s="37">
        <v>3560</v>
      </c>
      <c r="AR15" s="96"/>
      <c r="AU15" s="38">
        <v>45778</v>
      </c>
      <c r="AW15" t="s">
        <v>5</v>
      </c>
      <c r="AX15" s="16"/>
      <c r="AY15" s="81">
        <v>0.45</v>
      </c>
      <c r="AZ15" s="81">
        <v>0.46597222222222223</v>
      </c>
      <c r="BA15" s="37">
        <v>2370</v>
      </c>
      <c r="BB15" t="s">
        <v>106</v>
      </c>
      <c r="BC15" s="96">
        <v>45778</v>
      </c>
      <c r="BF15" s="21"/>
      <c r="BM15" s="73"/>
      <c r="BN15" s="73"/>
    </row>
    <row r="16" spans="2:73" ht="16" x14ac:dyDescent="0.4">
      <c r="B16" s="1">
        <v>45784</v>
      </c>
      <c r="C16" s="2">
        <f t="shared" si="3"/>
        <v>154.816</v>
      </c>
      <c r="D16" s="2">
        <f t="shared" si="4"/>
        <v>36.49</v>
      </c>
      <c r="E16" s="2">
        <f t="shared" si="4"/>
        <v>0</v>
      </c>
      <c r="F16" s="32">
        <f t="shared" si="5"/>
        <v>0</v>
      </c>
      <c r="G16" s="3">
        <f t="shared" si="12"/>
        <v>191.30600000000001</v>
      </c>
      <c r="H16" s="51">
        <f t="shared" si="6"/>
        <v>147.26659428571429</v>
      </c>
      <c r="I16" s="52">
        <f t="shared" si="13"/>
        <v>183.7565942857143</v>
      </c>
      <c r="J16" s="59">
        <f t="shared" si="7"/>
        <v>0</v>
      </c>
      <c r="K16" s="4"/>
      <c r="L16" s="20">
        <f t="shared" si="8"/>
        <v>0</v>
      </c>
      <c r="N16" s="43">
        <f t="shared" si="9"/>
        <v>8</v>
      </c>
      <c r="O16" s="44">
        <f t="shared" si="10"/>
        <v>12</v>
      </c>
      <c r="P16" s="41">
        <f t="shared" si="11"/>
        <v>0</v>
      </c>
      <c r="Q16" s="45">
        <f t="shared" si="14"/>
        <v>20</v>
      </c>
      <c r="V16" s="97">
        <v>45779</v>
      </c>
      <c r="W16">
        <v>142570</v>
      </c>
      <c r="X16" s="89" t="s">
        <v>36</v>
      </c>
      <c r="Z16" s="50">
        <v>0.63958333333333328</v>
      </c>
      <c r="AA16" s="50">
        <v>0.67152777777777783</v>
      </c>
      <c r="AD16" s="48">
        <v>19598</v>
      </c>
      <c r="AE16" s="48">
        <f t="shared" si="0"/>
        <v>19.597999999999999</v>
      </c>
      <c r="AF16">
        <v>15.95</v>
      </c>
      <c r="AG16" s="72">
        <f t="shared" si="1"/>
        <v>14</v>
      </c>
      <c r="AH16" s="37">
        <f t="shared" si="2"/>
        <v>19.597999999999995</v>
      </c>
      <c r="AJ16" s="38">
        <v>45778</v>
      </c>
      <c r="AK16" t="s">
        <v>696</v>
      </c>
      <c r="AL16" t="s">
        <v>5</v>
      </c>
      <c r="AM16" s="16"/>
      <c r="AN16" s="81" t="s">
        <v>1006</v>
      </c>
      <c r="AO16" s="81" t="s">
        <v>1007</v>
      </c>
      <c r="AP16" s="37">
        <v>3620</v>
      </c>
      <c r="AR16" s="96"/>
      <c r="AU16" s="38">
        <v>45778</v>
      </c>
      <c r="AW16" t="s">
        <v>5</v>
      </c>
      <c r="AX16" s="16"/>
      <c r="AY16" s="81">
        <v>0.46597222222222223</v>
      </c>
      <c r="AZ16" s="81">
        <v>0.55972222222222223</v>
      </c>
      <c r="BA16" s="37">
        <v>2636</v>
      </c>
      <c r="BB16" t="s">
        <v>115</v>
      </c>
      <c r="BC16" s="96">
        <v>45778</v>
      </c>
      <c r="BF16" s="21"/>
      <c r="BM16" s="73"/>
      <c r="BN16" s="73"/>
    </row>
    <row r="17" spans="2:66" ht="16" x14ac:dyDescent="0.4">
      <c r="B17" s="1">
        <v>45785</v>
      </c>
      <c r="C17" s="2">
        <f t="shared" si="3"/>
        <v>263.26400000000007</v>
      </c>
      <c r="D17" s="2">
        <f t="shared" si="4"/>
        <v>40.74</v>
      </c>
      <c r="E17" s="2">
        <f t="shared" si="4"/>
        <v>0</v>
      </c>
      <c r="F17" s="32">
        <f t="shared" si="5"/>
        <v>0</v>
      </c>
      <c r="G17" s="3">
        <f t="shared" si="12"/>
        <v>304.00400000000008</v>
      </c>
      <c r="H17" s="51">
        <f t="shared" si="6"/>
        <v>260.58889142857146</v>
      </c>
      <c r="I17" s="52">
        <f t="shared" si="13"/>
        <v>301.32889142857147</v>
      </c>
      <c r="J17" s="59">
        <f t="shared" si="7"/>
        <v>0</v>
      </c>
      <c r="K17" s="4"/>
      <c r="L17" s="20">
        <f t="shared" si="8"/>
        <v>0</v>
      </c>
      <c r="N17" s="43">
        <f t="shared" si="9"/>
        <v>13</v>
      </c>
      <c r="O17" s="44">
        <f t="shared" si="10"/>
        <v>11</v>
      </c>
      <c r="P17" s="41">
        <f t="shared" si="11"/>
        <v>0</v>
      </c>
      <c r="Q17" s="45">
        <f t="shared" si="14"/>
        <v>24</v>
      </c>
      <c r="S17" t="s">
        <v>48</v>
      </c>
      <c r="V17" s="97">
        <v>45779</v>
      </c>
      <c r="W17">
        <v>142605</v>
      </c>
      <c r="X17" s="89" t="s">
        <v>36</v>
      </c>
      <c r="Z17" s="50">
        <v>0.49236111111111108</v>
      </c>
      <c r="AA17" s="50">
        <v>0.71527777777777779</v>
      </c>
      <c r="AD17" s="48">
        <v>21092</v>
      </c>
      <c r="AE17" s="48">
        <f t="shared" si="0"/>
        <v>21.091999999999999</v>
      </c>
      <c r="AF17">
        <v>15.45</v>
      </c>
      <c r="AG17" s="72">
        <f t="shared" si="1"/>
        <v>14</v>
      </c>
      <c r="AH17" s="37">
        <f t="shared" si="2"/>
        <v>21.092000000000002</v>
      </c>
      <c r="AJ17" s="38">
        <v>45778</v>
      </c>
      <c r="AK17" t="s">
        <v>697</v>
      </c>
      <c r="AL17" t="s">
        <v>5</v>
      </c>
      <c r="AM17" s="16"/>
      <c r="AN17" s="81" t="s">
        <v>1008</v>
      </c>
      <c r="AO17" s="81" t="s">
        <v>1009</v>
      </c>
      <c r="AP17" s="37">
        <v>2900</v>
      </c>
      <c r="AR17" s="96"/>
      <c r="AU17" s="38">
        <v>45778</v>
      </c>
      <c r="AW17" t="s">
        <v>5</v>
      </c>
      <c r="AX17" s="16"/>
      <c r="AY17" s="81">
        <v>0.46180555555555558</v>
      </c>
      <c r="AZ17" s="81">
        <v>0.5493055555555556</v>
      </c>
      <c r="BA17" s="37">
        <v>2844</v>
      </c>
      <c r="BB17" t="s">
        <v>106</v>
      </c>
      <c r="BC17" s="96">
        <v>45778</v>
      </c>
      <c r="BF17" s="21"/>
      <c r="BM17" s="73"/>
      <c r="BN17" s="73"/>
    </row>
    <row r="18" spans="2:66" ht="16" x14ac:dyDescent="0.4">
      <c r="B18" s="1">
        <v>45786</v>
      </c>
      <c r="C18" s="2">
        <f t="shared" si="3"/>
        <v>305.56200000000007</v>
      </c>
      <c r="D18" s="2">
        <f t="shared" si="4"/>
        <v>36.65</v>
      </c>
      <c r="E18" s="2">
        <f t="shared" si="4"/>
        <v>0</v>
      </c>
      <c r="F18" s="32">
        <f t="shared" si="5"/>
        <v>0</v>
      </c>
      <c r="G18" s="3">
        <f t="shared" si="12"/>
        <v>342.21200000000005</v>
      </c>
      <c r="H18" s="51">
        <f t="shared" si="6"/>
        <v>304.82934857142862</v>
      </c>
      <c r="I18" s="52">
        <f t="shared" si="13"/>
        <v>341.4793485714286</v>
      </c>
      <c r="J18" s="59">
        <f t="shared" si="7"/>
        <v>0</v>
      </c>
      <c r="K18" s="4"/>
      <c r="L18" s="20">
        <f t="shared" si="8"/>
        <v>0</v>
      </c>
      <c r="N18" s="43">
        <f t="shared" si="9"/>
        <v>15</v>
      </c>
      <c r="O18" s="44">
        <f t="shared" si="10"/>
        <v>12</v>
      </c>
      <c r="P18" s="41">
        <f t="shared" si="11"/>
        <v>0</v>
      </c>
      <c r="Q18" s="45">
        <f t="shared" si="14"/>
        <v>27</v>
      </c>
      <c r="V18" s="97">
        <v>45779</v>
      </c>
      <c r="W18">
        <v>142624</v>
      </c>
      <c r="X18" s="89" t="s">
        <v>36</v>
      </c>
      <c r="Z18" s="50">
        <v>0.63972222222222219</v>
      </c>
      <c r="AA18" s="50">
        <v>0.79009259259259268</v>
      </c>
      <c r="AD18" s="48">
        <v>20212</v>
      </c>
      <c r="AE18" s="48">
        <f t="shared" si="0"/>
        <v>20.212</v>
      </c>
      <c r="AF18">
        <v>14.62</v>
      </c>
      <c r="AG18" s="72">
        <f t="shared" si="1"/>
        <v>14</v>
      </c>
      <c r="AH18" s="37">
        <f t="shared" si="2"/>
        <v>20.212</v>
      </c>
      <c r="AJ18" s="38">
        <v>45778</v>
      </c>
      <c r="AK18" t="s">
        <v>698</v>
      </c>
      <c r="AL18" t="s">
        <v>5</v>
      </c>
      <c r="AM18" s="16"/>
      <c r="AN18" s="81" t="s">
        <v>1010</v>
      </c>
      <c r="AO18" s="81" t="s">
        <v>1011</v>
      </c>
      <c r="AP18" s="37">
        <v>4810</v>
      </c>
      <c r="AR18" s="96"/>
      <c r="AU18" s="38">
        <v>45778</v>
      </c>
      <c r="AW18" t="s">
        <v>5</v>
      </c>
      <c r="AX18" s="16"/>
      <c r="AY18" s="81">
        <v>0.55277777777777781</v>
      </c>
      <c r="AZ18" s="81">
        <v>0.5708333333333333</v>
      </c>
      <c r="BA18" s="37">
        <v>4826</v>
      </c>
      <c r="BB18" t="s">
        <v>105</v>
      </c>
      <c r="BC18" s="96">
        <v>45778</v>
      </c>
      <c r="BF18" s="21"/>
      <c r="BM18" s="73"/>
      <c r="BN18" s="73"/>
    </row>
    <row r="19" spans="2:66" ht="16" x14ac:dyDescent="0.4">
      <c r="B19" s="1">
        <v>45787</v>
      </c>
      <c r="C19" s="2">
        <f t="shared" si="3"/>
        <v>252.54800000000003</v>
      </c>
      <c r="D19" s="2">
        <f t="shared" si="4"/>
        <v>43.06</v>
      </c>
      <c r="E19" s="2">
        <f t="shared" si="4"/>
        <v>0</v>
      </c>
      <c r="F19" s="32">
        <f t="shared" si="5"/>
        <v>13.885999999999999</v>
      </c>
      <c r="G19" s="3">
        <f t="shared" si="12"/>
        <v>295.60800000000006</v>
      </c>
      <c r="H19" s="51">
        <f t="shared" si="6"/>
        <v>265.32312000000002</v>
      </c>
      <c r="I19" s="52">
        <f t="shared" si="13"/>
        <v>308.38312000000002</v>
      </c>
      <c r="J19" s="59">
        <f t="shared" si="7"/>
        <v>13.885999999999999</v>
      </c>
      <c r="K19" s="4"/>
      <c r="L19" s="20">
        <f t="shared" si="8"/>
        <v>13.885999999999999</v>
      </c>
      <c r="N19" s="43">
        <f t="shared" si="9"/>
        <v>13</v>
      </c>
      <c r="O19" s="44">
        <f t="shared" si="10"/>
        <v>11</v>
      </c>
      <c r="P19" s="41">
        <f t="shared" si="11"/>
        <v>0</v>
      </c>
      <c r="Q19" s="45">
        <f t="shared" si="14"/>
        <v>24</v>
      </c>
      <c r="V19" s="97">
        <v>45779</v>
      </c>
      <c r="W19">
        <v>142661</v>
      </c>
      <c r="X19" s="89" t="s">
        <v>36</v>
      </c>
      <c r="Z19" s="50">
        <v>0.77192129629629624</v>
      </c>
      <c r="AA19" s="50">
        <v>0.84858796296296291</v>
      </c>
      <c r="AD19" s="48">
        <v>21010</v>
      </c>
      <c r="AE19" s="48">
        <f t="shared" si="0"/>
        <v>21.01</v>
      </c>
      <c r="AF19">
        <v>15.63</v>
      </c>
      <c r="AG19" s="72">
        <f t="shared" si="1"/>
        <v>14</v>
      </c>
      <c r="AH19" s="37">
        <f t="shared" si="2"/>
        <v>21.01</v>
      </c>
      <c r="AJ19" s="38">
        <v>45778</v>
      </c>
      <c r="AK19" t="s">
        <v>699</v>
      </c>
      <c r="AL19" t="s">
        <v>5</v>
      </c>
      <c r="AM19" s="16"/>
      <c r="AN19" s="81" t="s">
        <v>1012</v>
      </c>
      <c r="AO19" s="81" t="s">
        <v>1012</v>
      </c>
      <c r="AP19" s="37">
        <v>2510</v>
      </c>
      <c r="AR19" s="96"/>
      <c r="AU19" s="38">
        <v>45778</v>
      </c>
      <c r="AW19" t="s">
        <v>5</v>
      </c>
      <c r="AX19" s="16"/>
      <c r="AY19" s="81">
        <v>0.5854166666666667</v>
      </c>
      <c r="AZ19" s="81">
        <v>0.38472222222222219</v>
      </c>
      <c r="BA19" s="37">
        <v>3588</v>
      </c>
      <c r="BB19" t="s">
        <v>105</v>
      </c>
      <c r="BC19" s="96">
        <v>45778</v>
      </c>
      <c r="BF19" s="21"/>
      <c r="BM19" s="73"/>
      <c r="BN19" s="73"/>
    </row>
    <row r="20" spans="2:66" ht="16" x14ac:dyDescent="0.4">
      <c r="B20" s="1">
        <v>45788</v>
      </c>
      <c r="C20" s="2">
        <f t="shared" si="3"/>
        <v>312.22199999999998</v>
      </c>
      <c r="D20" s="2">
        <f t="shared" si="4"/>
        <v>20.329999999999998</v>
      </c>
      <c r="E20" s="2">
        <f t="shared" si="4"/>
        <v>6.09</v>
      </c>
      <c r="F20" s="32">
        <f t="shared" si="5"/>
        <v>0</v>
      </c>
      <c r="G20" s="3">
        <f t="shared" si="12"/>
        <v>338.64199999999994</v>
      </c>
      <c r="H20" s="51">
        <f t="shared" si="6"/>
        <v>308.92364714285713</v>
      </c>
      <c r="I20" s="52">
        <f t="shared" si="13"/>
        <v>335.34364714285709</v>
      </c>
      <c r="J20" s="59">
        <f t="shared" si="7"/>
        <v>0</v>
      </c>
      <c r="K20" s="4"/>
      <c r="L20" s="20">
        <f t="shared" si="8"/>
        <v>0</v>
      </c>
      <c r="N20" s="43">
        <f t="shared" si="9"/>
        <v>15</v>
      </c>
      <c r="O20" s="44">
        <f t="shared" si="10"/>
        <v>7</v>
      </c>
      <c r="P20" s="41">
        <f t="shared" si="11"/>
        <v>1</v>
      </c>
      <c r="Q20" s="45">
        <f t="shared" si="14"/>
        <v>23</v>
      </c>
      <c r="V20" s="97">
        <v>45779</v>
      </c>
      <c r="W20">
        <v>142689</v>
      </c>
      <c r="X20" s="89" t="s">
        <v>36</v>
      </c>
      <c r="Z20" s="50">
        <v>0.63983796296296302</v>
      </c>
      <c r="AA20" s="50">
        <v>0.90481481481481474</v>
      </c>
      <c r="AD20" s="48">
        <v>20164</v>
      </c>
      <c r="AE20" s="48">
        <f t="shared" si="0"/>
        <v>20.164000000000001</v>
      </c>
      <c r="AF20">
        <v>14.99</v>
      </c>
      <c r="AG20" s="72">
        <f t="shared" si="1"/>
        <v>14</v>
      </c>
      <c r="AH20" s="37">
        <f t="shared" si="2"/>
        <v>20.164000000000005</v>
      </c>
      <c r="AJ20" s="38">
        <v>45778</v>
      </c>
      <c r="AK20" t="s">
        <v>700</v>
      </c>
      <c r="AL20" t="s">
        <v>5</v>
      </c>
      <c r="AM20" s="16"/>
      <c r="AN20" s="81" t="s">
        <v>1013</v>
      </c>
      <c r="AO20" s="81" t="s">
        <v>1014</v>
      </c>
      <c r="AP20" s="37">
        <v>3440</v>
      </c>
      <c r="AR20" s="96"/>
      <c r="AU20" s="38">
        <v>45778</v>
      </c>
      <c r="AW20" t="s">
        <v>5</v>
      </c>
      <c r="AX20" s="16"/>
      <c r="AY20" s="81">
        <v>0.46666666666666662</v>
      </c>
      <c r="AZ20" s="81">
        <v>0.57291666666666663</v>
      </c>
      <c r="BA20" s="37">
        <v>3552</v>
      </c>
      <c r="BB20" t="s">
        <v>107</v>
      </c>
      <c r="BC20" s="96">
        <v>45778</v>
      </c>
      <c r="BF20" s="21"/>
      <c r="BM20" s="73"/>
      <c r="BN20" s="73"/>
    </row>
    <row r="21" spans="2:66" ht="16" x14ac:dyDescent="0.4">
      <c r="B21" s="1">
        <v>45789</v>
      </c>
      <c r="C21" s="2">
        <f t="shared" si="3"/>
        <v>82.449999999999989</v>
      </c>
      <c r="D21" s="2">
        <f t="shared" si="4"/>
        <v>0</v>
      </c>
      <c r="E21" s="2">
        <f t="shared" si="4"/>
        <v>0</v>
      </c>
      <c r="F21" s="32">
        <f t="shared" si="5"/>
        <v>14.318</v>
      </c>
      <c r="G21" s="3">
        <f t="shared" si="12"/>
        <v>82.449999999999989</v>
      </c>
      <c r="H21" s="51">
        <f t="shared" si="6"/>
        <v>96.532775714285705</v>
      </c>
      <c r="I21" s="52">
        <f t="shared" si="13"/>
        <v>96.532775714285705</v>
      </c>
      <c r="J21" s="59">
        <f t="shared" si="7"/>
        <v>14.318</v>
      </c>
      <c r="K21" s="4"/>
      <c r="L21" s="20">
        <f t="shared" si="8"/>
        <v>14.318</v>
      </c>
      <c r="N21" s="43">
        <f t="shared" si="9"/>
        <v>5</v>
      </c>
      <c r="O21" s="44">
        <f t="shared" si="10"/>
        <v>0</v>
      </c>
      <c r="P21" s="41">
        <f t="shared" si="11"/>
        <v>0</v>
      </c>
      <c r="Q21" s="45">
        <f t="shared" si="14"/>
        <v>5</v>
      </c>
      <c r="V21" s="97">
        <v>45779</v>
      </c>
      <c r="W21">
        <v>142724</v>
      </c>
      <c r="X21" s="89" t="s">
        <v>36</v>
      </c>
      <c r="Z21" s="50">
        <v>0.7720717592592593</v>
      </c>
      <c r="AA21" s="50">
        <v>0.98461805555555559</v>
      </c>
      <c r="AD21" s="48">
        <v>22060</v>
      </c>
      <c r="AE21" s="48">
        <f t="shared" si="0"/>
        <v>22.06</v>
      </c>
      <c r="AF21">
        <v>14.85</v>
      </c>
      <c r="AG21" s="72">
        <f t="shared" si="1"/>
        <v>14</v>
      </c>
      <c r="AH21" s="37">
        <f t="shared" si="2"/>
        <v>22.06</v>
      </c>
      <c r="AJ21" s="38">
        <v>45778</v>
      </c>
      <c r="AK21" t="s">
        <v>701</v>
      </c>
      <c r="AL21" t="s">
        <v>5</v>
      </c>
      <c r="AM21" s="16"/>
      <c r="AN21" s="81" t="s">
        <v>1015</v>
      </c>
      <c r="AO21" s="81" t="s">
        <v>1015</v>
      </c>
      <c r="AP21" s="37">
        <v>4790</v>
      </c>
      <c r="AR21" s="96"/>
      <c r="AU21" s="38">
        <v>45778</v>
      </c>
      <c r="AW21" t="s">
        <v>5</v>
      </c>
      <c r="AX21" s="16"/>
      <c r="AY21" s="81">
        <v>0.65416666666666667</v>
      </c>
      <c r="AZ21" s="81">
        <v>0.63680555555555551</v>
      </c>
      <c r="BA21" s="37">
        <v>4804</v>
      </c>
      <c r="BB21" t="s">
        <v>111</v>
      </c>
      <c r="BC21" s="96">
        <v>45778</v>
      </c>
      <c r="BF21" s="21"/>
      <c r="BM21" s="73"/>
      <c r="BN21" s="73"/>
    </row>
    <row r="22" spans="2:66" ht="16" x14ac:dyDescent="0.4">
      <c r="B22" s="1">
        <v>45790</v>
      </c>
      <c r="C22" s="2">
        <f t="shared" si="3"/>
        <v>165.25599999999997</v>
      </c>
      <c r="D22" s="2">
        <f t="shared" si="4"/>
        <v>28.95</v>
      </c>
      <c r="E22" s="2">
        <f t="shared" si="4"/>
        <v>0</v>
      </c>
      <c r="F22" s="32">
        <f t="shared" si="5"/>
        <v>0</v>
      </c>
      <c r="G22" s="3">
        <f t="shared" si="12"/>
        <v>194.20599999999996</v>
      </c>
      <c r="H22" s="51">
        <f t="shared" si="6"/>
        <v>165.25599999999997</v>
      </c>
      <c r="I22" s="52">
        <f t="shared" si="13"/>
        <v>194.20599999999996</v>
      </c>
      <c r="J22" s="59">
        <f t="shared" si="7"/>
        <v>0</v>
      </c>
      <c r="K22" s="4"/>
      <c r="L22" s="20">
        <f t="shared" si="8"/>
        <v>0</v>
      </c>
      <c r="N22" s="43">
        <f t="shared" si="9"/>
        <v>8</v>
      </c>
      <c r="O22" s="44">
        <f t="shared" si="10"/>
        <v>9</v>
      </c>
      <c r="P22" s="41">
        <f t="shared" si="11"/>
        <v>0</v>
      </c>
      <c r="Q22" s="45">
        <f t="shared" si="14"/>
        <v>17</v>
      </c>
      <c r="V22" s="97">
        <v>45780</v>
      </c>
      <c r="W22">
        <v>142740</v>
      </c>
      <c r="X22" s="89" t="s">
        <v>36</v>
      </c>
      <c r="Z22" s="50">
        <v>0.9524421296296296</v>
      </c>
      <c r="AA22" s="50">
        <v>4.5717592592592594E-2</v>
      </c>
      <c r="AD22" s="48">
        <v>20424</v>
      </c>
      <c r="AE22" s="48">
        <f t="shared" si="0"/>
        <v>20.423999999999999</v>
      </c>
      <c r="AF22">
        <v>15.74</v>
      </c>
      <c r="AG22" s="72">
        <f t="shared" si="1"/>
        <v>14</v>
      </c>
      <c r="AH22" s="37">
        <f t="shared" si="2"/>
        <v>20.423999999999999</v>
      </c>
      <c r="AJ22" s="38">
        <v>45779</v>
      </c>
      <c r="AK22" t="s">
        <v>702</v>
      </c>
      <c r="AL22" t="s">
        <v>5</v>
      </c>
      <c r="AN22" s="81" t="s">
        <v>1016</v>
      </c>
      <c r="AO22" s="81" t="s">
        <v>1017</v>
      </c>
      <c r="AP22" s="37">
        <v>3210</v>
      </c>
      <c r="AQ22" s="81"/>
      <c r="AR22" s="96"/>
      <c r="AU22" s="38">
        <v>45779</v>
      </c>
      <c r="AW22" t="s">
        <v>4</v>
      </c>
      <c r="AY22" s="81">
        <v>0.31041666666666667</v>
      </c>
      <c r="AZ22" s="81">
        <v>0.3215277777777778</v>
      </c>
      <c r="BA22" s="37">
        <v>5750</v>
      </c>
      <c r="BB22" s="81"/>
      <c r="BC22" s="96">
        <v>45779</v>
      </c>
      <c r="BF22" s="21"/>
      <c r="BM22" s="73"/>
      <c r="BN22" s="73"/>
    </row>
    <row r="23" spans="2:66" ht="16" x14ac:dyDescent="0.4">
      <c r="B23" s="1">
        <v>45791</v>
      </c>
      <c r="C23" s="2">
        <f t="shared" si="3"/>
        <v>282.52599999999995</v>
      </c>
      <c r="D23" s="2">
        <f t="shared" si="4"/>
        <v>21.34</v>
      </c>
      <c r="E23" s="2">
        <f t="shared" si="4"/>
        <v>0</v>
      </c>
      <c r="F23" s="32">
        <f t="shared" si="5"/>
        <v>0</v>
      </c>
      <c r="G23" s="3">
        <f t="shared" si="12"/>
        <v>303.86599999999993</v>
      </c>
      <c r="H23" s="51">
        <f t="shared" si="6"/>
        <v>279.25959999999998</v>
      </c>
      <c r="I23" s="52">
        <f t="shared" si="13"/>
        <v>300.59959999999995</v>
      </c>
      <c r="J23" s="59">
        <f t="shared" si="7"/>
        <v>0</v>
      </c>
      <c r="K23" s="4"/>
      <c r="L23" s="20">
        <f t="shared" si="8"/>
        <v>0</v>
      </c>
      <c r="N23" s="43">
        <f t="shared" si="9"/>
        <v>14</v>
      </c>
      <c r="O23" s="44">
        <f t="shared" si="10"/>
        <v>8</v>
      </c>
      <c r="P23" s="41">
        <f t="shared" si="11"/>
        <v>0</v>
      </c>
      <c r="Q23" s="45">
        <f t="shared" si="14"/>
        <v>22</v>
      </c>
      <c r="V23" s="97">
        <v>45780</v>
      </c>
      <c r="W23">
        <v>142763</v>
      </c>
      <c r="X23" s="89" t="s">
        <v>36</v>
      </c>
      <c r="Z23" s="50">
        <v>0.77216435185185184</v>
      </c>
      <c r="AA23" s="50">
        <v>0.10346064814814815</v>
      </c>
      <c r="AD23" s="48">
        <v>20574</v>
      </c>
      <c r="AE23" s="48">
        <f t="shared" si="0"/>
        <v>20.574000000000002</v>
      </c>
      <c r="AF23">
        <v>15.82</v>
      </c>
      <c r="AG23" s="72">
        <f t="shared" si="1"/>
        <v>14</v>
      </c>
      <c r="AH23" s="37">
        <f t="shared" si="2"/>
        <v>20.574000000000002</v>
      </c>
      <c r="AJ23" s="38">
        <v>45779</v>
      </c>
      <c r="AK23" t="s">
        <v>703</v>
      </c>
      <c r="AL23" t="s">
        <v>4</v>
      </c>
      <c r="AN23" s="81" t="s">
        <v>1018</v>
      </c>
      <c r="AO23" s="81" t="s">
        <v>1019</v>
      </c>
      <c r="AP23" s="37">
        <v>5750</v>
      </c>
      <c r="AR23" s="96"/>
      <c r="AU23" s="38">
        <v>45779</v>
      </c>
      <c r="AW23" t="s">
        <v>5</v>
      </c>
      <c r="AY23" s="81">
        <v>0.56736111111111109</v>
      </c>
      <c r="AZ23" s="81">
        <v>0.35902777777777778</v>
      </c>
      <c r="BA23" s="37">
        <v>2874</v>
      </c>
      <c r="BB23" t="s">
        <v>107</v>
      </c>
      <c r="BC23" s="96">
        <v>45779</v>
      </c>
      <c r="BF23" s="21"/>
      <c r="BM23" s="73"/>
      <c r="BN23" s="73"/>
    </row>
    <row r="24" spans="2:66" ht="16" x14ac:dyDescent="0.4">
      <c r="B24" s="1">
        <v>45792</v>
      </c>
      <c r="C24" s="2">
        <f t="shared" si="3"/>
        <v>242.90000000000003</v>
      </c>
      <c r="D24" s="2">
        <f t="shared" si="4"/>
        <v>30.08</v>
      </c>
      <c r="E24" s="2">
        <f t="shared" si="4"/>
        <v>0</v>
      </c>
      <c r="F24" s="32">
        <f t="shared" si="5"/>
        <v>30.994</v>
      </c>
      <c r="G24" s="3">
        <f t="shared" si="12"/>
        <v>272.98</v>
      </c>
      <c r="H24" s="51">
        <f t="shared" si="6"/>
        <v>253.09614714285718</v>
      </c>
      <c r="I24" s="52">
        <f t="shared" si="13"/>
        <v>283.17614714285719</v>
      </c>
      <c r="J24" s="59">
        <f t="shared" si="7"/>
        <v>13.795999999999999</v>
      </c>
      <c r="K24" s="4"/>
      <c r="L24" s="20">
        <f t="shared" si="8"/>
        <v>13.795999999999999</v>
      </c>
      <c r="N24" s="43">
        <f t="shared" si="9"/>
        <v>13</v>
      </c>
      <c r="O24" s="44">
        <f t="shared" si="10"/>
        <v>9</v>
      </c>
      <c r="P24" s="41">
        <f t="shared" si="11"/>
        <v>0</v>
      </c>
      <c r="Q24" s="45">
        <f t="shared" si="14"/>
        <v>22</v>
      </c>
      <c r="V24" s="97">
        <v>45780</v>
      </c>
      <c r="W24">
        <v>142771</v>
      </c>
      <c r="X24" s="89" t="s">
        <v>36</v>
      </c>
      <c r="Z24" s="50">
        <v>0.95233796296296302</v>
      </c>
      <c r="AA24" s="50">
        <v>0.15214120370370371</v>
      </c>
      <c r="AD24" s="48">
        <v>20758</v>
      </c>
      <c r="AE24" s="48">
        <f t="shared" si="0"/>
        <v>20.757999999999999</v>
      </c>
      <c r="AF24">
        <v>14.39</v>
      </c>
      <c r="AG24" s="72">
        <f t="shared" si="1"/>
        <v>14</v>
      </c>
      <c r="AH24" s="37">
        <f t="shared" si="2"/>
        <v>20.757999999999999</v>
      </c>
      <c r="AJ24" s="38">
        <v>45779</v>
      </c>
      <c r="AK24" t="s">
        <v>704</v>
      </c>
      <c r="AL24" t="s">
        <v>5</v>
      </c>
      <c r="AN24" s="81" t="s">
        <v>1020</v>
      </c>
      <c r="AO24" s="81" t="s">
        <v>1020</v>
      </c>
      <c r="AP24" s="37">
        <v>2770</v>
      </c>
      <c r="AR24" s="96"/>
      <c r="AU24" s="38">
        <v>45779</v>
      </c>
      <c r="AW24" t="s">
        <v>5</v>
      </c>
      <c r="AY24" s="81">
        <v>0.31944444444444448</v>
      </c>
      <c r="AZ24" s="81">
        <v>0.37013888888888885</v>
      </c>
      <c r="BA24" s="37">
        <v>4342</v>
      </c>
      <c r="BC24" s="96">
        <v>45779</v>
      </c>
      <c r="BF24" s="21"/>
      <c r="BM24" s="73"/>
      <c r="BN24" s="73"/>
    </row>
    <row r="25" spans="2:66" ht="16" x14ac:dyDescent="0.4">
      <c r="B25" s="1">
        <v>45793</v>
      </c>
      <c r="C25" s="2">
        <f t="shared" si="3"/>
        <v>314.72800000000007</v>
      </c>
      <c r="D25" s="2">
        <f t="shared" si="4"/>
        <v>18.64</v>
      </c>
      <c r="E25" s="2">
        <f t="shared" si="4"/>
        <v>0</v>
      </c>
      <c r="F25" s="32">
        <f t="shared" si="5"/>
        <v>0</v>
      </c>
      <c r="G25" s="3">
        <f t="shared" si="12"/>
        <v>333.36800000000005</v>
      </c>
      <c r="H25" s="51">
        <f t="shared" si="6"/>
        <v>311.63702285714288</v>
      </c>
      <c r="I25" s="52">
        <f t="shared" si="13"/>
        <v>330.27702285714287</v>
      </c>
      <c r="J25" s="59">
        <f t="shared" si="7"/>
        <v>0</v>
      </c>
      <c r="K25" s="4"/>
      <c r="L25" s="20">
        <f t="shared" si="8"/>
        <v>0</v>
      </c>
      <c r="N25" s="43">
        <f t="shared" si="9"/>
        <v>15</v>
      </c>
      <c r="O25" s="44">
        <f t="shared" si="10"/>
        <v>7</v>
      </c>
      <c r="P25" s="41">
        <f t="shared" si="11"/>
        <v>0</v>
      </c>
      <c r="Q25" s="45">
        <f t="shared" si="14"/>
        <v>22</v>
      </c>
      <c r="V25" s="97">
        <v>45780</v>
      </c>
      <c r="W25">
        <v>142776</v>
      </c>
      <c r="X25" s="89" t="s">
        <v>36</v>
      </c>
      <c r="Z25" s="50">
        <v>0.14853009259259259</v>
      </c>
      <c r="AA25" s="50">
        <v>0.1955787037037037</v>
      </c>
      <c r="AD25" s="48">
        <v>19666</v>
      </c>
      <c r="AE25" s="48">
        <f t="shared" si="0"/>
        <v>19.666</v>
      </c>
      <c r="AF25">
        <v>15.13</v>
      </c>
      <c r="AG25" s="72">
        <f t="shared" si="1"/>
        <v>14</v>
      </c>
      <c r="AH25" s="37">
        <f t="shared" si="2"/>
        <v>19.666</v>
      </c>
      <c r="AJ25" s="38">
        <v>45779</v>
      </c>
      <c r="AK25" t="s">
        <v>705</v>
      </c>
      <c r="AL25" t="s">
        <v>5</v>
      </c>
      <c r="AN25" s="81" t="s">
        <v>1021</v>
      </c>
      <c r="AO25" s="81" t="s">
        <v>1022</v>
      </c>
      <c r="AP25" s="37">
        <v>3720</v>
      </c>
      <c r="AR25" s="96"/>
      <c r="AU25" s="38">
        <v>45779</v>
      </c>
      <c r="AW25" t="s">
        <v>5</v>
      </c>
      <c r="AY25" s="81">
        <v>0.39027777777777778</v>
      </c>
      <c r="AZ25" s="81">
        <v>0.42083333333333334</v>
      </c>
      <c r="BA25" s="37">
        <v>3704</v>
      </c>
      <c r="BB25" t="s">
        <v>106</v>
      </c>
      <c r="BC25" s="96">
        <v>45779</v>
      </c>
      <c r="BF25" s="21"/>
      <c r="BM25" s="73"/>
      <c r="BN25" s="73"/>
    </row>
    <row r="26" spans="2:66" ht="16" x14ac:dyDescent="0.4">
      <c r="B26" s="1">
        <v>45794</v>
      </c>
      <c r="C26" s="2">
        <f t="shared" si="3"/>
        <v>276.97400000000005</v>
      </c>
      <c r="D26" s="2">
        <f t="shared" si="4"/>
        <v>18.41</v>
      </c>
      <c r="E26" s="2">
        <f t="shared" si="4"/>
        <v>0</v>
      </c>
      <c r="F26" s="32">
        <f t="shared" si="5"/>
        <v>0</v>
      </c>
      <c r="G26" s="3">
        <f t="shared" si="12"/>
        <v>295.38400000000007</v>
      </c>
      <c r="H26" s="51">
        <f t="shared" si="6"/>
        <v>275.50353000000007</v>
      </c>
      <c r="I26" s="52">
        <f t="shared" si="13"/>
        <v>293.91353000000009</v>
      </c>
      <c r="J26" s="59">
        <f t="shared" si="7"/>
        <v>0</v>
      </c>
      <c r="K26" s="4"/>
      <c r="L26" s="20">
        <f t="shared" si="8"/>
        <v>0</v>
      </c>
      <c r="N26" s="43">
        <f t="shared" si="9"/>
        <v>13</v>
      </c>
      <c r="O26" s="44">
        <f t="shared" si="10"/>
        <v>5</v>
      </c>
      <c r="P26" s="41">
        <f t="shared" si="11"/>
        <v>0</v>
      </c>
      <c r="Q26" s="45">
        <f t="shared" si="14"/>
        <v>18</v>
      </c>
      <c r="V26" s="97">
        <v>45780</v>
      </c>
      <c r="W26">
        <v>142780</v>
      </c>
      <c r="X26" s="89" t="s">
        <v>36</v>
      </c>
      <c r="Z26" s="50">
        <v>0.95218749999999996</v>
      </c>
      <c r="AA26" s="50">
        <v>0.24204861111111109</v>
      </c>
      <c r="AD26" s="48">
        <v>15570</v>
      </c>
      <c r="AE26" s="48">
        <f t="shared" si="0"/>
        <v>15.57</v>
      </c>
      <c r="AF26">
        <v>14.28</v>
      </c>
      <c r="AG26" s="72">
        <f t="shared" si="1"/>
        <v>14</v>
      </c>
      <c r="AH26" s="37">
        <f t="shared" si="2"/>
        <v>15.570000000000002</v>
      </c>
      <c r="AJ26" s="38">
        <v>45779</v>
      </c>
      <c r="AK26" t="s">
        <v>706</v>
      </c>
      <c r="AL26" t="s">
        <v>5</v>
      </c>
      <c r="AN26" s="81" t="s">
        <v>1023</v>
      </c>
      <c r="AO26" s="81" t="s">
        <v>1023</v>
      </c>
      <c r="AP26" s="37">
        <v>3690</v>
      </c>
      <c r="AR26" s="96"/>
      <c r="AU26" s="38">
        <v>45779</v>
      </c>
      <c r="AW26" t="s">
        <v>5</v>
      </c>
      <c r="AY26" s="81">
        <v>0.32013888888888892</v>
      </c>
      <c r="AZ26" s="81">
        <v>0.33611111111111108</v>
      </c>
      <c r="BA26" s="37">
        <v>3354</v>
      </c>
      <c r="BB26" t="s">
        <v>106</v>
      </c>
      <c r="BC26" s="96">
        <v>45779</v>
      </c>
      <c r="BF26" s="21"/>
      <c r="BM26" s="73"/>
      <c r="BN26" s="73"/>
    </row>
    <row r="27" spans="2:66" ht="16" x14ac:dyDescent="0.4">
      <c r="B27" s="1">
        <v>45795</v>
      </c>
      <c r="C27" s="2">
        <f t="shared" si="3"/>
        <v>76.245999999999995</v>
      </c>
      <c r="D27" s="2">
        <f t="shared" si="4"/>
        <v>11.85</v>
      </c>
      <c r="E27" s="2">
        <f t="shared" si="4"/>
        <v>0</v>
      </c>
      <c r="F27" s="32">
        <f t="shared" si="5"/>
        <v>14.516</v>
      </c>
      <c r="G27" s="3">
        <f t="shared" si="12"/>
        <v>88.095999999999989</v>
      </c>
      <c r="H27" s="51">
        <f t="shared" si="6"/>
        <v>88.221699999999998</v>
      </c>
      <c r="I27" s="52">
        <f t="shared" si="13"/>
        <v>100.07169999999999</v>
      </c>
      <c r="J27" s="59">
        <f t="shared" si="7"/>
        <v>14.516</v>
      </c>
      <c r="K27" s="4"/>
      <c r="L27" s="20">
        <f t="shared" si="8"/>
        <v>14.516</v>
      </c>
      <c r="N27" s="43">
        <f t="shared" si="9"/>
        <v>5</v>
      </c>
      <c r="O27" s="44">
        <f t="shared" si="10"/>
        <v>5</v>
      </c>
      <c r="P27" s="41">
        <f t="shared" si="11"/>
        <v>0</v>
      </c>
      <c r="Q27" s="45">
        <f t="shared" si="14"/>
        <v>10</v>
      </c>
      <c r="V27" s="97">
        <v>45780</v>
      </c>
      <c r="W27">
        <v>142840</v>
      </c>
      <c r="X27" s="89" t="s">
        <v>36</v>
      </c>
      <c r="Z27" s="50">
        <v>0.14813657407407407</v>
      </c>
      <c r="AA27" s="50">
        <v>0.33754629629629629</v>
      </c>
      <c r="AD27" s="48">
        <v>19460</v>
      </c>
      <c r="AE27" s="48">
        <f t="shared" si="0"/>
        <v>19.46</v>
      </c>
      <c r="AF27">
        <v>14.13</v>
      </c>
      <c r="AG27" s="72">
        <f t="shared" si="1"/>
        <v>14</v>
      </c>
      <c r="AH27" s="37">
        <f t="shared" si="2"/>
        <v>19.46</v>
      </c>
      <c r="AJ27" s="38">
        <v>45779</v>
      </c>
      <c r="AK27" t="s">
        <v>707</v>
      </c>
      <c r="AL27" t="s">
        <v>5</v>
      </c>
      <c r="AN27" s="81" t="s">
        <v>1024</v>
      </c>
      <c r="AO27" s="81" t="s">
        <v>1024</v>
      </c>
      <c r="AP27" s="37">
        <v>3230</v>
      </c>
      <c r="AR27" s="96"/>
      <c r="AU27" s="38">
        <v>45779</v>
      </c>
      <c r="AW27" t="s">
        <v>5</v>
      </c>
      <c r="AY27" s="81">
        <v>0.33611111111111108</v>
      </c>
      <c r="AZ27" s="81">
        <v>0.43541666666666662</v>
      </c>
      <c r="BA27" s="37">
        <v>3334</v>
      </c>
      <c r="BB27" t="s">
        <v>106</v>
      </c>
      <c r="BC27" s="96">
        <v>45779</v>
      </c>
      <c r="BF27" s="21"/>
      <c r="BM27" s="73"/>
      <c r="BN27" s="73"/>
    </row>
    <row r="28" spans="2:66" ht="16" x14ac:dyDescent="0.4">
      <c r="B28" s="1">
        <v>45796</v>
      </c>
      <c r="C28" s="2">
        <f t="shared" si="3"/>
        <v>41.194000000000003</v>
      </c>
      <c r="D28" s="2">
        <f t="shared" si="4"/>
        <v>27.14</v>
      </c>
      <c r="E28" s="2">
        <f t="shared" si="4"/>
        <v>0</v>
      </c>
      <c r="F28" s="32">
        <f t="shared" si="5"/>
        <v>0</v>
      </c>
      <c r="G28" s="3">
        <f t="shared" si="12"/>
        <v>68.334000000000003</v>
      </c>
      <c r="H28" s="51">
        <f t="shared" si="6"/>
        <v>41.194000000000003</v>
      </c>
      <c r="I28" s="52">
        <f t="shared" si="13"/>
        <v>68.334000000000003</v>
      </c>
      <c r="J28" s="59">
        <f t="shared" si="7"/>
        <v>0</v>
      </c>
      <c r="K28" s="4"/>
      <c r="L28" s="20">
        <f t="shared" si="8"/>
        <v>0</v>
      </c>
      <c r="N28" s="43">
        <f t="shared" si="9"/>
        <v>2</v>
      </c>
      <c r="O28" s="44">
        <f t="shared" si="10"/>
        <v>9</v>
      </c>
      <c r="P28" s="41">
        <f t="shared" si="11"/>
        <v>0</v>
      </c>
      <c r="Q28" s="45">
        <f t="shared" si="14"/>
        <v>11</v>
      </c>
      <c r="V28" s="97">
        <v>45780</v>
      </c>
      <c r="W28">
        <v>142895</v>
      </c>
      <c r="X28" s="89" t="s">
        <v>36</v>
      </c>
      <c r="Z28" s="50">
        <v>0.27820601851851851</v>
      </c>
      <c r="AA28" s="50">
        <v>0.40758101851851852</v>
      </c>
      <c r="AD28" s="48">
        <v>22052</v>
      </c>
      <c r="AE28" s="48">
        <f t="shared" si="0"/>
        <v>22.052</v>
      </c>
      <c r="AF28">
        <v>13.56</v>
      </c>
      <c r="AG28" s="72">
        <f t="shared" si="1"/>
        <v>13.56</v>
      </c>
      <c r="AH28" s="37">
        <f t="shared" si="2"/>
        <v>21.358937142857144</v>
      </c>
      <c r="AJ28" s="38">
        <v>45779</v>
      </c>
      <c r="AK28" t="s">
        <v>708</v>
      </c>
      <c r="AL28" t="s">
        <v>5</v>
      </c>
      <c r="AN28" s="81" t="s">
        <v>1025</v>
      </c>
      <c r="AO28" s="81" t="s">
        <v>1026</v>
      </c>
      <c r="AP28" s="37">
        <v>3310</v>
      </c>
      <c r="AR28" s="96"/>
      <c r="AU28" s="38">
        <v>45779</v>
      </c>
      <c r="AW28" t="s">
        <v>5</v>
      </c>
      <c r="AY28" s="81">
        <v>0.3</v>
      </c>
      <c r="AZ28" s="81">
        <v>0.37152777777777773</v>
      </c>
      <c r="BA28" s="37">
        <v>3770</v>
      </c>
      <c r="BC28" s="96">
        <v>45779</v>
      </c>
      <c r="BF28" s="21"/>
      <c r="BM28" s="73"/>
      <c r="BN28" s="73"/>
    </row>
    <row r="29" spans="2:66" ht="16" x14ac:dyDescent="0.4">
      <c r="B29" s="1">
        <v>45797</v>
      </c>
      <c r="C29" s="2">
        <f t="shared" si="3"/>
        <v>239.20600000000002</v>
      </c>
      <c r="D29" s="2">
        <f t="shared" si="4"/>
        <v>44.39</v>
      </c>
      <c r="E29" s="2">
        <f t="shared" si="4"/>
        <v>5.58</v>
      </c>
      <c r="F29" s="32">
        <f t="shared" si="5"/>
        <v>0</v>
      </c>
      <c r="G29" s="3">
        <f t="shared" si="12"/>
        <v>289.17599999999999</v>
      </c>
      <c r="H29" s="51">
        <f t="shared" si="6"/>
        <v>238.50164000000001</v>
      </c>
      <c r="I29" s="52">
        <f t="shared" si="13"/>
        <v>288.47163999999998</v>
      </c>
      <c r="J29" s="59">
        <f t="shared" si="7"/>
        <v>0</v>
      </c>
      <c r="K29" s="4"/>
      <c r="L29" s="20">
        <f t="shared" si="8"/>
        <v>0</v>
      </c>
      <c r="N29" s="43">
        <f t="shared" si="9"/>
        <v>12</v>
      </c>
      <c r="O29" s="44">
        <f t="shared" si="10"/>
        <v>14</v>
      </c>
      <c r="P29" s="41">
        <f t="shared" si="11"/>
        <v>1</v>
      </c>
      <c r="Q29" s="45">
        <f t="shared" si="14"/>
        <v>27</v>
      </c>
      <c r="V29" s="97">
        <v>45780</v>
      </c>
      <c r="W29">
        <v>142945</v>
      </c>
      <c r="X29" s="89" t="s">
        <v>36</v>
      </c>
      <c r="Z29" s="50">
        <v>0.14844907407407407</v>
      </c>
      <c r="AA29" s="50">
        <v>0.48868055555555556</v>
      </c>
      <c r="AD29" s="48">
        <v>22138</v>
      </c>
      <c r="AE29" s="48">
        <f t="shared" si="0"/>
        <v>22.138000000000002</v>
      </c>
      <c r="AF29">
        <v>13.24</v>
      </c>
      <c r="AG29" s="72">
        <f t="shared" si="1"/>
        <v>13.24</v>
      </c>
      <c r="AH29" s="37">
        <f t="shared" si="2"/>
        <v>20.936222857142859</v>
      </c>
      <c r="AJ29" s="38">
        <v>45779</v>
      </c>
      <c r="AK29" t="s">
        <v>709</v>
      </c>
      <c r="AL29" t="s">
        <v>5</v>
      </c>
      <c r="AN29" s="81" t="s">
        <v>1027</v>
      </c>
      <c r="AO29" s="81" t="s">
        <v>1027</v>
      </c>
      <c r="AP29" s="37">
        <v>4330</v>
      </c>
      <c r="AR29" s="96"/>
      <c r="AU29" s="38">
        <v>45779</v>
      </c>
      <c r="AW29" t="s">
        <v>5</v>
      </c>
      <c r="AY29" s="81">
        <v>0.5708333333333333</v>
      </c>
      <c r="AZ29" s="81">
        <v>0.44097222222222227</v>
      </c>
      <c r="BA29" s="37">
        <v>4384</v>
      </c>
      <c r="BB29" t="s">
        <v>51</v>
      </c>
      <c r="BC29" s="96">
        <v>45779</v>
      </c>
      <c r="BF29" s="21"/>
      <c r="BM29" s="73"/>
      <c r="BN29" s="73"/>
    </row>
    <row r="30" spans="2:66" ht="16" x14ac:dyDescent="0.4">
      <c r="B30" s="1">
        <v>45798</v>
      </c>
      <c r="C30" s="2">
        <f t="shared" si="3"/>
        <v>268.55800000000005</v>
      </c>
      <c r="D30" s="2">
        <f t="shared" si="4"/>
        <v>30.65</v>
      </c>
      <c r="E30" s="2">
        <f t="shared" si="4"/>
        <v>0</v>
      </c>
      <c r="F30" s="32">
        <f t="shared" si="5"/>
        <v>0</v>
      </c>
      <c r="G30" s="3">
        <f t="shared" si="12"/>
        <v>299.20800000000003</v>
      </c>
      <c r="H30" s="51">
        <f t="shared" si="6"/>
        <v>268.36780000000005</v>
      </c>
      <c r="I30" s="52">
        <f t="shared" si="13"/>
        <v>299.01780000000002</v>
      </c>
      <c r="J30" s="59">
        <f t="shared" si="7"/>
        <v>0</v>
      </c>
      <c r="K30" s="4"/>
      <c r="L30" s="20">
        <f t="shared" si="8"/>
        <v>0</v>
      </c>
      <c r="N30" s="43">
        <f t="shared" si="9"/>
        <v>13</v>
      </c>
      <c r="O30" s="44">
        <f t="shared" si="10"/>
        <v>9</v>
      </c>
      <c r="P30" s="41">
        <f t="shared" si="11"/>
        <v>0</v>
      </c>
      <c r="Q30" s="45">
        <f t="shared" si="14"/>
        <v>22</v>
      </c>
      <c r="V30" s="97">
        <v>45780</v>
      </c>
      <c r="W30">
        <v>142963</v>
      </c>
      <c r="X30" s="89" t="s">
        <v>36</v>
      </c>
      <c r="Z30" s="50">
        <v>0.27842592592592591</v>
      </c>
      <c r="AA30" s="50">
        <v>0.54037037037037039</v>
      </c>
      <c r="AD30" s="48">
        <v>20868</v>
      </c>
      <c r="AE30" s="48">
        <f t="shared" si="0"/>
        <v>20.867999999999999</v>
      </c>
      <c r="AF30">
        <v>16.059999999999999</v>
      </c>
      <c r="AG30" s="72">
        <f t="shared" si="1"/>
        <v>14</v>
      </c>
      <c r="AH30" s="37">
        <f t="shared" si="2"/>
        <v>20.867999999999999</v>
      </c>
      <c r="AJ30" s="38">
        <v>45779</v>
      </c>
      <c r="AK30" t="s">
        <v>710</v>
      </c>
      <c r="AL30" t="s">
        <v>5</v>
      </c>
      <c r="AN30" s="39" t="s">
        <v>1028</v>
      </c>
      <c r="AO30" s="39" t="s">
        <v>1029</v>
      </c>
      <c r="AP30" s="37">
        <v>3400</v>
      </c>
      <c r="AR30" s="38"/>
      <c r="AU30" s="38">
        <v>45779</v>
      </c>
      <c r="AW30" t="s">
        <v>5</v>
      </c>
      <c r="AY30" s="39">
        <v>0.50555555555555554</v>
      </c>
      <c r="AZ30" s="39">
        <v>0.45277777777777778</v>
      </c>
      <c r="BA30" s="37">
        <v>3372</v>
      </c>
      <c r="BB30" t="s">
        <v>107</v>
      </c>
      <c r="BC30" s="38">
        <v>45779</v>
      </c>
      <c r="BF30" s="21"/>
      <c r="BM30" s="73"/>
      <c r="BN30" s="73"/>
    </row>
    <row r="31" spans="2:66" ht="16" x14ac:dyDescent="0.4">
      <c r="B31" s="1">
        <v>45799</v>
      </c>
      <c r="C31" s="2">
        <f t="shared" si="3"/>
        <v>219.16399999999999</v>
      </c>
      <c r="D31" s="2">
        <f t="shared" si="4"/>
        <v>49.69</v>
      </c>
      <c r="E31" s="2">
        <f t="shared" si="4"/>
        <v>0</v>
      </c>
      <c r="F31" s="32">
        <f t="shared" si="5"/>
        <v>11.58</v>
      </c>
      <c r="G31" s="3">
        <f t="shared" si="12"/>
        <v>268.85399999999998</v>
      </c>
      <c r="H31" s="51">
        <f t="shared" si="6"/>
        <v>221.96771142857142</v>
      </c>
      <c r="I31" s="52">
        <f t="shared" si="13"/>
        <v>271.65771142857142</v>
      </c>
      <c r="J31" s="59">
        <f t="shared" si="7"/>
        <v>11.58</v>
      </c>
      <c r="K31" s="4"/>
      <c r="L31" s="20">
        <f t="shared" si="8"/>
        <v>11.58</v>
      </c>
      <c r="N31" s="43">
        <f t="shared" si="9"/>
        <v>12</v>
      </c>
      <c r="O31" s="44">
        <f t="shared" si="10"/>
        <v>16</v>
      </c>
      <c r="P31" s="41">
        <f t="shared" si="11"/>
        <v>0</v>
      </c>
      <c r="Q31" s="45">
        <f t="shared" si="14"/>
        <v>28</v>
      </c>
      <c r="V31" s="97">
        <v>45780</v>
      </c>
      <c r="W31">
        <v>142995</v>
      </c>
      <c r="X31" s="89" t="s">
        <v>36</v>
      </c>
      <c r="Z31" s="50">
        <v>0.5417939814814815</v>
      </c>
      <c r="AA31" s="50">
        <v>0.60804398148148142</v>
      </c>
      <c r="AD31" s="48">
        <v>20358</v>
      </c>
      <c r="AE31" s="48">
        <f t="shared" si="0"/>
        <v>20.358000000000001</v>
      </c>
      <c r="AF31">
        <v>14.91</v>
      </c>
      <c r="AG31" s="72">
        <f t="shared" si="1"/>
        <v>14</v>
      </c>
      <c r="AH31" s="37">
        <f t="shared" si="2"/>
        <v>20.358000000000001</v>
      </c>
      <c r="AJ31" s="38">
        <v>45779</v>
      </c>
      <c r="AK31" t="s">
        <v>711</v>
      </c>
      <c r="AL31" t="s">
        <v>5</v>
      </c>
      <c r="AN31" s="39" t="s">
        <v>1030</v>
      </c>
      <c r="AO31" s="39" t="s">
        <v>1030</v>
      </c>
      <c r="AP31" s="37">
        <v>3210</v>
      </c>
      <c r="AR31" s="38"/>
      <c r="AU31" s="38">
        <v>45778</v>
      </c>
      <c r="AW31" t="s">
        <v>5</v>
      </c>
      <c r="AY31" s="39">
        <v>0.47152777777777777</v>
      </c>
      <c r="AZ31" s="39">
        <v>0.50486111111111109</v>
      </c>
      <c r="BA31" s="37">
        <v>3544</v>
      </c>
      <c r="BB31" t="s">
        <v>111</v>
      </c>
      <c r="BC31" s="38">
        <v>45779</v>
      </c>
      <c r="BF31" s="21"/>
      <c r="BM31" s="73"/>
      <c r="BN31" s="73"/>
    </row>
    <row r="32" spans="2:66" ht="16" x14ac:dyDescent="0.4">
      <c r="B32" s="1">
        <v>45800</v>
      </c>
      <c r="C32" s="2">
        <f t="shared" si="3"/>
        <v>259.90199999999999</v>
      </c>
      <c r="D32" s="2">
        <f t="shared" si="4"/>
        <v>56.72</v>
      </c>
      <c r="E32" s="2">
        <f t="shared" si="4"/>
        <v>0</v>
      </c>
      <c r="F32" s="32">
        <f t="shared" si="5"/>
        <v>0</v>
      </c>
      <c r="G32" s="3">
        <f t="shared" si="12"/>
        <v>316.62199999999996</v>
      </c>
      <c r="H32" s="51">
        <f t="shared" si="6"/>
        <v>258.86704857142854</v>
      </c>
      <c r="I32" s="52">
        <f t="shared" si="13"/>
        <v>315.58704857142857</v>
      </c>
      <c r="J32" s="59">
        <f t="shared" si="7"/>
        <v>0</v>
      </c>
      <c r="K32" s="4"/>
      <c r="L32" s="20">
        <f t="shared" si="8"/>
        <v>0</v>
      </c>
      <c r="N32" s="43">
        <f t="shared" si="9"/>
        <v>13</v>
      </c>
      <c r="O32" s="44">
        <f t="shared" si="10"/>
        <v>18</v>
      </c>
      <c r="P32" s="41">
        <f t="shared" si="11"/>
        <v>0</v>
      </c>
      <c r="Q32" s="45">
        <f t="shared" si="14"/>
        <v>31</v>
      </c>
      <c r="V32" s="97">
        <v>45780</v>
      </c>
      <c r="W32">
        <v>143022</v>
      </c>
      <c r="X32" s="89" t="s">
        <v>36</v>
      </c>
      <c r="Z32" s="50">
        <v>0.27833333333333332</v>
      </c>
      <c r="AA32" s="50">
        <v>0.66067129629629628</v>
      </c>
      <c r="AD32" s="48">
        <v>20672</v>
      </c>
      <c r="AE32" s="48">
        <f t="shared" si="0"/>
        <v>20.672000000000001</v>
      </c>
      <c r="AF32">
        <v>16.02</v>
      </c>
      <c r="AG32" s="72">
        <f t="shared" si="1"/>
        <v>14</v>
      </c>
      <c r="AH32" s="37">
        <f t="shared" si="2"/>
        <v>20.672000000000001</v>
      </c>
      <c r="AJ32" s="38">
        <v>45779</v>
      </c>
      <c r="AK32" t="s">
        <v>712</v>
      </c>
      <c r="AL32" t="s">
        <v>5</v>
      </c>
      <c r="AN32" s="39" t="s">
        <v>1031</v>
      </c>
      <c r="AO32" s="39" t="s">
        <v>1031</v>
      </c>
      <c r="AP32" s="37">
        <v>2210</v>
      </c>
      <c r="AR32" s="38"/>
      <c r="AU32" s="38">
        <v>45779</v>
      </c>
      <c r="AW32" t="s">
        <v>5</v>
      </c>
      <c r="AY32" s="39">
        <v>0.3923611111111111</v>
      </c>
      <c r="AZ32" s="39">
        <v>0.56180555555555556</v>
      </c>
      <c r="BA32" s="37">
        <v>2182</v>
      </c>
      <c r="BB32" t="s">
        <v>107</v>
      </c>
      <c r="BC32" s="38">
        <v>45779</v>
      </c>
      <c r="BF32" s="21"/>
      <c r="BM32" s="73"/>
      <c r="BN32" s="73"/>
    </row>
    <row r="33" spans="2:66" ht="16" x14ac:dyDescent="0.4">
      <c r="B33" s="1">
        <v>45801</v>
      </c>
      <c r="C33" s="2">
        <f t="shared" si="3"/>
        <v>234.26</v>
      </c>
      <c r="D33" s="2">
        <f t="shared" si="4"/>
        <v>37.08</v>
      </c>
      <c r="E33" s="2">
        <f t="shared" si="4"/>
        <v>6.41</v>
      </c>
      <c r="F33" s="32">
        <f t="shared" si="5"/>
        <v>0</v>
      </c>
      <c r="G33" s="3">
        <f t="shared" si="12"/>
        <v>277.75</v>
      </c>
      <c r="H33" s="51">
        <f t="shared" si="6"/>
        <v>234.26000000000002</v>
      </c>
      <c r="I33" s="52">
        <f t="shared" si="13"/>
        <v>277.75000000000006</v>
      </c>
      <c r="J33" s="59">
        <f t="shared" si="7"/>
        <v>0</v>
      </c>
      <c r="K33" s="4"/>
      <c r="L33" s="20">
        <f t="shared" si="8"/>
        <v>0</v>
      </c>
      <c r="N33" s="43">
        <f t="shared" si="9"/>
        <v>12</v>
      </c>
      <c r="O33" s="44">
        <f t="shared" si="10"/>
        <v>10</v>
      </c>
      <c r="P33" s="41">
        <f t="shared" si="11"/>
        <v>1</v>
      </c>
      <c r="Q33" s="45">
        <f t="shared" si="14"/>
        <v>23</v>
      </c>
      <c r="V33" s="97">
        <v>45780</v>
      </c>
      <c r="W33">
        <v>143037</v>
      </c>
      <c r="X33" s="89" t="s">
        <v>36</v>
      </c>
      <c r="Z33" s="50">
        <v>0.54166666666666663</v>
      </c>
      <c r="AA33" s="50">
        <v>0.71865740740740736</v>
      </c>
      <c r="AD33" s="48">
        <v>21558</v>
      </c>
      <c r="AE33" s="48">
        <f t="shared" si="0"/>
        <v>21.558</v>
      </c>
      <c r="AF33">
        <v>13.74</v>
      </c>
      <c r="AG33" s="72">
        <f t="shared" si="1"/>
        <v>13.74</v>
      </c>
      <c r="AH33" s="37">
        <f t="shared" si="2"/>
        <v>21.157637142857144</v>
      </c>
      <c r="AJ33" s="38">
        <v>45779</v>
      </c>
      <c r="AK33" t="s">
        <v>713</v>
      </c>
      <c r="AL33" t="s">
        <v>5</v>
      </c>
      <c r="AN33" s="39" t="s">
        <v>1032</v>
      </c>
      <c r="AO33" s="39" t="s">
        <v>1033</v>
      </c>
      <c r="AP33" s="37">
        <v>4070</v>
      </c>
      <c r="AR33" s="38"/>
      <c r="AU33" s="38">
        <v>45779</v>
      </c>
      <c r="AW33" t="s">
        <v>5</v>
      </c>
      <c r="AY33" s="39">
        <v>0.60138888888888886</v>
      </c>
      <c r="AZ33" s="39">
        <v>0.61597222222222225</v>
      </c>
      <c r="BA33" s="37">
        <v>4136</v>
      </c>
      <c r="BB33" t="s">
        <v>116</v>
      </c>
      <c r="BC33" s="38">
        <v>45779</v>
      </c>
      <c r="BF33" s="21"/>
      <c r="BM33" s="73"/>
      <c r="BN33" s="73"/>
    </row>
    <row r="34" spans="2:66" ht="16" x14ac:dyDescent="0.4">
      <c r="B34" s="1">
        <v>45802</v>
      </c>
      <c r="C34" s="2">
        <f t="shared" si="3"/>
        <v>136.80000000000001</v>
      </c>
      <c r="D34" s="2">
        <f t="shared" si="4"/>
        <v>15.1</v>
      </c>
      <c r="E34" s="2">
        <f t="shared" si="4"/>
        <v>0</v>
      </c>
      <c r="F34" s="32">
        <f t="shared" si="5"/>
        <v>4.8239999999999998</v>
      </c>
      <c r="G34" s="3">
        <f t="shared" si="12"/>
        <v>151.9</v>
      </c>
      <c r="H34" s="51">
        <f t="shared" si="6"/>
        <v>137.87161714285716</v>
      </c>
      <c r="I34" s="52">
        <f t="shared" si="13"/>
        <v>152.97161714285716</v>
      </c>
      <c r="J34" s="59">
        <f t="shared" si="7"/>
        <v>4.8239999999999998</v>
      </c>
      <c r="K34" s="4"/>
      <c r="L34" s="20">
        <f t="shared" si="8"/>
        <v>4.8239999999999998</v>
      </c>
      <c r="N34" s="43">
        <f t="shared" si="9"/>
        <v>8</v>
      </c>
      <c r="O34" s="44">
        <f t="shared" si="10"/>
        <v>5</v>
      </c>
      <c r="P34" s="41">
        <f t="shared" si="11"/>
        <v>0</v>
      </c>
      <c r="Q34" s="45">
        <f t="shared" si="14"/>
        <v>13</v>
      </c>
      <c r="V34" s="97">
        <v>45780</v>
      </c>
      <c r="W34">
        <v>143072</v>
      </c>
      <c r="X34" s="89" t="s">
        <v>36</v>
      </c>
      <c r="Z34" s="50">
        <v>0.54153935185185187</v>
      </c>
      <c r="AA34" s="50">
        <v>0.87204861111111109</v>
      </c>
      <c r="AD34" s="48">
        <v>19204</v>
      </c>
      <c r="AE34" s="48">
        <f t="shared" si="0"/>
        <v>19.204000000000001</v>
      </c>
      <c r="AF34">
        <v>14.95</v>
      </c>
      <c r="AG34" s="72">
        <f t="shared" si="1"/>
        <v>14</v>
      </c>
      <c r="AH34" s="37">
        <f t="shared" si="2"/>
        <v>19.204000000000001</v>
      </c>
      <c r="AJ34" s="38">
        <v>45780</v>
      </c>
      <c r="AK34" t="s">
        <v>714</v>
      </c>
      <c r="AL34" t="s">
        <v>5</v>
      </c>
      <c r="AN34" s="39" t="s">
        <v>1034</v>
      </c>
      <c r="AO34" s="39" t="s">
        <v>1034</v>
      </c>
      <c r="AP34" s="37">
        <v>2460</v>
      </c>
      <c r="AR34" s="38"/>
      <c r="AU34" s="38">
        <v>45780</v>
      </c>
      <c r="AW34" t="s">
        <v>5</v>
      </c>
      <c r="AY34" s="39">
        <v>0.58194444444444449</v>
      </c>
      <c r="AZ34" s="39">
        <v>0.60277777777777775</v>
      </c>
      <c r="BA34" s="37">
        <v>2696</v>
      </c>
      <c r="BB34" t="s">
        <v>51</v>
      </c>
      <c r="BC34" s="38">
        <v>45782</v>
      </c>
      <c r="BF34" s="21"/>
      <c r="BM34" s="73"/>
      <c r="BN34" s="73"/>
    </row>
    <row r="35" spans="2:66" ht="16" x14ac:dyDescent="0.4">
      <c r="B35" s="1">
        <v>45803</v>
      </c>
      <c r="C35" s="2">
        <f t="shared" si="3"/>
        <v>41.597999999999999</v>
      </c>
      <c r="D35" s="2">
        <f t="shared" si="4"/>
        <v>40.4</v>
      </c>
      <c r="E35" s="2">
        <f t="shared" si="4"/>
        <v>0</v>
      </c>
      <c r="F35" s="32">
        <f t="shared" si="5"/>
        <v>0</v>
      </c>
      <c r="G35" s="3">
        <f t="shared" si="12"/>
        <v>81.99799999999999</v>
      </c>
      <c r="H35" s="51">
        <f t="shared" si="6"/>
        <v>41.597999999999999</v>
      </c>
      <c r="I35" s="52">
        <f t="shared" si="13"/>
        <v>81.99799999999999</v>
      </c>
      <c r="J35" s="59">
        <f t="shared" si="7"/>
        <v>0</v>
      </c>
      <c r="K35" s="4"/>
      <c r="L35" s="20">
        <f t="shared" si="8"/>
        <v>0</v>
      </c>
      <c r="N35" s="43">
        <f t="shared" si="9"/>
        <v>2</v>
      </c>
      <c r="O35" s="44">
        <f t="shared" si="10"/>
        <v>12</v>
      </c>
      <c r="P35" s="41">
        <f t="shared" si="11"/>
        <v>0</v>
      </c>
      <c r="Q35" s="45">
        <f t="shared" si="14"/>
        <v>14</v>
      </c>
      <c r="V35" s="97">
        <v>45780</v>
      </c>
      <c r="W35">
        <v>143056</v>
      </c>
      <c r="X35" s="89" t="s">
        <v>36</v>
      </c>
      <c r="Z35" s="50">
        <v>0.71232638888888899</v>
      </c>
      <c r="AA35" s="50">
        <v>0.81671296296296303</v>
      </c>
      <c r="AD35" s="48">
        <v>21608</v>
      </c>
      <c r="AE35" s="48">
        <f t="shared" si="0"/>
        <v>21.608000000000001</v>
      </c>
      <c r="AF35">
        <v>15.09</v>
      </c>
      <c r="AG35" s="72">
        <f t="shared" si="1"/>
        <v>14</v>
      </c>
      <c r="AH35" s="37">
        <f t="shared" si="2"/>
        <v>21.608000000000001</v>
      </c>
      <c r="AJ35" s="38">
        <v>45780</v>
      </c>
      <c r="AK35" t="s">
        <v>715</v>
      </c>
      <c r="AL35" t="s">
        <v>5</v>
      </c>
      <c r="AN35" s="39" t="s">
        <v>1035</v>
      </c>
      <c r="AO35" s="39" t="s">
        <v>1035</v>
      </c>
      <c r="AP35" s="37">
        <v>3680</v>
      </c>
      <c r="AR35" s="38"/>
      <c r="AU35" s="38">
        <v>45782</v>
      </c>
      <c r="AW35" t="s">
        <v>5</v>
      </c>
      <c r="AY35" s="39">
        <v>0.60347222222222219</v>
      </c>
      <c r="AZ35" s="39">
        <v>0.32361111111111113</v>
      </c>
      <c r="BA35" s="37">
        <v>3232</v>
      </c>
      <c r="BB35" t="s">
        <v>117</v>
      </c>
      <c r="BC35" s="38">
        <v>45782</v>
      </c>
      <c r="BF35" s="21"/>
      <c r="BM35" s="73"/>
      <c r="BN35" s="73"/>
    </row>
    <row r="36" spans="2:66" ht="16" x14ac:dyDescent="0.4">
      <c r="B36" s="1">
        <v>45804</v>
      </c>
      <c r="C36" s="2">
        <f t="shared" si="3"/>
        <v>285.00400000000002</v>
      </c>
      <c r="D36" s="2">
        <f t="shared" si="4"/>
        <v>37.36</v>
      </c>
      <c r="E36" s="2">
        <f t="shared" si="4"/>
        <v>0</v>
      </c>
      <c r="F36" s="32">
        <f t="shared" si="5"/>
        <v>18.788</v>
      </c>
      <c r="G36" s="3">
        <f t="shared" si="12"/>
        <v>322.36400000000003</v>
      </c>
      <c r="H36" s="51">
        <f t="shared" si="6"/>
        <v>283.7952928571429</v>
      </c>
      <c r="I36" s="52">
        <f t="shared" si="13"/>
        <v>321.15529285714291</v>
      </c>
      <c r="J36" s="59">
        <f t="shared" si="7"/>
        <v>0</v>
      </c>
      <c r="K36" s="4"/>
      <c r="L36" s="20">
        <f t="shared" si="8"/>
        <v>0</v>
      </c>
      <c r="N36" s="43">
        <f t="shared" si="9"/>
        <v>14</v>
      </c>
      <c r="O36" s="44">
        <f t="shared" si="10"/>
        <v>12</v>
      </c>
      <c r="P36" s="41">
        <f t="shared" si="11"/>
        <v>0</v>
      </c>
      <c r="Q36" s="45">
        <f t="shared" si="14"/>
        <v>26</v>
      </c>
      <c r="V36" s="97">
        <v>45780</v>
      </c>
      <c r="W36">
        <v>143093</v>
      </c>
      <c r="X36" s="89" t="s">
        <v>36</v>
      </c>
      <c r="Z36" s="50">
        <v>0.71258101851851852</v>
      </c>
      <c r="AA36" s="50">
        <v>0.9368981481481482</v>
      </c>
      <c r="AD36" s="48">
        <v>20510</v>
      </c>
      <c r="AE36" s="48">
        <f t="shared" si="0"/>
        <v>20.51</v>
      </c>
      <c r="AF36">
        <v>14.69</v>
      </c>
      <c r="AG36" s="72">
        <f t="shared" si="1"/>
        <v>14</v>
      </c>
      <c r="AH36" s="37">
        <f t="shared" si="2"/>
        <v>20.51</v>
      </c>
      <c r="AJ36" s="38">
        <v>45780</v>
      </c>
      <c r="AK36" t="s">
        <v>716</v>
      </c>
      <c r="AL36" t="s">
        <v>5</v>
      </c>
      <c r="AN36" s="39" t="s">
        <v>1036</v>
      </c>
      <c r="AO36" s="39" t="s">
        <v>1037</v>
      </c>
      <c r="AP36" s="37">
        <v>3120</v>
      </c>
      <c r="AR36" s="38"/>
      <c r="AU36" s="38">
        <v>45782</v>
      </c>
      <c r="AW36" t="s">
        <v>5</v>
      </c>
      <c r="AY36" s="39">
        <v>0.34027777777777773</v>
      </c>
      <c r="AZ36" s="39">
        <v>0.3833333333333333</v>
      </c>
      <c r="BA36" s="37">
        <v>3050</v>
      </c>
      <c r="BB36" t="s">
        <v>118</v>
      </c>
      <c r="BC36" s="38">
        <v>45782</v>
      </c>
      <c r="BF36" s="21"/>
      <c r="BM36" s="73"/>
      <c r="BN36" s="73"/>
    </row>
    <row r="37" spans="2:66" ht="16" x14ac:dyDescent="0.4">
      <c r="B37" s="1">
        <v>45805</v>
      </c>
      <c r="C37" s="2">
        <f t="shared" si="3"/>
        <v>255.73599999999996</v>
      </c>
      <c r="D37" s="2">
        <f t="shared" si="4"/>
        <v>36.700000000000003</v>
      </c>
      <c r="E37" s="2">
        <f t="shared" si="4"/>
        <v>0</v>
      </c>
      <c r="F37" s="32">
        <f t="shared" si="5"/>
        <v>0</v>
      </c>
      <c r="G37" s="3">
        <f t="shared" si="12"/>
        <v>292.43599999999998</v>
      </c>
      <c r="H37" s="51">
        <f t="shared" si="6"/>
        <v>255.73599999999996</v>
      </c>
      <c r="I37" s="52">
        <f t="shared" si="13"/>
        <v>292.43599999999998</v>
      </c>
      <c r="J37" s="59">
        <f t="shared" si="7"/>
        <v>0</v>
      </c>
      <c r="K37" s="4"/>
      <c r="L37" s="20">
        <f t="shared" si="8"/>
        <v>0</v>
      </c>
      <c r="N37" s="43">
        <f t="shared" si="9"/>
        <v>13</v>
      </c>
      <c r="O37" s="44">
        <f t="shared" si="10"/>
        <v>11</v>
      </c>
      <c r="P37" s="41">
        <f t="shared" si="11"/>
        <v>0</v>
      </c>
      <c r="Q37" s="45">
        <f t="shared" si="14"/>
        <v>24</v>
      </c>
      <c r="V37" s="97">
        <v>45781</v>
      </c>
      <c r="W37">
        <v>143108</v>
      </c>
      <c r="X37" s="89" t="s">
        <v>36</v>
      </c>
      <c r="Z37" s="50">
        <v>0.92651620370370369</v>
      </c>
      <c r="AA37" s="50">
        <v>1.3888888888888888E-2</v>
      </c>
      <c r="AD37" s="48">
        <v>23120</v>
      </c>
      <c r="AE37" s="48">
        <f t="shared" si="0"/>
        <v>23.12</v>
      </c>
      <c r="AF37">
        <v>14.85</v>
      </c>
      <c r="AG37" s="72">
        <f t="shared" si="1"/>
        <v>14</v>
      </c>
      <c r="AH37" s="37">
        <f t="shared" si="2"/>
        <v>23.12</v>
      </c>
      <c r="AJ37" s="38">
        <v>45780</v>
      </c>
      <c r="AK37" t="s">
        <v>717</v>
      </c>
      <c r="AL37" t="s">
        <v>5</v>
      </c>
      <c r="AN37" s="39" t="s">
        <v>1038</v>
      </c>
      <c r="AO37" s="39" t="s">
        <v>1038</v>
      </c>
      <c r="AP37" s="37">
        <v>2800</v>
      </c>
      <c r="AR37" s="38"/>
      <c r="AU37" s="38">
        <v>45782</v>
      </c>
      <c r="AW37" t="s">
        <v>5</v>
      </c>
      <c r="AY37" s="39">
        <v>0.34027777777777773</v>
      </c>
      <c r="AZ37" s="39">
        <v>0.4465277777777778</v>
      </c>
      <c r="BA37" s="37">
        <v>2978</v>
      </c>
      <c r="BB37" t="s">
        <v>118</v>
      </c>
      <c r="BC37" s="38">
        <v>45782</v>
      </c>
      <c r="BF37" s="21"/>
      <c r="BM37" s="73"/>
      <c r="BN37" s="73"/>
    </row>
    <row r="38" spans="2:66" ht="16" x14ac:dyDescent="0.4">
      <c r="B38" s="1">
        <v>45806</v>
      </c>
      <c r="C38" s="2">
        <f t="shared" si="3"/>
        <v>138.83399999999997</v>
      </c>
      <c r="D38" s="2">
        <f t="shared" si="4"/>
        <v>32.82</v>
      </c>
      <c r="E38" s="2">
        <f t="shared" si="4"/>
        <v>0</v>
      </c>
      <c r="F38" s="32">
        <f t="shared" si="5"/>
        <v>11.804</v>
      </c>
      <c r="G38" s="3">
        <f t="shared" si="12"/>
        <v>171.65399999999997</v>
      </c>
      <c r="H38" s="51">
        <f t="shared" si="6"/>
        <v>141.59759142857143</v>
      </c>
      <c r="I38" s="52">
        <f t="shared" si="13"/>
        <v>174.41759142857143</v>
      </c>
      <c r="J38" s="59">
        <f t="shared" si="7"/>
        <v>11.804</v>
      </c>
      <c r="K38" s="4"/>
      <c r="L38" s="20">
        <f t="shared" si="8"/>
        <v>11.804</v>
      </c>
      <c r="N38" s="43">
        <f t="shared" si="9"/>
        <v>8</v>
      </c>
      <c r="O38" s="44">
        <f t="shared" si="10"/>
        <v>10</v>
      </c>
      <c r="P38" s="41">
        <f t="shared" si="11"/>
        <v>0</v>
      </c>
      <c r="Q38" s="45">
        <f t="shared" si="14"/>
        <v>18</v>
      </c>
      <c r="V38" s="97">
        <v>45781</v>
      </c>
      <c r="W38">
        <v>143120</v>
      </c>
      <c r="X38" s="89" t="s">
        <v>36</v>
      </c>
      <c r="Z38" s="50">
        <v>0.71247685185185183</v>
      </c>
      <c r="AA38" s="50">
        <v>6.9942129629629632E-2</v>
      </c>
      <c r="AD38" s="48">
        <v>21006</v>
      </c>
      <c r="AE38" s="48">
        <f t="shared" si="0"/>
        <v>21.006</v>
      </c>
      <c r="AF38">
        <v>15.98</v>
      </c>
      <c r="AG38" s="72">
        <f t="shared" si="1"/>
        <v>14</v>
      </c>
      <c r="AH38" s="37">
        <f t="shared" si="2"/>
        <v>21.006</v>
      </c>
      <c r="AJ38" s="38">
        <v>45780</v>
      </c>
      <c r="AK38" t="s">
        <v>718</v>
      </c>
      <c r="AL38" t="s">
        <v>5</v>
      </c>
      <c r="AN38" s="39" t="s">
        <v>1039</v>
      </c>
      <c r="AO38" s="39" t="s">
        <v>1039</v>
      </c>
      <c r="AP38" s="37">
        <v>1970</v>
      </c>
      <c r="AR38" s="38"/>
      <c r="AU38" s="38">
        <v>45782</v>
      </c>
      <c r="AW38" t="s">
        <v>5</v>
      </c>
      <c r="AY38" s="39">
        <v>0.64097222222222217</v>
      </c>
      <c r="AZ38" s="39">
        <v>0.66180555555555554</v>
      </c>
      <c r="BA38" s="37">
        <v>6604</v>
      </c>
      <c r="BC38" s="38">
        <v>45782</v>
      </c>
      <c r="BF38" s="74"/>
      <c r="BG38" s="75"/>
      <c r="BI38" s="58"/>
      <c r="BM38" s="76"/>
      <c r="BN38" s="76"/>
    </row>
    <row r="39" spans="2:66" ht="16" x14ac:dyDescent="0.4">
      <c r="B39" s="1">
        <v>45807</v>
      </c>
      <c r="C39" s="2">
        <f t="shared" si="3"/>
        <v>259.92600000000004</v>
      </c>
      <c r="D39" s="2">
        <f t="shared" ref="D39:E40" si="15">SUMIFS($AP:$AP,$AJ:$AJ,$B39,$AL:$AL,D$7)/1000</f>
        <v>34.58</v>
      </c>
      <c r="E39" s="2">
        <f t="shared" si="15"/>
        <v>0</v>
      </c>
      <c r="F39" s="32">
        <f t="shared" si="5"/>
        <v>0</v>
      </c>
      <c r="G39" s="3">
        <f t="shared" si="12"/>
        <v>294.50600000000003</v>
      </c>
      <c r="H39" s="51">
        <f t="shared" si="6"/>
        <v>258.20133285714286</v>
      </c>
      <c r="I39" s="52">
        <f t="shared" si="13"/>
        <v>292.78133285714284</v>
      </c>
      <c r="J39" s="59">
        <f t="shared" si="7"/>
        <v>0</v>
      </c>
      <c r="K39" s="4"/>
      <c r="L39" s="20">
        <f t="shared" si="8"/>
        <v>0</v>
      </c>
      <c r="N39" s="43">
        <f t="shared" si="9"/>
        <v>13</v>
      </c>
      <c r="O39" s="44">
        <f t="shared" si="10"/>
        <v>10</v>
      </c>
      <c r="P39" s="41">
        <f t="shared" si="11"/>
        <v>0</v>
      </c>
      <c r="Q39" s="45">
        <f t="shared" si="14"/>
        <v>23</v>
      </c>
      <c r="V39" s="97">
        <v>45781</v>
      </c>
      <c r="W39">
        <v>143130</v>
      </c>
      <c r="X39" s="89" t="s">
        <v>36</v>
      </c>
      <c r="Z39" s="50">
        <v>0.92640046296296286</v>
      </c>
      <c r="AA39" s="50">
        <v>0.11444444444444445</v>
      </c>
      <c r="AD39" s="48">
        <v>21280</v>
      </c>
      <c r="AE39" s="48">
        <f t="shared" si="0"/>
        <v>21.28</v>
      </c>
      <c r="AF39">
        <v>14.93</v>
      </c>
      <c r="AG39" s="72">
        <f t="shared" si="1"/>
        <v>14</v>
      </c>
      <c r="AH39" s="37">
        <f t="shared" si="2"/>
        <v>21.28</v>
      </c>
      <c r="AJ39" s="38">
        <v>45780</v>
      </c>
      <c r="AK39" t="s">
        <v>719</v>
      </c>
      <c r="AL39" t="s">
        <v>5</v>
      </c>
      <c r="AN39" s="39" t="s">
        <v>1040</v>
      </c>
      <c r="AO39" s="39" t="s">
        <v>1040</v>
      </c>
      <c r="AP39" s="37">
        <v>3110</v>
      </c>
      <c r="AR39" s="38"/>
      <c r="AU39" s="38">
        <v>45782</v>
      </c>
      <c r="AW39" t="s">
        <v>5</v>
      </c>
      <c r="AY39" s="39">
        <v>0.41250000000000003</v>
      </c>
      <c r="AZ39" s="39">
        <v>0.4291666666666667</v>
      </c>
      <c r="BA39" s="37">
        <v>3950</v>
      </c>
      <c r="BB39" t="s">
        <v>119</v>
      </c>
      <c r="BC39" s="38">
        <v>45782</v>
      </c>
      <c r="BF39" s="74"/>
      <c r="BG39" s="75"/>
      <c r="BI39" s="58"/>
      <c r="BM39" s="76"/>
      <c r="BN39" s="76"/>
    </row>
    <row r="40" spans="2:66" ht="16.5" thickBot="1" x14ac:dyDescent="0.45">
      <c r="B40" s="1">
        <v>45808</v>
      </c>
      <c r="C40" s="2">
        <f t="shared" si="3"/>
        <v>278.82399999999996</v>
      </c>
      <c r="D40" s="2">
        <f t="shared" si="15"/>
        <v>36.56</v>
      </c>
      <c r="E40" s="2">
        <f t="shared" si="15"/>
        <v>0</v>
      </c>
      <c r="F40" s="32">
        <f t="shared" si="5"/>
        <v>0</v>
      </c>
      <c r="G40" s="3">
        <f t="shared" si="12"/>
        <v>315.38399999999996</v>
      </c>
      <c r="H40" s="51">
        <f t="shared" si="6"/>
        <v>278.82399999999996</v>
      </c>
      <c r="I40" s="52">
        <f t="shared" si="13"/>
        <v>315.38399999999996</v>
      </c>
      <c r="J40" s="59">
        <f t="shared" si="7"/>
        <v>0</v>
      </c>
      <c r="K40" s="4"/>
      <c r="L40" s="20">
        <f t="shared" si="8"/>
        <v>0</v>
      </c>
      <c r="N40" s="43">
        <f t="shared" si="9"/>
        <v>14</v>
      </c>
      <c r="O40" s="44">
        <f t="shared" si="10"/>
        <v>7</v>
      </c>
      <c r="P40" s="41">
        <f t="shared" si="11"/>
        <v>0</v>
      </c>
      <c r="Q40" s="45">
        <f t="shared" si="14"/>
        <v>21</v>
      </c>
      <c r="V40" s="97">
        <v>45781</v>
      </c>
      <c r="W40">
        <v>143136</v>
      </c>
      <c r="X40" s="89" t="s">
        <v>36</v>
      </c>
      <c r="Z40" s="50">
        <v>0.11774305555555555</v>
      </c>
      <c r="AA40" s="50">
        <v>0.1665972222222222</v>
      </c>
      <c r="AD40" s="48">
        <v>20616</v>
      </c>
      <c r="AE40" s="48">
        <f t="shared" si="0"/>
        <v>20.616</v>
      </c>
      <c r="AF40">
        <v>14.29</v>
      </c>
      <c r="AG40" s="72">
        <f t="shared" si="1"/>
        <v>14</v>
      </c>
      <c r="AH40" s="37">
        <f t="shared" si="2"/>
        <v>20.616000000000003</v>
      </c>
      <c r="AJ40" s="38">
        <v>45780</v>
      </c>
      <c r="AK40" t="s">
        <v>720</v>
      </c>
      <c r="AL40" t="s">
        <v>5</v>
      </c>
      <c r="AN40" s="39" t="s">
        <v>1041</v>
      </c>
      <c r="AO40" s="39" t="s">
        <v>1041</v>
      </c>
      <c r="AP40" s="37">
        <v>2340</v>
      </c>
      <c r="AR40" s="38"/>
      <c r="AU40" s="38">
        <v>45782</v>
      </c>
      <c r="AW40" t="s">
        <v>5</v>
      </c>
      <c r="AY40" s="39">
        <v>0.4291666666666667</v>
      </c>
      <c r="AZ40" s="39">
        <v>0.56458333333333333</v>
      </c>
      <c r="BA40" s="37">
        <v>3158</v>
      </c>
      <c r="BB40" t="s">
        <v>119</v>
      </c>
      <c r="BC40" s="38">
        <v>45782</v>
      </c>
      <c r="BF40" s="74"/>
      <c r="BG40" s="75"/>
      <c r="BI40" s="58"/>
      <c r="BM40" s="76"/>
      <c r="BN40" s="76"/>
    </row>
    <row r="41" spans="2:66" ht="16" x14ac:dyDescent="0.4">
      <c r="B41" s="5" t="s">
        <v>23</v>
      </c>
      <c r="C41" s="6">
        <f t="shared" ref="C41:K41" si="16">SUM(C10:C40)</f>
        <v>6626.44</v>
      </c>
      <c r="D41" s="31">
        <f>SUM(D10:D40)</f>
        <v>1020.94</v>
      </c>
      <c r="E41" s="31">
        <f t="shared" ref="E41" si="17">SUM(E10:E40)</f>
        <v>23.830000000000002</v>
      </c>
      <c r="F41" s="6">
        <f t="shared" si="16"/>
        <v>126.282</v>
      </c>
      <c r="G41" s="7">
        <f t="shared" si="16"/>
        <v>7671.2099999999991</v>
      </c>
      <c r="H41" s="54">
        <f>SUM(H10:H40)</f>
        <v>6611.197872857143</v>
      </c>
      <c r="I41" s="7">
        <f>SUM(I10:I40)</f>
        <v>7655.9678728571416</v>
      </c>
      <c r="J41" s="8">
        <f t="shared" si="16"/>
        <v>90.295999999999992</v>
      </c>
      <c r="K41" s="8">
        <f t="shared" si="16"/>
        <v>0</v>
      </c>
      <c r="L41" s="7">
        <f>SUM(L10:L40)-J41</f>
        <v>0</v>
      </c>
      <c r="N41" s="46">
        <f>SUM(N10:N40)</f>
        <v>335</v>
      </c>
      <c r="O41" s="46">
        <f t="shared" ref="O41" si="18">SUM(O10:O40)</f>
        <v>302</v>
      </c>
      <c r="P41" s="46">
        <f>SUM(P10:P40)</f>
        <v>4</v>
      </c>
      <c r="Q41" s="46">
        <f>SUM(Q10:Q40)-Q42</f>
        <v>641</v>
      </c>
      <c r="V41" s="90">
        <v>45781</v>
      </c>
      <c r="W41" s="17">
        <v>143139</v>
      </c>
      <c r="X41" s="99" t="s">
        <v>36</v>
      </c>
      <c r="Z41" s="91">
        <v>0.92630787037037043</v>
      </c>
      <c r="AA41" s="91">
        <v>0.21557870370370369</v>
      </c>
      <c r="AB41" s="17"/>
      <c r="AC41" s="17"/>
      <c r="AD41" s="92">
        <v>21050</v>
      </c>
      <c r="AE41" s="92">
        <f t="shared" si="0"/>
        <v>21.05</v>
      </c>
      <c r="AF41" s="17"/>
      <c r="AG41" s="95">
        <f t="shared" si="1"/>
        <v>0</v>
      </c>
      <c r="AH41" s="37">
        <f t="shared" si="2"/>
        <v>0</v>
      </c>
      <c r="AJ41" s="38">
        <v>45780</v>
      </c>
      <c r="AK41" t="s">
        <v>721</v>
      </c>
      <c r="AL41" t="s">
        <v>5</v>
      </c>
      <c r="AN41" s="39" t="s">
        <v>1042</v>
      </c>
      <c r="AO41" s="39" t="s">
        <v>1043</v>
      </c>
      <c r="AP41" s="37">
        <v>5630</v>
      </c>
      <c r="AR41" s="38"/>
      <c r="AU41" s="38">
        <v>45782</v>
      </c>
      <c r="AW41" t="s">
        <v>5</v>
      </c>
      <c r="AY41" s="39">
        <v>0.62916666666666665</v>
      </c>
      <c r="AZ41" s="39">
        <v>0.42986111111111108</v>
      </c>
      <c r="BA41" s="37">
        <v>5116</v>
      </c>
      <c r="BB41" t="s">
        <v>120</v>
      </c>
      <c r="BC41" s="38">
        <v>45782</v>
      </c>
      <c r="BF41" s="74"/>
      <c r="BG41" s="75"/>
      <c r="BI41" s="58"/>
      <c r="BM41" s="76"/>
      <c r="BN41" s="76"/>
    </row>
    <row r="42" spans="2:66" ht="16.5" thickBot="1" x14ac:dyDescent="0.45">
      <c r="B42" s="9"/>
      <c r="C42" s="10">
        <f>C41/$G$41</f>
        <v>0.86380636170825731</v>
      </c>
      <c r="D42" s="10">
        <f t="shared" ref="D42:E42" si="19">D41/$G$41</f>
        <v>0.13308721831366893</v>
      </c>
      <c r="E42" s="10">
        <f t="shared" si="19"/>
        <v>3.1064199780738637E-3</v>
      </c>
      <c r="F42" s="10">
        <f>F41/$G$41</f>
        <v>1.6461809805754242E-2</v>
      </c>
      <c r="G42" s="9"/>
      <c r="H42" s="9"/>
      <c r="I42" s="9"/>
      <c r="J42" s="10" t="e">
        <f t="shared" ref="J42:K42" si="20">J41/$L$41</f>
        <v>#DIV/0!</v>
      </c>
      <c r="K42" s="10" t="e">
        <f t="shared" si="20"/>
        <v>#DIV/0!</v>
      </c>
      <c r="L42" s="11">
        <f>G41+L41</f>
        <v>7671.2099999999991</v>
      </c>
      <c r="N42" s="28" t="s">
        <v>24</v>
      </c>
      <c r="O42" s="28"/>
      <c r="P42" s="28"/>
      <c r="Q42" s="28">
        <f>COUNTBLANK(AP5:AP302)</f>
        <v>0</v>
      </c>
      <c r="V42" s="97">
        <v>45781</v>
      </c>
      <c r="W42">
        <v>143149</v>
      </c>
      <c r="X42" s="89" t="s">
        <v>36</v>
      </c>
      <c r="Z42" s="50">
        <v>0.1173611111111111</v>
      </c>
      <c r="AA42" s="50">
        <v>0.27083333333333331</v>
      </c>
      <c r="AD42" s="48">
        <v>21638</v>
      </c>
      <c r="AE42" s="48">
        <f t="shared" si="0"/>
        <v>21.638000000000002</v>
      </c>
      <c r="AF42">
        <v>14.77</v>
      </c>
      <c r="AG42" s="72">
        <f t="shared" si="1"/>
        <v>14</v>
      </c>
      <c r="AH42" s="37">
        <f t="shared" si="2"/>
        <v>21.638000000000002</v>
      </c>
      <c r="AJ42" s="38">
        <v>45782</v>
      </c>
      <c r="AK42" t="s">
        <v>722</v>
      </c>
      <c r="AL42" t="s">
        <v>5</v>
      </c>
      <c r="AN42" s="39" t="s">
        <v>1044</v>
      </c>
      <c r="AO42" s="39" t="s">
        <v>1045</v>
      </c>
      <c r="AP42" s="37">
        <v>2980</v>
      </c>
      <c r="AR42" s="38"/>
      <c r="AU42" s="38">
        <v>45782</v>
      </c>
      <c r="AW42" t="s">
        <v>5</v>
      </c>
      <c r="AY42" s="39">
        <v>0.44166666666666665</v>
      </c>
      <c r="AZ42" s="39">
        <v>0.62638888888888888</v>
      </c>
      <c r="BA42" s="37">
        <v>4272</v>
      </c>
      <c r="BB42" t="s">
        <v>120</v>
      </c>
      <c r="BC42" s="38">
        <v>45782</v>
      </c>
      <c r="BF42" s="74"/>
      <c r="BG42" s="75"/>
      <c r="BI42" s="58"/>
      <c r="BM42" s="76"/>
      <c r="BN42" s="76"/>
    </row>
    <row r="43" spans="2:66" ht="16.5" thickTop="1" x14ac:dyDescent="0.4">
      <c r="G43" s="12"/>
      <c r="H43" s="12"/>
      <c r="I43" s="12"/>
      <c r="J43" s="13"/>
      <c r="K43" s="14"/>
      <c r="V43" s="97">
        <v>45781</v>
      </c>
      <c r="W43">
        <v>143154</v>
      </c>
      <c r="X43" s="89" t="s">
        <v>36</v>
      </c>
      <c r="Z43" s="50">
        <v>0.26458333333333334</v>
      </c>
      <c r="AA43" s="50">
        <v>0.30763888888888891</v>
      </c>
      <c r="AD43" s="48">
        <v>15428</v>
      </c>
      <c r="AE43" s="48">
        <f t="shared" si="0"/>
        <v>15.428000000000001</v>
      </c>
      <c r="AF43">
        <v>13.91</v>
      </c>
      <c r="AG43" s="72">
        <f t="shared" si="1"/>
        <v>13.91</v>
      </c>
      <c r="AH43" s="37">
        <f t="shared" si="2"/>
        <v>15.328820000000002</v>
      </c>
      <c r="AJ43" s="38">
        <v>45782</v>
      </c>
      <c r="AK43" t="s">
        <v>723</v>
      </c>
      <c r="AL43" t="s">
        <v>5</v>
      </c>
      <c r="AN43" s="39" t="s">
        <v>1046</v>
      </c>
      <c r="AO43" s="39" t="s">
        <v>1046</v>
      </c>
      <c r="AP43" s="37">
        <v>2960</v>
      </c>
      <c r="AR43" s="38"/>
      <c r="AU43" s="38">
        <v>45783</v>
      </c>
      <c r="AW43" t="s">
        <v>5</v>
      </c>
      <c r="AY43" s="39">
        <v>0.3527777777777778</v>
      </c>
      <c r="AZ43" s="39">
        <v>0.40625</v>
      </c>
      <c r="BA43" s="37">
        <v>4028</v>
      </c>
      <c r="BB43" t="s">
        <v>106</v>
      </c>
      <c r="BC43" s="38">
        <v>45783</v>
      </c>
      <c r="BF43" s="74"/>
      <c r="BG43" s="75"/>
      <c r="BI43" s="58"/>
      <c r="BM43" s="76"/>
      <c r="BN43" s="76"/>
    </row>
    <row r="44" spans="2:66" ht="16" x14ac:dyDescent="0.4">
      <c r="B44" s="15" t="s">
        <v>6</v>
      </c>
      <c r="G44" s="16"/>
      <c r="H44" s="16"/>
      <c r="I44" s="16"/>
      <c r="J44" s="16"/>
      <c r="K44" s="14"/>
      <c r="V44" s="97">
        <v>45781</v>
      </c>
      <c r="W44">
        <v>143173</v>
      </c>
      <c r="X44" s="89" t="s">
        <v>36</v>
      </c>
      <c r="Z44" s="50">
        <v>0.32916666666666666</v>
      </c>
      <c r="AA44" s="50">
        <v>0.37777777777777777</v>
      </c>
      <c r="AD44" s="48">
        <v>10490</v>
      </c>
      <c r="AE44" s="48">
        <f t="shared" si="0"/>
        <v>10.49</v>
      </c>
      <c r="AF44">
        <v>9.49</v>
      </c>
      <c r="AG44" s="72">
        <f t="shared" si="1"/>
        <v>9.49</v>
      </c>
      <c r="AH44" s="37">
        <f t="shared" si="2"/>
        <v>7.1107214285714289</v>
      </c>
      <c r="AJ44" s="38">
        <v>45782</v>
      </c>
      <c r="AK44" t="s">
        <v>724</v>
      </c>
      <c r="AL44" t="s">
        <v>5</v>
      </c>
      <c r="AN44" s="81" t="s">
        <v>1047</v>
      </c>
      <c r="AO44" s="81" t="s">
        <v>1048</v>
      </c>
      <c r="AP44" s="37">
        <v>3810</v>
      </c>
      <c r="AR44" s="38"/>
      <c r="AU44" s="38">
        <v>45783</v>
      </c>
      <c r="AW44" t="s">
        <v>5</v>
      </c>
      <c r="AY44" s="81">
        <v>0.31944444444444448</v>
      </c>
      <c r="AZ44" s="81">
        <v>0.3430555555555555</v>
      </c>
      <c r="BA44" s="37">
        <v>3202</v>
      </c>
      <c r="BB44" t="s">
        <v>103</v>
      </c>
      <c r="BC44" s="38">
        <v>45783</v>
      </c>
      <c r="BF44" s="74"/>
      <c r="BG44" s="75"/>
      <c r="BI44" s="58"/>
      <c r="BM44" s="76"/>
      <c r="BN44" s="76"/>
    </row>
    <row r="45" spans="2:66" ht="16" x14ac:dyDescent="0.4">
      <c r="B45" t="s">
        <v>7</v>
      </c>
      <c r="G45" s="23"/>
      <c r="H45" s="23"/>
      <c r="I45" s="23"/>
      <c r="J45" s="17"/>
      <c r="K45" s="18"/>
      <c r="V45" s="97">
        <v>45782</v>
      </c>
      <c r="W45">
        <v>143346</v>
      </c>
      <c r="X45" s="89" t="s">
        <v>36</v>
      </c>
      <c r="Z45" s="50">
        <v>0.26458333333333334</v>
      </c>
      <c r="AA45" s="50">
        <v>0.3430555555555555</v>
      </c>
      <c r="AB45">
        <v>104</v>
      </c>
      <c r="AC45" t="s">
        <v>22</v>
      </c>
      <c r="AD45" s="48">
        <v>5572</v>
      </c>
      <c r="AE45" s="48">
        <f t="shared" ref="AE45:AE76" si="21">AD45/1000</f>
        <v>5.5720000000000001</v>
      </c>
      <c r="AF45">
        <v>12.45</v>
      </c>
      <c r="AG45" s="72">
        <f t="shared" si="1"/>
        <v>12.45</v>
      </c>
      <c r="AH45" s="37">
        <f t="shared" si="2"/>
        <v>4.9550999999999998</v>
      </c>
      <c r="AJ45" s="38">
        <v>45782</v>
      </c>
      <c r="AK45" t="s">
        <v>725</v>
      </c>
      <c r="AL45" t="s">
        <v>5</v>
      </c>
      <c r="AN45" s="81" t="s">
        <v>1049</v>
      </c>
      <c r="AO45" s="81" t="s">
        <v>1050</v>
      </c>
      <c r="AP45" s="37">
        <v>5160</v>
      </c>
      <c r="AR45" s="38"/>
      <c r="AU45" s="38">
        <v>45783</v>
      </c>
      <c r="AW45" t="s">
        <v>5</v>
      </c>
      <c r="AY45" s="81">
        <v>0.25972222222222224</v>
      </c>
      <c r="AZ45" s="81">
        <v>0.41111111111111115</v>
      </c>
      <c r="BA45" s="37">
        <v>3316</v>
      </c>
      <c r="BC45" s="38">
        <v>45783</v>
      </c>
      <c r="BF45" s="74"/>
      <c r="BG45" s="75"/>
      <c r="BI45" s="58"/>
      <c r="BM45" s="76"/>
      <c r="BN45" s="76"/>
    </row>
    <row r="46" spans="2:66" ht="16" x14ac:dyDescent="0.4">
      <c r="B46" t="s">
        <v>8</v>
      </c>
      <c r="F46" s="23"/>
      <c r="G46" s="23"/>
      <c r="H46" s="23"/>
      <c r="I46" s="23"/>
      <c r="J46" s="23"/>
      <c r="K46" s="23"/>
      <c r="V46" s="97">
        <v>45782</v>
      </c>
      <c r="W46">
        <v>143439</v>
      </c>
      <c r="X46" s="89" t="s">
        <v>36</v>
      </c>
      <c r="Z46" s="50">
        <v>0.27499999999999997</v>
      </c>
      <c r="AA46" s="50">
        <v>0.45763888888888887</v>
      </c>
      <c r="AD46" s="48">
        <v>20730</v>
      </c>
      <c r="AE46" s="48">
        <f t="shared" si="21"/>
        <v>20.73</v>
      </c>
      <c r="AF46">
        <v>14.24</v>
      </c>
      <c r="AG46" s="72">
        <f t="shared" si="1"/>
        <v>14</v>
      </c>
      <c r="AH46" s="37">
        <f t="shared" si="2"/>
        <v>20.73</v>
      </c>
      <c r="AJ46" s="38">
        <v>45782</v>
      </c>
      <c r="AK46" t="s">
        <v>726</v>
      </c>
      <c r="AL46" t="s">
        <v>5</v>
      </c>
      <c r="AN46" s="81" t="s">
        <v>1051</v>
      </c>
      <c r="AO46" s="81" t="s">
        <v>1051</v>
      </c>
      <c r="AP46" s="37">
        <v>2900</v>
      </c>
      <c r="AR46" s="38"/>
      <c r="AU46" s="38">
        <v>45783</v>
      </c>
      <c r="AW46" t="s">
        <v>5</v>
      </c>
      <c r="AY46" s="81">
        <v>0.3347222222222222</v>
      </c>
      <c r="AZ46" s="81">
        <v>0.3520833333333333</v>
      </c>
      <c r="BA46" s="37">
        <v>3830</v>
      </c>
      <c r="BB46" t="s">
        <v>106</v>
      </c>
      <c r="BC46" s="38">
        <v>45783</v>
      </c>
      <c r="BF46" s="74"/>
      <c r="BG46" s="75"/>
      <c r="BI46" s="58"/>
      <c r="BM46" s="76"/>
      <c r="BN46" s="76"/>
    </row>
    <row r="47" spans="2:66" ht="16" x14ac:dyDescent="0.4">
      <c r="B47" t="s">
        <v>9</v>
      </c>
      <c r="F47" s="23"/>
      <c r="G47" s="30"/>
      <c r="H47" s="30"/>
      <c r="I47" s="30"/>
      <c r="V47" s="97">
        <v>45782</v>
      </c>
      <c r="W47">
        <v>143478</v>
      </c>
      <c r="X47" s="89" t="s">
        <v>36</v>
      </c>
      <c r="Z47" s="50">
        <v>0.26458333333333334</v>
      </c>
      <c r="AA47" s="50">
        <v>0.55069444444444449</v>
      </c>
      <c r="AD47" s="48">
        <v>21602</v>
      </c>
      <c r="AE47" s="48">
        <f t="shared" si="21"/>
        <v>21.602</v>
      </c>
      <c r="AF47">
        <v>15.68</v>
      </c>
      <c r="AG47" s="72">
        <f t="shared" si="1"/>
        <v>14</v>
      </c>
      <c r="AH47" s="37">
        <f t="shared" si="2"/>
        <v>21.602</v>
      </c>
      <c r="AJ47" s="38">
        <v>45782</v>
      </c>
      <c r="AK47" t="s">
        <v>727</v>
      </c>
      <c r="AL47" t="s">
        <v>5</v>
      </c>
      <c r="AN47" s="81" t="s">
        <v>1052</v>
      </c>
      <c r="AO47" s="81" t="s">
        <v>1053</v>
      </c>
      <c r="AP47" s="37">
        <v>5210</v>
      </c>
      <c r="AR47" s="38"/>
      <c r="AU47" s="38">
        <v>45783</v>
      </c>
      <c r="AV47">
        <v>143828</v>
      </c>
      <c r="AW47" t="s">
        <v>5</v>
      </c>
      <c r="AY47" s="81">
        <v>0.6381944444444444</v>
      </c>
      <c r="AZ47" s="81">
        <v>0.66249999999999998</v>
      </c>
      <c r="BA47" s="37">
        <v>2532</v>
      </c>
      <c r="BC47" s="38">
        <v>45783</v>
      </c>
      <c r="BF47" s="74"/>
      <c r="BG47" s="75"/>
      <c r="BI47" s="58"/>
      <c r="BM47" s="76"/>
      <c r="BN47" s="76"/>
    </row>
    <row r="48" spans="2:66" ht="16" x14ac:dyDescent="0.4">
      <c r="B48" t="s">
        <v>10</v>
      </c>
      <c r="V48" s="97">
        <v>45782</v>
      </c>
      <c r="W48">
        <v>143546</v>
      </c>
      <c r="X48" s="89" t="s">
        <v>36</v>
      </c>
      <c r="Z48" s="50">
        <v>0.52569444444444446</v>
      </c>
      <c r="AA48" s="50">
        <v>0.62361111111111112</v>
      </c>
      <c r="AD48" s="48">
        <v>20710</v>
      </c>
      <c r="AE48" s="48">
        <f t="shared" si="21"/>
        <v>20.71</v>
      </c>
      <c r="AF48">
        <v>15.35</v>
      </c>
      <c r="AG48" s="72">
        <f t="shared" si="1"/>
        <v>14</v>
      </c>
      <c r="AH48" s="37">
        <f t="shared" si="2"/>
        <v>20.71</v>
      </c>
      <c r="AJ48" s="38">
        <v>45782</v>
      </c>
      <c r="AK48" t="s">
        <v>728</v>
      </c>
      <c r="AL48" t="s">
        <v>5</v>
      </c>
      <c r="AN48" s="81" t="s">
        <v>1054</v>
      </c>
      <c r="AO48" s="81" t="s">
        <v>1055</v>
      </c>
      <c r="AP48" s="37">
        <v>6430</v>
      </c>
      <c r="AR48" s="38"/>
      <c r="AU48" s="38">
        <v>45782</v>
      </c>
      <c r="AW48" t="s">
        <v>5</v>
      </c>
      <c r="AY48" s="81">
        <v>0.53541666666666665</v>
      </c>
      <c r="AZ48" s="81">
        <v>0.5541666666666667</v>
      </c>
      <c r="BA48" s="37">
        <v>2480</v>
      </c>
      <c r="BB48" t="s">
        <v>118</v>
      </c>
      <c r="BC48" s="38">
        <v>45783</v>
      </c>
      <c r="BF48" s="74"/>
      <c r="BG48" s="75"/>
      <c r="BI48" s="58"/>
      <c r="BM48" s="76"/>
      <c r="BN48" s="76"/>
    </row>
    <row r="49" spans="2:66" ht="16" x14ac:dyDescent="0.4">
      <c r="V49" s="97">
        <v>45782</v>
      </c>
      <c r="W49">
        <v>143583</v>
      </c>
      <c r="X49" s="89" t="s">
        <v>36</v>
      </c>
      <c r="Z49" s="50">
        <v>0.6020833333333333</v>
      </c>
      <c r="AA49" s="50">
        <v>0.69513888888888886</v>
      </c>
      <c r="AD49" s="48">
        <v>21466</v>
      </c>
      <c r="AE49" s="48">
        <f t="shared" si="21"/>
        <v>21.466000000000001</v>
      </c>
      <c r="AF49">
        <v>14.09</v>
      </c>
      <c r="AG49" s="72">
        <f t="shared" si="1"/>
        <v>14</v>
      </c>
      <c r="AH49" s="37">
        <f t="shared" si="2"/>
        <v>21.466000000000001</v>
      </c>
      <c r="AJ49" s="38">
        <v>45782</v>
      </c>
      <c r="AK49" t="s">
        <v>729</v>
      </c>
      <c r="AL49" t="s">
        <v>5</v>
      </c>
      <c r="AN49" s="81" t="s">
        <v>1056</v>
      </c>
      <c r="AO49" s="81" t="s">
        <v>1056</v>
      </c>
      <c r="AP49" s="37">
        <v>2290</v>
      </c>
      <c r="AR49" s="38"/>
      <c r="AU49" s="38">
        <v>45783</v>
      </c>
      <c r="AW49" t="s">
        <v>5</v>
      </c>
      <c r="AY49" s="81">
        <v>0.37777777777777777</v>
      </c>
      <c r="AZ49" s="81">
        <v>0.47569444444444442</v>
      </c>
      <c r="BA49" s="37">
        <v>3762</v>
      </c>
      <c r="BB49" t="s">
        <v>121</v>
      </c>
      <c r="BC49" s="38">
        <v>45783</v>
      </c>
      <c r="BF49" s="74"/>
      <c r="BG49" s="75"/>
      <c r="BI49" s="58"/>
      <c r="BM49" s="76"/>
      <c r="BN49" s="76"/>
    </row>
    <row r="50" spans="2:66" ht="16" x14ac:dyDescent="0.4">
      <c r="B50" t="s">
        <v>11</v>
      </c>
      <c r="J50" t="s">
        <v>11</v>
      </c>
      <c r="V50" s="97">
        <v>45782</v>
      </c>
      <c r="W50">
        <v>143626</v>
      </c>
      <c r="X50" s="89" t="s">
        <v>36</v>
      </c>
      <c r="Z50" s="50">
        <v>0.11763888888888889</v>
      </c>
      <c r="AA50" s="50">
        <v>0.84067129629629633</v>
      </c>
      <c r="AD50" s="48">
        <v>22536</v>
      </c>
      <c r="AE50" s="48">
        <f t="shared" si="21"/>
        <v>22.536000000000001</v>
      </c>
      <c r="AF50">
        <v>12.3</v>
      </c>
      <c r="AG50" s="72">
        <f t="shared" si="1"/>
        <v>12.3</v>
      </c>
      <c r="AH50" s="37">
        <f t="shared" si="2"/>
        <v>19.799485714285716</v>
      </c>
      <c r="AJ50" s="38">
        <v>45782</v>
      </c>
      <c r="AK50" t="s">
        <v>730</v>
      </c>
      <c r="AL50" t="s">
        <v>5</v>
      </c>
      <c r="AN50" s="81" t="s">
        <v>1057</v>
      </c>
      <c r="AO50" s="81" t="s">
        <v>1057</v>
      </c>
      <c r="AP50" s="37">
        <v>3040</v>
      </c>
      <c r="AR50" s="38"/>
      <c r="AU50" s="38">
        <v>45783</v>
      </c>
      <c r="AW50" t="s">
        <v>5</v>
      </c>
      <c r="AY50" s="81">
        <v>0.36249999999999999</v>
      </c>
      <c r="AZ50" s="81">
        <v>0.37638888888888888</v>
      </c>
      <c r="BA50" s="37">
        <v>3486</v>
      </c>
      <c r="BB50" t="s">
        <v>122</v>
      </c>
      <c r="BC50" s="38">
        <v>45783</v>
      </c>
      <c r="BF50" s="74"/>
      <c r="BG50" s="75"/>
      <c r="BI50" s="58"/>
      <c r="BM50" s="76"/>
      <c r="BN50" s="76"/>
    </row>
    <row r="51" spans="2:66" ht="16" x14ac:dyDescent="0.4">
      <c r="V51" s="97">
        <v>45782</v>
      </c>
      <c r="W51">
        <v>143669</v>
      </c>
      <c r="X51" s="89" t="s">
        <v>36</v>
      </c>
      <c r="Z51" s="50">
        <v>0.60287037037037039</v>
      </c>
      <c r="AA51" s="50">
        <v>0.93821759259259263</v>
      </c>
      <c r="AD51" s="48">
        <v>20336</v>
      </c>
      <c r="AE51" s="48">
        <f t="shared" si="21"/>
        <v>20.335999999999999</v>
      </c>
      <c r="AF51">
        <v>14.24</v>
      </c>
      <c r="AG51" s="72">
        <f t="shared" si="1"/>
        <v>14</v>
      </c>
      <c r="AH51" s="37">
        <f t="shared" si="2"/>
        <v>20.335999999999995</v>
      </c>
      <c r="AJ51" s="38">
        <v>45782</v>
      </c>
      <c r="AK51" t="s">
        <v>731</v>
      </c>
      <c r="AL51" t="s">
        <v>5</v>
      </c>
      <c r="AN51" s="81" t="s">
        <v>1058</v>
      </c>
      <c r="AO51" s="81" t="s">
        <v>1058</v>
      </c>
      <c r="AP51" s="37">
        <v>4320</v>
      </c>
      <c r="AR51" s="38"/>
      <c r="AU51" s="38">
        <v>45783</v>
      </c>
      <c r="AW51" t="s">
        <v>5</v>
      </c>
      <c r="AY51" s="81">
        <v>0.65555555555555556</v>
      </c>
      <c r="AZ51" s="81">
        <v>0.65972222222222221</v>
      </c>
      <c r="BA51" s="37">
        <v>5734</v>
      </c>
      <c r="BC51" s="38">
        <v>45783</v>
      </c>
      <c r="BF51" s="74"/>
      <c r="BG51" s="75"/>
      <c r="BI51" s="58"/>
      <c r="BM51" s="76"/>
      <c r="BN51" s="76"/>
    </row>
    <row r="52" spans="2:66" ht="16" x14ac:dyDescent="0.4">
      <c r="V52" s="97">
        <v>45782</v>
      </c>
      <c r="W52">
        <v>143691</v>
      </c>
      <c r="X52" s="89" t="s">
        <v>36</v>
      </c>
      <c r="Z52" s="50">
        <v>0.90241898148148147</v>
      </c>
      <c r="AA52" s="50">
        <v>3.6805555555555554E-3</v>
      </c>
      <c r="AD52" s="48">
        <v>18696</v>
      </c>
      <c r="AE52" s="48">
        <f t="shared" si="21"/>
        <v>18.696000000000002</v>
      </c>
      <c r="AF52">
        <v>17.2</v>
      </c>
      <c r="AG52" s="72">
        <f t="shared" si="1"/>
        <v>14</v>
      </c>
      <c r="AH52" s="37">
        <f t="shared" si="2"/>
        <v>18.696000000000002</v>
      </c>
      <c r="AJ52" s="108">
        <v>45782</v>
      </c>
      <c r="AK52" s="17" t="s">
        <v>732</v>
      </c>
      <c r="AL52" s="17" t="s">
        <v>5</v>
      </c>
      <c r="AM52" s="17"/>
      <c r="AN52" s="109" t="s">
        <v>1059</v>
      </c>
      <c r="AO52" s="109" t="s">
        <v>1060</v>
      </c>
      <c r="AP52" s="110">
        <v>20590</v>
      </c>
      <c r="AR52" s="38"/>
      <c r="AU52" s="38">
        <v>45783</v>
      </c>
      <c r="AW52" t="s">
        <v>5</v>
      </c>
      <c r="AY52" s="81">
        <v>0.47013888888888888</v>
      </c>
      <c r="AZ52" s="81">
        <v>0.53819444444444442</v>
      </c>
      <c r="BA52" s="37">
        <v>3158</v>
      </c>
      <c r="BB52" t="s">
        <v>103</v>
      </c>
      <c r="BC52" s="38">
        <v>45783</v>
      </c>
      <c r="BF52" s="74"/>
      <c r="BG52" s="75"/>
      <c r="BI52" s="58"/>
      <c r="BM52" s="76"/>
      <c r="BN52" s="76"/>
    </row>
    <row r="53" spans="2:66" ht="16.5" thickBot="1" x14ac:dyDescent="0.45">
      <c r="B53" s="19" t="s">
        <v>12</v>
      </c>
      <c r="C53" s="19"/>
      <c r="J53" s="19"/>
      <c r="K53" s="19"/>
      <c r="L53" s="19"/>
      <c r="V53" s="97">
        <v>45783</v>
      </c>
      <c r="W53">
        <v>143706</v>
      </c>
      <c r="X53" s="89" t="s">
        <v>36</v>
      </c>
      <c r="Z53" s="50">
        <v>0.60277777777777775</v>
      </c>
      <c r="AA53" s="50">
        <v>6.3414351851851847E-2</v>
      </c>
      <c r="AD53" s="48">
        <v>19124</v>
      </c>
      <c r="AE53" s="48">
        <f t="shared" si="21"/>
        <v>19.123999999999999</v>
      </c>
      <c r="AF53">
        <v>17.91</v>
      </c>
      <c r="AG53" s="72">
        <f t="shared" si="1"/>
        <v>14</v>
      </c>
      <c r="AH53" s="37">
        <f t="shared" si="2"/>
        <v>19.123999999999999</v>
      </c>
      <c r="AJ53" s="38">
        <v>45783</v>
      </c>
      <c r="AK53" t="s">
        <v>733</v>
      </c>
      <c r="AL53" t="s">
        <v>5</v>
      </c>
      <c r="AN53" s="81" t="s">
        <v>1061</v>
      </c>
      <c r="AO53" s="81" t="s">
        <v>1061</v>
      </c>
      <c r="AP53" s="37">
        <v>3240</v>
      </c>
      <c r="AR53" s="38"/>
      <c r="AS53" s="88"/>
      <c r="AU53" s="38">
        <v>45782</v>
      </c>
      <c r="AW53" t="s">
        <v>5</v>
      </c>
      <c r="AY53" s="81">
        <v>0.48402777777777778</v>
      </c>
      <c r="AZ53" s="81">
        <v>0.52222222222222225</v>
      </c>
      <c r="BA53" s="37">
        <v>5200</v>
      </c>
      <c r="BB53" t="s">
        <v>123</v>
      </c>
      <c r="BC53" s="38">
        <v>45783</v>
      </c>
      <c r="BD53" s="88"/>
      <c r="BF53" s="21"/>
      <c r="BM53" s="73"/>
      <c r="BN53" s="73"/>
    </row>
    <row r="54" spans="2:66" ht="16" x14ac:dyDescent="0.4">
      <c r="B54" t="s">
        <v>13</v>
      </c>
      <c r="J54" t="s">
        <v>14</v>
      </c>
      <c r="V54" s="97">
        <v>45783</v>
      </c>
      <c r="W54" s="16">
        <v>143722</v>
      </c>
      <c r="X54" s="101" t="s">
        <v>36</v>
      </c>
      <c r="Z54" s="102">
        <v>0.90230324074074064</v>
      </c>
      <c r="AA54" s="102">
        <v>0.13368055555555555</v>
      </c>
      <c r="AB54" s="16"/>
      <c r="AC54" s="16"/>
      <c r="AD54" s="93">
        <v>21242</v>
      </c>
      <c r="AE54" s="93">
        <f t="shared" si="21"/>
        <v>21.242000000000001</v>
      </c>
      <c r="AF54" s="16">
        <v>14.45</v>
      </c>
      <c r="AG54" s="103">
        <f t="shared" si="1"/>
        <v>14</v>
      </c>
      <c r="AH54" s="37">
        <f t="shared" si="2"/>
        <v>21.242000000000001</v>
      </c>
      <c r="AJ54" s="38">
        <v>45783</v>
      </c>
      <c r="AK54" t="s">
        <v>734</v>
      </c>
      <c r="AL54" t="s">
        <v>5</v>
      </c>
      <c r="AN54" s="81" t="s">
        <v>1062</v>
      </c>
      <c r="AO54" s="81" t="s">
        <v>1062</v>
      </c>
      <c r="AP54" s="37">
        <v>3740</v>
      </c>
      <c r="AR54" s="38"/>
      <c r="AS54" s="88"/>
      <c r="AU54" s="38">
        <v>45783</v>
      </c>
      <c r="AW54" t="s">
        <v>5</v>
      </c>
      <c r="AY54" s="81"/>
      <c r="AZ54" s="81"/>
      <c r="BA54" s="37">
        <v>3460</v>
      </c>
      <c r="BC54" s="38">
        <v>45783</v>
      </c>
      <c r="BD54" s="88"/>
      <c r="BF54" s="21"/>
      <c r="BM54" s="73"/>
      <c r="BN54" s="73"/>
    </row>
    <row r="55" spans="2:66" ht="16" x14ac:dyDescent="0.4">
      <c r="V55" s="97">
        <v>45783</v>
      </c>
      <c r="W55" s="16">
        <v>143731</v>
      </c>
      <c r="X55" s="101" t="s">
        <v>36</v>
      </c>
      <c r="Z55" s="102">
        <v>0.12763888888888889</v>
      </c>
      <c r="AA55" s="102">
        <v>0.19535879629629629</v>
      </c>
      <c r="AB55" s="16"/>
      <c r="AC55" s="16"/>
      <c r="AD55" s="93">
        <v>20274</v>
      </c>
      <c r="AE55" s="93">
        <f t="shared" si="21"/>
        <v>20.274000000000001</v>
      </c>
      <c r="AF55" s="16">
        <v>14.77</v>
      </c>
      <c r="AG55" s="103">
        <f t="shared" si="1"/>
        <v>14</v>
      </c>
      <c r="AH55" s="37">
        <f t="shared" si="2"/>
        <v>20.274000000000001</v>
      </c>
      <c r="AJ55" s="38">
        <v>45783</v>
      </c>
      <c r="AK55" t="s">
        <v>735</v>
      </c>
      <c r="AL55" t="s">
        <v>5</v>
      </c>
      <c r="AN55" s="81" t="s">
        <v>1063</v>
      </c>
      <c r="AO55" s="81" t="s">
        <v>1063</v>
      </c>
      <c r="AP55" s="37">
        <v>3420</v>
      </c>
      <c r="AR55" s="38"/>
      <c r="AS55" s="38"/>
      <c r="AU55" s="38">
        <v>45783</v>
      </c>
      <c r="AW55" t="s">
        <v>5</v>
      </c>
      <c r="AY55" s="81">
        <v>0.48541666666666666</v>
      </c>
      <c r="AZ55" s="81">
        <v>0.50763888888888886</v>
      </c>
      <c r="BA55" s="37">
        <v>2976</v>
      </c>
      <c r="BB55" t="s">
        <v>106</v>
      </c>
      <c r="BC55" s="38">
        <v>45783</v>
      </c>
      <c r="BD55" s="38"/>
      <c r="BF55" s="21"/>
      <c r="BM55" s="73"/>
      <c r="BN55" s="73"/>
    </row>
    <row r="56" spans="2:66" ht="16" x14ac:dyDescent="0.4">
      <c r="V56" s="97">
        <v>45783</v>
      </c>
      <c r="W56" s="16">
        <v>143735</v>
      </c>
      <c r="X56" s="101" t="s">
        <v>36</v>
      </c>
      <c r="Z56" s="102">
        <v>0.19708333333333336</v>
      </c>
      <c r="AA56" s="102">
        <v>0.23590277777777779</v>
      </c>
      <c r="AB56" s="16"/>
      <c r="AC56" s="16"/>
      <c r="AD56" s="93">
        <v>14626</v>
      </c>
      <c r="AE56" s="93">
        <f t="shared" si="21"/>
        <v>14.625999999999999</v>
      </c>
      <c r="AF56" s="16">
        <v>13.52</v>
      </c>
      <c r="AG56" s="103">
        <f t="shared" si="1"/>
        <v>13.52</v>
      </c>
      <c r="AH56" s="37">
        <f t="shared" si="2"/>
        <v>14.124537142857141</v>
      </c>
      <c r="AJ56" s="38">
        <v>45783</v>
      </c>
      <c r="AK56" t="s">
        <v>736</v>
      </c>
      <c r="AL56" t="s">
        <v>5</v>
      </c>
      <c r="AN56" s="81" t="s">
        <v>1064</v>
      </c>
      <c r="AO56" s="81" t="s">
        <v>1064</v>
      </c>
      <c r="AP56" s="37">
        <v>3970</v>
      </c>
      <c r="AR56" s="38"/>
      <c r="AS56" s="38"/>
      <c r="AU56" s="38">
        <v>45783</v>
      </c>
      <c r="AW56" t="s">
        <v>5</v>
      </c>
      <c r="AY56" s="81">
        <v>0.65486111111111112</v>
      </c>
      <c r="AZ56" s="81"/>
      <c r="BA56" s="37">
        <v>3942</v>
      </c>
      <c r="BB56" t="s">
        <v>124</v>
      </c>
      <c r="BC56" s="38">
        <v>45783</v>
      </c>
      <c r="BD56" s="38"/>
      <c r="BF56" s="21"/>
      <c r="BM56" s="73"/>
      <c r="BN56" s="73"/>
    </row>
    <row r="57" spans="2:66" ht="16" x14ac:dyDescent="0.4">
      <c r="V57" s="97">
        <v>45783</v>
      </c>
      <c r="W57" s="16">
        <v>143766</v>
      </c>
      <c r="X57" s="101" t="s">
        <v>36</v>
      </c>
      <c r="Z57" s="102">
        <v>0.12708333333333333</v>
      </c>
      <c r="AA57" s="102">
        <v>0.30972222222222223</v>
      </c>
      <c r="AB57" s="16"/>
      <c r="AC57" s="16"/>
      <c r="AD57" s="93">
        <v>21136</v>
      </c>
      <c r="AE57" s="93">
        <f t="shared" si="21"/>
        <v>21.135999999999999</v>
      </c>
      <c r="AF57" s="16">
        <v>16.09</v>
      </c>
      <c r="AG57" s="103">
        <f t="shared" si="1"/>
        <v>14</v>
      </c>
      <c r="AH57" s="37">
        <f t="shared" si="2"/>
        <v>21.135999999999999</v>
      </c>
      <c r="AJ57" s="38">
        <v>45783</v>
      </c>
      <c r="AK57" t="s">
        <v>737</v>
      </c>
      <c r="AL57" t="s">
        <v>5</v>
      </c>
      <c r="AN57" s="81" t="s">
        <v>1065</v>
      </c>
      <c r="AO57" s="81" t="s">
        <v>1065</v>
      </c>
      <c r="AP57" s="37">
        <v>3390</v>
      </c>
      <c r="AR57" s="38"/>
      <c r="AS57" s="38"/>
      <c r="AU57" s="38">
        <v>45783</v>
      </c>
      <c r="AW57" t="s">
        <v>5</v>
      </c>
      <c r="AY57" s="81">
        <v>0.48680555555555555</v>
      </c>
      <c r="AZ57" s="81">
        <v>0.65972222222222221</v>
      </c>
      <c r="BA57" s="37">
        <v>3106</v>
      </c>
      <c r="BB57" t="s">
        <v>120</v>
      </c>
      <c r="BC57" s="38">
        <v>45783</v>
      </c>
      <c r="BD57" s="38"/>
      <c r="BF57" s="21"/>
      <c r="BM57" s="73"/>
      <c r="BN57" s="73"/>
    </row>
    <row r="58" spans="2:66" ht="16" x14ac:dyDescent="0.4">
      <c r="V58" s="97">
        <v>45783</v>
      </c>
      <c r="W58" s="16">
        <v>143825</v>
      </c>
      <c r="X58" s="101" t="s">
        <v>36</v>
      </c>
      <c r="Z58" s="102">
        <v>0.19652777777777777</v>
      </c>
      <c r="AA58" s="102">
        <v>0.38125000000000003</v>
      </c>
      <c r="AB58" s="16"/>
      <c r="AC58" s="16"/>
      <c r="AD58" s="93">
        <v>21478</v>
      </c>
      <c r="AE58" s="93">
        <f t="shared" si="21"/>
        <v>21.478000000000002</v>
      </c>
      <c r="AF58" s="16">
        <v>17.59</v>
      </c>
      <c r="AG58" s="103">
        <f t="shared" si="1"/>
        <v>14</v>
      </c>
      <c r="AH58" s="37">
        <f t="shared" si="2"/>
        <v>21.478000000000002</v>
      </c>
      <c r="AJ58" s="38">
        <v>45783</v>
      </c>
      <c r="AK58" t="s">
        <v>738</v>
      </c>
      <c r="AL58" t="s">
        <v>5</v>
      </c>
      <c r="AN58" s="81" t="s">
        <v>1066</v>
      </c>
      <c r="AO58" s="81" t="s">
        <v>1067</v>
      </c>
      <c r="AP58" s="37">
        <v>2030</v>
      </c>
      <c r="AR58" s="38"/>
      <c r="AS58" s="38"/>
      <c r="AU58" s="38">
        <v>45783</v>
      </c>
      <c r="AW58" t="s">
        <v>5</v>
      </c>
      <c r="AY58" s="81">
        <v>0.45347222222222222</v>
      </c>
      <c r="AZ58" s="81">
        <v>0.48680555555555555</v>
      </c>
      <c r="BA58" s="37">
        <v>3240</v>
      </c>
      <c r="BB58" t="s">
        <v>120</v>
      </c>
      <c r="BC58" s="38">
        <v>45783</v>
      </c>
      <c r="BD58" s="38"/>
      <c r="BF58" s="21"/>
      <c r="BM58" s="73"/>
      <c r="BN58" s="73"/>
    </row>
    <row r="59" spans="2:66" ht="16" x14ac:dyDescent="0.4">
      <c r="V59" s="97">
        <v>45783</v>
      </c>
      <c r="W59" s="16">
        <v>143916</v>
      </c>
      <c r="X59" s="101" t="s">
        <v>36</v>
      </c>
      <c r="Z59" s="102">
        <v>0.12708333333333333</v>
      </c>
      <c r="AA59" s="102">
        <v>0.44861111111111113</v>
      </c>
      <c r="AB59" s="16"/>
      <c r="AC59" s="16"/>
      <c r="AD59" s="93">
        <v>22288</v>
      </c>
      <c r="AE59" s="93">
        <f t="shared" si="21"/>
        <v>22.288</v>
      </c>
      <c r="AF59" s="16">
        <v>16.29</v>
      </c>
      <c r="AG59" s="103">
        <f t="shared" si="1"/>
        <v>14</v>
      </c>
      <c r="AH59" s="37">
        <f t="shared" si="2"/>
        <v>22.288</v>
      </c>
      <c r="AJ59" s="38">
        <v>45783</v>
      </c>
      <c r="AK59" t="s">
        <v>739</v>
      </c>
      <c r="AL59" t="s">
        <v>5</v>
      </c>
      <c r="AN59" s="81" t="s">
        <v>1068</v>
      </c>
      <c r="AO59" s="81" t="s">
        <v>1068</v>
      </c>
      <c r="AP59" s="37">
        <v>3130</v>
      </c>
      <c r="AR59" s="38"/>
      <c r="AS59" s="38"/>
      <c r="AU59" s="38">
        <v>45784</v>
      </c>
      <c r="AW59" t="s">
        <v>5</v>
      </c>
      <c r="AY59" s="81">
        <v>0.67039351851851858</v>
      </c>
      <c r="AZ59" s="81">
        <v>0.65527777777777774</v>
      </c>
      <c r="BA59" s="37">
        <v>4966</v>
      </c>
      <c r="BB59" t="s">
        <v>125</v>
      </c>
      <c r="BC59" s="38">
        <v>45784</v>
      </c>
      <c r="BD59" s="38"/>
      <c r="BF59" s="21"/>
      <c r="BM59" s="73"/>
      <c r="BN59" s="73"/>
    </row>
    <row r="60" spans="2:66" ht="16" x14ac:dyDescent="0.4">
      <c r="V60" s="97">
        <v>45783</v>
      </c>
      <c r="W60" s="16">
        <v>143967</v>
      </c>
      <c r="X60" s="101" t="s">
        <v>36</v>
      </c>
      <c r="Z60" s="102">
        <v>0.19652777777777777</v>
      </c>
      <c r="AA60" s="102">
        <v>0.53611111111111109</v>
      </c>
      <c r="AB60" s="16"/>
      <c r="AC60" s="16"/>
      <c r="AD60" s="93">
        <v>23232</v>
      </c>
      <c r="AE60" s="93">
        <f t="shared" si="21"/>
        <v>23.231999999999999</v>
      </c>
      <c r="AF60" s="16">
        <v>15.39</v>
      </c>
      <c r="AG60" s="103">
        <f t="shared" si="1"/>
        <v>14</v>
      </c>
      <c r="AH60" s="37">
        <f t="shared" si="2"/>
        <v>23.231999999999999</v>
      </c>
      <c r="AJ60" s="38">
        <v>45783</v>
      </c>
      <c r="AK60" t="s">
        <v>740</v>
      </c>
      <c r="AL60" t="s">
        <v>5</v>
      </c>
      <c r="AN60" s="81" t="s">
        <v>1069</v>
      </c>
      <c r="AO60" s="81" t="s">
        <v>1069</v>
      </c>
      <c r="AP60" s="37">
        <v>3820</v>
      </c>
      <c r="AR60" s="38"/>
      <c r="AS60" s="38"/>
      <c r="AU60" s="38">
        <v>45784</v>
      </c>
      <c r="AW60" t="s">
        <v>5</v>
      </c>
      <c r="AY60" s="81">
        <v>0.61113425925925924</v>
      </c>
      <c r="AZ60" s="81">
        <v>0.65749999999999997</v>
      </c>
      <c r="BA60" s="37">
        <v>3362</v>
      </c>
      <c r="BB60" t="s">
        <v>125</v>
      </c>
      <c r="BC60" s="38">
        <v>45784</v>
      </c>
      <c r="BD60" s="38"/>
      <c r="BF60" s="21"/>
      <c r="BM60" s="73"/>
      <c r="BN60" s="73"/>
    </row>
    <row r="61" spans="2:66" ht="16" x14ac:dyDescent="0.4">
      <c r="V61" s="97">
        <v>45783</v>
      </c>
      <c r="W61" s="16">
        <v>144023</v>
      </c>
      <c r="X61" s="101" t="s">
        <v>36</v>
      </c>
      <c r="Z61" s="102">
        <v>0.51527777777777783</v>
      </c>
      <c r="AA61" s="102">
        <v>0.61597222222222225</v>
      </c>
      <c r="AB61" s="16"/>
      <c r="AC61" s="16"/>
      <c r="AD61" s="93">
        <v>22700</v>
      </c>
      <c r="AE61" s="93">
        <f t="shared" si="21"/>
        <v>22.7</v>
      </c>
      <c r="AF61" s="16">
        <v>16.77</v>
      </c>
      <c r="AG61" s="103">
        <f t="shared" si="1"/>
        <v>14</v>
      </c>
      <c r="AH61" s="37">
        <f t="shared" si="2"/>
        <v>22.7</v>
      </c>
      <c r="AJ61" s="38">
        <v>45783</v>
      </c>
      <c r="AK61" t="s">
        <v>741</v>
      </c>
      <c r="AL61" t="s">
        <v>5</v>
      </c>
      <c r="AN61" s="81" t="s">
        <v>1070</v>
      </c>
      <c r="AO61" s="81" t="s">
        <v>1070</v>
      </c>
      <c r="AP61" s="37">
        <v>2940</v>
      </c>
      <c r="AR61" s="38"/>
      <c r="AS61" s="38"/>
      <c r="AU61" s="38">
        <v>45784</v>
      </c>
      <c r="AW61" t="s">
        <v>5</v>
      </c>
      <c r="AY61" s="81">
        <v>0.58923611111111118</v>
      </c>
      <c r="AZ61" s="81">
        <v>0.61024305555555558</v>
      </c>
      <c r="BA61" s="37">
        <v>3952</v>
      </c>
      <c r="BB61" t="s">
        <v>90</v>
      </c>
      <c r="BC61" s="38">
        <v>45784</v>
      </c>
      <c r="BD61" s="38"/>
      <c r="BF61" s="21"/>
      <c r="BM61" s="73"/>
      <c r="BN61" s="73"/>
    </row>
    <row r="62" spans="2:66" ht="16" x14ac:dyDescent="0.4">
      <c r="V62" s="97">
        <v>45783</v>
      </c>
      <c r="W62" s="16">
        <v>144083</v>
      </c>
      <c r="X62" s="101" t="s">
        <v>36</v>
      </c>
      <c r="Z62" s="102">
        <v>0.62847222222222221</v>
      </c>
      <c r="AA62" s="102">
        <v>0.6777777777777777</v>
      </c>
      <c r="AB62" s="16"/>
      <c r="AC62" s="16"/>
      <c r="AD62" s="93">
        <v>21544</v>
      </c>
      <c r="AE62" s="93">
        <f t="shared" si="21"/>
        <v>21.544</v>
      </c>
      <c r="AF62" s="16">
        <v>16.829999999999998</v>
      </c>
      <c r="AG62" s="103">
        <f t="shared" si="1"/>
        <v>14</v>
      </c>
      <c r="AH62" s="37">
        <f t="shared" si="2"/>
        <v>21.544</v>
      </c>
      <c r="AJ62" s="38">
        <v>45783</v>
      </c>
      <c r="AK62" t="s">
        <v>742</v>
      </c>
      <c r="AL62" t="s">
        <v>5</v>
      </c>
      <c r="AN62" s="81" t="s">
        <v>1071</v>
      </c>
      <c r="AO62" s="81" t="s">
        <v>1072</v>
      </c>
      <c r="AP62" s="37">
        <v>4240</v>
      </c>
      <c r="AR62" s="38"/>
      <c r="AS62" s="38"/>
      <c r="AU62" s="38">
        <v>45784</v>
      </c>
      <c r="AW62" t="s">
        <v>5</v>
      </c>
      <c r="AY62" s="81">
        <v>0.5229166666666667</v>
      </c>
      <c r="AZ62" s="81">
        <v>0.52361111111111114</v>
      </c>
      <c r="BA62" s="37">
        <v>5015</v>
      </c>
      <c r="BB62" t="s">
        <v>49</v>
      </c>
      <c r="BC62" s="38">
        <v>45784</v>
      </c>
      <c r="BD62" s="38"/>
      <c r="BF62" s="55"/>
      <c r="BG62" s="16"/>
      <c r="BH62" s="16"/>
      <c r="BI62" s="16"/>
      <c r="BJ62" s="16"/>
      <c r="BM62" s="77"/>
      <c r="BN62" s="77"/>
    </row>
    <row r="63" spans="2:66" ht="16" x14ac:dyDescent="0.4">
      <c r="V63" s="97">
        <v>45783</v>
      </c>
      <c r="W63" s="16">
        <v>144105</v>
      </c>
      <c r="X63" s="101" t="s">
        <v>36</v>
      </c>
      <c r="Z63" s="102">
        <v>0.51506944444444447</v>
      </c>
      <c r="AA63" s="102">
        <v>0.73302083333333334</v>
      </c>
      <c r="AB63" s="16"/>
      <c r="AC63" s="16"/>
      <c r="AD63" s="93">
        <v>19904</v>
      </c>
      <c r="AE63" s="93">
        <f t="shared" si="21"/>
        <v>19.904</v>
      </c>
      <c r="AF63" s="16">
        <v>14.21</v>
      </c>
      <c r="AG63" s="103">
        <f t="shared" si="1"/>
        <v>14</v>
      </c>
      <c r="AH63" s="37">
        <f t="shared" si="2"/>
        <v>19.904</v>
      </c>
      <c r="AJ63" s="38">
        <v>45783</v>
      </c>
      <c r="AK63" t="s">
        <v>743</v>
      </c>
      <c r="AL63" t="s">
        <v>5</v>
      </c>
      <c r="AN63" s="81" t="s">
        <v>1073</v>
      </c>
      <c r="AO63" s="81" t="s">
        <v>1073</v>
      </c>
      <c r="AP63" s="37">
        <v>3190</v>
      </c>
      <c r="AR63" s="38"/>
      <c r="AS63" s="38"/>
      <c r="AU63" s="38">
        <v>45784</v>
      </c>
      <c r="AW63" t="s">
        <v>5</v>
      </c>
      <c r="AY63" s="81">
        <v>0.48488425925925926</v>
      </c>
      <c r="AZ63" s="81">
        <v>0.58172453703703708</v>
      </c>
      <c r="BA63" s="37">
        <v>2920</v>
      </c>
      <c r="BB63" t="s">
        <v>126</v>
      </c>
      <c r="BC63" s="38">
        <v>45784</v>
      </c>
      <c r="BD63" s="38"/>
      <c r="BF63" s="55"/>
      <c r="BM63" s="73"/>
      <c r="BN63" s="73"/>
    </row>
    <row r="64" spans="2:66" ht="16" x14ac:dyDescent="0.4">
      <c r="V64" s="97">
        <v>45783</v>
      </c>
      <c r="W64" s="16">
        <v>144134</v>
      </c>
      <c r="X64" s="101" t="s">
        <v>36</v>
      </c>
      <c r="Z64" s="102">
        <v>0.6287152777777778</v>
      </c>
      <c r="AA64" s="102">
        <v>0.81907407407407407</v>
      </c>
      <c r="AB64" s="16"/>
      <c r="AC64" s="16"/>
      <c r="AD64" s="93">
        <v>21752</v>
      </c>
      <c r="AE64" s="93">
        <f t="shared" si="21"/>
        <v>21.751999999999999</v>
      </c>
      <c r="AF64" s="16">
        <v>14.98</v>
      </c>
      <c r="AG64" s="103">
        <f t="shared" si="1"/>
        <v>14</v>
      </c>
      <c r="AH64" s="37">
        <f t="shared" si="2"/>
        <v>21.751999999999999</v>
      </c>
      <c r="AJ64" s="38">
        <v>45783</v>
      </c>
      <c r="AK64" t="s">
        <v>744</v>
      </c>
      <c r="AL64" t="s">
        <v>5</v>
      </c>
      <c r="AN64" s="81" t="s">
        <v>1074</v>
      </c>
      <c r="AO64" s="81" t="s">
        <v>1075</v>
      </c>
      <c r="AP64" s="37">
        <v>5370</v>
      </c>
      <c r="AR64" s="38"/>
      <c r="AS64" s="38"/>
      <c r="AU64" s="38">
        <v>45784</v>
      </c>
      <c r="AW64" t="s">
        <v>5</v>
      </c>
      <c r="AY64" s="81">
        <v>0.47148148148148145</v>
      </c>
      <c r="AZ64" s="81">
        <v>0.48435185185185187</v>
      </c>
      <c r="BA64" s="37">
        <v>2894</v>
      </c>
      <c r="BB64" t="s">
        <v>126</v>
      </c>
      <c r="BC64" s="38">
        <v>45784</v>
      </c>
      <c r="BD64" s="38"/>
      <c r="BF64" s="55"/>
      <c r="BM64" s="73"/>
      <c r="BN64" s="73"/>
    </row>
    <row r="65" spans="22:66" ht="16" x14ac:dyDescent="0.4">
      <c r="V65" s="97">
        <v>45783</v>
      </c>
      <c r="W65" s="16">
        <v>144166</v>
      </c>
      <c r="X65" s="101" t="s">
        <v>36</v>
      </c>
      <c r="Z65" s="102">
        <v>0.51520833333333338</v>
      </c>
      <c r="AA65" s="102">
        <v>0.8828125</v>
      </c>
      <c r="AB65" s="16"/>
      <c r="AC65" s="16"/>
      <c r="AD65" s="93">
        <v>19416</v>
      </c>
      <c r="AE65" s="93">
        <f t="shared" si="21"/>
        <v>19.416</v>
      </c>
      <c r="AF65" s="16">
        <v>15.2</v>
      </c>
      <c r="AG65" s="103">
        <f t="shared" si="1"/>
        <v>14</v>
      </c>
      <c r="AH65" s="37">
        <f t="shared" si="2"/>
        <v>19.416</v>
      </c>
      <c r="AJ65" s="38">
        <v>45783</v>
      </c>
      <c r="AK65" t="s">
        <v>745</v>
      </c>
      <c r="AL65" t="s">
        <v>5</v>
      </c>
      <c r="AN65" s="81" t="s">
        <v>1076</v>
      </c>
      <c r="AO65" s="81" t="s">
        <v>1077</v>
      </c>
      <c r="AP65" s="37">
        <v>3460</v>
      </c>
      <c r="AR65" s="38"/>
      <c r="AS65" s="38"/>
      <c r="AU65" s="38">
        <v>45784</v>
      </c>
      <c r="AW65" t="s">
        <v>5</v>
      </c>
      <c r="AY65" s="81">
        <v>0.36238425925925927</v>
      </c>
      <c r="AZ65" s="81">
        <v>0.54050925925925919</v>
      </c>
      <c r="BA65" s="37">
        <v>1110</v>
      </c>
      <c r="BB65" t="s">
        <v>127</v>
      </c>
      <c r="BC65" s="38">
        <v>45784</v>
      </c>
      <c r="BD65" s="38"/>
      <c r="BF65" s="55"/>
      <c r="BM65" s="73"/>
      <c r="BN65" s="73"/>
    </row>
    <row r="66" spans="22:66" ht="16" x14ac:dyDescent="0.4">
      <c r="V66" s="97">
        <v>45783</v>
      </c>
      <c r="W66" s="16">
        <v>144193</v>
      </c>
      <c r="X66" s="101" t="s">
        <v>36</v>
      </c>
      <c r="Z66" s="102">
        <v>0.6260648148148148</v>
      </c>
      <c r="AA66" s="102">
        <v>0.94937499999999997</v>
      </c>
      <c r="AB66" s="16"/>
      <c r="AC66" s="16"/>
      <c r="AD66" s="93">
        <v>21834</v>
      </c>
      <c r="AE66" s="93">
        <f t="shared" si="21"/>
        <v>21.834</v>
      </c>
      <c r="AF66" s="16">
        <v>14.74</v>
      </c>
      <c r="AG66" s="103">
        <f t="shared" si="1"/>
        <v>14</v>
      </c>
      <c r="AH66" s="37">
        <f t="shared" si="2"/>
        <v>21.834</v>
      </c>
      <c r="AJ66" s="38">
        <v>45783</v>
      </c>
      <c r="AK66" t="s">
        <v>746</v>
      </c>
      <c r="AL66" t="s">
        <v>5</v>
      </c>
      <c r="AN66" s="81" t="s">
        <v>1078</v>
      </c>
      <c r="AO66" s="81" t="s">
        <v>1079</v>
      </c>
      <c r="AP66" s="37">
        <v>3890</v>
      </c>
      <c r="AR66" s="38"/>
      <c r="AS66" s="38"/>
      <c r="AU66" s="38">
        <v>45784</v>
      </c>
      <c r="AW66" t="s">
        <v>5</v>
      </c>
      <c r="AY66" s="81">
        <v>0.35013888888888883</v>
      </c>
      <c r="AZ66" s="81">
        <v>0.56390046296296303</v>
      </c>
      <c r="BA66" s="37">
        <v>2964</v>
      </c>
      <c r="BB66" t="s">
        <v>126</v>
      </c>
      <c r="BC66" s="38">
        <v>45784</v>
      </c>
      <c r="BD66" s="38"/>
      <c r="BF66" s="55"/>
      <c r="BM66" s="73"/>
      <c r="BN66" s="73"/>
    </row>
    <row r="67" spans="22:66" ht="16" x14ac:dyDescent="0.4">
      <c r="V67" s="97">
        <v>45784</v>
      </c>
      <c r="W67" s="16">
        <v>144211</v>
      </c>
      <c r="X67" s="101" t="s">
        <v>36</v>
      </c>
      <c r="Z67" s="102">
        <v>0.94041666666666668</v>
      </c>
      <c r="AA67" s="102">
        <v>2.9513888888888892E-2</v>
      </c>
      <c r="AB67" s="16"/>
      <c r="AC67" s="16"/>
      <c r="AD67" s="93">
        <v>19178</v>
      </c>
      <c r="AE67" s="93">
        <f t="shared" si="21"/>
        <v>19.178000000000001</v>
      </c>
      <c r="AF67" s="16">
        <v>14.95</v>
      </c>
      <c r="AG67" s="103">
        <f t="shared" si="1"/>
        <v>14</v>
      </c>
      <c r="AH67" s="37">
        <f t="shared" si="2"/>
        <v>19.178000000000001</v>
      </c>
      <c r="AJ67" s="38">
        <v>45783</v>
      </c>
      <c r="AK67" t="s">
        <v>747</v>
      </c>
      <c r="AL67" t="s">
        <v>5</v>
      </c>
      <c r="AN67" s="81" t="s">
        <v>1080</v>
      </c>
      <c r="AO67" s="81" t="s">
        <v>1080</v>
      </c>
      <c r="AP67" s="37">
        <v>3800</v>
      </c>
      <c r="AR67" s="38"/>
      <c r="AS67" s="38"/>
      <c r="AU67" s="38">
        <v>45784</v>
      </c>
      <c r="AW67" t="s">
        <v>5</v>
      </c>
      <c r="AY67" s="81">
        <v>0.50723379629629628</v>
      </c>
      <c r="AZ67" s="81">
        <v>0.52623842592592596</v>
      </c>
      <c r="BA67" s="37">
        <v>4292</v>
      </c>
      <c r="BB67" t="s">
        <v>128</v>
      </c>
      <c r="BC67" s="38">
        <v>45784</v>
      </c>
      <c r="BD67" s="38"/>
      <c r="BF67" s="55"/>
      <c r="BM67" s="73"/>
      <c r="BN67" s="73"/>
    </row>
    <row r="68" spans="22:66" ht="16" x14ac:dyDescent="0.4">
      <c r="V68" s="97">
        <v>45784</v>
      </c>
      <c r="W68" s="16">
        <v>144223</v>
      </c>
      <c r="X68" s="101" t="s">
        <v>36</v>
      </c>
      <c r="Z68" s="102">
        <v>0.99674768518518519</v>
      </c>
      <c r="AA68" s="102">
        <v>9.3865740740740736E-2</v>
      </c>
      <c r="AB68" s="16"/>
      <c r="AC68" s="16"/>
      <c r="AD68" s="93">
        <v>20528</v>
      </c>
      <c r="AE68" s="93">
        <f t="shared" si="21"/>
        <v>20.527999999999999</v>
      </c>
      <c r="AF68" s="16">
        <v>14.63</v>
      </c>
      <c r="AG68" s="103">
        <f t="shared" si="1"/>
        <v>14</v>
      </c>
      <c r="AH68" s="37">
        <f t="shared" si="2"/>
        <v>20.527999999999999</v>
      </c>
      <c r="AJ68" s="38">
        <v>45783</v>
      </c>
      <c r="AK68" t="s">
        <v>748</v>
      </c>
      <c r="AL68" t="s">
        <v>5</v>
      </c>
      <c r="AN68" s="81" t="s">
        <v>1081</v>
      </c>
      <c r="AO68" s="81" t="s">
        <v>1081</v>
      </c>
      <c r="AP68" s="37">
        <v>2940</v>
      </c>
      <c r="AR68" s="38"/>
      <c r="AS68" s="38"/>
      <c r="AU68" s="38">
        <v>45784</v>
      </c>
      <c r="AW68" t="s">
        <v>5</v>
      </c>
      <c r="AY68" s="81">
        <v>0.35388888888888892</v>
      </c>
      <c r="AZ68" s="81">
        <v>0.3684837962962963</v>
      </c>
      <c r="BA68" s="37">
        <v>3038</v>
      </c>
      <c r="BB68" t="s">
        <v>127</v>
      </c>
      <c r="BC68" s="38">
        <v>45784</v>
      </c>
      <c r="BD68" s="38"/>
      <c r="BF68" s="55"/>
      <c r="BM68" s="73"/>
      <c r="BN68" s="73"/>
    </row>
    <row r="69" spans="22:66" ht="16" x14ac:dyDescent="0.4">
      <c r="V69" s="97">
        <v>45784</v>
      </c>
      <c r="W69">
        <v>144233</v>
      </c>
      <c r="X69" s="89" t="s">
        <v>36</v>
      </c>
      <c r="Z69" s="50">
        <v>0.94030092592592596</v>
      </c>
      <c r="AA69" s="50">
        <v>0.14806712962962962</v>
      </c>
      <c r="AD69" s="48">
        <v>21096</v>
      </c>
      <c r="AE69" s="48">
        <f t="shared" si="21"/>
        <v>21.096</v>
      </c>
      <c r="AF69">
        <v>15.23</v>
      </c>
      <c r="AG69" s="72">
        <f t="shared" ref="AG69:AG132" si="22">IF($AF69&gt;14,14,$AF69)</f>
        <v>14</v>
      </c>
      <c r="AH69" s="37">
        <f t="shared" si="2"/>
        <v>21.096</v>
      </c>
      <c r="AJ69" s="38">
        <v>45784</v>
      </c>
      <c r="AK69" t="s">
        <v>749</v>
      </c>
      <c r="AL69" t="s">
        <v>5</v>
      </c>
      <c r="AN69" s="81" t="s">
        <v>1082</v>
      </c>
      <c r="AO69" s="81" t="s">
        <v>1083</v>
      </c>
      <c r="AP69" s="37">
        <v>2840</v>
      </c>
      <c r="AR69" s="38"/>
      <c r="AS69" s="38"/>
      <c r="AU69" s="38">
        <v>45784</v>
      </c>
      <c r="AW69" t="s">
        <v>5</v>
      </c>
      <c r="AY69" s="81">
        <v>0.36895833333333333</v>
      </c>
      <c r="AZ69" s="81">
        <v>0.44643518518518516</v>
      </c>
      <c r="BA69" s="37">
        <v>2976</v>
      </c>
      <c r="BB69" t="s">
        <v>127</v>
      </c>
      <c r="BC69" s="38">
        <v>45784</v>
      </c>
      <c r="BD69" s="38"/>
      <c r="BF69" s="55"/>
      <c r="BM69" s="73"/>
      <c r="BN69" s="73"/>
    </row>
    <row r="70" spans="22:66" ht="16" x14ac:dyDescent="0.4">
      <c r="V70" s="97">
        <v>45784</v>
      </c>
      <c r="W70">
        <v>144241</v>
      </c>
      <c r="X70" s="89" t="s">
        <v>36</v>
      </c>
      <c r="Z70" s="50">
        <v>9.329953703703703</v>
      </c>
      <c r="AA70" s="50">
        <v>0.20138888888888887</v>
      </c>
      <c r="AD70" s="48">
        <v>20806</v>
      </c>
      <c r="AE70" s="48">
        <f t="shared" si="21"/>
        <v>20.806000000000001</v>
      </c>
      <c r="AF70">
        <v>14.91</v>
      </c>
      <c r="AG70" s="72">
        <f t="shared" si="22"/>
        <v>14</v>
      </c>
      <c r="AH70" s="37">
        <f t="shared" ref="AH70:AH133" si="23">AE70*AG70/14</f>
        <v>20.806000000000001</v>
      </c>
      <c r="AJ70" s="38">
        <v>45784</v>
      </c>
      <c r="AK70" t="s">
        <v>750</v>
      </c>
      <c r="AL70" t="s">
        <v>5</v>
      </c>
      <c r="AN70" s="81" t="s">
        <v>1084</v>
      </c>
      <c r="AO70" s="81" t="s">
        <v>1084</v>
      </c>
      <c r="AP70" s="37">
        <v>3020</v>
      </c>
      <c r="AR70" s="38"/>
      <c r="AS70" s="38"/>
      <c r="AU70" s="38">
        <v>45784</v>
      </c>
      <c r="AV70">
        <v>144393</v>
      </c>
      <c r="AW70" t="s">
        <v>5</v>
      </c>
      <c r="AY70" s="81">
        <v>0.63828703703703704</v>
      </c>
      <c r="AZ70" s="81">
        <v>0.66280092592592588</v>
      </c>
      <c r="BA70" s="37">
        <v>3418</v>
      </c>
      <c r="BB70" t="s">
        <v>49</v>
      </c>
      <c r="BC70" s="38">
        <v>45784</v>
      </c>
      <c r="BD70" s="38"/>
      <c r="BF70" s="55"/>
      <c r="BM70" s="73"/>
      <c r="BN70" s="73"/>
    </row>
    <row r="71" spans="22:66" ht="16" x14ac:dyDescent="0.4">
      <c r="V71" s="97">
        <v>45784</v>
      </c>
      <c r="W71">
        <v>144257</v>
      </c>
      <c r="X71" s="89" t="s">
        <v>36</v>
      </c>
      <c r="Z71" s="50">
        <v>0.1975810185185185</v>
      </c>
      <c r="AA71" s="50">
        <v>0.26936342592592594</v>
      </c>
      <c r="AD71" s="48">
        <v>18878</v>
      </c>
      <c r="AE71" s="48">
        <f t="shared" si="21"/>
        <v>18.878</v>
      </c>
      <c r="AF71">
        <v>14.17</v>
      </c>
      <c r="AG71" s="72">
        <f t="shared" si="22"/>
        <v>14</v>
      </c>
      <c r="AH71" s="37">
        <f t="shared" si="23"/>
        <v>18.878000000000004</v>
      </c>
      <c r="AJ71" s="38">
        <v>45784</v>
      </c>
      <c r="AK71" t="s">
        <v>751</v>
      </c>
      <c r="AL71" t="s">
        <v>5</v>
      </c>
      <c r="AN71" s="81" t="s">
        <v>1085</v>
      </c>
      <c r="AO71" s="81" t="s">
        <v>1086</v>
      </c>
      <c r="AP71" s="37">
        <v>2950</v>
      </c>
      <c r="AR71" s="38"/>
      <c r="AS71" s="38"/>
      <c r="AU71" s="38">
        <v>45785</v>
      </c>
      <c r="AW71" t="s">
        <v>5</v>
      </c>
      <c r="AY71" s="81">
        <v>0.67574074074074064</v>
      </c>
      <c r="AZ71" s="81">
        <v>0.34399305555555554</v>
      </c>
      <c r="BA71" s="37">
        <v>3648</v>
      </c>
      <c r="BB71" t="s">
        <v>129</v>
      </c>
      <c r="BC71" s="38">
        <v>45785</v>
      </c>
      <c r="BD71" s="38"/>
      <c r="BF71" s="55"/>
      <c r="BM71" s="73"/>
      <c r="BN71" s="73"/>
    </row>
    <row r="72" spans="22:66" ht="16" x14ac:dyDescent="0.4">
      <c r="V72" s="97">
        <v>45784</v>
      </c>
      <c r="W72">
        <v>144433</v>
      </c>
      <c r="X72" s="89" t="s">
        <v>36</v>
      </c>
      <c r="Z72" s="50">
        <v>0.9965046296296296</v>
      </c>
      <c r="AA72" s="50">
        <v>0.45765046296296297</v>
      </c>
      <c r="AD72" s="48">
        <v>15452</v>
      </c>
      <c r="AE72" s="48">
        <f t="shared" si="21"/>
        <v>15.452</v>
      </c>
      <c r="AF72">
        <v>7.16</v>
      </c>
      <c r="AG72" s="72">
        <f t="shared" si="22"/>
        <v>7.16</v>
      </c>
      <c r="AH72" s="37">
        <f t="shared" si="23"/>
        <v>7.9025942857142857</v>
      </c>
      <c r="AJ72" s="38">
        <v>45784</v>
      </c>
      <c r="AK72" t="s">
        <v>752</v>
      </c>
      <c r="AL72" t="s">
        <v>5</v>
      </c>
      <c r="AN72" s="81" t="s">
        <v>1087</v>
      </c>
      <c r="AO72" s="81" t="s">
        <v>1087</v>
      </c>
      <c r="AP72" s="37">
        <v>3030</v>
      </c>
      <c r="AR72" s="38"/>
      <c r="AS72" s="38"/>
      <c r="AU72" s="38">
        <v>45785</v>
      </c>
      <c r="AW72" t="s">
        <v>5</v>
      </c>
      <c r="AY72" s="81">
        <v>0.43009259259259264</v>
      </c>
      <c r="AZ72" s="81">
        <v>0.60925925925925928</v>
      </c>
      <c r="BA72" s="37">
        <v>2366</v>
      </c>
      <c r="BB72" t="s">
        <v>130</v>
      </c>
      <c r="BC72" s="38">
        <v>45785</v>
      </c>
      <c r="BD72" s="38"/>
      <c r="BF72" s="55"/>
      <c r="BM72" s="73"/>
      <c r="BN72" s="73"/>
    </row>
    <row r="73" spans="22:66" ht="16" x14ac:dyDescent="0.4">
      <c r="V73" s="97">
        <v>45784</v>
      </c>
      <c r="W73">
        <v>144655</v>
      </c>
      <c r="X73" s="89" t="s">
        <v>36</v>
      </c>
      <c r="Z73" s="50">
        <v>0.76736111111111116</v>
      </c>
      <c r="AA73" s="50">
        <v>0.8618055555555556</v>
      </c>
      <c r="AD73" s="48">
        <v>19678</v>
      </c>
      <c r="AE73" s="48">
        <f t="shared" si="21"/>
        <v>19.678000000000001</v>
      </c>
      <c r="AF73">
        <v>16.88</v>
      </c>
      <c r="AG73" s="72">
        <f t="shared" si="22"/>
        <v>14</v>
      </c>
      <c r="AH73" s="37">
        <f t="shared" si="23"/>
        <v>19.678000000000001</v>
      </c>
      <c r="AJ73" s="38">
        <v>45784</v>
      </c>
      <c r="AK73" t="s">
        <v>753</v>
      </c>
      <c r="AL73" t="s">
        <v>5</v>
      </c>
      <c r="AN73" s="81" t="s">
        <v>1088</v>
      </c>
      <c r="AO73" s="81" t="s">
        <v>1089</v>
      </c>
      <c r="AP73" s="37">
        <v>2840</v>
      </c>
      <c r="AR73" s="38"/>
      <c r="AS73" s="38"/>
      <c r="AU73" s="38">
        <v>45785</v>
      </c>
      <c r="AW73" t="s">
        <v>5</v>
      </c>
      <c r="AY73" s="81">
        <v>0.46008101851851851</v>
      </c>
      <c r="AZ73" s="81">
        <v>0.5846527777777778</v>
      </c>
      <c r="BA73" s="37">
        <v>5396</v>
      </c>
      <c r="BC73" s="38">
        <v>45785</v>
      </c>
      <c r="BD73" s="38"/>
      <c r="BF73" s="55"/>
      <c r="BM73" s="73"/>
      <c r="BN73" s="73"/>
    </row>
    <row r="74" spans="22:66" ht="16" x14ac:dyDescent="0.4">
      <c r="V74" s="97">
        <v>45784</v>
      </c>
      <c r="W74">
        <v>144677</v>
      </c>
      <c r="X74" s="89" t="s">
        <v>36</v>
      </c>
      <c r="Z74" s="50">
        <v>0.94018518518518512</v>
      </c>
      <c r="AA74" s="50">
        <v>0.9435069444444445</v>
      </c>
      <c r="AD74" s="48">
        <v>19200</v>
      </c>
      <c r="AE74" s="48">
        <f t="shared" si="21"/>
        <v>19.2</v>
      </c>
      <c r="AF74">
        <v>16.12</v>
      </c>
      <c r="AG74" s="72">
        <f t="shared" si="22"/>
        <v>14</v>
      </c>
      <c r="AH74" s="37">
        <f t="shared" si="23"/>
        <v>19.2</v>
      </c>
      <c r="AJ74" s="38">
        <v>45784</v>
      </c>
      <c r="AK74" t="s">
        <v>754</v>
      </c>
      <c r="AL74" t="s">
        <v>5</v>
      </c>
      <c r="AN74" s="81" t="s">
        <v>1090</v>
      </c>
      <c r="AO74" s="81" t="s">
        <v>1091</v>
      </c>
      <c r="AP74" s="37">
        <v>3100</v>
      </c>
      <c r="AR74" s="38"/>
      <c r="AS74" s="38"/>
      <c r="AU74" s="38">
        <v>45785</v>
      </c>
      <c r="AW74" t="s">
        <v>5</v>
      </c>
      <c r="AY74" s="81">
        <v>0.66959490740740746</v>
      </c>
      <c r="AZ74" s="81">
        <v>0.53976851851851848</v>
      </c>
      <c r="BA74" s="37">
        <v>4772</v>
      </c>
      <c r="BB74" t="s">
        <v>131</v>
      </c>
      <c r="BC74" s="38">
        <v>45785</v>
      </c>
      <c r="BD74" s="38"/>
      <c r="BF74" s="55"/>
      <c r="BM74" s="73"/>
      <c r="BN74" s="73"/>
    </row>
    <row r="75" spans="22:66" ht="16" x14ac:dyDescent="0.4">
      <c r="V75" s="97">
        <v>45785</v>
      </c>
      <c r="W75">
        <v>144702</v>
      </c>
      <c r="X75" s="89" t="s">
        <v>36</v>
      </c>
      <c r="Z75" s="50">
        <v>0.76774305555555555</v>
      </c>
      <c r="AA75" s="50">
        <v>3.6793981481481483E-2</v>
      </c>
      <c r="AD75" s="48">
        <v>21058</v>
      </c>
      <c r="AE75" s="48">
        <f t="shared" si="21"/>
        <v>21.058</v>
      </c>
      <c r="AF75">
        <v>14.66</v>
      </c>
      <c r="AG75" s="72">
        <f t="shared" si="22"/>
        <v>14</v>
      </c>
      <c r="AH75" s="37">
        <f t="shared" si="23"/>
        <v>21.058</v>
      </c>
      <c r="AJ75" s="38">
        <v>45784</v>
      </c>
      <c r="AK75" t="s">
        <v>755</v>
      </c>
      <c r="AL75" t="s">
        <v>5</v>
      </c>
      <c r="AN75" s="81" t="s">
        <v>1092</v>
      </c>
      <c r="AO75" s="81" t="s">
        <v>1092</v>
      </c>
      <c r="AP75" s="37">
        <v>1120</v>
      </c>
      <c r="AR75" s="38"/>
      <c r="AS75" s="38"/>
      <c r="AU75" s="38">
        <v>45785</v>
      </c>
      <c r="AW75" t="s">
        <v>5</v>
      </c>
      <c r="AY75" s="81">
        <v>0.36311342592592594</v>
      </c>
      <c r="AZ75" s="81">
        <v>0.38010416666666669</v>
      </c>
      <c r="BA75" s="37">
        <v>3004</v>
      </c>
      <c r="BB75" t="s">
        <v>126</v>
      </c>
      <c r="BC75" s="38">
        <v>45785</v>
      </c>
      <c r="BD75" s="38"/>
      <c r="BF75" s="55"/>
      <c r="BM75" s="73"/>
      <c r="BN75" s="73"/>
    </row>
    <row r="76" spans="22:66" ht="16" x14ac:dyDescent="0.4">
      <c r="V76" s="97">
        <v>45785</v>
      </c>
      <c r="W76">
        <v>144722</v>
      </c>
      <c r="X76" s="89" t="s">
        <v>36</v>
      </c>
      <c r="Z76" s="50">
        <v>0.7971759259259259</v>
      </c>
      <c r="AA76" s="50">
        <v>0.10423611111111113</v>
      </c>
      <c r="AD76" s="48">
        <v>20258</v>
      </c>
      <c r="AE76" s="48">
        <f t="shared" si="21"/>
        <v>20.257999999999999</v>
      </c>
      <c r="AF76">
        <v>15.16</v>
      </c>
      <c r="AG76" s="72">
        <f t="shared" si="22"/>
        <v>14</v>
      </c>
      <c r="AH76" s="37">
        <f t="shared" si="23"/>
        <v>20.257999999999999</v>
      </c>
      <c r="AJ76" s="38">
        <v>45784</v>
      </c>
      <c r="AK76" t="s">
        <v>756</v>
      </c>
      <c r="AL76" t="s">
        <v>5</v>
      </c>
      <c r="AN76" s="81" t="s">
        <v>1093</v>
      </c>
      <c r="AO76" s="81" t="s">
        <v>1093</v>
      </c>
      <c r="AP76" s="37">
        <v>3070</v>
      </c>
      <c r="AR76" s="38"/>
      <c r="AS76" s="38"/>
      <c r="AU76" s="38">
        <v>45785</v>
      </c>
      <c r="AW76" t="s">
        <v>5</v>
      </c>
      <c r="AY76" s="81">
        <v>0.36223379629629626</v>
      </c>
      <c r="AZ76" s="81">
        <v>0.51512731481481489</v>
      </c>
      <c r="BA76" s="37">
        <v>2810</v>
      </c>
      <c r="BB76" t="s">
        <v>129</v>
      </c>
      <c r="BC76" s="38">
        <v>45785</v>
      </c>
      <c r="BD76" s="38"/>
      <c r="BF76" s="55"/>
      <c r="BM76" s="73"/>
      <c r="BN76" s="73"/>
    </row>
    <row r="77" spans="22:66" ht="16" x14ac:dyDescent="0.4">
      <c r="V77" s="97">
        <v>45785</v>
      </c>
      <c r="W77">
        <v>144731</v>
      </c>
      <c r="X77" s="89" t="s">
        <v>36</v>
      </c>
      <c r="Z77" s="50">
        <v>0.76766203703703706</v>
      </c>
      <c r="AA77" s="50">
        <v>0.16234953703703703</v>
      </c>
      <c r="AD77" s="48">
        <v>20280</v>
      </c>
      <c r="AE77" s="48">
        <f t="shared" ref="AE77:AE108" si="24">AD77/1000</f>
        <v>20.28</v>
      </c>
      <c r="AF77">
        <v>15.13</v>
      </c>
      <c r="AG77" s="72">
        <f t="shared" si="22"/>
        <v>14</v>
      </c>
      <c r="AH77" s="37">
        <f t="shared" si="23"/>
        <v>20.28</v>
      </c>
      <c r="AJ77" s="38">
        <v>45784</v>
      </c>
      <c r="AK77" t="s">
        <v>757</v>
      </c>
      <c r="AL77" t="s">
        <v>5</v>
      </c>
      <c r="AN77" s="81" t="s">
        <v>1094</v>
      </c>
      <c r="AO77" s="81" t="s">
        <v>1095</v>
      </c>
      <c r="AP77" s="37">
        <v>5000</v>
      </c>
      <c r="AR77" s="38"/>
      <c r="AS77" s="38"/>
      <c r="AU77" s="38">
        <v>45785</v>
      </c>
      <c r="AW77" t="s">
        <v>5</v>
      </c>
      <c r="AY77" s="81">
        <v>0.40628472222222217</v>
      </c>
      <c r="AZ77" s="81">
        <v>0.43097222222222226</v>
      </c>
      <c r="BA77" s="37">
        <v>3792</v>
      </c>
      <c r="BB77" t="s">
        <v>129</v>
      </c>
      <c r="BC77" s="38">
        <v>45785</v>
      </c>
      <c r="BD77" s="38"/>
      <c r="BF77" s="55"/>
      <c r="BM77" s="73"/>
      <c r="BN77" s="73"/>
    </row>
    <row r="78" spans="22:66" ht="16" x14ac:dyDescent="0.4">
      <c r="V78" s="97">
        <v>45785</v>
      </c>
      <c r="W78">
        <v>144739</v>
      </c>
      <c r="X78" s="89" t="s">
        <v>36</v>
      </c>
      <c r="Z78" s="50">
        <v>0.19741898148148149</v>
      </c>
      <c r="AA78" s="50">
        <v>0.22131944444444443</v>
      </c>
      <c r="AD78" s="48">
        <v>19158</v>
      </c>
      <c r="AE78" s="48">
        <f t="shared" si="24"/>
        <v>19.158000000000001</v>
      </c>
      <c r="AF78">
        <v>14.38</v>
      </c>
      <c r="AG78" s="72">
        <f t="shared" si="22"/>
        <v>14</v>
      </c>
      <c r="AH78" s="37">
        <f t="shared" si="23"/>
        <v>19.157999999999998</v>
      </c>
      <c r="AJ78" s="38">
        <v>45784</v>
      </c>
      <c r="AK78" t="s">
        <v>758</v>
      </c>
      <c r="AL78" t="s">
        <v>5</v>
      </c>
      <c r="AN78" s="81" t="s">
        <v>1096</v>
      </c>
      <c r="AO78" s="81" t="s">
        <v>1097</v>
      </c>
      <c r="AP78" s="37">
        <v>4980</v>
      </c>
      <c r="AR78" s="38"/>
      <c r="AS78" s="38"/>
      <c r="AU78" s="38">
        <v>45785</v>
      </c>
      <c r="AW78" t="s">
        <v>5</v>
      </c>
      <c r="AY78" s="81">
        <v>0.59796296296296292</v>
      </c>
      <c r="AZ78" s="81">
        <v>0.41175925925925921</v>
      </c>
      <c r="BA78" s="37">
        <v>3014</v>
      </c>
      <c r="BB78" t="s">
        <v>132</v>
      </c>
      <c r="BC78" s="38">
        <v>45785</v>
      </c>
      <c r="BD78" s="38"/>
      <c r="BF78" s="55"/>
      <c r="BM78" s="73"/>
      <c r="BN78" s="73"/>
    </row>
    <row r="79" spans="22:66" ht="16" x14ac:dyDescent="0.4">
      <c r="V79" s="97">
        <v>45785</v>
      </c>
      <c r="W79">
        <v>144784</v>
      </c>
      <c r="X79" s="89" t="s">
        <v>36</v>
      </c>
      <c r="Z79" s="50">
        <v>0.22010416666666666</v>
      </c>
      <c r="AA79" s="50">
        <v>0.32313657407407409</v>
      </c>
      <c r="AD79" s="48">
        <v>18822</v>
      </c>
      <c r="AE79" s="48">
        <f t="shared" si="24"/>
        <v>18.821999999999999</v>
      </c>
      <c r="AF79">
        <v>15.7</v>
      </c>
      <c r="AG79" s="72">
        <f t="shared" si="22"/>
        <v>14</v>
      </c>
      <c r="AH79" s="37">
        <f t="shared" si="23"/>
        <v>18.821999999999999</v>
      </c>
      <c r="AJ79" s="38">
        <v>45784</v>
      </c>
      <c r="AK79" t="s">
        <v>759</v>
      </c>
      <c r="AL79" t="s">
        <v>5</v>
      </c>
      <c r="AN79" s="81" t="s">
        <v>1098</v>
      </c>
      <c r="AO79" s="81" t="s">
        <v>1098</v>
      </c>
      <c r="AP79" s="37">
        <v>3250</v>
      </c>
      <c r="AR79" s="38"/>
      <c r="AS79" s="38"/>
      <c r="AU79" s="38">
        <v>45785</v>
      </c>
      <c r="AW79" t="s">
        <v>5</v>
      </c>
      <c r="AY79" s="81">
        <v>0.38035879629629626</v>
      </c>
      <c r="AZ79" s="81">
        <v>0.50912037037037039</v>
      </c>
      <c r="BA79" s="37">
        <v>1578</v>
      </c>
      <c r="BB79" t="s">
        <v>126</v>
      </c>
      <c r="BC79" s="38">
        <v>45785</v>
      </c>
      <c r="BD79" s="38"/>
      <c r="BF79" s="55"/>
      <c r="BM79" s="73"/>
      <c r="BN79" s="73"/>
    </row>
    <row r="80" spans="22:66" ht="16" x14ac:dyDescent="0.4">
      <c r="V80" s="97">
        <v>45785</v>
      </c>
      <c r="W80">
        <v>144855</v>
      </c>
      <c r="X80" s="89" t="s">
        <v>36</v>
      </c>
      <c r="Z80" s="50">
        <v>0.2820023148148148</v>
      </c>
      <c r="AA80" s="50">
        <v>0.38928240740740744</v>
      </c>
      <c r="AD80" s="48">
        <v>20688</v>
      </c>
      <c r="AE80" s="48">
        <f t="shared" si="24"/>
        <v>20.687999999999999</v>
      </c>
      <c r="AF80">
        <v>17.989999999999998</v>
      </c>
      <c r="AG80" s="72">
        <f t="shared" si="22"/>
        <v>14</v>
      </c>
      <c r="AH80" s="37">
        <f t="shared" si="23"/>
        <v>20.687999999999999</v>
      </c>
      <c r="AJ80" s="38">
        <v>45784</v>
      </c>
      <c r="AK80" t="s">
        <v>760</v>
      </c>
      <c r="AL80" t="s">
        <v>5</v>
      </c>
      <c r="AN80" s="81" t="s">
        <v>1099</v>
      </c>
      <c r="AO80" s="81" t="s">
        <v>1099</v>
      </c>
      <c r="AP80" s="37">
        <v>1290</v>
      </c>
      <c r="AR80" s="38"/>
      <c r="AS80" s="38"/>
      <c r="AU80" s="38">
        <v>45785</v>
      </c>
      <c r="AW80" t="s">
        <v>5</v>
      </c>
      <c r="AY80" s="81">
        <v>0.51303240740740741</v>
      </c>
      <c r="AZ80" s="81">
        <v>0.53423611111111113</v>
      </c>
      <c r="BA80" s="37">
        <v>2802</v>
      </c>
      <c r="BB80" t="s">
        <v>133</v>
      </c>
      <c r="BC80" s="38">
        <v>45785</v>
      </c>
      <c r="BD80" s="38"/>
      <c r="BF80" s="55"/>
      <c r="BM80" s="73"/>
      <c r="BN80" s="73"/>
    </row>
    <row r="81" spans="22:66" ht="16" x14ac:dyDescent="0.4">
      <c r="V81" s="97">
        <v>45785</v>
      </c>
      <c r="W81">
        <v>144943</v>
      </c>
      <c r="X81" s="89" t="s">
        <v>36</v>
      </c>
      <c r="Z81" s="50">
        <v>0.22</v>
      </c>
      <c r="AA81" s="50">
        <v>0.48184027777777777</v>
      </c>
      <c r="AD81" s="48">
        <v>20580</v>
      </c>
      <c r="AE81" s="48">
        <f t="shared" si="24"/>
        <v>20.58</v>
      </c>
      <c r="AF81">
        <v>15.22</v>
      </c>
      <c r="AG81" s="72">
        <f t="shared" si="22"/>
        <v>14</v>
      </c>
      <c r="AH81" s="37">
        <f t="shared" si="23"/>
        <v>20.580000000000002</v>
      </c>
      <c r="AJ81" s="38">
        <v>45785</v>
      </c>
      <c r="AK81" t="s">
        <v>761</v>
      </c>
      <c r="AL81" t="s">
        <v>5</v>
      </c>
      <c r="AN81" s="81" t="s">
        <v>1100</v>
      </c>
      <c r="AO81" s="81" t="s">
        <v>1101</v>
      </c>
      <c r="AP81" s="37">
        <v>3630</v>
      </c>
      <c r="AR81" s="38"/>
      <c r="AS81" s="38"/>
      <c r="AU81" s="38">
        <v>45785</v>
      </c>
      <c r="AW81" t="s">
        <v>5</v>
      </c>
      <c r="AY81" s="81">
        <v>0.65878472222222217</v>
      </c>
      <c r="AZ81" s="81">
        <v>0.67423611111111115</v>
      </c>
      <c r="BA81" s="37">
        <v>1358</v>
      </c>
      <c r="BB81" t="s">
        <v>133</v>
      </c>
      <c r="BC81" s="38">
        <v>45785</v>
      </c>
      <c r="BD81" s="38"/>
      <c r="BF81" s="55"/>
      <c r="BM81" s="73"/>
      <c r="BN81" s="73"/>
    </row>
    <row r="82" spans="22:66" ht="16" x14ac:dyDescent="0.4">
      <c r="V82" s="97">
        <v>45785</v>
      </c>
      <c r="W82">
        <v>144992</v>
      </c>
      <c r="X82" s="89" t="s">
        <v>36</v>
      </c>
      <c r="Z82" s="50">
        <v>0.28196759259259258</v>
      </c>
      <c r="AA82" s="50">
        <v>0.55222222222222228</v>
      </c>
      <c r="AD82" s="48">
        <v>21134</v>
      </c>
      <c r="AE82" s="48">
        <f t="shared" si="24"/>
        <v>21.134</v>
      </c>
      <c r="AF82">
        <v>14.74</v>
      </c>
      <c r="AG82" s="72">
        <f t="shared" si="22"/>
        <v>14</v>
      </c>
      <c r="AH82" s="37">
        <f t="shared" si="23"/>
        <v>21.133999999999997</v>
      </c>
      <c r="AJ82" s="38">
        <v>45785</v>
      </c>
      <c r="AK82" t="s">
        <v>762</v>
      </c>
      <c r="AL82" t="s">
        <v>5</v>
      </c>
      <c r="AN82" s="81" t="s">
        <v>1102</v>
      </c>
      <c r="AO82" s="81" t="s">
        <v>1102</v>
      </c>
      <c r="AP82" s="37">
        <v>2910</v>
      </c>
      <c r="AR82" s="38"/>
      <c r="AS82" s="38"/>
      <c r="AU82" s="38">
        <v>45785</v>
      </c>
      <c r="AV82">
        <v>144826</v>
      </c>
      <c r="AW82" t="s">
        <v>5</v>
      </c>
      <c r="AY82" s="81">
        <v>0.65078703703703711</v>
      </c>
      <c r="AZ82" s="81">
        <v>0.66082175925925923</v>
      </c>
      <c r="BA82" s="37">
        <v>6522</v>
      </c>
      <c r="BB82" t="s">
        <v>49</v>
      </c>
      <c r="BC82" s="38">
        <v>45785</v>
      </c>
      <c r="BD82" s="38"/>
      <c r="BF82" s="55"/>
      <c r="BM82" s="73"/>
      <c r="BN82" s="73"/>
    </row>
    <row r="83" spans="22:66" ht="16" x14ac:dyDescent="0.4">
      <c r="V83" s="97">
        <v>45785</v>
      </c>
      <c r="W83">
        <v>145047</v>
      </c>
      <c r="X83" s="89" t="s">
        <v>36</v>
      </c>
      <c r="Z83" s="50">
        <v>0.21989583333333332</v>
      </c>
      <c r="AA83" s="50">
        <v>0.62038194444444439</v>
      </c>
      <c r="AD83" s="48">
        <v>19370</v>
      </c>
      <c r="AE83" s="48">
        <f t="shared" si="24"/>
        <v>19.37</v>
      </c>
      <c r="AF83">
        <v>15.24</v>
      </c>
      <c r="AG83" s="72">
        <f t="shared" si="22"/>
        <v>14</v>
      </c>
      <c r="AH83" s="37">
        <f t="shared" si="23"/>
        <v>19.37</v>
      </c>
      <c r="AJ83" s="38">
        <v>45785</v>
      </c>
      <c r="AK83" t="s">
        <v>763</v>
      </c>
      <c r="AL83" t="s">
        <v>5</v>
      </c>
      <c r="AN83" s="81" t="s">
        <v>1103</v>
      </c>
      <c r="AO83" s="81" t="s">
        <v>1104</v>
      </c>
      <c r="AP83" s="37">
        <v>3720</v>
      </c>
      <c r="AR83" s="38"/>
      <c r="AS83" s="38"/>
      <c r="AU83" s="38">
        <v>45785</v>
      </c>
      <c r="AV83">
        <v>144821</v>
      </c>
      <c r="AW83" t="s">
        <v>5</v>
      </c>
      <c r="AY83" s="81">
        <v>0.64023148148148146</v>
      </c>
      <c r="AZ83" s="81">
        <v>0.66340277777777779</v>
      </c>
      <c r="BA83" s="37">
        <v>5402</v>
      </c>
      <c r="BB83" t="s">
        <v>49</v>
      </c>
      <c r="BC83" s="38">
        <v>45785</v>
      </c>
      <c r="BD83" s="38"/>
      <c r="BF83" s="55"/>
      <c r="BM83" s="73"/>
      <c r="BN83" s="73"/>
    </row>
    <row r="84" spans="22:66" ht="16" x14ac:dyDescent="0.4">
      <c r="V84" s="97">
        <v>45785</v>
      </c>
      <c r="W84">
        <v>145090</v>
      </c>
      <c r="X84" s="89" t="s">
        <v>36</v>
      </c>
      <c r="Z84" s="50">
        <v>0.28209490740740745</v>
      </c>
      <c r="AA84" s="50">
        <v>0.68729166666666675</v>
      </c>
      <c r="AD84" s="48">
        <v>22556</v>
      </c>
      <c r="AE84" s="48">
        <f t="shared" si="24"/>
        <v>22.556000000000001</v>
      </c>
      <c r="AF84">
        <v>14.19</v>
      </c>
      <c r="AG84" s="72">
        <f t="shared" si="22"/>
        <v>14</v>
      </c>
      <c r="AH84" s="37">
        <f t="shared" si="23"/>
        <v>22.556000000000001</v>
      </c>
      <c r="AJ84" s="38">
        <v>45785</v>
      </c>
      <c r="AK84" t="s">
        <v>764</v>
      </c>
      <c r="AL84" t="s">
        <v>5</v>
      </c>
      <c r="AN84" s="81" t="s">
        <v>1105</v>
      </c>
      <c r="AO84" s="81" t="s">
        <v>1105</v>
      </c>
      <c r="AP84" s="37">
        <v>3030</v>
      </c>
      <c r="AR84" s="38"/>
      <c r="AS84" s="38"/>
      <c r="AU84" s="38">
        <v>45786</v>
      </c>
      <c r="AV84">
        <v>145266</v>
      </c>
      <c r="AW84" t="s">
        <v>5</v>
      </c>
      <c r="AY84" s="81">
        <v>0.63575231481481487</v>
      </c>
      <c r="AZ84" s="81">
        <v>0.66312499999999996</v>
      </c>
      <c r="BA84" s="37">
        <v>3616</v>
      </c>
      <c r="BB84" t="s">
        <v>49</v>
      </c>
      <c r="BC84" s="38">
        <v>45786</v>
      </c>
      <c r="BD84" s="38"/>
      <c r="BF84" s="55"/>
      <c r="BM84" s="73"/>
      <c r="BN84" s="73"/>
    </row>
    <row r="85" spans="22:66" ht="16" x14ac:dyDescent="0.4">
      <c r="V85" s="97">
        <v>45785</v>
      </c>
      <c r="W85">
        <v>145129</v>
      </c>
      <c r="X85" s="89" t="s">
        <v>36</v>
      </c>
      <c r="Z85" s="50">
        <v>0.69476851851851851</v>
      </c>
      <c r="AA85" s="50">
        <v>0.7740393518518518</v>
      </c>
      <c r="AD85" s="48">
        <v>19406</v>
      </c>
      <c r="AE85" s="48">
        <f t="shared" si="24"/>
        <v>19.405999999999999</v>
      </c>
      <c r="AF85">
        <v>14.43</v>
      </c>
      <c r="AG85" s="72">
        <f t="shared" si="22"/>
        <v>14</v>
      </c>
      <c r="AH85" s="37">
        <f t="shared" si="23"/>
        <v>19.405999999999999</v>
      </c>
      <c r="AJ85" s="38">
        <v>45785</v>
      </c>
      <c r="AK85" t="s">
        <v>765</v>
      </c>
      <c r="AL85" t="s">
        <v>5</v>
      </c>
      <c r="AN85" s="81" t="s">
        <v>1106</v>
      </c>
      <c r="AO85" s="81" t="s">
        <v>1107</v>
      </c>
      <c r="AP85" s="37">
        <v>6040</v>
      </c>
      <c r="AR85" s="38"/>
      <c r="AS85" s="38"/>
      <c r="AU85" s="38">
        <v>45786</v>
      </c>
      <c r="AV85">
        <v>145264</v>
      </c>
      <c r="AW85" t="s">
        <v>5</v>
      </c>
      <c r="AY85" s="81">
        <v>0.65260416666666665</v>
      </c>
      <c r="AZ85" s="81">
        <v>0.66053240740740737</v>
      </c>
      <c r="BA85" s="37">
        <v>4382</v>
      </c>
      <c r="BB85" t="s">
        <v>49</v>
      </c>
      <c r="BC85" s="38">
        <v>45786</v>
      </c>
      <c r="BD85" s="38"/>
      <c r="BF85" s="55"/>
      <c r="BM85" s="73"/>
      <c r="BN85" s="73"/>
    </row>
    <row r="86" spans="22:66" ht="16" x14ac:dyDescent="0.4">
      <c r="V86" s="97">
        <v>45785</v>
      </c>
      <c r="W86">
        <v>145146</v>
      </c>
      <c r="X86" s="89" t="s">
        <v>36</v>
      </c>
      <c r="Z86" s="50">
        <v>0.74362268518518526</v>
      </c>
      <c r="AA86" s="50">
        <v>0.83686342592592589</v>
      </c>
      <c r="AD86" s="48">
        <v>19550</v>
      </c>
      <c r="AE86" s="48">
        <f t="shared" si="24"/>
        <v>19.55</v>
      </c>
      <c r="AF86">
        <v>12.22</v>
      </c>
      <c r="AG86" s="72">
        <f t="shared" si="22"/>
        <v>12.22</v>
      </c>
      <c r="AH86" s="37">
        <f t="shared" si="23"/>
        <v>17.064357142857144</v>
      </c>
      <c r="AJ86" s="38">
        <v>45785</v>
      </c>
      <c r="AK86" t="s">
        <v>766</v>
      </c>
      <c r="AL86" t="s">
        <v>5</v>
      </c>
      <c r="AN86" s="81" t="s">
        <v>1108</v>
      </c>
      <c r="AO86" s="81" t="s">
        <v>1108</v>
      </c>
      <c r="AP86" s="37">
        <v>1360</v>
      </c>
      <c r="AR86" s="38"/>
      <c r="AS86" s="38"/>
      <c r="AU86" s="38">
        <v>45786</v>
      </c>
      <c r="AV86">
        <v>145267</v>
      </c>
      <c r="AW86" t="s">
        <v>5</v>
      </c>
      <c r="AY86" s="81">
        <v>0.64835648148148151</v>
      </c>
      <c r="AZ86" s="81">
        <v>0.66138888888888892</v>
      </c>
      <c r="BA86" s="37">
        <v>2808</v>
      </c>
      <c r="BB86" t="s">
        <v>49</v>
      </c>
      <c r="BC86" s="38">
        <v>45786</v>
      </c>
      <c r="BD86" s="38"/>
      <c r="BF86" s="55"/>
      <c r="BM86" s="73"/>
      <c r="BN86" s="73"/>
    </row>
    <row r="87" spans="22:66" ht="16" x14ac:dyDescent="0.4">
      <c r="V87" s="97">
        <v>45785</v>
      </c>
      <c r="W87">
        <v>145182</v>
      </c>
      <c r="X87" s="89" t="s">
        <v>36</v>
      </c>
      <c r="Z87" s="50">
        <v>0.69499999999999995</v>
      </c>
      <c r="AA87" s="50">
        <v>0.90427083333333336</v>
      </c>
      <c r="AD87" s="48">
        <v>20404</v>
      </c>
      <c r="AE87" s="48">
        <f t="shared" si="24"/>
        <v>20.404</v>
      </c>
      <c r="AF87">
        <v>13.87</v>
      </c>
      <c r="AG87" s="72">
        <f t="shared" si="22"/>
        <v>13.87</v>
      </c>
      <c r="AH87" s="37">
        <f t="shared" si="23"/>
        <v>20.214534285714283</v>
      </c>
      <c r="AJ87" s="38">
        <v>45785</v>
      </c>
      <c r="AK87" t="s">
        <v>767</v>
      </c>
      <c r="AL87" t="s">
        <v>5</v>
      </c>
      <c r="AN87" s="81" t="s">
        <v>1109</v>
      </c>
      <c r="AO87" s="81" t="s">
        <v>1109</v>
      </c>
      <c r="AP87" s="37">
        <v>2770</v>
      </c>
      <c r="AR87" s="38"/>
      <c r="AS87" s="38"/>
      <c r="AU87" s="38">
        <v>45786</v>
      </c>
      <c r="AW87" t="s">
        <v>5</v>
      </c>
      <c r="AY87" s="81">
        <v>0.41936342592592596</v>
      </c>
      <c r="AZ87" s="81">
        <v>0.43402777777777773</v>
      </c>
      <c r="BA87" s="37">
        <v>2400</v>
      </c>
      <c r="BB87" t="s">
        <v>134</v>
      </c>
      <c r="BC87" s="38">
        <v>45786</v>
      </c>
      <c r="BD87" s="38"/>
      <c r="BF87" s="55"/>
      <c r="BM87" s="73"/>
      <c r="BN87" s="73"/>
    </row>
    <row r="88" spans="22:66" ht="16" x14ac:dyDescent="0.4">
      <c r="V88" s="97">
        <v>45786</v>
      </c>
      <c r="W88">
        <v>145209</v>
      </c>
      <c r="X88" s="89" t="s">
        <v>36</v>
      </c>
      <c r="Z88" s="50">
        <v>0.74371527777777768</v>
      </c>
      <c r="AA88" s="50">
        <v>0.99331018518518521</v>
      </c>
      <c r="AD88" s="48">
        <v>21138</v>
      </c>
      <c r="AE88" s="48">
        <f t="shared" si="24"/>
        <v>21.138000000000002</v>
      </c>
      <c r="AF88">
        <v>14.17</v>
      </c>
      <c r="AG88" s="72">
        <f t="shared" si="22"/>
        <v>14</v>
      </c>
      <c r="AH88" s="37">
        <f t="shared" si="23"/>
        <v>21.138000000000002</v>
      </c>
      <c r="AJ88" s="38">
        <v>45785</v>
      </c>
      <c r="AK88" t="s">
        <v>768</v>
      </c>
      <c r="AL88" t="s">
        <v>5</v>
      </c>
      <c r="AN88" s="81" t="s">
        <v>1110</v>
      </c>
      <c r="AO88" s="81" t="s">
        <v>1111</v>
      </c>
      <c r="AP88" s="37">
        <v>4810</v>
      </c>
      <c r="AR88" s="38"/>
      <c r="AS88" s="38"/>
      <c r="AU88" s="38">
        <v>45786</v>
      </c>
      <c r="AW88" t="s">
        <v>5</v>
      </c>
      <c r="AY88" s="81">
        <v>0.43444444444444441</v>
      </c>
      <c r="AZ88" s="81">
        <v>0.56012731481481481</v>
      </c>
      <c r="BA88" s="37">
        <v>2748</v>
      </c>
      <c r="BB88" t="s">
        <v>134</v>
      </c>
      <c r="BC88" s="38">
        <v>45786</v>
      </c>
      <c r="BD88" s="38"/>
      <c r="BF88" s="78"/>
      <c r="BG88" s="57"/>
      <c r="BI88" s="36"/>
      <c r="BM88" s="79"/>
      <c r="BN88" s="79"/>
    </row>
    <row r="89" spans="22:66" ht="16" x14ac:dyDescent="0.4">
      <c r="V89" s="97">
        <v>45786</v>
      </c>
      <c r="W89">
        <v>145224</v>
      </c>
      <c r="X89" s="89" t="s">
        <v>36</v>
      </c>
      <c r="Z89" s="50">
        <v>0.81974537037037043</v>
      </c>
      <c r="AA89" s="50">
        <v>5.3437499999999999E-2</v>
      </c>
      <c r="AD89" s="48">
        <v>20112</v>
      </c>
      <c r="AE89" s="48">
        <f t="shared" si="24"/>
        <v>20.111999999999998</v>
      </c>
      <c r="AF89">
        <v>13.49</v>
      </c>
      <c r="AG89" s="72">
        <f t="shared" si="22"/>
        <v>13.49</v>
      </c>
      <c r="AH89" s="37">
        <f t="shared" si="23"/>
        <v>19.379348571428572</v>
      </c>
      <c r="AJ89" s="38">
        <v>45785</v>
      </c>
      <c r="AK89" t="s">
        <v>769</v>
      </c>
      <c r="AL89" t="s">
        <v>5</v>
      </c>
      <c r="AN89" s="81" t="s">
        <v>1112</v>
      </c>
      <c r="AO89" s="81" t="s">
        <v>1113</v>
      </c>
      <c r="AP89" s="37">
        <v>5450</v>
      </c>
      <c r="AR89" s="38"/>
      <c r="AS89" s="38"/>
      <c r="AU89" s="38">
        <v>45786</v>
      </c>
      <c r="AW89" t="s">
        <v>5</v>
      </c>
      <c r="AY89" s="81">
        <v>0.38575231481481481</v>
      </c>
      <c r="AZ89" s="81">
        <v>0.40634259259259259</v>
      </c>
      <c r="BA89" s="37">
        <v>2634</v>
      </c>
      <c r="BB89" t="s">
        <v>130</v>
      </c>
      <c r="BC89" s="38">
        <v>45786</v>
      </c>
      <c r="BD89" s="38"/>
      <c r="BF89" s="78"/>
      <c r="BG89" s="57"/>
      <c r="BI89" s="36"/>
      <c r="BM89" s="79"/>
      <c r="BN89" s="79"/>
    </row>
    <row r="90" spans="22:66" ht="16" x14ac:dyDescent="0.4">
      <c r="V90" s="97">
        <v>45786</v>
      </c>
      <c r="W90">
        <v>145247</v>
      </c>
      <c r="X90" s="89" t="s">
        <v>36</v>
      </c>
      <c r="Z90" s="50">
        <v>0.74380787037037033</v>
      </c>
      <c r="AA90" s="50">
        <v>0.1234837962962963</v>
      </c>
      <c r="AD90" s="48">
        <v>19872</v>
      </c>
      <c r="AE90" s="48">
        <f t="shared" si="24"/>
        <v>19.872</v>
      </c>
      <c r="AF90">
        <v>15.17</v>
      </c>
      <c r="AG90" s="72">
        <f t="shared" si="22"/>
        <v>14</v>
      </c>
      <c r="AH90" s="37">
        <f t="shared" si="23"/>
        <v>19.871999999999996</v>
      </c>
      <c r="AJ90" s="38">
        <v>45785</v>
      </c>
      <c r="AK90" t="s">
        <v>770</v>
      </c>
      <c r="AL90" t="s">
        <v>5</v>
      </c>
      <c r="AN90" s="81" t="s">
        <v>1114</v>
      </c>
      <c r="AO90" s="81" t="s">
        <v>1114</v>
      </c>
      <c r="AP90" s="37">
        <v>4620</v>
      </c>
      <c r="AR90" s="38"/>
      <c r="AS90" s="38"/>
      <c r="AU90" s="38">
        <v>45786</v>
      </c>
      <c r="AW90" t="s">
        <v>5</v>
      </c>
      <c r="AY90" s="81">
        <v>0.40719907407407407</v>
      </c>
      <c r="AZ90" s="81">
        <v>0.58203703703703702</v>
      </c>
      <c r="BA90" s="37">
        <v>2678</v>
      </c>
      <c r="BB90" t="s">
        <v>130</v>
      </c>
      <c r="BC90" s="38">
        <v>45786</v>
      </c>
      <c r="BD90" s="38"/>
      <c r="BF90" s="78"/>
      <c r="BG90" s="57"/>
      <c r="BI90" s="36"/>
      <c r="BM90" s="79"/>
      <c r="BN90" s="79"/>
    </row>
    <row r="91" spans="22:66" ht="16" x14ac:dyDescent="0.4">
      <c r="V91" s="97">
        <v>45786</v>
      </c>
      <c r="W91">
        <v>145256</v>
      </c>
      <c r="X91" s="89" t="s">
        <v>36</v>
      </c>
      <c r="Z91" s="50">
        <v>0.69486111111111104</v>
      </c>
      <c r="AA91" s="50">
        <v>0.18025462962962965</v>
      </c>
      <c r="AD91" s="48">
        <v>19692</v>
      </c>
      <c r="AE91" s="48">
        <f t="shared" si="24"/>
        <v>19.692</v>
      </c>
      <c r="AF91">
        <v>14.12</v>
      </c>
      <c r="AG91" s="72">
        <f t="shared" si="22"/>
        <v>14</v>
      </c>
      <c r="AH91" s="37">
        <f t="shared" si="23"/>
        <v>19.692</v>
      </c>
      <c r="AJ91" s="38">
        <v>45785</v>
      </c>
      <c r="AK91" t="s">
        <v>771</v>
      </c>
      <c r="AL91" t="s">
        <v>5</v>
      </c>
      <c r="AN91" s="81" t="s">
        <v>1115</v>
      </c>
      <c r="AO91" s="81" t="s">
        <v>1115</v>
      </c>
      <c r="AP91" s="37">
        <v>2400</v>
      </c>
      <c r="AR91" s="38"/>
      <c r="AS91" s="38"/>
      <c r="AU91" s="38">
        <v>45786</v>
      </c>
      <c r="AW91" t="s">
        <v>5</v>
      </c>
      <c r="AY91" s="81">
        <v>0.55287037037037035</v>
      </c>
      <c r="AZ91" s="81">
        <v>0.63577546296296295</v>
      </c>
      <c r="BA91" s="37">
        <v>5148</v>
      </c>
      <c r="BB91" t="s">
        <v>135</v>
      </c>
      <c r="BC91" s="38">
        <v>45786</v>
      </c>
      <c r="BD91" s="38"/>
      <c r="BF91" s="78"/>
      <c r="BG91" s="57"/>
      <c r="BI91" s="36"/>
      <c r="BM91" s="79"/>
      <c r="BN91" s="79"/>
    </row>
    <row r="92" spans="22:66" ht="16" x14ac:dyDescent="0.4">
      <c r="V92" s="97">
        <v>45786</v>
      </c>
      <c r="W92">
        <v>145269</v>
      </c>
      <c r="X92" s="89" t="s">
        <v>36</v>
      </c>
      <c r="Z92" s="50">
        <v>0.16420138888888888</v>
      </c>
      <c r="AA92" s="50">
        <v>0.23413194444444443</v>
      </c>
      <c r="AD92" s="48">
        <v>19762</v>
      </c>
      <c r="AE92" s="48">
        <f t="shared" si="24"/>
        <v>19.762</v>
      </c>
      <c r="AF92">
        <v>14.89</v>
      </c>
      <c r="AG92" s="72">
        <f t="shared" si="22"/>
        <v>14</v>
      </c>
      <c r="AH92" s="37">
        <f t="shared" si="23"/>
        <v>19.762</v>
      </c>
      <c r="AJ92" s="38">
        <v>45786</v>
      </c>
      <c r="AK92" t="s">
        <v>772</v>
      </c>
      <c r="AL92" t="s">
        <v>5</v>
      </c>
      <c r="AN92" s="81" t="s">
        <v>1116</v>
      </c>
      <c r="AO92" s="81" t="s">
        <v>1117</v>
      </c>
      <c r="AP92" s="37">
        <v>2720</v>
      </c>
      <c r="AR92" s="38"/>
      <c r="AS92" s="38"/>
      <c r="AU92" s="38">
        <v>45786</v>
      </c>
      <c r="AW92" t="s">
        <v>5</v>
      </c>
      <c r="AY92" s="81">
        <v>0.23157407407407407</v>
      </c>
      <c r="AZ92" s="81">
        <v>0.45179398148148148</v>
      </c>
      <c r="BA92" s="37">
        <v>3212</v>
      </c>
      <c r="BB92" t="s">
        <v>136</v>
      </c>
      <c r="BC92" s="38">
        <v>45786</v>
      </c>
      <c r="BD92" s="38"/>
      <c r="BF92" s="78"/>
      <c r="BG92" s="57"/>
      <c r="BI92" s="36"/>
      <c r="BM92" s="79"/>
      <c r="BN92" s="79"/>
    </row>
    <row r="93" spans="22:66" ht="16" x14ac:dyDescent="0.4">
      <c r="V93" s="97">
        <v>45786</v>
      </c>
      <c r="W93">
        <v>145290</v>
      </c>
      <c r="X93" s="89" t="s">
        <v>36</v>
      </c>
      <c r="Z93" s="50">
        <v>0.23178240740740741</v>
      </c>
      <c r="AA93" s="50">
        <v>0.30010416666666667</v>
      </c>
      <c r="AD93" s="48">
        <v>22110</v>
      </c>
      <c r="AE93" s="48">
        <f t="shared" si="24"/>
        <v>22.11</v>
      </c>
      <c r="AF93">
        <v>14.54</v>
      </c>
      <c r="AG93" s="72">
        <f t="shared" si="22"/>
        <v>14</v>
      </c>
      <c r="AH93" s="37">
        <f t="shared" si="23"/>
        <v>22.109999999999996</v>
      </c>
      <c r="AJ93" s="38">
        <v>45786</v>
      </c>
      <c r="AK93" t="s">
        <v>773</v>
      </c>
      <c r="AL93" t="s">
        <v>5</v>
      </c>
      <c r="AN93" s="81" t="s">
        <v>1118</v>
      </c>
      <c r="AO93" s="81" t="s">
        <v>1119</v>
      </c>
      <c r="AP93" s="37">
        <v>2820</v>
      </c>
      <c r="AR93" s="38"/>
      <c r="AS93" s="38"/>
      <c r="AU93" s="38">
        <v>45786</v>
      </c>
      <c r="AW93" t="s">
        <v>5</v>
      </c>
      <c r="AY93" s="81">
        <v>0.53113425925925928</v>
      </c>
      <c r="AZ93" s="81">
        <v>0.463900462962963</v>
      </c>
      <c r="BA93" s="37">
        <v>3836</v>
      </c>
      <c r="BB93" t="s">
        <v>136</v>
      </c>
      <c r="BC93" s="38">
        <v>45786</v>
      </c>
      <c r="BD93" s="38"/>
      <c r="BF93" s="78"/>
      <c r="BG93" s="57"/>
      <c r="BI93" s="36"/>
      <c r="BM93" s="79"/>
      <c r="BN93" s="79"/>
    </row>
    <row r="94" spans="22:66" ht="16" x14ac:dyDescent="0.4">
      <c r="V94" s="97">
        <v>45786</v>
      </c>
      <c r="W94">
        <v>145355</v>
      </c>
      <c r="X94" s="89" t="s">
        <v>36</v>
      </c>
      <c r="Z94" s="50">
        <v>0.16409722222222223</v>
      </c>
      <c r="AA94" s="50">
        <v>0.36570601851851853</v>
      </c>
      <c r="AD94" s="48">
        <v>20666</v>
      </c>
      <c r="AE94" s="48">
        <f t="shared" si="24"/>
        <v>20.666</v>
      </c>
      <c r="AF94">
        <v>15.38</v>
      </c>
      <c r="AG94" s="72">
        <f t="shared" si="22"/>
        <v>14</v>
      </c>
      <c r="AH94" s="37">
        <f t="shared" si="23"/>
        <v>20.666</v>
      </c>
      <c r="AJ94" s="38">
        <v>45786</v>
      </c>
      <c r="AK94" t="s">
        <v>774</v>
      </c>
      <c r="AL94" t="s">
        <v>5</v>
      </c>
      <c r="AN94" s="81" t="s">
        <v>1120</v>
      </c>
      <c r="AO94" s="81" t="s">
        <v>1121</v>
      </c>
      <c r="AP94" s="37">
        <v>3840</v>
      </c>
      <c r="AR94" s="38"/>
      <c r="AS94" s="38"/>
      <c r="AU94" s="38">
        <v>45786</v>
      </c>
      <c r="AW94" t="s">
        <v>5</v>
      </c>
      <c r="AY94" s="81">
        <v>0.62667824074074074</v>
      </c>
      <c r="AZ94" s="81">
        <v>0.34592592592592591</v>
      </c>
      <c r="BA94" s="37">
        <v>2768</v>
      </c>
      <c r="BB94" t="s">
        <v>134</v>
      </c>
      <c r="BC94" s="38">
        <v>45786</v>
      </c>
      <c r="BD94" s="38"/>
      <c r="BF94" s="78"/>
      <c r="BG94" s="57"/>
      <c r="BI94" s="36"/>
      <c r="BM94" s="79"/>
      <c r="BN94" s="79"/>
    </row>
    <row r="95" spans="22:66" ht="16" x14ac:dyDescent="0.4">
      <c r="V95" s="97">
        <v>45786</v>
      </c>
      <c r="W95">
        <v>145501</v>
      </c>
      <c r="X95" s="89" t="s">
        <v>36</v>
      </c>
      <c r="Z95" s="50">
        <v>0.16399305555555554</v>
      </c>
      <c r="AA95" s="50">
        <v>0.54200231481481487</v>
      </c>
      <c r="AD95" s="48">
        <v>21484</v>
      </c>
      <c r="AE95" s="48">
        <f t="shared" si="24"/>
        <v>21.484000000000002</v>
      </c>
      <c r="AF95">
        <v>15.98</v>
      </c>
      <c r="AG95" s="72">
        <f t="shared" si="22"/>
        <v>14</v>
      </c>
      <c r="AH95" s="37">
        <f t="shared" si="23"/>
        <v>21.484000000000002</v>
      </c>
      <c r="AJ95" s="38">
        <v>45786</v>
      </c>
      <c r="AK95" t="s">
        <v>775</v>
      </c>
      <c r="AL95" t="s">
        <v>5</v>
      </c>
      <c r="AN95" s="81" t="s">
        <v>1122</v>
      </c>
      <c r="AO95" s="81" t="s">
        <v>1122</v>
      </c>
      <c r="AP95" s="37">
        <v>2500</v>
      </c>
      <c r="AR95" s="38"/>
      <c r="AS95" s="38"/>
      <c r="AU95" s="38">
        <v>45787</v>
      </c>
      <c r="AW95" t="s">
        <v>5</v>
      </c>
      <c r="AY95" s="81">
        <v>0.64444444444444449</v>
      </c>
      <c r="AZ95" s="81">
        <v>0.66111111111111109</v>
      </c>
      <c r="BA95" s="37">
        <v>5244</v>
      </c>
      <c r="BC95" s="38">
        <v>45787</v>
      </c>
      <c r="BD95" s="38"/>
      <c r="BF95" s="78"/>
      <c r="BG95" s="57"/>
      <c r="BI95" s="36"/>
      <c r="BM95" s="79"/>
      <c r="BN95" s="79"/>
    </row>
    <row r="96" spans="22:66" ht="16" x14ac:dyDescent="0.4">
      <c r="V96" s="97">
        <v>45786</v>
      </c>
      <c r="W96">
        <v>145583</v>
      </c>
      <c r="X96" s="89" t="s">
        <v>36</v>
      </c>
      <c r="Z96" s="50">
        <v>0.23167824074074073</v>
      </c>
      <c r="AA96" s="50">
        <v>0.61406250000000007</v>
      </c>
      <c r="AD96" s="48">
        <v>20644</v>
      </c>
      <c r="AE96" s="48">
        <f t="shared" si="24"/>
        <v>20.643999999999998</v>
      </c>
      <c r="AF96">
        <v>15.85</v>
      </c>
      <c r="AG96" s="72">
        <f t="shared" si="22"/>
        <v>14</v>
      </c>
      <c r="AH96" s="37">
        <f t="shared" si="23"/>
        <v>20.643999999999998</v>
      </c>
      <c r="AJ96" s="38">
        <v>45786</v>
      </c>
      <c r="AK96" t="s">
        <v>776</v>
      </c>
      <c r="AL96" t="s">
        <v>5</v>
      </c>
      <c r="AN96" s="81" t="s">
        <v>1123</v>
      </c>
      <c r="AO96" s="81" t="s">
        <v>1123</v>
      </c>
      <c r="AP96" s="37">
        <v>2370</v>
      </c>
      <c r="AR96" s="38"/>
      <c r="AS96" s="38"/>
      <c r="AU96" s="38">
        <v>45787</v>
      </c>
      <c r="AW96" t="s">
        <v>5</v>
      </c>
      <c r="AY96" s="81">
        <v>0.47847222222222219</v>
      </c>
      <c r="AZ96" s="81">
        <v>0.36874999999999997</v>
      </c>
      <c r="BA96" s="37">
        <v>3908</v>
      </c>
      <c r="BB96" t="s">
        <v>106</v>
      </c>
      <c r="BC96" s="38">
        <v>45787</v>
      </c>
      <c r="BD96" s="38"/>
      <c r="BF96" s="78"/>
      <c r="BG96" s="57"/>
      <c r="BI96" s="36"/>
      <c r="BM96" s="79"/>
      <c r="BN96" s="79"/>
    </row>
    <row r="97" spans="22:66" ht="16" x14ac:dyDescent="0.4">
      <c r="V97" s="97">
        <v>45786</v>
      </c>
      <c r="W97">
        <v>145621</v>
      </c>
      <c r="X97" s="89" t="s">
        <v>36</v>
      </c>
      <c r="Z97" s="50">
        <v>0.61020833333333335</v>
      </c>
      <c r="AA97" s="50">
        <v>0.67071759259259256</v>
      </c>
      <c r="AD97" s="48">
        <v>20484</v>
      </c>
      <c r="AE97" s="48">
        <f t="shared" si="24"/>
        <v>20.484000000000002</v>
      </c>
      <c r="AF97">
        <v>15.34</v>
      </c>
      <c r="AG97" s="72">
        <f t="shared" si="22"/>
        <v>14</v>
      </c>
      <c r="AH97" s="37">
        <f t="shared" si="23"/>
        <v>20.484000000000002</v>
      </c>
      <c r="AJ97" s="38">
        <v>45786</v>
      </c>
      <c r="AK97" t="s">
        <v>777</v>
      </c>
      <c r="AL97" t="s">
        <v>5</v>
      </c>
      <c r="AN97" s="81" t="s">
        <v>1124</v>
      </c>
      <c r="AO97" s="81" t="s">
        <v>1124</v>
      </c>
      <c r="AP97" s="37">
        <v>3030</v>
      </c>
      <c r="AR97" s="38"/>
      <c r="AS97" s="38"/>
      <c r="AU97" s="38">
        <v>45787</v>
      </c>
      <c r="AW97" t="s">
        <v>5</v>
      </c>
      <c r="AY97" s="81">
        <v>0.60416666666666663</v>
      </c>
      <c r="AZ97" s="81">
        <v>0.3923611111111111</v>
      </c>
      <c r="BA97" s="37">
        <v>3246</v>
      </c>
      <c r="BB97" t="s">
        <v>136</v>
      </c>
      <c r="BC97" s="38">
        <v>45787</v>
      </c>
      <c r="BD97" s="38"/>
      <c r="BF97" s="78"/>
      <c r="BG97" s="57"/>
      <c r="BI97" s="36"/>
      <c r="BM97" s="79"/>
      <c r="BN97" s="79"/>
    </row>
    <row r="98" spans="22:66" ht="16" x14ac:dyDescent="0.4">
      <c r="V98" s="97">
        <v>45786</v>
      </c>
      <c r="W98">
        <v>145445</v>
      </c>
      <c r="X98" s="89" t="s">
        <v>36</v>
      </c>
      <c r="Z98" s="50">
        <v>0.23157407407407407</v>
      </c>
      <c r="AA98" s="50">
        <v>0.45177083333333329</v>
      </c>
      <c r="AD98" s="48">
        <v>18616</v>
      </c>
      <c r="AE98" s="48">
        <f t="shared" si="24"/>
        <v>18.616</v>
      </c>
      <c r="AF98">
        <v>15.91</v>
      </c>
      <c r="AG98" s="72">
        <f t="shared" si="22"/>
        <v>14</v>
      </c>
      <c r="AH98" s="37">
        <f t="shared" si="23"/>
        <v>18.616000000000003</v>
      </c>
      <c r="AJ98" s="38">
        <v>45786</v>
      </c>
      <c r="AK98" t="s">
        <v>778</v>
      </c>
      <c r="AL98" t="s">
        <v>5</v>
      </c>
      <c r="AN98" s="81" t="s">
        <v>1125</v>
      </c>
      <c r="AO98" s="81" t="s">
        <v>1125</v>
      </c>
      <c r="AP98" s="37">
        <v>3750</v>
      </c>
      <c r="AR98" s="38"/>
      <c r="AS98" s="38"/>
      <c r="AU98" s="38">
        <v>45786</v>
      </c>
      <c r="AW98" t="s">
        <v>5</v>
      </c>
      <c r="AY98" s="81">
        <v>0.58958333333333335</v>
      </c>
      <c r="AZ98" s="81">
        <v>0.60416666666666663</v>
      </c>
      <c r="BA98" s="37">
        <v>3150</v>
      </c>
      <c r="BB98" t="s">
        <v>136</v>
      </c>
      <c r="BC98" s="38">
        <v>45787</v>
      </c>
      <c r="BD98" s="38"/>
      <c r="BF98" s="78"/>
      <c r="BG98" s="57"/>
      <c r="BI98" s="36"/>
      <c r="BM98" s="79"/>
      <c r="BN98" s="79"/>
    </row>
    <row r="99" spans="22:66" ht="16" x14ac:dyDescent="0.4">
      <c r="V99" s="97">
        <v>45786</v>
      </c>
      <c r="W99">
        <v>145655</v>
      </c>
      <c r="X99" s="89" t="s">
        <v>36</v>
      </c>
      <c r="Z99" s="50">
        <v>0.67354166666666659</v>
      </c>
      <c r="AA99" s="50">
        <v>0.72991898148148149</v>
      </c>
      <c r="AD99" s="48">
        <v>20680</v>
      </c>
      <c r="AE99" s="48">
        <f t="shared" si="24"/>
        <v>20.68</v>
      </c>
      <c r="AF99">
        <v>14.06</v>
      </c>
      <c r="AG99" s="72">
        <f t="shared" si="22"/>
        <v>14</v>
      </c>
      <c r="AH99" s="37">
        <f t="shared" si="23"/>
        <v>20.68</v>
      </c>
      <c r="AJ99" s="38">
        <v>45786</v>
      </c>
      <c r="AK99" t="s">
        <v>779</v>
      </c>
      <c r="AL99" t="s">
        <v>5</v>
      </c>
      <c r="AN99" s="81" t="s">
        <v>1126</v>
      </c>
      <c r="AO99" s="81" t="s">
        <v>1127</v>
      </c>
      <c r="AP99" s="37">
        <v>2410</v>
      </c>
      <c r="AR99" s="38"/>
      <c r="AS99" s="38"/>
      <c r="AU99" s="38">
        <v>45787</v>
      </c>
      <c r="AW99" t="s">
        <v>5</v>
      </c>
      <c r="AY99" s="81">
        <v>0.64861111111111114</v>
      </c>
      <c r="AZ99" s="81">
        <v>0.66041666666666665</v>
      </c>
      <c r="BA99" s="37">
        <v>1990</v>
      </c>
      <c r="BC99" s="38">
        <v>45787</v>
      </c>
      <c r="BD99" s="38"/>
      <c r="BF99" s="78"/>
      <c r="BG99" s="57"/>
      <c r="BI99" s="36"/>
      <c r="BM99" s="79"/>
      <c r="BN99" s="79"/>
    </row>
    <row r="100" spans="22:66" ht="16" x14ac:dyDescent="0.4">
      <c r="V100" s="97">
        <v>45786</v>
      </c>
      <c r="W100">
        <v>145667</v>
      </c>
      <c r="X100" s="89" t="s">
        <v>36</v>
      </c>
      <c r="Z100" s="50">
        <v>0.61033564814814811</v>
      </c>
      <c r="AA100" s="50">
        <v>0.79535879629629624</v>
      </c>
      <c r="AD100" s="48">
        <v>18670</v>
      </c>
      <c r="AE100" s="48">
        <f t="shared" si="24"/>
        <v>18.670000000000002</v>
      </c>
      <c r="AF100">
        <v>15.09</v>
      </c>
      <c r="AG100" s="72">
        <f t="shared" si="22"/>
        <v>14</v>
      </c>
      <c r="AH100" s="37">
        <f t="shared" si="23"/>
        <v>18.669999999999998</v>
      </c>
      <c r="AJ100" s="38">
        <v>45786</v>
      </c>
      <c r="AK100" t="s">
        <v>780</v>
      </c>
      <c r="AL100" t="s">
        <v>5</v>
      </c>
      <c r="AN100" s="81" t="s">
        <v>1128</v>
      </c>
      <c r="AO100" s="81" t="s">
        <v>1128</v>
      </c>
      <c r="AP100" s="37">
        <v>2580</v>
      </c>
      <c r="AR100" s="38"/>
      <c r="AS100" s="38"/>
      <c r="AU100" s="38">
        <v>45787</v>
      </c>
      <c r="AW100" t="s">
        <v>5</v>
      </c>
      <c r="AY100" s="81">
        <v>0.65486111111111112</v>
      </c>
      <c r="AZ100" s="81">
        <v>0.45833333333333331</v>
      </c>
      <c r="BA100" s="37">
        <v>5392</v>
      </c>
      <c r="BB100" t="s">
        <v>137</v>
      </c>
      <c r="BC100" s="38">
        <v>45787</v>
      </c>
      <c r="BD100" s="38"/>
      <c r="BF100" s="78"/>
      <c r="BG100" s="57"/>
      <c r="BI100" s="36"/>
      <c r="BM100" s="80"/>
      <c r="BN100" s="80"/>
    </row>
    <row r="101" spans="22:66" ht="16" x14ac:dyDescent="0.4">
      <c r="V101" s="97">
        <v>45786</v>
      </c>
      <c r="W101">
        <v>145696</v>
      </c>
      <c r="X101" s="89" t="s">
        <v>36</v>
      </c>
      <c r="Z101" s="50">
        <v>0.673761574074074</v>
      </c>
      <c r="AA101" s="50">
        <v>0.86577546296296293</v>
      </c>
      <c r="AD101" s="48">
        <v>20080</v>
      </c>
      <c r="AE101" s="48">
        <f t="shared" si="24"/>
        <v>20.079999999999998</v>
      </c>
      <c r="AF101">
        <v>15.59</v>
      </c>
      <c r="AG101" s="72">
        <f t="shared" si="22"/>
        <v>14</v>
      </c>
      <c r="AH101" s="37">
        <f t="shared" si="23"/>
        <v>20.080000000000002</v>
      </c>
      <c r="AJ101" s="38">
        <v>45786</v>
      </c>
      <c r="AK101" t="s">
        <v>781</v>
      </c>
      <c r="AL101" t="s">
        <v>5</v>
      </c>
      <c r="AN101" s="81" t="s">
        <v>1129</v>
      </c>
      <c r="AO101" s="81" t="s">
        <v>1129</v>
      </c>
      <c r="AP101" s="37">
        <v>2570</v>
      </c>
      <c r="AR101" s="38"/>
      <c r="AS101" s="38"/>
      <c r="AU101" s="38">
        <v>45787</v>
      </c>
      <c r="AW101" t="s">
        <v>5</v>
      </c>
      <c r="AY101" s="81">
        <v>0.63194444444444442</v>
      </c>
      <c r="AZ101" s="81">
        <v>0.66319444444444442</v>
      </c>
      <c r="BA101" s="37">
        <v>5046</v>
      </c>
      <c r="BC101" s="38">
        <v>45787</v>
      </c>
      <c r="BD101" s="38"/>
      <c r="BF101" s="78"/>
      <c r="BG101" s="57"/>
      <c r="BI101" s="36"/>
      <c r="BM101" s="79"/>
      <c r="BN101" s="79"/>
    </row>
    <row r="102" spans="22:66" ht="16" x14ac:dyDescent="0.4">
      <c r="V102" s="97">
        <v>45786</v>
      </c>
      <c r="W102">
        <v>145734</v>
      </c>
      <c r="X102" s="89" t="s">
        <v>36</v>
      </c>
      <c r="Z102" s="50">
        <v>0.61052083333333329</v>
      </c>
      <c r="AA102" s="50">
        <v>0.94652777777777775</v>
      </c>
      <c r="AD102" s="48">
        <v>21552</v>
      </c>
      <c r="AE102" s="48">
        <f t="shared" si="24"/>
        <v>21.552</v>
      </c>
      <c r="AF102">
        <v>14.74</v>
      </c>
      <c r="AG102" s="72">
        <f t="shared" si="22"/>
        <v>14</v>
      </c>
      <c r="AH102" s="37">
        <f t="shared" si="23"/>
        <v>21.552</v>
      </c>
      <c r="AJ102" s="38">
        <v>45786</v>
      </c>
      <c r="AK102" t="s">
        <v>782</v>
      </c>
      <c r="AL102" t="s">
        <v>5</v>
      </c>
      <c r="AN102" s="81" t="s">
        <v>1130</v>
      </c>
      <c r="AO102" s="81" t="s">
        <v>1130</v>
      </c>
      <c r="AP102" s="37">
        <v>2950</v>
      </c>
      <c r="AR102" s="38"/>
      <c r="AS102" s="38"/>
      <c r="AU102" s="38">
        <v>45787</v>
      </c>
      <c r="AW102" t="s">
        <v>5</v>
      </c>
      <c r="AY102" s="81">
        <v>0.64236111111111105</v>
      </c>
      <c r="AZ102" s="81">
        <v>0.66180555555555554</v>
      </c>
      <c r="BA102" s="37">
        <v>6498</v>
      </c>
      <c r="BC102" s="38">
        <v>45787</v>
      </c>
      <c r="BD102" s="38"/>
      <c r="BF102" s="78"/>
      <c r="BG102" s="57"/>
      <c r="BI102" s="36"/>
      <c r="BM102" s="79"/>
      <c r="BN102" s="79"/>
    </row>
    <row r="103" spans="22:66" ht="16" x14ac:dyDescent="0.4">
      <c r="V103" s="97">
        <v>45787</v>
      </c>
      <c r="W103">
        <v>145743</v>
      </c>
      <c r="X103" s="89" t="s">
        <v>36</v>
      </c>
      <c r="Z103" s="50">
        <v>0.67365740740740743</v>
      </c>
      <c r="AA103" s="50">
        <v>2.5578703703703705E-3</v>
      </c>
      <c r="AD103" s="48">
        <v>20374</v>
      </c>
      <c r="AE103" s="48">
        <f t="shared" si="24"/>
        <v>20.373999999999999</v>
      </c>
      <c r="AF103">
        <v>16.559999999999999</v>
      </c>
      <c r="AG103" s="72">
        <f t="shared" si="22"/>
        <v>14</v>
      </c>
      <c r="AH103" s="37">
        <f t="shared" si="23"/>
        <v>20.373999999999999</v>
      </c>
      <c r="AJ103" s="38">
        <v>45786</v>
      </c>
      <c r="AK103" s="16" t="s">
        <v>783</v>
      </c>
      <c r="AL103" t="s">
        <v>5</v>
      </c>
      <c r="AN103" s="81" t="s">
        <v>1131</v>
      </c>
      <c r="AO103" s="81" t="s">
        <v>1131</v>
      </c>
      <c r="AP103" s="37">
        <v>5110</v>
      </c>
      <c r="AR103" s="38"/>
      <c r="AS103" s="38"/>
      <c r="AU103" s="38">
        <v>45787</v>
      </c>
      <c r="AV103" s="16"/>
      <c r="AW103" t="s">
        <v>5</v>
      </c>
      <c r="AY103" s="81">
        <v>0.52638888888888891</v>
      </c>
      <c r="AZ103" s="81">
        <v>0.59583333333333333</v>
      </c>
      <c r="BA103" s="37">
        <v>3396</v>
      </c>
      <c r="BB103" t="s">
        <v>106</v>
      </c>
      <c r="BC103" s="38">
        <v>45787</v>
      </c>
      <c r="BD103" s="38"/>
      <c r="BF103" s="78"/>
      <c r="BG103" s="57"/>
      <c r="BI103" s="36"/>
      <c r="BM103" s="79"/>
      <c r="BN103" s="79"/>
    </row>
    <row r="104" spans="22:66" ht="16" x14ac:dyDescent="0.4">
      <c r="V104" s="97">
        <v>45787</v>
      </c>
      <c r="W104">
        <v>145753</v>
      </c>
      <c r="X104" s="89" t="s">
        <v>36</v>
      </c>
      <c r="Z104" s="50">
        <v>0.99468749999999995</v>
      </c>
      <c r="AA104" s="50">
        <v>5.9097222222222225E-2</v>
      </c>
      <c r="AD104" s="48">
        <v>19086</v>
      </c>
      <c r="AE104" s="48">
        <f t="shared" si="24"/>
        <v>19.085999999999999</v>
      </c>
      <c r="AF104">
        <v>14.38</v>
      </c>
      <c r="AG104" s="72">
        <f t="shared" si="22"/>
        <v>14</v>
      </c>
      <c r="AH104" s="37">
        <f t="shared" si="23"/>
        <v>19.085999999999995</v>
      </c>
      <c r="AJ104" s="38">
        <v>45787</v>
      </c>
      <c r="AK104" s="16" t="s">
        <v>784</v>
      </c>
      <c r="AL104" t="s">
        <v>5</v>
      </c>
      <c r="AN104" s="81" t="s">
        <v>1132</v>
      </c>
      <c r="AO104" s="81" t="s">
        <v>1133</v>
      </c>
      <c r="AP104" s="37">
        <v>4490</v>
      </c>
      <c r="AR104" s="38"/>
      <c r="AS104" s="38"/>
      <c r="AU104" s="38">
        <v>45787</v>
      </c>
      <c r="AV104" s="16"/>
      <c r="AW104" t="s">
        <v>5</v>
      </c>
      <c r="AY104" s="81">
        <v>0.3833333333333333</v>
      </c>
      <c r="AZ104" s="81">
        <v>0.50902777777777775</v>
      </c>
      <c r="BA104" s="37">
        <v>3960</v>
      </c>
      <c r="BB104" t="s">
        <v>106</v>
      </c>
      <c r="BC104" s="38">
        <v>45787</v>
      </c>
      <c r="BD104" s="38"/>
      <c r="BF104" s="78"/>
      <c r="BG104" s="57"/>
      <c r="BI104" s="36"/>
      <c r="BM104" s="79"/>
      <c r="BN104" s="79"/>
    </row>
    <row r="105" spans="22:66" ht="16" x14ac:dyDescent="0.4">
      <c r="V105" s="97">
        <v>45787</v>
      </c>
      <c r="W105">
        <v>145764</v>
      </c>
      <c r="X105" s="89" t="s">
        <v>36</v>
      </c>
      <c r="Z105" s="50">
        <v>5.8356481481481481E-2</v>
      </c>
      <c r="AA105" s="50">
        <v>0.11598379629629629</v>
      </c>
      <c r="AD105" s="48">
        <v>21554</v>
      </c>
      <c r="AE105" s="48">
        <f t="shared" si="24"/>
        <v>21.553999999999998</v>
      </c>
      <c r="AF105">
        <v>14.59</v>
      </c>
      <c r="AG105" s="72">
        <f t="shared" si="22"/>
        <v>14</v>
      </c>
      <c r="AH105" s="37">
        <f t="shared" si="23"/>
        <v>21.553999999999998</v>
      </c>
      <c r="AJ105" s="38">
        <v>45787</v>
      </c>
      <c r="AK105" s="16" t="s">
        <v>785</v>
      </c>
      <c r="AL105" t="s">
        <v>5</v>
      </c>
      <c r="AN105" s="81" t="s">
        <v>1134</v>
      </c>
      <c r="AO105" s="81" t="s">
        <v>1134</v>
      </c>
      <c r="AP105" s="37">
        <v>3930</v>
      </c>
      <c r="AR105" s="38"/>
      <c r="AS105" s="38"/>
      <c r="AU105" s="38">
        <v>45787</v>
      </c>
      <c r="AV105" s="16"/>
      <c r="AW105" t="s">
        <v>5</v>
      </c>
      <c r="AY105" s="81">
        <v>0.48749999999999999</v>
      </c>
      <c r="AZ105" s="81">
        <v>0.65763888888888888</v>
      </c>
      <c r="BA105" s="37">
        <v>4942</v>
      </c>
      <c r="BB105" t="s">
        <v>120</v>
      </c>
      <c r="BC105" s="38">
        <v>45787</v>
      </c>
      <c r="BD105" s="38"/>
      <c r="BF105" s="78"/>
      <c r="BG105" s="57"/>
      <c r="BI105" s="36"/>
      <c r="BM105" s="79"/>
      <c r="BN105" s="79"/>
    </row>
    <row r="106" spans="22:66" ht="16" x14ac:dyDescent="0.4">
      <c r="V106" s="97">
        <v>45787</v>
      </c>
      <c r="W106">
        <v>145777</v>
      </c>
      <c r="X106" s="89" t="s">
        <v>36</v>
      </c>
      <c r="Z106" s="50">
        <v>0.99444444444444446</v>
      </c>
      <c r="AA106" s="50">
        <v>0.22430555555555556</v>
      </c>
      <c r="AB106">
        <v>104</v>
      </c>
      <c r="AC106" t="s">
        <v>22</v>
      </c>
      <c r="AD106" s="48">
        <v>13886</v>
      </c>
      <c r="AE106" s="48">
        <f t="shared" si="24"/>
        <v>13.885999999999999</v>
      </c>
      <c r="AF106">
        <v>12.88</v>
      </c>
      <c r="AG106" s="72">
        <f t="shared" si="22"/>
        <v>12.88</v>
      </c>
      <c r="AH106" s="37">
        <f t="shared" si="23"/>
        <v>12.775119999999999</v>
      </c>
      <c r="AJ106" s="38">
        <v>45787</v>
      </c>
      <c r="AK106" s="16" t="s">
        <v>786</v>
      </c>
      <c r="AL106" t="s">
        <v>5</v>
      </c>
      <c r="AN106" s="81" t="s">
        <v>1135</v>
      </c>
      <c r="AO106" s="81" t="s">
        <v>1136</v>
      </c>
      <c r="AP106" s="37">
        <v>3060</v>
      </c>
      <c r="AR106" s="38"/>
      <c r="AS106" s="38"/>
      <c r="AU106" s="38">
        <v>45788</v>
      </c>
      <c r="AV106" s="16"/>
      <c r="AW106" t="s">
        <v>5</v>
      </c>
      <c r="AY106" s="81">
        <v>0.61805555555555558</v>
      </c>
      <c r="AZ106" s="81">
        <v>0.36041666666666666</v>
      </c>
      <c r="BA106" s="37">
        <v>4110</v>
      </c>
      <c r="BB106" t="s">
        <v>118</v>
      </c>
      <c r="BC106" s="38">
        <v>45788</v>
      </c>
      <c r="BD106" s="38"/>
      <c r="BF106" s="78"/>
      <c r="BG106" s="57"/>
      <c r="BI106" s="36"/>
      <c r="BM106" s="79"/>
      <c r="BN106" s="79"/>
    </row>
    <row r="107" spans="22:66" ht="16" x14ac:dyDescent="0.4">
      <c r="V107" s="97">
        <v>45787</v>
      </c>
      <c r="W107">
        <v>145880</v>
      </c>
      <c r="X107" s="89" t="s">
        <v>36</v>
      </c>
      <c r="Z107" s="50">
        <v>5.7638888888888885E-2</v>
      </c>
      <c r="AA107" s="50">
        <v>0.40347222222222223</v>
      </c>
      <c r="AD107" s="48">
        <v>20774</v>
      </c>
      <c r="AE107" s="48">
        <f t="shared" si="24"/>
        <v>20.774000000000001</v>
      </c>
      <c r="AF107">
        <v>16.66</v>
      </c>
      <c r="AG107" s="72">
        <f t="shared" si="22"/>
        <v>14</v>
      </c>
      <c r="AH107" s="37">
        <f t="shared" si="23"/>
        <v>20.774000000000001</v>
      </c>
      <c r="AJ107" s="38">
        <v>45787</v>
      </c>
      <c r="AK107" s="16" t="s">
        <v>787</v>
      </c>
      <c r="AL107" t="s">
        <v>5</v>
      </c>
      <c r="AN107" s="81" t="s">
        <v>1137</v>
      </c>
      <c r="AO107" s="81" t="s">
        <v>1138</v>
      </c>
      <c r="AP107" s="37">
        <v>1710</v>
      </c>
      <c r="AR107" s="38"/>
      <c r="AS107" s="38"/>
      <c r="AU107" s="38">
        <v>45787</v>
      </c>
      <c r="AV107" s="16"/>
      <c r="AW107" t="s">
        <v>5</v>
      </c>
      <c r="AY107" s="81">
        <v>0.5805555555555556</v>
      </c>
      <c r="AZ107" s="81">
        <v>0.59652777777777777</v>
      </c>
      <c r="BA107" s="37">
        <v>3120</v>
      </c>
      <c r="BB107" t="s">
        <v>136</v>
      </c>
      <c r="BC107" s="38">
        <v>45788</v>
      </c>
      <c r="BD107" s="38"/>
      <c r="BF107" s="78"/>
      <c r="BG107" s="57"/>
      <c r="BI107" s="36"/>
      <c r="BM107" s="79"/>
      <c r="BN107" s="79"/>
    </row>
    <row r="108" spans="22:66" ht="16" x14ac:dyDescent="0.4">
      <c r="V108" s="97">
        <v>45787</v>
      </c>
      <c r="W108">
        <v>145937</v>
      </c>
      <c r="X108" s="89" t="s">
        <v>36</v>
      </c>
      <c r="Z108" s="50">
        <v>0.99375000000000002</v>
      </c>
      <c r="AA108" s="50">
        <v>0.50277777777777777</v>
      </c>
      <c r="AD108" s="48">
        <v>23442</v>
      </c>
      <c r="AE108" s="48">
        <f t="shared" si="24"/>
        <v>23.442</v>
      </c>
      <c r="AF108">
        <v>16.989999999999998</v>
      </c>
      <c r="AG108" s="72">
        <f t="shared" si="22"/>
        <v>14</v>
      </c>
      <c r="AH108" s="37">
        <f t="shared" si="23"/>
        <v>23.442</v>
      </c>
      <c r="AJ108" s="38">
        <v>45787</v>
      </c>
      <c r="AK108" s="16" t="s">
        <v>788</v>
      </c>
      <c r="AL108" t="s">
        <v>5</v>
      </c>
      <c r="AN108" s="81" t="s">
        <v>1139</v>
      </c>
      <c r="AO108" s="81" t="s">
        <v>1140</v>
      </c>
      <c r="AP108" s="37">
        <v>3890</v>
      </c>
      <c r="AR108" s="38"/>
      <c r="AU108" s="38">
        <v>45788</v>
      </c>
      <c r="AV108" s="16"/>
      <c r="AW108" t="s">
        <v>5</v>
      </c>
      <c r="AY108" s="81">
        <v>0.59722222222222221</v>
      </c>
      <c r="AZ108" s="81">
        <v>0.39027777777777778</v>
      </c>
      <c r="BA108" s="37">
        <v>3086</v>
      </c>
      <c r="BB108" t="s">
        <v>138</v>
      </c>
      <c r="BC108" s="38">
        <v>45788</v>
      </c>
      <c r="BM108" s="73"/>
      <c r="BN108" s="73"/>
    </row>
    <row r="109" spans="22:66" ht="16" x14ac:dyDescent="0.4">
      <c r="V109" s="97">
        <v>45787</v>
      </c>
      <c r="W109">
        <v>145966</v>
      </c>
      <c r="X109" s="89" t="s">
        <v>36</v>
      </c>
      <c r="Z109" s="50">
        <v>5.7638888888888885E-2</v>
      </c>
      <c r="AA109" s="50">
        <v>0.57222222222222219</v>
      </c>
      <c r="AD109" s="48">
        <v>21268</v>
      </c>
      <c r="AE109" s="48">
        <f t="shared" ref="AE109:AE135" si="25">AD109/1000</f>
        <v>21.268000000000001</v>
      </c>
      <c r="AF109">
        <v>15.07</v>
      </c>
      <c r="AG109" s="72">
        <f t="shared" si="22"/>
        <v>14</v>
      </c>
      <c r="AH109" s="37">
        <f t="shared" si="23"/>
        <v>21.268000000000001</v>
      </c>
      <c r="AJ109" s="38">
        <v>45787</v>
      </c>
      <c r="AK109" s="16" t="s">
        <v>789</v>
      </c>
      <c r="AL109" t="s">
        <v>5</v>
      </c>
      <c r="AN109" s="81" t="s">
        <v>1141</v>
      </c>
      <c r="AO109" s="81" t="s">
        <v>1142</v>
      </c>
      <c r="AP109" s="37">
        <v>5370</v>
      </c>
      <c r="AR109" s="38"/>
      <c r="AU109" s="38">
        <v>45788</v>
      </c>
      <c r="AV109" s="16"/>
      <c r="AW109" t="s">
        <v>5</v>
      </c>
      <c r="AY109" s="81">
        <v>0.37013888888888885</v>
      </c>
      <c r="AZ109" s="81">
        <v>0.43402777777777773</v>
      </c>
      <c r="BA109" s="37">
        <v>2556</v>
      </c>
      <c r="BB109" t="s">
        <v>106</v>
      </c>
      <c r="BC109" s="38">
        <v>45788</v>
      </c>
      <c r="BM109" s="73"/>
      <c r="BN109" s="73"/>
    </row>
    <row r="110" spans="22:66" ht="16" x14ac:dyDescent="0.4">
      <c r="V110" s="97">
        <v>45787</v>
      </c>
      <c r="W110">
        <v>145997</v>
      </c>
      <c r="X110" s="89" t="s">
        <v>36</v>
      </c>
      <c r="Z110" s="50">
        <v>0.79305555555555562</v>
      </c>
      <c r="AA110" s="50">
        <v>0.64236111111111105</v>
      </c>
      <c r="AD110" s="48">
        <v>21180</v>
      </c>
      <c r="AE110" s="48">
        <f t="shared" si="25"/>
        <v>21.18</v>
      </c>
      <c r="AF110">
        <v>15.51</v>
      </c>
      <c r="AG110" s="72">
        <f t="shared" si="22"/>
        <v>14</v>
      </c>
      <c r="AH110" s="37">
        <f t="shared" si="23"/>
        <v>21.18</v>
      </c>
      <c r="AJ110" s="38">
        <v>45787</v>
      </c>
      <c r="AK110" s="98" t="s">
        <v>790</v>
      </c>
      <c r="AL110" t="s">
        <v>5</v>
      </c>
      <c r="AN110" s="81" t="s">
        <v>1143</v>
      </c>
      <c r="AO110" s="81" t="s">
        <v>1143</v>
      </c>
      <c r="AP110" s="37">
        <v>3880</v>
      </c>
      <c r="AR110" s="38"/>
      <c r="AU110" s="38">
        <v>45788</v>
      </c>
      <c r="AV110" s="98"/>
      <c r="AW110" t="s">
        <v>5</v>
      </c>
      <c r="AY110" s="81">
        <v>0.35694444444444445</v>
      </c>
      <c r="AZ110" s="81">
        <v>0.36944444444444446</v>
      </c>
      <c r="BA110" s="37">
        <v>2478</v>
      </c>
      <c r="BB110" t="s">
        <v>106</v>
      </c>
      <c r="BC110" s="38">
        <v>45788</v>
      </c>
    </row>
    <row r="111" spans="22:66" ht="16" x14ac:dyDescent="0.4">
      <c r="V111" s="97">
        <v>45787</v>
      </c>
      <c r="W111">
        <v>146014</v>
      </c>
      <c r="X111" s="89" t="s">
        <v>36</v>
      </c>
      <c r="Z111" s="50">
        <v>0.63402777777777775</v>
      </c>
      <c r="AA111" s="50">
        <v>0.71180555555555547</v>
      </c>
      <c r="AD111" s="48">
        <v>22494</v>
      </c>
      <c r="AE111" s="48">
        <f t="shared" si="25"/>
        <v>22.494</v>
      </c>
      <c r="AF111">
        <v>14.33</v>
      </c>
      <c r="AG111" s="72">
        <f t="shared" si="22"/>
        <v>14</v>
      </c>
      <c r="AH111" s="37">
        <f t="shared" si="23"/>
        <v>22.494</v>
      </c>
      <c r="AJ111" s="38">
        <v>45787</v>
      </c>
      <c r="AK111" s="16" t="s">
        <v>791</v>
      </c>
      <c r="AL111" t="s">
        <v>5</v>
      </c>
      <c r="AN111" s="81" t="s">
        <v>1144</v>
      </c>
      <c r="AO111" s="81" t="s">
        <v>1145</v>
      </c>
      <c r="AP111" s="37">
        <v>5390</v>
      </c>
      <c r="AR111" s="38"/>
      <c r="AU111" s="38">
        <v>45788</v>
      </c>
      <c r="AV111" s="16"/>
      <c r="AW111" t="s">
        <v>5</v>
      </c>
      <c r="AY111" s="81">
        <v>0.43333333333333335</v>
      </c>
      <c r="AZ111" s="81">
        <v>0.44930555555555557</v>
      </c>
      <c r="BA111" s="37">
        <v>3444</v>
      </c>
      <c r="BB111" t="s">
        <v>139</v>
      </c>
      <c r="BC111" s="38">
        <v>45788</v>
      </c>
    </row>
    <row r="112" spans="22:66" ht="16" x14ac:dyDescent="0.4">
      <c r="V112" s="97">
        <v>45787</v>
      </c>
      <c r="W112">
        <v>146031</v>
      </c>
      <c r="X112" s="89" t="s">
        <v>36</v>
      </c>
      <c r="Z112" s="50">
        <v>0.69465277777777779</v>
      </c>
      <c r="AA112" s="50">
        <v>0.77178240740740733</v>
      </c>
      <c r="AD112" s="48">
        <v>19620</v>
      </c>
      <c r="AE112" s="48">
        <f t="shared" si="25"/>
        <v>19.62</v>
      </c>
      <c r="AF112">
        <v>14.31</v>
      </c>
      <c r="AG112" s="72">
        <f t="shared" si="22"/>
        <v>14</v>
      </c>
      <c r="AH112" s="37">
        <f t="shared" si="23"/>
        <v>19.62</v>
      </c>
      <c r="AJ112" s="38">
        <v>45787</v>
      </c>
      <c r="AK112" s="16" t="s">
        <v>792</v>
      </c>
      <c r="AL112" t="s">
        <v>5</v>
      </c>
      <c r="AN112" s="81" t="s">
        <v>1146</v>
      </c>
      <c r="AO112" s="81" t="s">
        <v>1146</v>
      </c>
      <c r="AP112" s="37">
        <v>3030</v>
      </c>
      <c r="AR112" s="38"/>
      <c r="AU112" s="38">
        <v>45788</v>
      </c>
      <c r="AV112" s="16"/>
      <c r="AW112" t="s">
        <v>4</v>
      </c>
      <c r="AY112" s="81">
        <v>0.35069444444444442</v>
      </c>
      <c r="AZ112" s="81">
        <v>0.44861111111111113</v>
      </c>
      <c r="BA112" s="37">
        <v>6352</v>
      </c>
      <c r="BC112" s="38">
        <v>45788</v>
      </c>
    </row>
    <row r="113" spans="22:55" ht="16" x14ac:dyDescent="0.4">
      <c r="V113" s="97">
        <v>45787</v>
      </c>
      <c r="W113">
        <v>146047</v>
      </c>
      <c r="X113" s="89" t="s">
        <v>36</v>
      </c>
      <c r="Z113" s="50">
        <v>0.81797453703703704</v>
      </c>
      <c r="AA113" s="50">
        <v>0.82456018518518526</v>
      </c>
      <c r="AD113" s="48">
        <v>20824</v>
      </c>
      <c r="AE113" s="48">
        <f t="shared" si="25"/>
        <v>20.824000000000002</v>
      </c>
      <c r="AF113">
        <v>14.23</v>
      </c>
      <c r="AG113" s="72">
        <f t="shared" si="22"/>
        <v>14</v>
      </c>
      <c r="AH113" s="37">
        <f t="shared" si="23"/>
        <v>20.824000000000002</v>
      </c>
      <c r="AJ113" s="38">
        <v>45787</v>
      </c>
      <c r="AK113" s="16" t="s">
        <v>793</v>
      </c>
      <c r="AL113" t="s">
        <v>5</v>
      </c>
      <c r="AN113" s="81" t="s">
        <v>1147</v>
      </c>
      <c r="AO113" s="81" t="s">
        <v>1147</v>
      </c>
      <c r="AP113" s="37">
        <v>3330</v>
      </c>
      <c r="AR113" s="38"/>
      <c r="AU113" s="38">
        <v>45788</v>
      </c>
      <c r="AV113" s="16"/>
      <c r="AW113" t="s">
        <v>5</v>
      </c>
      <c r="AY113" s="81">
        <v>0.56041666666666667</v>
      </c>
      <c r="AZ113" s="81">
        <v>0.58611111111111114</v>
      </c>
      <c r="BA113" s="37">
        <v>2232</v>
      </c>
      <c r="BB113" t="s">
        <v>106</v>
      </c>
      <c r="BC113" s="38">
        <v>45788</v>
      </c>
    </row>
    <row r="114" spans="22:55" ht="16" x14ac:dyDescent="0.4">
      <c r="V114" s="97">
        <v>45787</v>
      </c>
      <c r="W114">
        <v>146087</v>
      </c>
      <c r="X114" s="89" t="s">
        <v>36</v>
      </c>
      <c r="Z114" s="50">
        <v>0.694849537037037</v>
      </c>
      <c r="AA114" s="50">
        <v>0.891087962962963</v>
      </c>
      <c r="AD114" s="48">
        <v>20660</v>
      </c>
      <c r="AE114" s="48">
        <f t="shared" si="25"/>
        <v>20.66</v>
      </c>
      <c r="AF114">
        <v>14.74</v>
      </c>
      <c r="AG114" s="72">
        <f t="shared" si="22"/>
        <v>14</v>
      </c>
      <c r="AH114" s="37">
        <f t="shared" si="23"/>
        <v>20.66</v>
      </c>
      <c r="AJ114" s="38">
        <v>45787</v>
      </c>
      <c r="AK114" s="16" t="s">
        <v>794</v>
      </c>
      <c r="AL114" t="s">
        <v>5</v>
      </c>
      <c r="AN114" s="81" t="s">
        <v>1148</v>
      </c>
      <c r="AO114" s="81" t="s">
        <v>1148</v>
      </c>
      <c r="AP114" s="37">
        <v>4980</v>
      </c>
      <c r="AR114" s="38"/>
      <c r="AU114" s="38">
        <v>45790</v>
      </c>
      <c r="AV114" s="16"/>
      <c r="AW114" t="s">
        <v>5</v>
      </c>
      <c r="AY114" s="81">
        <v>0.57708333333333328</v>
      </c>
      <c r="AZ114" s="81">
        <v>0.38750000000000001</v>
      </c>
      <c r="BA114" s="37">
        <v>2818</v>
      </c>
      <c r="BB114" t="s">
        <v>134</v>
      </c>
      <c r="BC114" s="38">
        <v>45790</v>
      </c>
    </row>
    <row r="115" spans="22:55" ht="16" x14ac:dyDescent="0.4">
      <c r="V115" s="97">
        <v>45787</v>
      </c>
      <c r="W115">
        <v>146106</v>
      </c>
      <c r="X115" s="89" t="s">
        <v>36</v>
      </c>
      <c r="Z115" s="50">
        <v>0.63447916666666659</v>
      </c>
      <c r="AA115" s="50">
        <v>0.96104166666666668</v>
      </c>
      <c r="AD115" s="48">
        <v>21272</v>
      </c>
      <c r="AE115" s="48">
        <f t="shared" si="25"/>
        <v>21.271999999999998</v>
      </c>
      <c r="AF115">
        <v>15.22</v>
      </c>
      <c r="AG115" s="72">
        <f t="shared" si="22"/>
        <v>14</v>
      </c>
      <c r="AH115" s="37">
        <f t="shared" si="23"/>
        <v>21.271999999999998</v>
      </c>
      <c r="AJ115" s="38">
        <v>45788</v>
      </c>
      <c r="AK115" s="16" t="s">
        <v>795</v>
      </c>
      <c r="AL115" t="s">
        <v>5</v>
      </c>
      <c r="AN115" s="81" t="s">
        <v>1149</v>
      </c>
      <c r="AO115" s="81" t="s">
        <v>1149</v>
      </c>
      <c r="AP115" s="37">
        <v>2320</v>
      </c>
      <c r="AR115" s="38"/>
      <c r="AU115" s="38">
        <v>45788</v>
      </c>
      <c r="AV115" s="16"/>
      <c r="AW115" t="s">
        <v>5</v>
      </c>
      <c r="AY115" s="81">
        <v>0.55486111111111114</v>
      </c>
      <c r="AZ115" s="81">
        <v>0.56805555555555554</v>
      </c>
      <c r="BA115" s="37">
        <v>3080</v>
      </c>
      <c r="BB115" t="s">
        <v>138</v>
      </c>
      <c r="BC115" s="38">
        <v>45790</v>
      </c>
    </row>
    <row r="116" spans="22:55" ht="16" x14ac:dyDescent="0.4">
      <c r="V116" s="97">
        <v>45788</v>
      </c>
      <c r="W116">
        <v>146114</v>
      </c>
      <c r="X116" s="89" t="s">
        <v>36</v>
      </c>
      <c r="Z116" s="50">
        <v>0.69475694444444447</v>
      </c>
      <c r="AA116" s="50">
        <v>3.366898148148148E-2</v>
      </c>
      <c r="AD116" s="48">
        <v>21480</v>
      </c>
      <c r="AE116" s="48">
        <f t="shared" si="25"/>
        <v>21.48</v>
      </c>
      <c r="AF116">
        <v>15.41</v>
      </c>
      <c r="AG116" s="72">
        <f t="shared" si="22"/>
        <v>14</v>
      </c>
      <c r="AH116" s="37">
        <f t="shared" si="23"/>
        <v>21.48</v>
      </c>
      <c r="AJ116" s="38">
        <v>45788</v>
      </c>
      <c r="AK116" s="16" t="s">
        <v>796</v>
      </c>
      <c r="AL116" t="s">
        <v>5</v>
      </c>
      <c r="AN116" s="81" t="s">
        <v>1150</v>
      </c>
      <c r="AO116" s="81" t="s">
        <v>1150</v>
      </c>
      <c r="AP116" s="37">
        <v>4060</v>
      </c>
      <c r="AR116" s="38"/>
      <c r="AU116" s="38">
        <v>45790</v>
      </c>
      <c r="AV116" s="16"/>
      <c r="AW116" t="s">
        <v>5</v>
      </c>
      <c r="AY116" s="81">
        <v>0.56874999999999998</v>
      </c>
      <c r="AZ116" s="81">
        <v>0.40416666666666662</v>
      </c>
      <c r="BA116" s="37">
        <v>3158</v>
      </c>
      <c r="BB116" t="s">
        <v>138</v>
      </c>
      <c r="BC116" s="38">
        <v>45790</v>
      </c>
    </row>
    <row r="117" spans="22:55" ht="16" x14ac:dyDescent="0.4">
      <c r="V117" s="97">
        <v>45788</v>
      </c>
      <c r="W117">
        <v>146129</v>
      </c>
      <c r="X117" s="89" t="s">
        <v>36</v>
      </c>
      <c r="Z117" s="50">
        <v>0.63436342592592598</v>
      </c>
      <c r="AA117" s="50">
        <v>8.3495370370370373E-2</v>
      </c>
      <c r="AD117" s="48">
        <v>20004</v>
      </c>
      <c r="AE117" s="48">
        <f t="shared" si="25"/>
        <v>20.004000000000001</v>
      </c>
      <c r="AF117">
        <v>14.59</v>
      </c>
      <c r="AG117" s="72">
        <f t="shared" si="22"/>
        <v>14</v>
      </c>
      <c r="AH117" s="37">
        <f t="shared" si="23"/>
        <v>20.004000000000001</v>
      </c>
      <c r="AJ117" s="38">
        <v>45788</v>
      </c>
      <c r="AK117" s="16" t="s">
        <v>797</v>
      </c>
      <c r="AL117" t="s">
        <v>5</v>
      </c>
      <c r="AN117" s="81" t="s">
        <v>1151</v>
      </c>
      <c r="AO117" s="81" t="s">
        <v>1151</v>
      </c>
      <c r="AP117" s="37">
        <v>2970</v>
      </c>
      <c r="AR117" s="38"/>
      <c r="AU117" s="38">
        <v>45790</v>
      </c>
      <c r="AV117" s="16"/>
      <c r="AW117" t="s">
        <v>5</v>
      </c>
      <c r="AY117" s="81">
        <v>0.44930555555555557</v>
      </c>
      <c r="AZ117" s="81">
        <v>0.4368055555555555</v>
      </c>
      <c r="BA117" s="37">
        <v>3906</v>
      </c>
      <c r="BB117" t="s">
        <v>106</v>
      </c>
      <c r="BC117" s="38">
        <v>45790</v>
      </c>
    </row>
    <row r="118" spans="22:55" ht="16" x14ac:dyDescent="0.4">
      <c r="V118" s="97">
        <v>45788</v>
      </c>
      <c r="W118">
        <v>146137</v>
      </c>
      <c r="X118" s="89" t="s">
        <v>36</v>
      </c>
      <c r="Z118" s="50">
        <v>7.3449074074074069E-2</v>
      </c>
      <c r="AA118" s="50">
        <v>0.13829861111111111</v>
      </c>
      <c r="AD118" s="48">
        <v>21516</v>
      </c>
      <c r="AE118" s="48">
        <f t="shared" si="25"/>
        <v>21.515999999999998</v>
      </c>
      <c r="AF118">
        <v>15.13</v>
      </c>
      <c r="AG118" s="72">
        <f t="shared" si="22"/>
        <v>14</v>
      </c>
      <c r="AH118" s="37">
        <f t="shared" si="23"/>
        <v>21.515999999999998</v>
      </c>
      <c r="AJ118" s="38">
        <v>45788</v>
      </c>
      <c r="AK118" s="16" t="s">
        <v>798</v>
      </c>
      <c r="AL118" t="s">
        <v>5</v>
      </c>
      <c r="AN118" s="81" t="s">
        <v>1152</v>
      </c>
      <c r="AO118" s="81" t="s">
        <v>1152</v>
      </c>
      <c r="AP118" s="37">
        <v>3410</v>
      </c>
      <c r="AR118" s="38"/>
      <c r="AU118" s="38">
        <v>45790</v>
      </c>
      <c r="AV118" s="16"/>
      <c r="AW118" t="s">
        <v>5</v>
      </c>
      <c r="AY118" s="81">
        <v>0.4680555555555555</v>
      </c>
      <c r="AZ118" s="81">
        <v>0.5805555555555556</v>
      </c>
      <c r="BA118" s="37">
        <v>2046</v>
      </c>
      <c r="BB118" t="s">
        <v>134</v>
      </c>
      <c r="BC118" s="38">
        <v>45790</v>
      </c>
    </row>
    <row r="119" spans="22:55" ht="16" x14ac:dyDescent="0.4">
      <c r="V119" s="97">
        <v>45788</v>
      </c>
      <c r="W119">
        <v>146139</v>
      </c>
      <c r="X119" s="89" t="s">
        <v>36</v>
      </c>
      <c r="Z119" s="50">
        <v>2.6064814814814815E-2</v>
      </c>
      <c r="AA119" s="50">
        <v>0.19614583333333332</v>
      </c>
      <c r="AD119" s="48">
        <v>19610</v>
      </c>
      <c r="AE119" s="48">
        <f t="shared" si="25"/>
        <v>19.61</v>
      </c>
      <c r="AF119">
        <v>15.49</v>
      </c>
      <c r="AG119" s="72">
        <f t="shared" si="22"/>
        <v>14</v>
      </c>
      <c r="AH119" s="37">
        <f t="shared" si="23"/>
        <v>19.609999999999996</v>
      </c>
      <c r="AJ119" s="38">
        <v>45788</v>
      </c>
      <c r="AK119" s="16" t="s">
        <v>799</v>
      </c>
      <c r="AL119" t="s">
        <v>5</v>
      </c>
      <c r="AN119" s="81" t="s">
        <v>1153</v>
      </c>
      <c r="AO119" s="81" t="s">
        <v>1153</v>
      </c>
      <c r="AP119" s="37">
        <v>2450</v>
      </c>
      <c r="AR119" s="38"/>
      <c r="AU119" s="38">
        <v>45790</v>
      </c>
      <c r="AV119" s="16"/>
      <c r="AW119" t="s">
        <v>5</v>
      </c>
      <c r="AY119" s="81">
        <v>0.45277777777777778</v>
      </c>
      <c r="AZ119" s="81">
        <v>0.4680555555555555</v>
      </c>
      <c r="BA119" s="37">
        <v>2898</v>
      </c>
      <c r="BB119" t="s">
        <v>594</v>
      </c>
      <c r="BC119" s="38">
        <v>45790</v>
      </c>
    </row>
    <row r="120" spans="22:55" ht="16" x14ac:dyDescent="0.4">
      <c r="V120" s="97">
        <v>45788</v>
      </c>
      <c r="W120">
        <v>146146</v>
      </c>
      <c r="X120" s="89" t="s">
        <v>36</v>
      </c>
      <c r="Z120" s="50">
        <v>7.2916666666666671E-2</v>
      </c>
      <c r="AA120" s="50">
        <v>0.26458333333333334</v>
      </c>
      <c r="AD120" s="48">
        <v>20470</v>
      </c>
      <c r="AE120" s="48">
        <f t="shared" si="25"/>
        <v>20.47</v>
      </c>
      <c r="AF120">
        <v>15.77</v>
      </c>
      <c r="AG120" s="72">
        <f t="shared" si="22"/>
        <v>14</v>
      </c>
      <c r="AH120" s="37">
        <f t="shared" si="23"/>
        <v>20.47</v>
      </c>
      <c r="AJ120" s="38">
        <v>45788</v>
      </c>
      <c r="AK120" s="16" t="s">
        <v>800</v>
      </c>
      <c r="AL120" t="s">
        <v>4</v>
      </c>
      <c r="AN120" s="81" t="s">
        <v>1154</v>
      </c>
      <c r="AO120" s="81" t="s">
        <v>1155</v>
      </c>
      <c r="AP120" s="37">
        <v>6090</v>
      </c>
      <c r="AR120" s="38"/>
      <c r="AU120" s="38">
        <v>45790</v>
      </c>
      <c r="AV120" s="16"/>
      <c r="AW120" t="s">
        <v>5</v>
      </c>
      <c r="AY120" s="81">
        <v>0.4465277777777778</v>
      </c>
      <c r="AZ120" s="81">
        <v>0.59027777777777779</v>
      </c>
      <c r="BA120" s="37">
        <v>4940</v>
      </c>
      <c r="BB120" t="s">
        <v>119</v>
      </c>
      <c r="BC120" s="38">
        <v>45790</v>
      </c>
    </row>
    <row r="121" spans="22:55" ht="16" x14ac:dyDescent="0.4">
      <c r="V121" s="97">
        <v>45788</v>
      </c>
      <c r="W121">
        <v>146155</v>
      </c>
      <c r="X121" s="89" t="s">
        <v>36</v>
      </c>
      <c r="Z121" s="50">
        <v>2.5694444444444447E-2</v>
      </c>
      <c r="AA121" s="50">
        <v>0.31597222222222221</v>
      </c>
      <c r="AD121" s="48">
        <v>20872</v>
      </c>
      <c r="AE121" s="48">
        <f t="shared" si="25"/>
        <v>20.872</v>
      </c>
      <c r="AF121">
        <v>15.08</v>
      </c>
      <c r="AG121" s="72">
        <f t="shared" si="22"/>
        <v>14</v>
      </c>
      <c r="AH121" s="37">
        <f t="shared" si="23"/>
        <v>20.871999999999996</v>
      </c>
      <c r="AJ121" s="38">
        <v>45788</v>
      </c>
      <c r="AK121" t="s">
        <v>801</v>
      </c>
      <c r="AL121" t="s">
        <v>5</v>
      </c>
      <c r="AN121" s="81" t="s">
        <v>1156</v>
      </c>
      <c r="AO121" s="81" t="s">
        <v>1156</v>
      </c>
      <c r="AP121" s="37">
        <v>2870</v>
      </c>
      <c r="AR121" s="38"/>
      <c r="AU121" s="38">
        <v>45790</v>
      </c>
      <c r="AW121" t="s">
        <v>5</v>
      </c>
      <c r="AY121" s="81">
        <v>0.67222222222222217</v>
      </c>
      <c r="AZ121" s="81">
        <v>0.42986111111111108</v>
      </c>
      <c r="BA121" s="37">
        <v>5498</v>
      </c>
      <c r="BB121" t="s">
        <v>119</v>
      </c>
      <c r="BC121" s="38">
        <v>45790</v>
      </c>
    </row>
    <row r="122" spans="22:55" ht="16" x14ac:dyDescent="0.4">
      <c r="V122" s="97">
        <v>45788</v>
      </c>
      <c r="W122">
        <v>146177</v>
      </c>
      <c r="X122" s="89" t="s">
        <v>36</v>
      </c>
      <c r="Z122" s="50">
        <v>7.2916666666666671E-2</v>
      </c>
      <c r="AA122" s="50">
        <v>0.3923611111111111</v>
      </c>
      <c r="AD122" s="48">
        <v>21126</v>
      </c>
      <c r="AE122" s="48">
        <f t="shared" si="25"/>
        <v>21.126000000000001</v>
      </c>
      <c r="AF122">
        <v>15.12</v>
      </c>
      <c r="AG122" s="72">
        <f t="shared" si="22"/>
        <v>14</v>
      </c>
      <c r="AH122" s="37">
        <f t="shared" si="23"/>
        <v>21.126000000000001</v>
      </c>
      <c r="AJ122" s="38">
        <v>45788</v>
      </c>
      <c r="AK122" t="s">
        <v>802</v>
      </c>
      <c r="AL122" t="s">
        <v>5</v>
      </c>
      <c r="AN122" s="81" t="s">
        <v>1157</v>
      </c>
      <c r="AO122" s="81" t="s">
        <v>1157</v>
      </c>
      <c r="AP122" s="37">
        <v>2250</v>
      </c>
      <c r="AR122" s="38"/>
      <c r="AU122" s="38">
        <v>45790</v>
      </c>
      <c r="AW122" t="s">
        <v>5</v>
      </c>
      <c r="AY122" s="81">
        <v>0.5493055555555556</v>
      </c>
      <c r="AZ122" s="81">
        <v>0.60555555555555551</v>
      </c>
      <c r="BA122" s="37">
        <v>1226</v>
      </c>
      <c r="BB122" t="s">
        <v>103</v>
      </c>
      <c r="BC122" s="38">
        <v>45790</v>
      </c>
    </row>
    <row r="123" spans="22:55" ht="16" x14ac:dyDescent="0.4">
      <c r="V123" s="97">
        <v>45788</v>
      </c>
      <c r="W123">
        <v>146197</v>
      </c>
      <c r="X123" s="89" t="s">
        <v>36</v>
      </c>
      <c r="Z123" s="50">
        <v>2.2222222222222223E-2</v>
      </c>
      <c r="AA123" s="50">
        <v>0.46875</v>
      </c>
      <c r="AD123" s="48">
        <v>20728</v>
      </c>
      <c r="AE123" s="48">
        <f t="shared" si="25"/>
        <v>20.728000000000002</v>
      </c>
      <c r="AF123">
        <v>15.74</v>
      </c>
      <c r="AG123" s="72">
        <f t="shared" si="22"/>
        <v>14</v>
      </c>
      <c r="AH123" s="37">
        <f t="shared" si="23"/>
        <v>20.728000000000002</v>
      </c>
      <c r="AJ123" s="38">
        <v>45790</v>
      </c>
      <c r="AK123" t="s">
        <v>803</v>
      </c>
      <c r="AL123" t="s">
        <v>5</v>
      </c>
      <c r="AN123" s="81" t="s">
        <v>1158</v>
      </c>
      <c r="AO123" s="81" t="s">
        <v>1158</v>
      </c>
      <c r="AP123" s="37">
        <v>2850</v>
      </c>
      <c r="AR123" s="38"/>
      <c r="AU123" s="38">
        <v>45790</v>
      </c>
      <c r="AW123" t="s">
        <v>5</v>
      </c>
      <c r="AY123" s="81">
        <v>0.53611111111111109</v>
      </c>
      <c r="AZ123" s="81">
        <v>0.5493055555555556</v>
      </c>
      <c r="BA123" s="37">
        <v>2916</v>
      </c>
      <c r="BB123" t="s">
        <v>138</v>
      </c>
      <c r="BC123" s="38">
        <v>45790</v>
      </c>
    </row>
    <row r="124" spans="22:55" ht="16" x14ac:dyDescent="0.4">
      <c r="V124" s="97">
        <v>45788</v>
      </c>
      <c r="W124">
        <v>146212</v>
      </c>
      <c r="X124" s="89" t="s">
        <v>36</v>
      </c>
      <c r="Z124" s="50">
        <v>0.43611111111111112</v>
      </c>
      <c r="AA124" s="50">
        <v>0.54583333333333328</v>
      </c>
      <c r="AD124" s="48">
        <v>20408</v>
      </c>
      <c r="AE124" s="48">
        <f t="shared" si="25"/>
        <v>20.408000000000001</v>
      </c>
      <c r="AF124">
        <v>14.88</v>
      </c>
      <c r="AG124" s="72">
        <f t="shared" si="22"/>
        <v>14</v>
      </c>
      <c r="AH124" s="37">
        <f t="shared" si="23"/>
        <v>20.407999999999998</v>
      </c>
      <c r="AJ124" s="38">
        <v>45790</v>
      </c>
      <c r="AK124" t="s">
        <v>804</v>
      </c>
      <c r="AL124" t="s">
        <v>5</v>
      </c>
      <c r="AN124" s="81" t="s">
        <v>1159</v>
      </c>
      <c r="AO124" s="81" t="s">
        <v>1160</v>
      </c>
      <c r="AP124" s="37">
        <v>2990</v>
      </c>
      <c r="AR124" s="38"/>
      <c r="AU124" s="38">
        <v>45791</v>
      </c>
      <c r="AW124" t="s">
        <v>5</v>
      </c>
      <c r="AY124" s="81">
        <v>0.60883101851851851</v>
      </c>
      <c r="AZ124" s="81">
        <v>0.3495949074074074</v>
      </c>
      <c r="BA124" s="37">
        <v>2924</v>
      </c>
      <c r="BB124" t="s">
        <v>134</v>
      </c>
      <c r="BC124" s="38">
        <v>45791</v>
      </c>
    </row>
    <row r="125" spans="22:55" ht="16" x14ac:dyDescent="0.4">
      <c r="V125" s="97">
        <v>45788</v>
      </c>
      <c r="W125">
        <v>146231</v>
      </c>
      <c r="X125" s="89" t="s">
        <v>36</v>
      </c>
      <c r="Z125" s="50">
        <v>0.52222222222222225</v>
      </c>
      <c r="AA125" s="50">
        <v>0.62361111111111112</v>
      </c>
      <c r="AD125" s="48">
        <v>20580</v>
      </c>
      <c r="AE125" s="48">
        <f t="shared" si="25"/>
        <v>20.58</v>
      </c>
      <c r="AF125">
        <v>16.05</v>
      </c>
      <c r="AG125" s="72">
        <f t="shared" si="22"/>
        <v>14</v>
      </c>
      <c r="AH125" s="37">
        <f t="shared" si="23"/>
        <v>20.580000000000002</v>
      </c>
      <c r="AJ125" s="38">
        <v>45790</v>
      </c>
      <c r="AK125" t="s">
        <v>805</v>
      </c>
      <c r="AL125" t="s">
        <v>5</v>
      </c>
      <c r="AN125" s="81" t="s">
        <v>1161</v>
      </c>
      <c r="AO125" s="81" t="s">
        <v>1161</v>
      </c>
      <c r="AP125" s="37">
        <v>5470</v>
      </c>
      <c r="AR125" s="38"/>
      <c r="AU125" s="38">
        <v>45791</v>
      </c>
      <c r="AW125" t="s">
        <v>5</v>
      </c>
      <c r="AY125" s="81">
        <v>0.43081018518518516</v>
      </c>
      <c r="AZ125" s="81">
        <v>0.4521296296296296</v>
      </c>
      <c r="BA125" s="37">
        <v>3718</v>
      </c>
      <c r="BB125" t="s">
        <v>595</v>
      </c>
      <c r="BC125" s="38">
        <v>45791</v>
      </c>
    </row>
    <row r="126" spans="22:55" ht="16" x14ac:dyDescent="0.4">
      <c r="V126" s="97">
        <v>45788</v>
      </c>
      <c r="W126">
        <v>146238</v>
      </c>
      <c r="X126" s="89" t="s">
        <v>36</v>
      </c>
      <c r="Z126" s="50">
        <v>0.4368055555555555</v>
      </c>
      <c r="AA126" s="50">
        <v>0.68194444444444446</v>
      </c>
      <c r="AD126" s="48">
        <v>20090</v>
      </c>
      <c r="AE126" s="48">
        <f t="shared" si="25"/>
        <v>20.09</v>
      </c>
      <c r="AF126">
        <v>14.81</v>
      </c>
      <c r="AG126" s="72">
        <f t="shared" si="22"/>
        <v>14</v>
      </c>
      <c r="AH126" s="37">
        <f t="shared" si="23"/>
        <v>20.09</v>
      </c>
      <c r="AJ126" s="38">
        <v>45790</v>
      </c>
      <c r="AK126" t="s">
        <v>806</v>
      </c>
      <c r="AL126" t="s">
        <v>5</v>
      </c>
      <c r="AN126" s="81" t="s">
        <v>1162</v>
      </c>
      <c r="AO126" s="81" t="s">
        <v>1163</v>
      </c>
      <c r="AP126" s="37">
        <v>3880</v>
      </c>
      <c r="AR126" s="38"/>
      <c r="AU126" s="38">
        <v>45791</v>
      </c>
      <c r="AW126" t="s">
        <v>5</v>
      </c>
      <c r="AY126" s="81">
        <v>0.43138888888888888</v>
      </c>
      <c r="AZ126" s="81">
        <v>0.44453703703703701</v>
      </c>
      <c r="BA126" s="37">
        <v>4606</v>
      </c>
      <c r="BB126" t="s">
        <v>596</v>
      </c>
      <c r="BC126" s="38">
        <v>45791</v>
      </c>
    </row>
    <row r="127" spans="22:55" ht="16" x14ac:dyDescent="0.4">
      <c r="V127" s="97">
        <v>45788</v>
      </c>
      <c r="W127">
        <v>146251</v>
      </c>
      <c r="X127" s="89" t="s">
        <v>36</v>
      </c>
      <c r="Z127" s="50">
        <v>0.52255787037037038</v>
      </c>
      <c r="AA127" s="50">
        <v>0.76990740740740737</v>
      </c>
      <c r="AD127" s="48">
        <v>22518</v>
      </c>
      <c r="AE127" s="48">
        <f t="shared" si="25"/>
        <v>22.518000000000001</v>
      </c>
      <c r="AF127">
        <v>14.67</v>
      </c>
      <c r="AG127" s="72">
        <f t="shared" si="22"/>
        <v>14</v>
      </c>
      <c r="AH127" s="37">
        <f t="shared" si="23"/>
        <v>22.518000000000001</v>
      </c>
      <c r="AJ127" s="38">
        <v>45790</v>
      </c>
      <c r="AK127" t="s">
        <v>807</v>
      </c>
      <c r="AL127" t="s">
        <v>5</v>
      </c>
      <c r="AN127" s="81" t="s">
        <v>1164</v>
      </c>
      <c r="AO127" s="81" t="s">
        <v>1164</v>
      </c>
      <c r="AP127" s="37">
        <v>2860</v>
      </c>
      <c r="AR127" s="38"/>
      <c r="AU127" s="38">
        <v>45791</v>
      </c>
      <c r="AW127" t="s">
        <v>5</v>
      </c>
      <c r="AY127" s="81">
        <v>0.36805555555555558</v>
      </c>
      <c r="AZ127" s="81">
        <v>0.55376157407407411</v>
      </c>
      <c r="BA127" s="37">
        <v>704</v>
      </c>
      <c r="BB127" t="s">
        <v>597</v>
      </c>
      <c r="BC127" s="38">
        <v>45791</v>
      </c>
    </row>
    <row r="128" spans="22:55" ht="16" x14ac:dyDescent="0.4">
      <c r="V128" s="97">
        <v>45788</v>
      </c>
      <c r="W128">
        <v>146258</v>
      </c>
      <c r="X128" s="89" t="s">
        <v>36</v>
      </c>
      <c r="Z128" s="50">
        <v>0.4369675925925926</v>
      </c>
      <c r="AA128" s="50">
        <v>0.81836805555555558</v>
      </c>
      <c r="AD128" s="48">
        <v>20738</v>
      </c>
      <c r="AE128" s="48">
        <f t="shared" si="25"/>
        <v>20.738</v>
      </c>
      <c r="AF128">
        <v>12.52</v>
      </c>
      <c r="AG128" s="72">
        <f t="shared" si="22"/>
        <v>12.52</v>
      </c>
      <c r="AH128" s="37">
        <f t="shared" si="23"/>
        <v>18.54569714285714</v>
      </c>
      <c r="AJ128" s="38">
        <v>45790</v>
      </c>
      <c r="AK128" t="s">
        <v>808</v>
      </c>
      <c r="AL128" t="s">
        <v>5</v>
      </c>
      <c r="AN128" s="81" t="s">
        <v>1165</v>
      </c>
      <c r="AO128" s="81" t="s">
        <v>1165</v>
      </c>
      <c r="AP128" s="37">
        <v>2870</v>
      </c>
      <c r="AR128" s="38"/>
      <c r="AU128" s="38">
        <v>45791</v>
      </c>
      <c r="AW128" t="s">
        <v>5</v>
      </c>
      <c r="AY128" s="81">
        <v>0.35883101851851856</v>
      </c>
      <c r="AZ128" s="81">
        <v>0.37436342592592592</v>
      </c>
      <c r="BA128" s="37">
        <v>2286</v>
      </c>
      <c r="BB128" t="s">
        <v>595</v>
      </c>
      <c r="BC128" s="38">
        <v>45791</v>
      </c>
    </row>
    <row r="129" spans="22:55" ht="16" x14ac:dyDescent="0.4">
      <c r="V129" s="97">
        <v>45788</v>
      </c>
      <c r="W129">
        <v>146280</v>
      </c>
      <c r="X129" s="89" t="s">
        <v>36</v>
      </c>
      <c r="Z129" s="50">
        <v>0.8093055555555555</v>
      </c>
      <c r="AA129" s="50">
        <v>0.87430555555555556</v>
      </c>
      <c r="AD129" s="48">
        <v>20110</v>
      </c>
      <c r="AE129" s="48">
        <f t="shared" si="25"/>
        <v>20.11</v>
      </c>
      <c r="AF129">
        <v>13.23</v>
      </c>
      <c r="AG129" s="72">
        <f t="shared" si="22"/>
        <v>13.23</v>
      </c>
      <c r="AH129" s="37">
        <f t="shared" si="23"/>
        <v>19.00395</v>
      </c>
      <c r="AJ129" s="38">
        <v>45790</v>
      </c>
      <c r="AK129" t="s">
        <v>809</v>
      </c>
      <c r="AL129" t="s">
        <v>5</v>
      </c>
      <c r="AN129" s="81" t="s">
        <v>1166</v>
      </c>
      <c r="AO129" s="81" t="s">
        <v>1166</v>
      </c>
      <c r="AP129" s="37">
        <v>1970</v>
      </c>
      <c r="AR129" s="38"/>
      <c r="AU129" s="38">
        <v>45791</v>
      </c>
      <c r="AW129" t="s">
        <v>5</v>
      </c>
      <c r="AY129" s="81">
        <v>0.43472222222222223</v>
      </c>
      <c r="AZ129" s="81">
        <v>0.45277777777777778</v>
      </c>
      <c r="BA129" s="37">
        <v>3234</v>
      </c>
      <c r="BB129" t="s">
        <v>594</v>
      </c>
      <c r="BC129" s="38">
        <v>45792</v>
      </c>
    </row>
    <row r="130" spans="22:55" ht="16" x14ac:dyDescent="0.4">
      <c r="V130" s="97">
        <v>45788</v>
      </c>
      <c r="W130">
        <v>146291</v>
      </c>
      <c r="X130" s="89" t="s">
        <v>36</v>
      </c>
      <c r="Z130" s="50">
        <v>0.86108796296296297</v>
      </c>
      <c r="AA130" s="50">
        <v>0.9513194444444445</v>
      </c>
      <c r="AD130" s="48">
        <v>21972</v>
      </c>
      <c r="AE130" s="48">
        <f t="shared" si="25"/>
        <v>21.972000000000001</v>
      </c>
      <c r="AF130">
        <v>15.7</v>
      </c>
      <c r="AG130" s="72">
        <f t="shared" si="22"/>
        <v>14</v>
      </c>
      <c r="AH130" s="37">
        <f t="shared" si="23"/>
        <v>21.972000000000001</v>
      </c>
      <c r="AJ130" s="38">
        <v>45790</v>
      </c>
      <c r="AK130" t="s">
        <v>810</v>
      </c>
      <c r="AL130" t="s">
        <v>5</v>
      </c>
      <c r="AN130" s="81" t="s">
        <v>1167</v>
      </c>
      <c r="AO130" s="81" t="s">
        <v>1167</v>
      </c>
      <c r="AP130" s="37">
        <v>4860</v>
      </c>
      <c r="AR130" s="38"/>
      <c r="AU130" s="38">
        <v>45792</v>
      </c>
      <c r="AW130" t="s">
        <v>5</v>
      </c>
      <c r="AY130" s="81">
        <v>0.45277777777777778</v>
      </c>
      <c r="AZ130" s="81">
        <v>0.3576388888888889</v>
      </c>
      <c r="BA130" s="37">
        <v>3184</v>
      </c>
      <c r="BB130" t="s">
        <v>598</v>
      </c>
      <c r="BC130" s="38">
        <v>45792</v>
      </c>
    </row>
    <row r="131" spans="22:55" ht="16" x14ac:dyDescent="0.4">
      <c r="V131" s="97">
        <v>45789</v>
      </c>
      <c r="W131">
        <v>146296</v>
      </c>
      <c r="X131" s="89" t="s">
        <v>36</v>
      </c>
      <c r="Z131" s="50">
        <v>0.80918981481481478</v>
      </c>
      <c r="AA131" s="50">
        <v>2.613425925925926E-2</v>
      </c>
      <c r="AD131" s="48">
        <v>21548</v>
      </c>
      <c r="AE131" s="48">
        <f t="shared" si="25"/>
        <v>21.547999999999998</v>
      </c>
      <c r="AF131">
        <v>15.24</v>
      </c>
      <c r="AG131" s="72">
        <f t="shared" si="22"/>
        <v>14</v>
      </c>
      <c r="AH131" s="37">
        <f t="shared" si="23"/>
        <v>21.547999999999998</v>
      </c>
      <c r="AJ131" s="38">
        <v>45790</v>
      </c>
      <c r="AK131" t="s">
        <v>811</v>
      </c>
      <c r="AL131" t="s">
        <v>5</v>
      </c>
      <c r="AN131" s="81" t="s">
        <v>1168</v>
      </c>
      <c r="AO131" s="81" t="s">
        <v>1168</v>
      </c>
      <c r="AP131" s="37">
        <v>1200</v>
      </c>
      <c r="AR131" s="38"/>
      <c r="AU131" s="38">
        <v>45792</v>
      </c>
      <c r="AW131" t="s">
        <v>5</v>
      </c>
      <c r="AY131" s="81">
        <v>0.5708333333333333</v>
      </c>
      <c r="AZ131" s="81">
        <v>0.37361111111111112</v>
      </c>
      <c r="BA131" s="37">
        <v>3154</v>
      </c>
      <c r="BB131" t="s">
        <v>599</v>
      </c>
      <c r="BC131" s="38">
        <v>45792</v>
      </c>
    </row>
    <row r="132" spans="22:55" ht="16" x14ac:dyDescent="0.4">
      <c r="V132" s="97">
        <v>45789</v>
      </c>
      <c r="W132">
        <v>146301</v>
      </c>
      <c r="X132" s="89" t="s">
        <v>36</v>
      </c>
      <c r="Z132" s="50">
        <v>9.4768518518518516E-2</v>
      </c>
      <c r="AA132" s="50"/>
      <c r="AD132" s="48">
        <v>20816</v>
      </c>
      <c r="AE132" s="48">
        <f t="shared" si="25"/>
        <v>20.815999999999999</v>
      </c>
      <c r="AF132">
        <v>14.64</v>
      </c>
      <c r="AG132" s="72">
        <f t="shared" si="22"/>
        <v>14</v>
      </c>
      <c r="AH132" s="37">
        <f t="shared" si="23"/>
        <v>20.815999999999999</v>
      </c>
      <c r="AJ132" s="38">
        <v>45791</v>
      </c>
      <c r="AK132" t="s">
        <v>812</v>
      </c>
      <c r="AL132" t="s">
        <v>5</v>
      </c>
      <c r="AN132" s="81" t="s">
        <v>1169</v>
      </c>
      <c r="AO132" s="81" t="s">
        <v>1169</v>
      </c>
      <c r="AP132" s="37">
        <v>3030</v>
      </c>
      <c r="AR132" s="38"/>
      <c r="AU132" s="38">
        <v>45792</v>
      </c>
      <c r="AW132" t="s">
        <v>5</v>
      </c>
      <c r="AY132" s="81">
        <v>0.42777777777777781</v>
      </c>
      <c r="AZ132" s="81">
        <v>0.44236111111111115</v>
      </c>
      <c r="BA132" s="37">
        <v>3716</v>
      </c>
      <c r="BB132" t="s">
        <v>600</v>
      </c>
      <c r="BC132" s="38">
        <v>45792</v>
      </c>
    </row>
    <row r="133" spans="22:55" ht="16" x14ac:dyDescent="0.4">
      <c r="V133" s="97">
        <v>45789</v>
      </c>
      <c r="W133">
        <v>146306</v>
      </c>
      <c r="X133" s="89" t="s">
        <v>36</v>
      </c>
      <c r="Z133" s="50">
        <v>0.81217592592592591</v>
      </c>
      <c r="AA133" s="50">
        <v>0.14069444444444446</v>
      </c>
      <c r="AD133" s="48">
        <v>20110</v>
      </c>
      <c r="AE133" s="48">
        <f t="shared" si="25"/>
        <v>20.11</v>
      </c>
      <c r="AF133">
        <v>15.41</v>
      </c>
      <c r="AG133" s="72">
        <f t="shared" ref="AG133:AG196" si="26">IF($AF133&gt;14,14,$AF133)</f>
        <v>14</v>
      </c>
      <c r="AH133" s="37">
        <f t="shared" si="23"/>
        <v>20.109999999999996</v>
      </c>
      <c r="AJ133" s="38">
        <v>45791</v>
      </c>
      <c r="AK133" t="s">
        <v>813</v>
      </c>
      <c r="AL133" t="s">
        <v>5</v>
      </c>
      <c r="AN133" s="81" t="s">
        <v>1170</v>
      </c>
      <c r="AO133" s="81" t="s">
        <v>1170</v>
      </c>
      <c r="AP133" s="37">
        <v>2110</v>
      </c>
      <c r="AR133" s="38"/>
      <c r="AU133" s="38">
        <v>45792</v>
      </c>
      <c r="AW133" t="s">
        <v>5</v>
      </c>
      <c r="AY133" s="81">
        <v>0.39027777777777778</v>
      </c>
      <c r="AZ133" s="81">
        <v>0.46458333333333335</v>
      </c>
      <c r="BA133" s="37">
        <v>2898</v>
      </c>
      <c r="BB133" t="s">
        <v>118</v>
      </c>
      <c r="BC133" s="38">
        <v>45792</v>
      </c>
    </row>
    <row r="134" spans="22:55" ht="16" x14ac:dyDescent="0.4">
      <c r="V134" s="97">
        <v>45789</v>
      </c>
      <c r="W134">
        <v>146307</v>
      </c>
      <c r="X134" s="89" t="s">
        <v>36</v>
      </c>
      <c r="Z134" s="50">
        <v>0.12556712962962963</v>
      </c>
      <c r="AA134" s="50">
        <v>0.18942129629629631</v>
      </c>
      <c r="AD134" s="48">
        <v>19976</v>
      </c>
      <c r="AE134" s="48">
        <f t="shared" si="25"/>
        <v>19.975999999999999</v>
      </c>
      <c r="AF134">
        <v>14.24</v>
      </c>
      <c r="AG134" s="72">
        <f t="shared" si="26"/>
        <v>14</v>
      </c>
      <c r="AH134" s="37">
        <f t="shared" ref="AH134:AH197" si="27">AE134*AG134/14</f>
        <v>19.975999999999999</v>
      </c>
      <c r="AJ134" s="38">
        <v>45791</v>
      </c>
      <c r="AK134" t="s">
        <v>814</v>
      </c>
      <c r="AL134" t="s">
        <v>5</v>
      </c>
      <c r="AN134" s="81" t="s">
        <v>1171</v>
      </c>
      <c r="AO134" s="81" t="s">
        <v>1172</v>
      </c>
      <c r="AP134" s="37">
        <v>3620</v>
      </c>
      <c r="AR134" s="38"/>
      <c r="AU134" s="38">
        <v>45791</v>
      </c>
      <c r="AW134" t="s">
        <v>5</v>
      </c>
      <c r="AY134" s="81">
        <v>0.61875000000000002</v>
      </c>
      <c r="AZ134" s="81">
        <v>0.66875000000000007</v>
      </c>
      <c r="BA134" s="37">
        <v>2438</v>
      </c>
      <c r="BC134" s="38">
        <v>45792</v>
      </c>
    </row>
    <row r="135" spans="22:55" ht="16" x14ac:dyDescent="0.4">
      <c r="V135" s="97">
        <v>45789</v>
      </c>
      <c r="W135">
        <v>146309</v>
      </c>
      <c r="X135" s="89" t="s">
        <v>36</v>
      </c>
      <c r="Z135" s="50">
        <v>0.18402777777777779</v>
      </c>
      <c r="AA135" s="50">
        <v>0.3444444444444445</v>
      </c>
      <c r="AB135">
        <v>104</v>
      </c>
      <c r="AC135" t="s">
        <v>22</v>
      </c>
      <c r="AD135" s="48">
        <v>14318</v>
      </c>
      <c r="AE135" s="48">
        <f t="shared" si="25"/>
        <v>14.318</v>
      </c>
      <c r="AF135">
        <v>13.77</v>
      </c>
      <c r="AG135" s="72">
        <f t="shared" si="26"/>
        <v>13.77</v>
      </c>
      <c r="AH135" s="37">
        <f t="shared" si="27"/>
        <v>14.082775714285713</v>
      </c>
      <c r="AJ135" s="38">
        <v>45791</v>
      </c>
      <c r="AK135" t="s">
        <v>815</v>
      </c>
      <c r="AL135" t="s">
        <v>5</v>
      </c>
      <c r="AN135" s="81" t="s">
        <v>1173</v>
      </c>
      <c r="AO135" s="81" t="s">
        <v>1173</v>
      </c>
      <c r="AP135" s="37">
        <v>2980</v>
      </c>
      <c r="AR135" s="38"/>
      <c r="AU135" s="38">
        <v>45792</v>
      </c>
      <c r="AW135" t="s">
        <v>5</v>
      </c>
      <c r="AY135" s="81">
        <v>0.44236111111111115</v>
      </c>
      <c r="AZ135" s="81">
        <v>0.61249999999999993</v>
      </c>
      <c r="BA135" s="37">
        <v>3846</v>
      </c>
      <c r="BB135" t="s">
        <v>600</v>
      </c>
      <c r="BC135" s="38">
        <v>45792</v>
      </c>
    </row>
    <row r="136" spans="22:55" ht="16" x14ac:dyDescent="0.4">
      <c r="V136" s="97">
        <v>45790</v>
      </c>
      <c r="W136">
        <v>146418</v>
      </c>
      <c r="X136" s="89" t="s">
        <v>36</v>
      </c>
      <c r="Z136" s="50">
        <v>0.86319444444444438</v>
      </c>
      <c r="AA136" s="50">
        <v>0.37847222222222227</v>
      </c>
      <c r="AD136" s="48">
        <v>21154</v>
      </c>
      <c r="AE136" s="48">
        <f t="shared" ref="AE136:AE195" si="28">AD136/1000</f>
        <v>21.154</v>
      </c>
      <c r="AF136">
        <v>17.09</v>
      </c>
      <c r="AG136" s="72">
        <f t="shared" si="26"/>
        <v>14</v>
      </c>
      <c r="AH136" s="37">
        <f t="shared" si="27"/>
        <v>21.154</v>
      </c>
      <c r="AJ136" s="38">
        <v>45791</v>
      </c>
      <c r="AK136" t="s">
        <v>816</v>
      </c>
      <c r="AL136" t="s">
        <v>5</v>
      </c>
      <c r="AN136" s="81" t="s">
        <v>1174</v>
      </c>
      <c r="AO136" s="81" t="s">
        <v>1175</v>
      </c>
      <c r="AP136" s="37">
        <v>4540</v>
      </c>
      <c r="AR136" s="38"/>
      <c r="AU136" s="38">
        <v>45792</v>
      </c>
      <c r="AW136" t="s">
        <v>5</v>
      </c>
      <c r="AY136" s="81">
        <v>0.60763888888888895</v>
      </c>
      <c r="AZ136" s="81">
        <v>0.61944444444444446</v>
      </c>
      <c r="BA136" s="37">
        <v>4730</v>
      </c>
      <c r="BB136" t="s">
        <v>601</v>
      </c>
      <c r="BC136" s="38">
        <v>45792</v>
      </c>
    </row>
    <row r="137" spans="22:55" ht="16" x14ac:dyDescent="0.4">
      <c r="V137" s="97">
        <v>45790</v>
      </c>
      <c r="W137">
        <v>146473</v>
      </c>
      <c r="X137" s="89" t="s">
        <v>36</v>
      </c>
      <c r="Z137" s="50">
        <v>0.28680555555555554</v>
      </c>
      <c r="AA137" s="50">
        <v>0.46111111111111108</v>
      </c>
      <c r="AD137" s="48">
        <v>22176</v>
      </c>
      <c r="AE137" s="48">
        <f t="shared" si="28"/>
        <v>22.175999999999998</v>
      </c>
      <c r="AF137">
        <v>17.809999999999999</v>
      </c>
      <c r="AG137" s="72">
        <f t="shared" si="26"/>
        <v>14</v>
      </c>
      <c r="AH137" s="37">
        <f t="shared" si="27"/>
        <v>22.175999999999998</v>
      </c>
      <c r="AJ137" s="38">
        <v>45791</v>
      </c>
      <c r="AK137" t="s">
        <v>817</v>
      </c>
      <c r="AL137" t="s">
        <v>5</v>
      </c>
      <c r="AN137" s="81" t="s">
        <v>1176</v>
      </c>
      <c r="AO137" s="81" t="s">
        <v>1176</v>
      </c>
      <c r="AP137" s="37">
        <v>1930</v>
      </c>
      <c r="AR137" s="38"/>
      <c r="AU137" s="38">
        <v>45792</v>
      </c>
      <c r="AW137" t="s">
        <v>5</v>
      </c>
      <c r="AY137" s="81">
        <v>0.58750000000000002</v>
      </c>
      <c r="AZ137" s="81">
        <v>0.61458333333333337</v>
      </c>
      <c r="BA137" s="37">
        <v>2264</v>
      </c>
      <c r="BB137" t="s">
        <v>598</v>
      </c>
      <c r="BC137" s="38">
        <v>45793</v>
      </c>
    </row>
    <row r="138" spans="22:55" ht="16" x14ac:dyDescent="0.4">
      <c r="V138" s="97">
        <v>45790</v>
      </c>
      <c r="W138">
        <v>146533</v>
      </c>
      <c r="X138" s="89" t="s">
        <v>36</v>
      </c>
      <c r="Z138" s="50">
        <v>0.86388888888888893</v>
      </c>
      <c r="AA138" s="50">
        <v>0.56111111111111112</v>
      </c>
      <c r="AD138" s="48">
        <v>21628</v>
      </c>
      <c r="AE138" s="48">
        <f t="shared" si="28"/>
        <v>21.628</v>
      </c>
      <c r="AF138">
        <v>14.62</v>
      </c>
      <c r="AG138" s="72">
        <f t="shared" si="26"/>
        <v>14</v>
      </c>
      <c r="AH138" s="37">
        <f t="shared" si="27"/>
        <v>21.628000000000004</v>
      </c>
      <c r="AJ138" s="38">
        <v>45791</v>
      </c>
      <c r="AK138" t="s">
        <v>818</v>
      </c>
      <c r="AL138" t="s">
        <v>5</v>
      </c>
      <c r="AN138" s="81" t="s">
        <v>1177</v>
      </c>
      <c r="AO138" s="81" t="s">
        <v>1177</v>
      </c>
      <c r="AP138" s="37">
        <v>810</v>
      </c>
      <c r="AR138" s="38"/>
      <c r="AU138" s="38">
        <v>45793</v>
      </c>
      <c r="AW138" t="s">
        <v>5</v>
      </c>
      <c r="AY138" s="81">
        <v>0.48125000000000001</v>
      </c>
      <c r="AZ138" s="81">
        <v>0.4458333333333333</v>
      </c>
      <c r="BA138" s="37">
        <v>2870</v>
      </c>
      <c r="BB138" t="s">
        <v>602</v>
      </c>
      <c r="BC138" s="38">
        <v>45793</v>
      </c>
    </row>
    <row r="139" spans="22:55" ht="16" x14ac:dyDescent="0.4">
      <c r="V139" s="97">
        <v>45790</v>
      </c>
      <c r="W139">
        <v>146576</v>
      </c>
      <c r="X139" s="89" t="s">
        <v>36</v>
      </c>
      <c r="Z139" s="50">
        <v>0.52222222222222225</v>
      </c>
      <c r="AA139" s="50">
        <v>0.65555555555555556</v>
      </c>
      <c r="AD139" s="48">
        <v>22414</v>
      </c>
      <c r="AE139" s="48">
        <f t="shared" si="28"/>
        <v>22.414000000000001</v>
      </c>
      <c r="AF139">
        <v>15.06</v>
      </c>
      <c r="AG139" s="72">
        <f t="shared" si="26"/>
        <v>14</v>
      </c>
      <c r="AH139" s="37">
        <f t="shared" si="27"/>
        <v>22.414000000000005</v>
      </c>
      <c r="AJ139" s="38">
        <v>45791</v>
      </c>
      <c r="AK139" t="s">
        <v>819</v>
      </c>
      <c r="AL139" t="s">
        <v>5</v>
      </c>
      <c r="AN139" s="81" t="s">
        <v>1178</v>
      </c>
      <c r="AO139" s="81" t="s">
        <v>1178</v>
      </c>
      <c r="AP139" s="37">
        <v>2320</v>
      </c>
      <c r="AR139" s="38"/>
      <c r="AU139" s="38">
        <v>45793</v>
      </c>
      <c r="AW139" t="s">
        <v>5</v>
      </c>
      <c r="AY139" s="81">
        <v>0.38125000000000003</v>
      </c>
      <c r="AZ139" s="81">
        <v>0.39374999999999999</v>
      </c>
      <c r="BA139" s="37">
        <v>3594</v>
      </c>
      <c r="BB139" t="s">
        <v>603</v>
      </c>
      <c r="BC139" s="38">
        <v>45793</v>
      </c>
    </row>
    <row r="140" spans="22:55" ht="16" x14ac:dyDescent="0.4">
      <c r="V140" s="97">
        <v>45790</v>
      </c>
      <c r="W140">
        <v>146619</v>
      </c>
      <c r="X140" s="89" t="s">
        <v>36</v>
      </c>
      <c r="Z140" s="50">
        <v>0.86388888888888893</v>
      </c>
      <c r="AA140" s="50">
        <v>0.72430555555555554</v>
      </c>
      <c r="AD140" s="48">
        <v>19386</v>
      </c>
      <c r="AE140" s="48">
        <f t="shared" si="28"/>
        <v>19.385999999999999</v>
      </c>
      <c r="AF140">
        <v>14.56</v>
      </c>
      <c r="AG140" s="72">
        <f t="shared" si="26"/>
        <v>14</v>
      </c>
      <c r="AH140" s="37">
        <f t="shared" si="27"/>
        <v>19.385999999999999</v>
      </c>
      <c r="AJ140" s="38">
        <v>45792</v>
      </c>
      <c r="AK140" t="s">
        <v>820</v>
      </c>
      <c r="AL140" t="s">
        <v>5</v>
      </c>
      <c r="AN140" s="81" t="s">
        <v>1179</v>
      </c>
      <c r="AO140" s="81" t="s">
        <v>1179</v>
      </c>
      <c r="AP140" s="37">
        <v>3130</v>
      </c>
      <c r="AR140" s="38"/>
      <c r="AU140" s="38">
        <v>45793</v>
      </c>
      <c r="AW140" t="s">
        <v>5</v>
      </c>
      <c r="AY140" s="81">
        <v>0.39374999999999999</v>
      </c>
      <c r="AZ140" s="81">
        <v>0.45624999999999999</v>
      </c>
      <c r="BA140" s="37">
        <v>3312</v>
      </c>
      <c r="BB140" t="s">
        <v>603</v>
      </c>
      <c r="BC140" s="38">
        <v>45793</v>
      </c>
    </row>
    <row r="141" spans="22:55" ht="16" x14ac:dyDescent="0.4">
      <c r="V141" s="97">
        <v>45790</v>
      </c>
      <c r="W141">
        <v>146651</v>
      </c>
      <c r="X141" s="89" t="s">
        <v>36</v>
      </c>
      <c r="Z141" s="50">
        <v>0.2873263888888889</v>
      </c>
      <c r="AA141" s="50">
        <v>0.82042824074074072</v>
      </c>
      <c r="AD141" s="48">
        <v>19176</v>
      </c>
      <c r="AE141" s="48">
        <f t="shared" si="28"/>
        <v>19.175999999999998</v>
      </c>
      <c r="AF141">
        <v>14.02</v>
      </c>
      <c r="AG141" s="72">
        <f t="shared" si="26"/>
        <v>14</v>
      </c>
      <c r="AH141" s="37">
        <f t="shared" si="27"/>
        <v>19.175999999999998</v>
      </c>
      <c r="AJ141" s="38">
        <v>45792</v>
      </c>
      <c r="AK141" t="s">
        <v>821</v>
      </c>
      <c r="AL141" t="s">
        <v>5</v>
      </c>
      <c r="AN141" s="81" t="s">
        <v>1180</v>
      </c>
      <c r="AO141" s="81" t="s">
        <v>1180</v>
      </c>
      <c r="AP141" s="48">
        <v>3220</v>
      </c>
      <c r="AR141" s="38"/>
      <c r="AU141" s="38">
        <v>45793</v>
      </c>
      <c r="AW141" t="s">
        <v>5</v>
      </c>
      <c r="AY141" s="81">
        <v>0.46180555555555558</v>
      </c>
      <c r="AZ141" s="81">
        <v>0.55902777777777779</v>
      </c>
      <c r="BA141" s="48">
        <v>2198</v>
      </c>
      <c r="BB141" t="s">
        <v>604</v>
      </c>
      <c r="BC141" s="38">
        <v>45793</v>
      </c>
    </row>
    <row r="142" spans="22:55" ht="16" x14ac:dyDescent="0.4">
      <c r="V142" s="97">
        <v>45790</v>
      </c>
      <c r="W142">
        <v>146684</v>
      </c>
      <c r="X142" s="89" t="s">
        <v>36</v>
      </c>
      <c r="Z142" s="50">
        <v>0.7635185185185186</v>
      </c>
      <c r="AA142" s="50">
        <v>0.88243055555555561</v>
      </c>
      <c r="AD142" s="48">
        <v>19426</v>
      </c>
      <c r="AE142" s="48">
        <f t="shared" si="28"/>
        <v>19.425999999999998</v>
      </c>
      <c r="AF142">
        <v>14.91</v>
      </c>
      <c r="AG142" s="72">
        <f t="shared" si="26"/>
        <v>14</v>
      </c>
      <c r="AH142" s="37">
        <f t="shared" si="27"/>
        <v>19.425999999999998</v>
      </c>
      <c r="AJ142" s="38">
        <v>45792</v>
      </c>
      <c r="AK142" t="s">
        <v>822</v>
      </c>
      <c r="AL142" t="s">
        <v>5</v>
      </c>
      <c r="AN142" s="81" t="s">
        <v>1181</v>
      </c>
      <c r="AO142" s="81" t="s">
        <v>1182</v>
      </c>
      <c r="AP142" s="48">
        <v>3760</v>
      </c>
      <c r="AR142" s="38"/>
      <c r="AU142" s="38">
        <v>45793</v>
      </c>
      <c r="AW142" t="s">
        <v>5</v>
      </c>
      <c r="AY142" s="81">
        <v>0.40277777777777773</v>
      </c>
      <c r="AZ142" s="81">
        <v>0.42152777777777778</v>
      </c>
      <c r="BA142" s="48">
        <v>2478</v>
      </c>
      <c r="BB142" t="s">
        <v>602</v>
      </c>
      <c r="BC142" s="38">
        <v>45793</v>
      </c>
    </row>
    <row r="143" spans="22:55" ht="16" x14ac:dyDescent="0.4">
      <c r="V143" s="97">
        <v>45790</v>
      </c>
      <c r="W143">
        <v>146707</v>
      </c>
      <c r="X143" s="89" t="s">
        <v>36</v>
      </c>
      <c r="Z143" s="50">
        <v>0.86894675925925924</v>
      </c>
      <c r="AA143" s="50">
        <v>0.95775462962962965</v>
      </c>
      <c r="AD143" s="48">
        <v>19896</v>
      </c>
      <c r="AE143" s="48">
        <f t="shared" si="28"/>
        <v>19.896000000000001</v>
      </c>
      <c r="AF143">
        <v>14.45</v>
      </c>
      <c r="AG143" s="72">
        <f t="shared" si="26"/>
        <v>14</v>
      </c>
      <c r="AH143" s="37">
        <f t="shared" si="27"/>
        <v>19.895999999999997</v>
      </c>
      <c r="AJ143" s="38">
        <v>45792</v>
      </c>
      <c r="AK143" t="s">
        <v>823</v>
      </c>
      <c r="AL143" t="s">
        <v>5</v>
      </c>
      <c r="AN143" s="81" t="s">
        <v>1183</v>
      </c>
      <c r="AO143" s="81" t="s">
        <v>1184</v>
      </c>
      <c r="AP143" s="48">
        <v>3710</v>
      </c>
      <c r="AR143" s="38"/>
      <c r="AU143" s="38">
        <v>45793</v>
      </c>
      <c r="AW143" t="s">
        <v>5</v>
      </c>
      <c r="AY143" s="81">
        <v>0.42152777777777778</v>
      </c>
      <c r="AZ143" s="81">
        <v>0.56666666666666665</v>
      </c>
      <c r="BA143" s="48">
        <v>1634</v>
      </c>
      <c r="BB143" t="s">
        <v>604</v>
      </c>
      <c r="BC143" s="38">
        <v>45793</v>
      </c>
    </row>
    <row r="144" spans="22:55" ht="16" x14ac:dyDescent="0.4">
      <c r="V144" s="97">
        <v>45791</v>
      </c>
      <c r="W144">
        <v>146720</v>
      </c>
      <c r="X144" s="89" t="s">
        <v>36</v>
      </c>
      <c r="Z144" s="50">
        <v>0.76366898148148143</v>
      </c>
      <c r="AA144" s="50">
        <v>3.1041666666666665E-2</v>
      </c>
      <c r="AD144" s="48">
        <v>19270</v>
      </c>
      <c r="AE144" s="48">
        <f t="shared" si="28"/>
        <v>19.27</v>
      </c>
      <c r="AF144">
        <v>13.38</v>
      </c>
      <c r="AG144" s="72">
        <f t="shared" si="26"/>
        <v>13.38</v>
      </c>
      <c r="AH144" s="37">
        <f t="shared" si="27"/>
        <v>18.416614285714285</v>
      </c>
      <c r="AJ144" s="38">
        <v>45792</v>
      </c>
      <c r="AK144" t="s">
        <v>824</v>
      </c>
      <c r="AL144" t="s">
        <v>5</v>
      </c>
      <c r="AN144" s="81" t="s">
        <v>1185</v>
      </c>
      <c r="AO144" s="81" t="s">
        <v>1185</v>
      </c>
      <c r="AP144" s="48">
        <v>2810</v>
      </c>
      <c r="AR144" s="38"/>
      <c r="AU144" s="38">
        <v>45793</v>
      </c>
      <c r="AW144" t="s">
        <v>5</v>
      </c>
      <c r="AY144" s="81">
        <v>0.4152777777777778</v>
      </c>
      <c r="AZ144" s="81">
        <v>0.43472222222222223</v>
      </c>
      <c r="BA144" s="48">
        <v>3842</v>
      </c>
      <c r="BB144" t="s">
        <v>598</v>
      </c>
      <c r="BC144" s="38">
        <v>45793</v>
      </c>
    </row>
    <row r="145" spans="22:55" ht="16" x14ac:dyDescent="0.4">
      <c r="V145" s="97">
        <v>45791</v>
      </c>
      <c r="W145">
        <v>146736</v>
      </c>
      <c r="X145" s="89" t="s">
        <v>36</v>
      </c>
      <c r="Z145" s="50">
        <v>0.86883101851851852</v>
      </c>
      <c r="AA145" s="50">
        <v>9.6932870370370364E-2</v>
      </c>
      <c r="AD145" s="48">
        <v>21224</v>
      </c>
      <c r="AE145" s="48">
        <f t="shared" si="28"/>
        <v>21.224</v>
      </c>
      <c r="AF145">
        <v>13.12</v>
      </c>
      <c r="AG145" s="72">
        <f t="shared" si="26"/>
        <v>13.12</v>
      </c>
      <c r="AH145" s="37">
        <f t="shared" si="27"/>
        <v>19.889919999999996</v>
      </c>
      <c r="AJ145" s="38">
        <v>45792</v>
      </c>
      <c r="AK145" t="s">
        <v>825</v>
      </c>
      <c r="AL145" t="s">
        <v>5</v>
      </c>
      <c r="AN145" s="81" t="s">
        <v>1186</v>
      </c>
      <c r="AO145" s="81" t="s">
        <v>1186</v>
      </c>
      <c r="AP145" s="48">
        <v>2890</v>
      </c>
      <c r="AR145" s="38"/>
      <c r="AU145" s="38">
        <v>45793</v>
      </c>
      <c r="AW145" t="s">
        <v>5</v>
      </c>
      <c r="AY145" s="81">
        <v>0.43472222222222223</v>
      </c>
      <c r="AZ145" s="81">
        <v>0.60277777777777775</v>
      </c>
      <c r="BA145" s="48">
        <v>2884</v>
      </c>
      <c r="BB145" t="s">
        <v>603</v>
      </c>
      <c r="BC145" s="38">
        <v>45793</v>
      </c>
    </row>
    <row r="146" spans="22:55" ht="16" x14ac:dyDescent="0.4">
      <c r="V146" s="97">
        <v>45791</v>
      </c>
      <c r="W146">
        <v>146742</v>
      </c>
      <c r="X146" s="89" t="s">
        <v>36</v>
      </c>
      <c r="Z146" s="50">
        <v>0.7637962962962962</v>
      </c>
      <c r="AA146" s="50">
        <v>0.15162037037037038</v>
      </c>
      <c r="AD146" s="48">
        <v>19780</v>
      </c>
      <c r="AE146" s="48">
        <f t="shared" si="28"/>
        <v>19.78</v>
      </c>
      <c r="AF146">
        <v>15.63</v>
      </c>
      <c r="AG146" s="72">
        <f t="shared" si="26"/>
        <v>14</v>
      </c>
      <c r="AH146" s="37">
        <f t="shared" si="27"/>
        <v>19.78</v>
      </c>
      <c r="AJ146" s="38">
        <v>45792</v>
      </c>
      <c r="AK146" t="s">
        <v>826</v>
      </c>
      <c r="AL146" t="s">
        <v>5</v>
      </c>
      <c r="AN146" s="81" t="s">
        <v>1187</v>
      </c>
      <c r="AO146" s="81" t="s">
        <v>1187</v>
      </c>
      <c r="AP146" s="48">
        <v>2150</v>
      </c>
      <c r="AR146" s="38"/>
      <c r="AU146" s="38">
        <v>45792</v>
      </c>
      <c r="AW146" t="s">
        <v>5</v>
      </c>
      <c r="AY146" s="81">
        <v>0.4604166666666667</v>
      </c>
      <c r="AZ146" s="81">
        <v>0.47430555555555554</v>
      </c>
      <c r="BA146" s="48">
        <v>2958</v>
      </c>
      <c r="BB146" t="s">
        <v>598</v>
      </c>
      <c r="BC146" s="38">
        <v>45794</v>
      </c>
    </row>
    <row r="147" spans="22:55" ht="16" x14ac:dyDescent="0.4">
      <c r="V147" s="97">
        <v>45791</v>
      </c>
      <c r="W147">
        <v>146810</v>
      </c>
      <c r="X147" s="89" t="s">
        <v>36</v>
      </c>
      <c r="Z147" s="50">
        <v>0.86851851851851858</v>
      </c>
      <c r="AA147" s="50">
        <v>0.32425925925925925</v>
      </c>
      <c r="AD147" s="48">
        <v>21234</v>
      </c>
      <c r="AE147" s="48">
        <f t="shared" si="28"/>
        <v>21.234000000000002</v>
      </c>
      <c r="AF147">
        <v>17.98</v>
      </c>
      <c r="AG147" s="72">
        <f t="shared" si="26"/>
        <v>14</v>
      </c>
      <c r="AH147" s="37">
        <f t="shared" si="27"/>
        <v>21.234000000000002</v>
      </c>
      <c r="AJ147" s="38">
        <v>45792</v>
      </c>
      <c r="AK147" t="s">
        <v>827</v>
      </c>
      <c r="AL147" t="s">
        <v>5</v>
      </c>
      <c r="AN147" s="81" t="s">
        <v>1188</v>
      </c>
      <c r="AO147" s="81" t="s">
        <v>1188</v>
      </c>
      <c r="AP147" s="48">
        <v>3760</v>
      </c>
      <c r="AR147" s="38"/>
      <c r="AU147" s="38">
        <v>45794</v>
      </c>
      <c r="AW147" t="s">
        <v>5</v>
      </c>
      <c r="AY147" s="81">
        <v>0.41111111111111115</v>
      </c>
      <c r="AZ147" s="81">
        <v>0.43402777777777773</v>
      </c>
      <c r="BA147" s="48">
        <v>4182</v>
      </c>
      <c r="BB147" t="s">
        <v>604</v>
      </c>
      <c r="BC147" s="38">
        <v>45794</v>
      </c>
    </row>
    <row r="148" spans="22:55" ht="16" x14ac:dyDescent="0.4">
      <c r="V148" s="97">
        <v>45791</v>
      </c>
      <c r="W148">
        <v>146873</v>
      </c>
      <c r="X148" s="89" t="s">
        <v>36</v>
      </c>
      <c r="Z148" s="50">
        <v>0.19741898148148149</v>
      </c>
      <c r="AA148" s="50">
        <v>0.39271990740740742</v>
      </c>
      <c r="AD148" s="48">
        <v>20988</v>
      </c>
      <c r="AE148" s="48">
        <f t="shared" si="28"/>
        <v>20.988</v>
      </c>
      <c r="AF148">
        <v>18.38</v>
      </c>
      <c r="AG148" s="72">
        <f t="shared" si="26"/>
        <v>14</v>
      </c>
      <c r="AH148" s="37">
        <f t="shared" si="27"/>
        <v>20.988</v>
      </c>
      <c r="AJ148" s="38">
        <v>45792</v>
      </c>
      <c r="AK148" t="s">
        <v>828</v>
      </c>
      <c r="AL148" t="s">
        <v>5</v>
      </c>
      <c r="AN148" s="81" t="s">
        <v>1189</v>
      </c>
      <c r="AO148" s="81" t="s">
        <v>1189</v>
      </c>
      <c r="AP148" s="48">
        <v>4650</v>
      </c>
      <c r="AR148" s="38"/>
      <c r="AU148" s="38">
        <v>45794</v>
      </c>
      <c r="AW148" t="s">
        <v>5</v>
      </c>
      <c r="AY148" s="81">
        <v>0.26041666666666669</v>
      </c>
      <c r="AZ148" s="81">
        <v>0.4680555555555555</v>
      </c>
      <c r="BA148" s="48">
        <v>3440</v>
      </c>
      <c r="BB148" t="s">
        <v>604</v>
      </c>
      <c r="BC148" s="38">
        <v>45794</v>
      </c>
    </row>
    <row r="149" spans="22:55" ht="16" x14ac:dyDescent="0.4">
      <c r="V149" s="97">
        <v>45791</v>
      </c>
      <c r="W149">
        <v>146956</v>
      </c>
      <c r="X149" s="89" t="s">
        <v>36</v>
      </c>
      <c r="Z149" s="50">
        <v>0.86571759259259251</v>
      </c>
      <c r="AA149" s="50">
        <v>0.46365740740740741</v>
      </c>
      <c r="AD149" s="48">
        <v>21140</v>
      </c>
      <c r="AE149" s="48">
        <f t="shared" si="28"/>
        <v>21.14</v>
      </c>
      <c r="AF149">
        <v>14.34</v>
      </c>
      <c r="AG149" s="72">
        <f t="shared" si="26"/>
        <v>14</v>
      </c>
      <c r="AH149" s="37">
        <f t="shared" si="27"/>
        <v>21.140000000000004</v>
      </c>
      <c r="AJ149" s="38">
        <v>45793</v>
      </c>
      <c r="AK149" t="s">
        <v>829</v>
      </c>
      <c r="AL149" t="s">
        <v>5</v>
      </c>
      <c r="AN149" s="81" t="s">
        <v>1190</v>
      </c>
      <c r="AO149" s="81" t="s">
        <v>1190</v>
      </c>
      <c r="AP149" s="48">
        <v>3600</v>
      </c>
      <c r="AR149" s="38"/>
      <c r="AU149" s="38">
        <v>45794</v>
      </c>
      <c r="AW149" t="s">
        <v>5</v>
      </c>
      <c r="AY149" s="81">
        <v>0.61527777777777781</v>
      </c>
      <c r="AZ149" s="81">
        <v>0.63124999999999998</v>
      </c>
      <c r="BA149" s="48">
        <v>4982</v>
      </c>
      <c r="BB149" t="s">
        <v>605</v>
      </c>
      <c r="BC149" s="38">
        <v>45794</v>
      </c>
    </row>
    <row r="150" spans="22:55" ht="16" x14ac:dyDescent="0.4">
      <c r="V150" s="97">
        <v>45791</v>
      </c>
      <c r="W150">
        <v>146994</v>
      </c>
      <c r="X150" s="89" t="s">
        <v>36</v>
      </c>
      <c r="Z150" s="50">
        <v>0.19791666666666666</v>
      </c>
      <c r="AA150" s="50">
        <v>0.54693287037037031</v>
      </c>
      <c r="AD150" s="48">
        <v>19562</v>
      </c>
      <c r="AE150" s="48">
        <f t="shared" si="28"/>
        <v>19.562000000000001</v>
      </c>
      <c r="AF150">
        <v>14.44</v>
      </c>
      <c r="AG150" s="72">
        <f t="shared" si="26"/>
        <v>14</v>
      </c>
      <c r="AH150" s="37">
        <f t="shared" si="27"/>
        <v>19.562000000000001</v>
      </c>
      <c r="AJ150" s="38">
        <v>45793</v>
      </c>
      <c r="AK150" t="s">
        <v>830</v>
      </c>
      <c r="AL150" t="s">
        <v>5</v>
      </c>
      <c r="AN150" s="81" t="s">
        <v>1191</v>
      </c>
      <c r="AO150" s="81" t="s">
        <v>1191</v>
      </c>
      <c r="AP150" s="48">
        <v>2370</v>
      </c>
      <c r="AR150" s="38"/>
      <c r="AU150" s="38">
        <v>45795</v>
      </c>
      <c r="AW150" t="s">
        <v>5</v>
      </c>
      <c r="AY150" s="81">
        <v>0.5854166666666667</v>
      </c>
      <c r="AZ150" s="81">
        <v>0.40347222222222223</v>
      </c>
      <c r="BA150" s="48">
        <v>2876</v>
      </c>
      <c r="BB150" t="s">
        <v>605</v>
      </c>
      <c r="BC150" s="38">
        <v>45795</v>
      </c>
    </row>
    <row r="151" spans="22:55" ht="16" x14ac:dyDescent="0.4">
      <c r="V151" s="97">
        <v>45791</v>
      </c>
      <c r="W151">
        <v>147042</v>
      </c>
      <c r="X151" s="89" t="s">
        <v>36</v>
      </c>
      <c r="Z151" s="50">
        <v>0.4064699074074074</v>
      </c>
      <c r="AA151" s="50">
        <v>0.61778935185185191</v>
      </c>
      <c r="AD151" s="48">
        <v>20084</v>
      </c>
      <c r="AE151" s="48">
        <f t="shared" si="28"/>
        <v>20.084</v>
      </c>
      <c r="AF151">
        <v>14.09</v>
      </c>
      <c r="AG151" s="72">
        <f t="shared" si="26"/>
        <v>14</v>
      </c>
      <c r="AH151" s="37">
        <f t="shared" si="27"/>
        <v>20.084</v>
      </c>
      <c r="AJ151" s="38">
        <v>45793</v>
      </c>
      <c r="AK151" t="s">
        <v>831</v>
      </c>
      <c r="AL151" t="s">
        <v>5</v>
      </c>
      <c r="AN151" s="81" t="s">
        <v>1192</v>
      </c>
      <c r="AO151" s="81" t="s">
        <v>1192</v>
      </c>
      <c r="AP151" s="48">
        <v>2940</v>
      </c>
      <c r="AR151" s="38"/>
      <c r="AU151" s="38">
        <v>45794</v>
      </c>
      <c r="AW151" t="s">
        <v>5</v>
      </c>
      <c r="AY151" s="81">
        <v>0.56874999999999998</v>
      </c>
      <c r="AZ151" s="81">
        <v>0.58472222222222225</v>
      </c>
      <c r="BA151" s="48">
        <v>2974</v>
      </c>
      <c r="BB151" t="s">
        <v>604</v>
      </c>
      <c r="BC151" s="38">
        <v>45795</v>
      </c>
    </row>
    <row r="152" spans="22:55" ht="16" x14ac:dyDescent="0.4">
      <c r="V152" s="97">
        <v>45791</v>
      </c>
      <c r="W152">
        <v>147083</v>
      </c>
      <c r="X152" s="89" t="s">
        <v>36</v>
      </c>
      <c r="Z152" s="50">
        <v>0.60325231481481478</v>
      </c>
      <c r="AA152" s="50">
        <v>0.68284722222222216</v>
      </c>
      <c r="AD152" s="48">
        <v>19674</v>
      </c>
      <c r="AE152" s="48">
        <f t="shared" si="28"/>
        <v>19.673999999999999</v>
      </c>
      <c r="AF152">
        <v>14.91</v>
      </c>
      <c r="AG152" s="72">
        <f t="shared" si="26"/>
        <v>14</v>
      </c>
      <c r="AH152" s="37">
        <f t="shared" si="27"/>
        <v>19.673999999999999</v>
      </c>
      <c r="AJ152" s="38">
        <v>45793</v>
      </c>
      <c r="AK152" t="s">
        <v>832</v>
      </c>
      <c r="AL152" t="s">
        <v>5</v>
      </c>
      <c r="AN152" s="81" t="s">
        <v>1193</v>
      </c>
      <c r="AO152" s="81" t="s">
        <v>1194</v>
      </c>
      <c r="AP152" s="48">
        <v>3230</v>
      </c>
      <c r="AR152" s="38"/>
      <c r="AU152" s="38">
        <v>45795</v>
      </c>
      <c r="AW152" t="s">
        <v>5</v>
      </c>
      <c r="AY152" s="81">
        <v>0.4861111111111111</v>
      </c>
      <c r="AZ152" s="81">
        <v>0.59236111111111112</v>
      </c>
      <c r="BA152" s="48">
        <v>2822</v>
      </c>
      <c r="BB152" t="s">
        <v>605</v>
      </c>
      <c r="BC152" s="38">
        <v>45795</v>
      </c>
    </row>
    <row r="153" spans="22:55" ht="16" x14ac:dyDescent="0.4">
      <c r="V153" s="97">
        <v>45791</v>
      </c>
      <c r="W153">
        <v>147111</v>
      </c>
      <c r="X153" s="89" t="s">
        <v>36</v>
      </c>
      <c r="Z153" s="50">
        <v>0.40657407407407403</v>
      </c>
      <c r="AA153" s="50">
        <v>0.74115740740740732</v>
      </c>
      <c r="AD153" s="48">
        <v>16972</v>
      </c>
      <c r="AE153" s="48">
        <f t="shared" si="28"/>
        <v>16.972000000000001</v>
      </c>
      <c r="AF153">
        <v>13.11</v>
      </c>
      <c r="AG153" s="72">
        <f t="shared" si="26"/>
        <v>13.11</v>
      </c>
      <c r="AH153" s="37">
        <f t="shared" si="27"/>
        <v>15.893065714285715</v>
      </c>
      <c r="AJ153" s="38">
        <v>45793</v>
      </c>
      <c r="AK153" t="s">
        <v>833</v>
      </c>
      <c r="AL153" t="s">
        <v>5</v>
      </c>
      <c r="AN153" s="81" t="s">
        <v>1195</v>
      </c>
      <c r="AO153" s="81" t="s">
        <v>1195</v>
      </c>
      <c r="AP153" s="48">
        <v>2220</v>
      </c>
      <c r="AR153" s="38"/>
      <c r="AU153" s="38">
        <v>45795</v>
      </c>
      <c r="AW153" t="s">
        <v>5</v>
      </c>
      <c r="AY153" s="81">
        <v>0.47291666666666665</v>
      </c>
      <c r="AZ153" s="81">
        <v>0.4861111111111111</v>
      </c>
      <c r="BA153" s="48">
        <v>1948</v>
      </c>
      <c r="BB153" t="s">
        <v>605</v>
      </c>
      <c r="BC153" s="38">
        <v>45795</v>
      </c>
    </row>
    <row r="154" spans="22:55" ht="16" x14ac:dyDescent="0.4">
      <c r="V154" s="97">
        <v>45791</v>
      </c>
      <c r="W154">
        <v>147137</v>
      </c>
      <c r="X154" s="89" t="s">
        <v>36</v>
      </c>
      <c r="Z154" s="50">
        <v>0.60315972222222225</v>
      </c>
      <c r="AA154" s="50">
        <v>0.80822916666666667</v>
      </c>
      <c r="AD154" s="48">
        <v>20920</v>
      </c>
      <c r="AE154" s="48">
        <f t="shared" si="28"/>
        <v>20.92</v>
      </c>
      <c r="AF154">
        <v>14.41</v>
      </c>
      <c r="AG154" s="72">
        <f t="shared" si="26"/>
        <v>14</v>
      </c>
      <c r="AH154" s="37">
        <f t="shared" si="27"/>
        <v>20.919999999999998</v>
      </c>
      <c r="AJ154" s="38">
        <v>45793</v>
      </c>
      <c r="AK154" t="s">
        <v>834</v>
      </c>
      <c r="AL154" t="s">
        <v>5</v>
      </c>
      <c r="AN154" s="81" t="s">
        <v>1196</v>
      </c>
      <c r="AO154" s="81" t="s">
        <v>1196</v>
      </c>
      <c r="AP154" s="48">
        <v>1490</v>
      </c>
      <c r="AR154" s="38"/>
      <c r="AU154" s="38">
        <v>45794</v>
      </c>
      <c r="AW154" t="s">
        <v>5</v>
      </c>
      <c r="AY154" s="81">
        <v>0.3666666666666667</v>
      </c>
      <c r="AZ154" s="81">
        <v>0.37916666666666665</v>
      </c>
      <c r="BA154" s="48">
        <v>3076</v>
      </c>
      <c r="BB154" t="s">
        <v>603</v>
      </c>
      <c r="BC154" s="38">
        <v>45795</v>
      </c>
    </row>
    <row r="155" spans="22:55" ht="16" x14ac:dyDescent="0.4">
      <c r="V155" s="97">
        <v>45791</v>
      </c>
      <c r="W155">
        <v>147170</v>
      </c>
      <c r="X155" s="89" t="s">
        <v>36</v>
      </c>
      <c r="Z155" s="50">
        <v>0.53295138888888893</v>
      </c>
      <c r="AA155" s="50">
        <v>0.84993055555555552</v>
      </c>
      <c r="AD155" s="48">
        <v>20784</v>
      </c>
      <c r="AE155" s="48">
        <f t="shared" si="28"/>
        <v>20.783999999999999</v>
      </c>
      <c r="AF155">
        <v>16.239999999999998</v>
      </c>
      <c r="AG155" s="72">
        <f t="shared" si="26"/>
        <v>14</v>
      </c>
      <c r="AH155" s="37">
        <f t="shared" si="27"/>
        <v>20.783999999999999</v>
      </c>
      <c r="AJ155" s="38">
        <v>45793</v>
      </c>
      <c r="AK155" t="s">
        <v>835</v>
      </c>
      <c r="AL155" t="s">
        <v>5</v>
      </c>
      <c r="AN155" s="81" t="s">
        <v>1197</v>
      </c>
      <c r="AO155" s="81" t="s">
        <v>1198</v>
      </c>
      <c r="AP155" s="48">
        <v>2790</v>
      </c>
      <c r="AR155" s="38"/>
      <c r="AU155" s="38">
        <v>45795</v>
      </c>
      <c r="AW155" t="s">
        <v>5</v>
      </c>
      <c r="AY155" s="81">
        <v>0.37916666666666665</v>
      </c>
      <c r="AZ155" s="81">
        <v>0.6381944444444444</v>
      </c>
      <c r="BA155" s="48">
        <v>2016</v>
      </c>
      <c r="BB155" t="s">
        <v>606</v>
      </c>
      <c r="BC155" s="38">
        <v>45795</v>
      </c>
    </row>
    <row r="156" spans="22:55" ht="16" x14ac:dyDescent="0.4">
      <c r="V156" s="97">
        <v>45791</v>
      </c>
      <c r="W156">
        <v>147210</v>
      </c>
      <c r="X156" s="89" t="s">
        <v>36</v>
      </c>
      <c r="Z156" s="50">
        <v>0.60335648148148147</v>
      </c>
      <c r="AA156" s="50">
        <v>0.93958333333333333</v>
      </c>
      <c r="AD156" s="48">
        <v>19970</v>
      </c>
      <c r="AE156" s="48">
        <f t="shared" si="28"/>
        <v>19.97</v>
      </c>
      <c r="AF156">
        <v>18.34</v>
      </c>
      <c r="AG156" s="72">
        <f t="shared" si="26"/>
        <v>14</v>
      </c>
      <c r="AH156" s="37">
        <f t="shared" si="27"/>
        <v>19.97</v>
      </c>
      <c r="AJ156" s="38">
        <v>45794</v>
      </c>
      <c r="AK156" t="s">
        <v>836</v>
      </c>
      <c r="AL156" t="s">
        <v>5</v>
      </c>
      <c r="AN156" s="81" t="s">
        <v>1199</v>
      </c>
      <c r="AO156" s="81" t="s">
        <v>1199</v>
      </c>
      <c r="AP156" s="48">
        <v>2980</v>
      </c>
      <c r="AR156" s="38"/>
      <c r="AU156" s="38">
        <v>45796</v>
      </c>
      <c r="AW156" t="s">
        <v>5</v>
      </c>
      <c r="AY156" s="81">
        <v>0.60682870370370368</v>
      </c>
      <c r="AZ156" s="81">
        <v>0.34805555555555556</v>
      </c>
      <c r="BA156" s="48">
        <v>3218</v>
      </c>
      <c r="BB156" t="s">
        <v>607</v>
      </c>
      <c r="BC156" s="38">
        <v>45796</v>
      </c>
    </row>
    <row r="157" spans="22:55" ht="16" x14ac:dyDescent="0.4">
      <c r="V157" s="97">
        <v>45791</v>
      </c>
      <c r="W157">
        <v>147229</v>
      </c>
      <c r="X157" s="89" t="s">
        <v>36</v>
      </c>
      <c r="Z157" s="50">
        <v>0.40668981481481481</v>
      </c>
      <c r="AA157" s="50">
        <v>0.99177083333333327</v>
      </c>
      <c r="AD157" s="48">
        <v>20924</v>
      </c>
      <c r="AE157" s="48">
        <f t="shared" si="28"/>
        <v>20.923999999999999</v>
      </c>
      <c r="AF157">
        <v>17.809999999999999</v>
      </c>
      <c r="AG157" s="72">
        <f t="shared" si="26"/>
        <v>14</v>
      </c>
      <c r="AH157" s="37">
        <f t="shared" si="27"/>
        <v>20.923999999999999</v>
      </c>
      <c r="AJ157" s="38">
        <v>45794</v>
      </c>
      <c r="AK157" t="s">
        <v>837</v>
      </c>
      <c r="AL157" t="s">
        <v>5</v>
      </c>
      <c r="AN157" s="81" t="s">
        <v>1200</v>
      </c>
      <c r="AO157" s="81" t="s">
        <v>1200</v>
      </c>
      <c r="AP157" s="48">
        <v>4070</v>
      </c>
      <c r="AR157" s="38"/>
      <c r="AU157" s="38">
        <v>45796</v>
      </c>
      <c r="AW157" t="s">
        <v>5</v>
      </c>
      <c r="AY157" s="81">
        <v>0.48846064814814816</v>
      </c>
      <c r="AZ157" s="81">
        <v>0.5886689814814815</v>
      </c>
      <c r="BA157" s="48">
        <v>3532</v>
      </c>
      <c r="BB157" t="s">
        <v>128</v>
      </c>
      <c r="BC157" s="38">
        <v>45796</v>
      </c>
    </row>
    <row r="158" spans="22:55" ht="16" x14ac:dyDescent="0.4">
      <c r="V158" s="97">
        <v>45792</v>
      </c>
      <c r="W158">
        <v>147238</v>
      </c>
      <c r="X158" s="89" t="s">
        <v>36</v>
      </c>
      <c r="Z158" s="50">
        <v>0.990300925925926</v>
      </c>
      <c r="AA158" s="50">
        <v>5.9027777777777783E-2</v>
      </c>
      <c r="AD158" s="48">
        <v>20592</v>
      </c>
      <c r="AE158" s="48">
        <f t="shared" si="28"/>
        <v>20.591999999999999</v>
      </c>
      <c r="AF158">
        <v>16.3</v>
      </c>
      <c r="AG158" s="72">
        <f t="shared" si="26"/>
        <v>14</v>
      </c>
      <c r="AH158" s="37">
        <f t="shared" si="27"/>
        <v>20.592000000000002</v>
      </c>
      <c r="AJ158" s="38">
        <v>45794</v>
      </c>
      <c r="AK158" t="s">
        <v>838</v>
      </c>
      <c r="AL158" t="s">
        <v>5</v>
      </c>
      <c r="AN158" s="81" t="s">
        <v>1201</v>
      </c>
      <c r="AO158" s="81" t="s">
        <v>1202</v>
      </c>
      <c r="AP158" s="48">
        <v>3460</v>
      </c>
      <c r="AR158" s="38"/>
      <c r="AU158" s="38">
        <v>45796</v>
      </c>
      <c r="AW158" t="s">
        <v>5</v>
      </c>
      <c r="AY158" s="81">
        <v>0.46964120370370371</v>
      </c>
      <c r="AZ158" s="81">
        <v>0.48211805555555554</v>
      </c>
      <c r="BA158" s="48">
        <v>3334</v>
      </c>
      <c r="BB158" t="s">
        <v>608</v>
      </c>
      <c r="BC158" s="38">
        <v>45796</v>
      </c>
    </row>
    <row r="159" spans="22:55" ht="16" x14ac:dyDescent="0.4">
      <c r="V159" s="97">
        <v>45792</v>
      </c>
      <c r="W159">
        <v>147242</v>
      </c>
      <c r="X159" s="89" t="s">
        <v>36</v>
      </c>
      <c r="Z159" s="50">
        <v>0.90750000000000008</v>
      </c>
      <c r="AA159" s="50">
        <v>0.1017361111111111</v>
      </c>
      <c r="AD159" s="48">
        <v>20134</v>
      </c>
      <c r="AE159" s="48">
        <f t="shared" si="28"/>
        <v>20.134</v>
      </c>
      <c r="AF159">
        <v>14.49</v>
      </c>
      <c r="AG159" s="72">
        <f t="shared" si="26"/>
        <v>14</v>
      </c>
      <c r="AH159" s="37">
        <f t="shared" si="27"/>
        <v>20.133999999999997</v>
      </c>
      <c r="AJ159" s="38">
        <v>45794</v>
      </c>
      <c r="AK159" t="s">
        <v>839</v>
      </c>
      <c r="AL159" t="s">
        <v>5</v>
      </c>
      <c r="AN159" s="81" t="s">
        <v>1203</v>
      </c>
      <c r="AO159" s="81" t="s">
        <v>1203</v>
      </c>
      <c r="AP159" s="48">
        <v>2950</v>
      </c>
      <c r="AQ159" s="39"/>
      <c r="AR159" s="38"/>
      <c r="AU159" s="38">
        <v>45796</v>
      </c>
      <c r="AW159" t="s">
        <v>5</v>
      </c>
      <c r="AY159" s="81">
        <v>0.43493055555555554</v>
      </c>
      <c r="AZ159" s="81">
        <v>0.45384259259259258</v>
      </c>
      <c r="BA159" s="48">
        <v>4212</v>
      </c>
      <c r="BB159" s="39" t="s">
        <v>609</v>
      </c>
      <c r="BC159" s="38">
        <v>45796</v>
      </c>
    </row>
    <row r="160" spans="22:55" ht="16" x14ac:dyDescent="0.4">
      <c r="V160" s="97">
        <v>45792</v>
      </c>
      <c r="W160">
        <v>147254</v>
      </c>
      <c r="X160" s="89" t="s">
        <v>36</v>
      </c>
      <c r="Z160" s="50">
        <v>0.99074074074074081</v>
      </c>
      <c r="AA160" s="50">
        <v>0.14986111111111111</v>
      </c>
      <c r="AB160">
        <v>104</v>
      </c>
      <c r="AC160" t="s">
        <v>22</v>
      </c>
      <c r="AD160" s="48">
        <v>13796</v>
      </c>
      <c r="AE160" s="48">
        <f t="shared" si="28"/>
        <v>13.795999999999999</v>
      </c>
      <c r="AF160">
        <v>12.38</v>
      </c>
      <c r="AG160" s="72">
        <f t="shared" si="26"/>
        <v>12.38</v>
      </c>
      <c r="AH160" s="37">
        <f t="shared" si="27"/>
        <v>12.199605714285713</v>
      </c>
      <c r="AJ160" s="38">
        <v>45794</v>
      </c>
      <c r="AK160" t="s">
        <v>840</v>
      </c>
      <c r="AL160" t="s">
        <v>5</v>
      </c>
      <c r="AN160" s="81" t="s">
        <v>1204</v>
      </c>
      <c r="AO160" s="81" t="s">
        <v>1204</v>
      </c>
      <c r="AP160" s="48">
        <v>4950</v>
      </c>
      <c r="AR160" s="38"/>
      <c r="AU160" s="38">
        <v>45796</v>
      </c>
      <c r="AW160" t="s">
        <v>5</v>
      </c>
      <c r="AY160" s="81">
        <v>0.36300925925925925</v>
      </c>
      <c r="AZ160" s="81">
        <v>0.41844907407407406</v>
      </c>
      <c r="BA160" s="48">
        <v>1278</v>
      </c>
      <c r="BB160" t="s">
        <v>607</v>
      </c>
      <c r="BC160" s="38">
        <v>45796</v>
      </c>
    </row>
    <row r="161" spans="22:55" ht="16" x14ac:dyDescent="0.4">
      <c r="V161" s="97">
        <v>45792</v>
      </c>
      <c r="W161">
        <v>147370</v>
      </c>
      <c r="X161" s="89" t="s">
        <v>36</v>
      </c>
      <c r="Z161" s="50">
        <v>0.9902777777777777</v>
      </c>
      <c r="AA161" s="50">
        <v>0.36874999999999997</v>
      </c>
      <c r="AB161">
        <v>104</v>
      </c>
      <c r="AC161" t="s">
        <v>593</v>
      </c>
      <c r="AD161" s="48">
        <v>17198</v>
      </c>
      <c r="AE161" s="48">
        <f t="shared" si="28"/>
        <v>17.198</v>
      </c>
      <c r="AF161">
        <v>14.56</v>
      </c>
      <c r="AG161" s="72">
        <f t="shared" si="26"/>
        <v>14</v>
      </c>
      <c r="AH161" s="37">
        <f t="shared" si="27"/>
        <v>17.198</v>
      </c>
      <c r="AJ161" s="38">
        <v>45795</v>
      </c>
      <c r="AK161" t="s">
        <v>841</v>
      </c>
      <c r="AL161" t="s">
        <v>5</v>
      </c>
      <c r="AN161" s="81" t="s">
        <v>1205</v>
      </c>
      <c r="AO161" s="81" t="s">
        <v>1205</v>
      </c>
      <c r="AP161" s="48">
        <v>2850</v>
      </c>
      <c r="AR161" s="38"/>
      <c r="AU161" s="38">
        <v>45796</v>
      </c>
      <c r="AW161" t="s">
        <v>5</v>
      </c>
      <c r="AY161" s="81">
        <v>0.45394675925925926</v>
      </c>
      <c r="AZ161" s="81">
        <v>0.60797453703703697</v>
      </c>
      <c r="BA161" s="48">
        <v>3214</v>
      </c>
      <c r="BB161" t="s">
        <v>610</v>
      </c>
      <c r="BC161" s="38">
        <v>45796</v>
      </c>
    </row>
    <row r="162" spans="22:55" ht="16" x14ac:dyDescent="0.4">
      <c r="V162" s="97">
        <v>45792</v>
      </c>
      <c r="W162">
        <v>147449</v>
      </c>
      <c r="X162" s="89" t="s">
        <v>36</v>
      </c>
      <c r="Z162" s="50">
        <v>0.90694444444444444</v>
      </c>
      <c r="AA162" s="50">
        <v>0.44513888888888892</v>
      </c>
      <c r="AD162" s="48">
        <v>19280</v>
      </c>
      <c r="AE162" s="48">
        <f t="shared" si="28"/>
        <v>19.28</v>
      </c>
      <c r="AF162">
        <v>15.52</v>
      </c>
      <c r="AG162" s="72">
        <f t="shared" si="26"/>
        <v>14</v>
      </c>
      <c r="AH162" s="37">
        <f t="shared" si="27"/>
        <v>19.28</v>
      </c>
      <c r="AJ162" s="38">
        <v>45795</v>
      </c>
      <c r="AK162" t="s">
        <v>842</v>
      </c>
      <c r="AL162" t="s">
        <v>5</v>
      </c>
      <c r="AN162" s="81" t="s">
        <v>1206</v>
      </c>
      <c r="AO162" s="81" t="s">
        <v>1206</v>
      </c>
      <c r="AP162" s="48">
        <v>2030</v>
      </c>
      <c r="AR162" s="38"/>
      <c r="AU162" s="38">
        <v>45796</v>
      </c>
      <c r="AW162" t="s">
        <v>5</v>
      </c>
      <c r="AY162" s="81">
        <v>0.41759259259259257</v>
      </c>
      <c r="AZ162" s="81">
        <v>0.43124999999999997</v>
      </c>
      <c r="BA162" s="48">
        <v>2972</v>
      </c>
      <c r="BB162" t="s">
        <v>611</v>
      </c>
      <c r="BC162" s="38">
        <v>45796</v>
      </c>
    </row>
    <row r="163" spans="22:55" ht="16" x14ac:dyDescent="0.4">
      <c r="V163" s="97">
        <v>45792</v>
      </c>
      <c r="W163" s="16">
        <v>147498</v>
      </c>
      <c r="X163" s="89" t="s">
        <v>36</v>
      </c>
      <c r="Z163" s="50">
        <v>0.4368055555555555</v>
      </c>
      <c r="AA163" s="50">
        <v>0.54583333333333328</v>
      </c>
      <c r="AD163" s="48">
        <v>21216</v>
      </c>
      <c r="AE163" s="48">
        <f t="shared" si="28"/>
        <v>21.216000000000001</v>
      </c>
      <c r="AF163">
        <v>15.13</v>
      </c>
      <c r="AG163" s="72">
        <f t="shared" si="26"/>
        <v>14</v>
      </c>
      <c r="AH163" s="37">
        <f t="shared" si="27"/>
        <v>21.216000000000001</v>
      </c>
      <c r="AJ163" s="38">
        <v>45795</v>
      </c>
      <c r="AK163" t="s">
        <v>843</v>
      </c>
      <c r="AL163" t="s">
        <v>5</v>
      </c>
      <c r="AN163" s="81" t="s">
        <v>1207</v>
      </c>
      <c r="AO163" s="81" t="s">
        <v>1207</v>
      </c>
      <c r="AP163" s="48">
        <v>2250</v>
      </c>
      <c r="AR163" s="38"/>
      <c r="AU163" s="38">
        <v>45796</v>
      </c>
      <c r="AW163" t="s">
        <v>5</v>
      </c>
      <c r="AY163" s="81">
        <v>0.43153935185185183</v>
      </c>
      <c r="AZ163" s="81">
        <v>0.6069444444444444</v>
      </c>
      <c r="BA163" s="48">
        <v>2084</v>
      </c>
      <c r="BB163" t="s">
        <v>611</v>
      </c>
      <c r="BC163" s="38">
        <v>45796</v>
      </c>
    </row>
    <row r="164" spans="22:55" ht="16" x14ac:dyDescent="0.4">
      <c r="V164" s="97">
        <v>45792</v>
      </c>
      <c r="W164" s="16">
        <v>147568</v>
      </c>
      <c r="X164" s="89" t="s">
        <v>36</v>
      </c>
      <c r="Z164" s="50">
        <v>0.15416666666666667</v>
      </c>
      <c r="AA164" s="50">
        <v>0.61319444444444449</v>
      </c>
      <c r="AD164" s="48">
        <v>21032</v>
      </c>
      <c r="AE164" s="48">
        <f t="shared" si="28"/>
        <v>21.032</v>
      </c>
      <c r="AF164">
        <v>15.44</v>
      </c>
      <c r="AG164" s="72">
        <f t="shared" si="26"/>
        <v>14</v>
      </c>
      <c r="AH164" s="37">
        <f t="shared" si="27"/>
        <v>21.032</v>
      </c>
      <c r="AJ164" s="38">
        <v>45795</v>
      </c>
      <c r="AK164" t="s">
        <v>844</v>
      </c>
      <c r="AL164" t="s">
        <v>5</v>
      </c>
      <c r="AN164" s="39" t="s">
        <v>1208</v>
      </c>
      <c r="AO164" s="39" t="s">
        <v>1208</v>
      </c>
      <c r="AP164" s="48">
        <v>2780</v>
      </c>
      <c r="AR164" s="38"/>
      <c r="AU164" s="38">
        <v>45797</v>
      </c>
      <c r="AW164" t="s">
        <v>4</v>
      </c>
      <c r="AY164" s="39">
        <v>0.30759259259259258</v>
      </c>
      <c r="AZ164" s="39">
        <v>0.37145833333333328</v>
      </c>
      <c r="BA164" s="48">
        <v>5692</v>
      </c>
      <c r="BB164" t="s">
        <v>49</v>
      </c>
      <c r="BC164" s="38">
        <v>45797</v>
      </c>
    </row>
    <row r="165" spans="22:55" ht="16" x14ac:dyDescent="0.4">
      <c r="V165" s="97">
        <v>45792</v>
      </c>
      <c r="W165" s="16">
        <v>147617</v>
      </c>
      <c r="X165" s="89" t="s">
        <v>36</v>
      </c>
      <c r="Z165" s="50">
        <v>0.4368055555555555</v>
      </c>
      <c r="AA165" s="50">
        <v>0.67361111111111116</v>
      </c>
      <c r="AD165" s="48">
        <v>19192</v>
      </c>
      <c r="AE165" s="48">
        <f t="shared" si="28"/>
        <v>19.192</v>
      </c>
      <c r="AF165">
        <v>15.45</v>
      </c>
      <c r="AG165" s="72">
        <f t="shared" si="26"/>
        <v>14</v>
      </c>
      <c r="AH165" s="37">
        <f t="shared" si="27"/>
        <v>19.192</v>
      </c>
      <c r="AJ165" s="38">
        <v>45795</v>
      </c>
      <c r="AK165" t="s">
        <v>845</v>
      </c>
      <c r="AL165" t="s">
        <v>5</v>
      </c>
      <c r="AN165" s="39" t="s">
        <v>1209</v>
      </c>
      <c r="AO165" s="39" t="s">
        <v>1209</v>
      </c>
      <c r="AP165" s="48">
        <v>1940</v>
      </c>
      <c r="AR165" s="38"/>
      <c r="AU165" s="38">
        <v>45797</v>
      </c>
      <c r="AW165" t="s">
        <v>5</v>
      </c>
      <c r="AY165" s="39">
        <v>0.30981481481481482</v>
      </c>
      <c r="AZ165" s="39">
        <v>0.33006944444444447</v>
      </c>
      <c r="BA165" s="48">
        <v>3626</v>
      </c>
      <c r="BB165" t="s">
        <v>613</v>
      </c>
      <c r="BC165" s="38">
        <v>45797</v>
      </c>
    </row>
    <row r="166" spans="22:55" ht="16" x14ac:dyDescent="0.4">
      <c r="V166" s="97">
        <v>45792</v>
      </c>
      <c r="W166" s="16">
        <v>147645</v>
      </c>
      <c r="X166" s="89" t="s">
        <v>36</v>
      </c>
      <c r="Z166" s="50">
        <v>0.15453703703703703</v>
      </c>
      <c r="AA166" s="50">
        <v>0.72721064814814806</v>
      </c>
      <c r="AD166" s="48">
        <v>18418</v>
      </c>
      <c r="AE166" s="48">
        <f t="shared" si="28"/>
        <v>18.417999999999999</v>
      </c>
      <c r="AF166">
        <v>15.31</v>
      </c>
      <c r="AG166" s="72">
        <f t="shared" si="26"/>
        <v>14</v>
      </c>
      <c r="AH166" s="37">
        <f t="shared" si="27"/>
        <v>18.417999999999999</v>
      </c>
      <c r="AJ166" s="38">
        <v>45796</v>
      </c>
      <c r="AK166" t="s">
        <v>846</v>
      </c>
      <c r="AL166" t="s">
        <v>5</v>
      </c>
      <c r="AN166" s="39" t="s">
        <v>1210</v>
      </c>
      <c r="AO166" s="39" t="s">
        <v>1211</v>
      </c>
      <c r="AP166" s="48">
        <v>3300</v>
      </c>
      <c r="AR166" s="38"/>
      <c r="AU166" s="38">
        <v>45797</v>
      </c>
      <c r="AW166" t="s">
        <v>5</v>
      </c>
      <c r="AY166" s="39">
        <v>0.43600694444444449</v>
      </c>
      <c r="AZ166" s="39">
        <v>0.40218749999999998</v>
      </c>
      <c r="BA166" s="48">
        <v>2832</v>
      </c>
      <c r="BB166" t="s">
        <v>614</v>
      </c>
      <c r="BC166" s="38">
        <v>45797</v>
      </c>
    </row>
    <row r="167" spans="22:55" ht="16" x14ac:dyDescent="0.4">
      <c r="V167" s="97">
        <v>45792</v>
      </c>
      <c r="W167" s="16">
        <v>147673</v>
      </c>
      <c r="X167" s="89" t="s">
        <v>36</v>
      </c>
      <c r="Z167" s="50">
        <v>0.43695601851851856</v>
      </c>
      <c r="AA167" s="50">
        <v>0.45346064814814818</v>
      </c>
      <c r="AD167" s="48">
        <v>19292</v>
      </c>
      <c r="AE167" s="48">
        <f t="shared" si="28"/>
        <v>19.292000000000002</v>
      </c>
      <c r="AF167">
        <v>15.24</v>
      </c>
      <c r="AG167" s="72">
        <f t="shared" si="26"/>
        <v>14</v>
      </c>
      <c r="AH167" s="37">
        <f t="shared" si="27"/>
        <v>19.292000000000002</v>
      </c>
      <c r="AJ167" s="38">
        <v>45796</v>
      </c>
      <c r="AK167" t="s">
        <v>847</v>
      </c>
      <c r="AL167" t="s">
        <v>5</v>
      </c>
      <c r="AN167" s="39" t="s">
        <v>1212</v>
      </c>
      <c r="AO167" s="39" t="s">
        <v>1213</v>
      </c>
      <c r="AP167" s="48">
        <v>3480</v>
      </c>
      <c r="AR167" s="38"/>
      <c r="AU167" s="38">
        <v>45797</v>
      </c>
      <c r="AW167" t="s">
        <v>5</v>
      </c>
      <c r="AY167" s="39">
        <v>0.40150462962962963</v>
      </c>
      <c r="AZ167" s="39">
        <v>0.42086805555555556</v>
      </c>
      <c r="BA167" s="48">
        <v>3520</v>
      </c>
      <c r="BB167" t="s">
        <v>615</v>
      </c>
      <c r="BC167" s="38">
        <v>45797</v>
      </c>
    </row>
    <row r="168" spans="22:55" ht="16" x14ac:dyDescent="0.4">
      <c r="V168" s="97">
        <v>45792</v>
      </c>
      <c r="W168" s="16">
        <v>147696</v>
      </c>
      <c r="X168" s="89" t="s">
        <v>36</v>
      </c>
      <c r="Z168" s="50">
        <v>0.78619212962962959</v>
      </c>
      <c r="AA168" s="50">
        <v>0.84417824074074066</v>
      </c>
      <c r="AD168" s="48">
        <v>21412</v>
      </c>
      <c r="AE168" s="48">
        <f t="shared" si="28"/>
        <v>21.411999999999999</v>
      </c>
      <c r="AF168">
        <v>15.49</v>
      </c>
      <c r="AG168" s="72">
        <f t="shared" si="26"/>
        <v>14</v>
      </c>
      <c r="AH168" s="37">
        <f t="shared" si="27"/>
        <v>21.411999999999999</v>
      </c>
      <c r="AJ168" s="38">
        <v>45796</v>
      </c>
      <c r="AK168" t="s">
        <v>848</v>
      </c>
      <c r="AL168" t="s">
        <v>5</v>
      </c>
      <c r="AN168" s="39" t="s">
        <v>1214</v>
      </c>
      <c r="AO168" s="39" t="s">
        <v>1214</v>
      </c>
      <c r="AP168" s="48">
        <v>2870</v>
      </c>
      <c r="AR168" s="38"/>
      <c r="AU168" s="38">
        <v>45797</v>
      </c>
      <c r="AW168" t="s">
        <v>5</v>
      </c>
      <c r="AY168" s="39">
        <v>0.38968749999999996</v>
      </c>
      <c r="AZ168" s="39">
        <v>0.40631944444444446</v>
      </c>
      <c r="BA168" s="48">
        <v>3488</v>
      </c>
      <c r="BB168" t="s">
        <v>613</v>
      </c>
      <c r="BC168" s="38">
        <v>45797</v>
      </c>
    </row>
    <row r="169" spans="22:55" ht="16" x14ac:dyDescent="0.4">
      <c r="V169" s="97">
        <v>45792</v>
      </c>
      <c r="W169" s="16">
        <v>147730</v>
      </c>
      <c r="X169" s="89" t="s">
        <v>36</v>
      </c>
      <c r="Z169" s="50">
        <v>0.44068287037037041</v>
      </c>
      <c r="AA169" s="50">
        <v>0.89312499999999995</v>
      </c>
      <c r="AD169" s="48">
        <v>22270</v>
      </c>
      <c r="AE169" s="48">
        <f t="shared" si="28"/>
        <v>22.27</v>
      </c>
      <c r="AF169">
        <v>13.49</v>
      </c>
      <c r="AG169" s="72">
        <f t="shared" si="26"/>
        <v>13.49</v>
      </c>
      <c r="AH169" s="37">
        <f t="shared" si="27"/>
        <v>21.458735714285716</v>
      </c>
      <c r="AJ169" s="38">
        <v>45796</v>
      </c>
      <c r="AK169" t="s">
        <v>849</v>
      </c>
      <c r="AL169" t="s">
        <v>5</v>
      </c>
      <c r="AN169" s="39" t="s">
        <v>1215</v>
      </c>
      <c r="AO169" s="39" t="s">
        <v>1215</v>
      </c>
      <c r="AP169" s="48">
        <v>1450</v>
      </c>
      <c r="AR169" s="38"/>
      <c r="AU169" s="38">
        <v>45797</v>
      </c>
      <c r="AW169" t="s">
        <v>5</v>
      </c>
      <c r="AY169" s="39">
        <v>0.45193287037037039</v>
      </c>
      <c r="AZ169" s="39">
        <v>0.46379629629629626</v>
      </c>
      <c r="BA169" s="48">
        <v>3436</v>
      </c>
      <c r="BB169" t="s">
        <v>613</v>
      </c>
      <c r="BC169" s="38">
        <v>45797</v>
      </c>
    </row>
    <row r="170" spans="22:55" ht="16" x14ac:dyDescent="0.4">
      <c r="V170" s="97">
        <v>45792</v>
      </c>
      <c r="W170" s="16">
        <v>147767</v>
      </c>
      <c r="X170" s="89" t="s">
        <v>36</v>
      </c>
      <c r="Z170" s="50">
        <v>0.78597222222222218</v>
      </c>
      <c r="AA170" s="50">
        <v>0.96405092592592589</v>
      </c>
      <c r="AD170" s="48">
        <v>22864</v>
      </c>
      <c r="AE170" s="48">
        <f t="shared" si="28"/>
        <v>22.864000000000001</v>
      </c>
      <c r="AF170">
        <v>13.27</v>
      </c>
      <c r="AG170" s="72">
        <f t="shared" si="26"/>
        <v>13.27</v>
      </c>
      <c r="AH170" s="37">
        <f t="shared" si="27"/>
        <v>21.671805714285714</v>
      </c>
      <c r="AJ170" s="38">
        <v>45796</v>
      </c>
      <c r="AK170" t="s">
        <v>850</v>
      </c>
      <c r="AL170" t="s">
        <v>5</v>
      </c>
      <c r="AN170" s="39" t="s">
        <v>1216</v>
      </c>
      <c r="AO170" s="39" t="s">
        <v>1217</v>
      </c>
      <c r="AP170" s="48">
        <v>4190</v>
      </c>
      <c r="AR170" s="38"/>
      <c r="AU170" s="38">
        <v>45797</v>
      </c>
      <c r="AW170" t="s">
        <v>5</v>
      </c>
      <c r="AY170" s="39">
        <v>0.36000000000000004</v>
      </c>
      <c r="AZ170" s="39">
        <v>0.41642361111111109</v>
      </c>
      <c r="BA170" s="48">
        <v>3476</v>
      </c>
      <c r="BB170" t="s">
        <v>128</v>
      </c>
      <c r="BC170" s="38">
        <v>45797</v>
      </c>
    </row>
    <row r="171" spans="22:55" ht="16" x14ac:dyDescent="0.4">
      <c r="V171" s="97">
        <v>45793</v>
      </c>
      <c r="W171" s="16">
        <v>147788</v>
      </c>
      <c r="X171" s="89" t="s">
        <v>36</v>
      </c>
      <c r="Z171" s="50">
        <v>0.93964120370370363</v>
      </c>
      <c r="AA171" s="50">
        <v>3.108796296296296E-2</v>
      </c>
      <c r="AD171" s="48">
        <v>21816</v>
      </c>
      <c r="AE171" s="48">
        <f t="shared" si="28"/>
        <v>21.815999999999999</v>
      </c>
      <c r="AF171">
        <v>13.63</v>
      </c>
      <c r="AG171" s="72">
        <f t="shared" si="26"/>
        <v>13.63</v>
      </c>
      <c r="AH171" s="37">
        <f t="shared" si="27"/>
        <v>21.239434285714285</v>
      </c>
      <c r="AJ171" s="38">
        <v>45796</v>
      </c>
      <c r="AK171" t="s">
        <v>851</v>
      </c>
      <c r="AL171" t="s">
        <v>5</v>
      </c>
      <c r="AN171" s="39" t="s">
        <v>1218</v>
      </c>
      <c r="AO171" s="39" t="s">
        <v>1219</v>
      </c>
      <c r="AP171" s="48">
        <v>3250</v>
      </c>
      <c r="AR171" s="38"/>
      <c r="AU171" s="38">
        <v>45797</v>
      </c>
      <c r="AW171" t="s">
        <v>5</v>
      </c>
      <c r="AY171" s="39">
        <v>0.37494212962962964</v>
      </c>
      <c r="AZ171" s="39">
        <v>0.48234953703703703</v>
      </c>
      <c r="BA171" s="48">
        <v>3114</v>
      </c>
      <c r="BB171" t="s">
        <v>128</v>
      </c>
      <c r="BC171" s="38">
        <v>45797</v>
      </c>
    </row>
    <row r="172" spans="22:55" ht="16" x14ac:dyDescent="0.4">
      <c r="V172" s="97">
        <v>45793</v>
      </c>
      <c r="W172" s="16">
        <v>147803</v>
      </c>
      <c r="X172" s="89" t="s">
        <v>36</v>
      </c>
      <c r="Z172" s="50">
        <v>0.78606481481481483</v>
      </c>
      <c r="AA172" s="50">
        <v>8.3344907407407409E-2</v>
      </c>
      <c r="AD172" s="48">
        <v>20234</v>
      </c>
      <c r="AE172" s="48">
        <f t="shared" si="28"/>
        <v>20.234000000000002</v>
      </c>
      <c r="AF172">
        <v>14.98</v>
      </c>
      <c r="AG172" s="72">
        <f t="shared" si="26"/>
        <v>14</v>
      </c>
      <c r="AH172" s="37">
        <f t="shared" si="27"/>
        <v>20.234000000000002</v>
      </c>
      <c r="AJ172" s="38">
        <v>45796</v>
      </c>
      <c r="AK172" t="s">
        <v>852</v>
      </c>
      <c r="AL172" t="s">
        <v>5</v>
      </c>
      <c r="AN172" s="39" t="s">
        <v>1220</v>
      </c>
      <c r="AO172" s="39" t="s">
        <v>1220</v>
      </c>
      <c r="AP172" s="48">
        <v>3540</v>
      </c>
      <c r="AR172" s="38"/>
      <c r="AU172" s="38">
        <v>45797</v>
      </c>
      <c r="AW172" t="s">
        <v>5</v>
      </c>
      <c r="AY172" s="39">
        <v>0.48516203703703703</v>
      </c>
      <c r="AZ172" s="39">
        <v>0.53027777777777774</v>
      </c>
      <c r="BA172" s="48">
        <v>2732</v>
      </c>
      <c r="BB172" t="s">
        <v>613</v>
      </c>
      <c r="BC172" s="38">
        <v>45797</v>
      </c>
    </row>
    <row r="173" spans="22:55" ht="16" x14ac:dyDescent="0.4">
      <c r="V173" s="97">
        <v>45793</v>
      </c>
      <c r="W173" s="16">
        <v>147809</v>
      </c>
      <c r="X173" s="89" t="s">
        <v>36</v>
      </c>
      <c r="Z173" s="50">
        <v>0.93945601851851857</v>
      </c>
      <c r="AA173" s="50">
        <v>0.1350925925925926</v>
      </c>
      <c r="AD173" s="48">
        <v>20494</v>
      </c>
      <c r="AE173" s="48">
        <f t="shared" si="28"/>
        <v>20.494</v>
      </c>
      <c r="AF173">
        <v>14.74</v>
      </c>
      <c r="AG173" s="72">
        <f t="shared" si="26"/>
        <v>14</v>
      </c>
      <c r="AH173" s="37">
        <f t="shared" si="27"/>
        <v>20.494</v>
      </c>
      <c r="AJ173" s="38">
        <v>45796</v>
      </c>
      <c r="AK173" t="s">
        <v>853</v>
      </c>
      <c r="AL173" t="s">
        <v>5</v>
      </c>
      <c r="AN173" s="39" t="s">
        <v>1221</v>
      </c>
      <c r="AO173" s="39" t="s">
        <v>1221</v>
      </c>
      <c r="AP173" s="48">
        <v>1980</v>
      </c>
      <c r="AR173" s="38"/>
      <c r="AU173" s="38">
        <v>45797</v>
      </c>
      <c r="AW173" t="s">
        <v>5</v>
      </c>
      <c r="AY173" s="39">
        <v>0.46631944444444445</v>
      </c>
      <c r="AZ173" s="39">
        <v>0.4850694444444445</v>
      </c>
      <c r="BA173" s="48">
        <v>2790</v>
      </c>
      <c r="BB173" t="s">
        <v>613</v>
      </c>
      <c r="BC173" s="38">
        <v>45797</v>
      </c>
    </row>
    <row r="174" spans="22:55" ht="16" x14ac:dyDescent="0.4">
      <c r="V174" s="97">
        <v>45793</v>
      </c>
      <c r="W174" s="16">
        <v>147822</v>
      </c>
      <c r="X174" s="89" t="s">
        <v>36</v>
      </c>
      <c r="Z174" s="50">
        <v>0.13189814814814815</v>
      </c>
      <c r="AA174" s="50">
        <v>0.21121527777777779</v>
      </c>
      <c r="AD174" s="48">
        <v>19976</v>
      </c>
      <c r="AE174" s="48">
        <f t="shared" si="28"/>
        <v>19.975999999999999</v>
      </c>
      <c r="AF174">
        <v>14.55</v>
      </c>
      <c r="AG174" s="72">
        <f t="shared" si="26"/>
        <v>14</v>
      </c>
      <c r="AH174" s="37">
        <f t="shared" si="27"/>
        <v>19.975999999999999</v>
      </c>
      <c r="AJ174" s="38">
        <v>45796</v>
      </c>
      <c r="AK174" t="s">
        <v>854</v>
      </c>
      <c r="AL174" t="s">
        <v>5</v>
      </c>
      <c r="AN174" s="39" t="s">
        <v>1222</v>
      </c>
      <c r="AO174" s="39" t="s">
        <v>1222</v>
      </c>
      <c r="AP174" s="48">
        <v>3080</v>
      </c>
      <c r="AR174" s="38"/>
      <c r="AU174" s="38">
        <v>45797</v>
      </c>
      <c r="AW174" t="s">
        <v>5</v>
      </c>
      <c r="AY174" s="39">
        <v>0.42231481481481481</v>
      </c>
      <c r="AZ174" s="39">
        <v>0.56898148148148142</v>
      </c>
      <c r="BA174" s="48">
        <v>4448</v>
      </c>
      <c r="BB174" t="s">
        <v>616</v>
      </c>
      <c r="BC174" s="38">
        <v>45797</v>
      </c>
    </row>
    <row r="175" spans="22:55" ht="16" x14ac:dyDescent="0.4">
      <c r="V175" s="97">
        <v>45793</v>
      </c>
      <c r="W175" s="16">
        <v>147866</v>
      </c>
      <c r="X175" s="89" t="s">
        <v>36</v>
      </c>
      <c r="Z175" s="50">
        <v>0.93888888888888899</v>
      </c>
      <c r="AA175" s="50">
        <v>0.32083333333333336</v>
      </c>
      <c r="AD175" s="48">
        <v>22010</v>
      </c>
      <c r="AE175" s="48">
        <f t="shared" si="28"/>
        <v>22.01</v>
      </c>
      <c r="AF175">
        <v>14.55</v>
      </c>
      <c r="AG175" s="72">
        <f t="shared" si="26"/>
        <v>14</v>
      </c>
      <c r="AH175" s="37">
        <f t="shared" si="27"/>
        <v>22.01</v>
      </c>
      <c r="AJ175" s="38">
        <v>45797</v>
      </c>
      <c r="AK175" t="s">
        <v>855</v>
      </c>
      <c r="AL175" t="s">
        <v>5</v>
      </c>
      <c r="AN175" s="39" t="s">
        <v>1223</v>
      </c>
      <c r="AO175" s="39" t="s">
        <v>1224</v>
      </c>
      <c r="AP175" s="48">
        <v>3620</v>
      </c>
      <c r="AR175" s="38"/>
      <c r="AU175" s="38">
        <v>45797</v>
      </c>
      <c r="AV175">
        <v>149520</v>
      </c>
      <c r="AW175" t="s">
        <v>5</v>
      </c>
      <c r="AY175" s="39">
        <v>0.44305555555555554</v>
      </c>
      <c r="AZ175" s="39">
        <v>0.44444444444444442</v>
      </c>
      <c r="BA175" s="48">
        <v>896</v>
      </c>
      <c r="BB175" t="s">
        <v>49</v>
      </c>
      <c r="BC175" s="38">
        <v>45797</v>
      </c>
    </row>
    <row r="176" spans="22:55" ht="16" x14ac:dyDescent="0.4">
      <c r="V176" s="97">
        <v>45793</v>
      </c>
      <c r="W176" s="16">
        <v>147935</v>
      </c>
      <c r="X176" s="89" t="s">
        <v>36</v>
      </c>
      <c r="Z176" s="50">
        <v>0.13125000000000001</v>
      </c>
      <c r="AA176" s="50">
        <v>0.38611111111111113</v>
      </c>
      <c r="AD176" s="48">
        <v>21496</v>
      </c>
      <c r="AE176" s="48">
        <f t="shared" si="28"/>
        <v>21.495999999999999</v>
      </c>
      <c r="AF176">
        <v>15.02</v>
      </c>
      <c r="AG176" s="72">
        <f t="shared" si="26"/>
        <v>14</v>
      </c>
      <c r="AH176" s="37">
        <f t="shared" si="27"/>
        <v>21.495999999999999</v>
      </c>
      <c r="AJ176" s="38">
        <v>45797</v>
      </c>
      <c r="AK176" t="s">
        <v>856</v>
      </c>
      <c r="AL176" t="s">
        <v>5</v>
      </c>
      <c r="AN176" s="39" t="s">
        <v>1225</v>
      </c>
      <c r="AO176" s="39" t="s">
        <v>1226</v>
      </c>
      <c r="AP176" s="48">
        <v>3470</v>
      </c>
      <c r="AR176" s="38"/>
      <c r="AU176" s="38">
        <v>45797</v>
      </c>
      <c r="AW176" t="s">
        <v>5</v>
      </c>
      <c r="AY176" s="39">
        <v>0.40189814814814812</v>
      </c>
      <c r="AZ176" s="39">
        <v>0.42208333333333337</v>
      </c>
      <c r="BA176" s="48">
        <v>4066</v>
      </c>
      <c r="BB176" t="s">
        <v>617</v>
      </c>
      <c r="BC176" s="38">
        <v>45797</v>
      </c>
    </row>
    <row r="177" spans="22:56" ht="16" x14ac:dyDescent="0.4">
      <c r="V177" s="97">
        <v>45793</v>
      </c>
      <c r="W177" s="16">
        <v>148008</v>
      </c>
      <c r="X177" s="89" t="s">
        <v>36</v>
      </c>
      <c r="Z177" s="50">
        <v>0.17916666666666667</v>
      </c>
      <c r="AA177" s="50">
        <v>0.4680555555555555</v>
      </c>
      <c r="AD177" s="48">
        <v>21832</v>
      </c>
      <c r="AE177" s="48">
        <f t="shared" si="28"/>
        <v>21.832000000000001</v>
      </c>
      <c r="AF177">
        <v>14.81</v>
      </c>
      <c r="AG177" s="72">
        <f t="shared" si="26"/>
        <v>14</v>
      </c>
      <c r="AH177" s="37">
        <f t="shared" si="27"/>
        <v>21.832000000000001</v>
      </c>
      <c r="AJ177" s="38">
        <v>45797</v>
      </c>
      <c r="AK177" t="s">
        <v>857</v>
      </c>
      <c r="AL177" t="s">
        <v>4</v>
      </c>
      <c r="AN177" s="39" t="s">
        <v>1227</v>
      </c>
      <c r="AO177" s="39" t="s">
        <v>1228</v>
      </c>
      <c r="AP177" s="48">
        <v>5580</v>
      </c>
      <c r="AR177" s="38"/>
      <c r="AU177" s="38">
        <v>45797</v>
      </c>
      <c r="AW177" t="s">
        <v>5</v>
      </c>
      <c r="AY177" s="39">
        <v>0.40583333333333332</v>
      </c>
      <c r="AZ177" s="39">
        <v>0.42290509259259257</v>
      </c>
      <c r="BA177" s="48">
        <v>3228</v>
      </c>
      <c r="BB177" t="s">
        <v>618</v>
      </c>
      <c r="BC177" s="38">
        <v>45797</v>
      </c>
    </row>
    <row r="178" spans="22:56" ht="16" x14ac:dyDescent="0.4">
      <c r="V178" s="97">
        <v>45793</v>
      </c>
      <c r="W178" s="16">
        <v>148030</v>
      </c>
      <c r="X178" s="89" t="s">
        <v>36</v>
      </c>
      <c r="Z178" s="50">
        <v>0.13125000000000001</v>
      </c>
      <c r="AA178" s="50">
        <v>0.53472222222222221</v>
      </c>
      <c r="AD178" s="48">
        <v>20860</v>
      </c>
      <c r="AE178" s="48">
        <f t="shared" si="28"/>
        <v>20.86</v>
      </c>
      <c r="AF178">
        <v>15.59</v>
      </c>
      <c r="AG178" s="72">
        <f t="shared" si="26"/>
        <v>14</v>
      </c>
      <c r="AH178" s="37">
        <f t="shared" si="27"/>
        <v>20.859999999999996</v>
      </c>
      <c r="AJ178" s="38">
        <v>45797</v>
      </c>
      <c r="AK178" t="s">
        <v>858</v>
      </c>
      <c r="AL178" t="s">
        <v>5</v>
      </c>
      <c r="AN178" s="39" t="s">
        <v>1229</v>
      </c>
      <c r="AO178" s="39" t="s">
        <v>1230</v>
      </c>
      <c r="AP178" s="48">
        <v>3550</v>
      </c>
      <c r="AR178" s="38"/>
      <c r="AU178" s="38">
        <v>45797</v>
      </c>
      <c r="AW178" t="s">
        <v>5</v>
      </c>
      <c r="AY178" s="39">
        <v>0.42300925925925931</v>
      </c>
      <c r="AZ178" s="39">
        <v>0.61690972222222229</v>
      </c>
      <c r="BA178" s="48">
        <v>3148</v>
      </c>
      <c r="BB178" t="s">
        <v>619</v>
      </c>
      <c r="BC178" s="38">
        <v>45797</v>
      </c>
    </row>
    <row r="179" spans="22:56" ht="16" x14ac:dyDescent="0.4">
      <c r="V179" s="97">
        <v>45793</v>
      </c>
      <c r="W179" s="16">
        <v>148096</v>
      </c>
      <c r="X179" s="89" t="s">
        <v>36</v>
      </c>
      <c r="Z179" s="50">
        <v>0.17847222222222223</v>
      </c>
      <c r="AA179" s="50">
        <v>0.60138888888888886</v>
      </c>
      <c r="AD179" s="48">
        <v>21398</v>
      </c>
      <c r="AE179" s="48">
        <f t="shared" si="28"/>
        <v>21.398</v>
      </c>
      <c r="AF179">
        <v>15.19</v>
      </c>
      <c r="AG179" s="72">
        <f t="shared" si="26"/>
        <v>14</v>
      </c>
      <c r="AH179" s="37">
        <f t="shared" si="27"/>
        <v>21.398</v>
      </c>
      <c r="AJ179" s="38">
        <v>45797</v>
      </c>
      <c r="AK179" t="s">
        <v>859</v>
      </c>
      <c r="AL179" t="s">
        <v>5</v>
      </c>
      <c r="AN179" s="39" t="s">
        <v>1231</v>
      </c>
      <c r="AO179" s="39" t="s">
        <v>1232</v>
      </c>
      <c r="AP179" s="48">
        <v>4050</v>
      </c>
      <c r="AR179" s="38"/>
      <c r="AU179" s="38">
        <v>45797</v>
      </c>
      <c r="AW179" s="16" t="s">
        <v>5</v>
      </c>
      <c r="AY179" s="39">
        <v>0.57718749999999996</v>
      </c>
      <c r="AZ179" s="39">
        <v>0.59662037037037041</v>
      </c>
      <c r="BA179" s="48">
        <v>3386</v>
      </c>
      <c r="BB179" t="s">
        <v>620</v>
      </c>
      <c r="BC179" s="38">
        <v>45797</v>
      </c>
    </row>
    <row r="180" spans="22:56" ht="16" x14ac:dyDescent="0.4">
      <c r="V180" s="97">
        <v>45793</v>
      </c>
      <c r="W180" s="16">
        <v>148127</v>
      </c>
      <c r="X180" s="89" t="s">
        <v>36</v>
      </c>
      <c r="Z180" s="50">
        <v>0.90347222222222223</v>
      </c>
      <c r="AA180" s="50">
        <v>0.65277777777777779</v>
      </c>
      <c r="AD180" s="48">
        <v>20812</v>
      </c>
      <c r="AE180" s="48">
        <f t="shared" si="28"/>
        <v>20.812000000000001</v>
      </c>
      <c r="AF180">
        <v>15.66</v>
      </c>
      <c r="AG180" s="72">
        <f t="shared" si="26"/>
        <v>14</v>
      </c>
      <c r="AH180" s="37">
        <f t="shared" si="27"/>
        <v>20.812000000000001</v>
      </c>
      <c r="AJ180" s="38">
        <v>45797</v>
      </c>
      <c r="AK180" t="s">
        <v>860</v>
      </c>
      <c r="AL180" t="s">
        <v>5</v>
      </c>
      <c r="AN180" s="39" t="s">
        <v>1231</v>
      </c>
      <c r="AO180" s="39" t="s">
        <v>1233</v>
      </c>
      <c r="AP180" s="48">
        <v>2790</v>
      </c>
      <c r="AR180" s="38"/>
      <c r="AU180" s="38">
        <v>45798</v>
      </c>
      <c r="AW180" s="16" t="s">
        <v>5</v>
      </c>
      <c r="AY180" s="39">
        <v>0.32090277777777776</v>
      </c>
      <c r="AZ180" s="39">
        <v>0.37539351851851849</v>
      </c>
      <c r="BA180" s="48">
        <v>2652</v>
      </c>
      <c r="BB180" t="s">
        <v>613</v>
      </c>
      <c r="BC180" s="38">
        <v>45798</v>
      </c>
    </row>
    <row r="181" spans="22:56" ht="16" x14ac:dyDescent="0.4">
      <c r="V181" s="97">
        <v>45793</v>
      </c>
      <c r="W181" s="16">
        <v>148162</v>
      </c>
      <c r="X181" s="89" t="s">
        <v>36</v>
      </c>
      <c r="Z181" s="50">
        <v>0.66666666666666663</v>
      </c>
      <c r="AA181" s="50">
        <v>0.71250000000000002</v>
      </c>
      <c r="AD181" s="48">
        <v>21466</v>
      </c>
      <c r="AE181" s="48">
        <f t="shared" si="28"/>
        <v>21.466000000000001</v>
      </c>
      <c r="AF181">
        <v>14.16</v>
      </c>
      <c r="AG181" s="72">
        <f t="shared" si="26"/>
        <v>14</v>
      </c>
      <c r="AH181" s="37">
        <f t="shared" si="27"/>
        <v>21.466000000000001</v>
      </c>
      <c r="AJ181" s="38">
        <v>45797</v>
      </c>
      <c r="AK181" t="s">
        <v>861</v>
      </c>
      <c r="AL181" t="s">
        <v>5</v>
      </c>
      <c r="AN181" s="39" t="s">
        <v>1234</v>
      </c>
      <c r="AO181" s="39" t="s">
        <v>1234</v>
      </c>
      <c r="AP181" s="48">
        <v>3060</v>
      </c>
      <c r="AR181" s="38"/>
      <c r="AU181" s="38">
        <v>45798</v>
      </c>
      <c r="AW181" s="16" t="s">
        <v>5</v>
      </c>
      <c r="AY181" s="39">
        <v>0.306724537037037</v>
      </c>
      <c r="AZ181" s="39">
        <v>0.32038194444444446</v>
      </c>
      <c r="BA181" s="48">
        <v>2912</v>
      </c>
      <c r="BB181" t="s">
        <v>613</v>
      </c>
      <c r="BC181" s="38">
        <v>45798</v>
      </c>
    </row>
    <row r="182" spans="22:56" ht="16" x14ac:dyDescent="0.4">
      <c r="V182" s="97">
        <v>45793</v>
      </c>
      <c r="W182" s="16">
        <v>148195</v>
      </c>
      <c r="X182" s="89" t="s">
        <v>36</v>
      </c>
      <c r="Z182" s="50">
        <v>0.59305555555555556</v>
      </c>
      <c r="AA182" s="50">
        <v>0.77986111111111101</v>
      </c>
      <c r="AD182" s="48">
        <v>20156</v>
      </c>
      <c r="AE182" s="48">
        <f t="shared" si="28"/>
        <v>20.155999999999999</v>
      </c>
      <c r="AF182">
        <v>12.38</v>
      </c>
      <c r="AG182" s="72">
        <f t="shared" si="26"/>
        <v>12.38</v>
      </c>
      <c r="AH182" s="37">
        <f t="shared" si="27"/>
        <v>17.823662857142857</v>
      </c>
      <c r="AJ182" s="38">
        <v>45797</v>
      </c>
      <c r="AK182" t="s">
        <v>862</v>
      </c>
      <c r="AL182" t="s">
        <v>5</v>
      </c>
      <c r="AN182" s="39" t="s">
        <v>1235</v>
      </c>
      <c r="AO182" s="39" t="s">
        <v>1230</v>
      </c>
      <c r="AP182" s="48">
        <v>3460</v>
      </c>
      <c r="AR182" s="38"/>
      <c r="AU182" s="38">
        <v>45798</v>
      </c>
      <c r="AW182" s="16" t="s">
        <v>5</v>
      </c>
      <c r="AY182" s="39">
        <v>0.39226851851851857</v>
      </c>
      <c r="AZ182" s="39">
        <v>0.47597222222222224</v>
      </c>
      <c r="BA182" s="48">
        <v>2964</v>
      </c>
      <c r="BB182" t="s">
        <v>613</v>
      </c>
      <c r="BC182" s="38">
        <v>45798</v>
      </c>
    </row>
    <row r="183" spans="22:56" ht="16" x14ac:dyDescent="0.4">
      <c r="V183" s="97">
        <v>45793</v>
      </c>
      <c r="W183" s="16">
        <v>148219</v>
      </c>
      <c r="X183" s="89" t="s">
        <v>36</v>
      </c>
      <c r="Z183" s="50">
        <v>0.66666666666666663</v>
      </c>
      <c r="AA183" s="50">
        <v>0.83750000000000002</v>
      </c>
      <c r="AD183" s="48">
        <v>20016</v>
      </c>
      <c r="AE183" s="48">
        <f t="shared" si="28"/>
        <v>20.015999999999998</v>
      </c>
      <c r="AF183">
        <v>14.3</v>
      </c>
      <c r="AG183" s="72">
        <f t="shared" si="26"/>
        <v>14</v>
      </c>
      <c r="AH183" s="37">
        <f t="shared" si="27"/>
        <v>20.015999999999998</v>
      </c>
      <c r="AJ183" s="38">
        <v>45797</v>
      </c>
      <c r="AK183" t="s">
        <v>863</v>
      </c>
      <c r="AL183" t="s">
        <v>5</v>
      </c>
      <c r="AN183" s="39" t="s">
        <v>1236</v>
      </c>
      <c r="AO183" s="39" t="s">
        <v>1237</v>
      </c>
      <c r="AP183" s="48">
        <v>2800</v>
      </c>
      <c r="AR183" s="38"/>
      <c r="AU183" s="38">
        <v>45798</v>
      </c>
      <c r="AW183" s="16" t="s">
        <v>5</v>
      </c>
      <c r="AY183" s="39">
        <v>0.40872685185185187</v>
      </c>
      <c r="AZ183" s="39">
        <v>0.52659722222222227</v>
      </c>
      <c r="BA183" s="48">
        <v>3676</v>
      </c>
      <c r="BB183" t="s">
        <v>621</v>
      </c>
      <c r="BC183" s="38">
        <v>45798</v>
      </c>
    </row>
    <row r="184" spans="22:56" ht="16" x14ac:dyDescent="0.4">
      <c r="V184" s="97">
        <v>45793</v>
      </c>
      <c r="W184" s="16">
        <v>148258</v>
      </c>
      <c r="X184" s="89" t="s">
        <v>36</v>
      </c>
      <c r="Z184" s="50">
        <v>0.59375</v>
      </c>
      <c r="AA184" s="50">
        <v>0.89861111111111114</v>
      </c>
      <c r="AD184" s="48">
        <v>20920</v>
      </c>
      <c r="AE184" s="48">
        <f t="shared" si="28"/>
        <v>20.92</v>
      </c>
      <c r="AF184">
        <v>14.91</v>
      </c>
      <c r="AG184" s="72">
        <f t="shared" si="26"/>
        <v>14</v>
      </c>
      <c r="AH184" s="37">
        <f t="shared" si="27"/>
        <v>20.919999999999998</v>
      </c>
      <c r="AJ184" s="38">
        <v>45797</v>
      </c>
      <c r="AK184" t="s">
        <v>864</v>
      </c>
      <c r="AL184" t="s">
        <v>5</v>
      </c>
      <c r="AN184" s="39" t="s">
        <v>1238</v>
      </c>
      <c r="AO184" s="39" t="s">
        <v>1238</v>
      </c>
      <c r="AP184" s="48">
        <v>3100</v>
      </c>
      <c r="AR184" s="38"/>
      <c r="AS184" s="49"/>
      <c r="AU184" s="38">
        <v>45798</v>
      </c>
      <c r="AW184" s="16" t="s">
        <v>5</v>
      </c>
      <c r="AY184" s="39">
        <v>0.39046296296296296</v>
      </c>
      <c r="AZ184" s="39">
        <v>0.40837962962962965</v>
      </c>
      <c r="BA184" s="48">
        <v>4232</v>
      </c>
      <c r="BB184" t="s">
        <v>622</v>
      </c>
      <c r="BC184" s="38">
        <v>45798</v>
      </c>
      <c r="BD184" s="49"/>
    </row>
    <row r="185" spans="22:56" ht="16" x14ac:dyDescent="0.4">
      <c r="V185" s="97">
        <v>45793</v>
      </c>
      <c r="W185" s="16">
        <v>148281</v>
      </c>
      <c r="X185" s="89" t="s">
        <v>36</v>
      </c>
      <c r="Z185" s="50">
        <v>0.66666666666666663</v>
      </c>
      <c r="AA185" s="50">
        <v>0.96527777777777779</v>
      </c>
      <c r="AD185" s="48">
        <v>21242</v>
      </c>
      <c r="AE185" s="48">
        <f t="shared" si="28"/>
        <v>21.242000000000001</v>
      </c>
      <c r="AF185">
        <v>13.88</v>
      </c>
      <c r="AG185" s="72">
        <f t="shared" si="26"/>
        <v>13.88</v>
      </c>
      <c r="AH185" s="37">
        <f t="shared" si="27"/>
        <v>21.059925714285718</v>
      </c>
      <c r="AJ185" s="38">
        <v>45797</v>
      </c>
      <c r="AK185" t="s">
        <v>865</v>
      </c>
      <c r="AL185" t="s">
        <v>5</v>
      </c>
      <c r="AN185" s="39" t="s">
        <v>1239</v>
      </c>
      <c r="AO185" s="39" t="s">
        <v>1239</v>
      </c>
      <c r="AP185" s="48">
        <v>2860</v>
      </c>
      <c r="AR185" s="38"/>
      <c r="AS185" s="49"/>
      <c r="AU185" s="38">
        <v>45798</v>
      </c>
      <c r="AW185" s="16" t="s">
        <v>5</v>
      </c>
      <c r="AY185" s="39">
        <v>0.51305555555555549</v>
      </c>
      <c r="AZ185" s="39">
        <v>0.52784722222222225</v>
      </c>
      <c r="BA185" s="48">
        <v>3696</v>
      </c>
      <c r="BB185" t="s">
        <v>613</v>
      </c>
      <c r="BC185" s="38">
        <v>45798</v>
      </c>
      <c r="BD185" s="49"/>
    </row>
    <row r="186" spans="22:56" ht="16" x14ac:dyDescent="0.4">
      <c r="V186" s="97">
        <v>45794</v>
      </c>
      <c r="W186" s="16">
        <v>148304</v>
      </c>
      <c r="X186" s="89" t="s">
        <v>36</v>
      </c>
      <c r="Z186" s="50">
        <v>0.59375</v>
      </c>
      <c r="AA186" s="50">
        <v>3.6111111111111115E-2</v>
      </c>
      <c r="AD186" s="48">
        <v>21300</v>
      </c>
      <c r="AE186" s="48">
        <f t="shared" si="28"/>
        <v>21.3</v>
      </c>
      <c r="AF186">
        <v>13.45</v>
      </c>
      <c r="AG186" s="72">
        <f t="shared" si="26"/>
        <v>13.45</v>
      </c>
      <c r="AH186" s="37">
        <f t="shared" si="27"/>
        <v>20.463214285714287</v>
      </c>
      <c r="AJ186" s="38">
        <v>45797</v>
      </c>
      <c r="AK186" t="s">
        <v>866</v>
      </c>
      <c r="AL186" t="s">
        <v>5</v>
      </c>
      <c r="AN186" s="39" t="s">
        <v>1240</v>
      </c>
      <c r="AO186" s="39" t="s">
        <v>1241</v>
      </c>
      <c r="AP186" s="48">
        <v>640</v>
      </c>
      <c r="AR186" s="38"/>
      <c r="AS186" s="49"/>
      <c r="AU186" s="38">
        <v>45798</v>
      </c>
      <c r="AW186" s="16" t="s">
        <v>5</v>
      </c>
      <c r="AY186" s="39">
        <v>0.59672453703703698</v>
      </c>
      <c r="AZ186" s="39">
        <v>0.35473379629629626</v>
      </c>
      <c r="BA186" s="48">
        <v>3570</v>
      </c>
      <c r="BB186" t="s">
        <v>613</v>
      </c>
      <c r="BC186" s="38">
        <v>45798</v>
      </c>
      <c r="BD186" s="49"/>
    </row>
    <row r="187" spans="22:56" ht="16" x14ac:dyDescent="0.4">
      <c r="V187" s="97">
        <v>45794</v>
      </c>
      <c r="W187" s="16">
        <v>148313</v>
      </c>
      <c r="X187" s="89" t="s">
        <v>36</v>
      </c>
      <c r="Z187" s="50">
        <v>9.7222222222222224E-3</v>
      </c>
      <c r="AA187" s="50">
        <v>9.0972222222222218E-2</v>
      </c>
      <c r="AD187" s="48">
        <v>21522</v>
      </c>
      <c r="AE187" s="48">
        <f t="shared" si="28"/>
        <v>21.521999999999998</v>
      </c>
      <c r="AF187">
        <v>14.13</v>
      </c>
      <c r="AG187" s="72">
        <f t="shared" si="26"/>
        <v>14</v>
      </c>
      <c r="AH187" s="37">
        <f t="shared" si="27"/>
        <v>21.521999999999998</v>
      </c>
      <c r="AJ187" s="38">
        <v>45797</v>
      </c>
      <c r="AK187" t="s">
        <v>867</v>
      </c>
      <c r="AL187" t="s">
        <v>5</v>
      </c>
      <c r="AN187" s="39" t="s">
        <v>1242</v>
      </c>
      <c r="AO187" s="39" t="s">
        <v>1242</v>
      </c>
      <c r="AP187" s="48">
        <v>4410</v>
      </c>
      <c r="AR187" s="38"/>
      <c r="AS187" s="49"/>
      <c r="AU187" s="38">
        <v>45798</v>
      </c>
      <c r="AW187" s="16" t="s">
        <v>5</v>
      </c>
      <c r="AY187" s="39">
        <v>0.63239583333333338</v>
      </c>
      <c r="AZ187" s="39">
        <v>0.65060185185185182</v>
      </c>
      <c r="BA187" s="48">
        <v>4152</v>
      </c>
      <c r="BB187" t="s">
        <v>623</v>
      </c>
      <c r="BC187" s="38">
        <v>45798</v>
      </c>
      <c r="BD187" s="49"/>
    </row>
    <row r="188" spans="22:56" ht="16" x14ac:dyDescent="0.4">
      <c r="V188" s="97">
        <v>45794</v>
      </c>
      <c r="W188" s="16">
        <v>148330</v>
      </c>
      <c r="X188" s="89" t="s">
        <v>36</v>
      </c>
      <c r="Z188" s="50">
        <v>0.94305555555555554</v>
      </c>
      <c r="AA188" s="50">
        <v>0.1451388888888889</v>
      </c>
      <c r="AD188" s="48">
        <v>20504</v>
      </c>
      <c r="AE188" s="48">
        <f t="shared" si="28"/>
        <v>20.504000000000001</v>
      </c>
      <c r="AF188">
        <v>14.55</v>
      </c>
      <c r="AG188" s="72">
        <f t="shared" si="26"/>
        <v>14</v>
      </c>
      <c r="AH188" s="37">
        <f t="shared" si="27"/>
        <v>20.504000000000001</v>
      </c>
      <c r="AJ188" s="38">
        <v>45797</v>
      </c>
      <c r="AK188" t="s">
        <v>868</v>
      </c>
      <c r="AL188" t="s">
        <v>5</v>
      </c>
      <c r="AN188" s="39" t="s">
        <v>1243</v>
      </c>
      <c r="AO188" s="39" t="s">
        <v>1244</v>
      </c>
      <c r="AP188" s="48">
        <v>3430</v>
      </c>
      <c r="AR188" s="38"/>
      <c r="AS188" s="49"/>
      <c r="AU188" s="38">
        <v>45799</v>
      </c>
      <c r="AW188" s="16" t="s">
        <v>5</v>
      </c>
      <c r="AY188" s="39">
        <v>0.46429398148148149</v>
      </c>
      <c r="AZ188" s="39">
        <v>0.30334490740740744</v>
      </c>
      <c r="BA188" s="48">
        <v>3470</v>
      </c>
      <c r="BB188" t="s">
        <v>613</v>
      </c>
      <c r="BC188" s="38">
        <v>45798</v>
      </c>
      <c r="BD188" s="49"/>
    </row>
    <row r="189" spans="22:56" ht="16" x14ac:dyDescent="0.4">
      <c r="V189" s="97">
        <v>45794</v>
      </c>
      <c r="W189" s="16">
        <v>148353</v>
      </c>
      <c r="X189" s="89" t="s">
        <v>36</v>
      </c>
      <c r="Z189" s="50">
        <v>9.7222222222222224E-3</v>
      </c>
      <c r="AA189" s="50">
        <v>0.29722222222222222</v>
      </c>
      <c r="AD189" s="48">
        <v>21638</v>
      </c>
      <c r="AE189" s="48">
        <f t="shared" si="28"/>
        <v>21.638000000000002</v>
      </c>
      <c r="AF189">
        <v>13.59</v>
      </c>
      <c r="AG189" s="72">
        <f t="shared" si="26"/>
        <v>13.59</v>
      </c>
      <c r="AH189" s="37">
        <f t="shared" si="27"/>
        <v>21.004315714285717</v>
      </c>
      <c r="AJ189" s="38">
        <v>45797</v>
      </c>
      <c r="AK189" t="s">
        <v>869</v>
      </c>
      <c r="AL189" t="s">
        <v>5</v>
      </c>
      <c r="AN189" s="39" t="s">
        <v>1245</v>
      </c>
      <c r="AO189" s="39" t="s">
        <v>1246</v>
      </c>
      <c r="AP189" s="48">
        <v>3150</v>
      </c>
      <c r="AR189" s="38"/>
      <c r="AS189" s="49"/>
      <c r="AU189" s="38">
        <v>45799</v>
      </c>
      <c r="AW189" s="16" t="s">
        <v>5</v>
      </c>
      <c r="AY189" s="39">
        <v>0.45165509259259262</v>
      </c>
      <c r="AZ189" s="39">
        <v>0.33564814814814814</v>
      </c>
      <c r="BA189" s="48">
        <v>2858</v>
      </c>
      <c r="BB189" t="s">
        <v>613</v>
      </c>
      <c r="BC189" s="38">
        <v>45799</v>
      </c>
      <c r="BD189" s="49"/>
    </row>
    <row r="190" spans="22:56" ht="16" x14ac:dyDescent="0.4">
      <c r="V190" s="97">
        <v>45794</v>
      </c>
      <c r="W190" s="16">
        <v>148415</v>
      </c>
      <c r="X190" s="89" t="s">
        <v>36</v>
      </c>
      <c r="Z190" s="50">
        <v>0.94374999999999998</v>
      </c>
      <c r="AA190" s="50">
        <v>0.36736111111111108</v>
      </c>
      <c r="AD190" s="48">
        <v>23666</v>
      </c>
      <c r="AE190" s="48">
        <f t="shared" si="28"/>
        <v>23.666</v>
      </c>
      <c r="AF190">
        <v>14.13</v>
      </c>
      <c r="AG190" s="72">
        <f t="shared" si="26"/>
        <v>14</v>
      </c>
      <c r="AH190" s="37">
        <f t="shared" si="27"/>
        <v>23.666</v>
      </c>
      <c r="AJ190" s="38">
        <v>45798</v>
      </c>
      <c r="AK190" t="s">
        <v>870</v>
      </c>
      <c r="AL190" t="s">
        <v>5</v>
      </c>
      <c r="AN190" s="39" t="s">
        <v>1247</v>
      </c>
      <c r="AO190" s="39" t="s">
        <v>1247</v>
      </c>
      <c r="AP190" s="48">
        <v>2910</v>
      </c>
      <c r="AR190" s="38"/>
      <c r="AS190" s="49"/>
      <c r="AU190" s="38">
        <v>45799</v>
      </c>
      <c r="AW190" s="16" t="s">
        <v>5</v>
      </c>
      <c r="AY190" s="39">
        <v>0.47233796296296293</v>
      </c>
      <c r="AZ190" s="39">
        <v>0.56410879629629629</v>
      </c>
      <c r="BA190" s="48">
        <v>2932</v>
      </c>
      <c r="BB190" t="s">
        <v>128</v>
      </c>
      <c r="BC190" s="38">
        <v>45799</v>
      </c>
      <c r="BD190" s="49"/>
    </row>
    <row r="191" spans="22:56" ht="16" x14ac:dyDescent="0.4">
      <c r="V191" s="97">
        <v>45794</v>
      </c>
      <c r="W191" s="16">
        <v>148481</v>
      </c>
      <c r="X191" s="89" t="s">
        <v>36</v>
      </c>
      <c r="Z191" s="50">
        <v>9.0277777777777787E-3</v>
      </c>
      <c r="AA191" s="50">
        <v>0.44861111111111113</v>
      </c>
      <c r="AD191" s="48">
        <v>22902</v>
      </c>
      <c r="AE191" s="48">
        <f t="shared" si="28"/>
        <v>22.902000000000001</v>
      </c>
      <c r="AF191">
        <v>15.27</v>
      </c>
      <c r="AG191" s="72">
        <f t="shared" si="26"/>
        <v>14</v>
      </c>
      <c r="AH191" s="37">
        <f t="shared" si="27"/>
        <v>22.902000000000005</v>
      </c>
      <c r="AJ191" s="38">
        <v>45798</v>
      </c>
      <c r="AK191" t="s">
        <v>871</v>
      </c>
      <c r="AL191" t="s">
        <v>5</v>
      </c>
      <c r="AN191" s="39" t="s">
        <v>1248</v>
      </c>
      <c r="AO191" s="39" t="s">
        <v>1249</v>
      </c>
      <c r="AP191" s="48">
        <v>3630</v>
      </c>
      <c r="AR191" s="38"/>
      <c r="AS191" s="49"/>
      <c r="AU191" s="38">
        <v>45799</v>
      </c>
      <c r="AW191" s="16" t="s">
        <v>5</v>
      </c>
      <c r="AY191" s="39">
        <v>0.45601851851851855</v>
      </c>
      <c r="AZ191" s="39">
        <v>0.47221064814814812</v>
      </c>
      <c r="BA191" s="48">
        <v>2780</v>
      </c>
      <c r="BB191" t="s">
        <v>128</v>
      </c>
      <c r="BC191" s="38">
        <v>45799</v>
      </c>
      <c r="BD191" s="49"/>
    </row>
    <row r="192" spans="22:56" ht="16" x14ac:dyDescent="0.4">
      <c r="V192" s="97">
        <v>45794</v>
      </c>
      <c r="W192" s="16">
        <v>148510</v>
      </c>
      <c r="X192" s="89" t="s">
        <v>36</v>
      </c>
      <c r="Z192" s="50">
        <v>0.20416666666666669</v>
      </c>
      <c r="AA192" s="50">
        <v>0.51944444444444449</v>
      </c>
      <c r="AD192" s="48">
        <v>22716</v>
      </c>
      <c r="AE192" s="48">
        <f t="shared" si="28"/>
        <v>22.716000000000001</v>
      </c>
      <c r="AF192">
        <v>15.33</v>
      </c>
      <c r="AG192" s="72">
        <f t="shared" si="26"/>
        <v>14</v>
      </c>
      <c r="AH192" s="37">
        <f t="shared" si="27"/>
        <v>22.716000000000001</v>
      </c>
      <c r="AJ192" s="38">
        <v>45798</v>
      </c>
      <c r="AK192" t="s">
        <v>872</v>
      </c>
      <c r="AL192" t="s">
        <v>5</v>
      </c>
      <c r="AN192" s="39" t="s">
        <v>1250</v>
      </c>
      <c r="AO192" s="39" t="s">
        <v>1250</v>
      </c>
      <c r="AP192" s="48">
        <v>2630</v>
      </c>
      <c r="AR192" s="38"/>
      <c r="AS192" s="49"/>
      <c r="AU192" s="38">
        <v>45799</v>
      </c>
      <c r="AW192" s="16" t="s">
        <v>5</v>
      </c>
      <c r="AY192" s="39">
        <v>0.52814814814814814</v>
      </c>
      <c r="AZ192" s="39">
        <v>0.5672800925925926</v>
      </c>
      <c r="BA192" s="48">
        <v>3320</v>
      </c>
      <c r="BB192" t="s">
        <v>128</v>
      </c>
      <c r="BC192" s="38">
        <v>45799</v>
      </c>
      <c r="BD192" s="49"/>
    </row>
    <row r="193" spans="22:56" ht="16" x14ac:dyDescent="0.4">
      <c r="V193" s="97">
        <v>45794</v>
      </c>
      <c r="W193" s="16">
        <v>148552</v>
      </c>
      <c r="X193" s="89" t="s">
        <v>36</v>
      </c>
      <c r="Z193" s="50">
        <v>0.49861111111111112</v>
      </c>
      <c r="AA193" s="50">
        <v>0.59236111111111112</v>
      </c>
      <c r="AD193" s="48">
        <v>21280</v>
      </c>
      <c r="AE193" s="48">
        <f t="shared" si="28"/>
        <v>21.28</v>
      </c>
      <c r="AF193">
        <v>14.56</v>
      </c>
      <c r="AG193" s="72">
        <f t="shared" si="26"/>
        <v>14</v>
      </c>
      <c r="AH193" s="37">
        <f t="shared" si="27"/>
        <v>21.28</v>
      </c>
      <c r="AJ193" s="38">
        <v>45798</v>
      </c>
      <c r="AK193" t="s">
        <v>873</v>
      </c>
      <c r="AL193" t="s">
        <v>5</v>
      </c>
      <c r="AN193" s="39" t="s">
        <v>1251</v>
      </c>
      <c r="AO193" s="39" t="s">
        <v>1251</v>
      </c>
      <c r="AP193" s="48">
        <v>4240</v>
      </c>
      <c r="AR193" s="38"/>
      <c r="AS193" s="49"/>
      <c r="AU193" s="38">
        <v>45799</v>
      </c>
      <c r="AW193" s="16" t="s">
        <v>5</v>
      </c>
      <c r="AY193" s="39">
        <v>0.45976851851851852</v>
      </c>
      <c r="AZ193" s="39">
        <v>0.54986111111111113</v>
      </c>
      <c r="BA193" s="48">
        <v>2856</v>
      </c>
      <c r="BB193" t="s">
        <v>624</v>
      </c>
      <c r="BC193" s="38">
        <v>45799</v>
      </c>
      <c r="BD193" s="49"/>
    </row>
    <row r="194" spans="22:56" ht="16" x14ac:dyDescent="0.4">
      <c r="V194" s="97">
        <v>45794</v>
      </c>
      <c r="W194" s="16">
        <v>148583</v>
      </c>
      <c r="X194" s="89" t="s">
        <v>36</v>
      </c>
      <c r="Z194" s="50">
        <v>0.20416666666666669</v>
      </c>
      <c r="AA194" s="50">
        <v>0.65</v>
      </c>
      <c r="AD194" s="48">
        <v>21972</v>
      </c>
      <c r="AE194" s="48">
        <f t="shared" si="28"/>
        <v>21.972000000000001</v>
      </c>
      <c r="AF194">
        <v>15.73</v>
      </c>
      <c r="AG194" s="72">
        <f t="shared" si="26"/>
        <v>14</v>
      </c>
      <c r="AH194" s="37">
        <f t="shared" si="27"/>
        <v>21.972000000000001</v>
      </c>
      <c r="AJ194" s="38">
        <v>45798</v>
      </c>
      <c r="AK194" t="s">
        <v>874</v>
      </c>
      <c r="AL194" t="s">
        <v>5</v>
      </c>
      <c r="AN194" s="39" t="s">
        <v>1252</v>
      </c>
      <c r="AO194" s="39" t="s">
        <v>1253</v>
      </c>
      <c r="AP194" s="48">
        <v>2770</v>
      </c>
      <c r="AR194" s="38"/>
      <c r="AS194" s="49"/>
      <c r="AU194" s="38">
        <v>45799</v>
      </c>
      <c r="AW194" s="16" t="s">
        <v>5</v>
      </c>
      <c r="AY194" s="39">
        <v>0.44539351851851849</v>
      </c>
      <c r="AZ194" s="39">
        <v>0.45959490740740744</v>
      </c>
      <c r="BA194" s="48">
        <v>2856</v>
      </c>
      <c r="BB194" t="s">
        <v>625</v>
      </c>
      <c r="BC194" s="38">
        <v>45799</v>
      </c>
      <c r="BD194" s="49"/>
    </row>
    <row r="195" spans="22:56" ht="16" x14ac:dyDescent="0.4">
      <c r="V195" s="97">
        <v>45794</v>
      </c>
      <c r="W195" s="16">
        <v>148599</v>
      </c>
      <c r="X195" s="89" t="s">
        <v>36</v>
      </c>
      <c r="Z195" s="50">
        <v>0.49861111111111112</v>
      </c>
      <c r="AA195" s="50">
        <v>0.70972222222222225</v>
      </c>
      <c r="AD195" s="48">
        <v>22048</v>
      </c>
      <c r="AE195" s="48">
        <f t="shared" si="28"/>
        <v>22.047999999999998</v>
      </c>
      <c r="AF195">
        <v>15.84</v>
      </c>
      <c r="AG195" s="72">
        <f t="shared" si="26"/>
        <v>14</v>
      </c>
      <c r="AH195" s="37">
        <f t="shared" si="27"/>
        <v>22.047999999999998</v>
      </c>
      <c r="AJ195" s="38">
        <v>45798</v>
      </c>
      <c r="AK195" t="s">
        <v>875</v>
      </c>
      <c r="AL195" t="s">
        <v>5</v>
      </c>
      <c r="AN195" s="39" t="s">
        <v>1254</v>
      </c>
      <c r="AO195" s="39" t="s">
        <v>1254</v>
      </c>
      <c r="AP195" s="48">
        <v>2770</v>
      </c>
      <c r="AQ195" s="16"/>
      <c r="AR195" s="38"/>
      <c r="AS195" s="49"/>
      <c r="AU195" s="38">
        <v>45799</v>
      </c>
      <c r="AW195" s="16" t="s">
        <v>5</v>
      </c>
      <c r="AY195" s="39">
        <v>0.52813657407407411</v>
      </c>
      <c r="AZ195" s="39">
        <v>0.52136574074074071</v>
      </c>
      <c r="BA195" s="48">
        <v>2996</v>
      </c>
      <c r="BB195" s="16" t="s">
        <v>626</v>
      </c>
      <c r="BC195" s="38">
        <v>45799</v>
      </c>
      <c r="BD195" s="49"/>
    </row>
    <row r="196" spans="22:56" ht="16" x14ac:dyDescent="0.4">
      <c r="V196" s="97">
        <v>45794</v>
      </c>
      <c r="W196" s="16">
        <v>148637</v>
      </c>
      <c r="X196" s="89" t="s">
        <v>36</v>
      </c>
      <c r="Z196" s="50">
        <v>0.69758101851851861</v>
      </c>
      <c r="AA196" s="50">
        <v>0.79616898148148152</v>
      </c>
      <c r="AD196" s="48">
        <v>20556</v>
      </c>
      <c r="AE196" s="48">
        <f t="shared" ref="AE196:AE259" si="29">AD196/1000</f>
        <v>20.556000000000001</v>
      </c>
      <c r="AF196">
        <v>14.59</v>
      </c>
      <c r="AG196" s="72">
        <f t="shared" si="26"/>
        <v>14</v>
      </c>
      <c r="AH196" s="37">
        <f t="shared" si="27"/>
        <v>20.556000000000001</v>
      </c>
      <c r="AJ196" s="38">
        <v>45798</v>
      </c>
      <c r="AK196" t="s">
        <v>876</v>
      </c>
      <c r="AL196" t="s">
        <v>5</v>
      </c>
      <c r="AM196" s="17"/>
      <c r="AN196" s="81" t="s">
        <v>1255</v>
      </c>
      <c r="AO196" s="39" t="s">
        <v>1255</v>
      </c>
      <c r="AP196" s="48">
        <v>3700</v>
      </c>
      <c r="AR196" s="38"/>
      <c r="AS196" s="49"/>
      <c r="AU196" s="38">
        <v>45799</v>
      </c>
      <c r="AW196" s="16" t="s">
        <v>5</v>
      </c>
      <c r="AX196" s="17"/>
      <c r="AY196" s="81">
        <v>0.55200231481481488</v>
      </c>
      <c r="AZ196" s="39">
        <v>0.37317129629629631</v>
      </c>
      <c r="BA196" s="48">
        <v>2642</v>
      </c>
      <c r="BB196" t="s">
        <v>625</v>
      </c>
      <c r="BC196" s="38">
        <v>45799</v>
      </c>
      <c r="BD196" s="49"/>
    </row>
    <row r="197" spans="22:56" ht="16" x14ac:dyDescent="0.4">
      <c r="V197" s="97">
        <v>45794</v>
      </c>
      <c r="W197" s="16">
        <v>148655</v>
      </c>
      <c r="X197" s="89" t="s">
        <v>36</v>
      </c>
      <c r="Z197" s="50">
        <v>0.76201388888888888</v>
      </c>
      <c r="AA197" s="50">
        <v>0.86281249999999998</v>
      </c>
      <c r="AD197" s="48">
        <v>18722</v>
      </c>
      <c r="AE197" s="48">
        <f t="shared" si="29"/>
        <v>18.722000000000001</v>
      </c>
      <c r="AF197">
        <v>17.09</v>
      </c>
      <c r="AG197" s="72">
        <f t="shared" ref="AG197:AG260" si="30">IF($AF197&gt;14,14,$AF197)</f>
        <v>14</v>
      </c>
      <c r="AH197" s="37">
        <f t="shared" si="27"/>
        <v>18.722000000000001</v>
      </c>
      <c r="AJ197" s="38">
        <v>45798</v>
      </c>
      <c r="AK197" t="s">
        <v>877</v>
      </c>
      <c r="AL197" t="s">
        <v>5</v>
      </c>
      <c r="AN197" s="81" t="s">
        <v>1256</v>
      </c>
      <c r="AO197" s="39" t="s">
        <v>1256</v>
      </c>
      <c r="AP197" s="48">
        <v>3890</v>
      </c>
      <c r="AR197" s="38"/>
      <c r="AS197" s="16"/>
      <c r="AU197" s="38">
        <v>45799</v>
      </c>
      <c r="AW197" s="16" t="s">
        <v>5</v>
      </c>
      <c r="AY197" s="81">
        <v>0.35143518518518518</v>
      </c>
      <c r="AZ197" s="39">
        <v>0.40390046296296295</v>
      </c>
      <c r="BA197" s="48">
        <v>3170</v>
      </c>
      <c r="BB197" t="s">
        <v>626</v>
      </c>
      <c r="BC197" s="38">
        <v>45799</v>
      </c>
      <c r="BD197" s="16"/>
    </row>
    <row r="198" spans="22:56" ht="16" x14ac:dyDescent="0.4">
      <c r="V198" s="97">
        <v>45794</v>
      </c>
      <c r="W198" s="16">
        <v>148668</v>
      </c>
      <c r="X198" s="89" t="s">
        <v>36</v>
      </c>
      <c r="Z198" s="50">
        <v>0.85248842592592589</v>
      </c>
      <c r="AA198" s="50">
        <v>0.92186342592592585</v>
      </c>
      <c r="AD198" s="48">
        <v>18148</v>
      </c>
      <c r="AE198" s="48">
        <f t="shared" si="29"/>
        <v>18.148</v>
      </c>
      <c r="AF198">
        <v>17.45</v>
      </c>
      <c r="AG198" s="72">
        <f t="shared" si="30"/>
        <v>14</v>
      </c>
      <c r="AH198" s="37">
        <f t="shared" ref="AH198:AH261" si="31">AE198*AG198/14</f>
        <v>18.148</v>
      </c>
      <c r="AJ198" s="38">
        <v>45798</v>
      </c>
      <c r="AK198" t="s">
        <v>878</v>
      </c>
      <c r="AL198" t="s">
        <v>5</v>
      </c>
      <c r="AN198" s="81" t="s">
        <v>1257</v>
      </c>
      <c r="AO198" s="39" t="s">
        <v>1257</v>
      </c>
      <c r="AP198" s="48">
        <v>4110</v>
      </c>
      <c r="AR198" s="38"/>
      <c r="AS198" s="16"/>
      <c r="AU198" s="38">
        <v>45799</v>
      </c>
      <c r="AW198" s="16" t="s">
        <v>5</v>
      </c>
      <c r="AY198" s="81">
        <v>0.43834490740740745</v>
      </c>
      <c r="AZ198" s="39">
        <v>0.45126157407407402</v>
      </c>
      <c r="BA198" s="48">
        <v>2822</v>
      </c>
      <c r="BB198" t="s">
        <v>627</v>
      </c>
      <c r="BC198" s="38">
        <v>45799</v>
      </c>
      <c r="BD198" s="16"/>
    </row>
    <row r="199" spans="22:56" ht="16" x14ac:dyDescent="0.4">
      <c r="V199" s="97">
        <v>45795</v>
      </c>
      <c r="W199" s="16">
        <v>148688</v>
      </c>
      <c r="X199" s="89" t="s">
        <v>36</v>
      </c>
      <c r="Z199" s="50">
        <v>0.76214120370370375</v>
      </c>
      <c r="AA199" s="50">
        <v>9.6064814814814815E-3</v>
      </c>
      <c r="AD199" s="48">
        <v>19644</v>
      </c>
      <c r="AE199" s="48">
        <f t="shared" si="29"/>
        <v>19.643999999999998</v>
      </c>
      <c r="AF199">
        <v>16.12</v>
      </c>
      <c r="AG199" s="72">
        <f t="shared" si="30"/>
        <v>14</v>
      </c>
      <c r="AH199" s="37">
        <f t="shared" si="31"/>
        <v>19.643999999999998</v>
      </c>
      <c r="AJ199" s="38">
        <v>45799</v>
      </c>
      <c r="AK199" t="s">
        <v>879</v>
      </c>
      <c r="AL199" t="s">
        <v>5</v>
      </c>
      <c r="AN199" s="81" t="s">
        <v>1258</v>
      </c>
      <c r="AO199" s="39" t="s">
        <v>1259</v>
      </c>
      <c r="AP199" s="48">
        <v>3460</v>
      </c>
      <c r="AR199" s="38"/>
      <c r="AS199" s="16"/>
      <c r="AU199" s="38">
        <v>45799</v>
      </c>
      <c r="AW199" s="16" t="s">
        <v>5</v>
      </c>
      <c r="AY199" s="81">
        <v>0.34043981481481483</v>
      </c>
      <c r="AZ199" s="39">
        <v>0.35975694444444445</v>
      </c>
      <c r="BA199" s="48">
        <v>2180</v>
      </c>
      <c r="BB199" t="s">
        <v>628</v>
      </c>
      <c r="BC199" s="38">
        <v>45799</v>
      </c>
      <c r="BD199" s="16"/>
    </row>
    <row r="200" spans="22:56" ht="16" x14ac:dyDescent="0.4">
      <c r="V200" s="97">
        <v>45795</v>
      </c>
      <c r="W200" s="16">
        <v>148704</v>
      </c>
      <c r="X200" s="89" t="s">
        <v>36</v>
      </c>
      <c r="Z200" s="50">
        <v>0.85055555555555562</v>
      </c>
      <c r="AA200" s="50">
        <v>7.3240740740740731E-2</v>
      </c>
      <c r="AD200" s="48">
        <v>18846</v>
      </c>
      <c r="AE200" s="48">
        <f t="shared" si="29"/>
        <v>18.846</v>
      </c>
      <c r="AF200">
        <v>16.309999999999999</v>
      </c>
      <c r="AG200" s="72">
        <f t="shared" si="30"/>
        <v>14</v>
      </c>
      <c r="AH200" s="37">
        <f t="shared" si="31"/>
        <v>18.846</v>
      </c>
      <c r="AJ200" s="38">
        <v>45799</v>
      </c>
      <c r="AK200" t="s">
        <v>880</v>
      </c>
      <c r="AL200" t="s">
        <v>5</v>
      </c>
      <c r="AN200" s="81" t="s">
        <v>1260</v>
      </c>
      <c r="AO200" s="39" t="s">
        <v>1260</v>
      </c>
      <c r="AP200" s="48">
        <v>2990</v>
      </c>
      <c r="AR200" s="38"/>
      <c r="AS200" s="16"/>
      <c r="AU200" s="38">
        <v>45799</v>
      </c>
      <c r="AW200" s="16" t="s">
        <v>5</v>
      </c>
      <c r="AY200" s="81">
        <v>0.36972222222222223</v>
      </c>
      <c r="AZ200" s="39">
        <v>0.38622685185185185</v>
      </c>
      <c r="BA200" s="48">
        <v>3534</v>
      </c>
      <c r="BB200" t="s">
        <v>626</v>
      </c>
      <c r="BC200" s="38">
        <v>45799</v>
      </c>
      <c r="BD200" s="16"/>
    </row>
    <row r="201" spans="22:56" ht="16" x14ac:dyDescent="0.4">
      <c r="V201" s="97">
        <v>45795</v>
      </c>
      <c r="W201" s="16">
        <v>148712</v>
      </c>
      <c r="X201" s="89" t="s">
        <v>36</v>
      </c>
      <c r="Z201" s="50">
        <v>0.49899305555555556</v>
      </c>
      <c r="AA201" s="50">
        <v>0.13082175925925926</v>
      </c>
      <c r="AD201" s="48">
        <v>19146</v>
      </c>
      <c r="AE201" s="48">
        <f t="shared" si="29"/>
        <v>19.146000000000001</v>
      </c>
      <c r="AF201">
        <v>15.38</v>
      </c>
      <c r="AG201" s="72">
        <f t="shared" si="30"/>
        <v>14</v>
      </c>
      <c r="AH201" s="37">
        <f t="shared" si="31"/>
        <v>19.145999999999997</v>
      </c>
      <c r="AJ201" s="38">
        <v>45799</v>
      </c>
      <c r="AK201" t="s">
        <v>881</v>
      </c>
      <c r="AL201" t="s">
        <v>5</v>
      </c>
      <c r="AN201" s="81" t="s">
        <v>1261</v>
      </c>
      <c r="AO201" s="39" t="s">
        <v>1261</v>
      </c>
      <c r="AP201" s="48">
        <v>2250</v>
      </c>
      <c r="AR201" s="38"/>
      <c r="AS201" s="16"/>
      <c r="AU201" s="38">
        <v>45799</v>
      </c>
      <c r="AW201" s="16" t="s">
        <v>5</v>
      </c>
      <c r="AY201" s="81">
        <v>0.38638888888888889</v>
      </c>
      <c r="AZ201" s="39">
        <v>0.51061342592592596</v>
      </c>
      <c r="BA201" s="48">
        <v>3622</v>
      </c>
      <c r="BB201" t="s">
        <v>626</v>
      </c>
      <c r="BC201" s="38">
        <v>45799</v>
      </c>
      <c r="BD201" s="16"/>
    </row>
    <row r="202" spans="22:56" ht="16" x14ac:dyDescent="0.4">
      <c r="V202" s="97">
        <v>45795</v>
      </c>
      <c r="W202" s="16">
        <v>148718</v>
      </c>
      <c r="X202" s="89" t="s">
        <v>36</v>
      </c>
      <c r="Z202" s="50">
        <v>0.85042824074074075</v>
      </c>
      <c r="AA202" s="50">
        <v>0.18752314814814816</v>
      </c>
      <c r="AD202" s="48">
        <v>18610</v>
      </c>
      <c r="AE202" s="48">
        <f t="shared" si="29"/>
        <v>18.61</v>
      </c>
      <c r="AF202">
        <v>14.23</v>
      </c>
      <c r="AG202" s="72">
        <f t="shared" si="30"/>
        <v>14</v>
      </c>
      <c r="AH202" s="37">
        <f t="shared" si="31"/>
        <v>18.609999999999996</v>
      </c>
      <c r="AJ202" s="38">
        <v>45799</v>
      </c>
      <c r="AK202" t="s">
        <v>882</v>
      </c>
      <c r="AL202" t="s">
        <v>5</v>
      </c>
      <c r="AN202" s="81" t="s">
        <v>1262</v>
      </c>
      <c r="AO202" s="39" t="s">
        <v>1263</v>
      </c>
      <c r="AP202" s="48">
        <v>1960</v>
      </c>
      <c r="AR202" s="38"/>
      <c r="AS202" s="16"/>
      <c r="AU202" s="38">
        <v>45799</v>
      </c>
      <c r="AW202" s="16" t="s">
        <v>5</v>
      </c>
      <c r="AY202" s="81">
        <v>0.42263888888888884</v>
      </c>
      <c r="AZ202" s="39">
        <v>0.4437962962962963</v>
      </c>
      <c r="BA202" s="48">
        <v>3730</v>
      </c>
      <c r="BB202" t="s">
        <v>629</v>
      </c>
      <c r="BC202" s="38">
        <v>45799</v>
      </c>
      <c r="BD202" s="16"/>
    </row>
    <row r="203" spans="22:56" ht="16" x14ac:dyDescent="0.4">
      <c r="V203" s="97">
        <v>45795</v>
      </c>
      <c r="W203" s="16">
        <v>148741</v>
      </c>
      <c r="X203" s="89" t="s">
        <v>36</v>
      </c>
      <c r="Z203" s="50">
        <v>0.33611111111111108</v>
      </c>
      <c r="AA203" s="50"/>
      <c r="AB203">
        <v>104</v>
      </c>
      <c r="AC203" t="s">
        <v>22</v>
      </c>
      <c r="AD203" s="48">
        <v>14516</v>
      </c>
      <c r="AE203" s="48">
        <f t="shared" si="29"/>
        <v>14.516</v>
      </c>
      <c r="AF203">
        <v>11.55</v>
      </c>
      <c r="AG203" s="72">
        <f t="shared" si="30"/>
        <v>11.55</v>
      </c>
      <c r="AH203" s="37">
        <f t="shared" si="31"/>
        <v>11.975700000000002</v>
      </c>
      <c r="AJ203" s="38">
        <v>45799</v>
      </c>
      <c r="AK203" t="s">
        <v>883</v>
      </c>
      <c r="AL203" t="s">
        <v>5</v>
      </c>
      <c r="AN203" s="81" t="s">
        <v>1264</v>
      </c>
      <c r="AO203" s="39" t="s">
        <v>1264</v>
      </c>
      <c r="AP203" s="48">
        <v>2740</v>
      </c>
      <c r="AR203" s="38"/>
      <c r="AS203" s="16"/>
      <c r="AU203" s="38">
        <v>45799</v>
      </c>
      <c r="AW203" s="16" t="s">
        <v>5</v>
      </c>
      <c r="AY203" s="81">
        <v>0.63656250000000003</v>
      </c>
      <c r="AZ203" s="39">
        <v>0.64569444444444446</v>
      </c>
      <c r="BA203" s="48">
        <v>4882</v>
      </c>
      <c r="BB203" t="s">
        <v>630</v>
      </c>
      <c r="BC203" s="38">
        <v>45799</v>
      </c>
      <c r="BD203" s="16"/>
    </row>
    <row r="204" spans="22:56" ht="16" x14ac:dyDescent="0.4">
      <c r="V204" s="97">
        <v>45796</v>
      </c>
      <c r="W204" s="16">
        <v>149239</v>
      </c>
      <c r="X204" s="89" t="s">
        <v>36</v>
      </c>
      <c r="Z204" s="50">
        <v>0.17916666666666667</v>
      </c>
      <c r="AA204" s="50">
        <v>0.8666666666666667</v>
      </c>
      <c r="AD204" s="48">
        <v>20342</v>
      </c>
      <c r="AE204" s="48">
        <f t="shared" si="29"/>
        <v>20.341999999999999</v>
      </c>
      <c r="AF204">
        <v>14.81</v>
      </c>
      <c r="AG204" s="72">
        <f t="shared" si="30"/>
        <v>14</v>
      </c>
      <c r="AH204" s="37">
        <f t="shared" si="31"/>
        <v>20.342000000000002</v>
      </c>
      <c r="AJ204" s="38">
        <v>45799</v>
      </c>
      <c r="AK204" t="s">
        <v>884</v>
      </c>
      <c r="AL204" t="s">
        <v>5</v>
      </c>
      <c r="AN204" s="81" t="s">
        <v>1265</v>
      </c>
      <c r="AO204" s="39" t="s">
        <v>1265</v>
      </c>
      <c r="AP204" s="48">
        <v>3100</v>
      </c>
      <c r="AR204" s="38"/>
      <c r="AS204" s="16"/>
      <c r="AU204" s="38">
        <v>45800</v>
      </c>
      <c r="AW204" s="16" t="s">
        <v>5</v>
      </c>
      <c r="AY204" s="81">
        <v>0.56570601851851854</v>
      </c>
      <c r="AZ204" s="39">
        <v>0.37403935185185189</v>
      </c>
      <c r="BA204" s="48">
        <v>3264</v>
      </c>
      <c r="BB204" t="s">
        <v>631</v>
      </c>
      <c r="BC204" s="38">
        <v>45800</v>
      </c>
      <c r="BD204" s="16"/>
    </row>
    <row r="205" spans="22:56" ht="16" x14ac:dyDescent="0.4">
      <c r="V205" s="97">
        <v>45796</v>
      </c>
      <c r="W205" s="16">
        <v>149268</v>
      </c>
      <c r="X205" s="89" t="s">
        <v>36</v>
      </c>
      <c r="Z205" s="50">
        <v>0.77986111111111101</v>
      </c>
      <c r="AA205" s="50">
        <v>0.94236111111111109</v>
      </c>
      <c r="AD205" s="48">
        <v>20852</v>
      </c>
      <c r="AE205" s="48">
        <f t="shared" si="29"/>
        <v>20.852</v>
      </c>
      <c r="AF205">
        <v>14.41</v>
      </c>
      <c r="AG205" s="72">
        <f t="shared" si="30"/>
        <v>14</v>
      </c>
      <c r="AH205" s="37">
        <f t="shared" si="31"/>
        <v>20.852</v>
      </c>
      <c r="AJ205" s="38">
        <v>45799</v>
      </c>
      <c r="AK205" t="s">
        <v>885</v>
      </c>
      <c r="AL205" t="s">
        <v>5</v>
      </c>
      <c r="AN205" s="81" t="s">
        <v>1266</v>
      </c>
      <c r="AO205" s="39" t="s">
        <v>1266</v>
      </c>
      <c r="AP205" s="48">
        <v>3660</v>
      </c>
      <c r="AR205" s="38"/>
      <c r="AS205" s="16"/>
      <c r="AU205" s="38">
        <v>45800</v>
      </c>
      <c r="AW205" s="16" t="s">
        <v>5</v>
      </c>
      <c r="AY205" s="81">
        <v>0.5927662037037037</v>
      </c>
      <c r="AZ205" s="39">
        <v>0.60817129629629629</v>
      </c>
      <c r="BA205" s="48">
        <v>3232</v>
      </c>
      <c r="BB205" t="s">
        <v>632</v>
      </c>
      <c r="BC205" s="38">
        <v>45800</v>
      </c>
      <c r="BD205" s="16"/>
    </row>
    <row r="206" spans="22:56" ht="16" x14ac:dyDescent="0.4">
      <c r="V206" s="97">
        <v>45797</v>
      </c>
      <c r="W206" s="16">
        <v>148308</v>
      </c>
      <c r="X206" s="89" t="s">
        <v>36</v>
      </c>
      <c r="Z206" s="50">
        <v>0.77222222222222225</v>
      </c>
      <c r="AA206" s="50">
        <v>1.7361111111111112E-2</v>
      </c>
      <c r="AD206" s="48">
        <v>19326</v>
      </c>
      <c r="AE206" s="48">
        <f t="shared" si="29"/>
        <v>19.326000000000001</v>
      </c>
      <c r="AF206">
        <v>15.45</v>
      </c>
      <c r="AG206" s="72">
        <f t="shared" si="30"/>
        <v>14</v>
      </c>
      <c r="AH206" s="37">
        <f t="shared" si="31"/>
        <v>19.326000000000001</v>
      </c>
      <c r="AJ206" s="38">
        <v>45799</v>
      </c>
      <c r="AK206" t="s">
        <v>886</v>
      </c>
      <c r="AL206" t="s">
        <v>5</v>
      </c>
      <c r="AN206" s="81" t="s">
        <v>1267</v>
      </c>
      <c r="AO206" s="39" t="s">
        <v>1267</v>
      </c>
      <c r="AP206" s="48">
        <v>2800</v>
      </c>
      <c r="AR206" s="38"/>
      <c r="AS206" s="16"/>
      <c r="AU206" s="38">
        <v>45800</v>
      </c>
      <c r="AW206" s="16" t="s">
        <v>5</v>
      </c>
      <c r="AY206" s="81">
        <v>0.33656250000000004</v>
      </c>
      <c r="AZ206" s="39">
        <v>0.35078703703703701</v>
      </c>
      <c r="BA206" s="48">
        <v>3502</v>
      </c>
      <c r="BB206" t="s">
        <v>613</v>
      </c>
      <c r="BC206" s="38">
        <v>45800</v>
      </c>
      <c r="BD206" s="16"/>
    </row>
    <row r="207" spans="22:56" ht="16" x14ac:dyDescent="0.4">
      <c r="V207" s="97">
        <v>45797</v>
      </c>
      <c r="W207" s="16">
        <v>149320</v>
      </c>
      <c r="X207" s="89" t="s">
        <v>36</v>
      </c>
      <c r="Z207" s="50">
        <v>0.77916666666666667</v>
      </c>
      <c r="AA207" s="50">
        <v>9.3055555555555558E-2</v>
      </c>
      <c r="AD207" s="48">
        <v>20374</v>
      </c>
      <c r="AE207" s="48">
        <f t="shared" si="29"/>
        <v>20.373999999999999</v>
      </c>
      <c r="AF207">
        <v>13.84</v>
      </c>
      <c r="AG207" s="72">
        <f t="shared" si="30"/>
        <v>13.84</v>
      </c>
      <c r="AH207" s="37">
        <f t="shared" si="31"/>
        <v>20.141154285714286</v>
      </c>
      <c r="AJ207" s="38">
        <v>45799</v>
      </c>
      <c r="AK207" t="s">
        <v>887</v>
      </c>
      <c r="AL207" t="s">
        <v>5</v>
      </c>
      <c r="AN207" s="81" t="s">
        <v>1268</v>
      </c>
      <c r="AO207" s="39" t="s">
        <v>1268</v>
      </c>
      <c r="AP207" s="48">
        <v>2850</v>
      </c>
      <c r="AR207" s="38"/>
      <c r="AS207" s="16"/>
      <c r="AU207" s="38">
        <v>45800</v>
      </c>
      <c r="AW207" s="16" t="s">
        <v>5</v>
      </c>
      <c r="AY207" s="81">
        <v>0.36031250000000004</v>
      </c>
      <c r="AZ207" s="39">
        <v>0.37504629629629632</v>
      </c>
      <c r="BA207" s="48">
        <v>3324</v>
      </c>
      <c r="BB207" t="s">
        <v>128</v>
      </c>
      <c r="BC207" s="38">
        <v>45800</v>
      </c>
      <c r="BD207" s="16"/>
    </row>
    <row r="208" spans="22:56" ht="16" x14ac:dyDescent="0.4">
      <c r="V208" s="97">
        <v>45797</v>
      </c>
      <c r="W208" s="16">
        <v>149335</v>
      </c>
      <c r="X208" s="89" t="s">
        <v>36</v>
      </c>
      <c r="Z208" s="50">
        <v>0.17916666666666667</v>
      </c>
      <c r="AA208" s="50">
        <v>0.16666666666666666</v>
      </c>
      <c r="AD208" s="48">
        <v>22004</v>
      </c>
      <c r="AE208" s="48">
        <f t="shared" si="29"/>
        <v>22.004000000000001</v>
      </c>
      <c r="AF208">
        <v>13.7</v>
      </c>
      <c r="AG208" s="72">
        <f t="shared" si="30"/>
        <v>13.7</v>
      </c>
      <c r="AH208" s="37">
        <f t="shared" si="31"/>
        <v>21.532485714285713</v>
      </c>
      <c r="AJ208" s="38">
        <v>45799</v>
      </c>
      <c r="AK208" t="s">
        <v>888</v>
      </c>
      <c r="AL208" t="s">
        <v>5</v>
      </c>
      <c r="AN208" s="81" t="s">
        <v>1269</v>
      </c>
      <c r="AO208" s="39" t="s">
        <v>1269</v>
      </c>
      <c r="AP208" s="48">
        <v>3550</v>
      </c>
      <c r="AR208" s="38"/>
      <c r="AS208" s="16"/>
      <c r="AU208" s="38">
        <v>45800</v>
      </c>
      <c r="AW208" s="16" t="s">
        <v>5</v>
      </c>
      <c r="AY208" s="81">
        <v>0.37535879629629632</v>
      </c>
      <c r="AZ208" s="39">
        <v>0.47538194444444448</v>
      </c>
      <c r="BA208" s="48">
        <v>2994</v>
      </c>
      <c r="BB208" t="s">
        <v>633</v>
      </c>
      <c r="BC208" s="38">
        <v>45800</v>
      </c>
      <c r="BD208" s="16"/>
    </row>
    <row r="209" spans="18:56" ht="16" x14ac:dyDescent="0.4">
      <c r="V209" s="97">
        <v>45797</v>
      </c>
      <c r="W209" s="16">
        <v>149339</v>
      </c>
      <c r="X209" s="89" t="s">
        <v>36</v>
      </c>
      <c r="Z209" s="50">
        <v>0.78033564814814815</v>
      </c>
      <c r="AA209" s="50">
        <v>0.22878472222222224</v>
      </c>
      <c r="AD209" s="48">
        <v>17464</v>
      </c>
      <c r="AE209" s="48">
        <f t="shared" si="29"/>
        <v>17.463999999999999</v>
      </c>
      <c r="AF209">
        <v>14.34</v>
      </c>
      <c r="AG209" s="72">
        <f t="shared" si="30"/>
        <v>14</v>
      </c>
      <c r="AH209" s="37">
        <f t="shared" si="31"/>
        <v>17.463999999999999</v>
      </c>
      <c r="AJ209" s="38">
        <v>45799</v>
      </c>
      <c r="AK209" t="s">
        <v>889</v>
      </c>
      <c r="AL209" t="s">
        <v>5</v>
      </c>
      <c r="AN209" s="81" t="s">
        <v>1270</v>
      </c>
      <c r="AO209" s="81" t="s">
        <v>1270</v>
      </c>
      <c r="AP209" s="48">
        <v>3010</v>
      </c>
      <c r="AR209" s="38"/>
      <c r="AS209" s="16"/>
      <c r="AU209" s="38">
        <v>45800</v>
      </c>
      <c r="AW209" s="16" t="s">
        <v>5</v>
      </c>
      <c r="AY209" s="81">
        <v>0.38695601851851852</v>
      </c>
      <c r="AZ209" s="81">
        <v>0.38780092592592591</v>
      </c>
      <c r="BA209" s="48">
        <v>2206</v>
      </c>
      <c r="BB209" t="s">
        <v>634</v>
      </c>
      <c r="BC209" s="38">
        <v>45800</v>
      </c>
      <c r="BD209" s="16"/>
    </row>
    <row r="210" spans="18:56" ht="16" x14ac:dyDescent="0.4">
      <c r="V210" s="97">
        <v>45797</v>
      </c>
      <c r="W210" s="16">
        <v>149419</v>
      </c>
      <c r="X210" s="89" t="s">
        <v>36</v>
      </c>
      <c r="Z210" s="50">
        <v>0.17975694444444446</v>
      </c>
      <c r="AA210" s="50">
        <v>0.34108796296296301</v>
      </c>
      <c r="AD210" s="48">
        <v>21878</v>
      </c>
      <c r="AE210" s="48">
        <f t="shared" si="29"/>
        <v>21.878</v>
      </c>
      <c r="AF210">
        <v>15.16</v>
      </c>
      <c r="AG210" s="72">
        <f t="shared" si="30"/>
        <v>14</v>
      </c>
      <c r="AH210" s="37">
        <f t="shared" si="31"/>
        <v>21.878000000000004</v>
      </c>
      <c r="AJ210" s="38">
        <v>45799</v>
      </c>
      <c r="AK210" t="s">
        <v>890</v>
      </c>
      <c r="AL210" t="s">
        <v>5</v>
      </c>
      <c r="AN210" s="81" t="s">
        <v>1271</v>
      </c>
      <c r="AO210" s="81" t="s">
        <v>1271</v>
      </c>
      <c r="AP210" s="48">
        <v>2900</v>
      </c>
      <c r="AR210" s="38"/>
      <c r="AS210" s="16"/>
      <c r="AU210" s="38">
        <v>45800</v>
      </c>
      <c r="AW210" s="16" t="s">
        <v>5</v>
      </c>
      <c r="AY210" s="81">
        <v>0.41243055555555558</v>
      </c>
      <c r="AZ210" s="81">
        <v>0.47631944444444446</v>
      </c>
      <c r="BA210" s="48">
        <v>2230</v>
      </c>
      <c r="BB210" t="s">
        <v>635</v>
      </c>
      <c r="BC210" s="38">
        <v>45800</v>
      </c>
      <c r="BD210" s="16"/>
    </row>
    <row r="211" spans="18:56" ht="16" x14ac:dyDescent="0.4">
      <c r="V211" s="97">
        <v>45797</v>
      </c>
      <c r="W211" s="16">
        <v>149485</v>
      </c>
      <c r="X211" s="89" t="s">
        <v>36</v>
      </c>
      <c r="Z211" s="50">
        <v>0.26884259259259258</v>
      </c>
      <c r="AA211" s="50">
        <v>0.40423611111111107</v>
      </c>
      <c r="AD211" s="48">
        <v>19616</v>
      </c>
      <c r="AE211" s="48">
        <f t="shared" si="29"/>
        <v>19.616</v>
      </c>
      <c r="AF211">
        <v>16.13</v>
      </c>
      <c r="AG211" s="72">
        <f t="shared" si="30"/>
        <v>14</v>
      </c>
      <c r="AH211" s="37">
        <f t="shared" si="31"/>
        <v>19.616000000000003</v>
      </c>
      <c r="AJ211" s="38">
        <v>45799</v>
      </c>
      <c r="AK211" t="s">
        <v>891</v>
      </c>
      <c r="AL211" t="s">
        <v>5</v>
      </c>
      <c r="AN211" s="81" t="s">
        <v>1272</v>
      </c>
      <c r="AO211" s="81" t="s">
        <v>1272</v>
      </c>
      <c r="AP211" s="48">
        <v>2930</v>
      </c>
      <c r="AR211" s="38"/>
      <c r="AS211" s="16"/>
      <c r="AU211" s="38">
        <v>45800</v>
      </c>
      <c r="AW211" s="16" t="s">
        <v>5</v>
      </c>
      <c r="AY211" s="81">
        <v>0.41346064814814815</v>
      </c>
      <c r="AZ211" s="81">
        <v>0.43230324074074072</v>
      </c>
      <c r="BA211" s="48">
        <v>3520</v>
      </c>
      <c r="BB211" t="s">
        <v>613</v>
      </c>
      <c r="BC211" s="38">
        <v>45800</v>
      </c>
      <c r="BD211" s="16"/>
    </row>
    <row r="212" spans="18:56" ht="16" x14ac:dyDescent="0.4">
      <c r="V212" s="97">
        <v>45797</v>
      </c>
      <c r="W212" s="16">
        <v>149560</v>
      </c>
      <c r="X212" s="89" t="s">
        <v>36</v>
      </c>
      <c r="Z212" s="50">
        <v>0.21278935185185185</v>
      </c>
      <c r="AA212" s="50">
        <v>0.50556712962962969</v>
      </c>
      <c r="AD212" s="48">
        <v>20864</v>
      </c>
      <c r="AE212" s="48">
        <f t="shared" si="29"/>
        <v>20.864000000000001</v>
      </c>
      <c r="AF212">
        <v>16.059999999999999</v>
      </c>
      <c r="AG212" s="72">
        <f t="shared" si="30"/>
        <v>14</v>
      </c>
      <c r="AH212" s="37">
        <f t="shared" si="31"/>
        <v>20.864000000000001</v>
      </c>
      <c r="AJ212" s="38">
        <v>45799</v>
      </c>
      <c r="AK212" t="s">
        <v>892</v>
      </c>
      <c r="AL212" t="s">
        <v>5</v>
      </c>
      <c r="AN212" s="81" t="s">
        <v>1263</v>
      </c>
      <c r="AO212" s="81" t="s">
        <v>1263</v>
      </c>
      <c r="AP212" s="48">
        <v>3280</v>
      </c>
      <c r="AR212" s="38"/>
      <c r="AS212" s="16"/>
      <c r="AU212" s="38">
        <v>45800</v>
      </c>
      <c r="AW212" s="16" t="s">
        <v>5</v>
      </c>
      <c r="AY212" s="81">
        <v>0.88575231481481476</v>
      </c>
      <c r="AZ212" s="81">
        <v>0.52565972222222224</v>
      </c>
      <c r="BA212" s="48">
        <v>3514</v>
      </c>
      <c r="BB212" t="s">
        <v>613</v>
      </c>
      <c r="BC212" s="38">
        <v>45800</v>
      </c>
      <c r="BD212" s="16"/>
    </row>
    <row r="213" spans="18:56" ht="16" x14ac:dyDescent="0.4">
      <c r="V213" s="97">
        <v>45797</v>
      </c>
      <c r="W213" s="16">
        <v>149603</v>
      </c>
      <c r="X213" s="89" t="s">
        <v>36</v>
      </c>
      <c r="Z213" s="50">
        <v>0.26872685185185186</v>
      </c>
      <c r="AA213" s="50">
        <v>0.5823032407407408</v>
      </c>
      <c r="AD213" s="48">
        <v>19934</v>
      </c>
      <c r="AE213" s="48">
        <f t="shared" si="29"/>
        <v>19.934000000000001</v>
      </c>
      <c r="AF213">
        <v>16.809999999999999</v>
      </c>
      <c r="AG213" s="72">
        <f t="shared" si="30"/>
        <v>14</v>
      </c>
      <c r="AH213" s="37">
        <f t="shared" si="31"/>
        <v>19.934000000000001</v>
      </c>
      <c r="AJ213" s="38">
        <v>45799</v>
      </c>
      <c r="AK213" t="s">
        <v>893</v>
      </c>
      <c r="AL213" t="s">
        <v>5</v>
      </c>
      <c r="AN213" s="81" t="s">
        <v>1273</v>
      </c>
      <c r="AO213" s="81" t="s">
        <v>1273</v>
      </c>
      <c r="AP213" s="48">
        <v>3280</v>
      </c>
      <c r="AR213" s="38"/>
      <c r="AS213" s="16"/>
      <c r="AU213" s="38">
        <v>45800</v>
      </c>
      <c r="AW213" s="16" t="s">
        <v>5</v>
      </c>
      <c r="AY213" s="81">
        <v>0.43642361111111111</v>
      </c>
      <c r="AZ213" s="81">
        <v>0.57659722222222221</v>
      </c>
      <c r="BA213" s="48">
        <v>2774</v>
      </c>
      <c r="BB213" t="s">
        <v>128</v>
      </c>
      <c r="BC213" s="38">
        <v>45800</v>
      </c>
      <c r="BD213" s="16"/>
    </row>
    <row r="214" spans="18:56" ht="16" x14ac:dyDescent="0.4">
      <c r="V214" s="97">
        <v>45797</v>
      </c>
      <c r="W214" s="16">
        <v>149656</v>
      </c>
      <c r="X214" s="89" t="s">
        <v>36</v>
      </c>
      <c r="Z214" s="50">
        <v>0.21267361111111113</v>
      </c>
      <c r="AA214" s="50">
        <v>0.65575231481481489</v>
      </c>
      <c r="AD214" s="48">
        <v>20114</v>
      </c>
      <c r="AE214" s="93">
        <f t="shared" si="29"/>
        <v>20.114000000000001</v>
      </c>
      <c r="AF214">
        <v>14.63</v>
      </c>
      <c r="AG214" s="72">
        <f t="shared" si="30"/>
        <v>14</v>
      </c>
      <c r="AH214" s="37">
        <f t="shared" si="31"/>
        <v>20.114000000000001</v>
      </c>
      <c r="AJ214" s="38">
        <v>45799</v>
      </c>
      <c r="AK214" t="s">
        <v>894</v>
      </c>
      <c r="AL214" t="s">
        <v>5</v>
      </c>
      <c r="AN214" s="81" t="s">
        <v>1274</v>
      </c>
      <c r="AO214" s="81" t="s">
        <v>1274</v>
      </c>
      <c r="AP214" s="48">
        <v>4930</v>
      </c>
      <c r="AR214" s="38"/>
      <c r="AS214" s="16"/>
      <c r="AU214" s="38">
        <v>45800</v>
      </c>
      <c r="AW214" s="16" t="s">
        <v>5</v>
      </c>
      <c r="AY214" s="81">
        <v>0.41471064814814818</v>
      </c>
      <c r="AZ214" s="81">
        <v>0.43622685185185189</v>
      </c>
      <c r="BA214" s="48">
        <v>2824</v>
      </c>
      <c r="BB214" t="s">
        <v>128</v>
      </c>
      <c r="BC214" s="38">
        <v>45800</v>
      </c>
      <c r="BD214" s="16"/>
    </row>
    <row r="215" spans="18:56" ht="16" x14ac:dyDescent="0.4">
      <c r="V215" s="97">
        <v>45797</v>
      </c>
      <c r="W215" s="16">
        <v>149722</v>
      </c>
      <c r="X215" s="89" t="s">
        <v>36</v>
      </c>
      <c r="Z215" s="50">
        <v>0.26527777777777778</v>
      </c>
      <c r="AA215" s="50">
        <v>0.81527777777777777</v>
      </c>
      <c r="AD215" s="48">
        <v>19960</v>
      </c>
      <c r="AE215" s="93">
        <f t="shared" si="29"/>
        <v>19.96</v>
      </c>
      <c r="AF215">
        <v>17.989999999999998</v>
      </c>
      <c r="AG215" s="72">
        <f t="shared" si="30"/>
        <v>14</v>
      </c>
      <c r="AH215" s="37">
        <f t="shared" si="31"/>
        <v>19.96</v>
      </c>
      <c r="AJ215" s="38">
        <v>45800</v>
      </c>
      <c r="AK215" t="s">
        <v>895</v>
      </c>
      <c r="AL215" t="s">
        <v>5</v>
      </c>
      <c r="AN215" s="81" t="s">
        <v>1275</v>
      </c>
      <c r="AO215" s="81" t="s">
        <v>1275</v>
      </c>
      <c r="AP215" s="48">
        <v>3480</v>
      </c>
      <c r="AR215" s="38"/>
      <c r="AS215" s="16"/>
      <c r="AU215" s="38">
        <v>45800</v>
      </c>
      <c r="AW215" s="16" t="s">
        <v>5</v>
      </c>
      <c r="AY215" s="81">
        <v>0.4601041666666667</v>
      </c>
      <c r="AZ215" s="81">
        <v>0.55270833333333336</v>
      </c>
      <c r="BA215" s="48">
        <v>2500</v>
      </c>
      <c r="BB215" t="s">
        <v>631</v>
      </c>
      <c r="BC215" s="38">
        <v>45800</v>
      </c>
      <c r="BD215" s="16"/>
    </row>
    <row r="216" spans="18:56" ht="16" x14ac:dyDescent="0.4">
      <c r="V216" s="97">
        <v>45797</v>
      </c>
      <c r="W216" s="16">
        <v>149749</v>
      </c>
      <c r="X216" s="89" t="s">
        <v>36</v>
      </c>
      <c r="Z216" s="50">
        <v>0.73263888888888884</v>
      </c>
      <c r="AA216" s="50">
        <v>0.87222222222222223</v>
      </c>
      <c r="AD216" s="48">
        <v>18614</v>
      </c>
      <c r="AE216" s="93">
        <f t="shared" si="29"/>
        <v>18.614000000000001</v>
      </c>
      <c r="AF216">
        <v>18.27</v>
      </c>
      <c r="AG216" s="72">
        <f t="shared" si="30"/>
        <v>14</v>
      </c>
      <c r="AH216" s="37">
        <f t="shared" si="31"/>
        <v>18.614000000000001</v>
      </c>
      <c r="AJ216" s="38">
        <v>45800</v>
      </c>
      <c r="AK216" t="s">
        <v>896</v>
      </c>
      <c r="AL216" t="s">
        <v>5</v>
      </c>
      <c r="AN216" s="81" t="s">
        <v>1276</v>
      </c>
      <c r="AO216" s="81" t="s">
        <v>1276</v>
      </c>
      <c r="AP216" s="48">
        <v>3220</v>
      </c>
      <c r="AR216" s="38"/>
      <c r="AS216" s="16"/>
      <c r="AU216" s="38">
        <v>45800</v>
      </c>
      <c r="AW216" s="16" t="s">
        <v>5</v>
      </c>
      <c r="AY216" s="81">
        <v>0.4428125</v>
      </c>
      <c r="AZ216" s="81">
        <v>0.45996527777777779</v>
      </c>
      <c r="BA216" s="48">
        <v>3180</v>
      </c>
      <c r="BB216" t="s">
        <v>625</v>
      </c>
      <c r="BC216" s="38">
        <v>45800</v>
      </c>
      <c r="BD216" s="16"/>
    </row>
    <row r="217" spans="18:56" ht="16" x14ac:dyDescent="0.4">
      <c r="V217" s="97">
        <v>45797</v>
      </c>
      <c r="W217" s="16">
        <v>149776</v>
      </c>
      <c r="X217" s="89" t="s">
        <v>36</v>
      </c>
      <c r="Z217" s="50">
        <v>0.86805555555555547</v>
      </c>
      <c r="AA217" s="50">
        <v>0.94236111111111109</v>
      </c>
      <c r="AD217" s="48">
        <v>19058</v>
      </c>
      <c r="AE217" s="93">
        <f t="shared" si="29"/>
        <v>19.058</v>
      </c>
      <c r="AF217">
        <v>17.84</v>
      </c>
      <c r="AG217" s="72">
        <f t="shared" si="30"/>
        <v>14</v>
      </c>
      <c r="AH217" s="37">
        <f t="shared" si="31"/>
        <v>19.058</v>
      </c>
      <c r="AJ217" s="38">
        <v>45800</v>
      </c>
      <c r="AK217" t="s">
        <v>897</v>
      </c>
      <c r="AL217" t="s">
        <v>5</v>
      </c>
      <c r="AN217" s="81" t="s">
        <v>1277</v>
      </c>
      <c r="AO217" s="81" t="s">
        <v>1277</v>
      </c>
      <c r="AP217" s="48">
        <v>4100</v>
      </c>
      <c r="AR217" s="38"/>
      <c r="AS217" s="16"/>
      <c r="AU217" s="38">
        <v>45800</v>
      </c>
      <c r="AW217" s="16" t="s">
        <v>5</v>
      </c>
      <c r="AY217" s="81">
        <v>0.3651388888888889</v>
      </c>
      <c r="AZ217" s="81">
        <v>0.37947916666666665</v>
      </c>
      <c r="BA217" s="48">
        <v>4094</v>
      </c>
      <c r="BB217" t="s">
        <v>595</v>
      </c>
      <c r="BC217" s="38">
        <v>45800</v>
      </c>
      <c r="BD217" s="16"/>
    </row>
    <row r="218" spans="18:56" ht="16" x14ac:dyDescent="0.4">
      <c r="V218" s="97">
        <v>45798</v>
      </c>
      <c r="W218" s="16">
        <v>149794</v>
      </c>
      <c r="X218" s="89" t="s">
        <v>36</v>
      </c>
      <c r="Z218" s="50">
        <v>0.73263888888888884</v>
      </c>
      <c r="AA218" s="50">
        <v>2.2222222222222223E-2</v>
      </c>
      <c r="AD218" s="48">
        <v>22190</v>
      </c>
      <c r="AE218" s="93">
        <f t="shared" si="29"/>
        <v>22.19</v>
      </c>
      <c r="AF218">
        <v>13.88</v>
      </c>
      <c r="AG218" s="72">
        <f t="shared" si="30"/>
        <v>13.88</v>
      </c>
      <c r="AH218" s="37">
        <f t="shared" si="31"/>
        <v>21.9998</v>
      </c>
      <c r="AJ218" s="38">
        <v>45800</v>
      </c>
      <c r="AK218" t="s">
        <v>898</v>
      </c>
      <c r="AL218" t="s">
        <v>5</v>
      </c>
      <c r="AN218" s="81" t="s">
        <v>1278</v>
      </c>
      <c r="AO218" s="81" t="s">
        <v>1278</v>
      </c>
      <c r="AP218" s="48">
        <v>3350</v>
      </c>
      <c r="AR218" s="38"/>
      <c r="AS218" s="16"/>
      <c r="AU218" s="38">
        <v>45800</v>
      </c>
      <c r="AW218" s="16" t="s">
        <v>5</v>
      </c>
      <c r="AY218" s="81">
        <v>0.37965277777777778</v>
      </c>
      <c r="AZ218" s="81">
        <v>0.45082175925925921</v>
      </c>
      <c r="BA218" s="48">
        <v>2880</v>
      </c>
      <c r="BB218" t="s">
        <v>595</v>
      </c>
      <c r="BC218" s="38">
        <v>45800</v>
      </c>
      <c r="BD218" s="16"/>
    </row>
    <row r="219" spans="18:56" ht="16" x14ac:dyDescent="0.4">
      <c r="R219" s="33"/>
      <c r="V219" s="97">
        <v>45798</v>
      </c>
      <c r="W219" s="16">
        <v>149805</v>
      </c>
      <c r="X219" s="89" t="s">
        <v>36</v>
      </c>
      <c r="Z219" s="50">
        <v>0.98958333333333337</v>
      </c>
      <c r="AA219" s="50">
        <v>9.9999999999999992E-2</v>
      </c>
      <c r="AD219" s="48">
        <v>19900</v>
      </c>
      <c r="AE219" s="93">
        <f t="shared" si="29"/>
        <v>19.899999999999999</v>
      </c>
      <c r="AF219">
        <v>14.38</v>
      </c>
      <c r="AG219" s="72">
        <f t="shared" si="30"/>
        <v>14</v>
      </c>
      <c r="AH219" s="37">
        <f t="shared" si="31"/>
        <v>19.899999999999999</v>
      </c>
      <c r="AJ219" s="38">
        <v>45800</v>
      </c>
      <c r="AK219" t="s">
        <v>899</v>
      </c>
      <c r="AL219" t="s">
        <v>5</v>
      </c>
      <c r="AN219" s="81" t="s">
        <v>1279</v>
      </c>
      <c r="AO219" s="81" t="s">
        <v>1280</v>
      </c>
      <c r="AP219" s="48">
        <v>3520</v>
      </c>
      <c r="AR219" s="38"/>
      <c r="AU219" s="38">
        <v>45800</v>
      </c>
      <c r="AW219" s="16" t="s">
        <v>5</v>
      </c>
      <c r="AY219" s="81">
        <v>0.66118055555555555</v>
      </c>
      <c r="AZ219" s="81">
        <v>0.58569444444444441</v>
      </c>
      <c r="BA219" s="48">
        <v>5198</v>
      </c>
      <c r="BB219" t="s">
        <v>617</v>
      </c>
      <c r="BC219" s="38">
        <v>45800</v>
      </c>
    </row>
    <row r="220" spans="18:56" ht="16" x14ac:dyDescent="0.4">
      <c r="R220" s="33"/>
      <c r="V220" s="97">
        <v>45798</v>
      </c>
      <c r="W220" s="16">
        <v>149811</v>
      </c>
      <c r="X220" s="89" t="s">
        <v>36</v>
      </c>
      <c r="Z220" s="50">
        <v>0.73263888888888884</v>
      </c>
      <c r="AA220" s="50">
        <v>0.15694444444444444</v>
      </c>
      <c r="AD220" s="48">
        <v>21446</v>
      </c>
      <c r="AE220" s="93">
        <f t="shared" si="29"/>
        <v>21.446000000000002</v>
      </c>
      <c r="AF220">
        <v>14.99</v>
      </c>
      <c r="AG220" s="72">
        <f t="shared" si="30"/>
        <v>14</v>
      </c>
      <c r="AH220" s="37">
        <f t="shared" si="31"/>
        <v>21.446000000000002</v>
      </c>
      <c r="AJ220" s="38">
        <v>45800</v>
      </c>
      <c r="AK220" t="s">
        <v>900</v>
      </c>
      <c r="AL220" t="s">
        <v>5</v>
      </c>
      <c r="AN220" s="81" t="s">
        <v>1281</v>
      </c>
      <c r="AO220" s="81" t="s">
        <v>1281</v>
      </c>
      <c r="AP220" s="48">
        <v>2170</v>
      </c>
      <c r="AR220" s="38"/>
      <c r="AU220" s="38">
        <v>45800</v>
      </c>
      <c r="AW220" s="16" t="s">
        <v>5</v>
      </c>
      <c r="AY220" s="81">
        <v>0.46293981481481478</v>
      </c>
      <c r="AZ220" s="81">
        <v>0.5923842592592593</v>
      </c>
      <c r="BA220" s="48">
        <v>3146</v>
      </c>
      <c r="BB220" t="s">
        <v>595</v>
      </c>
      <c r="BC220" s="38">
        <v>45800</v>
      </c>
    </row>
    <row r="221" spans="18:56" ht="16" x14ac:dyDescent="0.4">
      <c r="V221" s="97">
        <v>45798</v>
      </c>
      <c r="W221" s="16">
        <v>149946</v>
      </c>
      <c r="X221" s="89" t="s">
        <v>36</v>
      </c>
      <c r="Z221" s="50">
        <v>0.98960648148148145</v>
      </c>
      <c r="AA221" s="50">
        <v>0.33296296296296296</v>
      </c>
      <c r="AD221" s="48">
        <v>20098</v>
      </c>
      <c r="AE221" s="93">
        <f t="shared" si="29"/>
        <v>20.097999999999999</v>
      </c>
      <c r="AF221">
        <v>14.34</v>
      </c>
      <c r="AG221" s="72">
        <f t="shared" si="30"/>
        <v>14</v>
      </c>
      <c r="AH221" s="37">
        <f t="shared" si="31"/>
        <v>20.097999999999995</v>
      </c>
      <c r="AJ221" s="38">
        <v>45800</v>
      </c>
      <c r="AK221" t="s">
        <v>901</v>
      </c>
      <c r="AL221" t="s">
        <v>5</v>
      </c>
      <c r="AN221" s="81" t="s">
        <v>1282</v>
      </c>
      <c r="AO221" s="81" t="s">
        <v>1282</v>
      </c>
      <c r="AP221" s="48">
        <v>3510</v>
      </c>
      <c r="AR221" s="38"/>
      <c r="AU221" s="38">
        <v>45801</v>
      </c>
      <c r="AW221" s="16" t="s">
        <v>5</v>
      </c>
      <c r="AY221" s="81">
        <v>0.60070601851851857</v>
      </c>
      <c r="AZ221" s="81">
        <v>0.39981481481481485</v>
      </c>
      <c r="BA221" s="48">
        <v>5462</v>
      </c>
      <c r="BB221" t="s">
        <v>128</v>
      </c>
      <c r="BC221" s="38">
        <v>45801</v>
      </c>
    </row>
    <row r="222" spans="18:56" ht="16" x14ac:dyDescent="0.4">
      <c r="V222" s="97">
        <v>45798</v>
      </c>
      <c r="W222" s="16">
        <v>149944</v>
      </c>
      <c r="X222" s="89" t="s">
        <v>36</v>
      </c>
      <c r="Z222" s="50">
        <v>0.19964120370370372</v>
      </c>
      <c r="AA222" s="50">
        <v>0.38907407407407407</v>
      </c>
      <c r="AD222" s="48">
        <v>18244</v>
      </c>
      <c r="AE222" s="93">
        <f t="shared" si="29"/>
        <v>18.244</v>
      </c>
      <c r="AF222">
        <v>16.38</v>
      </c>
      <c r="AG222" s="72">
        <f t="shared" si="30"/>
        <v>14</v>
      </c>
      <c r="AH222" s="37">
        <f t="shared" si="31"/>
        <v>18.244</v>
      </c>
      <c r="AJ222" s="38">
        <v>45800</v>
      </c>
      <c r="AK222" t="s">
        <v>902</v>
      </c>
      <c r="AL222" t="s">
        <v>5</v>
      </c>
      <c r="AN222" s="81" t="s">
        <v>1283</v>
      </c>
      <c r="AO222" s="81" t="s">
        <v>1283</v>
      </c>
      <c r="AP222" s="48">
        <v>2900</v>
      </c>
      <c r="AR222" s="38"/>
      <c r="AU222" s="38">
        <v>45801</v>
      </c>
      <c r="AW222" s="16" t="s">
        <v>5</v>
      </c>
      <c r="AY222" s="81">
        <v>0.5700925925925926</v>
      </c>
      <c r="AZ222" s="81">
        <v>0.42305555555555552</v>
      </c>
      <c r="BA222" s="48">
        <v>3618</v>
      </c>
      <c r="BB222" t="s">
        <v>631</v>
      </c>
      <c r="BC222" s="38">
        <v>45801</v>
      </c>
    </row>
    <row r="223" spans="18:56" ht="16" x14ac:dyDescent="0.4">
      <c r="V223" s="97">
        <v>45798</v>
      </c>
      <c r="W223" s="16">
        <v>150004</v>
      </c>
      <c r="X223" s="89" t="s">
        <v>36</v>
      </c>
      <c r="Z223" s="50">
        <v>0.98950231481481488</v>
      </c>
      <c r="AA223" s="50">
        <v>0.48291666666666666</v>
      </c>
      <c r="AD223" s="48">
        <v>20998</v>
      </c>
      <c r="AE223" s="93">
        <f t="shared" si="29"/>
        <v>20.998000000000001</v>
      </c>
      <c r="AF223">
        <v>16.760000000000002</v>
      </c>
      <c r="AG223" s="72">
        <f t="shared" si="30"/>
        <v>14</v>
      </c>
      <c r="AH223" s="37">
        <f t="shared" si="31"/>
        <v>20.998000000000001</v>
      </c>
      <c r="AJ223" s="38">
        <v>45800</v>
      </c>
      <c r="AK223" t="s">
        <v>903</v>
      </c>
      <c r="AL223" t="s">
        <v>5</v>
      </c>
      <c r="AN223" s="81" t="s">
        <v>1284</v>
      </c>
      <c r="AO223" s="81" t="s">
        <v>1284</v>
      </c>
      <c r="AP223" s="48">
        <v>3130</v>
      </c>
      <c r="AR223" s="38"/>
      <c r="AU223" s="38">
        <v>45801</v>
      </c>
      <c r="AW223" s="16" t="s">
        <v>5</v>
      </c>
      <c r="AY223" s="81">
        <v>0.39649305555555553</v>
      </c>
      <c r="AZ223" s="81">
        <v>0.44707175925925924</v>
      </c>
      <c r="BA223" s="48">
        <v>2034</v>
      </c>
      <c r="BB223" t="s">
        <v>595</v>
      </c>
      <c r="BC223" s="38">
        <v>45801</v>
      </c>
    </row>
    <row r="224" spans="18:56" ht="16" x14ac:dyDescent="0.4">
      <c r="V224" s="97">
        <v>45798</v>
      </c>
      <c r="W224" s="16">
        <v>150039</v>
      </c>
      <c r="X224" s="89" t="s">
        <v>36</v>
      </c>
      <c r="Z224" s="50">
        <v>0.19952546296296295</v>
      </c>
      <c r="AA224" s="50">
        <v>0.5504282407407407</v>
      </c>
      <c r="AD224" s="48">
        <v>20880</v>
      </c>
      <c r="AE224" s="93">
        <f t="shared" si="29"/>
        <v>20.88</v>
      </c>
      <c r="AF224">
        <v>16.89</v>
      </c>
      <c r="AG224" s="72">
        <f t="shared" si="30"/>
        <v>14</v>
      </c>
      <c r="AH224" s="37">
        <f t="shared" si="31"/>
        <v>20.88</v>
      </c>
      <c r="AJ224" s="38">
        <v>45800</v>
      </c>
      <c r="AK224" t="s">
        <v>904</v>
      </c>
      <c r="AL224" t="s">
        <v>5</v>
      </c>
      <c r="AN224" s="81" t="s">
        <v>1285</v>
      </c>
      <c r="AO224" s="81" t="s">
        <v>1285</v>
      </c>
      <c r="AP224" s="48">
        <v>2900</v>
      </c>
      <c r="AR224" s="38"/>
      <c r="AU224" s="38">
        <v>45801</v>
      </c>
      <c r="AW224" s="16" t="s">
        <v>5</v>
      </c>
      <c r="AY224" s="81">
        <v>0.3721180555555556</v>
      </c>
      <c r="AZ224" s="81">
        <v>0.39635416666666662</v>
      </c>
      <c r="BA224" s="48">
        <v>3726</v>
      </c>
      <c r="BB224" t="s">
        <v>595</v>
      </c>
      <c r="BC224" s="38">
        <v>45801</v>
      </c>
    </row>
    <row r="225" spans="22:56" ht="16" x14ac:dyDescent="0.4">
      <c r="V225" s="97">
        <v>45798</v>
      </c>
      <c r="W225" s="16">
        <v>150130</v>
      </c>
      <c r="X225" s="89" t="s">
        <v>36</v>
      </c>
      <c r="Z225" s="50">
        <v>0.9859606481481481</v>
      </c>
      <c r="AA225" s="50">
        <v>0.62638888888888888</v>
      </c>
      <c r="AD225" s="48">
        <v>20532</v>
      </c>
      <c r="AE225" s="48">
        <f t="shared" si="29"/>
        <v>20.532</v>
      </c>
      <c r="AF225">
        <v>15.35</v>
      </c>
      <c r="AG225" s="72">
        <f t="shared" si="30"/>
        <v>14</v>
      </c>
      <c r="AH225" s="37">
        <f t="shared" si="31"/>
        <v>20.532</v>
      </c>
      <c r="AJ225" s="38">
        <v>45800</v>
      </c>
      <c r="AK225" t="s">
        <v>905</v>
      </c>
      <c r="AL225" t="s">
        <v>5</v>
      </c>
      <c r="AN225" s="39" t="s">
        <v>1286</v>
      </c>
      <c r="AO225" s="39" t="s">
        <v>1286</v>
      </c>
      <c r="AP225" s="48">
        <v>2970</v>
      </c>
      <c r="AR225" s="38"/>
      <c r="AU225" s="38">
        <v>45801</v>
      </c>
      <c r="AW225" s="16" t="s">
        <v>5</v>
      </c>
      <c r="AY225" s="39">
        <v>0.38640046296296293</v>
      </c>
      <c r="AZ225" s="39">
        <v>0.4019328703703704</v>
      </c>
      <c r="BA225" s="48">
        <v>3382</v>
      </c>
      <c r="BB225" t="s">
        <v>613</v>
      </c>
      <c r="BC225" s="38">
        <v>45801</v>
      </c>
    </row>
    <row r="226" spans="22:56" ht="16" x14ac:dyDescent="0.4">
      <c r="V226" s="97">
        <v>45798</v>
      </c>
      <c r="W226" s="16">
        <v>150161</v>
      </c>
      <c r="X226" s="89" t="s">
        <v>36</v>
      </c>
      <c r="Z226" s="50">
        <v>0.19938657407407409</v>
      </c>
      <c r="AA226" s="50">
        <v>0.6944907407407408</v>
      </c>
      <c r="AD226" s="48">
        <v>21536</v>
      </c>
      <c r="AE226" s="48">
        <f t="shared" si="29"/>
        <v>21.536000000000001</v>
      </c>
      <c r="AF226">
        <v>14.62</v>
      </c>
      <c r="AG226" s="72">
        <f t="shared" si="30"/>
        <v>14</v>
      </c>
      <c r="AH226" s="37">
        <f t="shared" si="31"/>
        <v>21.536000000000001</v>
      </c>
      <c r="AJ226" s="38">
        <v>45800</v>
      </c>
      <c r="AK226" t="s">
        <v>906</v>
      </c>
      <c r="AL226" t="s">
        <v>5</v>
      </c>
      <c r="AN226" s="39" t="s">
        <v>1287</v>
      </c>
      <c r="AO226" s="39" t="s">
        <v>1287</v>
      </c>
      <c r="AP226" s="48">
        <v>2220</v>
      </c>
      <c r="AR226" s="38"/>
      <c r="AU226" s="38">
        <v>45801</v>
      </c>
      <c r="AW226" s="16" t="s">
        <v>5</v>
      </c>
      <c r="AY226" s="39">
        <v>0.45164351851851853</v>
      </c>
      <c r="AZ226" s="39">
        <v>0.46738425925925925</v>
      </c>
      <c r="BA226" s="48">
        <v>3586</v>
      </c>
      <c r="BB226" t="s">
        <v>636</v>
      </c>
      <c r="BC226" s="38">
        <v>45801</v>
      </c>
    </row>
    <row r="227" spans="22:56" ht="16" x14ac:dyDescent="0.4">
      <c r="V227" s="97">
        <v>45798</v>
      </c>
      <c r="W227" s="16">
        <v>150190</v>
      </c>
      <c r="X227" s="89" t="s">
        <v>36</v>
      </c>
      <c r="Z227" s="50">
        <v>0.54447916666666674</v>
      </c>
      <c r="AA227" s="50">
        <v>0.76674768518518521</v>
      </c>
      <c r="AD227" s="48">
        <v>23198</v>
      </c>
      <c r="AE227" s="48">
        <f t="shared" si="29"/>
        <v>23.198</v>
      </c>
      <c r="AF227">
        <v>14.49</v>
      </c>
      <c r="AG227" s="72">
        <f t="shared" si="30"/>
        <v>14</v>
      </c>
      <c r="AH227" s="37">
        <f t="shared" si="31"/>
        <v>23.198</v>
      </c>
      <c r="AJ227" s="38">
        <v>45800</v>
      </c>
      <c r="AK227" t="s">
        <v>907</v>
      </c>
      <c r="AL227" t="s">
        <v>5</v>
      </c>
      <c r="AN227" s="39" t="s">
        <v>1288</v>
      </c>
      <c r="AO227" s="39" t="s">
        <v>1288</v>
      </c>
      <c r="AP227" s="48">
        <v>3540</v>
      </c>
      <c r="AR227" s="38"/>
      <c r="AU227" s="38">
        <v>45801</v>
      </c>
      <c r="AW227" s="16" t="s">
        <v>5</v>
      </c>
      <c r="AY227" s="39">
        <v>0.55116898148148141</v>
      </c>
      <c r="AZ227" s="39">
        <v>0.56712962962962965</v>
      </c>
      <c r="BA227" s="48">
        <v>3484</v>
      </c>
      <c r="BB227" t="s">
        <v>613</v>
      </c>
      <c r="BC227" s="38">
        <v>45801</v>
      </c>
    </row>
    <row r="228" spans="22:56" ht="16" x14ac:dyDescent="0.4">
      <c r="V228" s="97">
        <v>45798</v>
      </c>
      <c r="W228" s="16">
        <v>150206</v>
      </c>
      <c r="X228" s="89" t="s">
        <v>36</v>
      </c>
      <c r="Z228" s="50">
        <v>0.76133101851851848</v>
      </c>
      <c r="AA228" s="50">
        <v>0.81879629629629624</v>
      </c>
      <c r="AD228" s="48">
        <v>18948</v>
      </c>
      <c r="AE228" s="48">
        <f t="shared" si="29"/>
        <v>18.948</v>
      </c>
      <c r="AF228">
        <v>15.2</v>
      </c>
      <c r="AG228" s="72">
        <f t="shared" si="30"/>
        <v>14</v>
      </c>
      <c r="AH228" s="37">
        <f t="shared" si="31"/>
        <v>18.948</v>
      </c>
      <c r="AJ228" s="38">
        <v>45800</v>
      </c>
      <c r="AK228" t="s">
        <v>908</v>
      </c>
      <c r="AL228" t="s">
        <v>5</v>
      </c>
      <c r="AM228" s="16"/>
      <c r="AN228" s="81" t="s">
        <v>1289</v>
      </c>
      <c r="AO228" s="81" t="s">
        <v>1289</v>
      </c>
      <c r="AP228" s="48">
        <v>2520</v>
      </c>
      <c r="AR228" s="38"/>
      <c r="AU228" s="38">
        <v>45801</v>
      </c>
      <c r="AW228" s="16" t="s">
        <v>5</v>
      </c>
      <c r="AX228" s="16"/>
      <c r="AY228" s="81">
        <v>0.55109953703703707</v>
      </c>
      <c r="AZ228" s="81">
        <v>0.5841319444444445</v>
      </c>
      <c r="BA228" s="48">
        <v>3294</v>
      </c>
      <c r="BC228" s="38">
        <v>45801</v>
      </c>
    </row>
    <row r="229" spans="22:56" ht="16" x14ac:dyDescent="0.4">
      <c r="V229" s="97">
        <v>45798</v>
      </c>
      <c r="W229" s="16">
        <v>150241</v>
      </c>
      <c r="X229" s="89" t="s">
        <v>36</v>
      </c>
      <c r="Z229" s="50">
        <v>0.54457175925925927</v>
      </c>
      <c r="AA229" s="50">
        <v>0.87302083333333336</v>
      </c>
      <c r="AD229" s="48">
        <v>20632</v>
      </c>
      <c r="AE229" s="48">
        <f t="shared" si="29"/>
        <v>20.632000000000001</v>
      </c>
      <c r="AF229">
        <v>14.7</v>
      </c>
      <c r="AG229" s="72">
        <f t="shared" si="30"/>
        <v>14</v>
      </c>
      <c r="AH229" s="37">
        <f t="shared" si="31"/>
        <v>20.632000000000001</v>
      </c>
      <c r="AJ229" s="38">
        <v>45800</v>
      </c>
      <c r="AK229" t="s">
        <v>909</v>
      </c>
      <c r="AL229" t="s">
        <v>5</v>
      </c>
      <c r="AM229" s="16"/>
      <c r="AN229" s="81" t="s">
        <v>1290</v>
      </c>
      <c r="AO229" t="s">
        <v>1290</v>
      </c>
      <c r="AP229" s="48">
        <v>2840</v>
      </c>
      <c r="AR229" s="38"/>
      <c r="AU229" s="38">
        <v>45801</v>
      </c>
      <c r="AW229" s="16" t="s">
        <v>5</v>
      </c>
      <c r="AX229" s="16"/>
      <c r="AY229" s="81">
        <v>0.41321759259259255</v>
      </c>
      <c r="AZ229">
        <v>0.6055787037037037</v>
      </c>
      <c r="BA229" s="48">
        <v>5270</v>
      </c>
      <c r="BB229" t="s">
        <v>637</v>
      </c>
      <c r="BC229" s="38">
        <v>45801</v>
      </c>
    </row>
    <row r="230" spans="22:56" ht="16" x14ac:dyDescent="0.4">
      <c r="V230" s="97">
        <v>45798</v>
      </c>
      <c r="W230" s="16">
        <v>150275</v>
      </c>
      <c r="X230" s="89" t="s">
        <v>36</v>
      </c>
      <c r="Z230" s="50">
        <v>0.76156250000000003</v>
      </c>
      <c r="AA230" s="50">
        <v>0.96414351851851843</v>
      </c>
      <c r="AD230" s="48">
        <v>19956</v>
      </c>
      <c r="AE230" s="48">
        <f t="shared" si="29"/>
        <v>19.956</v>
      </c>
      <c r="AF230">
        <v>14.02</v>
      </c>
      <c r="AG230" s="72">
        <f t="shared" si="30"/>
        <v>14</v>
      </c>
      <c r="AH230" s="37">
        <f t="shared" si="31"/>
        <v>19.956</v>
      </c>
      <c r="AJ230" s="38">
        <v>45800</v>
      </c>
      <c r="AK230" t="s">
        <v>910</v>
      </c>
      <c r="AL230" t="s">
        <v>5</v>
      </c>
      <c r="AM230" s="16"/>
      <c r="AN230" s="81" t="s">
        <v>1291</v>
      </c>
      <c r="AO230" s="81" t="s">
        <v>1291</v>
      </c>
      <c r="AP230" s="48">
        <v>5190</v>
      </c>
      <c r="AR230" s="38"/>
      <c r="AS230" s="49"/>
      <c r="AU230" s="38">
        <v>45801</v>
      </c>
      <c r="AW230" s="16" t="s">
        <v>5</v>
      </c>
      <c r="AX230" s="16"/>
      <c r="AY230" s="81">
        <v>0.31560185185185186</v>
      </c>
      <c r="AZ230" s="81">
        <v>0.33061342592592591</v>
      </c>
      <c r="BA230" s="48">
        <v>3398</v>
      </c>
      <c r="BB230" t="s">
        <v>613</v>
      </c>
      <c r="BC230" s="38">
        <v>45801</v>
      </c>
      <c r="BD230" s="49"/>
    </row>
    <row r="231" spans="22:56" ht="16" x14ac:dyDescent="0.4">
      <c r="V231" s="97">
        <v>45799</v>
      </c>
      <c r="W231" s="16">
        <v>150286</v>
      </c>
      <c r="X231" s="89" t="s">
        <v>36</v>
      </c>
      <c r="Z231" s="50">
        <v>0.54468749999999999</v>
      </c>
      <c r="AA231" s="50">
        <v>1.8287037037037036E-2</v>
      </c>
      <c r="AD231" s="48">
        <v>20694</v>
      </c>
      <c r="AE231" s="48">
        <f t="shared" si="29"/>
        <v>20.693999999999999</v>
      </c>
      <c r="AF231">
        <v>14.27</v>
      </c>
      <c r="AG231" s="72">
        <f t="shared" si="30"/>
        <v>14</v>
      </c>
      <c r="AH231" s="37">
        <f t="shared" si="31"/>
        <v>20.693999999999999</v>
      </c>
      <c r="AJ231" s="38">
        <v>45800</v>
      </c>
      <c r="AK231" t="s">
        <v>911</v>
      </c>
      <c r="AL231" t="s">
        <v>5</v>
      </c>
      <c r="AM231" s="16"/>
      <c r="AN231" s="81" t="s">
        <v>1292</v>
      </c>
      <c r="AO231" s="81" t="s">
        <v>1292</v>
      </c>
      <c r="AP231" s="48">
        <v>3250</v>
      </c>
      <c r="AR231" s="38"/>
      <c r="AS231" s="49"/>
      <c r="AU231" s="38">
        <v>45801</v>
      </c>
      <c r="AV231">
        <v>151576</v>
      </c>
      <c r="AW231" s="16" t="s">
        <v>4</v>
      </c>
      <c r="AX231" s="16"/>
      <c r="AY231" s="81">
        <v>0.49692129629629633</v>
      </c>
      <c r="AZ231" s="81">
        <v>0.66530092592592593</v>
      </c>
      <c r="BA231" s="48">
        <v>6504</v>
      </c>
      <c r="BB231" t="s">
        <v>49</v>
      </c>
      <c r="BC231" s="38">
        <v>45801</v>
      </c>
      <c r="BD231" s="49"/>
    </row>
    <row r="232" spans="22:56" ht="16" x14ac:dyDescent="0.4">
      <c r="V232" s="97">
        <v>45799</v>
      </c>
      <c r="W232" s="16">
        <v>150299</v>
      </c>
      <c r="X232" s="89" t="s">
        <v>36</v>
      </c>
      <c r="Z232" s="50">
        <v>0.76145833333333324</v>
      </c>
      <c r="AA232" s="50">
        <v>8.1932870370370378E-2</v>
      </c>
      <c r="AD232" s="48">
        <v>20266</v>
      </c>
      <c r="AE232" s="48">
        <f t="shared" si="29"/>
        <v>20.265999999999998</v>
      </c>
      <c r="AF232">
        <v>14.99</v>
      </c>
      <c r="AG232" s="72">
        <f t="shared" si="30"/>
        <v>14</v>
      </c>
      <c r="AH232" s="37">
        <f t="shared" si="31"/>
        <v>20.265999999999998</v>
      </c>
      <c r="AJ232" s="38">
        <v>45800</v>
      </c>
      <c r="AK232" t="s">
        <v>912</v>
      </c>
      <c r="AL232" t="s">
        <v>5</v>
      </c>
      <c r="AM232" s="16"/>
      <c r="AN232" s="81" t="s">
        <v>1293</v>
      </c>
      <c r="AO232" s="81" t="s">
        <v>1293</v>
      </c>
      <c r="AP232" s="48">
        <v>1910</v>
      </c>
      <c r="AR232" s="38"/>
      <c r="AS232" s="49"/>
      <c r="AU232" s="38">
        <v>45802</v>
      </c>
      <c r="AW232" s="16" t="s">
        <v>5</v>
      </c>
      <c r="AX232" s="16"/>
      <c r="AY232" s="81">
        <v>0.58460648148148142</v>
      </c>
      <c r="AZ232" s="81">
        <v>0.36910879629629628</v>
      </c>
      <c r="BA232" s="48">
        <v>2760</v>
      </c>
      <c r="BB232" t="s">
        <v>638</v>
      </c>
      <c r="BC232" s="38">
        <v>45802</v>
      </c>
      <c r="BD232" s="49"/>
    </row>
    <row r="233" spans="22:56" ht="16" x14ac:dyDescent="0.4">
      <c r="V233" s="97">
        <v>45799</v>
      </c>
      <c r="W233" s="16">
        <v>150313</v>
      </c>
      <c r="X233" s="89" t="s">
        <v>36</v>
      </c>
      <c r="Z233" s="50">
        <v>6.4664351851851862E-2</v>
      </c>
      <c r="AA233" s="50">
        <v>0.1610300925925926</v>
      </c>
      <c r="AD233" s="48">
        <v>16766</v>
      </c>
      <c r="AE233" s="48">
        <f t="shared" si="29"/>
        <v>16.765999999999998</v>
      </c>
      <c r="AF233">
        <v>13.66</v>
      </c>
      <c r="AG233" s="72">
        <f t="shared" si="30"/>
        <v>13.66</v>
      </c>
      <c r="AH233" s="37">
        <f t="shared" si="31"/>
        <v>16.358825714285711</v>
      </c>
      <c r="AJ233" s="38">
        <v>45801</v>
      </c>
      <c r="AK233" t="s">
        <v>913</v>
      </c>
      <c r="AL233" t="s">
        <v>5</v>
      </c>
      <c r="AN233" s="81" t="s">
        <v>1294</v>
      </c>
      <c r="AO233" s="81" t="s">
        <v>1294</v>
      </c>
      <c r="AP233" s="48">
        <v>3320</v>
      </c>
      <c r="AR233" s="38"/>
      <c r="AS233" s="49"/>
      <c r="AU233" s="38">
        <v>45802</v>
      </c>
      <c r="AW233" s="16" t="s">
        <v>5</v>
      </c>
      <c r="AY233" s="81">
        <v>0.38826388888888891</v>
      </c>
      <c r="AZ233" s="81">
        <v>0.40693287037037035</v>
      </c>
      <c r="BA233" s="48">
        <v>3606</v>
      </c>
      <c r="BB233" t="s">
        <v>617</v>
      </c>
      <c r="BC233" s="38">
        <v>45802</v>
      </c>
      <c r="BD233" s="49"/>
    </row>
    <row r="234" spans="22:56" ht="16" x14ac:dyDescent="0.4">
      <c r="V234" s="97">
        <v>45799</v>
      </c>
      <c r="W234" s="16">
        <v>150360</v>
      </c>
      <c r="X234" s="89" t="s">
        <v>36</v>
      </c>
      <c r="Z234" s="50">
        <v>0.13163194444444445</v>
      </c>
      <c r="AA234" s="50">
        <v>0.30046296296296299</v>
      </c>
      <c r="AB234">
        <v>104</v>
      </c>
      <c r="AC234" t="s">
        <v>612</v>
      </c>
      <c r="AD234" s="48">
        <v>11580</v>
      </c>
      <c r="AE234" s="48">
        <f t="shared" si="29"/>
        <v>11.58</v>
      </c>
      <c r="AF234">
        <v>4.13</v>
      </c>
      <c r="AG234" s="72">
        <f t="shared" si="30"/>
        <v>4.13</v>
      </c>
      <c r="AH234" s="37">
        <f t="shared" si="31"/>
        <v>3.4161000000000001</v>
      </c>
      <c r="AJ234" s="38">
        <v>45801</v>
      </c>
      <c r="AK234" t="s">
        <v>914</v>
      </c>
      <c r="AL234" t="s">
        <v>5</v>
      </c>
      <c r="AN234" s="81" t="s">
        <v>1295</v>
      </c>
      <c r="AO234" s="81" t="s">
        <v>1296</v>
      </c>
      <c r="AP234" s="48">
        <v>3680</v>
      </c>
      <c r="AR234" s="38"/>
      <c r="AS234" s="49"/>
      <c r="AU234" s="38">
        <v>45802</v>
      </c>
      <c r="AW234" s="16" t="s">
        <v>5</v>
      </c>
      <c r="AY234" s="81">
        <v>0.56739583333333332</v>
      </c>
      <c r="AZ234" s="81">
        <v>0.56888888888888889</v>
      </c>
      <c r="BA234" s="48">
        <v>3488</v>
      </c>
      <c r="BB234" t="s">
        <v>638</v>
      </c>
      <c r="BC234" s="38">
        <v>45802</v>
      </c>
      <c r="BD234" s="49"/>
    </row>
    <row r="235" spans="22:56" ht="16" x14ac:dyDescent="0.4">
      <c r="V235" s="97">
        <v>45799</v>
      </c>
      <c r="W235" s="16">
        <v>150447</v>
      </c>
      <c r="X235" s="89" t="s">
        <v>36</v>
      </c>
      <c r="Z235" s="50">
        <v>6.4398148148148149E-2</v>
      </c>
      <c r="AA235" s="50">
        <v>0.40068287037037037</v>
      </c>
      <c r="AD235" s="48">
        <v>19652</v>
      </c>
      <c r="AE235" s="48">
        <f t="shared" si="29"/>
        <v>19.652000000000001</v>
      </c>
      <c r="AF235">
        <v>15.57</v>
      </c>
      <c r="AG235" s="72">
        <f t="shared" si="30"/>
        <v>14</v>
      </c>
      <c r="AH235" s="37">
        <f t="shared" si="31"/>
        <v>19.652000000000005</v>
      </c>
      <c r="AJ235" s="38">
        <v>45801</v>
      </c>
      <c r="AK235" t="s">
        <v>915</v>
      </c>
      <c r="AL235" t="s">
        <v>5</v>
      </c>
      <c r="AN235" s="81" t="s">
        <v>1297</v>
      </c>
      <c r="AO235" s="81" t="s">
        <v>1297</v>
      </c>
      <c r="AP235" s="48">
        <v>3400</v>
      </c>
      <c r="AR235" s="38"/>
      <c r="AS235" s="49"/>
      <c r="AU235" s="38">
        <v>45802</v>
      </c>
      <c r="AW235" s="16" t="s">
        <v>5</v>
      </c>
      <c r="AY235" s="81">
        <v>0.47336805555555556</v>
      </c>
      <c r="AZ235" s="81">
        <v>0.48987268518518517</v>
      </c>
      <c r="BA235" s="48">
        <v>3620</v>
      </c>
      <c r="BB235" t="s">
        <v>639</v>
      </c>
      <c r="BC235" s="38">
        <v>45802</v>
      </c>
      <c r="BD235" s="49"/>
    </row>
    <row r="236" spans="22:56" ht="16" x14ac:dyDescent="0.4">
      <c r="V236" s="97">
        <v>45799</v>
      </c>
      <c r="W236" s="16">
        <v>150495</v>
      </c>
      <c r="X236" s="89" t="s">
        <v>36</v>
      </c>
      <c r="Z236" s="50">
        <v>0.13155092592592593</v>
      </c>
      <c r="AA236" s="50">
        <v>0.46793981481481484</v>
      </c>
      <c r="AD236" s="48">
        <v>18918</v>
      </c>
      <c r="AE236" s="48">
        <f t="shared" si="29"/>
        <v>18.917999999999999</v>
      </c>
      <c r="AF236">
        <v>15.35</v>
      </c>
      <c r="AG236" s="72">
        <f t="shared" si="30"/>
        <v>14</v>
      </c>
      <c r="AH236" s="37">
        <f t="shared" si="31"/>
        <v>18.917999999999999</v>
      </c>
      <c r="AJ236" s="38">
        <v>45801</v>
      </c>
      <c r="AK236" t="s">
        <v>916</v>
      </c>
      <c r="AL236" t="s">
        <v>5</v>
      </c>
      <c r="AN236" s="81" t="s">
        <v>1298</v>
      </c>
      <c r="AO236" t="s">
        <v>1298</v>
      </c>
      <c r="AP236" s="48">
        <v>5420</v>
      </c>
      <c r="AR236" s="38"/>
      <c r="AS236" s="49"/>
      <c r="AU236" s="38">
        <v>45802</v>
      </c>
      <c r="AW236" s="16" t="s">
        <v>5</v>
      </c>
      <c r="AY236" s="81">
        <v>0.52106481481481481</v>
      </c>
      <c r="BA236" s="48">
        <v>2712</v>
      </c>
      <c r="BB236" t="s">
        <v>639</v>
      </c>
      <c r="BC236" s="38">
        <v>45802</v>
      </c>
      <c r="BD236" s="49"/>
    </row>
    <row r="237" spans="22:56" ht="16" x14ac:dyDescent="0.4">
      <c r="V237" s="97">
        <v>45799</v>
      </c>
      <c r="W237" s="16">
        <v>150536</v>
      </c>
      <c r="X237" s="89" t="s">
        <v>36</v>
      </c>
      <c r="Z237" s="50">
        <v>0.27840277777777778</v>
      </c>
      <c r="AA237" s="50">
        <v>0.55414351851851851</v>
      </c>
      <c r="AD237" s="48">
        <v>20448</v>
      </c>
      <c r="AE237" s="48">
        <f t="shared" si="29"/>
        <v>20.448</v>
      </c>
      <c r="AF237">
        <v>15.09</v>
      </c>
      <c r="AG237" s="72">
        <f t="shared" si="30"/>
        <v>14</v>
      </c>
      <c r="AH237" s="37">
        <f t="shared" si="31"/>
        <v>20.448</v>
      </c>
      <c r="AJ237" s="38">
        <v>45801</v>
      </c>
      <c r="AK237" t="s">
        <v>917</v>
      </c>
      <c r="AL237" t="s">
        <v>5</v>
      </c>
      <c r="AN237" s="81" t="s">
        <v>1299</v>
      </c>
      <c r="AO237" s="81" t="s">
        <v>1299</v>
      </c>
      <c r="AP237" s="48">
        <v>3700</v>
      </c>
      <c r="AR237" s="38"/>
      <c r="AS237" s="49"/>
      <c r="AU237" s="38">
        <v>45803</v>
      </c>
      <c r="AW237" s="16" t="s">
        <v>5</v>
      </c>
      <c r="AY237" s="81">
        <v>0.48916666666666669</v>
      </c>
      <c r="AZ237" s="81">
        <v>0.37335648148148143</v>
      </c>
      <c r="BA237" s="48">
        <v>3044</v>
      </c>
      <c r="BB237" t="s">
        <v>640</v>
      </c>
      <c r="BC237" s="38">
        <v>45803</v>
      </c>
      <c r="BD237" s="49"/>
    </row>
    <row r="238" spans="22:56" ht="16" x14ac:dyDescent="0.4">
      <c r="V238" s="97">
        <v>45799</v>
      </c>
      <c r="W238" s="16">
        <v>150604</v>
      </c>
      <c r="X238" s="89" t="s">
        <v>36</v>
      </c>
      <c r="Z238" s="50">
        <v>0.13143518518518518</v>
      </c>
      <c r="AA238" s="50">
        <v>0.62642361111111111</v>
      </c>
      <c r="AD238" s="48">
        <v>19940</v>
      </c>
      <c r="AE238" s="48">
        <f t="shared" si="29"/>
        <v>19.940000000000001</v>
      </c>
      <c r="AF238">
        <v>15.46</v>
      </c>
      <c r="AG238" s="72">
        <f t="shared" si="30"/>
        <v>14</v>
      </c>
      <c r="AH238" s="37">
        <f t="shared" si="31"/>
        <v>19.940000000000001</v>
      </c>
      <c r="AJ238" s="38">
        <v>45801</v>
      </c>
      <c r="AK238" t="s">
        <v>918</v>
      </c>
      <c r="AL238" t="s">
        <v>5</v>
      </c>
      <c r="AN238" s="81" t="s">
        <v>1300</v>
      </c>
      <c r="AO238" s="81" t="s">
        <v>1301</v>
      </c>
      <c r="AP238" s="48">
        <v>2000</v>
      </c>
      <c r="AR238" s="38"/>
      <c r="AS238" s="49"/>
      <c r="AU238" s="38">
        <v>45803</v>
      </c>
      <c r="AW238" s="16" t="s">
        <v>5</v>
      </c>
      <c r="AY238" s="81">
        <v>0.45173611111111112</v>
      </c>
      <c r="AZ238" s="81">
        <v>0.48876157407407406</v>
      </c>
      <c r="BA238" s="48">
        <v>2442</v>
      </c>
      <c r="BB238" t="s">
        <v>638</v>
      </c>
      <c r="BC238" s="38">
        <v>45803</v>
      </c>
      <c r="BD238" s="49"/>
    </row>
    <row r="239" spans="22:56" ht="16" x14ac:dyDescent="0.4">
      <c r="V239" s="97">
        <v>45799</v>
      </c>
      <c r="W239" s="16">
        <v>150650</v>
      </c>
      <c r="X239" s="89" t="s">
        <v>36</v>
      </c>
      <c r="Z239" s="50">
        <v>6.4525462962962965E-2</v>
      </c>
      <c r="AA239" s="50">
        <v>0.68459490740740747</v>
      </c>
      <c r="AD239" s="48">
        <v>20408</v>
      </c>
      <c r="AE239" s="48">
        <f t="shared" si="29"/>
        <v>20.408000000000001</v>
      </c>
      <c r="AF239">
        <v>17.2</v>
      </c>
      <c r="AG239" s="72">
        <f t="shared" si="30"/>
        <v>14</v>
      </c>
      <c r="AH239" s="37">
        <f t="shared" si="31"/>
        <v>20.407999999999998</v>
      </c>
      <c r="AJ239" s="38">
        <v>45801</v>
      </c>
      <c r="AK239" t="s">
        <v>919</v>
      </c>
      <c r="AL239" t="s">
        <v>5</v>
      </c>
      <c r="AN239" t="s">
        <v>1302</v>
      </c>
      <c r="AO239" t="s">
        <v>1302</v>
      </c>
      <c r="AP239" s="48">
        <v>3550</v>
      </c>
      <c r="AR239" s="38"/>
      <c r="AS239" s="49"/>
      <c r="AU239" s="38">
        <v>45803</v>
      </c>
      <c r="AW239" s="16" t="s">
        <v>5</v>
      </c>
      <c r="AY239">
        <v>0.31918981481481484</v>
      </c>
      <c r="AZ239">
        <v>0.42030092592592588</v>
      </c>
      <c r="BA239" s="48">
        <v>3398</v>
      </c>
      <c r="BB239" t="s">
        <v>641</v>
      </c>
      <c r="BC239" s="38">
        <v>45803</v>
      </c>
      <c r="BD239" s="49"/>
    </row>
    <row r="240" spans="22:56" ht="16" x14ac:dyDescent="0.4">
      <c r="V240" s="97">
        <v>45799</v>
      </c>
      <c r="W240" s="16">
        <v>150686</v>
      </c>
      <c r="X240" s="89" t="s">
        <v>36</v>
      </c>
      <c r="Z240" s="50">
        <v>0.6791666666666667</v>
      </c>
      <c r="AA240" s="50">
        <v>0.73749999999999993</v>
      </c>
      <c r="AD240" s="48">
        <v>19392</v>
      </c>
      <c r="AE240" s="48">
        <f t="shared" si="29"/>
        <v>19.391999999999999</v>
      </c>
      <c r="AF240">
        <v>16.77</v>
      </c>
      <c r="AG240" s="72">
        <f t="shared" si="30"/>
        <v>14</v>
      </c>
      <c r="AH240" s="37">
        <f t="shared" si="31"/>
        <v>19.391999999999999</v>
      </c>
      <c r="AJ240" s="38">
        <v>45801</v>
      </c>
      <c r="AK240" t="s">
        <v>920</v>
      </c>
      <c r="AL240" t="s">
        <v>5</v>
      </c>
      <c r="AN240" s="81" t="s">
        <v>1303</v>
      </c>
      <c r="AO240" s="81" t="s">
        <v>1303</v>
      </c>
      <c r="AP240" s="48">
        <v>3390</v>
      </c>
      <c r="AR240" s="38"/>
      <c r="AS240" s="49"/>
      <c r="AU240" s="38">
        <v>45803</v>
      </c>
      <c r="AW240" s="16" t="s">
        <v>5</v>
      </c>
      <c r="AY240" s="81">
        <v>0.30479166666666668</v>
      </c>
      <c r="AZ240" s="81">
        <v>0.31907407407407407</v>
      </c>
      <c r="BA240" s="48">
        <v>3820</v>
      </c>
      <c r="BB240" t="s">
        <v>626</v>
      </c>
      <c r="BC240" s="38">
        <v>45803</v>
      </c>
      <c r="BD240" s="49"/>
    </row>
    <row r="241" spans="22:56" ht="16" x14ac:dyDescent="0.4">
      <c r="V241" s="97">
        <v>45799</v>
      </c>
      <c r="W241" s="16">
        <v>150735</v>
      </c>
      <c r="X241" s="89" t="s">
        <v>36</v>
      </c>
      <c r="Z241" s="50">
        <v>0.73125000000000007</v>
      </c>
      <c r="AA241" s="50">
        <v>0.83819444444444446</v>
      </c>
      <c r="AD241" s="48">
        <v>20580</v>
      </c>
      <c r="AE241" s="48">
        <f t="shared" si="29"/>
        <v>20.58</v>
      </c>
      <c r="AF241">
        <v>14.49</v>
      </c>
      <c r="AG241" s="72">
        <f t="shared" si="30"/>
        <v>14</v>
      </c>
      <c r="AH241" s="37">
        <f t="shared" si="31"/>
        <v>20.580000000000002</v>
      </c>
      <c r="AJ241" s="38">
        <v>45801</v>
      </c>
      <c r="AK241" t="s">
        <v>921</v>
      </c>
      <c r="AL241" t="s">
        <v>5</v>
      </c>
      <c r="AN241" s="81" t="s">
        <v>1304</v>
      </c>
      <c r="AO241" s="81" t="s">
        <v>1304</v>
      </c>
      <c r="AP241" s="48">
        <v>3270</v>
      </c>
      <c r="AR241" s="38"/>
      <c r="AS241" s="49"/>
      <c r="AU241" s="38">
        <v>45803</v>
      </c>
      <c r="AW241" s="16" t="s">
        <v>5</v>
      </c>
      <c r="AY241" s="81">
        <v>0.46160879629629631</v>
      </c>
      <c r="AZ241" s="81"/>
      <c r="BA241" s="48">
        <v>2714</v>
      </c>
      <c r="BB241" t="s">
        <v>640</v>
      </c>
      <c r="BC241" s="38">
        <v>45803</v>
      </c>
      <c r="BD241" s="49"/>
    </row>
    <row r="242" spans="22:56" ht="16" x14ac:dyDescent="0.4">
      <c r="V242" s="97">
        <v>45799</v>
      </c>
      <c r="W242" s="16">
        <v>150771</v>
      </c>
      <c r="X242" s="89" t="s">
        <v>36</v>
      </c>
      <c r="Z242" s="50">
        <v>0.67986111111111114</v>
      </c>
      <c r="AA242" s="50">
        <v>0.91666666666666663</v>
      </c>
      <c r="AD242" s="48">
        <v>22100</v>
      </c>
      <c r="AE242" s="48">
        <f t="shared" si="29"/>
        <v>22.1</v>
      </c>
      <c r="AF242">
        <v>13.87</v>
      </c>
      <c r="AG242" s="72">
        <f t="shared" si="30"/>
        <v>13.87</v>
      </c>
      <c r="AH242" s="37">
        <f t="shared" si="31"/>
        <v>21.894785714285714</v>
      </c>
      <c r="AJ242" s="38">
        <v>45801</v>
      </c>
      <c r="AK242" t="s">
        <v>922</v>
      </c>
      <c r="AL242" t="s">
        <v>5</v>
      </c>
      <c r="AN242" s="81" t="s">
        <v>1305</v>
      </c>
      <c r="AO242" s="81" t="s">
        <v>1305</v>
      </c>
      <c r="AP242" s="48">
        <v>5350</v>
      </c>
      <c r="AR242" s="38"/>
      <c r="AS242" s="49"/>
      <c r="AU242" s="38">
        <v>45803</v>
      </c>
      <c r="AW242" s="16" t="s">
        <v>5</v>
      </c>
      <c r="AY242" s="81">
        <v>0.42721064814814813</v>
      </c>
      <c r="AZ242" s="81">
        <v>0.52004629629629628</v>
      </c>
      <c r="BA242" s="48">
        <v>3402</v>
      </c>
      <c r="BB242" t="s">
        <v>613</v>
      </c>
      <c r="BC242" s="38">
        <v>45803</v>
      </c>
      <c r="BD242" s="49"/>
    </row>
    <row r="243" spans="22:56" ht="16" x14ac:dyDescent="0.4">
      <c r="V243" s="97">
        <v>45800</v>
      </c>
      <c r="W243" s="16">
        <v>150806</v>
      </c>
      <c r="X243" s="89" t="s">
        <v>36</v>
      </c>
      <c r="Z243" s="50">
        <v>0.7319444444444444</v>
      </c>
      <c r="AA243" s="50">
        <v>5.5555555555555558E-3</v>
      </c>
      <c r="AD243" s="48">
        <v>22444</v>
      </c>
      <c r="AE243" s="48">
        <f t="shared" si="29"/>
        <v>22.443999999999999</v>
      </c>
      <c r="AF243">
        <v>13.49</v>
      </c>
      <c r="AG243" s="72">
        <f t="shared" si="30"/>
        <v>13.49</v>
      </c>
      <c r="AH243" s="37">
        <f t="shared" si="31"/>
        <v>21.626397142857144</v>
      </c>
      <c r="AJ243" s="38">
        <v>45801</v>
      </c>
      <c r="AK243" t="s">
        <v>923</v>
      </c>
      <c r="AL243" t="s">
        <v>4</v>
      </c>
      <c r="AN243" s="39" t="s">
        <v>1306</v>
      </c>
      <c r="AO243" s="39" t="s">
        <v>1307</v>
      </c>
      <c r="AP243" s="48">
        <v>6410</v>
      </c>
      <c r="AR243" s="38"/>
      <c r="AS243" s="49"/>
      <c r="AU243" s="38">
        <v>45803</v>
      </c>
      <c r="AW243" s="16" t="s">
        <v>5</v>
      </c>
      <c r="AY243" s="39">
        <v>0.34540509259259261</v>
      </c>
      <c r="AZ243" s="39">
        <v>0.35906250000000001</v>
      </c>
      <c r="BA243" s="48">
        <v>3270</v>
      </c>
      <c r="BB243" t="s">
        <v>613</v>
      </c>
      <c r="BC243" s="38">
        <v>45803</v>
      </c>
      <c r="BD243" s="49"/>
    </row>
    <row r="244" spans="22:56" ht="16" x14ac:dyDescent="0.4">
      <c r="V244" s="97">
        <v>45800</v>
      </c>
      <c r="W244">
        <v>150826</v>
      </c>
      <c r="X244" s="89" t="s">
        <v>36</v>
      </c>
      <c r="Z244" s="50">
        <v>0.67986111111111114</v>
      </c>
      <c r="AA244" s="50">
        <v>7.6388888888888895E-2</v>
      </c>
      <c r="AD244" s="48">
        <v>19980</v>
      </c>
      <c r="AE244" s="48">
        <f t="shared" si="29"/>
        <v>19.98</v>
      </c>
      <c r="AF244">
        <v>16.52</v>
      </c>
      <c r="AG244" s="72">
        <f t="shared" si="30"/>
        <v>14</v>
      </c>
      <c r="AH244" s="37">
        <f t="shared" si="31"/>
        <v>19.98</v>
      </c>
      <c r="AJ244" s="38">
        <v>45802</v>
      </c>
      <c r="AK244" t="s">
        <v>924</v>
      </c>
      <c r="AL244" t="s">
        <v>5</v>
      </c>
      <c r="AN244" s="81" t="s">
        <v>1308</v>
      </c>
      <c r="AO244" s="81" t="s">
        <v>1308</v>
      </c>
      <c r="AP244" s="48">
        <v>2830</v>
      </c>
      <c r="AR244" s="38"/>
      <c r="AS244" s="49"/>
      <c r="AU244" s="38">
        <v>45803</v>
      </c>
      <c r="AW244" s="16" t="s">
        <v>5</v>
      </c>
      <c r="AY244" s="81">
        <v>0.41135416666666669</v>
      </c>
      <c r="AZ244" s="81">
        <v>0.42709490740740735</v>
      </c>
      <c r="BA244" s="48">
        <v>3384</v>
      </c>
      <c r="BB244" t="s">
        <v>613</v>
      </c>
      <c r="BC244" s="38">
        <v>45803</v>
      </c>
      <c r="BD244" s="49"/>
    </row>
    <row r="245" spans="22:56" ht="16" x14ac:dyDescent="0.4">
      <c r="V245" s="97">
        <v>45800</v>
      </c>
      <c r="W245">
        <v>150833</v>
      </c>
      <c r="X245" s="89" t="s">
        <v>36</v>
      </c>
      <c r="Z245" s="50">
        <v>0.7319444444444444</v>
      </c>
      <c r="AA245" s="50">
        <v>0.12916666666666668</v>
      </c>
      <c r="AD245" s="48">
        <v>20960</v>
      </c>
      <c r="AE245" s="48">
        <f t="shared" si="29"/>
        <v>20.96</v>
      </c>
      <c r="AF245">
        <v>14.73</v>
      </c>
      <c r="AG245" s="72">
        <f t="shared" si="30"/>
        <v>14</v>
      </c>
      <c r="AH245" s="37">
        <f t="shared" si="31"/>
        <v>20.96</v>
      </c>
      <c r="AJ245" s="38">
        <v>45802</v>
      </c>
      <c r="AK245" s="81" t="s">
        <v>925</v>
      </c>
      <c r="AL245" t="s">
        <v>5</v>
      </c>
      <c r="AN245" s="81" t="s">
        <v>1309</v>
      </c>
      <c r="AO245" s="81" t="s">
        <v>1309</v>
      </c>
      <c r="AP245" s="48">
        <v>2560</v>
      </c>
      <c r="AR245" s="38"/>
      <c r="AS245" s="49"/>
      <c r="AU245" s="38">
        <v>45803</v>
      </c>
      <c r="AV245" s="81"/>
      <c r="AW245" s="16" t="s">
        <v>5</v>
      </c>
      <c r="AY245" s="81">
        <v>0.37972222222222224</v>
      </c>
      <c r="AZ245" s="81">
        <v>0.39606481481481487</v>
      </c>
      <c r="BA245" s="48">
        <v>3380</v>
      </c>
      <c r="BB245" t="s">
        <v>634</v>
      </c>
      <c r="BC245" s="38">
        <v>45803</v>
      </c>
      <c r="BD245" s="49"/>
    </row>
    <row r="246" spans="22:56" ht="16" x14ac:dyDescent="0.4">
      <c r="V246" s="97">
        <v>45800</v>
      </c>
      <c r="W246">
        <v>150847</v>
      </c>
      <c r="X246" s="89" t="s">
        <v>36</v>
      </c>
      <c r="Z246" s="50">
        <v>0.11805555555555557</v>
      </c>
      <c r="AA246" s="50">
        <v>0.19513888888888889</v>
      </c>
      <c r="AD246" s="48">
        <v>19018</v>
      </c>
      <c r="AE246" s="48">
        <f t="shared" si="29"/>
        <v>19.018000000000001</v>
      </c>
      <c r="AF246">
        <v>13.84</v>
      </c>
      <c r="AG246" s="72">
        <f t="shared" si="30"/>
        <v>13.84</v>
      </c>
      <c r="AH246" s="37">
        <f t="shared" si="31"/>
        <v>18.800651428571427</v>
      </c>
      <c r="AJ246" s="38">
        <v>45802</v>
      </c>
      <c r="AK246" t="s">
        <v>926</v>
      </c>
      <c r="AL246" t="s">
        <v>5</v>
      </c>
      <c r="AN246" s="81" t="s">
        <v>1310</v>
      </c>
      <c r="AO246" s="81" t="s">
        <v>1310</v>
      </c>
      <c r="AP246" s="48">
        <v>3680</v>
      </c>
      <c r="AR246" s="38"/>
      <c r="AS246" s="49"/>
      <c r="AU246" s="38">
        <v>45803</v>
      </c>
      <c r="AW246" s="16" t="s">
        <v>5</v>
      </c>
      <c r="AY246" s="81">
        <v>0.39313657407407404</v>
      </c>
      <c r="AZ246" s="81">
        <v>0.40880787037037036</v>
      </c>
      <c r="BA246" s="48">
        <v>2842</v>
      </c>
      <c r="BB246" t="s">
        <v>638</v>
      </c>
      <c r="BC246" s="38">
        <v>45803</v>
      </c>
      <c r="BD246" s="49"/>
    </row>
    <row r="247" spans="22:56" ht="16" x14ac:dyDescent="0.4">
      <c r="V247" s="97">
        <v>45800</v>
      </c>
      <c r="W247">
        <v>150868</v>
      </c>
      <c r="X247" s="89" t="s">
        <v>36</v>
      </c>
      <c r="Z247" s="50">
        <v>4.7442129629629626E-2</v>
      </c>
      <c r="AA247" s="50">
        <v>0.29038194444444443</v>
      </c>
      <c r="AD247" s="48">
        <v>20370</v>
      </c>
      <c r="AE247" s="48">
        <f t="shared" si="29"/>
        <v>20.37</v>
      </c>
      <c r="AF247">
        <v>15.38</v>
      </c>
      <c r="AG247" s="72">
        <f t="shared" si="30"/>
        <v>14</v>
      </c>
      <c r="AH247" s="37">
        <f t="shared" si="31"/>
        <v>20.37</v>
      </c>
      <c r="AJ247" s="38">
        <v>45802</v>
      </c>
      <c r="AK247" t="s">
        <v>927</v>
      </c>
      <c r="AL247" t="s">
        <v>5</v>
      </c>
      <c r="AN247" s="81" t="s">
        <v>1311</v>
      </c>
      <c r="AO247" s="81" t="s">
        <v>1311</v>
      </c>
      <c r="AP247" s="48">
        <v>3270</v>
      </c>
      <c r="AR247" s="38"/>
      <c r="AS247" s="49"/>
      <c r="AU247" s="38">
        <v>45803</v>
      </c>
      <c r="AW247" s="16" t="s">
        <v>5</v>
      </c>
      <c r="AY247" s="81">
        <v>0.40895833333333331</v>
      </c>
      <c r="AZ247" s="81">
        <v>0.57773148148148146</v>
      </c>
      <c r="BA247" s="48">
        <v>2138</v>
      </c>
      <c r="BB247" t="s">
        <v>638</v>
      </c>
      <c r="BC247" s="38">
        <v>45803</v>
      </c>
      <c r="BD247" s="49"/>
    </row>
    <row r="248" spans="22:56" ht="16" x14ac:dyDescent="0.4">
      <c r="V248" s="97">
        <v>45800</v>
      </c>
      <c r="W248">
        <v>150938</v>
      </c>
      <c r="X248" s="89" t="s">
        <v>36</v>
      </c>
      <c r="Z248" s="50">
        <v>0.11866898148148149</v>
      </c>
      <c r="AA248" s="50">
        <v>0.36125000000000002</v>
      </c>
      <c r="AD248" s="48">
        <v>18756</v>
      </c>
      <c r="AE248" s="48">
        <f t="shared" si="29"/>
        <v>18.756</v>
      </c>
      <c r="AF248">
        <v>15.66</v>
      </c>
      <c r="AG248" s="72">
        <f t="shared" si="30"/>
        <v>14</v>
      </c>
      <c r="AH248" s="37">
        <f t="shared" si="31"/>
        <v>18.756</v>
      </c>
      <c r="AJ248" s="38">
        <v>45802</v>
      </c>
      <c r="AK248" t="s">
        <v>928</v>
      </c>
      <c r="AL248" t="s">
        <v>5</v>
      </c>
      <c r="AN248" s="81" t="s">
        <v>1312</v>
      </c>
      <c r="AO248" s="81" t="s">
        <v>1312</v>
      </c>
      <c r="AP248" s="48">
        <v>2760</v>
      </c>
      <c r="AR248" s="38"/>
      <c r="AS248" s="49"/>
      <c r="AU248" s="38">
        <v>45803</v>
      </c>
      <c r="AW248" s="16" t="s">
        <v>5</v>
      </c>
      <c r="AY248" s="81">
        <v>0.62569444444444444</v>
      </c>
      <c r="AZ248" s="81">
        <v>0.60949074074074072</v>
      </c>
      <c r="BA248" s="48">
        <v>5442</v>
      </c>
      <c r="BB248" t="s">
        <v>642</v>
      </c>
      <c r="BC248" s="38">
        <v>45803</v>
      </c>
      <c r="BD248" s="49"/>
    </row>
    <row r="249" spans="22:56" ht="16" x14ac:dyDescent="0.4">
      <c r="V249" s="97">
        <v>45800</v>
      </c>
      <c r="W249">
        <v>150006</v>
      </c>
      <c r="X249" s="89" t="s">
        <v>36</v>
      </c>
      <c r="Z249" s="50">
        <v>4.7291666666666669E-2</v>
      </c>
      <c r="AA249" s="50">
        <v>0.43645833333333334</v>
      </c>
      <c r="AD249" s="48">
        <v>20616</v>
      </c>
      <c r="AE249" s="48">
        <f t="shared" si="29"/>
        <v>20.616</v>
      </c>
      <c r="AF249">
        <v>14.05</v>
      </c>
      <c r="AG249" s="72">
        <f t="shared" si="30"/>
        <v>14</v>
      </c>
      <c r="AH249" s="37">
        <f t="shared" si="31"/>
        <v>20.616000000000003</v>
      </c>
      <c r="AJ249" s="38">
        <v>45803</v>
      </c>
      <c r="AK249" t="s">
        <v>929</v>
      </c>
      <c r="AL249" t="s">
        <v>5</v>
      </c>
      <c r="AN249" s="81" t="s">
        <v>1313</v>
      </c>
      <c r="AO249" s="81" t="s">
        <v>1313</v>
      </c>
      <c r="AP249" s="48">
        <v>3860</v>
      </c>
      <c r="AR249" s="38"/>
      <c r="AS249" s="49"/>
      <c r="AU249" s="38">
        <v>45804</v>
      </c>
      <c r="AW249" t="s">
        <v>5</v>
      </c>
      <c r="AY249" s="81">
        <v>0.32200231481481484</v>
      </c>
      <c r="AZ249" s="81">
        <v>0.40173611111111113</v>
      </c>
      <c r="BA249" s="48">
        <v>3328</v>
      </c>
      <c r="BB249" t="s">
        <v>613</v>
      </c>
      <c r="BC249" s="38">
        <v>45804</v>
      </c>
      <c r="BD249" s="49"/>
    </row>
    <row r="250" spans="22:56" ht="16" x14ac:dyDescent="0.4">
      <c r="V250" s="97">
        <v>45800</v>
      </c>
      <c r="W250">
        <v>151050</v>
      </c>
      <c r="X250" s="89" t="s">
        <v>36</v>
      </c>
      <c r="Z250" s="50">
        <v>0.1185648148148148</v>
      </c>
      <c r="AA250" s="50">
        <v>0.51923611111111112</v>
      </c>
      <c r="AD250" s="48">
        <v>22086</v>
      </c>
      <c r="AE250" s="48">
        <f t="shared" si="29"/>
        <v>22.085999999999999</v>
      </c>
      <c r="AF250">
        <v>14.65</v>
      </c>
      <c r="AG250" s="72">
        <f t="shared" si="30"/>
        <v>14</v>
      </c>
      <c r="AH250" s="37">
        <f t="shared" si="31"/>
        <v>22.085999999999995</v>
      </c>
      <c r="AJ250" s="38">
        <v>45803</v>
      </c>
      <c r="AK250" t="s">
        <v>930</v>
      </c>
      <c r="AL250" t="s">
        <v>5</v>
      </c>
      <c r="AN250" s="81" t="s">
        <v>1314</v>
      </c>
      <c r="AO250" s="81" t="s">
        <v>1315</v>
      </c>
      <c r="AP250" s="48">
        <v>3230</v>
      </c>
      <c r="AR250" s="38"/>
      <c r="AS250" s="49"/>
      <c r="AU250" s="38">
        <v>45804</v>
      </c>
      <c r="AW250" t="s">
        <v>5</v>
      </c>
      <c r="AY250" s="81">
        <v>0.30796296296296294</v>
      </c>
      <c r="AZ250" s="81">
        <v>0.32190972222222219</v>
      </c>
      <c r="BA250" s="48">
        <v>3186</v>
      </c>
      <c r="BB250" t="s">
        <v>613</v>
      </c>
      <c r="BC250" s="38">
        <v>45804</v>
      </c>
      <c r="BD250" s="49"/>
    </row>
    <row r="251" spans="22:56" ht="16" x14ac:dyDescent="0.4">
      <c r="V251" s="97">
        <v>45800</v>
      </c>
      <c r="W251">
        <v>151096</v>
      </c>
      <c r="X251" s="89" t="s">
        <v>36</v>
      </c>
      <c r="Z251" s="50">
        <v>0.3605902777777778</v>
      </c>
      <c r="AA251" s="50">
        <v>0.5806365740740741</v>
      </c>
      <c r="AD251" s="48">
        <v>19908</v>
      </c>
      <c r="AE251" s="48">
        <f t="shared" si="29"/>
        <v>19.908000000000001</v>
      </c>
      <c r="AF251">
        <v>14.25</v>
      </c>
      <c r="AG251" s="72">
        <f t="shared" si="30"/>
        <v>14</v>
      </c>
      <c r="AH251" s="37">
        <f t="shared" si="31"/>
        <v>19.907999999999998</v>
      </c>
      <c r="AJ251" s="38">
        <v>45803</v>
      </c>
      <c r="AK251" t="s">
        <v>931</v>
      </c>
      <c r="AL251" t="s">
        <v>5</v>
      </c>
      <c r="AN251" s="81" t="s">
        <v>1316</v>
      </c>
      <c r="AO251" s="81" t="s">
        <v>1316</v>
      </c>
      <c r="AP251" s="48">
        <v>3200</v>
      </c>
      <c r="AR251" s="38"/>
      <c r="AS251" s="49"/>
      <c r="AU251" s="38">
        <v>45804</v>
      </c>
      <c r="AW251" t="s">
        <v>5</v>
      </c>
      <c r="AY251" s="81">
        <v>0.4768634259259259</v>
      </c>
      <c r="AZ251" s="81">
        <v>0.38134259259259262</v>
      </c>
      <c r="BA251" s="48">
        <v>2682</v>
      </c>
      <c r="BB251" t="s">
        <v>643</v>
      </c>
      <c r="BC251" s="38">
        <v>45804</v>
      </c>
      <c r="BD251" s="49"/>
    </row>
    <row r="252" spans="22:56" ht="16" x14ac:dyDescent="0.4">
      <c r="V252" s="97">
        <v>45800</v>
      </c>
      <c r="W252">
        <v>151167</v>
      </c>
      <c r="X252" s="89" t="s">
        <v>36</v>
      </c>
      <c r="Z252" s="50">
        <v>0.57126157407407407</v>
      </c>
      <c r="AA252" s="50">
        <v>0.66318287037037038</v>
      </c>
      <c r="AD252" s="48">
        <v>20762</v>
      </c>
      <c r="AE252" s="48">
        <f t="shared" si="29"/>
        <v>20.762</v>
      </c>
      <c r="AF252">
        <v>14.79</v>
      </c>
      <c r="AG252" s="72">
        <f t="shared" si="30"/>
        <v>14</v>
      </c>
      <c r="AH252" s="37">
        <f t="shared" si="31"/>
        <v>20.762</v>
      </c>
      <c r="AJ252" s="38">
        <v>45803</v>
      </c>
      <c r="AK252" t="s">
        <v>932</v>
      </c>
      <c r="AL252" t="s">
        <v>5</v>
      </c>
      <c r="AN252" s="81" t="s">
        <v>1317</v>
      </c>
      <c r="AO252" s="81" t="s">
        <v>1317</v>
      </c>
      <c r="AP252" s="48">
        <v>3360</v>
      </c>
      <c r="AR252" s="38"/>
      <c r="AS252" s="49"/>
      <c r="AU252" s="38">
        <v>45804</v>
      </c>
      <c r="AW252" t="s">
        <v>5</v>
      </c>
      <c r="AY252" s="81">
        <v>0.45344907407407403</v>
      </c>
      <c r="AZ252" s="81">
        <v>0.47027777777777779</v>
      </c>
      <c r="BA252" s="48">
        <v>2432</v>
      </c>
      <c r="BB252" t="s">
        <v>643</v>
      </c>
      <c r="BC252" s="38">
        <v>45804</v>
      </c>
      <c r="BD252" s="49"/>
    </row>
    <row r="253" spans="22:56" ht="16" x14ac:dyDescent="0.4">
      <c r="V253" s="97">
        <v>45800</v>
      </c>
      <c r="W253">
        <v>151205</v>
      </c>
      <c r="X253" s="89" t="s">
        <v>36</v>
      </c>
      <c r="Z253" s="50">
        <v>0.63680555555555551</v>
      </c>
      <c r="AA253" s="50">
        <v>0.78055555555555556</v>
      </c>
      <c r="AD253" s="48">
        <v>18200</v>
      </c>
      <c r="AE253" s="48">
        <f t="shared" si="29"/>
        <v>18.2</v>
      </c>
      <c r="AF253">
        <v>16.84</v>
      </c>
      <c r="AG253" s="72">
        <f t="shared" si="30"/>
        <v>14</v>
      </c>
      <c r="AH253" s="37">
        <f t="shared" si="31"/>
        <v>18.2</v>
      </c>
      <c r="AJ253" s="38">
        <v>45803</v>
      </c>
      <c r="AK253" t="s">
        <v>933</v>
      </c>
      <c r="AL253" t="s">
        <v>5</v>
      </c>
      <c r="AN253" s="81" t="s">
        <v>1318</v>
      </c>
      <c r="AO253" s="81" t="s">
        <v>1319</v>
      </c>
      <c r="AP253" s="48">
        <v>2730</v>
      </c>
      <c r="AR253" s="38"/>
      <c r="AS253" s="49"/>
      <c r="AU253" s="38">
        <v>45804</v>
      </c>
      <c r="AW253" t="s">
        <v>5</v>
      </c>
      <c r="AY253" s="81">
        <v>0.45884259259259258</v>
      </c>
      <c r="AZ253" s="81">
        <v>0.47821759259259261</v>
      </c>
      <c r="BA253" s="48">
        <v>2004</v>
      </c>
      <c r="BB253" t="s">
        <v>613</v>
      </c>
      <c r="BC253" s="38">
        <v>45804</v>
      </c>
      <c r="BD253" s="49"/>
    </row>
    <row r="254" spans="22:56" ht="16" x14ac:dyDescent="0.4">
      <c r="V254" s="97">
        <v>45800</v>
      </c>
      <c r="W254">
        <v>151250</v>
      </c>
      <c r="X254" s="89" t="s">
        <v>36</v>
      </c>
      <c r="Z254" s="50">
        <v>0.5708333333333333</v>
      </c>
      <c r="AA254" s="50">
        <v>0.88055555555555554</v>
      </c>
      <c r="AD254" s="48">
        <v>18194</v>
      </c>
      <c r="AE254" s="48">
        <f t="shared" si="29"/>
        <v>18.193999999999999</v>
      </c>
      <c r="AF254">
        <v>16.16</v>
      </c>
      <c r="AG254" s="72">
        <f t="shared" si="30"/>
        <v>14</v>
      </c>
      <c r="AH254" s="37">
        <f t="shared" si="31"/>
        <v>18.193999999999999</v>
      </c>
      <c r="AJ254" s="38">
        <v>45803</v>
      </c>
      <c r="AK254" t="s">
        <v>934</v>
      </c>
      <c r="AL254" t="s">
        <v>5</v>
      </c>
      <c r="AN254" t="s">
        <v>1320</v>
      </c>
      <c r="AO254" t="s">
        <v>1320</v>
      </c>
      <c r="AP254" s="48">
        <v>3340</v>
      </c>
      <c r="AR254" s="38"/>
      <c r="AS254" s="49"/>
      <c r="AU254" s="38">
        <v>45804</v>
      </c>
      <c r="AW254" t="s">
        <v>5</v>
      </c>
      <c r="AY254">
        <v>0.34460648148148149</v>
      </c>
      <c r="AZ254">
        <v>0.36437499999999995</v>
      </c>
      <c r="BA254" s="48">
        <v>2206</v>
      </c>
      <c r="BB254" t="s">
        <v>613</v>
      </c>
      <c r="BC254" s="38">
        <v>45804</v>
      </c>
      <c r="BD254" s="49"/>
    </row>
    <row r="255" spans="22:56" ht="16" x14ac:dyDescent="0.4">
      <c r="V255" s="97">
        <v>45800</v>
      </c>
      <c r="W255">
        <v>151295</v>
      </c>
      <c r="X255" s="89" t="s">
        <v>36</v>
      </c>
      <c r="Z255" s="50">
        <v>0.36041666666666666</v>
      </c>
      <c r="AA255" s="50">
        <v>0.96111111111111114</v>
      </c>
      <c r="AD255" s="48">
        <v>18608</v>
      </c>
      <c r="AE255" s="48">
        <f t="shared" si="29"/>
        <v>18.608000000000001</v>
      </c>
      <c r="AF255">
        <v>14.49</v>
      </c>
      <c r="AG255" s="72">
        <f t="shared" si="30"/>
        <v>14</v>
      </c>
      <c r="AH255" s="37">
        <f t="shared" si="31"/>
        <v>18.608000000000001</v>
      </c>
      <c r="AJ255" s="38">
        <v>45803</v>
      </c>
      <c r="AK255" t="s">
        <v>935</v>
      </c>
      <c r="AL255" t="s">
        <v>5</v>
      </c>
      <c r="AN255" s="81" t="s">
        <v>1321</v>
      </c>
      <c r="AO255" s="81" t="s">
        <v>1321</v>
      </c>
      <c r="AP255" s="48">
        <v>3460</v>
      </c>
      <c r="AR255" s="38"/>
      <c r="AS255" s="71"/>
      <c r="AU255" s="38">
        <v>45804</v>
      </c>
      <c r="AW255" t="s">
        <v>5</v>
      </c>
      <c r="AY255" s="81">
        <v>0.57409722222222226</v>
      </c>
      <c r="AZ255" s="81">
        <v>0.58978009259259256</v>
      </c>
      <c r="BA255" s="48">
        <v>3476</v>
      </c>
      <c r="BB255" t="s">
        <v>644</v>
      </c>
      <c r="BC255" s="38">
        <v>45804</v>
      </c>
      <c r="BD255" s="71"/>
    </row>
    <row r="256" spans="22:56" ht="16" x14ac:dyDescent="0.4">
      <c r="V256" s="97">
        <v>45801</v>
      </c>
      <c r="W256">
        <v>151321</v>
      </c>
      <c r="X256" s="89" t="s">
        <v>36</v>
      </c>
      <c r="Z256" s="50">
        <v>0.5708333333333333</v>
      </c>
      <c r="AA256" s="50">
        <v>5.6944444444444443E-2</v>
      </c>
      <c r="AD256" s="48">
        <v>19144</v>
      </c>
      <c r="AE256" s="48">
        <f t="shared" si="29"/>
        <v>19.143999999999998</v>
      </c>
      <c r="AF256">
        <v>15.77</v>
      </c>
      <c r="AG256" s="72">
        <f t="shared" si="30"/>
        <v>14</v>
      </c>
      <c r="AH256" s="37">
        <f t="shared" si="31"/>
        <v>19.143999999999998</v>
      </c>
      <c r="AJ256" s="38">
        <v>45803</v>
      </c>
      <c r="AK256" t="s">
        <v>936</v>
      </c>
      <c r="AL256" t="s">
        <v>5</v>
      </c>
      <c r="AN256" s="81" t="s">
        <v>1322</v>
      </c>
      <c r="AO256" s="81" t="s">
        <v>1322</v>
      </c>
      <c r="AP256" s="48">
        <v>2860</v>
      </c>
      <c r="AR256" s="38"/>
      <c r="AS256" s="49"/>
      <c r="AU256" s="38">
        <v>45804</v>
      </c>
      <c r="AW256" t="s">
        <v>5</v>
      </c>
      <c r="AY256" s="81">
        <v>0.41629629629629633</v>
      </c>
      <c r="AZ256" s="81">
        <v>0.60711805555555554</v>
      </c>
      <c r="BA256" s="48">
        <v>3546</v>
      </c>
      <c r="BB256" t="s">
        <v>637</v>
      </c>
      <c r="BC256" s="38">
        <v>45804</v>
      </c>
      <c r="BD256" s="49"/>
    </row>
    <row r="257" spans="22:56" ht="16" x14ac:dyDescent="0.4">
      <c r="V257" s="97">
        <v>45801</v>
      </c>
      <c r="W257">
        <v>151335</v>
      </c>
      <c r="X257" s="89" t="s">
        <v>36</v>
      </c>
      <c r="Z257" s="50">
        <v>0.63680555555555551</v>
      </c>
      <c r="AA257" s="50">
        <v>0.1388888888888889</v>
      </c>
      <c r="AD257" s="48">
        <v>19366</v>
      </c>
      <c r="AE257" s="48">
        <f t="shared" si="29"/>
        <v>19.366</v>
      </c>
      <c r="AF257">
        <v>14.64</v>
      </c>
      <c r="AG257" s="72">
        <f t="shared" si="30"/>
        <v>14</v>
      </c>
      <c r="AH257" s="37">
        <f t="shared" si="31"/>
        <v>19.366000000000003</v>
      </c>
      <c r="AJ257" s="38">
        <v>45803</v>
      </c>
      <c r="AK257" t="s">
        <v>937</v>
      </c>
      <c r="AL257" t="s">
        <v>5</v>
      </c>
      <c r="AN257" s="81" t="s">
        <v>1323</v>
      </c>
      <c r="AO257" s="81" t="s">
        <v>1323</v>
      </c>
      <c r="AP257" s="48">
        <v>3310</v>
      </c>
      <c r="AR257" s="38"/>
      <c r="AS257" s="49"/>
      <c r="AU257" s="38">
        <v>45804</v>
      </c>
      <c r="AW257" t="s">
        <v>5</v>
      </c>
      <c r="AY257" s="81">
        <v>0.37428240740740742</v>
      </c>
      <c r="AZ257" s="81">
        <v>0.41609953703703706</v>
      </c>
      <c r="BA257" s="48">
        <v>2944</v>
      </c>
      <c r="BB257" t="s">
        <v>637</v>
      </c>
      <c r="BC257" s="38">
        <v>45804</v>
      </c>
      <c r="BD257" s="49"/>
    </row>
    <row r="258" spans="22:56" ht="16" x14ac:dyDescent="0.4">
      <c r="V258" s="97">
        <v>45801</v>
      </c>
      <c r="W258">
        <v>151342</v>
      </c>
      <c r="X258" s="89" t="s">
        <v>36</v>
      </c>
      <c r="Z258" s="50">
        <v>0.20902777777777778</v>
      </c>
      <c r="AA258" s="50">
        <v>0.20069444444444443</v>
      </c>
      <c r="AD258" s="48">
        <v>19070</v>
      </c>
      <c r="AE258" s="48">
        <f t="shared" si="29"/>
        <v>19.07</v>
      </c>
      <c r="AF258">
        <v>15.16</v>
      </c>
      <c r="AG258" s="72">
        <f t="shared" si="30"/>
        <v>14</v>
      </c>
      <c r="AH258" s="37">
        <f t="shared" si="31"/>
        <v>19.07</v>
      </c>
      <c r="AJ258" s="97">
        <v>45803</v>
      </c>
      <c r="AK258" t="s">
        <v>938</v>
      </c>
      <c r="AL258" t="s">
        <v>5</v>
      </c>
      <c r="AN258" s="39" t="s">
        <v>1324</v>
      </c>
      <c r="AO258" s="39" t="s">
        <v>1324</v>
      </c>
      <c r="AP258" s="47">
        <v>3440</v>
      </c>
      <c r="AR258" s="38"/>
      <c r="AS258" s="49"/>
      <c r="AU258" s="97">
        <v>45804</v>
      </c>
      <c r="AW258" t="s">
        <v>5</v>
      </c>
      <c r="AY258" s="39">
        <v>0.42767361111111107</v>
      </c>
      <c r="AZ258" s="39">
        <v>0.60031250000000003</v>
      </c>
      <c r="BA258" s="47">
        <v>2914</v>
      </c>
      <c r="BB258" t="s">
        <v>638</v>
      </c>
      <c r="BC258" s="38">
        <v>45804</v>
      </c>
      <c r="BD258" s="49"/>
    </row>
    <row r="259" spans="22:56" ht="16" x14ac:dyDescent="0.4">
      <c r="V259" s="97">
        <v>45801</v>
      </c>
      <c r="W259">
        <v>151388</v>
      </c>
      <c r="X259" s="89" t="s">
        <v>36</v>
      </c>
      <c r="Z259" s="50">
        <v>0.18891203703703704</v>
      </c>
      <c r="AA259" s="50">
        <v>0.33850694444444446</v>
      </c>
      <c r="AD259" s="48">
        <v>18842</v>
      </c>
      <c r="AE259" s="48">
        <f t="shared" si="29"/>
        <v>18.841999999999999</v>
      </c>
      <c r="AF259">
        <v>16.23</v>
      </c>
      <c r="AG259" s="72">
        <f t="shared" si="30"/>
        <v>14</v>
      </c>
      <c r="AH259" s="37">
        <f t="shared" si="31"/>
        <v>18.842000000000002</v>
      </c>
      <c r="AJ259" s="97">
        <v>45803</v>
      </c>
      <c r="AK259" t="s">
        <v>939</v>
      </c>
      <c r="AL259" t="s">
        <v>5</v>
      </c>
      <c r="AN259" t="s">
        <v>1325</v>
      </c>
      <c r="AO259" t="s">
        <v>1325</v>
      </c>
      <c r="AP259" s="47">
        <v>2130</v>
      </c>
      <c r="AR259" s="38"/>
      <c r="AS259" s="49"/>
      <c r="AU259" s="97">
        <v>45804</v>
      </c>
      <c r="AW259" t="s">
        <v>5</v>
      </c>
      <c r="AY259">
        <v>0.41377314814814814</v>
      </c>
      <c r="AZ259">
        <v>0.42755787037037035</v>
      </c>
      <c r="BA259" s="47">
        <v>3154</v>
      </c>
      <c r="BB259" t="s">
        <v>638</v>
      </c>
      <c r="BC259" s="38">
        <v>45804</v>
      </c>
      <c r="BD259" s="49"/>
    </row>
    <row r="260" spans="22:56" ht="16" x14ac:dyDescent="0.4">
      <c r="V260" s="97">
        <v>45801</v>
      </c>
      <c r="W260">
        <v>151430</v>
      </c>
      <c r="X260" s="89" t="s">
        <v>36</v>
      </c>
      <c r="Z260" s="50">
        <v>0.27578703703703705</v>
      </c>
      <c r="AA260" s="50">
        <v>0.39678240740740739</v>
      </c>
      <c r="AD260" s="48">
        <v>18058</v>
      </c>
      <c r="AE260" s="48">
        <f t="shared" ref="AE260:AE323" si="32">AD260/1000</f>
        <v>18.058</v>
      </c>
      <c r="AF260">
        <v>16.52</v>
      </c>
      <c r="AG260" s="72">
        <f t="shared" si="30"/>
        <v>14</v>
      </c>
      <c r="AH260" s="37">
        <f t="shared" si="31"/>
        <v>18.058</v>
      </c>
      <c r="AJ260" s="97">
        <v>45803</v>
      </c>
      <c r="AK260" t="s">
        <v>940</v>
      </c>
      <c r="AL260" t="s">
        <v>5</v>
      </c>
      <c r="AN260" s="39" t="s">
        <v>1326</v>
      </c>
      <c r="AO260" s="39" t="s">
        <v>1327</v>
      </c>
      <c r="AP260" s="47">
        <v>5480</v>
      </c>
      <c r="AR260" s="38"/>
      <c r="AS260" s="49"/>
      <c r="AU260" s="97">
        <v>45804</v>
      </c>
      <c r="AW260" t="s">
        <v>5</v>
      </c>
      <c r="AY260" s="39">
        <v>0.62553240740740745</v>
      </c>
      <c r="AZ260" s="39">
        <v>0.63263888888888886</v>
      </c>
      <c r="BA260" s="47">
        <v>5454</v>
      </c>
      <c r="BB260" t="s">
        <v>645</v>
      </c>
      <c r="BC260" s="38">
        <v>45804</v>
      </c>
      <c r="BD260" s="49"/>
    </row>
    <row r="261" spans="22:56" ht="16" x14ac:dyDescent="0.4">
      <c r="V261" s="97">
        <v>45801</v>
      </c>
      <c r="W261">
        <v>151490</v>
      </c>
      <c r="X261" s="89" t="s">
        <v>36</v>
      </c>
      <c r="Z261" s="50">
        <v>0.1887615740740741</v>
      </c>
      <c r="AA261" s="50">
        <v>0.49688657407407405</v>
      </c>
      <c r="AD261" s="48">
        <v>21122</v>
      </c>
      <c r="AE261" s="48">
        <f t="shared" si="32"/>
        <v>21.122</v>
      </c>
      <c r="AF261">
        <v>15.05</v>
      </c>
      <c r="AG261" s="72">
        <f t="shared" ref="AG261:AG324" si="33">IF($AF261&gt;14,14,$AF261)</f>
        <v>14</v>
      </c>
      <c r="AH261" s="37">
        <f t="shared" si="31"/>
        <v>21.121999999999996</v>
      </c>
      <c r="AJ261" s="97">
        <v>45804</v>
      </c>
      <c r="AK261" t="s">
        <v>941</v>
      </c>
      <c r="AL261" t="s">
        <v>5</v>
      </c>
      <c r="AN261" s="39" t="s">
        <v>1328</v>
      </c>
      <c r="AO261" s="39" t="s">
        <v>1328</v>
      </c>
      <c r="AP261" s="47">
        <v>3050</v>
      </c>
      <c r="AR261" s="38"/>
      <c r="AS261" s="49"/>
      <c r="AU261" s="97">
        <v>45805</v>
      </c>
      <c r="AW261" t="s">
        <v>5</v>
      </c>
      <c r="AY261" s="39">
        <v>0.33819444444444446</v>
      </c>
      <c r="AZ261" s="39">
        <v>0.3520833333333333</v>
      </c>
      <c r="BA261" s="47">
        <v>3628</v>
      </c>
      <c r="BB261" t="s">
        <v>641</v>
      </c>
      <c r="BC261" s="38">
        <v>45805</v>
      </c>
      <c r="BD261" s="49"/>
    </row>
    <row r="262" spans="22:56" ht="16" x14ac:dyDescent="0.4">
      <c r="V262" s="97">
        <v>45801</v>
      </c>
      <c r="W262">
        <v>151506</v>
      </c>
      <c r="X262" s="89" t="s">
        <v>36</v>
      </c>
      <c r="Z262" s="50">
        <v>0.27567129629629633</v>
      </c>
      <c r="AA262" s="50">
        <v>0.55278935185185185</v>
      </c>
      <c r="AD262" s="48">
        <v>21112</v>
      </c>
      <c r="AE262" s="48">
        <f t="shared" si="32"/>
        <v>21.111999999999998</v>
      </c>
      <c r="AF262">
        <v>15.41</v>
      </c>
      <c r="AG262" s="72">
        <f t="shared" si="33"/>
        <v>14</v>
      </c>
      <c r="AH262" s="37">
        <f t="shared" ref="AH262:AH325" si="34">AE262*AG262/14</f>
        <v>21.111999999999998</v>
      </c>
      <c r="AJ262" s="97">
        <v>45804</v>
      </c>
      <c r="AK262" t="s">
        <v>942</v>
      </c>
      <c r="AL262" t="s">
        <v>5</v>
      </c>
      <c r="AN262" s="39" t="s">
        <v>1329</v>
      </c>
      <c r="AO262" s="39" t="s">
        <v>1329</v>
      </c>
      <c r="AP262" s="94">
        <v>2240</v>
      </c>
      <c r="AR262" s="38"/>
      <c r="AS262" s="49"/>
      <c r="AU262" s="97">
        <v>45805</v>
      </c>
      <c r="AW262" t="s">
        <v>5</v>
      </c>
      <c r="AY262" s="39">
        <v>0.3520833333333333</v>
      </c>
      <c r="AZ262" s="39">
        <v>0.42569444444444443</v>
      </c>
      <c r="BA262" s="94">
        <v>2690</v>
      </c>
      <c r="BB262" t="s">
        <v>641</v>
      </c>
      <c r="BC262" s="38">
        <v>45805</v>
      </c>
      <c r="BD262" s="49"/>
    </row>
    <row r="263" spans="22:56" ht="16" x14ac:dyDescent="0.4">
      <c r="V263" s="97">
        <v>45801</v>
      </c>
      <c r="W263">
        <v>151552</v>
      </c>
      <c r="X263" s="89" t="s">
        <v>36</v>
      </c>
      <c r="Z263" s="50">
        <v>0.27810185185185182</v>
      </c>
      <c r="AA263" s="50">
        <v>0.61489583333333331</v>
      </c>
      <c r="AD263" s="48">
        <v>19864</v>
      </c>
      <c r="AE263" s="48">
        <f t="shared" si="32"/>
        <v>19.864000000000001</v>
      </c>
      <c r="AF263">
        <v>14.98</v>
      </c>
      <c r="AG263" s="72">
        <f t="shared" si="33"/>
        <v>14</v>
      </c>
      <c r="AH263" s="37">
        <f t="shared" si="34"/>
        <v>19.864000000000001</v>
      </c>
      <c r="AJ263" s="97">
        <v>45804</v>
      </c>
      <c r="AK263" t="s">
        <v>943</v>
      </c>
      <c r="AL263" t="s">
        <v>5</v>
      </c>
      <c r="AN263" s="39" t="s">
        <v>1330</v>
      </c>
      <c r="AO263" s="39" t="s">
        <v>1330</v>
      </c>
      <c r="AP263" s="94">
        <v>2920</v>
      </c>
      <c r="AR263" s="38"/>
      <c r="AS263" s="49"/>
      <c r="AU263" s="97">
        <v>45805</v>
      </c>
      <c r="AW263" t="s">
        <v>5</v>
      </c>
      <c r="AY263" s="39">
        <v>0.47013888888888888</v>
      </c>
      <c r="AZ263" s="39">
        <v>0.43541666666666662</v>
      </c>
      <c r="BA263" s="94">
        <v>3438</v>
      </c>
      <c r="BB263" t="s">
        <v>646</v>
      </c>
      <c r="BC263" s="38">
        <v>45805</v>
      </c>
      <c r="BD263" s="49"/>
    </row>
    <row r="264" spans="22:56" ht="16" x14ac:dyDescent="0.4">
      <c r="V264" s="97">
        <v>45801</v>
      </c>
      <c r="W264">
        <v>151577</v>
      </c>
      <c r="X264" s="89" t="s">
        <v>36</v>
      </c>
      <c r="Z264" s="50">
        <v>0.27556712962962965</v>
      </c>
      <c r="AA264" s="50">
        <v>0.67857638888888883</v>
      </c>
      <c r="AD264" s="48">
        <v>20372</v>
      </c>
      <c r="AE264" s="48">
        <f t="shared" si="32"/>
        <v>20.372</v>
      </c>
      <c r="AF264">
        <v>14.65</v>
      </c>
      <c r="AG264" s="72">
        <f t="shared" si="33"/>
        <v>14</v>
      </c>
      <c r="AH264" s="37">
        <f t="shared" si="34"/>
        <v>20.371999999999996</v>
      </c>
      <c r="AJ264" s="97">
        <v>45804</v>
      </c>
      <c r="AK264" t="s">
        <v>944</v>
      </c>
      <c r="AL264" t="s">
        <v>5</v>
      </c>
      <c r="AN264" s="39" t="s">
        <v>1331</v>
      </c>
      <c r="AO264" s="39" t="s">
        <v>1331</v>
      </c>
      <c r="AP264" s="94">
        <v>2880</v>
      </c>
      <c r="AR264" s="38"/>
      <c r="AS264" s="49"/>
      <c r="AU264" s="97">
        <v>45804</v>
      </c>
      <c r="AW264" t="s">
        <v>5</v>
      </c>
      <c r="AY264" s="39">
        <v>0.44722222222222219</v>
      </c>
      <c r="AZ264" s="39">
        <v>0.4694444444444445</v>
      </c>
      <c r="BA264" s="94">
        <v>3734</v>
      </c>
      <c r="BB264" t="s">
        <v>641</v>
      </c>
      <c r="BC264" s="38">
        <v>45805</v>
      </c>
      <c r="BD264" s="49"/>
    </row>
    <row r="265" spans="22:56" ht="16" x14ac:dyDescent="0.4">
      <c r="V265" s="97">
        <v>45801</v>
      </c>
      <c r="W265">
        <v>151610</v>
      </c>
      <c r="X265" s="89" t="s">
        <v>36</v>
      </c>
      <c r="Z265" s="50">
        <v>0.55069444444444449</v>
      </c>
      <c r="AA265" s="50">
        <v>0.78541666666666676</v>
      </c>
      <c r="AD265" s="48">
        <v>17966</v>
      </c>
      <c r="AE265" s="48">
        <f t="shared" si="32"/>
        <v>17.966000000000001</v>
      </c>
      <c r="AF265">
        <v>15.57</v>
      </c>
      <c r="AG265" s="72">
        <f t="shared" si="33"/>
        <v>14</v>
      </c>
      <c r="AH265" s="37">
        <f t="shared" si="34"/>
        <v>17.966000000000001</v>
      </c>
      <c r="AJ265" s="97">
        <v>45804</v>
      </c>
      <c r="AK265" t="s">
        <v>945</v>
      </c>
      <c r="AL265" t="s">
        <v>5</v>
      </c>
      <c r="AN265" s="39" t="s">
        <v>1332</v>
      </c>
      <c r="AO265" s="39" t="s">
        <v>1332</v>
      </c>
      <c r="AP265" s="94">
        <v>3250</v>
      </c>
      <c r="AR265" s="38"/>
      <c r="AS265" s="49"/>
      <c r="AU265" s="97">
        <v>45805</v>
      </c>
      <c r="AW265" t="s">
        <v>5</v>
      </c>
      <c r="AY265" s="39">
        <v>0.36944444444444446</v>
      </c>
      <c r="AZ265" s="39">
        <v>0.38541666666666669</v>
      </c>
      <c r="BA265" s="94">
        <v>3488</v>
      </c>
      <c r="BC265" s="38">
        <v>45805</v>
      </c>
      <c r="BD265" s="49"/>
    </row>
    <row r="266" spans="22:56" ht="16" x14ac:dyDescent="0.4">
      <c r="V266" s="97">
        <v>45801</v>
      </c>
      <c r="W266">
        <v>151635</v>
      </c>
      <c r="X266" s="89" t="s">
        <v>36</v>
      </c>
      <c r="Z266" s="50">
        <v>0.85625000000000007</v>
      </c>
      <c r="AA266" s="50"/>
      <c r="AD266" s="48">
        <v>19886</v>
      </c>
      <c r="AE266" s="48">
        <f t="shared" si="32"/>
        <v>19.885999999999999</v>
      </c>
      <c r="AF266">
        <v>14.27</v>
      </c>
      <c r="AG266" s="72">
        <f t="shared" si="33"/>
        <v>14</v>
      </c>
      <c r="AH266" s="37">
        <f t="shared" si="34"/>
        <v>19.885999999999999</v>
      </c>
      <c r="AJ266" s="97">
        <v>45804</v>
      </c>
      <c r="AK266" t="s">
        <v>946</v>
      </c>
      <c r="AL266" t="s">
        <v>5</v>
      </c>
      <c r="AN266" s="39" t="s">
        <v>1333</v>
      </c>
      <c r="AO266" s="39" t="s">
        <v>1333</v>
      </c>
      <c r="AP266" s="94">
        <v>2970</v>
      </c>
      <c r="AR266" s="38"/>
      <c r="AS266" s="49"/>
      <c r="AU266" s="97">
        <v>45805</v>
      </c>
      <c r="AW266" t="s">
        <v>5</v>
      </c>
      <c r="AY266" s="39">
        <v>0.44097222222222227</v>
      </c>
      <c r="AZ266" s="39">
        <v>0.45833333333333331</v>
      </c>
      <c r="BA266" s="94">
        <v>1756</v>
      </c>
      <c r="BB266" t="s">
        <v>626</v>
      </c>
      <c r="BC266" s="38">
        <v>45805</v>
      </c>
      <c r="BD266" s="49"/>
    </row>
    <row r="267" spans="22:56" ht="16" x14ac:dyDescent="0.4">
      <c r="V267" s="97">
        <v>45801</v>
      </c>
      <c r="W267">
        <v>151653</v>
      </c>
      <c r="X267" s="89" t="s">
        <v>36</v>
      </c>
      <c r="Z267" s="50">
        <v>0.55069444444444449</v>
      </c>
      <c r="AA267" s="50">
        <v>0.92361111111111116</v>
      </c>
      <c r="AD267" s="48">
        <v>19458</v>
      </c>
      <c r="AE267" s="48">
        <f t="shared" si="32"/>
        <v>19.457999999999998</v>
      </c>
      <c r="AF267">
        <v>15.77</v>
      </c>
      <c r="AG267" s="72">
        <f t="shared" si="33"/>
        <v>14</v>
      </c>
      <c r="AH267" s="37">
        <f t="shared" si="34"/>
        <v>19.457999999999998</v>
      </c>
      <c r="AJ267" s="97">
        <v>45804</v>
      </c>
      <c r="AK267" t="s">
        <v>947</v>
      </c>
      <c r="AL267" t="s">
        <v>5</v>
      </c>
      <c r="AN267" s="39" t="s">
        <v>1334</v>
      </c>
      <c r="AO267" s="39" t="s">
        <v>1335</v>
      </c>
      <c r="AP267" s="47">
        <v>3740</v>
      </c>
      <c r="AR267" s="38"/>
      <c r="AS267" s="49"/>
      <c r="AU267" s="97">
        <v>45805</v>
      </c>
      <c r="AW267" t="s">
        <v>5</v>
      </c>
      <c r="AY267" s="39">
        <v>0.55763888888888891</v>
      </c>
      <c r="AZ267" s="39"/>
      <c r="BA267" s="47">
        <v>3260</v>
      </c>
      <c r="BB267" t="s">
        <v>647</v>
      </c>
      <c r="BC267" s="38">
        <v>45805</v>
      </c>
      <c r="BD267" s="49"/>
    </row>
    <row r="268" spans="22:56" ht="16" x14ac:dyDescent="0.4">
      <c r="V268" s="97">
        <v>45802</v>
      </c>
      <c r="W268">
        <v>151676</v>
      </c>
      <c r="X268" s="89" t="s">
        <v>36</v>
      </c>
      <c r="Z268" s="50">
        <v>0.76041666666666663</v>
      </c>
      <c r="AA268" s="50">
        <v>8.3333333333333332E-3</v>
      </c>
      <c r="AD268" s="48">
        <v>19564</v>
      </c>
      <c r="AE268" s="48">
        <f t="shared" si="32"/>
        <v>19.564</v>
      </c>
      <c r="AF268">
        <v>16.87</v>
      </c>
      <c r="AG268" s="72">
        <f t="shared" si="33"/>
        <v>14</v>
      </c>
      <c r="AH268" s="37">
        <f t="shared" si="34"/>
        <v>19.564</v>
      </c>
      <c r="AJ268" s="97">
        <v>45804</v>
      </c>
      <c r="AK268" t="s">
        <v>948</v>
      </c>
      <c r="AL268" t="s">
        <v>5</v>
      </c>
      <c r="AN268" s="39" t="s">
        <v>1336</v>
      </c>
      <c r="AO268" s="39" t="s">
        <v>1336</v>
      </c>
      <c r="AP268" s="47">
        <v>2510</v>
      </c>
      <c r="AR268" s="38"/>
      <c r="AS268" s="49"/>
      <c r="AU268" s="97">
        <v>45805</v>
      </c>
      <c r="AW268" t="s">
        <v>5</v>
      </c>
      <c r="AY268" s="39">
        <v>0.45624999999999999</v>
      </c>
      <c r="AZ268" s="39">
        <v>0.47222222222222227</v>
      </c>
      <c r="BA268" s="47">
        <v>3052</v>
      </c>
      <c r="BB268" t="s">
        <v>648</v>
      </c>
      <c r="BC268" s="38">
        <v>45805</v>
      </c>
      <c r="BD268" s="49"/>
    </row>
    <row r="269" spans="22:56" ht="16" x14ac:dyDescent="0.4">
      <c r="V269" s="97">
        <v>45802</v>
      </c>
      <c r="W269">
        <v>151683</v>
      </c>
      <c r="X269" s="89" t="s">
        <v>36</v>
      </c>
      <c r="Z269" s="50">
        <v>0.55069444444444449</v>
      </c>
      <c r="AA269" s="50">
        <v>6.9444444444444434E-2</v>
      </c>
      <c r="AD269" s="48">
        <v>18946</v>
      </c>
      <c r="AE269" s="48">
        <f t="shared" si="32"/>
        <v>18.946000000000002</v>
      </c>
      <c r="AF269">
        <v>15.7</v>
      </c>
      <c r="AG269" s="72">
        <f t="shared" si="33"/>
        <v>14</v>
      </c>
      <c r="AH269" s="37">
        <f t="shared" si="34"/>
        <v>18.946000000000002</v>
      </c>
      <c r="AJ269" s="97">
        <v>45804</v>
      </c>
      <c r="AK269" t="s">
        <v>949</v>
      </c>
      <c r="AL269" t="s">
        <v>5</v>
      </c>
      <c r="AN269" s="39" t="s">
        <v>1337</v>
      </c>
      <c r="AO269" s="39" t="s">
        <v>1337</v>
      </c>
      <c r="AP269" s="47">
        <v>1950</v>
      </c>
      <c r="AR269" s="38"/>
      <c r="AS269" s="49"/>
      <c r="AU269" s="97">
        <v>45805</v>
      </c>
      <c r="AW269" t="s">
        <v>5</v>
      </c>
      <c r="AY269" s="39">
        <v>0.47222222222222227</v>
      </c>
      <c r="AZ269" s="39">
        <v>0.59305555555555556</v>
      </c>
      <c r="BA269" s="47">
        <v>3282</v>
      </c>
      <c r="BB269" t="s">
        <v>648</v>
      </c>
      <c r="BC269" s="38">
        <v>45805</v>
      </c>
      <c r="BD269" s="49"/>
    </row>
    <row r="270" spans="22:56" ht="16" x14ac:dyDescent="0.4">
      <c r="V270" s="97">
        <v>45802</v>
      </c>
      <c r="W270">
        <v>151691</v>
      </c>
      <c r="X270" s="89" t="s">
        <v>36</v>
      </c>
      <c r="Z270" s="50">
        <v>0.60347222222222219</v>
      </c>
      <c r="AA270" s="50">
        <v>0.12986111111111112</v>
      </c>
      <c r="AD270" s="48">
        <v>21088</v>
      </c>
      <c r="AE270" s="48">
        <f t="shared" si="32"/>
        <v>21.088000000000001</v>
      </c>
      <c r="AF270">
        <v>14.38</v>
      </c>
      <c r="AG270" s="72">
        <f t="shared" si="33"/>
        <v>14</v>
      </c>
      <c r="AH270" s="37">
        <f t="shared" si="34"/>
        <v>21.088000000000001</v>
      </c>
      <c r="AJ270" s="97">
        <v>45804</v>
      </c>
      <c r="AK270" t="s">
        <v>950</v>
      </c>
      <c r="AL270" t="s">
        <v>5</v>
      </c>
      <c r="AN270" s="39" t="s">
        <v>1338</v>
      </c>
      <c r="AO270" s="39" t="s">
        <v>1338</v>
      </c>
      <c r="AP270" s="47">
        <v>2830</v>
      </c>
      <c r="AR270" s="38"/>
      <c r="AS270" s="49"/>
      <c r="AU270" s="97">
        <v>45805</v>
      </c>
      <c r="AW270" t="s">
        <v>5</v>
      </c>
      <c r="AY270" s="39">
        <v>0.65347222222222223</v>
      </c>
      <c r="AZ270" s="39">
        <v>0.64930555555555558</v>
      </c>
      <c r="BA270" s="47">
        <v>4586</v>
      </c>
      <c r="BB270" t="s">
        <v>649</v>
      </c>
      <c r="BC270" s="38">
        <v>45805</v>
      </c>
      <c r="BD270" s="49"/>
    </row>
    <row r="271" spans="22:56" ht="16" x14ac:dyDescent="0.4">
      <c r="V271" s="97">
        <v>45802</v>
      </c>
      <c r="W271">
        <v>151694</v>
      </c>
      <c r="X271" s="89" t="s">
        <v>36</v>
      </c>
      <c r="Z271" s="50">
        <v>0.10972222222222222</v>
      </c>
      <c r="AA271" s="50">
        <v>0.19097222222222221</v>
      </c>
      <c r="AD271" s="48">
        <v>20022</v>
      </c>
      <c r="AE271" s="48">
        <f t="shared" si="32"/>
        <v>20.021999999999998</v>
      </c>
      <c r="AF271">
        <v>14.95</v>
      </c>
      <c r="AG271" s="72">
        <f t="shared" si="33"/>
        <v>14</v>
      </c>
      <c r="AH271" s="37">
        <f t="shared" si="34"/>
        <v>20.021999999999998</v>
      </c>
      <c r="AJ271" s="97">
        <v>45804</v>
      </c>
      <c r="AK271" t="s">
        <v>951</v>
      </c>
      <c r="AL271" t="s">
        <v>5</v>
      </c>
      <c r="AN271" s="39" t="s">
        <v>1339</v>
      </c>
      <c r="AO271" s="39" t="s">
        <v>1339</v>
      </c>
      <c r="AP271" s="47">
        <v>3570</v>
      </c>
      <c r="AR271" s="38"/>
      <c r="AS271" s="49"/>
      <c r="AU271" s="97">
        <v>45805</v>
      </c>
      <c r="AW271" t="s">
        <v>5</v>
      </c>
      <c r="AY271" s="39">
        <v>0.36908564814814815</v>
      </c>
      <c r="AZ271" s="39">
        <v>0.42375000000000002</v>
      </c>
      <c r="BA271" s="47">
        <v>3216</v>
      </c>
      <c r="BB271" t="s">
        <v>650</v>
      </c>
      <c r="BC271" s="38">
        <v>45805</v>
      </c>
      <c r="BD271" s="49"/>
    </row>
    <row r="272" spans="22:56" ht="16" x14ac:dyDescent="0.4">
      <c r="V272" s="97">
        <v>45802</v>
      </c>
      <c r="W272">
        <v>151705</v>
      </c>
      <c r="X272" s="89" t="s">
        <v>36</v>
      </c>
      <c r="Z272" s="50">
        <v>0.18368055555555554</v>
      </c>
      <c r="AA272" s="50">
        <v>0.23252314814814815</v>
      </c>
      <c r="AD272" s="48">
        <v>18944</v>
      </c>
      <c r="AE272" s="48">
        <f t="shared" si="32"/>
        <v>18.943999999999999</v>
      </c>
      <c r="AF272">
        <v>15.59</v>
      </c>
      <c r="AG272" s="72">
        <f t="shared" si="33"/>
        <v>14</v>
      </c>
      <c r="AH272" s="37">
        <f t="shared" si="34"/>
        <v>18.943999999999999</v>
      </c>
      <c r="AJ272" s="97">
        <v>45804</v>
      </c>
      <c r="AK272" t="s">
        <v>952</v>
      </c>
      <c r="AL272" t="s">
        <v>5</v>
      </c>
      <c r="AN272" s="39" t="s">
        <v>1340</v>
      </c>
      <c r="AO272" s="39" t="s">
        <v>1340</v>
      </c>
      <c r="AP272" s="47">
        <v>5450</v>
      </c>
      <c r="AR272" s="38"/>
      <c r="AS272" s="49"/>
      <c r="AU272" s="97">
        <v>45806</v>
      </c>
      <c r="AW272" t="s">
        <v>5</v>
      </c>
      <c r="AY272" s="39">
        <v>0.47350694444444441</v>
      </c>
      <c r="AZ272" s="39">
        <v>0.49075231481481479</v>
      </c>
      <c r="BA272" s="47">
        <v>3248</v>
      </c>
      <c r="BB272" t="s">
        <v>651</v>
      </c>
      <c r="BC272" s="38">
        <v>45806</v>
      </c>
      <c r="BD272" s="49"/>
    </row>
    <row r="273" spans="22:56" ht="16" x14ac:dyDescent="0.4">
      <c r="V273" s="97">
        <v>45802</v>
      </c>
      <c r="W273">
        <v>151715</v>
      </c>
      <c r="X273" s="89" t="s">
        <v>36</v>
      </c>
      <c r="Z273" s="50">
        <v>0.67251157407407414</v>
      </c>
      <c r="AA273" s="50">
        <v>0.28821759259259255</v>
      </c>
      <c r="AD273" s="48">
        <v>19520</v>
      </c>
      <c r="AE273" s="48">
        <f t="shared" si="32"/>
        <v>19.52</v>
      </c>
      <c r="AF273">
        <v>16.03</v>
      </c>
      <c r="AG273" s="72">
        <f t="shared" si="33"/>
        <v>14</v>
      </c>
      <c r="AH273" s="37">
        <f t="shared" si="34"/>
        <v>19.52</v>
      </c>
      <c r="AJ273" s="97">
        <v>45805</v>
      </c>
      <c r="AK273" t="s">
        <v>953</v>
      </c>
      <c r="AL273" t="s">
        <v>5</v>
      </c>
      <c r="AN273" s="39" t="s">
        <v>1341</v>
      </c>
      <c r="AO273" s="39" t="s">
        <v>1342</v>
      </c>
      <c r="AP273" s="47">
        <v>3640</v>
      </c>
      <c r="AR273" s="38"/>
      <c r="AS273" s="49"/>
      <c r="AU273" s="97">
        <v>45806</v>
      </c>
      <c r="AW273" t="s">
        <v>5</v>
      </c>
      <c r="AY273" s="39">
        <v>0.49085648148148148</v>
      </c>
      <c r="AZ273" s="39">
        <v>0.3893287037037037</v>
      </c>
      <c r="BA273" s="47">
        <v>3342</v>
      </c>
      <c r="BB273" t="s">
        <v>652</v>
      </c>
      <c r="BC273" s="38">
        <v>45806</v>
      </c>
      <c r="BD273" s="49"/>
    </row>
    <row r="274" spans="22:56" ht="16" x14ac:dyDescent="0.4">
      <c r="V274" s="97">
        <v>45802</v>
      </c>
      <c r="W274">
        <v>151724</v>
      </c>
      <c r="X274" s="89" t="s">
        <v>36</v>
      </c>
      <c r="Z274" s="50">
        <v>0.27259259259259255</v>
      </c>
      <c r="AA274" s="50"/>
      <c r="AD274" s="48">
        <v>18716</v>
      </c>
      <c r="AE274" s="48">
        <f t="shared" si="32"/>
        <v>18.716000000000001</v>
      </c>
      <c r="AF274">
        <v>14.09</v>
      </c>
      <c r="AG274" s="72">
        <f t="shared" si="33"/>
        <v>14</v>
      </c>
      <c r="AH274" s="37">
        <f t="shared" si="34"/>
        <v>18.716000000000001</v>
      </c>
      <c r="AJ274" s="97">
        <v>45805</v>
      </c>
      <c r="AK274" t="s">
        <v>954</v>
      </c>
      <c r="AL274" t="s">
        <v>5</v>
      </c>
      <c r="AN274" s="39" t="s">
        <v>1343</v>
      </c>
      <c r="AO274" s="39" t="s">
        <v>1343</v>
      </c>
      <c r="AP274" s="47">
        <v>3400</v>
      </c>
      <c r="AR274" s="38"/>
      <c r="AS274" s="49"/>
      <c r="AU274" s="97">
        <v>45806</v>
      </c>
      <c r="AW274" t="s">
        <v>5</v>
      </c>
      <c r="AY274" s="39">
        <v>0.45399305555555558</v>
      </c>
      <c r="AZ274" s="39">
        <v>0.35387731481481483</v>
      </c>
      <c r="BA274" s="47">
        <v>3086</v>
      </c>
      <c r="BB274" t="s">
        <v>653</v>
      </c>
      <c r="BC274" s="38">
        <v>45806</v>
      </c>
      <c r="BD274" s="49"/>
    </row>
    <row r="275" spans="22:56" ht="16" x14ac:dyDescent="0.4">
      <c r="V275" s="97">
        <v>45802</v>
      </c>
      <c r="W275">
        <v>151735</v>
      </c>
      <c r="X275" s="89" t="s">
        <v>36</v>
      </c>
      <c r="Z275" s="50">
        <v>0.43699074074074074</v>
      </c>
      <c r="AA275" s="50"/>
      <c r="AB275">
        <v>104</v>
      </c>
      <c r="AC275" t="s">
        <v>612</v>
      </c>
      <c r="AD275" s="48">
        <v>4824</v>
      </c>
      <c r="AE275" s="48">
        <f t="shared" si="32"/>
        <v>4.8239999999999998</v>
      </c>
      <c r="AF275">
        <v>3.11</v>
      </c>
      <c r="AG275" s="72">
        <f t="shared" si="33"/>
        <v>3.11</v>
      </c>
      <c r="AH275" s="37">
        <f t="shared" si="34"/>
        <v>1.0716171428571428</v>
      </c>
      <c r="AJ275" s="97">
        <v>45805</v>
      </c>
      <c r="AK275" t="s">
        <v>955</v>
      </c>
      <c r="AL275" t="s">
        <v>5</v>
      </c>
      <c r="AN275" s="39" t="s">
        <v>1344</v>
      </c>
      <c r="AO275" s="39" t="s">
        <v>1345</v>
      </c>
      <c r="AP275" s="47">
        <v>2600</v>
      </c>
      <c r="AR275" s="38"/>
      <c r="AS275" s="49"/>
      <c r="AU275" s="97">
        <v>45806</v>
      </c>
      <c r="AW275" t="s">
        <v>5</v>
      </c>
      <c r="AY275" s="39">
        <v>0.40570601851851856</v>
      </c>
      <c r="AZ275" s="39">
        <v>0.46418981481481486</v>
      </c>
      <c r="BA275" s="47">
        <v>3132</v>
      </c>
      <c r="BB275" t="s">
        <v>644</v>
      </c>
      <c r="BC275" s="38">
        <v>45806</v>
      </c>
      <c r="BD275" s="49"/>
    </row>
    <row r="276" spans="22:56" ht="16" x14ac:dyDescent="0.4">
      <c r="V276" s="97">
        <v>45803</v>
      </c>
      <c r="W276">
        <v>152201</v>
      </c>
      <c r="X276" s="89" t="s">
        <v>36</v>
      </c>
      <c r="Z276" s="50">
        <v>0.10972222222222222</v>
      </c>
      <c r="AA276" s="50">
        <v>0.87083333333333324</v>
      </c>
      <c r="AD276" s="48">
        <v>21358</v>
      </c>
      <c r="AE276" s="48">
        <f t="shared" si="32"/>
        <v>21.358000000000001</v>
      </c>
      <c r="AF276">
        <v>15.13</v>
      </c>
      <c r="AG276" s="72">
        <f t="shared" si="33"/>
        <v>14</v>
      </c>
      <c r="AH276" s="37">
        <f t="shared" si="34"/>
        <v>21.358000000000001</v>
      </c>
      <c r="AJ276" s="97">
        <v>45805</v>
      </c>
      <c r="AK276" t="s">
        <v>956</v>
      </c>
      <c r="AL276" t="s">
        <v>5</v>
      </c>
      <c r="AN276" s="39" t="s">
        <v>1346</v>
      </c>
      <c r="AO276" s="39" t="s">
        <v>1346</v>
      </c>
      <c r="AP276" s="47">
        <v>3430</v>
      </c>
      <c r="AR276" s="38"/>
      <c r="AS276" s="49"/>
      <c r="AU276" s="97">
        <v>45806</v>
      </c>
      <c r="AW276" t="s">
        <v>5</v>
      </c>
      <c r="AY276" s="39">
        <v>0.38488425925925923</v>
      </c>
      <c r="AZ276" s="39">
        <v>0.55616898148148153</v>
      </c>
      <c r="BA276" s="47">
        <v>3444</v>
      </c>
      <c r="BB276" t="s">
        <v>653</v>
      </c>
      <c r="BC276" s="38">
        <v>45806</v>
      </c>
      <c r="BD276" s="49"/>
    </row>
    <row r="277" spans="22:56" ht="16" x14ac:dyDescent="0.4">
      <c r="V277" s="97">
        <v>45803</v>
      </c>
      <c r="W277">
        <v>152238</v>
      </c>
      <c r="X277" s="89" t="s">
        <v>36</v>
      </c>
      <c r="Z277" s="50">
        <v>0.18680555555555556</v>
      </c>
      <c r="AA277" s="50">
        <v>0.94166666666666676</v>
      </c>
      <c r="AD277" s="48">
        <v>20240</v>
      </c>
      <c r="AE277" s="48">
        <f t="shared" si="32"/>
        <v>20.239999999999998</v>
      </c>
      <c r="AF277">
        <v>15.2</v>
      </c>
      <c r="AG277" s="72">
        <f t="shared" si="33"/>
        <v>14</v>
      </c>
      <c r="AH277" s="37">
        <f t="shared" si="34"/>
        <v>20.239999999999998</v>
      </c>
      <c r="AJ277" s="97">
        <v>45805</v>
      </c>
      <c r="AK277" t="s">
        <v>957</v>
      </c>
      <c r="AL277" t="s">
        <v>5</v>
      </c>
      <c r="AN277" s="39" t="s">
        <v>1347</v>
      </c>
      <c r="AO277" s="39" t="s">
        <v>1347</v>
      </c>
      <c r="AP277" s="47">
        <v>1650</v>
      </c>
      <c r="AR277" s="38"/>
      <c r="AS277" s="49"/>
      <c r="AU277" s="97">
        <v>45806</v>
      </c>
      <c r="AW277" t="s">
        <v>5</v>
      </c>
      <c r="AY277" s="39">
        <v>0.36604166666666665</v>
      </c>
      <c r="AZ277" s="39">
        <v>0.38472222222222219</v>
      </c>
      <c r="BA277" s="47">
        <v>3438</v>
      </c>
      <c r="BB277" t="s">
        <v>653</v>
      </c>
      <c r="BC277" s="38">
        <v>45806</v>
      </c>
      <c r="BD277" s="49"/>
    </row>
    <row r="278" spans="22:56" ht="16" x14ac:dyDescent="0.4">
      <c r="V278" s="97">
        <v>45804</v>
      </c>
      <c r="W278">
        <v>152263</v>
      </c>
      <c r="X278" s="89" t="s">
        <v>36</v>
      </c>
      <c r="Z278" s="50">
        <v>0.10972222222222222</v>
      </c>
      <c r="AA278" s="50">
        <v>3.888888888888889E-2</v>
      </c>
      <c r="AD278" s="48">
        <v>20132</v>
      </c>
      <c r="AE278" s="48">
        <f t="shared" si="32"/>
        <v>20.132000000000001</v>
      </c>
      <c r="AF278">
        <v>13.55</v>
      </c>
      <c r="AG278" s="72">
        <f t="shared" si="33"/>
        <v>13.55</v>
      </c>
      <c r="AH278" s="37">
        <f t="shared" si="34"/>
        <v>19.484900000000003</v>
      </c>
      <c r="AJ278" s="97">
        <v>45805</v>
      </c>
      <c r="AK278" t="s">
        <v>958</v>
      </c>
      <c r="AL278" t="s">
        <v>5</v>
      </c>
      <c r="AN278" s="39" t="s">
        <v>1348</v>
      </c>
      <c r="AO278" s="39" t="s">
        <v>1348</v>
      </c>
      <c r="AP278" s="47">
        <v>3140</v>
      </c>
      <c r="AR278" s="38"/>
      <c r="AS278" s="49"/>
      <c r="AU278" s="97">
        <v>45806</v>
      </c>
      <c r="AW278" t="s">
        <v>5</v>
      </c>
      <c r="AY278" s="39">
        <v>0.43288194444444444</v>
      </c>
      <c r="AZ278" s="39">
        <v>0.45663194444444444</v>
      </c>
      <c r="BA278" s="47">
        <v>3802</v>
      </c>
      <c r="BB278" t="s">
        <v>654</v>
      </c>
      <c r="BC278" s="38">
        <v>45806</v>
      </c>
      <c r="BD278" s="49"/>
    </row>
    <row r="279" spans="22:56" ht="16" x14ac:dyDescent="0.4">
      <c r="V279" s="97">
        <v>45804</v>
      </c>
      <c r="W279">
        <v>152277</v>
      </c>
      <c r="X279" s="89" t="s">
        <v>36</v>
      </c>
      <c r="Z279" s="50">
        <v>0.60347222222222219</v>
      </c>
      <c r="AA279" s="50">
        <v>0.10833333333333334</v>
      </c>
      <c r="AD279" s="48">
        <v>19970</v>
      </c>
      <c r="AE279" s="48">
        <f t="shared" si="32"/>
        <v>19.97</v>
      </c>
      <c r="AF279">
        <v>14.16</v>
      </c>
      <c r="AG279" s="72">
        <f t="shared" si="33"/>
        <v>14</v>
      </c>
      <c r="AH279" s="37">
        <f t="shared" si="34"/>
        <v>19.97</v>
      </c>
      <c r="AJ279" s="97">
        <v>45805</v>
      </c>
      <c r="AK279" t="s">
        <v>959</v>
      </c>
      <c r="AL279" t="s">
        <v>5</v>
      </c>
      <c r="AN279" s="39" t="s">
        <v>1349</v>
      </c>
      <c r="AO279" s="39" t="s">
        <v>1350</v>
      </c>
      <c r="AP279" s="47">
        <v>3100</v>
      </c>
      <c r="AR279" s="38"/>
      <c r="AS279" s="49"/>
      <c r="AU279" s="97">
        <v>45807</v>
      </c>
      <c r="AW279" t="s">
        <v>5</v>
      </c>
      <c r="AY279" s="39">
        <v>0.44324074074074077</v>
      </c>
      <c r="AZ279" s="39">
        <v>0.63780092592592597</v>
      </c>
      <c r="BA279" s="47">
        <v>2712</v>
      </c>
      <c r="BC279" s="38">
        <v>45807</v>
      </c>
      <c r="BD279" s="49"/>
    </row>
    <row r="280" spans="22:56" ht="16" x14ac:dyDescent="0.4">
      <c r="V280" s="97">
        <v>45804</v>
      </c>
      <c r="W280">
        <v>152288</v>
      </c>
      <c r="X280" s="89" t="s">
        <v>36</v>
      </c>
      <c r="Z280" s="50">
        <v>0.76041666666666663</v>
      </c>
      <c r="AA280" s="50">
        <v>0.16805555555555554</v>
      </c>
      <c r="AD280" s="48">
        <v>20788</v>
      </c>
      <c r="AE280" s="48">
        <f t="shared" si="32"/>
        <v>20.788</v>
      </c>
      <c r="AF280">
        <v>14.49</v>
      </c>
      <c r="AG280" s="72">
        <f t="shared" si="33"/>
        <v>14</v>
      </c>
      <c r="AH280" s="37">
        <f t="shared" si="34"/>
        <v>20.788</v>
      </c>
      <c r="AJ280" s="97">
        <v>45805</v>
      </c>
      <c r="AK280" t="s">
        <v>960</v>
      </c>
      <c r="AL280" t="s">
        <v>5</v>
      </c>
      <c r="AN280" s="39" t="s">
        <v>1351</v>
      </c>
      <c r="AO280" s="39" t="s">
        <v>1351</v>
      </c>
      <c r="AP280" s="47">
        <v>3180</v>
      </c>
      <c r="AR280" s="38"/>
      <c r="AS280" s="49"/>
      <c r="AU280" s="97">
        <v>45807</v>
      </c>
      <c r="AW280" t="s">
        <v>5</v>
      </c>
      <c r="AY280" s="39">
        <v>0.59076388888888887</v>
      </c>
      <c r="AZ280" s="39">
        <v>0.60766203703703703</v>
      </c>
      <c r="BA280" s="47">
        <v>3098</v>
      </c>
      <c r="BB280" t="s">
        <v>655</v>
      </c>
      <c r="BC280" s="38">
        <v>45807</v>
      </c>
      <c r="BD280" s="49"/>
    </row>
    <row r="281" spans="22:56" ht="16" x14ac:dyDescent="0.4">
      <c r="V281" s="97">
        <v>45804</v>
      </c>
      <c r="W281">
        <v>152294</v>
      </c>
      <c r="X281" s="89" t="s">
        <v>36</v>
      </c>
      <c r="Z281" s="50">
        <v>0.18680555555555556</v>
      </c>
      <c r="AA281" s="50">
        <v>0.22500000000000001</v>
      </c>
      <c r="AD281" s="48">
        <v>20432</v>
      </c>
      <c r="AE281" s="48">
        <f t="shared" si="32"/>
        <v>20.431999999999999</v>
      </c>
      <c r="AF281">
        <v>15.05</v>
      </c>
      <c r="AG281" s="72">
        <f t="shared" si="33"/>
        <v>14</v>
      </c>
      <c r="AH281" s="37">
        <f t="shared" si="34"/>
        <v>20.431999999999999</v>
      </c>
      <c r="AJ281" s="97">
        <v>45805</v>
      </c>
      <c r="AK281" t="s">
        <v>961</v>
      </c>
      <c r="AL281" t="s">
        <v>5</v>
      </c>
      <c r="AN281" s="39" t="s">
        <v>1352</v>
      </c>
      <c r="AO281" s="39" t="s">
        <v>1352</v>
      </c>
      <c r="AP281" s="47">
        <v>3210</v>
      </c>
      <c r="AR281" s="38"/>
      <c r="AS281" s="49"/>
      <c r="AU281" s="97">
        <v>45807</v>
      </c>
      <c r="AW281" t="s">
        <v>5</v>
      </c>
      <c r="AY281" s="39">
        <v>0.35780092592592588</v>
      </c>
      <c r="AZ281" s="39"/>
      <c r="BA281" s="47">
        <v>2630</v>
      </c>
      <c r="BB281" t="s">
        <v>655</v>
      </c>
      <c r="BC281" s="38">
        <v>45807</v>
      </c>
      <c r="BD281" s="49"/>
    </row>
    <row r="282" spans="22:56" ht="16" x14ac:dyDescent="0.4">
      <c r="V282" s="97">
        <v>45804</v>
      </c>
      <c r="W282">
        <v>152317</v>
      </c>
      <c r="X282" s="89" t="s">
        <v>36</v>
      </c>
      <c r="Z282" s="50">
        <v>0.21234953703703704</v>
      </c>
      <c r="AA282" s="50">
        <v>0.29745370370370372</v>
      </c>
      <c r="AB282">
        <v>104</v>
      </c>
      <c r="AD282" s="48">
        <v>18788</v>
      </c>
      <c r="AE282" s="48">
        <f t="shared" si="32"/>
        <v>18.788</v>
      </c>
      <c r="AF282">
        <v>17.62</v>
      </c>
      <c r="AG282" s="72">
        <f t="shared" si="33"/>
        <v>14</v>
      </c>
      <c r="AH282" s="37">
        <f t="shared" si="34"/>
        <v>18.788</v>
      </c>
      <c r="AJ282" s="97">
        <v>45805</v>
      </c>
      <c r="AK282" t="s">
        <v>962</v>
      </c>
      <c r="AL282" t="s">
        <v>5</v>
      </c>
      <c r="AN282" s="39" t="s">
        <v>1353</v>
      </c>
      <c r="AO282" s="39">
        <v>0</v>
      </c>
      <c r="AP282" s="47">
        <v>4700</v>
      </c>
      <c r="AR282" s="38"/>
      <c r="AS282" s="49"/>
      <c r="AU282" s="97">
        <v>45807</v>
      </c>
      <c r="AW282" t="s">
        <v>5</v>
      </c>
      <c r="AY282" s="39">
        <v>0.66719907407407408</v>
      </c>
      <c r="AZ282" s="39">
        <v>0.68162037037037038</v>
      </c>
      <c r="BA282" s="47">
        <v>3606</v>
      </c>
      <c r="BB282" t="s">
        <v>651</v>
      </c>
      <c r="BC282" s="38">
        <v>45807</v>
      </c>
      <c r="BD282" s="49"/>
    </row>
    <row r="283" spans="22:56" ht="16" x14ac:dyDescent="0.4">
      <c r="V283" s="97">
        <v>45804</v>
      </c>
      <c r="W283">
        <v>152378</v>
      </c>
      <c r="X283" s="89" t="s">
        <v>36</v>
      </c>
      <c r="Z283" s="50">
        <v>0.27526620370370369</v>
      </c>
      <c r="AA283" s="50">
        <v>0.35903935185185182</v>
      </c>
      <c r="AD283" s="48">
        <v>19658</v>
      </c>
      <c r="AE283" s="48">
        <f t="shared" si="32"/>
        <v>19.658000000000001</v>
      </c>
      <c r="AF283">
        <v>17.38</v>
      </c>
      <c r="AG283" s="72">
        <f t="shared" si="33"/>
        <v>14</v>
      </c>
      <c r="AH283" s="37">
        <f t="shared" si="34"/>
        <v>19.657999999999998</v>
      </c>
      <c r="AJ283" s="97">
        <v>45805</v>
      </c>
      <c r="AK283" t="s">
        <v>963</v>
      </c>
      <c r="AL283" t="s">
        <v>5</v>
      </c>
      <c r="AN283" s="39" t="s">
        <v>1354</v>
      </c>
      <c r="AO283" s="39" t="s">
        <v>1355</v>
      </c>
      <c r="AP283" s="47">
        <v>4650</v>
      </c>
      <c r="AR283" s="38"/>
      <c r="AS283" s="49"/>
      <c r="AU283" s="97">
        <v>45807</v>
      </c>
      <c r="AW283" t="s">
        <v>5</v>
      </c>
      <c r="AY283" s="39">
        <v>0.35704861111111108</v>
      </c>
      <c r="AZ283" s="39">
        <v>0.42432870370370374</v>
      </c>
      <c r="BA283" s="47">
        <v>3318</v>
      </c>
      <c r="BB283" t="s">
        <v>656</v>
      </c>
      <c r="BC283" s="38">
        <v>45807</v>
      </c>
      <c r="BD283" s="49"/>
    </row>
    <row r="284" spans="22:56" ht="16" x14ac:dyDescent="0.4">
      <c r="V284" s="97">
        <v>45804</v>
      </c>
      <c r="W284">
        <v>152461</v>
      </c>
      <c r="X284" s="89" t="s">
        <v>36</v>
      </c>
      <c r="Z284" s="50">
        <v>0.21224537037037036</v>
      </c>
      <c r="AA284" s="50">
        <v>0.42509259259259258</v>
      </c>
      <c r="AD284" s="48">
        <v>21258</v>
      </c>
      <c r="AE284" s="48">
        <f t="shared" si="32"/>
        <v>21.257999999999999</v>
      </c>
      <c r="AF284">
        <v>15.74</v>
      </c>
      <c r="AG284" s="72">
        <f t="shared" si="33"/>
        <v>14</v>
      </c>
      <c r="AH284" s="37">
        <f t="shared" si="34"/>
        <v>21.257999999999999</v>
      </c>
      <c r="AJ284" s="97">
        <v>45806</v>
      </c>
      <c r="AK284" t="s">
        <v>964</v>
      </c>
      <c r="AL284" t="s">
        <v>5</v>
      </c>
      <c r="AN284" s="39" t="s">
        <v>1356</v>
      </c>
      <c r="AO284" s="39" t="s">
        <v>1356</v>
      </c>
      <c r="AP284" s="47">
        <v>3110</v>
      </c>
      <c r="AR284" s="38"/>
      <c r="AS284" s="49"/>
      <c r="AU284" s="97">
        <v>45807</v>
      </c>
      <c r="AW284" t="s">
        <v>5</v>
      </c>
      <c r="AY284" s="39">
        <v>0.33870370370370373</v>
      </c>
      <c r="AZ284" s="39">
        <v>0.35699074074074072</v>
      </c>
      <c r="BA284" s="47">
        <v>3232</v>
      </c>
      <c r="BB284" t="s">
        <v>657</v>
      </c>
      <c r="BC284" s="38">
        <v>45807</v>
      </c>
      <c r="BD284" s="49"/>
    </row>
    <row r="285" spans="22:56" ht="16" x14ac:dyDescent="0.4">
      <c r="V285" s="97">
        <v>45804</v>
      </c>
      <c r="W285">
        <v>152515</v>
      </c>
      <c r="X285" s="89" t="s">
        <v>36</v>
      </c>
      <c r="Z285" s="50">
        <v>0.27502314814814816</v>
      </c>
      <c r="AA285" s="50">
        <v>0.52162037037037035</v>
      </c>
      <c r="AD285" s="48">
        <v>20210</v>
      </c>
      <c r="AE285" s="48">
        <f t="shared" si="32"/>
        <v>20.21</v>
      </c>
      <c r="AF285">
        <v>15.59</v>
      </c>
      <c r="AG285" s="72">
        <f t="shared" si="33"/>
        <v>14</v>
      </c>
      <c r="AH285" s="37">
        <f t="shared" si="34"/>
        <v>20.21</v>
      </c>
      <c r="AJ285" s="97">
        <v>45806</v>
      </c>
      <c r="AK285" t="s">
        <v>965</v>
      </c>
      <c r="AL285" t="s">
        <v>5</v>
      </c>
      <c r="AN285" s="39" t="s">
        <v>1357</v>
      </c>
      <c r="AO285" s="39" t="s">
        <v>1357</v>
      </c>
      <c r="AP285" s="47">
        <v>3470</v>
      </c>
      <c r="AR285" s="38"/>
      <c r="AS285" s="49"/>
      <c r="AU285" s="97">
        <v>45807</v>
      </c>
      <c r="AW285" t="s">
        <v>5</v>
      </c>
      <c r="AY285" s="39">
        <v>0.33562500000000001</v>
      </c>
      <c r="AZ285" s="39">
        <v>0.40046296296296297</v>
      </c>
      <c r="BA285" s="47">
        <v>4098</v>
      </c>
      <c r="BB285" t="s">
        <v>658</v>
      </c>
      <c r="BC285" s="38">
        <v>45807</v>
      </c>
      <c r="BD285" s="49"/>
    </row>
    <row r="286" spans="22:56" ht="16" x14ac:dyDescent="0.4">
      <c r="V286" s="97">
        <v>45804</v>
      </c>
      <c r="W286">
        <v>152543</v>
      </c>
      <c r="X286" s="89" t="s">
        <v>36</v>
      </c>
      <c r="Z286" s="50">
        <v>0.21215277777777777</v>
      </c>
      <c r="AA286" s="50">
        <v>0.57915509259259257</v>
      </c>
      <c r="AD286" s="48">
        <v>20834</v>
      </c>
      <c r="AE286" s="48">
        <f t="shared" si="32"/>
        <v>20.834</v>
      </c>
      <c r="AF286">
        <v>15.48</v>
      </c>
      <c r="AG286" s="72">
        <f t="shared" si="33"/>
        <v>14</v>
      </c>
      <c r="AH286" s="37">
        <f t="shared" si="34"/>
        <v>20.834</v>
      </c>
      <c r="AJ286" s="97">
        <v>45806</v>
      </c>
      <c r="AK286" t="s">
        <v>966</v>
      </c>
      <c r="AL286" t="s">
        <v>5</v>
      </c>
      <c r="AN286" s="39" t="s">
        <v>1358</v>
      </c>
      <c r="AO286" t="s">
        <v>1358</v>
      </c>
      <c r="AP286" s="47">
        <v>3200</v>
      </c>
      <c r="AR286" s="38"/>
      <c r="AS286" s="49"/>
      <c r="AU286" s="97">
        <v>45807</v>
      </c>
      <c r="AW286" t="s">
        <v>5</v>
      </c>
      <c r="AY286" s="39">
        <v>0.43070601851851853</v>
      </c>
      <c r="AZ286">
        <v>0.44850694444444444</v>
      </c>
      <c r="BA286" s="47">
        <v>3892</v>
      </c>
      <c r="BB286" t="s">
        <v>650</v>
      </c>
      <c r="BC286" s="38">
        <v>45807</v>
      </c>
      <c r="BD286" s="49"/>
    </row>
    <row r="287" spans="22:56" ht="16" x14ac:dyDescent="0.4">
      <c r="V287" s="97">
        <v>45804</v>
      </c>
      <c r="W287">
        <v>152617</v>
      </c>
      <c r="X287" s="89" t="s">
        <v>36</v>
      </c>
      <c r="Z287" s="50">
        <v>0.27515046296296297</v>
      </c>
      <c r="AA287" s="50">
        <v>0.64210648148148153</v>
      </c>
      <c r="AD287" s="48">
        <v>20390</v>
      </c>
      <c r="AE287" s="48">
        <f t="shared" si="32"/>
        <v>20.39</v>
      </c>
      <c r="AF287">
        <v>14.56</v>
      </c>
      <c r="AG287" s="72">
        <f t="shared" si="33"/>
        <v>14</v>
      </c>
      <c r="AH287" s="37">
        <f t="shared" si="34"/>
        <v>20.390000000000004</v>
      </c>
      <c r="AJ287" s="97">
        <v>45806</v>
      </c>
      <c r="AK287" t="s">
        <v>967</v>
      </c>
      <c r="AL287" t="s">
        <v>5</v>
      </c>
      <c r="AN287" s="39" t="s">
        <v>1359</v>
      </c>
      <c r="AO287" s="39" t="s">
        <v>1359</v>
      </c>
      <c r="AP287" s="47">
        <v>3360</v>
      </c>
      <c r="AR287" s="38"/>
      <c r="AS287" s="49"/>
      <c r="AU287" s="97">
        <v>45807</v>
      </c>
      <c r="AW287" t="s">
        <v>5</v>
      </c>
      <c r="AY287" s="39">
        <v>0.44785879629629632</v>
      </c>
      <c r="AZ287" s="39">
        <v>0.4611574074074074</v>
      </c>
      <c r="BA287" s="47">
        <v>2712</v>
      </c>
      <c r="BB287" t="s">
        <v>655</v>
      </c>
      <c r="BC287" s="38">
        <v>45807</v>
      </c>
      <c r="BD287" s="49"/>
    </row>
    <row r="288" spans="22:56" ht="16" x14ac:dyDescent="0.4">
      <c r="V288" s="97">
        <v>45804</v>
      </c>
      <c r="W288">
        <v>152705</v>
      </c>
      <c r="X288" s="89" t="s">
        <v>36</v>
      </c>
      <c r="Z288" s="50">
        <v>0.69652777777777775</v>
      </c>
      <c r="AA288" s="50">
        <v>0.8208333333333333</v>
      </c>
      <c r="AD288" s="48">
        <v>21898</v>
      </c>
      <c r="AE288" s="48">
        <f t="shared" si="32"/>
        <v>21.898</v>
      </c>
      <c r="AF288">
        <v>14.24</v>
      </c>
      <c r="AG288" s="72">
        <f t="shared" si="33"/>
        <v>14</v>
      </c>
      <c r="AH288" s="37">
        <f t="shared" si="34"/>
        <v>21.898</v>
      </c>
      <c r="AJ288" s="97">
        <v>45806</v>
      </c>
      <c r="AK288" t="s">
        <v>968</v>
      </c>
      <c r="AL288" t="s">
        <v>5</v>
      </c>
      <c r="AN288" s="39" t="s">
        <v>1360</v>
      </c>
      <c r="AO288" s="39" t="s">
        <v>1360</v>
      </c>
      <c r="AP288" s="47">
        <v>3680</v>
      </c>
      <c r="AR288" s="38"/>
      <c r="AS288" s="49"/>
      <c r="AU288" s="97">
        <v>45807</v>
      </c>
      <c r="AW288" t="s">
        <v>5</v>
      </c>
      <c r="AY288" s="39">
        <v>0.46122685185185186</v>
      </c>
      <c r="AZ288" s="39">
        <v>0.56319444444444444</v>
      </c>
      <c r="BA288" s="47">
        <v>2798</v>
      </c>
      <c r="BB288" t="s">
        <v>657</v>
      </c>
      <c r="BC288" s="38">
        <v>45807</v>
      </c>
      <c r="BD288" s="49"/>
    </row>
    <row r="289" spans="22:56" ht="16" x14ac:dyDescent="0.4">
      <c r="V289" s="97">
        <v>45804</v>
      </c>
      <c r="W289">
        <v>152738</v>
      </c>
      <c r="X289" s="89" t="s">
        <v>36</v>
      </c>
      <c r="Z289" s="50">
        <v>0.77083333333333337</v>
      </c>
      <c r="AA289" s="50">
        <v>0.8833333333333333</v>
      </c>
      <c r="AD289" s="48">
        <v>21250</v>
      </c>
      <c r="AE289" s="48">
        <f t="shared" si="32"/>
        <v>21.25</v>
      </c>
      <c r="AF289">
        <v>13.63</v>
      </c>
      <c r="AG289" s="72">
        <f t="shared" si="33"/>
        <v>13.63</v>
      </c>
      <c r="AH289" s="37">
        <f t="shared" si="34"/>
        <v>20.688392857142855</v>
      </c>
      <c r="AJ289" s="97">
        <v>45806</v>
      </c>
      <c r="AK289" t="s">
        <v>969</v>
      </c>
      <c r="AL289" t="s">
        <v>5</v>
      </c>
      <c r="AN289" s="39" t="s">
        <v>1361</v>
      </c>
      <c r="AO289" s="39" t="s">
        <v>1362</v>
      </c>
      <c r="AP289" s="47">
        <v>3180</v>
      </c>
      <c r="AR289" s="38"/>
      <c r="AS289" s="49"/>
      <c r="AU289" s="97">
        <v>45807</v>
      </c>
      <c r="AW289" t="s">
        <v>5</v>
      </c>
      <c r="AY289" s="39">
        <v>0.3556597222222222</v>
      </c>
      <c r="AZ289" s="39">
        <v>0.59804398148148141</v>
      </c>
      <c r="BA289" s="47">
        <v>2894</v>
      </c>
      <c r="BB289" t="s">
        <v>650</v>
      </c>
      <c r="BC289" s="38">
        <v>45807</v>
      </c>
      <c r="BD289" s="49"/>
    </row>
    <row r="290" spans="22:56" ht="16" x14ac:dyDescent="0.4">
      <c r="V290" s="97">
        <v>45804</v>
      </c>
      <c r="W290">
        <v>152775</v>
      </c>
      <c r="X290" s="89" t="s">
        <v>36</v>
      </c>
      <c r="Z290" s="50">
        <v>0.69652777777777775</v>
      </c>
      <c r="AA290" s="50">
        <v>0.97499999999999998</v>
      </c>
      <c r="AD290" s="48">
        <v>18542</v>
      </c>
      <c r="AE290" s="48">
        <f t="shared" si="32"/>
        <v>18.542000000000002</v>
      </c>
      <c r="AF290">
        <v>14.13</v>
      </c>
      <c r="AG290" s="72">
        <f t="shared" si="33"/>
        <v>14</v>
      </c>
      <c r="AH290" s="37">
        <f t="shared" si="34"/>
        <v>18.542000000000002</v>
      </c>
      <c r="AJ290" s="97">
        <v>45806</v>
      </c>
      <c r="AK290" t="s">
        <v>970</v>
      </c>
      <c r="AL290" t="s">
        <v>5</v>
      </c>
      <c r="AN290" s="39" t="s">
        <v>1363</v>
      </c>
      <c r="AO290" s="39" t="s">
        <v>1364</v>
      </c>
      <c r="AP290" s="47">
        <v>3480</v>
      </c>
      <c r="AR290" s="38"/>
      <c r="AS290" s="38"/>
      <c r="AU290" s="97">
        <v>45807</v>
      </c>
      <c r="AW290" t="s">
        <v>5</v>
      </c>
      <c r="AY290" s="39">
        <v>0.3369907407407407</v>
      </c>
      <c r="AZ290" s="39">
        <v>0.35538194444444443</v>
      </c>
      <c r="BA290" s="47">
        <v>3280</v>
      </c>
      <c r="BB290" t="s">
        <v>650</v>
      </c>
      <c r="BC290" s="38">
        <v>45807</v>
      </c>
      <c r="BD290" s="38"/>
    </row>
    <row r="291" spans="22:56" ht="16" x14ac:dyDescent="0.4">
      <c r="V291" s="97">
        <v>45805</v>
      </c>
      <c r="W291">
        <v>152788</v>
      </c>
      <c r="X291" s="89" t="s">
        <v>36</v>
      </c>
      <c r="Z291" s="50">
        <v>0.63750000000000007</v>
      </c>
      <c r="AA291" s="50">
        <v>5.2777777777777778E-2</v>
      </c>
      <c r="AD291" s="48">
        <v>22264</v>
      </c>
      <c r="AE291" s="48">
        <f t="shared" si="32"/>
        <v>22.263999999999999</v>
      </c>
      <c r="AF291">
        <v>16.13</v>
      </c>
      <c r="AG291" s="72">
        <f t="shared" si="33"/>
        <v>14</v>
      </c>
      <c r="AH291" s="37">
        <f t="shared" si="34"/>
        <v>22.263999999999999</v>
      </c>
      <c r="AJ291" s="97">
        <v>45806</v>
      </c>
      <c r="AK291" t="s">
        <v>971</v>
      </c>
      <c r="AL291" t="s">
        <v>5</v>
      </c>
      <c r="AN291" s="39" t="s">
        <v>1365</v>
      </c>
      <c r="AO291" s="39" t="s">
        <v>1365</v>
      </c>
      <c r="AP291" s="47">
        <v>3170</v>
      </c>
      <c r="AR291" s="38"/>
      <c r="AS291" s="38"/>
      <c r="AU291" s="97">
        <v>45808</v>
      </c>
      <c r="AW291" t="s">
        <v>5</v>
      </c>
      <c r="AY291" s="39">
        <v>0.57824074074074072</v>
      </c>
      <c r="AZ291" s="39">
        <v>0.34837962962962959</v>
      </c>
      <c r="BA291" s="47">
        <v>2546</v>
      </c>
      <c r="BB291" t="s">
        <v>658</v>
      </c>
      <c r="BC291" s="38">
        <v>45808</v>
      </c>
      <c r="BD291" s="38"/>
    </row>
    <row r="292" spans="22:56" ht="16" x14ac:dyDescent="0.4">
      <c r="V292" s="97">
        <v>45805</v>
      </c>
      <c r="W292">
        <v>152800</v>
      </c>
      <c r="X292" s="89" t="s">
        <v>36</v>
      </c>
      <c r="Z292" s="50">
        <v>0.69652777777777775</v>
      </c>
      <c r="AA292" s="50">
        <v>0.10555555555555556</v>
      </c>
      <c r="AD292" s="48">
        <v>18244</v>
      </c>
      <c r="AE292" s="48">
        <f t="shared" si="32"/>
        <v>18.244</v>
      </c>
      <c r="AF292">
        <v>15.74</v>
      </c>
      <c r="AG292" s="72">
        <f t="shared" si="33"/>
        <v>14</v>
      </c>
      <c r="AH292" s="37">
        <f t="shared" si="34"/>
        <v>18.244</v>
      </c>
      <c r="AJ292" s="97">
        <v>45806</v>
      </c>
      <c r="AK292" t="s">
        <v>972</v>
      </c>
      <c r="AL292" t="s">
        <v>5</v>
      </c>
      <c r="AN292" s="39" t="s">
        <v>1366</v>
      </c>
      <c r="AO292" s="39" t="s">
        <v>1366</v>
      </c>
      <c r="AP292" s="47">
        <v>3520</v>
      </c>
      <c r="AR292" s="38"/>
      <c r="AS292" s="38"/>
      <c r="AU292" s="97">
        <v>45808</v>
      </c>
      <c r="AW292" t="s">
        <v>5</v>
      </c>
      <c r="AY292" s="39">
        <v>0.37711805555555555</v>
      </c>
      <c r="AZ292" s="39">
        <v>0.38949074074074069</v>
      </c>
      <c r="BA292" s="47">
        <v>1852</v>
      </c>
      <c r="BB292" t="s">
        <v>659</v>
      </c>
      <c r="BC292" s="38">
        <v>45808</v>
      </c>
      <c r="BD292" s="38"/>
    </row>
    <row r="293" spans="22:56" ht="16" x14ac:dyDescent="0.4">
      <c r="V293" s="97">
        <v>45805</v>
      </c>
      <c r="W293">
        <v>152818</v>
      </c>
      <c r="X293" s="89" t="s">
        <v>36</v>
      </c>
      <c r="Z293" s="50">
        <v>0.63750000000000007</v>
      </c>
      <c r="AA293" s="50">
        <v>0.17986111111111111</v>
      </c>
      <c r="AD293" s="48">
        <v>18330</v>
      </c>
      <c r="AE293" s="48">
        <f t="shared" si="32"/>
        <v>18.329999999999998</v>
      </c>
      <c r="AF293">
        <v>16.45</v>
      </c>
      <c r="AG293" s="72">
        <f t="shared" si="33"/>
        <v>14</v>
      </c>
      <c r="AH293" s="37">
        <f t="shared" si="34"/>
        <v>18.330000000000002</v>
      </c>
      <c r="AJ293" s="97">
        <v>45806</v>
      </c>
      <c r="AK293" t="s">
        <v>973</v>
      </c>
      <c r="AL293" t="s">
        <v>5</v>
      </c>
      <c r="AN293" s="39" t="s">
        <v>1367</v>
      </c>
      <c r="AO293" s="39" t="s">
        <v>1367</v>
      </c>
      <c r="AP293" s="47">
        <v>2650</v>
      </c>
      <c r="AR293" s="38"/>
      <c r="AS293" s="38"/>
      <c r="AU293" s="97">
        <v>45808</v>
      </c>
      <c r="AW293" t="s">
        <v>5</v>
      </c>
      <c r="AY293" s="39">
        <v>0.64049768518518524</v>
      </c>
      <c r="AZ293" s="39">
        <v>0.59440972222222221</v>
      </c>
      <c r="BA293" s="47">
        <v>4084</v>
      </c>
      <c r="BB293" t="s">
        <v>660</v>
      </c>
      <c r="BC293" s="38">
        <v>45808</v>
      </c>
      <c r="BD293" s="38"/>
    </row>
    <row r="294" spans="22:56" ht="16" x14ac:dyDescent="0.4">
      <c r="V294" s="97">
        <v>45805</v>
      </c>
      <c r="W294">
        <v>152894</v>
      </c>
      <c r="X294" s="89" t="s">
        <v>36</v>
      </c>
      <c r="Z294" s="50">
        <v>0.14722222222222223</v>
      </c>
      <c r="AA294" s="50">
        <v>0.34930555555555554</v>
      </c>
      <c r="AD294" s="48">
        <v>18982</v>
      </c>
      <c r="AE294" s="48">
        <f t="shared" si="32"/>
        <v>18.981999999999999</v>
      </c>
      <c r="AF294">
        <v>15.45</v>
      </c>
      <c r="AG294" s="72">
        <f t="shared" si="33"/>
        <v>14</v>
      </c>
      <c r="AH294" s="37">
        <f t="shared" si="34"/>
        <v>18.981999999999999</v>
      </c>
      <c r="AJ294" s="97">
        <v>45807</v>
      </c>
      <c r="AK294" t="s">
        <v>974</v>
      </c>
      <c r="AL294" t="s">
        <v>5</v>
      </c>
      <c r="AN294" s="39" t="s">
        <v>1368</v>
      </c>
      <c r="AO294" s="39" t="s">
        <v>1368</v>
      </c>
      <c r="AP294" s="47">
        <v>3130</v>
      </c>
      <c r="AR294" s="38"/>
      <c r="AS294" s="38"/>
      <c r="AU294" s="97">
        <v>45808</v>
      </c>
      <c r="AW294" t="s">
        <v>5</v>
      </c>
      <c r="AY294" s="39">
        <v>0.35076388888888888</v>
      </c>
      <c r="AZ294" s="39">
        <v>0.56627314814814811</v>
      </c>
      <c r="BA294" s="47">
        <v>3064</v>
      </c>
      <c r="BB294" t="s">
        <v>657</v>
      </c>
      <c r="BC294" s="38">
        <v>45808</v>
      </c>
      <c r="BD294" s="38"/>
    </row>
    <row r="295" spans="22:56" ht="16" x14ac:dyDescent="0.4">
      <c r="V295" s="97">
        <v>45805</v>
      </c>
      <c r="W295">
        <v>152934</v>
      </c>
      <c r="X295" s="89" t="s">
        <v>36</v>
      </c>
      <c r="Z295" s="50">
        <v>0.28194444444444444</v>
      </c>
      <c r="AA295" s="50">
        <v>0.40416666666666662</v>
      </c>
      <c r="AD295" s="48">
        <v>19972</v>
      </c>
      <c r="AE295" s="48">
        <f t="shared" si="32"/>
        <v>19.972000000000001</v>
      </c>
      <c r="AF295" s="16">
        <v>14.83</v>
      </c>
      <c r="AG295" s="72">
        <f t="shared" si="33"/>
        <v>14</v>
      </c>
      <c r="AH295" s="37">
        <f t="shared" si="34"/>
        <v>19.972000000000001</v>
      </c>
      <c r="AJ295" s="97">
        <v>45807</v>
      </c>
      <c r="AK295" t="s">
        <v>975</v>
      </c>
      <c r="AL295" t="s">
        <v>5</v>
      </c>
      <c r="AN295" s="39" t="s">
        <v>1369</v>
      </c>
      <c r="AO295" t="s">
        <v>1369</v>
      </c>
      <c r="AP295" s="47">
        <v>3310</v>
      </c>
      <c r="AR295" s="38"/>
      <c r="AS295" s="38"/>
      <c r="AU295" s="97">
        <v>45808</v>
      </c>
      <c r="AW295" t="s">
        <v>5</v>
      </c>
      <c r="AY295" s="39">
        <v>0.33591435185185187</v>
      </c>
      <c r="AZ295">
        <v>0.35065972222222225</v>
      </c>
      <c r="BA295" s="47">
        <v>3218</v>
      </c>
      <c r="BB295" t="s">
        <v>661</v>
      </c>
      <c r="BC295" s="38">
        <v>45808</v>
      </c>
      <c r="BD295" s="38"/>
    </row>
    <row r="296" spans="22:56" ht="16" x14ac:dyDescent="0.4">
      <c r="V296" s="97">
        <v>45805</v>
      </c>
      <c r="W296">
        <v>153019</v>
      </c>
      <c r="X296" s="89" t="s">
        <v>36</v>
      </c>
      <c r="Z296" s="50">
        <v>0.14722222222222223</v>
      </c>
      <c r="AA296" s="50">
        <v>0.49722222222222223</v>
      </c>
      <c r="AD296" s="48">
        <v>21790</v>
      </c>
      <c r="AE296" s="48">
        <f t="shared" si="32"/>
        <v>21.79</v>
      </c>
      <c r="AF296">
        <v>16.190000000000001</v>
      </c>
      <c r="AG296" s="72">
        <f t="shared" si="33"/>
        <v>14</v>
      </c>
      <c r="AH296" s="37">
        <f t="shared" si="34"/>
        <v>21.79</v>
      </c>
      <c r="AJ296" s="97">
        <v>45807</v>
      </c>
      <c r="AK296" t="s">
        <v>976</v>
      </c>
      <c r="AL296" t="s">
        <v>5</v>
      </c>
      <c r="AN296" s="39" t="s">
        <v>1370</v>
      </c>
      <c r="AO296" s="39" t="s">
        <v>1371</v>
      </c>
      <c r="AP296" s="47">
        <v>2710</v>
      </c>
      <c r="AR296" s="38"/>
      <c r="AS296" s="38"/>
      <c r="AU296" s="97">
        <v>45808</v>
      </c>
      <c r="AW296" t="s">
        <v>5</v>
      </c>
      <c r="AY296" s="39">
        <v>0.44722222222222219</v>
      </c>
      <c r="AZ296" s="39">
        <v>0.46180555555555558</v>
      </c>
      <c r="BA296" s="47">
        <v>3984</v>
      </c>
      <c r="BB296" t="s">
        <v>662</v>
      </c>
      <c r="BC296" s="38">
        <v>45808</v>
      </c>
      <c r="BD296" s="38"/>
    </row>
    <row r="297" spans="22:56" ht="16" x14ac:dyDescent="0.4">
      <c r="V297" s="97">
        <v>45805</v>
      </c>
      <c r="W297">
        <v>153053</v>
      </c>
      <c r="X297" s="89" t="s">
        <v>36</v>
      </c>
      <c r="Z297" s="50">
        <v>0.28194444444444444</v>
      </c>
      <c r="AA297" s="50">
        <v>0.56180555555555556</v>
      </c>
      <c r="AD297" s="48">
        <v>20098</v>
      </c>
      <c r="AE297" s="48">
        <f t="shared" si="32"/>
        <v>20.097999999999999</v>
      </c>
      <c r="AF297">
        <v>15.79</v>
      </c>
      <c r="AG297" s="72">
        <f t="shared" si="33"/>
        <v>14</v>
      </c>
      <c r="AH297" s="37">
        <f t="shared" si="34"/>
        <v>20.097999999999995</v>
      </c>
      <c r="AJ297" s="97">
        <v>45807</v>
      </c>
      <c r="AK297" t="s">
        <v>977</v>
      </c>
      <c r="AL297" t="s">
        <v>5</v>
      </c>
      <c r="AN297" s="39" t="s">
        <v>1372</v>
      </c>
      <c r="AO297" s="39" t="s">
        <v>1372</v>
      </c>
      <c r="AP297" s="47">
        <v>3960</v>
      </c>
      <c r="AR297" s="38"/>
      <c r="AS297" s="38"/>
      <c r="AU297" s="97">
        <v>45807</v>
      </c>
      <c r="AW297" t="s">
        <v>5</v>
      </c>
      <c r="AY297" s="39">
        <v>0.61805555555555558</v>
      </c>
      <c r="AZ297" s="39"/>
      <c r="BA297" s="47">
        <v>5778</v>
      </c>
      <c r="BB297" t="s">
        <v>663</v>
      </c>
      <c r="BC297" s="38">
        <v>45807</v>
      </c>
      <c r="BD297" s="38"/>
    </row>
    <row r="298" spans="22:56" ht="16" x14ac:dyDescent="0.4">
      <c r="V298" s="97">
        <v>45805</v>
      </c>
      <c r="W298">
        <v>153136</v>
      </c>
      <c r="X298" s="89" t="s">
        <v>36</v>
      </c>
      <c r="Z298" s="50">
        <v>0.14722222222222223</v>
      </c>
      <c r="AA298" s="50">
        <v>0.62986111111111109</v>
      </c>
      <c r="AD298" s="48">
        <v>21260</v>
      </c>
      <c r="AE298" s="48">
        <f t="shared" si="32"/>
        <v>21.26</v>
      </c>
      <c r="AF298">
        <v>16.77</v>
      </c>
      <c r="AG298" s="72">
        <f t="shared" si="33"/>
        <v>14</v>
      </c>
      <c r="AH298" s="37">
        <f t="shared" si="34"/>
        <v>21.26</v>
      </c>
      <c r="AJ298" s="97">
        <v>45807</v>
      </c>
      <c r="AK298" t="s">
        <v>978</v>
      </c>
      <c r="AL298" t="s">
        <v>5</v>
      </c>
      <c r="AN298" s="39" t="s">
        <v>1373</v>
      </c>
      <c r="AO298" s="39" t="s">
        <v>1374</v>
      </c>
      <c r="AP298" s="47">
        <v>3320</v>
      </c>
      <c r="AR298" s="38"/>
      <c r="AS298" s="38"/>
      <c r="AU298" s="97">
        <v>45791</v>
      </c>
      <c r="AW298" t="s">
        <v>5</v>
      </c>
      <c r="AY298" s="39">
        <v>0.3743055555555555</v>
      </c>
      <c r="AZ298" s="39">
        <v>0.51736111111111105</v>
      </c>
      <c r="BA298" s="47">
        <v>2036</v>
      </c>
      <c r="BB298" t="s">
        <v>629</v>
      </c>
      <c r="BC298" s="38">
        <v>45791</v>
      </c>
      <c r="BD298" s="38"/>
    </row>
    <row r="299" spans="22:56" ht="16" x14ac:dyDescent="0.4">
      <c r="V299" s="97">
        <v>45805</v>
      </c>
      <c r="W299">
        <v>153185</v>
      </c>
      <c r="X299" s="89" t="s">
        <v>36</v>
      </c>
      <c r="Z299" s="50">
        <v>0.28194444444444444</v>
      </c>
      <c r="AA299" s="50">
        <v>0.69236111111111109</v>
      </c>
      <c r="AD299" s="48">
        <v>20426</v>
      </c>
      <c r="AE299" s="48">
        <f t="shared" si="32"/>
        <v>20.425999999999998</v>
      </c>
      <c r="AF299">
        <v>15.27</v>
      </c>
      <c r="AG299" s="72">
        <f t="shared" si="33"/>
        <v>14</v>
      </c>
      <c r="AH299" s="37">
        <f t="shared" si="34"/>
        <v>20.425999999999998</v>
      </c>
      <c r="AJ299" s="97">
        <v>45807</v>
      </c>
      <c r="AK299" t="s">
        <v>979</v>
      </c>
      <c r="AL299" t="s">
        <v>5</v>
      </c>
      <c r="AN299" t="s">
        <v>1375</v>
      </c>
      <c r="AO299" s="39" t="s">
        <v>1375</v>
      </c>
      <c r="AP299" s="47">
        <v>3790</v>
      </c>
      <c r="AR299" s="38"/>
      <c r="AS299" s="38"/>
      <c r="AU299" s="97">
        <v>45780</v>
      </c>
      <c r="AW299" t="s">
        <v>5</v>
      </c>
      <c r="AY299">
        <v>0.65069444444444446</v>
      </c>
      <c r="AZ299" s="39">
        <v>0.6118055555555556</v>
      </c>
      <c r="BA299" s="47">
        <v>5624</v>
      </c>
      <c r="BB299" t="s">
        <v>664</v>
      </c>
      <c r="BC299" s="38">
        <v>45780</v>
      </c>
      <c r="BD299" s="38"/>
    </row>
    <row r="300" spans="22:56" ht="16" x14ac:dyDescent="0.4">
      <c r="V300" s="97">
        <v>45805</v>
      </c>
      <c r="W300">
        <v>153202</v>
      </c>
      <c r="X300" s="89" t="s">
        <v>36</v>
      </c>
      <c r="Z300" s="50">
        <v>0.69652777777777775</v>
      </c>
      <c r="AA300" s="50">
        <v>0.73541666666666661</v>
      </c>
      <c r="AD300" s="48">
        <v>15200</v>
      </c>
      <c r="AE300" s="48">
        <f t="shared" si="32"/>
        <v>15.2</v>
      </c>
      <c r="AF300">
        <v>14.59</v>
      </c>
      <c r="AG300" s="72">
        <f t="shared" si="33"/>
        <v>14</v>
      </c>
      <c r="AH300" s="37">
        <f t="shared" si="34"/>
        <v>15.2</v>
      </c>
      <c r="AJ300" s="97">
        <v>45807</v>
      </c>
      <c r="AK300" t="s">
        <v>980</v>
      </c>
      <c r="AL300" t="s">
        <v>5</v>
      </c>
      <c r="AN300" s="39" t="s">
        <v>1376</v>
      </c>
      <c r="AO300" s="39" t="s">
        <v>1376</v>
      </c>
      <c r="AP300" s="47">
        <v>2730</v>
      </c>
      <c r="AR300" s="38"/>
      <c r="AS300" s="38"/>
      <c r="AU300" s="97">
        <v>45780</v>
      </c>
      <c r="AW300" t="s">
        <v>5</v>
      </c>
      <c r="AY300" s="39">
        <v>0.4458333333333333</v>
      </c>
      <c r="AZ300" s="39">
        <v>0.56319444444444444</v>
      </c>
      <c r="BA300" s="47">
        <v>3196</v>
      </c>
      <c r="BB300" t="s">
        <v>103</v>
      </c>
      <c r="BC300" s="38">
        <v>45780</v>
      </c>
      <c r="BD300" s="38"/>
    </row>
    <row r="301" spans="22:56" ht="16" x14ac:dyDescent="0.4">
      <c r="V301" s="97">
        <v>45805</v>
      </c>
      <c r="W301" s="16">
        <v>153226</v>
      </c>
      <c r="X301" s="89" t="s">
        <v>36</v>
      </c>
      <c r="Z301" s="50">
        <v>0.74722222222222223</v>
      </c>
      <c r="AA301" s="50">
        <v>0.80694444444444446</v>
      </c>
      <c r="AD301" s="48">
        <v>17842</v>
      </c>
      <c r="AE301" s="48">
        <f t="shared" si="32"/>
        <v>17.841999999999999</v>
      </c>
      <c r="AF301">
        <v>15.98</v>
      </c>
      <c r="AG301" s="72">
        <f t="shared" si="33"/>
        <v>14</v>
      </c>
      <c r="AH301" s="37">
        <f t="shared" si="34"/>
        <v>17.841999999999999</v>
      </c>
      <c r="AJ301" s="97">
        <v>45807</v>
      </c>
      <c r="AK301" t="s">
        <v>981</v>
      </c>
      <c r="AL301" t="s">
        <v>5</v>
      </c>
      <c r="AN301" s="39" t="s">
        <v>1377</v>
      </c>
      <c r="AO301" s="39" t="s">
        <v>1377</v>
      </c>
      <c r="AP301" s="47">
        <v>2890</v>
      </c>
      <c r="AR301" s="38"/>
      <c r="AS301" s="38"/>
      <c r="AU301" s="97">
        <v>45780</v>
      </c>
      <c r="AW301" t="s">
        <v>5</v>
      </c>
      <c r="AY301" s="39">
        <v>0.35833333333333334</v>
      </c>
      <c r="AZ301" s="39">
        <v>0.37222222222222223</v>
      </c>
      <c r="BA301" s="47">
        <v>3756</v>
      </c>
      <c r="BB301" t="s">
        <v>665</v>
      </c>
      <c r="BC301" s="38">
        <v>45780</v>
      </c>
      <c r="BD301" s="38"/>
    </row>
    <row r="302" spans="22:56" ht="16" x14ac:dyDescent="0.4">
      <c r="V302" s="97">
        <v>45805</v>
      </c>
      <c r="W302" s="16">
        <v>153269</v>
      </c>
      <c r="X302" s="89" t="s">
        <v>36</v>
      </c>
      <c r="Z302" s="50">
        <v>0.69652777777777775</v>
      </c>
      <c r="AA302" s="50">
        <v>0.87152777777777779</v>
      </c>
      <c r="AD302" s="37">
        <v>19862</v>
      </c>
      <c r="AE302" s="48">
        <f t="shared" si="32"/>
        <v>19.861999999999998</v>
      </c>
      <c r="AF302">
        <v>15.16</v>
      </c>
      <c r="AG302" s="72">
        <f t="shared" si="33"/>
        <v>14</v>
      </c>
      <c r="AH302" s="37">
        <f t="shared" si="34"/>
        <v>19.861999999999998</v>
      </c>
      <c r="AJ302" s="97">
        <v>45807</v>
      </c>
      <c r="AK302" t="s">
        <v>982</v>
      </c>
      <c r="AL302" t="s">
        <v>5</v>
      </c>
      <c r="AN302" s="39" t="s">
        <v>1378</v>
      </c>
      <c r="AO302" s="39" t="s">
        <v>1378</v>
      </c>
      <c r="AP302" s="47">
        <v>2930</v>
      </c>
      <c r="AR302" s="38"/>
      <c r="AS302" s="38"/>
      <c r="AU302" s="97">
        <v>45780</v>
      </c>
      <c r="AW302" t="s">
        <v>5</v>
      </c>
      <c r="AY302" s="39">
        <v>0.37222222222222223</v>
      </c>
      <c r="AZ302" s="39">
        <v>0.44166666666666665</v>
      </c>
      <c r="BA302" s="47">
        <v>1882</v>
      </c>
      <c r="BB302" t="s">
        <v>665</v>
      </c>
      <c r="BC302" s="38">
        <v>45780</v>
      </c>
      <c r="BD302" s="38"/>
    </row>
    <row r="303" spans="22:56" ht="16" x14ac:dyDescent="0.4">
      <c r="V303" s="97">
        <v>45805</v>
      </c>
      <c r="W303" s="16">
        <v>153307</v>
      </c>
      <c r="X303" s="89" t="s">
        <v>36</v>
      </c>
      <c r="Y303" s="106"/>
      <c r="Z303" s="50">
        <v>0.74722222222222223</v>
      </c>
      <c r="AA303" s="50">
        <v>0.95972222222222225</v>
      </c>
      <c r="AD303" s="37">
        <v>21466</v>
      </c>
      <c r="AE303" s="48">
        <f t="shared" si="32"/>
        <v>21.466000000000001</v>
      </c>
      <c r="AF303">
        <v>15.66</v>
      </c>
      <c r="AG303" s="72">
        <f t="shared" si="33"/>
        <v>14</v>
      </c>
      <c r="AH303" s="37">
        <f t="shared" si="34"/>
        <v>21.466000000000001</v>
      </c>
      <c r="AJ303" s="97">
        <v>45807</v>
      </c>
      <c r="AK303" s="34" t="s">
        <v>983</v>
      </c>
      <c r="AL303" t="s">
        <v>5</v>
      </c>
      <c r="AN303" s="39" t="s">
        <v>1379</v>
      </c>
      <c r="AO303" s="39" t="s">
        <v>1379</v>
      </c>
      <c r="AP303" s="47">
        <v>5810</v>
      </c>
      <c r="AR303" s="38"/>
      <c r="AS303" s="38"/>
      <c r="AU303" s="97">
        <v>45780</v>
      </c>
      <c r="AV303" s="34"/>
      <c r="AW303" t="s">
        <v>5</v>
      </c>
      <c r="AY303" s="39">
        <v>0.3666666666666667</v>
      </c>
      <c r="AZ303" s="39">
        <v>0.42777777777777781</v>
      </c>
      <c r="BA303" s="47">
        <v>2748</v>
      </c>
      <c r="BB303" t="s">
        <v>103</v>
      </c>
      <c r="BC303" s="38">
        <v>45780</v>
      </c>
      <c r="BD303" s="38"/>
    </row>
    <row r="304" spans="22:56" ht="16" x14ac:dyDescent="0.4">
      <c r="V304" s="97">
        <v>45806</v>
      </c>
      <c r="W304" s="16">
        <v>153317</v>
      </c>
      <c r="X304" s="89" t="s">
        <v>36</v>
      </c>
      <c r="Y304" s="106"/>
      <c r="Z304" s="50">
        <v>0.69652777777777775</v>
      </c>
      <c r="AA304" s="50">
        <v>2.2916666666666669E-2</v>
      </c>
      <c r="AD304" s="37">
        <v>20182</v>
      </c>
      <c r="AE304" s="48">
        <f t="shared" si="32"/>
        <v>20.181999999999999</v>
      </c>
      <c r="AF304">
        <v>14.49</v>
      </c>
      <c r="AG304" s="72">
        <f t="shared" si="33"/>
        <v>14</v>
      </c>
      <c r="AH304" s="37">
        <f t="shared" si="34"/>
        <v>20.181999999999999</v>
      </c>
      <c r="AJ304" s="97">
        <v>45808</v>
      </c>
      <c r="AK304" s="34" t="s">
        <v>984</v>
      </c>
      <c r="AL304" t="s">
        <v>5</v>
      </c>
      <c r="AN304" s="39" t="s">
        <v>1380</v>
      </c>
      <c r="AO304" t="s">
        <v>1380</v>
      </c>
      <c r="AP304" s="47">
        <v>3040</v>
      </c>
      <c r="AR304" s="38"/>
      <c r="AS304" s="38"/>
      <c r="AU304" s="97">
        <v>45780</v>
      </c>
      <c r="AV304" s="34"/>
      <c r="AW304" t="s">
        <v>5</v>
      </c>
      <c r="AY304" s="39">
        <v>0.5756944444444444</v>
      </c>
      <c r="BA304" s="47">
        <v>2404</v>
      </c>
      <c r="BB304" t="s">
        <v>107</v>
      </c>
      <c r="BC304" s="38">
        <v>45780</v>
      </c>
      <c r="BD304" s="38"/>
    </row>
    <row r="305" spans="22:56" ht="16" x14ac:dyDescent="0.4">
      <c r="V305" s="97">
        <v>45806</v>
      </c>
      <c r="W305" s="16">
        <v>153325</v>
      </c>
      <c r="X305" s="89" t="s">
        <v>36</v>
      </c>
      <c r="Y305" s="106"/>
      <c r="Z305" s="50">
        <v>0.74722222222222223</v>
      </c>
      <c r="AA305" s="50">
        <v>8.0555555555555561E-2</v>
      </c>
      <c r="AD305" s="37">
        <v>21096</v>
      </c>
      <c r="AE305" s="48">
        <f t="shared" si="32"/>
        <v>21.096</v>
      </c>
      <c r="AF305">
        <v>14.88</v>
      </c>
      <c r="AG305" s="72">
        <f t="shared" si="33"/>
        <v>14</v>
      </c>
      <c r="AH305" s="37">
        <f t="shared" si="34"/>
        <v>21.096</v>
      </c>
      <c r="AJ305" s="97">
        <v>45808</v>
      </c>
      <c r="AK305" s="34" t="s">
        <v>985</v>
      </c>
      <c r="AL305" t="s">
        <v>5</v>
      </c>
      <c r="AN305" s="39" t="s">
        <v>1381</v>
      </c>
      <c r="AO305" s="39" t="s">
        <v>1381</v>
      </c>
      <c r="AP305" s="47">
        <v>2710</v>
      </c>
      <c r="AR305" s="38"/>
      <c r="AS305" s="84"/>
      <c r="AU305" s="97">
        <v>45779</v>
      </c>
      <c r="AV305" s="34"/>
      <c r="AW305" t="s">
        <v>5</v>
      </c>
      <c r="AY305" s="39">
        <v>0.55833333333333335</v>
      </c>
      <c r="AZ305" s="39">
        <v>0.57430555555555551</v>
      </c>
      <c r="BA305" s="47">
        <v>3426</v>
      </c>
      <c r="BB305" t="s">
        <v>106</v>
      </c>
      <c r="BC305" s="38">
        <v>45780</v>
      </c>
      <c r="BD305" s="84"/>
    </row>
    <row r="306" spans="22:56" ht="16" x14ac:dyDescent="0.4">
      <c r="V306" s="97">
        <v>45806</v>
      </c>
      <c r="W306" s="16">
        <v>153330</v>
      </c>
      <c r="X306" s="89" t="s">
        <v>36</v>
      </c>
      <c r="Y306" s="106"/>
      <c r="Z306" s="50">
        <v>9.5138888888888884E-2</v>
      </c>
      <c r="AA306" s="50">
        <v>0.12291666666666667</v>
      </c>
      <c r="AD306" s="37">
        <v>21388</v>
      </c>
      <c r="AE306" s="48">
        <f t="shared" si="32"/>
        <v>21.388000000000002</v>
      </c>
      <c r="AF306">
        <v>15.63</v>
      </c>
      <c r="AG306" s="72">
        <f t="shared" si="33"/>
        <v>14</v>
      </c>
      <c r="AH306" s="37">
        <f t="shared" si="34"/>
        <v>21.388000000000002</v>
      </c>
      <c r="AJ306" s="97">
        <v>45808</v>
      </c>
      <c r="AK306" s="34" t="s">
        <v>986</v>
      </c>
      <c r="AL306" t="s">
        <v>5</v>
      </c>
      <c r="AN306" s="39" t="s">
        <v>1382</v>
      </c>
      <c r="AO306" s="39" t="s">
        <v>1382</v>
      </c>
      <c r="AP306" s="47">
        <v>2160</v>
      </c>
      <c r="AR306" s="38"/>
      <c r="AS306" s="38"/>
      <c r="AU306" s="97">
        <v>45780</v>
      </c>
      <c r="AV306" s="34"/>
      <c r="AW306" t="s">
        <v>5</v>
      </c>
      <c r="AY306" s="39">
        <v>0.57500000000000007</v>
      </c>
      <c r="AZ306" s="39">
        <v>0.41250000000000003</v>
      </c>
      <c r="BA306" s="47">
        <v>3324</v>
      </c>
      <c r="BB306" t="s">
        <v>51</v>
      </c>
      <c r="BC306" s="38">
        <v>45780</v>
      </c>
      <c r="BD306" s="38"/>
    </row>
    <row r="307" spans="22:56" ht="16" x14ac:dyDescent="0.4">
      <c r="V307" s="97">
        <v>45806</v>
      </c>
      <c r="W307" s="16">
        <v>153336</v>
      </c>
      <c r="X307" s="89" t="s">
        <v>36</v>
      </c>
      <c r="Y307" s="106"/>
      <c r="Z307" s="50">
        <v>9.5138888888888884E-2</v>
      </c>
      <c r="AA307" s="50">
        <v>0.17916666666666667</v>
      </c>
      <c r="AD307" s="37">
        <v>16188</v>
      </c>
      <c r="AE307" s="48">
        <f t="shared" si="32"/>
        <v>16.187999999999999</v>
      </c>
      <c r="AF307">
        <v>13.59</v>
      </c>
      <c r="AG307" s="72">
        <f t="shared" si="33"/>
        <v>13.59</v>
      </c>
      <c r="AH307" s="37">
        <f t="shared" si="34"/>
        <v>15.713922857142856</v>
      </c>
      <c r="AJ307" s="38">
        <v>45808</v>
      </c>
      <c r="AK307" s="34" t="s">
        <v>987</v>
      </c>
      <c r="AL307" t="s">
        <v>5</v>
      </c>
      <c r="AN307" s="39" t="s">
        <v>1383</v>
      </c>
      <c r="AO307" s="39" t="s">
        <v>1383</v>
      </c>
      <c r="AP307" s="47">
        <v>3930</v>
      </c>
      <c r="AR307" s="38"/>
      <c r="AS307" s="38"/>
      <c r="AU307" s="38"/>
      <c r="AV307" s="34"/>
      <c r="AW307" s="16"/>
      <c r="AY307" s="39"/>
      <c r="AZ307" s="39"/>
      <c r="BA307" s="47"/>
      <c r="BC307" s="38"/>
      <c r="BD307" s="38"/>
    </row>
    <row r="308" spans="22:56" ht="16" x14ac:dyDescent="0.4">
      <c r="V308" s="97">
        <v>45806</v>
      </c>
      <c r="W308" s="16">
        <v>153400</v>
      </c>
      <c r="X308" s="89" t="s">
        <v>36</v>
      </c>
      <c r="Y308" s="106"/>
      <c r="Z308" s="50">
        <v>0.27152777777777776</v>
      </c>
      <c r="AA308" s="50">
        <v>0.31612268518518521</v>
      </c>
      <c r="AB308">
        <v>104</v>
      </c>
      <c r="AC308" t="s">
        <v>612</v>
      </c>
      <c r="AD308" s="37">
        <v>11804</v>
      </c>
      <c r="AE308" s="48">
        <f t="shared" si="32"/>
        <v>11.804</v>
      </c>
      <c r="AF308">
        <v>3.84</v>
      </c>
      <c r="AG308" s="72">
        <f t="shared" si="33"/>
        <v>3.84</v>
      </c>
      <c r="AH308" s="37">
        <f t="shared" si="34"/>
        <v>3.2376685714285713</v>
      </c>
      <c r="AJ308" s="108">
        <v>45808</v>
      </c>
      <c r="AK308" s="111" t="s">
        <v>988</v>
      </c>
      <c r="AL308" s="17" t="s">
        <v>5</v>
      </c>
      <c r="AM308" s="17"/>
      <c r="AN308" s="112" t="s">
        <v>1384</v>
      </c>
      <c r="AO308" s="112" t="s">
        <v>1384</v>
      </c>
      <c r="AP308" s="113">
        <v>17580</v>
      </c>
      <c r="AR308" s="38"/>
      <c r="AS308" s="38"/>
      <c r="AU308" s="38"/>
      <c r="AV308" s="34"/>
      <c r="AW308" s="16"/>
      <c r="AY308" s="39"/>
      <c r="AZ308" s="39"/>
      <c r="BA308" s="47"/>
      <c r="BC308" s="38"/>
      <c r="BD308" s="38"/>
    </row>
    <row r="309" spans="22:56" ht="16" x14ac:dyDescent="0.4">
      <c r="V309" s="97">
        <v>45806</v>
      </c>
      <c r="W309" s="16">
        <v>153732</v>
      </c>
      <c r="X309" s="89" t="s">
        <v>36</v>
      </c>
      <c r="Y309" s="106"/>
      <c r="Z309" s="50">
        <v>0.81111111111111101</v>
      </c>
      <c r="AA309" s="50"/>
      <c r="AD309" s="37">
        <v>21130</v>
      </c>
      <c r="AE309" s="48">
        <f t="shared" si="32"/>
        <v>21.13</v>
      </c>
      <c r="AF309">
        <v>14.91</v>
      </c>
      <c r="AG309" s="72">
        <f t="shared" si="33"/>
        <v>14</v>
      </c>
      <c r="AH309" s="37">
        <f t="shared" si="34"/>
        <v>21.13</v>
      </c>
      <c r="AJ309" s="38">
        <v>45808</v>
      </c>
      <c r="AK309" s="34" t="s">
        <v>989</v>
      </c>
      <c r="AL309" t="s">
        <v>5</v>
      </c>
      <c r="AN309" s="39" t="s">
        <v>1385</v>
      </c>
      <c r="AO309" s="39" t="s">
        <v>1385</v>
      </c>
      <c r="AP309" s="47">
        <v>2990</v>
      </c>
      <c r="AR309" s="38"/>
      <c r="AS309" s="38"/>
      <c r="AU309" s="38"/>
      <c r="AV309" s="34"/>
      <c r="AW309" s="16"/>
      <c r="AY309" s="39"/>
      <c r="AZ309" s="39"/>
      <c r="BA309" s="47"/>
      <c r="BC309" s="38"/>
      <c r="BD309" s="38"/>
    </row>
    <row r="310" spans="22:56" ht="16" x14ac:dyDescent="0.4">
      <c r="V310" s="97">
        <v>45806</v>
      </c>
      <c r="W310" s="16">
        <v>153776</v>
      </c>
      <c r="X310" s="89" t="s">
        <v>36</v>
      </c>
      <c r="Y310" s="106"/>
      <c r="Z310" s="50">
        <v>0.8618055555555556</v>
      </c>
      <c r="AA310" s="50"/>
      <c r="AD310" s="37">
        <v>18102</v>
      </c>
      <c r="AE310" s="48">
        <f t="shared" si="32"/>
        <v>18.102</v>
      </c>
      <c r="AF310">
        <v>14.59</v>
      </c>
      <c r="AG310" s="72">
        <f t="shared" si="33"/>
        <v>14</v>
      </c>
      <c r="AH310" s="37">
        <f t="shared" si="34"/>
        <v>18.102</v>
      </c>
      <c r="AJ310" s="38">
        <v>45808</v>
      </c>
      <c r="AK310" s="34" t="s">
        <v>990</v>
      </c>
      <c r="AL310" t="s">
        <v>5</v>
      </c>
      <c r="AN310" s="39" t="s">
        <v>1386</v>
      </c>
      <c r="AO310" s="39" t="s">
        <v>1387</v>
      </c>
      <c r="AP310" s="47">
        <v>4150</v>
      </c>
      <c r="AR310" s="38"/>
      <c r="AS310" s="38"/>
      <c r="AU310" s="38"/>
      <c r="AV310" s="34"/>
      <c r="AW310" s="16"/>
      <c r="AY310" s="39"/>
      <c r="AZ310" s="39"/>
      <c r="BA310" s="47"/>
      <c r="BC310" s="38"/>
      <c r="BD310" s="38"/>
    </row>
    <row r="311" spans="22:56" ht="16" x14ac:dyDescent="0.4">
      <c r="V311" s="97">
        <v>45806</v>
      </c>
      <c r="W311" s="16">
        <v>153818</v>
      </c>
      <c r="X311" s="89" t="s">
        <v>36</v>
      </c>
      <c r="Y311" s="106"/>
      <c r="Z311" s="50">
        <v>0.12361111111111112</v>
      </c>
      <c r="AA311" s="50">
        <v>0.95416666666666661</v>
      </c>
      <c r="AD311" s="37">
        <v>20748</v>
      </c>
      <c r="AE311" s="48">
        <f t="shared" si="32"/>
        <v>20.748000000000001</v>
      </c>
      <c r="AF311">
        <v>14.52</v>
      </c>
      <c r="AG311" s="72">
        <f t="shared" si="33"/>
        <v>14</v>
      </c>
      <c r="AH311" s="37">
        <f t="shared" si="34"/>
        <v>20.748000000000001</v>
      </c>
      <c r="AJ311" s="38"/>
      <c r="AK311" s="34"/>
      <c r="AL311" s="16"/>
      <c r="AN311" s="39"/>
      <c r="AO311" s="39"/>
      <c r="AP311" s="47"/>
      <c r="AR311" s="38"/>
      <c r="AS311" s="38"/>
      <c r="AU311" s="38"/>
      <c r="AV311" s="34"/>
      <c r="AW311" s="16"/>
      <c r="AY311" s="39"/>
      <c r="AZ311" s="39"/>
      <c r="BA311" s="47"/>
      <c r="BC311" s="38"/>
      <c r="BD311" s="38"/>
    </row>
    <row r="312" spans="22:56" ht="16" x14ac:dyDescent="0.4">
      <c r="V312" s="97">
        <v>45807</v>
      </c>
      <c r="W312" s="16">
        <v>153830</v>
      </c>
      <c r="X312" s="89" t="s">
        <v>36</v>
      </c>
      <c r="Y312" s="106"/>
      <c r="Z312" s="50">
        <v>0.92638888888888893</v>
      </c>
      <c r="AA312" s="50">
        <v>6.9444444444444447E-4</v>
      </c>
      <c r="AD312" s="37">
        <v>21580</v>
      </c>
      <c r="AE312" s="48">
        <f t="shared" si="32"/>
        <v>21.58</v>
      </c>
      <c r="AF312">
        <v>15.06</v>
      </c>
      <c r="AG312" s="72">
        <f t="shared" si="33"/>
        <v>14</v>
      </c>
      <c r="AH312" s="37">
        <f t="shared" si="34"/>
        <v>21.580000000000002</v>
      </c>
      <c r="AJ312" s="38"/>
      <c r="AK312" s="34"/>
      <c r="AL312" s="16"/>
      <c r="AN312" s="39"/>
      <c r="AO312" s="39"/>
      <c r="AP312" s="47"/>
      <c r="AR312" s="38"/>
      <c r="AS312" s="38"/>
      <c r="AU312" s="38"/>
      <c r="AV312" s="34"/>
      <c r="AW312" s="16"/>
      <c r="AY312" s="39"/>
      <c r="AZ312" s="39"/>
      <c r="BA312" s="47"/>
      <c r="BC312" s="38"/>
      <c r="BD312" s="38"/>
    </row>
    <row r="313" spans="22:56" ht="16" x14ac:dyDescent="0.4">
      <c r="V313" s="97">
        <v>45807</v>
      </c>
      <c r="W313" s="16">
        <v>153844</v>
      </c>
      <c r="X313" s="89" t="s">
        <v>36</v>
      </c>
      <c r="Y313" s="106"/>
      <c r="Z313" s="50">
        <v>0.85833333333333339</v>
      </c>
      <c r="AA313" s="50">
        <v>6.25E-2</v>
      </c>
      <c r="AD313" s="37">
        <v>21976</v>
      </c>
      <c r="AE313" s="48">
        <f t="shared" si="32"/>
        <v>21.975999999999999</v>
      </c>
      <c r="AF313">
        <v>15.49</v>
      </c>
      <c r="AG313" s="72">
        <f t="shared" si="33"/>
        <v>14</v>
      </c>
      <c r="AH313" s="37">
        <f t="shared" si="34"/>
        <v>21.975999999999999</v>
      </c>
      <c r="AJ313" s="38"/>
      <c r="AK313" s="34"/>
      <c r="AL313" s="16"/>
      <c r="AN313" s="39"/>
      <c r="AO313" s="39"/>
      <c r="AP313" s="47"/>
      <c r="AR313" s="38"/>
      <c r="AS313" s="38"/>
      <c r="AU313" s="38"/>
      <c r="AV313" s="34"/>
      <c r="AW313" s="16"/>
      <c r="AY313" s="39"/>
      <c r="AZ313" s="39"/>
      <c r="BA313" s="47"/>
      <c r="BC313" s="38"/>
      <c r="BD313" s="38"/>
    </row>
    <row r="314" spans="22:56" ht="16" x14ac:dyDescent="0.4">
      <c r="V314" s="97">
        <v>45807</v>
      </c>
      <c r="W314" s="16">
        <v>153856</v>
      </c>
      <c r="X314" s="89" t="s">
        <v>36</v>
      </c>
      <c r="Y314" s="106"/>
      <c r="Z314" s="50">
        <v>0.92986111111111114</v>
      </c>
      <c r="AA314" s="50">
        <v>0.10902777777777778</v>
      </c>
      <c r="AD314" s="37">
        <v>20832</v>
      </c>
      <c r="AE314" s="48">
        <f t="shared" si="32"/>
        <v>20.832000000000001</v>
      </c>
      <c r="AF314">
        <v>14.98</v>
      </c>
      <c r="AG314" s="72">
        <f t="shared" si="33"/>
        <v>14</v>
      </c>
      <c r="AH314" s="37">
        <f t="shared" si="34"/>
        <v>20.832000000000001</v>
      </c>
      <c r="AJ314" s="38"/>
      <c r="AK314" s="34"/>
      <c r="AL314" s="16"/>
      <c r="AN314" s="39"/>
      <c r="AO314" s="39"/>
      <c r="AP314" s="47"/>
      <c r="AR314" s="38"/>
      <c r="AS314" s="38"/>
      <c r="AU314" s="38"/>
      <c r="AV314" s="34"/>
      <c r="AW314" s="16"/>
      <c r="AY314" s="39"/>
      <c r="AZ314" s="39"/>
      <c r="BA314" s="47"/>
      <c r="BC314" s="38"/>
      <c r="BD314" s="38"/>
    </row>
    <row r="315" spans="22:56" ht="16" x14ac:dyDescent="0.4">
      <c r="V315" s="97">
        <v>45807</v>
      </c>
      <c r="W315" s="16">
        <v>153868</v>
      </c>
      <c r="X315" s="89" t="s">
        <v>36</v>
      </c>
      <c r="Y315" s="106"/>
      <c r="Z315" s="50">
        <v>0.85902777777777783</v>
      </c>
      <c r="AA315" s="50">
        <v>0.19236111111111112</v>
      </c>
      <c r="AD315" s="37">
        <v>15144</v>
      </c>
      <c r="AE315" s="48">
        <f t="shared" si="32"/>
        <v>15.144</v>
      </c>
      <c r="AF315">
        <v>15.33</v>
      </c>
      <c r="AG315" s="72">
        <f t="shared" si="33"/>
        <v>14</v>
      </c>
      <c r="AH315" s="37">
        <f t="shared" si="34"/>
        <v>15.144</v>
      </c>
      <c r="AJ315" s="38"/>
      <c r="AK315" s="34"/>
      <c r="AL315" s="16"/>
      <c r="AN315" s="39"/>
      <c r="AO315" s="39"/>
      <c r="AP315" s="47"/>
      <c r="AR315" s="38"/>
      <c r="AS315" s="38"/>
      <c r="AU315" s="38"/>
      <c r="AV315" s="34"/>
      <c r="AW315" s="16"/>
      <c r="AY315" s="39"/>
      <c r="AZ315" s="39"/>
      <c r="BA315" s="47"/>
      <c r="BC315" s="38"/>
      <c r="BD315" s="38"/>
    </row>
    <row r="316" spans="22:56" ht="16" x14ac:dyDescent="0.4">
      <c r="V316" s="97">
        <v>45807</v>
      </c>
      <c r="W316" s="16">
        <v>153923</v>
      </c>
      <c r="X316" s="89" t="s">
        <v>36</v>
      </c>
      <c r="Y316" s="106"/>
      <c r="Z316" s="50">
        <v>0.9302893518518518</v>
      </c>
      <c r="AA316" s="50">
        <v>0.34239583333333329</v>
      </c>
      <c r="AD316" s="37">
        <v>19612</v>
      </c>
      <c r="AE316" s="48">
        <f t="shared" si="32"/>
        <v>19.611999999999998</v>
      </c>
      <c r="AF316">
        <v>16.09</v>
      </c>
      <c r="AG316" s="72">
        <f t="shared" si="33"/>
        <v>14</v>
      </c>
      <c r="AH316" s="37">
        <f t="shared" si="34"/>
        <v>19.611999999999998</v>
      </c>
      <c r="AJ316" s="38"/>
      <c r="AK316" s="34"/>
      <c r="AL316" s="16"/>
      <c r="AN316" s="39"/>
      <c r="AP316" s="47"/>
      <c r="AR316" s="38"/>
      <c r="AS316" s="38"/>
      <c r="AU316" s="38"/>
      <c r="AV316" s="34"/>
      <c r="AW316" s="16"/>
      <c r="AY316" s="39"/>
      <c r="BA316" s="47"/>
      <c r="BC316" s="38"/>
      <c r="BD316" s="38"/>
    </row>
    <row r="317" spans="22:56" ht="16" x14ac:dyDescent="0.4">
      <c r="V317" s="97">
        <v>45807</v>
      </c>
      <c r="W317" s="16">
        <v>153995</v>
      </c>
      <c r="X317" s="89" t="s">
        <v>36</v>
      </c>
      <c r="Y317" s="106"/>
      <c r="Z317" s="50">
        <v>0.27144675925925926</v>
      </c>
      <c r="AA317" s="50">
        <v>0.40500000000000003</v>
      </c>
      <c r="AD317" s="37">
        <v>20160</v>
      </c>
      <c r="AE317" s="48">
        <f t="shared" si="32"/>
        <v>20.16</v>
      </c>
      <c r="AF317">
        <v>16.02</v>
      </c>
      <c r="AG317" s="72">
        <f t="shared" si="33"/>
        <v>14</v>
      </c>
      <c r="AH317" s="37">
        <f t="shared" si="34"/>
        <v>20.16</v>
      </c>
      <c r="AJ317" s="38"/>
      <c r="AK317" s="34"/>
      <c r="AL317" s="16"/>
      <c r="AN317" s="39"/>
      <c r="AO317" s="39"/>
      <c r="AP317" s="47"/>
      <c r="AR317" s="38"/>
      <c r="AS317" s="38"/>
      <c r="AU317" s="38"/>
      <c r="AV317" s="34"/>
      <c r="AW317" s="16"/>
      <c r="AY317" s="39"/>
      <c r="AZ317" s="39"/>
      <c r="BA317" s="47"/>
      <c r="BC317" s="38"/>
      <c r="BD317" s="38"/>
    </row>
    <row r="318" spans="22:56" ht="16" x14ac:dyDescent="0.4">
      <c r="V318" s="97">
        <v>45807</v>
      </c>
      <c r="W318" s="16">
        <v>154065</v>
      </c>
      <c r="X318" s="89" t="s">
        <v>36</v>
      </c>
      <c r="Y318" s="106"/>
      <c r="Z318" s="50">
        <v>0.42921296296296302</v>
      </c>
      <c r="AA318" s="50">
        <v>0.50101851851851853</v>
      </c>
      <c r="AD318" s="37">
        <v>21238</v>
      </c>
      <c r="AE318" s="48">
        <f t="shared" si="32"/>
        <v>21.238</v>
      </c>
      <c r="AF318">
        <v>15.59</v>
      </c>
      <c r="AG318" s="72">
        <f t="shared" si="33"/>
        <v>14</v>
      </c>
      <c r="AH318" s="37">
        <f t="shared" si="34"/>
        <v>21.238</v>
      </c>
      <c r="AJ318" s="38"/>
      <c r="AK318" s="34"/>
      <c r="AL318" s="16"/>
      <c r="AN318" s="39"/>
      <c r="AO318" s="39"/>
      <c r="AP318" s="47"/>
      <c r="AR318" s="38"/>
      <c r="AS318" s="38"/>
      <c r="AU318" s="38"/>
      <c r="AV318" s="34"/>
      <c r="AW318" s="16"/>
      <c r="AY318" s="39"/>
      <c r="AZ318" s="39"/>
      <c r="BA318" s="47"/>
      <c r="BC318" s="38"/>
      <c r="BD318" s="38"/>
    </row>
    <row r="319" spans="22:56" ht="16" x14ac:dyDescent="0.4">
      <c r="V319" s="97">
        <v>45807</v>
      </c>
      <c r="W319" s="16">
        <v>154087</v>
      </c>
      <c r="X319" s="89" t="s">
        <v>36</v>
      </c>
      <c r="Y319" s="106"/>
      <c r="Z319" s="50">
        <v>0.27155092592592595</v>
      </c>
      <c r="AA319" s="50">
        <v>0.5612152777777778</v>
      </c>
      <c r="AD319" s="37">
        <v>19614</v>
      </c>
      <c r="AE319" s="48">
        <f t="shared" si="32"/>
        <v>19.614000000000001</v>
      </c>
      <c r="AF319">
        <v>15.84</v>
      </c>
      <c r="AG319" s="72">
        <f t="shared" si="33"/>
        <v>14</v>
      </c>
      <c r="AH319" s="37">
        <f t="shared" si="34"/>
        <v>19.614000000000001</v>
      </c>
      <c r="AJ319" s="38"/>
      <c r="AK319" s="34"/>
      <c r="AL319" s="16"/>
      <c r="AN319" s="39"/>
      <c r="AP319" s="47"/>
      <c r="AR319" s="38"/>
      <c r="AS319" s="38"/>
      <c r="AU319" s="38"/>
      <c r="AV319" s="34"/>
      <c r="AW319" s="16"/>
      <c r="AY319" s="39"/>
      <c r="BA319" s="47"/>
      <c r="BC319" s="38"/>
      <c r="BD319" s="38"/>
    </row>
    <row r="320" spans="22:56" ht="16" x14ac:dyDescent="0.4">
      <c r="V320" s="97">
        <v>45807</v>
      </c>
      <c r="W320" s="16">
        <v>154151</v>
      </c>
      <c r="X320" s="89" t="s">
        <v>36</v>
      </c>
      <c r="Y320" s="106"/>
      <c r="Z320" s="50">
        <v>0.69773148148148145</v>
      </c>
      <c r="AA320" s="50">
        <v>0.62770833333333331</v>
      </c>
      <c r="AD320" s="37">
        <v>19786</v>
      </c>
      <c r="AE320" s="48">
        <f t="shared" si="32"/>
        <v>19.786000000000001</v>
      </c>
      <c r="AF320">
        <v>14.66</v>
      </c>
      <c r="AG320" s="72">
        <f t="shared" si="33"/>
        <v>14</v>
      </c>
      <c r="AH320" s="37">
        <f t="shared" si="34"/>
        <v>19.786000000000001</v>
      </c>
      <c r="AJ320" s="38"/>
      <c r="AK320" s="34"/>
      <c r="AL320" s="16"/>
      <c r="AN320" s="39"/>
      <c r="AO320" s="39"/>
      <c r="AP320" s="47"/>
      <c r="AR320" s="38"/>
      <c r="AS320" s="38"/>
      <c r="AU320" s="38"/>
      <c r="AV320" s="34"/>
      <c r="AW320" s="16"/>
      <c r="AY320" s="39"/>
      <c r="AZ320" s="39"/>
      <c r="BA320" s="47"/>
      <c r="BC320" s="38"/>
      <c r="BD320" s="38"/>
    </row>
    <row r="321" spans="22:56" ht="16" x14ac:dyDescent="0.4">
      <c r="V321" s="97">
        <v>45807</v>
      </c>
      <c r="W321" s="16">
        <v>154196</v>
      </c>
      <c r="X321" s="89" t="s">
        <v>36</v>
      </c>
      <c r="Y321" s="106"/>
      <c r="Z321" s="50">
        <v>0.27136574074074077</v>
      </c>
      <c r="AA321" s="50">
        <v>0.7101736111111111</v>
      </c>
      <c r="AD321" s="37">
        <v>16872</v>
      </c>
      <c r="AE321" s="48">
        <f t="shared" si="32"/>
        <v>16.872</v>
      </c>
      <c r="AF321">
        <v>14.48</v>
      </c>
      <c r="AG321" s="72">
        <f t="shared" si="33"/>
        <v>14</v>
      </c>
      <c r="AH321" s="37">
        <f t="shared" si="34"/>
        <v>16.872</v>
      </c>
      <c r="AJ321" s="34"/>
      <c r="AK321" s="34"/>
      <c r="AL321" s="82"/>
      <c r="AN321" s="83"/>
      <c r="AO321" s="83"/>
      <c r="AP321" s="82"/>
      <c r="AQ321" s="84"/>
      <c r="AR321" s="84"/>
      <c r="AS321" s="38"/>
      <c r="AU321" s="34"/>
      <c r="AV321" s="34"/>
      <c r="AW321" s="82"/>
      <c r="AY321" s="83"/>
      <c r="AZ321" s="83"/>
      <c r="BA321" s="82"/>
      <c r="BB321" s="84"/>
      <c r="BC321" s="84"/>
      <c r="BD321" s="38"/>
    </row>
    <row r="322" spans="22:56" ht="16" x14ac:dyDescent="0.4">
      <c r="V322" s="97">
        <v>45807</v>
      </c>
      <c r="W322" s="16">
        <v>154236</v>
      </c>
      <c r="X322" s="89" t="s">
        <v>36</v>
      </c>
      <c r="Y322" s="106"/>
      <c r="Z322" s="50">
        <v>0.4291666666666667</v>
      </c>
      <c r="AA322" s="50">
        <v>0.83472222222222225</v>
      </c>
      <c r="AD322" s="37">
        <v>21492</v>
      </c>
      <c r="AE322" s="48">
        <f t="shared" si="32"/>
        <v>21.492000000000001</v>
      </c>
      <c r="AF322">
        <v>13.81</v>
      </c>
      <c r="AG322" s="72">
        <f t="shared" si="33"/>
        <v>13.81</v>
      </c>
      <c r="AH322" s="37">
        <f t="shared" si="34"/>
        <v>21.200322857142858</v>
      </c>
      <c r="AJ322" s="34"/>
      <c r="AK322" s="34"/>
      <c r="AL322" s="82"/>
      <c r="AN322" s="83"/>
      <c r="AO322" s="83"/>
      <c r="AP322" s="82"/>
      <c r="AQ322" s="84"/>
      <c r="AR322" s="84"/>
      <c r="AS322" s="38"/>
      <c r="AU322" s="34"/>
      <c r="AV322" s="34"/>
      <c r="AW322" s="82"/>
      <c r="AY322" s="83"/>
      <c r="AZ322" s="83"/>
      <c r="BA322" s="82"/>
      <c r="BB322" s="84"/>
      <c r="BC322" s="84"/>
      <c r="BD322" s="38"/>
    </row>
    <row r="323" spans="22:56" ht="16" x14ac:dyDescent="0.4">
      <c r="V323" s="97">
        <v>45807</v>
      </c>
      <c r="W323" s="16">
        <v>154259</v>
      </c>
      <c r="X323" s="89" t="s">
        <v>36</v>
      </c>
      <c r="Y323" s="106"/>
      <c r="Z323" s="50">
        <v>0.7631944444444444</v>
      </c>
      <c r="AA323" s="50">
        <v>0.89444444444444438</v>
      </c>
      <c r="AD323" s="37">
        <v>19574</v>
      </c>
      <c r="AE323" s="48">
        <f t="shared" si="32"/>
        <v>19.574000000000002</v>
      </c>
      <c r="AF323">
        <v>15.27</v>
      </c>
      <c r="AG323" s="72">
        <f t="shared" si="33"/>
        <v>14</v>
      </c>
      <c r="AH323" s="37">
        <f t="shared" si="34"/>
        <v>19.574000000000002</v>
      </c>
      <c r="AJ323" s="34"/>
      <c r="AK323" s="34"/>
      <c r="AL323" s="82"/>
      <c r="AN323" s="83"/>
      <c r="AO323" s="83"/>
      <c r="AP323" s="82"/>
      <c r="AQ323" s="84"/>
      <c r="AR323" s="84"/>
      <c r="AS323" s="84"/>
      <c r="AU323" s="34"/>
      <c r="AV323" s="34"/>
      <c r="AW323" s="82"/>
      <c r="AY323" s="83"/>
      <c r="AZ323" s="83"/>
      <c r="BA323" s="82"/>
      <c r="BB323" s="84"/>
      <c r="BC323" s="84"/>
      <c r="BD323" s="84"/>
    </row>
    <row r="324" spans="22:56" ht="16" x14ac:dyDescent="0.4">
      <c r="V324" s="97">
        <v>45807</v>
      </c>
      <c r="W324" s="16">
        <v>154290</v>
      </c>
      <c r="X324" s="89" t="s">
        <v>36</v>
      </c>
      <c r="Y324" s="106"/>
      <c r="Z324" s="50">
        <v>0.42569444444444443</v>
      </c>
      <c r="AA324" s="50">
        <v>0.97083333333333333</v>
      </c>
      <c r="AD324" s="37">
        <v>22046</v>
      </c>
      <c r="AE324" s="48">
        <f t="shared" ref="AE324:AE387" si="35">AD324/1000</f>
        <v>22.045999999999999</v>
      </c>
      <c r="AF324">
        <v>13.09</v>
      </c>
      <c r="AG324" s="72">
        <f t="shared" si="33"/>
        <v>13.09</v>
      </c>
      <c r="AH324" s="37">
        <f t="shared" si="34"/>
        <v>20.613009999999999</v>
      </c>
      <c r="AJ324" s="34"/>
      <c r="AK324" s="34"/>
      <c r="AL324" s="82"/>
      <c r="AN324" s="83"/>
      <c r="AO324" s="83"/>
      <c r="AP324" s="82"/>
      <c r="AQ324" s="84"/>
      <c r="AR324" s="84"/>
      <c r="AS324" s="84"/>
      <c r="AU324" s="34"/>
      <c r="AV324" s="34"/>
      <c r="AW324" s="82"/>
      <c r="AY324" s="83"/>
      <c r="AZ324" s="83"/>
      <c r="BA324" s="82"/>
      <c r="BB324" s="84"/>
      <c r="BC324" s="84"/>
      <c r="BD324" s="84"/>
    </row>
    <row r="325" spans="22:56" ht="16" x14ac:dyDescent="0.4">
      <c r="V325" s="97">
        <v>45808</v>
      </c>
      <c r="W325" s="16">
        <v>154311</v>
      </c>
      <c r="X325" s="89" t="s">
        <v>36</v>
      </c>
      <c r="Y325" s="106"/>
      <c r="Z325" s="50">
        <v>0.7631944444444444</v>
      </c>
      <c r="AA325" s="50">
        <v>4.7222222222222221E-2</v>
      </c>
      <c r="AD325" s="37">
        <v>20690</v>
      </c>
      <c r="AE325" s="48">
        <f t="shared" si="35"/>
        <v>20.69</v>
      </c>
      <c r="AF325">
        <v>14.66</v>
      </c>
      <c r="AG325" s="72">
        <f t="shared" ref="AG325:AG388" si="36">IF($AF325&gt;14,14,$AF325)</f>
        <v>14</v>
      </c>
      <c r="AH325" s="37">
        <f t="shared" si="34"/>
        <v>20.69</v>
      </c>
      <c r="AJ325" s="34"/>
      <c r="AK325" s="34"/>
      <c r="AL325" s="82"/>
      <c r="AN325" s="83"/>
      <c r="AO325" s="83"/>
      <c r="AP325" s="82"/>
      <c r="AQ325" s="84"/>
      <c r="AR325" s="84"/>
      <c r="AS325" s="84"/>
      <c r="AU325" s="34"/>
      <c r="AV325" s="34"/>
      <c r="AW325" s="82"/>
      <c r="AY325" s="83"/>
      <c r="AZ325" s="83"/>
      <c r="BA325" s="82"/>
      <c r="BB325" s="84"/>
      <c r="BC325" s="84"/>
      <c r="BD325" s="84"/>
    </row>
    <row r="326" spans="22:56" ht="16" x14ac:dyDescent="0.4">
      <c r="V326" s="97">
        <v>45808</v>
      </c>
      <c r="W326" s="16">
        <v>154327</v>
      </c>
      <c r="X326" s="89" t="s">
        <v>36</v>
      </c>
      <c r="Y326" s="106"/>
      <c r="Z326" s="50">
        <v>0.89861111111111114</v>
      </c>
      <c r="AA326" s="50">
        <v>0.11319444444444444</v>
      </c>
      <c r="AD326" s="37">
        <v>20482</v>
      </c>
      <c r="AE326" s="48">
        <f t="shared" si="35"/>
        <v>20.481999999999999</v>
      </c>
      <c r="AF326">
        <v>14.06</v>
      </c>
      <c r="AG326" s="72">
        <f t="shared" si="36"/>
        <v>14</v>
      </c>
      <c r="AH326" s="37">
        <f t="shared" ref="AH326:AH389" si="37">AE326*AG326/14</f>
        <v>20.481999999999999</v>
      </c>
      <c r="AJ326" s="34"/>
      <c r="AK326" s="34"/>
      <c r="AL326" s="82"/>
      <c r="AN326" s="83"/>
      <c r="AO326" s="83"/>
      <c r="AP326" s="82"/>
      <c r="AQ326" s="84"/>
      <c r="AR326" s="84"/>
      <c r="AS326" s="84"/>
      <c r="AU326" s="34"/>
      <c r="AV326" s="34"/>
      <c r="AW326" s="82"/>
      <c r="AY326" s="83"/>
      <c r="AZ326" s="83"/>
      <c r="BA326" s="82"/>
      <c r="BB326" s="84"/>
      <c r="BC326" s="84"/>
      <c r="BD326" s="84"/>
    </row>
    <row r="327" spans="22:56" ht="16" x14ac:dyDescent="0.4">
      <c r="V327" s="97">
        <v>45808</v>
      </c>
      <c r="W327" s="16">
        <v>154340</v>
      </c>
      <c r="X327" s="89" t="s">
        <v>36</v>
      </c>
      <c r="Y327" s="106"/>
      <c r="Z327" s="50">
        <v>0.7631944444444444</v>
      </c>
      <c r="AA327" s="50">
        <v>0.17083333333333331</v>
      </c>
      <c r="AD327" s="37">
        <v>20134</v>
      </c>
      <c r="AE327" s="48">
        <f t="shared" si="35"/>
        <v>20.134</v>
      </c>
      <c r="AF327">
        <v>14.13</v>
      </c>
      <c r="AG327" s="72">
        <f t="shared" si="36"/>
        <v>14</v>
      </c>
      <c r="AH327" s="37">
        <f t="shared" si="37"/>
        <v>20.133999999999997</v>
      </c>
      <c r="AJ327" s="34"/>
      <c r="AK327" s="34"/>
      <c r="AL327" s="82"/>
      <c r="AN327" s="83"/>
      <c r="AO327" s="83"/>
      <c r="AP327" s="82"/>
      <c r="AQ327" s="84"/>
      <c r="AR327" s="84"/>
      <c r="AS327" s="84"/>
      <c r="AU327" s="34"/>
      <c r="AV327" s="34"/>
      <c r="AW327" s="82"/>
      <c r="AY327" s="83"/>
      <c r="AZ327" s="83"/>
      <c r="BA327" s="82"/>
      <c r="BB327" s="84"/>
      <c r="BC327" s="84"/>
      <c r="BD327" s="84"/>
    </row>
    <row r="328" spans="22:56" ht="16" x14ac:dyDescent="0.4">
      <c r="V328" s="97">
        <v>45808</v>
      </c>
      <c r="W328" s="16">
        <v>154347</v>
      </c>
      <c r="X328" s="89" t="s">
        <v>36</v>
      </c>
      <c r="Y328" s="106"/>
      <c r="Z328" s="50">
        <v>0.89861111111111114</v>
      </c>
      <c r="AA328" s="50">
        <v>0.22291666666666665</v>
      </c>
      <c r="AD328" s="37">
        <v>19328</v>
      </c>
      <c r="AE328" s="48">
        <f t="shared" si="35"/>
        <v>19.327999999999999</v>
      </c>
      <c r="AF328">
        <v>15.09</v>
      </c>
      <c r="AG328" s="72">
        <f t="shared" si="36"/>
        <v>14</v>
      </c>
      <c r="AH328" s="37">
        <f t="shared" si="37"/>
        <v>19.327999999999999</v>
      </c>
      <c r="AJ328" s="34"/>
      <c r="AK328" s="34"/>
      <c r="AL328" s="82"/>
      <c r="AN328" s="83"/>
      <c r="AO328" s="83"/>
      <c r="AP328" s="82"/>
      <c r="AQ328" s="84"/>
      <c r="AR328" s="84"/>
      <c r="AS328" s="84"/>
      <c r="AU328" s="34"/>
      <c r="AV328" s="34"/>
      <c r="AW328" s="82"/>
      <c r="AY328" s="83"/>
      <c r="AZ328" s="83"/>
      <c r="BA328" s="82"/>
      <c r="BB328" s="84"/>
      <c r="BC328" s="84"/>
      <c r="BD328" s="84"/>
    </row>
    <row r="329" spans="22:56" ht="16" x14ac:dyDescent="0.4">
      <c r="V329" s="97">
        <v>45808</v>
      </c>
      <c r="W329" s="16">
        <v>154407</v>
      </c>
      <c r="X329" s="89" t="s">
        <v>36</v>
      </c>
      <c r="Y329" s="106"/>
      <c r="Z329" s="50">
        <v>0.20343750000000002</v>
      </c>
      <c r="AA329" s="50">
        <v>0.34356481481481477</v>
      </c>
      <c r="AD329" s="37">
        <v>18174</v>
      </c>
      <c r="AE329" s="48">
        <f t="shared" si="35"/>
        <v>18.173999999999999</v>
      </c>
      <c r="AF329">
        <v>14.69</v>
      </c>
      <c r="AG329" s="72">
        <f t="shared" si="36"/>
        <v>14</v>
      </c>
      <c r="AH329" s="37">
        <f t="shared" si="37"/>
        <v>18.173999999999999</v>
      </c>
      <c r="AJ329" s="34"/>
      <c r="AK329" s="34"/>
      <c r="AL329" s="82"/>
      <c r="AN329" s="83"/>
      <c r="AO329" s="83"/>
      <c r="AP329" s="82"/>
      <c r="AQ329" s="84"/>
      <c r="AR329" s="84"/>
      <c r="AS329" s="84"/>
      <c r="AU329" s="34"/>
      <c r="AV329" s="34"/>
      <c r="AW329" s="82"/>
      <c r="AY329" s="83"/>
      <c r="AZ329" s="83"/>
      <c r="BA329" s="82"/>
      <c r="BB329" s="84"/>
      <c r="BC329" s="84"/>
      <c r="BD329" s="84"/>
    </row>
    <row r="330" spans="22:56" ht="16" x14ac:dyDescent="0.4">
      <c r="V330" s="97">
        <v>45808</v>
      </c>
      <c r="W330" s="16">
        <v>154462</v>
      </c>
      <c r="X330" s="89" t="s">
        <v>36</v>
      </c>
      <c r="Y330" s="106"/>
      <c r="Z330" s="50">
        <v>0.89883101851851854</v>
      </c>
      <c r="AA330" s="50">
        <v>0.41630787037037037</v>
      </c>
      <c r="AD330" s="37">
        <v>17914</v>
      </c>
      <c r="AE330" s="48">
        <f t="shared" si="35"/>
        <v>17.914000000000001</v>
      </c>
      <c r="AF330">
        <v>16.809999999999999</v>
      </c>
      <c r="AG330" s="72">
        <f t="shared" si="36"/>
        <v>14</v>
      </c>
      <c r="AH330" s="37">
        <f t="shared" si="37"/>
        <v>17.914000000000001</v>
      </c>
      <c r="AJ330" s="34"/>
      <c r="AK330" s="34"/>
      <c r="AL330" s="82"/>
      <c r="AN330" s="83"/>
      <c r="AO330" s="83"/>
      <c r="AP330" s="82"/>
      <c r="AQ330" s="84"/>
      <c r="AR330" s="84"/>
      <c r="AS330" s="84"/>
      <c r="AU330" s="34"/>
      <c r="AV330" s="34"/>
      <c r="AW330" s="82"/>
      <c r="AY330" s="83"/>
      <c r="AZ330" s="83"/>
      <c r="BA330" s="82"/>
      <c r="BB330" s="84"/>
      <c r="BC330" s="84"/>
      <c r="BD330" s="84"/>
    </row>
    <row r="331" spans="22:56" ht="16" x14ac:dyDescent="0.4">
      <c r="V331" s="97">
        <v>45808</v>
      </c>
      <c r="W331" s="16">
        <v>154511</v>
      </c>
      <c r="X331" s="89" t="s">
        <v>36</v>
      </c>
      <c r="Y331" s="106"/>
      <c r="Z331" s="50">
        <v>0.20317129629629629</v>
      </c>
      <c r="AA331" s="50">
        <v>0.50822916666666662</v>
      </c>
      <c r="AD331" s="37">
        <v>20704</v>
      </c>
      <c r="AE331" s="48">
        <f t="shared" si="35"/>
        <v>20.704000000000001</v>
      </c>
      <c r="AF331">
        <v>15.56</v>
      </c>
      <c r="AG331" s="72">
        <f t="shared" si="36"/>
        <v>14</v>
      </c>
      <c r="AH331" s="37">
        <f t="shared" si="37"/>
        <v>20.704000000000001</v>
      </c>
      <c r="AJ331" s="34"/>
      <c r="AK331" s="34"/>
      <c r="AL331" s="82"/>
      <c r="AN331" s="83"/>
      <c r="AO331" s="83"/>
      <c r="AP331" s="82"/>
      <c r="AQ331" s="84"/>
      <c r="AR331" s="84"/>
      <c r="AS331" s="84"/>
      <c r="AU331" s="34"/>
      <c r="AV331" s="34"/>
      <c r="AW331" s="82"/>
      <c r="AY331" s="83"/>
      <c r="AZ331" s="83"/>
      <c r="BA331" s="82"/>
      <c r="BB331" s="84"/>
      <c r="BC331" s="84"/>
      <c r="BD331" s="84"/>
    </row>
    <row r="332" spans="22:56" ht="16" x14ac:dyDescent="0.4">
      <c r="V332" s="97">
        <v>45808</v>
      </c>
      <c r="W332" s="16">
        <v>154533</v>
      </c>
      <c r="X332" s="89" t="s">
        <v>36</v>
      </c>
      <c r="Y332" s="106"/>
      <c r="Z332" s="50">
        <v>0.27784722222222219</v>
      </c>
      <c r="AA332" s="50">
        <v>0.56842592592592589</v>
      </c>
      <c r="AD332" s="37">
        <v>18742</v>
      </c>
      <c r="AE332" s="48">
        <f t="shared" si="35"/>
        <v>18.742000000000001</v>
      </c>
      <c r="AF332">
        <v>16.88</v>
      </c>
      <c r="AG332" s="72">
        <f t="shared" si="36"/>
        <v>14</v>
      </c>
      <c r="AH332" s="37">
        <f t="shared" si="37"/>
        <v>18.742000000000001</v>
      </c>
      <c r="AJ332" s="34"/>
      <c r="AK332" s="34"/>
      <c r="AL332" s="82"/>
      <c r="AN332" s="83"/>
      <c r="AO332" s="83"/>
      <c r="AP332" s="82"/>
      <c r="AQ332" s="84"/>
      <c r="AR332" s="84"/>
      <c r="AS332" s="84"/>
      <c r="AU332" s="34"/>
      <c r="AV332" s="34"/>
      <c r="AW332" s="82"/>
      <c r="AY332" s="83"/>
      <c r="AZ332" s="83"/>
      <c r="BA332" s="82"/>
      <c r="BB332" s="84"/>
      <c r="BC332" s="84"/>
      <c r="BD332" s="84"/>
    </row>
    <row r="333" spans="22:56" ht="16" x14ac:dyDescent="0.4">
      <c r="V333" s="97">
        <v>45808</v>
      </c>
      <c r="W333" s="16">
        <v>15475</v>
      </c>
      <c r="X333" s="89" t="s">
        <v>36</v>
      </c>
      <c r="Y333" s="106"/>
      <c r="Z333" s="50">
        <v>0.20328703703703702</v>
      </c>
      <c r="AA333" s="50">
        <v>0.6289583333333334</v>
      </c>
      <c r="AD333" s="37">
        <v>20510</v>
      </c>
      <c r="AE333" s="48">
        <f t="shared" si="35"/>
        <v>20.51</v>
      </c>
      <c r="AF333">
        <v>14.31</v>
      </c>
      <c r="AG333" s="72">
        <f t="shared" si="36"/>
        <v>14</v>
      </c>
      <c r="AH333" s="37">
        <f t="shared" si="37"/>
        <v>20.51</v>
      </c>
      <c r="AJ333" s="34"/>
      <c r="AK333" s="34"/>
      <c r="AL333" s="82"/>
      <c r="AN333" s="83"/>
      <c r="AO333" s="83"/>
      <c r="AP333" s="82"/>
      <c r="AQ333" s="84"/>
      <c r="AR333" s="84"/>
      <c r="AS333" s="84"/>
      <c r="AU333" s="34"/>
      <c r="AV333" s="34"/>
      <c r="AW333" s="82"/>
      <c r="AY333" s="83"/>
      <c r="AZ333" s="83"/>
      <c r="BA333" s="82"/>
      <c r="BB333" s="84"/>
      <c r="BC333" s="84"/>
      <c r="BD333" s="84"/>
    </row>
    <row r="334" spans="22:56" ht="16" x14ac:dyDescent="0.4">
      <c r="V334" s="97">
        <v>45808</v>
      </c>
      <c r="W334" s="16">
        <v>154606</v>
      </c>
      <c r="X334" s="89" t="s">
        <v>36</v>
      </c>
      <c r="Y334" s="106"/>
      <c r="Z334" s="50">
        <v>0.27795138888888887</v>
      </c>
      <c r="AA334" s="50">
        <v>0.6996296296296296</v>
      </c>
      <c r="AD334" s="37">
        <v>19954</v>
      </c>
      <c r="AE334" s="48">
        <f t="shared" si="35"/>
        <v>19.954000000000001</v>
      </c>
      <c r="AF334">
        <v>16.489999999999998</v>
      </c>
      <c r="AG334" s="72">
        <f t="shared" si="36"/>
        <v>14</v>
      </c>
      <c r="AH334" s="37">
        <f t="shared" si="37"/>
        <v>19.954000000000001</v>
      </c>
      <c r="AJ334" s="34"/>
      <c r="AK334" s="34"/>
      <c r="AL334" s="82"/>
      <c r="AN334" s="83"/>
      <c r="AO334" s="83"/>
      <c r="AP334" s="82"/>
      <c r="AQ334" s="84"/>
      <c r="AR334" s="84"/>
      <c r="AS334" s="84"/>
      <c r="AU334" s="34"/>
      <c r="AV334" s="34"/>
      <c r="AW334" s="82"/>
      <c r="AY334" s="83"/>
      <c r="AZ334" s="83"/>
      <c r="BA334" s="82"/>
      <c r="BB334" s="84"/>
      <c r="BC334" s="84"/>
      <c r="BD334" s="84"/>
    </row>
    <row r="335" spans="22:56" ht="16" x14ac:dyDescent="0.4">
      <c r="V335" s="97">
        <v>45808</v>
      </c>
      <c r="W335" s="16">
        <v>154624</v>
      </c>
      <c r="X335" s="89" t="s">
        <v>36</v>
      </c>
      <c r="Y335" s="106"/>
      <c r="Z335" s="50">
        <v>0.68402777777777779</v>
      </c>
      <c r="AA335" s="50">
        <v>0.77222222222222225</v>
      </c>
      <c r="AD335" s="37">
        <v>19198</v>
      </c>
      <c r="AE335" s="48">
        <f t="shared" si="35"/>
        <v>19.198</v>
      </c>
      <c r="AF335">
        <v>16.559999999999999</v>
      </c>
      <c r="AG335" s="72">
        <f t="shared" si="36"/>
        <v>14</v>
      </c>
      <c r="AH335" s="37">
        <f t="shared" si="37"/>
        <v>19.198</v>
      </c>
      <c r="AJ335" s="34"/>
      <c r="AK335" s="34"/>
      <c r="AL335" s="82"/>
      <c r="AN335" s="83"/>
      <c r="AO335" s="83"/>
      <c r="AP335" s="82"/>
      <c r="AQ335" s="84"/>
      <c r="AR335" s="84"/>
      <c r="AS335" s="84"/>
      <c r="AU335" s="34"/>
      <c r="AV335" s="34"/>
      <c r="AW335" s="82"/>
      <c r="AY335" s="83"/>
      <c r="AZ335" s="83"/>
      <c r="BA335" s="82"/>
      <c r="BB335" s="84"/>
      <c r="BC335" s="84"/>
      <c r="BD335" s="84"/>
    </row>
    <row r="336" spans="22:56" ht="16" x14ac:dyDescent="0.4">
      <c r="V336" s="97">
        <v>45808</v>
      </c>
      <c r="W336" s="16">
        <v>154643</v>
      </c>
      <c r="X336" s="89" t="s">
        <v>36</v>
      </c>
      <c r="Y336" s="106"/>
      <c r="Z336" s="50">
        <v>0.27430555555555552</v>
      </c>
      <c r="AA336" s="50">
        <v>0.81527777777777777</v>
      </c>
      <c r="AD336" s="37">
        <v>21108</v>
      </c>
      <c r="AE336" s="48">
        <f t="shared" si="35"/>
        <v>21.108000000000001</v>
      </c>
      <c r="AF336">
        <v>16.41</v>
      </c>
      <c r="AG336" s="72">
        <f t="shared" si="36"/>
        <v>14</v>
      </c>
      <c r="AH336" s="37">
        <f t="shared" si="37"/>
        <v>21.108000000000001</v>
      </c>
      <c r="AJ336" s="34"/>
      <c r="AK336" s="34"/>
      <c r="AL336" s="82"/>
      <c r="AN336" s="83"/>
      <c r="AO336" s="83"/>
      <c r="AP336" s="82"/>
      <c r="AQ336" s="84"/>
      <c r="AR336" s="84"/>
      <c r="AS336" s="84"/>
      <c r="AU336" s="34"/>
      <c r="AV336" s="34"/>
      <c r="AW336" s="82"/>
      <c r="AY336" s="83"/>
      <c r="AZ336" s="83"/>
      <c r="BA336" s="82"/>
      <c r="BB336" s="84"/>
      <c r="BC336" s="84"/>
      <c r="BD336" s="84"/>
    </row>
    <row r="337" spans="22:56" ht="16" x14ac:dyDescent="0.4">
      <c r="V337" s="97">
        <v>45808</v>
      </c>
      <c r="W337" s="16">
        <v>154673</v>
      </c>
      <c r="X337" s="89" t="s">
        <v>36</v>
      </c>
      <c r="Y337" s="106"/>
      <c r="Z337" s="50">
        <v>0.68402777777777779</v>
      </c>
      <c r="AA337" s="50">
        <v>0.88263888888888886</v>
      </c>
      <c r="AD337" s="37">
        <v>21544</v>
      </c>
      <c r="AE337" s="48">
        <f t="shared" si="35"/>
        <v>21.544</v>
      </c>
      <c r="AF337">
        <v>15.02</v>
      </c>
      <c r="AG337" s="72">
        <f t="shared" si="36"/>
        <v>14</v>
      </c>
      <c r="AH337" s="37">
        <f t="shared" si="37"/>
        <v>21.544</v>
      </c>
      <c r="AJ337" s="34"/>
      <c r="AK337" s="34"/>
      <c r="AL337" s="82"/>
      <c r="AN337" s="83"/>
      <c r="AO337" s="83"/>
      <c r="AP337" s="82"/>
      <c r="AQ337" s="84"/>
      <c r="AR337" s="84"/>
      <c r="AS337" s="84"/>
      <c r="AU337" s="34"/>
      <c r="AV337" s="34"/>
      <c r="AW337" s="82"/>
      <c r="AY337" s="83"/>
      <c r="AZ337" s="83"/>
      <c r="BA337" s="82"/>
      <c r="BB337" s="84"/>
      <c r="BC337" s="84"/>
      <c r="BD337" s="84"/>
    </row>
    <row r="338" spans="22:56" ht="16" x14ac:dyDescent="0.4">
      <c r="V338" s="97">
        <v>45808</v>
      </c>
      <c r="W338" s="16">
        <v>154700</v>
      </c>
      <c r="X338" s="89" t="s">
        <v>36</v>
      </c>
      <c r="Y338" s="106"/>
      <c r="Z338" s="50">
        <v>0.76874999999999993</v>
      </c>
      <c r="AA338" s="50">
        <v>0.94444444444444453</v>
      </c>
      <c r="AD338" s="37">
        <v>20342</v>
      </c>
      <c r="AE338" s="48">
        <f t="shared" si="35"/>
        <v>20.341999999999999</v>
      </c>
      <c r="AF338">
        <v>15.13</v>
      </c>
      <c r="AG338" s="72">
        <f t="shared" si="36"/>
        <v>14</v>
      </c>
      <c r="AH338" s="37">
        <f t="shared" si="37"/>
        <v>20.342000000000002</v>
      </c>
      <c r="AJ338" s="34"/>
      <c r="AK338" s="34"/>
      <c r="AL338" s="82"/>
      <c r="AN338" s="83"/>
      <c r="AO338" s="83"/>
      <c r="AP338" s="82"/>
      <c r="AQ338" s="84"/>
      <c r="AR338" s="84"/>
      <c r="AS338" s="84"/>
      <c r="AU338" s="34"/>
      <c r="AV338" s="34"/>
      <c r="AW338" s="82"/>
      <c r="AY338" s="83"/>
      <c r="AZ338" s="83"/>
      <c r="BA338" s="82"/>
      <c r="BB338" s="84"/>
      <c r="BC338" s="84"/>
      <c r="BD338" s="84"/>
    </row>
    <row r="339" spans="22:56" ht="16" x14ac:dyDescent="0.4">
      <c r="V339" s="97">
        <v>45804</v>
      </c>
      <c r="W339" s="16">
        <v>152657</v>
      </c>
      <c r="X339" s="89" t="s">
        <v>36</v>
      </c>
      <c r="Y339" s="106"/>
      <c r="Z339" s="50">
        <v>0.63750000000000007</v>
      </c>
      <c r="AA339" s="50">
        <v>0.70763888888888893</v>
      </c>
      <c r="AD339" s="37">
        <v>20854</v>
      </c>
      <c r="AE339" s="48">
        <f t="shared" si="35"/>
        <v>20.853999999999999</v>
      </c>
      <c r="AF339">
        <v>14.24</v>
      </c>
      <c r="AG339" s="72">
        <f t="shared" si="36"/>
        <v>14</v>
      </c>
      <c r="AH339" s="37">
        <f t="shared" si="37"/>
        <v>20.854000000000003</v>
      </c>
      <c r="AJ339" s="34"/>
      <c r="AK339" s="34"/>
      <c r="AL339" s="82"/>
      <c r="AN339" s="83"/>
      <c r="AO339" s="83"/>
      <c r="AP339" s="82"/>
      <c r="AQ339" s="84"/>
      <c r="AR339" s="84"/>
      <c r="AS339" s="84"/>
      <c r="AU339" s="34"/>
      <c r="AV339" s="34"/>
      <c r="AW339" s="82"/>
      <c r="AY339" s="83"/>
      <c r="AZ339" s="83"/>
      <c r="BA339" s="82"/>
      <c r="BB339" s="84"/>
      <c r="BC339" s="84"/>
      <c r="BD339" s="84"/>
    </row>
    <row r="340" spans="22:56" ht="16" x14ac:dyDescent="0.4">
      <c r="V340" s="97"/>
      <c r="W340" s="16"/>
      <c r="X340" s="89"/>
      <c r="Y340" s="106"/>
      <c r="Z340" s="50"/>
      <c r="AA340" s="50"/>
      <c r="AD340" s="37"/>
      <c r="AE340" s="48">
        <f t="shared" si="35"/>
        <v>0</v>
      </c>
      <c r="AG340" s="72">
        <f t="shared" si="36"/>
        <v>0</v>
      </c>
      <c r="AH340" s="37">
        <f t="shared" si="37"/>
        <v>0</v>
      </c>
      <c r="AJ340" s="34"/>
      <c r="AK340" s="34"/>
      <c r="AL340" s="82"/>
      <c r="AN340" s="83"/>
      <c r="AO340" s="83"/>
      <c r="AP340" s="82"/>
      <c r="AQ340" s="84"/>
      <c r="AR340" s="84"/>
      <c r="AS340" s="84"/>
      <c r="AU340" s="34"/>
      <c r="AV340" s="34"/>
      <c r="AW340" s="82"/>
      <c r="AY340" s="83"/>
      <c r="AZ340" s="83"/>
      <c r="BA340" s="82"/>
      <c r="BB340" s="84"/>
      <c r="BC340" s="84"/>
      <c r="BD340" s="84"/>
    </row>
    <row r="341" spans="22:56" ht="16" x14ac:dyDescent="0.4">
      <c r="V341" s="97"/>
      <c r="W341" s="16"/>
      <c r="X341" s="89"/>
      <c r="Y341" s="106"/>
      <c r="Z341" s="50"/>
      <c r="AA341" s="50"/>
      <c r="AD341" s="37"/>
      <c r="AE341" s="48">
        <f t="shared" si="35"/>
        <v>0</v>
      </c>
      <c r="AG341" s="72">
        <f t="shared" si="36"/>
        <v>0</v>
      </c>
      <c r="AH341" s="37">
        <f t="shared" si="37"/>
        <v>0</v>
      </c>
      <c r="AJ341" s="34"/>
      <c r="AK341" s="34"/>
      <c r="AL341" s="82"/>
      <c r="AN341" s="83"/>
      <c r="AO341" s="83"/>
      <c r="AP341" s="82"/>
      <c r="AQ341" s="84"/>
      <c r="AR341" s="84"/>
      <c r="AS341" s="84"/>
      <c r="AU341" s="34"/>
      <c r="AV341" s="34"/>
      <c r="AW341" s="82"/>
      <c r="AY341" s="83"/>
      <c r="AZ341" s="83"/>
      <c r="BA341" s="82"/>
      <c r="BB341" s="84"/>
      <c r="BC341" s="84"/>
      <c r="BD341" s="84"/>
    </row>
    <row r="342" spans="22:56" ht="16" x14ac:dyDescent="0.4">
      <c r="V342" s="97"/>
      <c r="W342" s="16"/>
      <c r="X342" s="89"/>
      <c r="Y342" s="106"/>
      <c r="Z342" s="50"/>
      <c r="AA342" s="50"/>
      <c r="AD342" s="37"/>
      <c r="AE342" s="48">
        <f t="shared" si="35"/>
        <v>0</v>
      </c>
      <c r="AG342" s="72">
        <f t="shared" si="36"/>
        <v>0</v>
      </c>
      <c r="AH342" s="37">
        <f t="shared" si="37"/>
        <v>0</v>
      </c>
      <c r="AJ342" s="34"/>
      <c r="AK342" s="34"/>
      <c r="AL342" s="82"/>
      <c r="AN342" s="83"/>
      <c r="AO342" s="83"/>
      <c r="AP342" s="82"/>
      <c r="AQ342" s="84"/>
      <c r="AR342" s="84"/>
      <c r="AS342" s="84"/>
      <c r="AU342" s="34"/>
      <c r="AV342" s="34"/>
      <c r="AW342" s="82"/>
      <c r="AY342" s="83"/>
      <c r="AZ342" s="83"/>
      <c r="BA342" s="82"/>
      <c r="BB342" s="84"/>
      <c r="BC342" s="84"/>
      <c r="BD342" s="84"/>
    </row>
    <row r="343" spans="22:56" ht="16" x14ac:dyDescent="0.4">
      <c r="V343" s="97"/>
      <c r="W343" s="16"/>
      <c r="X343" s="89"/>
      <c r="Y343" s="106"/>
      <c r="Z343" s="50"/>
      <c r="AA343" s="50"/>
      <c r="AD343" s="37"/>
      <c r="AE343" s="48">
        <f t="shared" si="35"/>
        <v>0</v>
      </c>
      <c r="AG343" s="72">
        <f t="shared" si="36"/>
        <v>0</v>
      </c>
      <c r="AH343" s="37">
        <f t="shared" si="37"/>
        <v>0</v>
      </c>
      <c r="AJ343" s="34"/>
      <c r="AK343" s="34"/>
      <c r="AL343" s="82"/>
      <c r="AN343" s="83"/>
      <c r="AO343" s="83"/>
      <c r="AP343" s="82"/>
      <c r="AQ343" s="84"/>
      <c r="AR343" s="84"/>
      <c r="AS343" s="84"/>
      <c r="AU343" s="34"/>
      <c r="AV343" s="34"/>
      <c r="AW343" s="82"/>
      <c r="AY343" s="83"/>
      <c r="AZ343" s="83"/>
      <c r="BA343" s="82"/>
      <c r="BB343" s="84"/>
      <c r="BC343" s="84"/>
      <c r="BD343" s="84"/>
    </row>
    <row r="344" spans="22:56" ht="16" x14ac:dyDescent="0.4">
      <c r="V344" s="97"/>
      <c r="W344" s="16"/>
      <c r="X344" s="89"/>
      <c r="Z344" s="50"/>
      <c r="AA344" s="50"/>
      <c r="AD344" s="37"/>
      <c r="AE344" s="48">
        <f t="shared" si="35"/>
        <v>0</v>
      </c>
      <c r="AG344" s="72">
        <f t="shared" si="36"/>
        <v>0</v>
      </c>
      <c r="AH344" s="37">
        <f t="shared" si="37"/>
        <v>0</v>
      </c>
      <c r="AJ344" s="34"/>
      <c r="AK344" s="34"/>
      <c r="AL344" s="82"/>
      <c r="AN344" s="83"/>
      <c r="AO344" s="83"/>
      <c r="AP344" s="82"/>
      <c r="AQ344" s="84"/>
      <c r="AR344" s="84"/>
      <c r="AS344" s="84"/>
      <c r="AU344" s="34"/>
      <c r="AV344" s="34"/>
      <c r="AW344" s="82"/>
      <c r="AY344" s="83"/>
      <c r="AZ344" s="83"/>
      <c r="BA344" s="82"/>
      <c r="BB344" s="84"/>
      <c r="BC344" s="84"/>
      <c r="BD344" s="84"/>
    </row>
    <row r="345" spans="22:56" ht="16" x14ac:dyDescent="0.4">
      <c r="V345" s="97"/>
      <c r="W345" s="16"/>
      <c r="X345" s="89"/>
      <c r="Z345" s="50"/>
      <c r="AA345" s="50"/>
      <c r="AD345" s="37"/>
      <c r="AE345" s="48">
        <f t="shared" si="35"/>
        <v>0</v>
      </c>
      <c r="AG345" s="72">
        <f t="shared" si="36"/>
        <v>0</v>
      </c>
      <c r="AH345" s="37">
        <f t="shared" si="37"/>
        <v>0</v>
      </c>
      <c r="AJ345" s="34"/>
      <c r="AK345" s="34"/>
      <c r="AL345" s="82"/>
      <c r="AN345" s="83"/>
      <c r="AO345" s="83"/>
      <c r="AP345" s="82"/>
      <c r="AQ345" s="84"/>
      <c r="AR345" s="84"/>
      <c r="AS345" s="84"/>
      <c r="AU345" s="34"/>
      <c r="AV345" s="34"/>
      <c r="AW345" s="82"/>
      <c r="AY345" s="83"/>
      <c r="AZ345" s="83"/>
      <c r="BA345" s="82"/>
      <c r="BB345" s="84"/>
      <c r="BC345" s="84"/>
      <c r="BD345" s="84"/>
    </row>
    <row r="346" spans="22:56" ht="16" x14ac:dyDescent="0.4">
      <c r="V346" s="97"/>
      <c r="W346" s="16"/>
      <c r="X346" s="89"/>
      <c r="Z346" s="50"/>
      <c r="AA346" s="50"/>
      <c r="AD346" s="37"/>
      <c r="AE346" s="48">
        <f t="shared" si="35"/>
        <v>0</v>
      </c>
      <c r="AG346" s="72">
        <f t="shared" si="36"/>
        <v>0</v>
      </c>
      <c r="AH346" s="37">
        <f t="shared" si="37"/>
        <v>0</v>
      </c>
      <c r="AJ346" s="34"/>
      <c r="AK346" s="34"/>
      <c r="AL346" s="82"/>
      <c r="AN346" s="83"/>
      <c r="AO346" s="83"/>
      <c r="AP346" s="82"/>
      <c r="AQ346" s="84"/>
      <c r="AR346" s="84"/>
      <c r="AS346" s="84"/>
      <c r="AU346" s="34"/>
      <c r="AV346" s="34"/>
      <c r="AW346" s="82"/>
      <c r="AY346" s="83"/>
      <c r="AZ346" s="83"/>
      <c r="BA346" s="82"/>
      <c r="BB346" s="84"/>
      <c r="BC346" s="84"/>
      <c r="BD346" s="84"/>
    </row>
    <row r="347" spans="22:56" ht="16" x14ac:dyDescent="0.4">
      <c r="V347" s="97"/>
      <c r="W347" s="16"/>
      <c r="X347" s="89"/>
      <c r="Z347" s="50"/>
      <c r="AA347" s="50"/>
      <c r="AD347" s="37"/>
      <c r="AE347" s="48">
        <f t="shared" si="35"/>
        <v>0</v>
      </c>
      <c r="AG347" s="72">
        <f t="shared" si="36"/>
        <v>0</v>
      </c>
      <c r="AH347" s="37">
        <f t="shared" si="37"/>
        <v>0</v>
      </c>
      <c r="AJ347" s="34"/>
      <c r="AK347" s="34"/>
      <c r="AL347" s="82"/>
      <c r="AN347" s="83"/>
      <c r="AO347" s="83"/>
      <c r="AP347" s="82"/>
      <c r="AQ347" s="84"/>
      <c r="AR347" s="84"/>
      <c r="AS347" s="84"/>
      <c r="AU347" s="34"/>
      <c r="AV347" s="34"/>
      <c r="AW347" s="82"/>
      <c r="AY347" s="83"/>
      <c r="AZ347" s="83"/>
      <c r="BA347" s="82"/>
      <c r="BB347" s="84"/>
      <c r="BC347" s="84"/>
      <c r="BD347" s="84"/>
    </row>
    <row r="348" spans="22:56" ht="16" x14ac:dyDescent="0.4">
      <c r="V348" s="97"/>
      <c r="W348" s="16"/>
      <c r="X348" s="89"/>
      <c r="Z348" s="50"/>
      <c r="AA348" s="50"/>
      <c r="AD348" s="100"/>
      <c r="AE348" s="48">
        <f t="shared" si="35"/>
        <v>0</v>
      </c>
      <c r="AF348" s="16"/>
      <c r="AG348" s="72">
        <f t="shared" si="36"/>
        <v>0</v>
      </c>
      <c r="AH348" s="37">
        <f t="shared" si="37"/>
        <v>0</v>
      </c>
      <c r="AJ348" s="34"/>
      <c r="AK348" s="34"/>
      <c r="AL348" s="82"/>
      <c r="AN348" s="83"/>
      <c r="AO348" s="83"/>
      <c r="AP348" s="82"/>
      <c r="AQ348" s="84"/>
      <c r="AR348" s="84"/>
      <c r="AS348" s="84"/>
      <c r="AU348" s="34"/>
      <c r="AV348" s="34"/>
      <c r="AW348" s="82"/>
      <c r="AY348" s="83"/>
      <c r="AZ348" s="83"/>
      <c r="BA348" s="82"/>
      <c r="BB348" s="84"/>
      <c r="BC348" s="84"/>
      <c r="BD348" s="84"/>
    </row>
    <row r="349" spans="22:56" ht="16" x14ac:dyDescent="0.4">
      <c r="V349" s="97"/>
      <c r="W349" s="16"/>
      <c r="X349" s="89"/>
      <c r="Z349" s="50"/>
      <c r="AA349" s="50"/>
      <c r="AD349" s="100"/>
      <c r="AE349" s="48">
        <f t="shared" si="35"/>
        <v>0</v>
      </c>
      <c r="AF349" s="16"/>
      <c r="AG349" s="72">
        <f t="shared" si="36"/>
        <v>0</v>
      </c>
      <c r="AH349" s="37">
        <f t="shared" si="37"/>
        <v>0</v>
      </c>
      <c r="AJ349" s="34"/>
      <c r="AK349" s="34"/>
      <c r="AL349" s="82"/>
      <c r="AN349" s="83"/>
      <c r="AO349" s="83"/>
      <c r="AP349" s="82"/>
      <c r="AQ349" s="84"/>
      <c r="AR349" s="84"/>
      <c r="AS349" s="84"/>
      <c r="AU349" s="34"/>
      <c r="AV349" s="34"/>
      <c r="AW349" s="82"/>
      <c r="AY349" s="83"/>
      <c r="AZ349" s="83"/>
      <c r="BA349" s="82"/>
      <c r="BB349" s="84"/>
      <c r="BC349" s="84"/>
      <c r="BD349" s="84"/>
    </row>
    <row r="350" spans="22:56" ht="16" x14ac:dyDescent="0.4">
      <c r="V350" s="97"/>
      <c r="W350" s="16"/>
      <c r="X350" s="89"/>
      <c r="Z350" s="50"/>
      <c r="AA350" s="50"/>
      <c r="AD350" s="100"/>
      <c r="AE350" s="48">
        <f t="shared" si="35"/>
        <v>0</v>
      </c>
      <c r="AF350" s="16"/>
      <c r="AG350" s="72">
        <f t="shared" si="36"/>
        <v>0</v>
      </c>
      <c r="AH350" s="37">
        <f t="shared" si="37"/>
        <v>0</v>
      </c>
      <c r="AJ350" s="34"/>
      <c r="AK350" s="34"/>
      <c r="AL350" s="82"/>
      <c r="AN350" s="83"/>
      <c r="AO350" s="83"/>
      <c r="AP350" s="82"/>
      <c r="AQ350" s="84"/>
      <c r="AR350" s="84"/>
      <c r="AS350" s="84"/>
      <c r="AU350" s="34"/>
      <c r="AV350" s="34"/>
      <c r="AW350" s="82"/>
      <c r="AY350" s="83"/>
      <c r="AZ350" s="83"/>
      <c r="BA350" s="82"/>
      <c r="BB350" s="84"/>
      <c r="BC350" s="84"/>
      <c r="BD350" s="84"/>
    </row>
    <row r="351" spans="22:56" ht="16" x14ac:dyDescent="0.4">
      <c r="V351" s="97"/>
      <c r="W351" s="16"/>
      <c r="X351" s="89"/>
      <c r="Z351" s="50"/>
      <c r="AA351" s="50"/>
      <c r="AD351" s="100"/>
      <c r="AE351" s="48">
        <f t="shared" si="35"/>
        <v>0</v>
      </c>
      <c r="AF351" s="16"/>
      <c r="AG351" s="72">
        <f t="shared" si="36"/>
        <v>0</v>
      </c>
      <c r="AH351" s="37">
        <f t="shared" si="37"/>
        <v>0</v>
      </c>
      <c r="AJ351" s="34"/>
      <c r="AK351" s="34"/>
      <c r="AL351" s="82"/>
      <c r="AN351" s="83"/>
      <c r="AO351" s="83"/>
      <c r="AP351" s="82"/>
      <c r="AQ351" s="84"/>
      <c r="AR351" s="84"/>
      <c r="AS351" s="84"/>
      <c r="AU351" s="34"/>
      <c r="AV351" s="34"/>
      <c r="AW351" s="82"/>
      <c r="AY351" s="83"/>
      <c r="AZ351" s="83"/>
      <c r="BA351" s="82"/>
      <c r="BB351" s="84"/>
      <c r="BC351" s="84"/>
      <c r="BD351" s="84"/>
    </row>
    <row r="352" spans="22:56" ht="16" x14ac:dyDescent="0.4">
      <c r="V352" s="97"/>
      <c r="W352" s="16"/>
      <c r="X352" s="89"/>
      <c r="Z352" s="50"/>
      <c r="AA352" s="50"/>
      <c r="AD352" s="100"/>
      <c r="AE352" s="48">
        <f t="shared" si="35"/>
        <v>0</v>
      </c>
      <c r="AF352" s="16"/>
      <c r="AG352" s="72">
        <f t="shared" si="36"/>
        <v>0</v>
      </c>
      <c r="AH352" s="37">
        <f t="shared" si="37"/>
        <v>0</v>
      </c>
      <c r="AJ352" s="34"/>
      <c r="AK352" s="34"/>
      <c r="AL352" s="82"/>
      <c r="AN352" s="83"/>
      <c r="AO352" s="83"/>
      <c r="AP352" s="82"/>
      <c r="AQ352" s="84"/>
      <c r="AR352" s="84"/>
      <c r="AS352" s="84"/>
      <c r="AU352" s="34"/>
      <c r="AV352" s="34"/>
      <c r="AW352" s="82"/>
      <c r="AY352" s="83"/>
      <c r="AZ352" s="83"/>
      <c r="BA352" s="82"/>
      <c r="BB352" s="84"/>
      <c r="BC352" s="84"/>
      <c r="BD352" s="84"/>
    </row>
    <row r="353" spans="22:56" ht="16" x14ac:dyDescent="0.4">
      <c r="V353" s="97"/>
      <c r="W353" s="16"/>
      <c r="X353" s="89"/>
      <c r="Z353" s="50"/>
      <c r="AA353" s="50"/>
      <c r="AD353" s="100"/>
      <c r="AE353" s="48">
        <f t="shared" si="35"/>
        <v>0</v>
      </c>
      <c r="AF353" s="16"/>
      <c r="AG353" s="72">
        <f t="shared" si="36"/>
        <v>0</v>
      </c>
      <c r="AH353" s="37">
        <f t="shared" si="37"/>
        <v>0</v>
      </c>
      <c r="AJ353" s="34"/>
      <c r="AK353" s="34"/>
      <c r="AL353" s="82"/>
      <c r="AN353" s="83"/>
      <c r="AO353" s="83"/>
      <c r="AP353" s="82"/>
      <c r="AQ353" s="84"/>
      <c r="AR353" s="84"/>
      <c r="AS353" s="84"/>
      <c r="AU353" s="34"/>
      <c r="AV353" s="34"/>
      <c r="AW353" s="82"/>
      <c r="AY353" s="83"/>
      <c r="AZ353" s="83"/>
      <c r="BA353" s="82"/>
      <c r="BB353" s="84"/>
      <c r="BC353" s="84"/>
      <c r="BD353" s="84"/>
    </row>
    <row r="354" spans="22:56" ht="16" x14ac:dyDescent="0.4">
      <c r="V354" s="97"/>
      <c r="W354" s="16"/>
      <c r="X354" s="89"/>
      <c r="Z354" s="50"/>
      <c r="AA354" s="50"/>
      <c r="AD354" s="100"/>
      <c r="AE354" s="48">
        <f t="shared" si="35"/>
        <v>0</v>
      </c>
      <c r="AF354" s="16"/>
      <c r="AG354" s="72">
        <f t="shared" si="36"/>
        <v>0</v>
      </c>
      <c r="AH354" s="37">
        <f t="shared" si="37"/>
        <v>0</v>
      </c>
      <c r="AJ354" s="34"/>
      <c r="AK354" s="34"/>
      <c r="AL354" s="82"/>
      <c r="AN354" s="83"/>
      <c r="AO354" s="83"/>
      <c r="AP354" s="82"/>
      <c r="AQ354" s="84"/>
      <c r="AR354" s="84"/>
      <c r="AS354" s="84"/>
      <c r="AU354" s="34"/>
      <c r="AV354" s="34"/>
      <c r="AW354" s="82"/>
      <c r="AY354" s="83"/>
      <c r="AZ354" s="83"/>
      <c r="BA354" s="82"/>
      <c r="BB354" s="84"/>
      <c r="BC354" s="84"/>
      <c r="BD354" s="84"/>
    </row>
    <row r="355" spans="22:56" ht="16" x14ac:dyDescent="0.4">
      <c r="V355" s="97"/>
      <c r="W355" s="16"/>
      <c r="X355" s="89"/>
      <c r="Z355" s="50"/>
      <c r="AA355" s="50"/>
      <c r="AD355" s="100"/>
      <c r="AE355" s="48">
        <f t="shared" si="35"/>
        <v>0</v>
      </c>
      <c r="AF355" s="16"/>
      <c r="AG355" s="72">
        <f t="shared" si="36"/>
        <v>0</v>
      </c>
      <c r="AH355" s="37">
        <f t="shared" si="37"/>
        <v>0</v>
      </c>
      <c r="AJ355" s="34"/>
      <c r="AK355" s="34"/>
      <c r="AL355" s="82"/>
      <c r="AN355" s="83"/>
      <c r="AO355" s="83"/>
      <c r="AP355" s="82"/>
      <c r="AQ355" s="84"/>
      <c r="AR355" s="84"/>
      <c r="AS355" s="84"/>
      <c r="AU355" s="34"/>
      <c r="AV355" s="34"/>
      <c r="AW355" s="82"/>
      <c r="AY355" s="83"/>
      <c r="AZ355" s="83"/>
      <c r="BA355" s="82"/>
      <c r="BB355" s="84"/>
      <c r="BC355" s="84"/>
      <c r="BD355" s="84"/>
    </row>
    <row r="356" spans="22:56" ht="16" x14ac:dyDescent="0.4">
      <c r="V356" s="97"/>
      <c r="W356" s="16"/>
      <c r="X356" s="89"/>
      <c r="Z356" s="50"/>
      <c r="AA356" s="50"/>
      <c r="AD356" s="100"/>
      <c r="AE356" s="48">
        <f t="shared" si="35"/>
        <v>0</v>
      </c>
      <c r="AF356" s="16"/>
      <c r="AG356" s="72">
        <f t="shared" si="36"/>
        <v>0</v>
      </c>
      <c r="AH356" s="37">
        <f t="shared" si="37"/>
        <v>0</v>
      </c>
      <c r="AJ356" s="34"/>
      <c r="AK356" s="34"/>
      <c r="AL356" s="82"/>
      <c r="AN356" s="83"/>
      <c r="AO356" s="83"/>
      <c r="AP356" s="82"/>
      <c r="AQ356" s="84"/>
      <c r="AR356" s="84"/>
      <c r="AS356" s="84"/>
      <c r="AU356" s="34"/>
      <c r="AV356" s="34"/>
      <c r="AW356" s="82"/>
      <c r="AY356" s="83"/>
      <c r="AZ356" s="83"/>
      <c r="BA356" s="82"/>
      <c r="BB356" s="84"/>
      <c r="BC356" s="84"/>
      <c r="BD356" s="84"/>
    </row>
    <row r="357" spans="22:56" ht="16" x14ac:dyDescent="0.4">
      <c r="V357" s="97"/>
      <c r="W357" s="16"/>
      <c r="X357" s="89"/>
      <c r="Z357" s="50"/>
      <c r="AA357" s="50"/>
      <c r="AD357" s="100"/>
      <c r="AE357" s="48">
        <f t="shared" si="35"/>
        <v>0</v>
      </c>
      <c r="AF357" s="16"/>
      <c r="AG357" s="72">
        <f t="shared" si="36"/>
        <v>0</v>
      </c>
      <c r="AH357" s="37">
        <f t="shared" si="37"/>
        <v>0</v>
      </c>
      <c r="AJ357" s="34"/>
      <c r="AK357" s="34"/>
      <c r="AL357" s="82"/>
      <c r="AN357" s="83"/>
      <c r="AO357" s="83"/>
      <c r="AP357" s="82"/>
      <c r="AQ357" s="84"/>
      <c r="AR357" s="84"/>
      <c r="AS357" s="84"/>
      <c r="AU357" s="34"/>
      <c r="AV357" s="34"/>
      <c r="AW357" s="82"/>
      <c r="AY357" s="83"/>
      <c r="AZ357" s="83"/>
      <c r="BA357" s="82"/>
      <c r="BB357" s="84"/>
      <c r="BC357" s="84"/>
      <c r="BD357" s="84"/>
    </row>
    <row r="358" spans="22:56" ht="16" x14ac:dyDescent="0.4">
      <c r="V358" s="97"/>
      <c r="W358" s="16"/>
      <c r="X358" s="89"/>
      <c r="Z358" s="50"/>
      <c r="AA358" s="50"/>
      <c r="AD358" s="100"/>
      <c r="AE358" s="48">
        <f t="shared" si="35"/>
        <v>0</v>
      </c>
      <c r="AF358" s="16"/>
      <c r="AG358" s="72">
        <f t="shared" si="36"/>
        <v>0</v>
      </c>
      <c r="AH358" s="37">
        <f t="shared" si="37"/>
        <v>0</v>
      </c>
      <c r="AJ358" s="34"/>
      <c r="AK358" s="34"/>
      <c r="AL358" s="82"/>
      <c r="AN358" s="83"/>
      <c r="AO358" s="83"/>
      <c r="AP358" s="82"/>
      <c r="AQ358" s="84"/>
      <c r="AR358" s="84"/>
      <c r="AS358" s="84"/>
      <c r="AU358" s="34"/>
      <c r="AV358" s="34"/>
      <c r="AW358" s="82"/>
      <c r="AY358" s="83"/>
      <c r="AZ358" s="83"/>
      <c r="BA358" s="82"/>
      <c r="BB358" s="84"/>
      <c r="BC358" s="84"/>
      <c r="BD358" s="84"/>
    </row>
    <row r="359" spans="22:56" ht="16" x14ac:dyDescent="0.4">
      <c r="V359" s="97"/>
      <c r="W359" s="16"/>
      <c r="X359" s="89"/>
      <c r="Z359" s="50"/>
      <c r="AA359" s="50"/>
      <c r="AD359" s="100"/>
      <c r="AE359" s="48">
        <f t="shared" si="35"/>
        <v>0</v>
      </c>
      <c r="AF359" s="16"/>
      <c r="AG359" s="72">
        <f t="shared" si="36"/>
        <v>0</v>
      </c>
      <c r="AH359" s="37">
        <f t="shared" si="37"/>
        <v>0</v>
      </c>
      <c r="AJ359" s="34"/>
      <c r="AK359" s="34"/>
      <c r="AL359" s="82"/>
      <c r="AN359" s="83"/>
      <c r="AO359" s="83"/>
      <c r="AP359" s="82"/>
      <c r="AQ359" s="84"/>
      <c r="AR359" s="84"/>
      <c r="AS359" s="84"/>
      <c r="AU359" s="34"/>
      <c r="AV359" s="34"/>
      <c r="AW359" s="82"/>
      <c r="AY359" s="83"/>
      <c r="AZ359" s="83"/>
      <c r="BA359" s="82"/>
      <c r="BB359" s="84"/>
      <c r="BC359" s="84"/>
      <c r="BD359" s="84"/>
    </row>
    <row r="360" spans="22:56" ht="16" x14ac:dyDescent="0.4">
      <c r="V360" s="97"/>
      <c r="W360" s="16"/>
      <c r="X360" s="89"/>
      <c r="Z360" s="50"/>
      <c r="AA360" s="50"/>
      <c r="AD360" s="100"/>
      <c r="AE360" s="48">
        <f t="shared" si="35"/>
        <v>0</v>
      </c>
      <c r="AF360" s="16"/>
      <c r="AG360" s="72">
        <f t="shared" si="36"/>
        <v>0</v>
      </c>
      <c r="AH360" s="37">
        <f t="shared" si="37"/>
        <v>0</v>
      </c>
      <c r="AJ360" s="34"/>
      <c r="AK360" s="34"/>
      <c r="AL360" s="82"/>
      <c r="AN360" s="83"/>
      <c r="AO360" s="83"/>
      <c r="AP360" s="82"/>
      <c r="AQ360" s="84"/>
      <c r="AR360" s="84"/>
      <c r="AS360" s="84"/>
      <c r="AU360" s="34"/>
      <c r="AV360" s="34"/>
      <c r="AW360" s="82"/>
      <c r="AY360" s="83"/>
      <c r="AZ360" s="83"/>
      <c r="BA360" s="82"/>
      <c r="BB360" s="84"/>
      <c r="BC360" s="84"/>
      <c r="BD360" s="84"/>
    </row>
    <row r="361" spans="22:56" ht="16" x14ac:dyDescent="0.4">
      <c r="V361" s="97"/>
      <c r="W361" s="16"/>
      <c r="X361" s="89"/>
      <c r="Z361" s="50"/>
      <c r="AA361" s="50"/>
      <c r="AD361" s="100"/>
      <c r="AE361" s="48">
        <f t="shared" si="35"/>
        <v>0</v>
      </c>
      <c r="AF361" s="16"/>
      <c r="AG361" s="72">
        <f t="shared" si="36"/>
        <v>0</v>
      </c>
      <c r="AH361" s="37">
        <f t="shared" si="37"/>
        <v>0</v>
      </c>
      <c r="AJ361" s="34"/>
      <c r="AK361" s="34"/>
      <c r="AL361" s="82"/>
      <c r="AN361" s="83"/>
      <c r="AO361" s="83"/>
      <c r="AP361" s="82"/>
      <c r="AQ361" s="84"/>
      <c r="AR361" s="84"/>
      <c r="AS361" s="84"/>
      <c r="AU361" s="34"/>
      <c r="AV361" s="34"/>
      <c r="AW361" s="82"/>
      <c r="AY361" s="83"/>
      <c r="AZ361" s="83"/>
      <c r="BA361" s="82"/>
      <c r="BB361" s="84"/>
      <c r="BC361" s="84"/>
      <c r="BD361" s="84"/>
    </row>
    <row r="362" spans="22:56" ht="16" x14ac:dyDescent="0.4">
      <c r="V362" s="97"/>
      <c r="W362" s="16"/>
      <c r="X362" s="89"/>
      <c r="Z362" s="50"/>
      <c r="AA362" s="50"/>
      <c r="AD362" s="100"/>
      <c r="AE362" s="48">
        <f t="shared" si="35"/>
        <v>0</v>
      </c>
      <c r="AF362" s="16"/>
      <c r="AG362" s="72">
        <f t="shared" si="36"/>
        <v>0</v>
      </c>
      <c r="AH362" s="37">
        <f t="shared" si="37"/>
        <v>0</v>
      </c>
      <c r="AJ362" s="34"/>
      <c r="AK362" s="34"/>
      <c r="AL362" s="82"/>
      <c r="AN362" s="83"/>
      <c r="AO362" s="83"/>
      <c r="AP362" s="82"/>
      <c r="AQ362" s="84"/>
      <c r="AR362" s="84"/>
      <c r="AS362" s="84"/>
      <c r="AU362" s="34"/>
      <c r="AV362" s="34"/>
      <c r="AW362" s="82"/>
      <c r="AY362" s="83"/>
      <c r="AZ362" s="83"/>
      <c r="BA362" s="82"/>
      <c r="BB362" s="84"/>
      <c r="BC362" s="84"/>
      <c r="BD362" s="84"/>
    </row>
    <row r="363" spans="22:56" ht="16" x14ac:dyDescent="0.4">
      <c r="V363" s="97"/>
      <c r="W363" s="16"/>
      <c r="X363" s="89"/>
      <c r="Z363" s="50"/>
      <c r="AA363" s="50"/>
      <c r="AD363" s="100"/>
      <c r="AE363" s="48">
        <f t="shared" si="35"/>
        <v>0</v>
      </c>
      <c r="AF363" s="16"/>
      <c r="AG363" s="72">
        <f t="shared" si="36"/>
        <v>0</v>
      </c>
      <c r="AH363" s="37">
        <f t="shared" si="37"/>
        <v>0</v>
      </c>
      <c r="AJ363" s="34"/>
      <c r="AK363" s="34"/>
      <c r="AL363" s="82"/>
      <c r="AN363" s="83"/>
      <c r="AO363" s="83"/>
      <c r="AP363" s="82"/>
      <c r="AQ363" s="84"/>
      <c r="AR363" s="84"/>
      <c r="AS363" s="84"/>
      <c r="AU363" s="34"/>
      <c r="AV363" s="34"/>
      <c r="AW363" s="82"/>
      <c r="AY363" s="83"/>
      <c r="AZ363" s="83"/>
      <c r="BA363" s="82"/>
      <c r="BB363" s="84"/>
      <c r="BC363" s="84"/>
      <c r="BD363" s="84"/>
    </row>
    <row r="364" spans="22:56" ht="16" x14ac:dyDescent="0.4">
      <c r="V364" s="97"/>
      <c r="W364" s="16"/>
      <c r="X364" s="89"/>
      <c r="Z364" s="50"/>
      <c r="AA364" s="50"/>
      <c r="AD364" s="100"/>
      <c r="AE364" s="48">
        <f t="shared" si="35"/>
        <v>0</v>
      </c>
      <c r="AF364" s="16"/>
      <c r="AG364" s="72">
        <f t="shared" si="36"/>
        <v>0</v>
      </c>
      <c r="AH364" s="37">
        <f t="shared" si="37"/>
        <v>0</v>
      </c>
      <c r="AJ364" s="34"/>
      <c r="AK364" s="34"/>
      <c r="AL364" s="82"/>
      <c r="AN364" s="83"/>
      <c r="AO364" s="83"/>
      <c r="AP364" s="82"/>
      <c r="AQ364" s="84"/>
      <c r="AR364" s="84"/>
      <c r="AS364" s="84"/>
      <c r="AU364" s="34"/>
      <c r="AV364" s="34"/>
      <c r="AW364" s="82"/>
      <c r="AY364" s="83"/>
      <c r="AZ364" s="83"/>
      <c r="BA364" s="82"/>
      <c r="BB364" s="84"/>
      <c r="BC364" s="84"/>
      <c r="BD364" s="84"/>
    </row>
    <row r="365" spans="22:56" ht="16" x14ac:dyDescent="0.4">
      <c r="V365" s="97"/>
      <c r="W365" s="16"/>
      <c r="X365" s="89"/>
      <c r="Z365" s="50"/>
      <c r="AA365" s="50"/>
      <c r="AD365" s="100"/>
      <c r="AE365" s="48">
        <f t="shared" si="35"/>
        <v>0</v>
      </c>
      <c r="AF365" s="16"/>
      <c r="AG365" s="72">
        <f t="shared" si="36"/>
        <v>0</v>
      </c>
      <c r="AH365" s="37">
        <f t="shared" si="37"/>
        <v>0</v>
      </c>
      <c r="AJ365" s="34"/>
      <c r="AK365" s="34"/>
      <c r="AL365" s="82"/>
      <c r="AN365" s="83"/>
      <c r="AO365" s="83"/>
      <c r="AP365" s="82"/>
      <c r="AQ365" s="84"/>
      <c r="AR365" s="84"/>
      <c r="AS365" s="84"/>
      <c r="AU365" s="34"/>
      <c r="AV365" s="34"/>
      <c r="AW365" s="82"/>
      <c r="AY365" s="83"/>
      <c r="AZ365" s="83"/>
      <c r="BA365" s="82"/>
      <c r="BB365" s="84"/>
      <c r="BC365" s="84"/>
      <c r="BD365" s="84"/>
    </row>
    <row r="366" spans="22:56" ht="16" x14ac:dyDescent="0.4">
      <c r="V366" s="97"/>
      <c r="W366" s="16"/>
      <c r="X366" s="89"/>
      <c r="Z366" s="50"/>
      <c r="AA366" s="50"/>
      <c r="AD366" s="100"/>
      <c r="AE366" s="48">
        <f t="shared" si="35"/>
        <v>0</v>
      </c>
      <c r="AF366" s="16"/>
      <c r="AG366" s="72">
        <f t="shared" si="36"/>
        <v>0</v>
      </c>
      <c r="AH366" s="37">
        <f t="shared" si="37"/>
        <v>0</v>
      </c>
      <c r="AJ366" s="34"/>
      <c r="AK366" s="34"/>
      <c r="AL366" s="82"/>
      <c r="AN366" s="83"/>
      <c r="AO366" s="83"/>
      <c r="AP366" s="82"/>
      <c r="AQ366" s="84"/>
      <c r="AR366" s="84"/>
      <c r="AS366" s="84"/>
      <c r="AU366" s="34"/>
      <c r="AV366" s="34"/>
      <c r="AW366" s="82"/>
      <c r="AY366" s="83"/>
      <c r="AZ366" s="83"/>
      <c r="BA366" s="82"/>
      <c r="BB366" s="84"/>
      <c r="BC366" s="84"/>
      <c r="BD366" s="84"/>
    </row>
    <row r="367" spans="22:56" ht="16" x14ac:dyDescent="0.4">
      <c r="V367" s="97"/>
      <c r="W367" s="16"/>
      <c r="X367" s="89"/>
      <c r="Z367" s="50"/>
      <c r="AA367" s="50"/>
      <c r="AD367" s="100"/>
      <c r="AE367" s="48">
        <f t="shared" si="35"/>
        <v>0</v>
      </c>
      <c r="AF367" s="16"/>
      <c r="AG367" s="72">
        <f t="shared" si="36"/>
        <v>0</v>
      </c>
      <c r="AH367" s="37">
        <f t="shared" si="37"/>
        <v>0</v>
      </c>
      <c r="AJ367" s="34"/>
      <c r="AK367" s="34"/>
      <c r="AL367" s="82"/>
      <c r="AN367" s="83"/>
      <c r="AO367" s="83"/>
      <c r="AP367" s="82"/>
      <c r="AQ367" s="84"/>
      <c r="AR367" s="84"/>
      <c r="AS367" s="84"/>
      <c r="AU367" s="34"/>
      <c r="AV367" s="34"/>
      <c r="AW367" s="82"/>
      <c r="AY367" s="83"/>
      <c r="AZ367" s="83"/>
      <c r="BA367" s="82"/>
      <c r="BB367" s="84"/>
      <c r="BC367" s="84"/>
      <c r="BD367" s="84"/>
    </row>
    <row r="368" spans="22:56" ht="16" x14ac:dyDescent="0.4">
      <c r="V368" s="97"/>
      <c r="W368" s="16"/>
      <c r="X368" s="89"/>
      <c r="Z368" s="50"/>
      <c r="AA368" s="50"/>
      <c r="AD368" s="100"/>
      <c r="AE368" s="48">
        <f t="shared" si="35"/>
        <v>0</v>
      </c>
      <c r="AF368" s="16"/>
      <c r="AG368" s="72">
        <f t="shared" si="36"/>
        <v>0</v>
      </c>
      <c r="AH368" s="37">
        <f t="shared" si="37"/>
        <v>0</v>
      </c>
      <c r="AJ368" s="34"/>
      <c r="AK368" s="34"/>
      <c r="AL368" s="82"/>
      <c r="AN368" s="83"/>
      <c r="AO368" s="83"/>
      <c r="AP368" s="82"/>
      <c r="AQ368" s="84"/>
      <c r="AR368" s="84"/>
      <c r="AS368" s="84"/>
      <c r="AU368" s="34"/>
      <c r="AV368" s="34"/>
      <c r="AW368" s="82"/>
      <c r="AY368" s="83"/>
      <c r="AZ368" s="83"/>
      <c r="BA368" s="82"/>
      <c r="BB368" s="84"/>
      <c r="BC368" s="84"/>
      <c r="BD368" s="84"/>
    </row>
    <row r="369" spans="22:56" ht="16" x14ac:dyDescent="0.4">
      <c r="V369" s="97"/>
      <c r="W369" s="16"/>
      <c r="X369" s="89"/>
      <c r="Z369" s="50"/>
      <c r="AA369" s="50"/>
      <c r="AD369" s="100"/>
      <c r="AE369" s="48">
        <f t="shared" si="35"/>
        <v>0</v>
      </c>
      <c r="AF369" s="16"/>
      <c r="AG369" s="72">
        <f t="shared" si="36"/>
        <v>0</v>
      </c>
      <c r="AH369" s="37">
        <f t="shared" si="37"/>
        <v>0</v>
      </c>
      <c r="AJ369" s="34"/>
      <c r="AK369" s="34"/>
      <c r="AL369" s="82"/>
      <c r="AN369" s="83"/>
      <c r="AO369" s="83"/>
      <c r="AP369" s="82"/>
      <c r="AQ369" s="84"/>
      <c r="AR369" s="84"/>
      <c r="AS369" s="84"/>
      <c r="AU369" s="34"/>
      <c r="AV369" s="34"/>
      <c r="AW369" s="82"/>
      <c r="AY369" s="83"/>
      <c r="AZ369" s="83"/>
      <c r="BA369" s="82"/>
      <c r="BB369" s="84"/>
      <c r="BC369" s="84"/>
      <c r="BD369" s="84"/>
    </row>
    <row r="370" spans="22:56" ht="16" x14ac:dyDescent="0.4">
      <c r="V370" s="97"/>
      <c r="W370" s="16"/>
      <c r="X370" s="89"/>
      <c r="Z370" s="50"/>
      <c r="AA370" s="50"/>
      <c r="AD370" s="100"/>
      <c r="AE370" s="48">
        <f t="shared" si="35"/>
        <v>0</v>
      </c>
      <c r="AF370" s="16"/>
      <c r="AG370" s="72">
        <f t="shared" si="36"/>
        <v>0</v>
      </c>
      <c r="AH370" s="37">
        <f t="shared" si="37"/>
        <v>0</v>
      </c>
      <c r="AJ370" s="34"/>
      <c r="AK370" s="34"/>
      <c r="AL370" s="82"/>
      <c r="AN370" s="83"/>
      <c r="AO370" s="83"/>
      <c r="AP370" s="82"/>
      <c r="AQ370" s="84"/>
      <c r="AR370" s="84"/>
      <c r="AS370" s="84"/>
      <c r="AU370" s="34"/>
      <c r="AV370" s="34"/>
      <c r="AW370" s="82"/>
      <c r="AY370" s="83"/>
      <c r="AZ370" s="83"/>
      <c r="BA370" s="82"/>
      <c r="BB370" s="84"/>
      <c r="BC370" s="84"/>
      <c r="BD370" s="84"/>
    </row>
    <row r="371" spans="22:56" ht="16" x14ac:dyDescent="0.4">
      <c r="V371" s="97"/>
      <c r="W371" s="16"/>
      <c r="X371" s="89"/>
      <c r="Z371" s="50"/>
      <c r="AA371" s="50"/>
      <c r="AD371" s="100"/>
      <c r="AE371" s="48">
        <f t="shared" si="35"/>
        <v>0</v>
      </c>
      <c r="AF371" s="16"/>
      <c r="AG371" s="72">
        <f t="shared" si="36"/>
        <v>0</v>
      </c>
      <c r="AH371" s="37">
        <f t="shared" si="37"/>
        <v>0</v>
      </c>
      <c r="AJ371" s="34"/>
      <c r="AK371" s="34"/>
      <c r="AL371" s="82"/>
      <c r="AN371" s="83"/>
      <c r="AO371" s="83"/>
      <c r="AP371" s="82"/>
      <c r="AQ371" s="84"/>
      <c r="AR371" s="84"/>
      <c r="AS371" s="84"/>
      <c r="AU371" s="34"/>
      <c r="AV371" s="34"/>
      <c r="AW371" s="82"/>
      <c r="AY371" s="83"/>
      <c r="AZ371" s="83"/>
      <c r="BA371" s="82"/>
      <c r="BB371" s="84"/>
      <c r="BC371" s="84"/>
      <c r="BD371" s="84"/>
    </row>
    <row r="372" spans="22:56" ht="16" x14ac:dyDescent="0.4">
      <c r="V372" s="97"/>
      <c r="W372" s="16"/>
      <c r="X372" s="89"/>
      <c r="Z372" s="50"/>
      <c r="AA372" s="50"/>
      <c r="AD372" s="100"/>
      <c r="AE372" s="48">
        <f t="shared" si="35"/>
        <v>0</v>
      </c>
      <c r="AF372" s="16"/>
      <c r="AG372" s="72">
        <f t="shared" si="36"/>
        <v>0</v>
      </c>
      <c r="AH372" s="37">
        <f t="shared" si="37"/>
        <v>0</v>
      </c>
      <c r="AJ372" s="34"/>
      <c r="AK372" s="34"/>
      <c r="AL372" s="82"/>
      <c r="AN372" s="83"/>
      <c r="AO372" s="83"/>
      <c r="AP372" s="82"/>
      <c r="AQ372" s="84"/>
      <c r="AR372" s="84"/>
      <c r="AS372" s="84"/>
      <c r="AU372" s="34"/>
      <c r="AV372" s="34"/>
      <c r="AW372" s="82"/>
      <c r="AY372" s="83"/>
      <c r="AZ372" s="83"/>
      <c r="BA372" s="82"/>
      <c r="BB372" s="84"/>
      <c r="BC372" s="84"/>
      <c r="BD372" s="84"/>
    </row>
    <row r="373" spans="22:56" ht="16" x14ac:dyDescent="0.4">
      <c r="V373" s="97"/>
      <c r="W373" s="16"/>
      <c r="X373" s="89"/>
      <c r="Z373" s="50"/>
      <c r="AA373" s="50"/>
      <c r="AD373" s="100"/>
      <c r="AE373" s="48">
        <f t="shared" si="35"/>
        <v>0</v>
      </c>
      <c r="AF373" s="16"/>
      <c r="AG373" s="72">
        <f t="shared" si="36"/>
        <v>0</v>
      </c>
      <c r="AH373" s="37">
        <f t="shared" si="37"/>
        <v>0</v>
      </c>
      <c r="AJ373" s="34"/>
      <c r="AK373" s="34"/>
      <c r="AL373" s="82"/>
      <c r="AN373" s="83"/>
      <c r="AO373" s="83"/>
      <c r="AP373" s="82"/>
      <c r="AQ373" s="84"/>
      <c r="AR373" s="84"/>
      <c r="AS373" s="84"/>
      <c r="AU373" s="34"/>
      <c r="AV373" s="34"/>
      <c r="AW373" s="82"/>
      <c r="AY373" s="83"/>
      <c r="AZ373" s="83"/>
      <c r="BA373" s="82"/>
      <c r="BB373" s="84"/>
      <c r="BC373" s="84"/>
      <c r="BD373" s="84"/>
    </row>
    <row r="374" spans="22:56" ht="16" x14ac:dyDescent="0.4">
      <c r="V374" s="97"/>
      <c r="W374" s="16"/>
      <c r="X374" s="89"/>
      <c r="Z374" s="50"/>
      <c r="AA374" s="50"/>
      <c r="AD374" s="100"/>
      <c r="AE374" s="48">
        <f t="shared" si="35"/>
        <v>0</v>
      </c>
      <c r="AF374" s="16"/>
      <c r="AG374" s="72">
        <f t="shared" si="36"/>
        <v>0</v>
      </c>
      <c r="AH374" s="37">
        <f t="shared" si="37"/>
        <v>0</v>
      </c>
      <c r="AJ374" s="34"/>
      <c r="AK374" s="34"/>
      <c r="AL374" s="82"/>
      <c r="AN374" s="83"/>
      <c r="AO374" s="83"/>
      <c r="AP374" s="82"/>
      <c r="AQ374" s="84"/>
      <c r="AR374" s="84"/>
      <c r="AS374" s="84"/>
      <c r="AU374" s="34"/>
      <c r="AV374" s="34"/>
      <c r="AW374" s="82"/>
      <c r="AY374" s="83"/>
      <c r="AZ374" s="83"/>
      <c r="BA374" s="82"/>
      <c r="BB374" s="84"/>
      <c r="BC374" s="84"/>
      <c r="BD374" s="84"/>
    </row>
    <row r="375" spans="22:56" ht="16" x14ac:dyDescent="0.4">
      <c r="V375" s="97"/>
      <c r="W375" s="16"/>
      <c r="X375" s="89"/>
      <c r="Z375" s="50"/>
      <c r="AA375" s="50"/>
      <c r="AD375" s="100"/>
      <c r="AE375" s="48">
        <f t="shared" si="35"/>
        <v>0</v>
      </c>
      <c r="AF375" s="16"/>
      <c r="AG375" s="72">
        <f t="shared" si="36"/>
        <v>0</v>
      </c>
      <c r="AH375" s="37">
        <f t="shared" si="37"/>
        <v>0</v>
      </c>
      <c r="AJ375" s="34"/>
      <c r="AK375" s="34"/>
      <c r="AL375" s="82"/>
      <c r="AN375" s="83"/>
      <c r="AO375" s="83"/>
      <c r="AP375" s="82"/>
      <c r="AQ375" s="84"/>
      <c r="AR375" s="84"/>
      <c r="AS375" s="84"/>
      <c r="AU375" s="34"/>
      <c r="AV375" s="34"/>
      <c r="AW375" s="82"/>
      <c r="AY375" s="83"/>
      <c r="AZ375" s="83"/>
      <c r="BA375" s="82"/>
      <c r="BB375" s="84"/>
      <c r="BC375" s="84"/>
      <c r="BD375" s="84"/>
    </row>
    <row r="376" spans="22:56" ht="16" x14ac:dyDescent="0.4">
      <c r="V376" s="97"/>
      <c r="W376" s="16"/>
      <c r="X376" s="89"/>
      <c r="Z376" s="50"/>
      <c r="AA376" s="50"/>
      <c r="AD376" s="100"/>
      <c r="AE376" s="48">
        <f t="shared" si="35"/>
        <v>0</v>
      </c>
      <c r="AF376" s="16"/>
      <c r="AG376" s="72">
        <f t="shared" si="36"/>
        <v>0</v>
      </c>
      <c r="AH376" s="37">
        <f t="shared" si="37"/>
        <v>0</v>
      </c>
      <c r="AJ376" s="34"/>
      <c r="AK376" s="34"/>
      <c r="AL376" s="82"/>
      <c r="AN376" s="83"/>
      <c r="AO376" s="83"/>
      <c r="AP376" s="82"/>
      <c r="AQ376" s="84"/>
      <c r="AR376" s="84"/>
      <c r="AS376" s="84"/>
      <c r="AU376" s="34"/>
      <c r="AV376" s="34"/>
      <c r="AW376" s="82"/>
      <c r="AY376" s="83"/>
      <c r="AZ376" s="83"/>
      <c r="BA376" s="82"/>
      <c r="BB376" s="84"/>
      <c r="BC376" s="84"/>
      <c r="BD376" s="84"/>
    </row>
    <row r="377" spans="22:56" ht="16" x14ac:dyDescent="0.4">
      <c r="V377" s="97"/>
      <c r="W377" s="16"/>
      <c r="X377" s="89"/>
      <c r="Z377" s="50"/>
      <c r="AA377" s="50"/>
      <c r="AD377" s="100"/>
      <c r="AE377" s="48">
        <f t="shared" si="35"/>
        <v>0</v>
      </c>
      <c r="AF377" s="16"/>
      <c r="AG377" s="72">
        <f t="shared" si="36"/>
        <v>0</v>
      </c>
      <c r="AH377" s="37">
        <f t="shared" si="37"/>
        <v>0</v>
      </c>
      <c r="AJ377" s="34"/>
      <c r="AK377" s="34"/>
      <c r="AL377" s="82"/>
      <c r="AN377" s="83"/>
      <c r="AO377" s="83"/>
      <c r="AP377" s="82"/>
      <c r="AQ377" s="84"/>
      <c r="AR377" s="84"/>
      <c r="AS377" s="84"/>
      <c r="AU377" s="34"/>
      <c r="AV377" s="34"/>
      <c r="AW377" s="82"/>
      <c r="AY377" s="83"/>
      <c r="AZ377" s="83"/>
      <c r="BA377" s="82"/>
      <c r="BB377" s="84"/>
      <c r="BC377" s="84"/>
      <c r="BD377" s="84"/>
    </row>
    <row r="378" spans="22:56" ht="16" x14ac:dyDescent="0.4">
      <c r="V378" s="97"/>
      <c r="W378" s="16"/>
      <c r="X378" s="89"/>
      <c r="Z378" s="50"/>
      <c r="AA378" s="50"/>
      <c r="AD378" s="100"/>
      <c r="AE378" s="48">
        <f t="shared" si="35"/>
        <v>0</v>
      </c>
      <c r="AF378" s="16"/>
      <c r="AG378" s="72">
        <f t="shared" si="36"/>
        <v>0</v>
      </c>
      <c r="AH378" s="37">
        <f t="shared" si="37"/>
        <v>0</v>
      </c>
      <c r="AJ378" s="34"/>
      <c r="AK378" s="34"/>
      <c r="AL378" s="82"/>
      <c r="AN378" s="83"/>
      <c r="AO378" s="83"/>
      <c r="AP378" s="82"/>
      <c r="AQ378" s="84"/>
      <c r="AR378" s="84"/>
      <c r="AS378" s="84"/>
      <c r="AU378" s="34"/>
      <c r="AV378" s="34"/>
      <c r="AW378" s="82"/>
      <c r="AY378" s="83"/>
      <c r="AZ378" s="83"/>
      <c r="BA378" s="82"/>
      <c r="BB378" s="84"/>
      <c r="BC378" s="84"/>
      <c r="BD378" s="84"/>
    </row>
    <row r="379" spans="22:56" ht="16" x14ac:dyDescent="0.4">
      <c r="V379" s="97"/>
      <c r="W379" s="16"/>
      <c r="X379" s="89"/>
      <c r="Z379" s="50"/>
      <c r="AA379" s="50"/>
      <c r="AD379" s="100"/>
      <c r="AE379" s="48">
        <f t="shared" si="35"/>
        <v>0</v>
      </c>
      <c r="AF379" s="16"/>
      <c r="AG379" s="72">
        <f t="shared" si="36"/>
        <v>0</v>
      </c>
      <c r="AH379" s="37">
        <f t="shared" si="37"/>
        <v>0</v>
      </c>
      <c r="AJ379" s="34"/>
      <c r="AK379" s="34"/>
      <c r="AL379" s="82"/>
      <c r="AN379" s="83"/>
      <c r="AO379" s="83"/>
      <c r="AP379" s="82"/>
      <c r="AQ379" s="84"/>
      <c r="AR379" s="84"/>
      <c r="AS379" s="84"/>
      <c r="AU379" s="34"/>
      <c r="AV379" s="34"/>
      <c r="AW379" s="82"/>
      <c r="AY379" s="83"/>
      <c r="AZ379" s="83"/>
      <c r="BA379" s="82"/>
      <c r="BB379" s="84"/>
      <c r="BC379" s="84"/>
      <c r="BD379" s="84"/>
    </row>
    <row r="380" spans="22:56" ht="16" x14ac:dyDescent="0.4">
      <c r="V380" s="97"/>
      <c r="W380" s="16"/>
      <c r="X380" s="89"/>
      <c r="Z380" s="50"/>
      <c r="AA380" s="50"/>
      <c r="AD380" s="100"/>
      <c r="AE380" s="48">
        <f t="shared" si="35"/>
        <v>0</v>
      </c>
      <c r="AF380" s="16"/>
      <c r="AG380" s="72">
        <f t="shared" si="36"/>
        <v>0</v>
      </c>
      <c r="AH380" s="37">
        <f t="shared" si="37"/>
        <v>0</v>
      </c>
      <c r="AJ380" s="34"/>
      <c r="AK380" s="34"/>
      <c r="AL380" s="82"/>
      <c r="AN380" s="83"/>
      <c r="AO380" s="83"/>
      <c r="AP380" s="82"/>
      <c r="AQ380" s="84"/>
      <c r="AR380" s="84"/>
      <c r="AS380" s="84"/>
      <c r="AU380" s="34"/>
      <c r="AV380" s="34"/>
      <c r="AW380" s="82"/>
      <c r="AY380" s="83"/>
      <c r="AZ380" s="83"/>
      <c r="BA380" s="82"/>
      <c r="BB380" s="84"/>
      <c r="BC380" s="84"/>
      <c r="BD380" s="84"/>
    </row>
    <row r="381" spans="22:56" ht="16" x14ac:dyDescent="0.4">
      <c r="V381" s="97"/>
      <c r="W381" s="16"/>
      <c r="X381" s="89"/>
      <c r="Z381" s="50"/>
      <c r="AA381" s="50"/>
      <c r="AD381" s="100"/>
      <c r="AE381" s="48">
        <f t="shared" si="35"/>
        <v>0</v>
      </c>
      <c r="AF381" s="16"/>
      <c r="AG381" s="72">
        <f t="shared" si="36"/>
        <v>0</v>
      </c>
      <c r="AH381" s="37">
        <f t="shared" si="37"/>
        <v>0</v>
      </c>
      <c r="AJ381" s="34"/>
      <c r="AK381" s="34"/>
      <c r="AL381" s="82"/>
      <c r="AN381" s="83"/>
      <c r="AO381" s="83"/>
      <c r="AP381" s="82"/>
      <c r="AQ381" s="84"/>
      <c r="AR381" s="84"/>
      <c r="AS381" s="84"/>
      <c r="AU381" s="34"/>
      <c r="AV381" s="34"/>
      <c r="AW381" s="82"/>
      <c r="AY381" s="83"/>
      <c r="AZ381" s="83"/>
      <c r="BA381" s="82"/>
      <c r="BB381" s="84"/>
      <c r="BC381" s="84"/>
      <c r="BD381" s="84"/>
    </row>
    <row r="382" spans="22:56" ht="16" x14ac:dyDescent="0.4">
      <c r="V382" s="97"/>
      <c r="W382" s="16"/>
      <c r="X382" s="89"/>
      <c r="Z382" s="50"/>
      <c r="AA382" s="50"/>
      <c r="AD382" s="100"/>
      <c r="AE382" s="48">
        <f t="shared" si="35"/>
        <v>0</v>
      </c>
      <c r="AF382" s="16"/>
      <c r="AG382" s="72">
        <f t="shared" si="36"/>
        <v>0</v>
      </c>
      <c r="AH382" s="37">
        <f t="shared" si="37"/>
        <v>0</v>
      </c>
      <c r="AJ382" s="34"/>
      <c r="AK382" s="34"/>
      <c r="AL382" s="82"/>
      <c r="AN382" s="83"/>
      <c r="AO382" s="83"/>
      <c r="AP382" s="82"/>
      <c r="AQ382" s="84"/>
      <c r="AR382" s="84"/>
      <c r="AS382" s="84"/>
      <c r="AU382" s="34"/>
      <c r="AV382" s="34"/>
      <c r="AW382" s="82"/>
      <c r="AY382" s="83"/>
      <c r="AZ382" s="83"/>
      <c r="BA382" s="82"/>
      <c r="BB382" s="84"/>
      <c r="BC382" s="84"/>
      <c r="BD382" s="84"/>
    </row>
    <row r="383" spans="22:56" ht="16" x14ac:dyDescent="0.4">
      <c r="V383" s="97"/>
      <c r="W383" s="16"/>
      <c r="X383" s="89"/>
      <c r="Z383" s="50"/>
      <c r="AA383" s="50"/>
      <c r="AD383" s="100"/>
      <c r="AE383" s="48">
        <f t="shared" si="35"/>
        <v>0</v>
      </c>
      <c r="AF383" s="16"/>
      <c r="AG383" s="72">
        <f t="shared" si="36"/>
        <v>0</v>
      </c>
      <c r="AH383" s="37">
        <f t="shared" si="37"/>
        <v>0</v>
      </c>
      <c r="AJ383" s="34"/>
      <c r="AK383" s="34"/>
      <c r="AL383" s="82"/>
      <c r="AN383" s="83"/>
      <c r="AO383" s="83"/>
      <c r="AP383" s="82"/>
      <c r="AQ383" s="84"/>
      <c r="AR383" s="84"/>
      <c r="AS383" s="84"/>
      <c r="AU383" s="34"/>
      <c r="AV383" s="34"/>
      <c r="AW383" s="82"/>
      <c r="AY383" s="83"/>
      <c r="AZ383" s="83"/>
      <c r="BA383" s="82"/>
      <c r="BB383" s="84"/>
      <c r="BC383" s="84"/>
      <c r="BD383" s="84"/>
    </row>
    <row r="384" spans="22:56" ht="16" x14ac:dyDescent="0.4">
      <c r="V384" s="97"/>
      <c r="W384" s="16"/>
      <c r="X384" s="89"/>
      <c r="Z384" s="50"/>
      <c r="AA384" s="50"/>
      <c r="AD384" s="100"/>
      <c r="AE384" s="48">
        <f t="shared" si="35"/>
        <v>0</v>
      </c>
      <c r="AF384" s="16"/>
      <c r="AG384" s="72">
        <f t="shared" si="36"/>
        <v>0</v>
      </c>
      <c r="AH384" s="37">
        <f t="shared" si="37"/>
        <v>0</v>
      </c>
      <c r="AJ384" s="34"/>
      <c r="AK384" s="34"/>
      <c r="AL384" s="82"/>
      <c r="AN384" s="83"/>
      <c r="AO384" s="83"/>
      <c r="AP384" s="82"/>
      <c r="AQ384" s="84"/>
      <c r="AR384" s="84"/>
      <c r="AS384" s="84"/>
      <c r="AU384" s="34"/>
      <c r="AV384" s="34"/>
      <c r="AW384" s="82"/>
      <c r="AY384" s="83"/>
      <c r="AZ384" s="83"/>
      <c r="BA384" s="82"/>
      <c r="BB384" s="84"/>
      <c r="BC384" s="84"/>
      <c r="BD384" s="84"/>
    </row>
    <row r="385" spans="22:56" ht="16" x14ac:dyDescent="0.4">
      <c r="V385" s="97"/>
      <c r="W385" s="16"/>
      <c r="X385" s="89"/>
      <c r="Z385" s="50"/>
      <c r="AA385" s="50"/>
      <c r="AD385" s="100"/>
      <c r="AE385" s="48">
        <f t="shared" si="35"/>
        <v>0</v>
      </c>
      <c r="AF385" s="16"/>
      <c r="AG385" s="72">
        <f t="shared" si="36"/>
        <v>0</v>
      </c>
      <c r="AH385" s="37">
        <f t="shared" si="37"/>
        <v>0</v>
      </c>
      <c r="AJ385" s="34"/>
      <c r="AK385" s="34"/>
      <c r="AL385" s="82"/>
      <c r="AN385" s="83"/>
      <c r="AO385" s="83"/>
      <c r="AP385" s="82"/>
      <c r="AQ385" s="84"/>
      <c r="AR385" s="84"/>
      <c r="AS385" s="84"/>
      <c r="AU385" s="34"/>
      <c r="AV385" s="34"/>
      <c r="AW385" s="82"/>
      <c r="AY385" s="83"/>
      <c r="AZ385" s="83"/>
      <c r="BA385" s="82"/>
      <c r="BB385" s="84"/>
      <c r="BC385" s="84"/>
      <c r="BD385" s="84"/>
    </row>
    <row r="386" spans="22:56" ht="16" x14ac:dyDescent="0.4">
      <c r="V386" s="97"/>
      <c r="W386" s="16"/>
      <c r="X386" s="89"/>
      <c r="Z386" s="50"/>
      <c r="AA386" s="50"/>
      <c r="AD386" s="100"/>
      <c r="AE386" s="48">
        <f t="shared" si="35"/>
        <v>0</v>
      </c>
      <c r="AF386" s="16"/>
      <c r="AG386" s="72">
        <f t="shared" si="36"/>
        <v>0</v>
      </c>
      <c r="AH386" s="37">
        <f t="shared" si="37"/>
        <v>0</v>
      </c>
      <c r="AJ386" s="34"/>
      <c r="AK386" s="34"/>
      <c r="AL386" s="82"/>
      <c r="AN386" s="83"/>
      <c r="AO386" s="83"/>
      <c r="AP386" s="82"/>
      <c r="AQ386" s="84"/>
      <c r="AR386" s="84"/>
      <c r="AS386" s="84"/>
      <c r="AU386" s="34"/>
      <c r="AV386" s="34"/>
      <c r="AW386" s="82"/>
      <c r="AY386" s="83"/>
      <c r="AZ386" s="83"/>
      <c r="BA386" s="82"/>
      <c r="BB386" s="84"/>
      <c r="BC386" s="84"/>
      <c r="BD386" s="84"/>
    </row>
    <row r="387" spans="22:56" ht="16" x14ac:dyDescent="0.4">
      <c r="V387" s="97"/>
      <c r="W387" s="16"/>
      <c r="X387" s="89"/>
      <c r="Z387" s="50"/>
      <c r="AA387" s="50"/>
      <c r="AD387" s="100"/>
      <c r="AE387" s="48">
        <f t="shared" si="35"/>
        <v>0</v>
      </c>
      <c r="AF387" s="16"/>
      <c r="AG387" s="72">
        <f t="shared" si="36"/>
        <v>0</v>
      </c>
      <c r="AH387" s="37">
        <f t="shared" si="37"/>
        <v>0</v>
      </c>
      <c r="AJ387" s="34"/>
      <c r="AK387" s="34"/>
      <c r="AL387" s="82"/>
      <c r="AN387" s="83"/>
      <c r="AO387" s="83"/>
      <c r="AP387" s="82"/>
      <c r="AQ387" s="84"/>
      <c r="AR387" s="84"/>
      <c r="AS387" s="84"/>
      <c r="AU387" s="34"/>
      <c r="AV387" s="34"/>
      <c r="AW387" s="82"/>
      <c r="AY387" s="83"/>
      <c r="AZ387" s="83"/>
      <c r="BA387" s="82"/>
      <c r="BB387" s="84"/>
      <c r="BC387" s="84"/>
      <c r="BD387" s="84"/>
    </row>
    <row r="388" spans="22:56" ht="16" x14ac:dyDescent="0.4">
      <c r="V388" s="97"/>
      <c r="W388" s="16"/>
      <c r="X388" s="89"/>
      <c r="Z388" s="50"/>
      <c r="AA388" s="50"/>
      <c r="AD388" s="100"/>
      <c r="AE388" s="48">
        <f t="shared" ref="AE388:AE451" si="38">AD388/1000</f>
        <v>0</v>
      </c>
      <c r="AF388" s="16"/>
      <c r="AG388" s="72">
        <f t="shared" si="36"/>
        <v>0</v>
      </c>
      <c r="AH388" s="37">
        <f t="shared" si="37"/>
        <v>0</v>
      </c>
      <c r="AJ388" s="34"/>
      <c r="AK388" s="34"/>
      <c r="AL388" s="82"/>
      <c r="AN388" s="83"/>
      <c r="AO388" s="83"/>
      <c r="AP388" s="82"/>
      <c r="AQ388" s="84"/>
      <c r="AR388" s="84"/>
      <c r="AS388" s="84"/>
      <c r="AU388" s="34"/>
      <c r="AV388" s="34"/>
      <c r="AW388" s="82"/>
      <c r="AY388" s="83"/>
      <c r="AZ388" s="83"/>
      <c r="BA388" s="82"/>
      <c r="BB388" s="84"/>
      <c r="BC388" s="84"/>
      <c r="BD388" s="84"/>
    </row>
    <row r="389" spans="22:56" ht="16" x14ac:dyDescent="0.4">
      <c r="V389" s="97"/>
      <c r="W389" s="16"/>
      <c r="X389" s="89"/>
      <c r="Z389" s="50"/>
      <c r="AA389" s="50"/>
      <c r="AD389" s="100"/>
      <c r="AE389" s="48">
        <f t="shared" si="38"/>
        <v>0</v>
      </c>
      <c r="AF389" s="16"/>
      <c r="AG389" s="72">
        <f t="shared" ref="AG389:AG452" si="39">IF($AF389&gt;14,14,$AF389)</f>
        <v>0</v>
      </c>
      <c r="AH389" s="37">
        <f t="shared" si="37"/>
        <v>0</v>
      </c>
      <c r="AJ389" s="34"/>
      <c r="AK389" s="34"/>
      <c r="AL389" s="82"/>
      <c r="AN389" s="83"/>
      <c r="AO389" s="83"/>
      <c r="AP389" s="82"/>
      <c r="AQ389" s="84"/>
      <c r="AR389" s="84"/>
      <c r="AS389" s="84"/>
      <c r="AU389" s="34"/>
      <c r="AV389" s="34"/>
      <c r="AW389" s="82"/>
      <c r="AY389" s="83"/>
      <c r="AZ389" s="83"/>
      <c r="BA389" s="82"/>
      <c r="BB389" s="84"/>
      <c r="BC389" s="84"/>
      <c r="BD389" s="84"/>
    </row>
    <row r="390" spans="22:56" ht="16" x14ac:dyDescent="0.4">
      <c r="V390" s="97"/>
      <c r="W390" s="16"/>
      <c r="X390" s="89"/>
      <c r="Z390" s="50"/>
      <c r="AA390" s="50"/>
      <c r="AD390" s="100"/>
      <c r="AE390" s="48">
        <f t="shared" si="38"/>
        <v>0</v>
      </c>
      <c r="AF390" s="16"/>
      <c r="AG390" s="72">
        <f t="shared" si="39"/>
        <v>0</v>
      </c>
      <c r="AH390" s="37">
        <f t="shared" ref="AH390:AH453" si="40">AE390*AG390/14</f>
        <v>0</v>
      </c>
      <c r="AJ390" s="34"/>
      <c r="AK390" s="34"/>
      <c r="AL390" s="82"/>
      <c r="AN390" s="83"/>
      <c r="AO390" s="83"/>
      <c r="AP390" s="82"/>
      <c r="AQ390" s="84"/>
      <c r="AR390" s="84"/>
      <c r="AS390" s="84"/>
      <c r="AU390" s="34"/>
      <c r="AV390" s="34"/>
      <c r="AW390" s="82"/>
      <c r="AY390" s="83"/>
      <c r="AZ390" s="83"/>
      <c r="BA390" s="82"/>
      <c r="BB390" s="84"/>
      <c r="BC390" s="84"/>
      <c r="BD390" s="84"/>
    </row>
    <row r="391" spans="22:56" ht="16" x14ac:dyDescent="0.4">
      <c r="V391" s="97"/>
      <c r="W391" s="16"/>
      <c r="X391" s="89"/>
      <c r="Z391" s="50"/>
      <c r="AA391" s="50"/>
      <c r="AD391" s="100"/>
      <c r="AE391" s="48">
        <f t="shared" si="38"/>
        <v>0</v>
      </c>
      <c r="AF391" s="16"/>
      <c r="AG391" s="72">
        <f t="shared" si="39"/>
        <v>0</v>
      </c>
      <c r="AH391" s="37">
        <f t="shared" si="40"/>
        <v>0</v>
      </c>
      <c r="AJ391" s="34"/>
      <c r="AK391" s="34"/>
      <c r="AL391" s="82"/>
      <c r="AN391" s="83"/>
      <c r="AO391" s="83"/>
      <c r="AP391" s="82"/>
      <c r="AQ391" s="84"/>
      <c r="AR391" s="84"/>
      <c r="AS391" s="84"/>
      <c r="AU391" s="34"/>
      <c r="AV391" s="34"/>
      <c r="AW391" s="82"/>
      <c r="AY391" s="83"/>
      <c r="AZ391" s="83"/>
      <c r="BA391" s="82"/>
      <c r="BB391" s="84"/>
      <c r="BC391" s="84"/>
      <c r="BD391" s="84"/>
    </row>
    <row r="392" spans="22:56" ht="16" x14ac:dyDescent="0.4">
      <c r="V392" s="97"/>
      <c r="W392" s="16"/>
      <c r="X392" s="89"/>
      <c r="Z392" s="50"/>
      <c r="AA392" s="50"/>
      <c r="AD392" s="100"/>
      <c r="AE392" s="48">
        <f t="shared" si="38"/>
        <v>0</v>
      </c>
      <c r="AF392" s="16"/>
      <c r="AG392" s="72">
        <f t="shared" si="39"/>
        <v>0</v>
      </c>
      <c r="AH392" s="37">
        <f t="shared" si="40"/>
        <v>0</v>
      </c>
      <c r="AJ392" s="34"/>
      <c r="AK392" s="34"/>
      <c r="AL392" s="82"/>
      <c r="AN392" s="83"/>
      <c r="AO392" s="83"/>
      <c r="AP392" s="82"/>
      <c r="AQ392" s="84"/>
      <c r="AR392" s="84"/>
      <c r="AS392" s="84"/>
      <c r="AU392" s="34"/>
      <c r="AV392" s="34"/>
      <c r="AW392" s="82"/>
      <c r="AY392" s="83"/>
      <c r="AZ392" s="83"/>
      <c r="BA392" s="82"/>
      <c r="BB392" s="84"/>
      <c r="BC392" s="84"/>
      <c r="BD392" s="84"/>
    </row>
    <row r="393" spans="22:56" ht="16" x14ac:dyDescent="0.4">
      <c r="V393" s="97"/>
      <c r="W393" s="16"/>
      <c r="X393" s="89"/>
      <c r="Z393" s="50"/>
      <c r="AA393" s="50"/>
      <c r="AD393" s="100"/>
      <c r="AE393" s="48">
        <f t="shared" si="38"/>
        <v>0</v>
      </c>
      <c r="AF393" s="16"/>
      <c r="AG393" s="72">
        <f t="shared" si="39"/>
        <v>0</v>
      </c>
      <c r="AH393" s="37">
        <f t="shared" si="40"/>
        <v>0</v>
      </c>
      <c r="AJ393" s="34"/>
      <c r="AK393" s="34"/>
      <c r="AL393" s="82"/>
      <c r="AN393" s="83"/>
      <c r="AO393" s="83"/>
      <c r="AP393" s="82"/>
      <c r="AQ393" s="84"/>
      <c r="AR393" s="84"/>
      <c r="AS393" s="84"/>
      <c r="AU393" s="34"/>
      <c r="AV393" s="34"/>
      <c r="AW393" s="82"/>
      <c r="AY393" s="83"/>
      <c r="AZ393" s="83"/>
      <c r="BA393" s="82"/>
      <c r="BB393" s="84"/>
      <c r="BC393" s="84"/>
      <c r="BD393" s="84"/>
    </row>
    <row r="394" spans="22:56" ht="16" x14ac:dyDescent="0.4">
      <c r="V394" s="97"/>
      <c r="W394" s="16"/>
      <c r="X394" s="89"/>
      <c r="Z394" s="50"/>
      <c r="AA394" s="50"/>
      <c r="AD394" s="100"/>
      <c r="AE394" s="48">
        <f t="shared" si="38"/>
        <v>0</v>
      </c>
      <c r="AF394" s="16"/>
      <c r="AG394" s="72">
        <f t="shared" si="39"/>
        <v>0</v>
      </c>
      <c r="AH394" s="37">
        <f t="shared" si="40"/>
        <v>0</v>
      </c>
      <c r="AJ394" s="34"/>
      <c r="AK394" s="34"/>
      <c r="AL394" s="82"/>
      <c r="AN394" s="83"/>
      <c r="AO394" s="83"/>
      <c r="AP394" s="82"/>
      <c r="AQ394" s="84"/>
      <c r="AR394" s="84"/>
      <c r="AS394" s="84"/>
      <c r="AU394" s="34"/>
      <c r="AV394" s="34"/>
      <c r="AW394" s="82"/>
      <c r="AY394" s="83"/>
      <c r="AZ394" s="83"/>
      <c r="BA394" s="82"/>
      <c r="BB394" s="84"/>
      <c r="BC394" s="84"/>
      <c r="BD394" s="84"/>
    </row>
    <row r="395" spans="22:56" ht="16" x14ac:dyDescent="0.4">
      <c r="V395" s="97"/>
      <c r="W395" s="16"/>
      <c r="X395" s="89"/>
      <c r="Z395" s="50"/>
      <c r="AA395" s="50"/>
      <c r="AD395" s="100"/>
      <c r="AE395" s="48">
        <f t="shared" si="38"/>
        <v>0</v>
      </c>
      <c r="AF395" s="16"/>
      <c r="AG395" s="72">
        <f t="shared" si="39"/>
        <v>0</v>
      </c>
      <c r="AH395" s="37">
        <f t="shared" si="40"/>
        <v>0</v>
      </c>
      <c r="AJ395" s="34"/>
      <c r="AK395" s="34"/>
      <c r="AL395" s="82"/>
      <c r="AN395" s="83"/>
      <c r="AO395" s="83"/>
      <c r="AP395" s="82"/>
      <c r="AQ395" s="84"/>
      <c r="AR395" s="84"/>
      <c r="AS395" s="84"/>
      <c r="AU395" s="34"/>
      <c r="AV395" s="34"/>
      <c r="AW395" s="82"/>
      <c r="AY395" s="83"/>
      <c r="AZ395" s="83"/>
      <c r="BA395" s="82"/>
      <c r="BB395" s="84"/>
      <c r="BC395" s="84"/>
      <c r="BD395" s="84"/>
    </row>
    <row r="396" spans="22:56" ht="16" x14ac:dyDescent="0.4">
      <c r="V396" s="97"/>
      <c r="W396" s="16"/>
      <c r="X396" s="89"/>
      <c r="Z396" s="50"/>
      <c r="AA396" s="50"/>
      <c r="AD396" s="100"/>
      <c r="AE396" s="48">
        <f t="shared" si="38"/>
        <v>0</v>
      </c>
      <c r="AF396" s="16"/>
      <c r="AG396" s="72">
        <f t="shared" si="39"/>
        <v>0</v>
      </c>
      <c r="AH396" s="37">
        <f t="shared" si="40"/>
        <v>0</v>
      </c>
      <c r="AJ396" s="34"/>
      <c r="AK396" s="34"/>
      <c r="AL396" s="82"/>
      <c r="AN396" s="83"/>
      <c r="AO396" s="83"/>
      <c r="AP396" s="82"/>
      <c r="AQ396" s="84"/>
      <c r="AR396" s="84"/>
      <c r="AS396" s="84"/>
      <c r="AU396" s="34"/>
      <c r="AV396" s="34"/>
      <c r="AW396" s="82"/>
      <c r="AY396" s="83"/>
      <c r="AZ396" s="83"/>
      <c r="BA396" s="82"/>
      <c r="BB396" s="84"/>
      <c r="BC396" s="84"/>
      <c r="BD396" s="84"/>
    </row>
    <row r="397" spans="22:56" ht="16" x14ac:dyDescent="0.4">
      <c r="V397" s="97"/>
      <c r="W397" s="16"/>
      <c r="X397" s="89"/>
      <c r="Z397" s="50"/>
      <c r="AA397" s="50"/>
      <c r="AD397" s="48"/>
      <c r="AE397" s="48">
        <f t="shared" si="38"/>
        <v>0</v>
      </c>
      <c r="AF397" s="16"/>
      <c r="AG397" s="72">
        <f t="shared" si="39"/>
        <v>0</v>
      </c>
      <c r="AH397" s="37">
        <f t="shared" si="40"/>
        <v>0</v>
      </c>
      <c r="AJ397" s="34"/>
      <c r="AK397" s="34"/>
      <c r="AL397" s="82"/>
      <c r="AN397" s="83"/>
      <c r="AO397" s="83"/>
      <c r="AP397" s="82"/>
      <c r="AQ397" s="84"/>
      <c r="AR397" s="84"/>
      <c r="AS397" s="84"/>
      <c r="AU397" s="34"/>
      <c r="AV397" s="34"/>
      <c r="AW397" s="82"/>
      <c r="AY397" s="83"/>
      <c r="AZ397" s="83"/>
      <c r="BA397" s="82"/>
      <c r="BB397" s="84"/>
      <c r="BC397" s="84"/>
      <c r="BD397" s="84"/>
    </row>
    <row r="398" spans="22:56" ht="16" x14ac:dyDescent="0.4">
      <c r="V398" s="97"/>
      <c r="W398" s="16"/>
      <c r="X398" s="89"/>
      <c r="Z398" s="50"/>
      <c r="AA398" s="50"/>
      <c r="AD398" s="48"/>
      <c r="AE398" s="48">
        <f t="shared" si="38"/>
        <v>0</v>
      </c>
      <c r="AF398" s="16"/>
      <c r="AG398" s="72">
        <f t="shared" si="39"/>
        <v>0</v>
      </c>
      <c r="AH398" s="37">
        <f t="shared" si="40"/>
        <v>0</v>
      </c>
      <c r="AJ398" s="85"/>
      <c r="AK398" s="86"/>
      <c r="AL398" s="82"/>
      <c r="AP398" s="86"/>
      <c r="AS398" s="84"/>
      <c r="AU398" s="85"/>
      <c r="AV398" s="86"/>
      <c r="AW398" s="82"/>
      <c r="BA398" s="86"/>
      <c r="BD398" s="84"/>
    </row>
    <row r="399" spans="22:56" ht="16" x14ac:dyDescent="0.4">
      <c r="V399" s="97"/>
      <c r="W399" s="16"/>
      <c r="X399" s="89"/>
      <c r="Z399" s="50"/>
      <c r="AA399" s="50"/>
      <c r="AD399" s="48"/>
      <c r="AE399" s="48">
        <f t="shared" si="38"/>
        <v>0</v>
      </c>
      <c r="AF399" s="16"/>
      <c r="AG399" s="72">
        <f t="shared" si="39"/>
        <v>0</v>
      </c>
      <c r="AH399" s="37">
        <f t="shared" si="40"/>
        <v>0</v>
      </c>
      <c r="AJ399" s="85"/>
      <c r="AK399" s="86"/>
      <c r="AL399" s="82"/>
      <c r="AP399" s="86"/>
      <c r="AS399" s="84"/>
      <c r="AU399" s="85"/>
      <c r="AV399" s="86"/>
      <c r="AW399" s="82"/>
      <c r="BA399" s="86"/>
      <c r="BD399" s="84"/>
    </row>
    <row r="400" spans="22:56" ht="16" x14ac:dyDescent="0.4">
      <c r="V400" s="97"/>
      <c r="W400" s="16"/>
      <c r="X400" s="89"/>
      <c r="Z400" s="50"/>
      <c r="AA400" s="50"/>
      <c r="AD400" s="48"/>
      <c r="AE400" s="48">
        <f t="shared" si="38"/>
        <v>0</v>
      </c>
      <c r="AF400" s="16"/>
      <c r="AG400" s="72">
        <f t="shared" si="39"/>
        <v>0</v>
      </c>
      <c r="AH400" s="37">
        <f t="shared" si="40"/>
        <v>0</v>
      </c>
      <c r="AJ400" s="85"/>
      <c r="AK400" s="86"/>
      <c r="AL400" s="82"/>
      <c r="AP400" s="86"/>
      <c r="AU400" s="85"/>
      <c r="AV400" s="86"/>
      <c r="AW400" s="82"/>
      <c r="BA400" s="86"/>
    </row>
    <row r="401" spans="22:53" ht="16" x14ac:dyDescent="0.4">
      <c r="V401" s="97"/>
      <c r="W401" s="16"/>
      <c r="X401" s="89"/>
      <c r="Z401" s="50"/>
      <c r="AA401" s="50"/>
      <c r="AD401" s="48"/>
      <c r="AE401" s="48">
        <f t="shared" si="38"/>
        <v>0</v>
      </c>
      <c r="AF401" s="16"/>
      <c r="AG401" s="72">
        <f t="shared" si="39"/>
        <v>0</v>
      </c>
      <c r="AH401" s="37">
        <f t="shared" si="40"/>
        <v>0</v>
      </c>
      <c r="AJ401" s="85"/>
      <c r="AK401" s="86"/>
      <c r="AL401" s="82"/>
      <c r="AP401" s="86"/>
      <c r="AU401" s="85"/>
      <c r="AV401" s="86"/>
      <c r="AW401" s="82"/>
      <c r="BA401" s="86"/>
    </row>
    <row r="402" spans="22:53" ht="16" x14ac:dyDescent="0.4">
      <c r="V402" s="97"/>
      <c r="W402" s="16"/>
      <c r="X402" s="89"/>
      <c r="Z402" s="50"/>
      <c r="AA402" s="50"/>
      <c r="AD402" s="48"/>
      <c r="AE402" s="48">
        <f t="shared" si="38"/>
        <v>0</v>
      </c>
      <c r="AF402" s="16"/>
      <c r="AG402" s="72">
        <f t="shared" si="39"/>
        <v>0</v>
      </c>
      <c r="AH402" s="37">
        <f t="shared" si="40"/>
        <v>0</v>
      </c>
      <c r="AJ402" s="87"/>
      <c r="AK402" s="82"/>
      <c r="AL402" s="82"/>
      <c r="AP402" s="82"/>
      <c r="AU402" s="87"/>
      <c r="AV402" s="82"/>
      <c r="AW402" s="82"/>
      <c r="BA402" s="82"/>
    </row>
    <row r="403" spans="22:53" ht="16" x14ac:dyDescent="0.4">
      <c r="V403" s="97"/>
      <c r="W403" s="16"/>
      <c r="X403" s="89"/>
      <c r="Z403" s="50"/>
      <c r="AA403" s="50"/>
      <c r="AD403" s="48"/>
      <c r="AE403" s="48">
        <f t="shared" si="38"/>
        <v>0</v>
      </c>
      <c r="AF403" s="16"/>
      <c r="AG403" s="72">
        <f t="shared" si="39"/>
        <v>0</v>
      </c>
      <c r="AH403" s="37">
        <f t="shared" si="40"/>
        <v>0</v>
      </c>
    </row>
    <row r="404" spans="22:53" ht="16" x14ac:dyDescent="0.4">
      <c r="V404" s="97"/>
      <c r="W404" s="16"/>
      <c r="X404" s="89"/>
      <c r="Z404" s="50"/>
      <c r="AA404" s="50"/>
      <c r="AD404" s="48"/>
      <c r="AE404" s="48">
        <f t="shared" si="38"/>
        <v>0</v>
      </c>
      <c r="AF404" s="16"/>
      <c r="AG404" s="72">
        <f t="shared" si="39"/>
        <v>0</v>
      </c>
      <c r="AH404" s="37">
        <f t="shared" si="40"/>
        <v>0</v>
      </c>
    </row>
    <row r="405" spans="22:53" ht="16" x14ac:dyDescent="0.4">
      <c r="V405" s="97"/>
      <c r="W405" s="16"/>
      <c r="X405" s="89"/>
      <c r="Z405" s="50"/>
      <c r="AA405" s="50"/>
      <c r="AD405" s="48"/>
      <c r="AE405" s="48">
        <f t="shared" si="38"/>
        <v>0</v>
      </c>
      <c r="AF405" s="16"/>
      <c r="AG405" s="72">
        <f t="shared" si="39"/>
        <v>0</v>
      </c>
      <c r="AH405" s="37">
        <f t="shared" si="40"/>
        <v>0</v>
      </c>
    </row>
    <row r="406" spans="22:53" ht="16" x14ac:dyDescent="0.4">
      <c r="V406" s="97"/>
      <c r="W406" s="16"/>
      <c r="X406" s="89"/>
      <c r="Z406" s="50"/>
      <c r="AA406" s="50"/>
      <c r="AD406" s="48"/>
      <c r="AE406" s="48">
        <f t="shared" si="38"/>
        <v>0</v>
      </c>
      <c r="AF406" s="16"/>
      <c r="AG406" s="72">
        <f t="shared" si="39"/>
        <v>0</v>
      </c>
      <c r="AH406" s="37">
        <f t="shared" si="40"/>
        <v>0</v>
      </c>
    </row>
    <row r="407" spans="22:53" ht="16" x14ac:dyDescent="0.4">
      <c r="V407" s="97"/>
      <c r="W407" s="16"/>
      <c r="X407" s="89"/>
      <c r="Z407" s="50"/>
      <c r="AA407" s="50"/>
      <c r="AD407" s="48"/>
      <c r="AE407" s="48">
        <f t="shared" si="38"/>
        <v>0</v>
      </c>
      <c r="AF407" s="16"/>
      <c r="AG407" s="72">
        <f t="shared" si="39"/>
        <v>0</v>
      </c>
      <c r="AH407" s="37">
        <f t="shared" si="40"/>
        <v>0</v>
      </c>
      <c r="AJ407" s="34"/>
      <c r="AK407" s="34"/>
      <c r="AU407" s="34"/>
      <c r="AV407" s="34"/>
    </row>
    <row r="408" spans="22:53" ht="16" x14ac:dyDescent="0.4">
      <c r="V408" s="97"/>
      <c r="W408" s="16"/>
      <c r="X408" s="89"/>
      <c r="Z408" s="50"/>
      <c r="AA408" s="50"/>
      <c r="AD408" s="48"/>
      <c r="AE408" s="48">
        <f t="shared" si="38"/>
        <v>0</v>
      </c>
      <c r="AF408" s="16"/>
      <c r="AG408" s="72">
        <f t="shared" si="39"/>
        <v>0</v>
      </c>
      <c r="AH408" s="37">
        <f t="shared" si="40"/>
        <v>0</v>
      </c>
      <c r="AJ408" s="34"/>
      <c r="AK408" s="34"/>
      <c r="AU408" s="34"/>
      <c r="AV408" s="34"/>
    </row>
    <row r="409" spans="22:53" ht="16" x14ac:dyDescent="0.4">
      <c r="V409" s="97"/>
      <c r="W409" s="16"/>
      <c r="X409" s="89"/>
      <c r="Z409" s="50"/>
      <c r="AA409" s="50"/>
      <c r="AD409" s="48"/>
      <c r="AE409" s="48">
        <f t="shared" si="38"/>
        <v>0</v>
      </c>
      <c r="AF409" s="16"/>
      <c r="AG409" s="72">
        <f t="shared" si="39"/>
        <v>0</v>
      </c>
      <c r="AH409" s="37">
        <f t="shared" si="40"/>
        <v>0</v>
      </c>
      <c r="AJ409" s="34"/>
      <c r="AK409" s="34"/>
      <c r="AU409" s="34"/>
      <c r="AV409" s="34"/>
    </row>
    <row r="410" spans="22:53" ht="16" x14ac:dyDescent="0.4">
      <c r="V410" s="97"/>
      <c r="W410" s="16"/>
      <c r="X410" s="89"/>
      <c r="Z410" s="50"/>
      <c r="AA410" s="50"/>
      <c r="AD410" s="48"/>
      <c r="AE410" s="48">
        <f t="shared" si="38"/>
        <v>0</v>
      </c>
      <c r="AF410" s="16"/>
      <c r="AG410" s="72">
        <f t="shared" si="39"/>
        <v>0</v>
      </c>
      <c r="AH410" s="37">
        <f t="shared" si="40"/>
        <v>0</v>
      </c>
      <c r="AJ410" s="34"/>
      <c r="AK410" s="34"/>
      <c r="AU410" s="34"/>
      <c r="AV410" s="34"/>
    </row>
    <row r="411" spans="22:53" ht="16" x14ac:dyDescent="0.4">
      <c r="V411" s="97"/>
      <c r="W411" s="16"/>
      <c r="X411" s="89"/>
      <c r="Z411" s="50"/>
      <c r="AA411" s="50"/>
      <c r="AD411" s="48"/>
      <c r="AE411" s="48">
        <f t="shared" si="38"/>
        <v>0</v>
      </c>
      <c r="AF411" s="16"/>
      <c r="AG411" s="72">
        <f t="shared" si="39"/>
        <v>0</v>
      </c>
      <c r="AH411" s="37">
        <f t="shared" si="40"/>
        <v>0</v>
      </c>
      <c r="AJ411" s="34"/>
      <c r="AK411" s="34"/>
      <c r="AU411" s="34"/>
      <c r="AV411" s="34"/>
    </row>
    <row r="412" spans="22:53" ht="16" x14ac:dyDescent="0.4">
      <c r="V412" s="97"/>
      <c r="W412" s="16"/>
      <c r="X412" s="89"/>
      <c r="Z412" s="50"/>
      <c r="AA412" s="50"/>
      <c r="AD412" s="48"/>
      <c r="AE412" s="48">
        <f t="shared" si="38"/>
        <v>0</v>
      </c>
      <c r="AF412" s="16"/>
      <c r="AG412" s="72">
        <f t="shared" si="39"/>
        <v>0</v>
      </c>
      <c r="AH412" s="37">
        <f t="shared" si="40"/>
        <v>0</v>
      </c>
      <c r="AJ412" s="34"/>
      <c r="AK412" s="34"/>
      <c r="AU412" s="34"/>
      <c r="AV412" s="34"/>
    </row>
    <row r="413" spans="22:53" ht="16" x14ac:dyDescent="0.4">
      <c r="V413" s="97"/>
      <c r="W413" s="16"/>
      <c r="X413" s="89"/>
      <c r="Z413" s="50"/>
      <c r="AA413" s="50"/>
      <c r="AD413" s="48"/>
      <c r="AE413" s="48">
        <f t="shared" si="38"/>
        <v>0</v>
      </c>
      <c r="AF413" s="16"/>
      <c r="AG413" s="72">
        <f t="shared" si="39"/>
        <v>0</v>
      </c>
      <c r="AH413" s="37">
        <f t="shared" si="40"/>
        <v>0</v>
      </c>
      <c r="AJ413" s="34"/>
      <c r="AK413" s="34"/>
      <c r="AU413" s="34"/>
      <c r="AV413" s="34"/>
    </row>
    <row r="414" spans="22:53" ht="16" x14ac:dyDescent="0.4">
      <c r="V414" s="97"/>
      <c r="W414" s="16"/>
      <c r="X414" s="89"/>
      <c r="Z414" s="50"/>
      <c r="AA414" s="50"/>
      <c r="AD414" s="48"/>
      <c r="AE414" s="48">
        <f t="shared" si="38"/>
        <v>0</v>
      </c>
      <c r="AF414" s="16"/>
      <c r="AG414" s="72">
        <f t="shared" si="39"/>
        <v>0</v>
      </c>
      <c r="AH414" s="37">
        <f t="shared" si="40"/>
        <v>0</v>
      </c>
      <c r="AJ414" s="34"/>
      <c r="AK414" s="34"/>
      <c r="AU414" s="34"/>
      <c r="AV414" s="34"/>
    </row>
    <row r="415" spans="22:53" ht="16" x14ac:dyDescent="0.4">
      <c r="V415" s="97"/>
      <c r="W415" s="16"/>
      <c r="X415" s="89"/>
      <c r="Z415" s="50"/>
      <c r="AA415" s="50"/>
      <c r="AD415" s="48"/>
      <c r="AE415" s="48">
        <f t="shared" si="38"/>
        <v>0</v>
      </c>
      <c r="AF415" s="16"/>
      <c r="AG415" s="72">
        <f t="shared" si="39"/>
        <v>0</v>
      </c>
      <c r="AH415" s="37">
        <f t="shared" si="40"/>
        <v>0</v>
      </c>
      <c r="AJ415" s="34"/>
      <c r="AK415" s="34"/>
      <c r="AU415" s="34"/>
      <c r="AV415" s="34"/>
    </row>
    <row r="416" spans="22:53" ht="16" x14ac:dyDescent="0.4">
      <c r="V416" s="97"/>
      <c r="W416" s="16"/>
      <c r="X416" s="89"/>
      <c r="Z416" s="50"/>
      <c r="AA416" s="50"/>
      <c r="AD416" s="48"/>
      <c r="AE416" s="48">
        <f t="shared" si="38"/>
        <v>0</v>
      </c>
      <c r="AF416" s="16"/>
      <c r="AG416" s="72">
        <f t="shared" si="39"/>
        <v>0</v>
      </c>
      <c r="AH416" s="37">
        <f t="shared" si="40"/>
        <v>0</v>
      </c>
      <c r="AJ416" s="34"/>
      <c r="AK416" s="34"/>
      <c r="AU416" s="34"/>
      <c r="AV416" s="34"/>
    </row>
    <row r="417" spans="22:48" ht="16" x14ac:dyDescent="0.4">
      <c r="V417" s="97"/>
      <c r="W417" s="16"/>
      <c r="X417" s="89"/>
      <c r="Z417" s="50"/>
      <c r="AA417" s="50"/>
      <c r="AD417" s="48"/>
      <c r="AE417" s="48">
        <f t="shared" si="38"/>
        <v>0</v>
      </c>
      <c r="AF417" s="16"/>
      <c r="AG417" s="72">
        <f t="shared" si="39"/>
        <v>0</v>
      </c>
      <c r="AH417" s="37">
        <f t="shared" si="40"/>
        <v>0</v>
      </c>
      <c r="AJ417" s="34"/>
      <c r="AK417" s="34"/>
      <c r="AU417" s="34"/>
      <c r="AV417" s="34"/>
    </row>
    <row r="418" spans="22:48" ht="16" x14ac:dyDescent="0.4">
      <c r="V418" s="97"/>
      <c r="W418" s="16"/>
      <c r="X418" s="89"/>
      <c r="Z418" s="50"/>
      <c r="AA418" s="50"/>
      <c r="AD418" s="48"/>
      <c r="AE418" s="48">
        <f t="shared" si="38"/>
        <v>0</v>
      </c>
      <c r="AF418" s="16"/>
      <c r="AG418" s="72">
        <f t="shared" si="39"/>
        <v>0</v>
      </c>
      <c r="AH418" s="37">
        <f t="shared" si="40"/>
        <v>0</v>
      </c>
      <c r="AJ418" s="34"/>
      <c r="AK418" s="34"/>
      <c r="AU418" s="34"/>
      <c r="AV418" s="34"/>
    </row>
    <row r="419" spans="22:48" ht="16" x14ac:dyDescent="0.4">
      <c r="V419" s="97"/>
      <c r="W419" s="16"/>
      <c r="X419" s="89"/>
      <c r="Z419" s="50"/>
      <c r="AA419" s="50"/>
      <c r="AD419" s="48"/>
      <c r="AE419" s="48">
        <f t="shared" si="38"/>
        <v>0</v>
      </c>
      <c r="AF419" s="16"/>
      <c r="AG419" s="72">
        <f t="shared" si="39"/>
        <v>0</v>
      </c>
      <c r="AH419" s="37">
        <f t="shared" si="40"/>
        <v>0</v>
      </c>
      <c r="AJ419" s="34"/>
      <c r="AK419" s="34"/>
      <c r="AU419" s="34"/>
      <c r="AV419" s="34"/>
    </row>
    <row r="420" spans="22:48" ht="16" x14ac:dyDescent="0.4">
      <c r="V420" s="97"/>
      <c r="W420" s="16"/>
      <c r="X420" s="89"/>
      <c r="Z420" s="50"/>
      <c r="AA420" s="50"/>
      <c r="AD420" s="48"/>
      <c r="AE420" s="48">
        <f t="shared" si="38"/>
        <v>0</v>
      </c>
      <c r="AF420" s="16"/>
      <c r="AG420" s="72">
        <f t="shared" si="39"/>
        <v>0</v>
      </c>
      <c r="AH420" s="37">
        <f t="shared" si="40"/>
        <v>0</v>
      </c>
      <c r="AJ420" s="34"/>
      <c r="AK420" s="34"/>
      <c r="AU420" s="34"/>
      <c r="AV420" s="34"/>
    </row>
    <row r="421" spans="22:48" ht="16" x14ac:dyDescent="0.4">
      <c r="V421" s="97"/>
      <c r="W421" s="16"/>
      <c r="X421" s="89"/>
      <c r="Z421" s="50"/>
      <c r="AA421" s="50"/>
      <c r="AD421" s="48"/>
      <c r="AE421" s="48">
        <f t="shared" si="38"/>
        <v>0</v>
      </c>
      <c r="AF421" s="16"/>
      <c r="AG421" s="72">
        <f t="shared" si="39"/>
        <v>0</v>
      </c>
      <c r="AH421" s="37">
        <f t="shared" si="40"/>
        <v>0</v>
      </c>
      <c r="AJ421" s="34"/>
      <c r="AK421" s="34"/>
      <c r="AU421" s="34"/>
      <c r="AV421" s="34"/>
    </row>
    <row r="422" spans="22:48" ht="16" x14ac:dyDescent="0.4">
      <c r="V422" s="97"/>
      <c r="W422" s="16"/>
      <c r="X422" s="89"/>
      <c r="Z422" s="50"/>
      <c r="AA422" s="50"/>
      <c r="AD422" s="48"/>
      <c r="AE422" s="48">
        <f t="shared" si="38"/>
        <v>0</v>
      </c>
      <c r="AF422" s="16"/>
      <c r="AG422" s="72">
        <f t="shared" si="39"/>
        <v>0</v>
      </c>
      <c r="AH422" s="37">
        <f t="shared" si="40"/>
        <v>0</v>
      </c>
      <c r="AJ422" s="34"/>
      <c r="AK422" s="34"/>
      <c r="AU422" s="34"/>
      <c r="AV422" s="34"/>
    </row>
    <row r="423" spans="22:48" ht="16" x14ac:dyDescent="0.4">
      <c r="V423" s="97"/>
      <c r="W423" s="16"/>
      <c r="X423" s="89"/>
      <c r="Z423" s="50"/>
      <c r="AA423" s="50"/>
      <c r="AD423" s="48"/>
      <c r="AE423" s="48">
        <f t="shared" si="38"/>
        <v>0</v>
      </c>
      <c r="AF423" s="16"/>
      <c r="AG423" s="72">
        <f t="shared" si="39"/>
        <v>0</v>
      </c>
      <c r="AH423" s="37">
        <f t="shared" si="40"/>
        <v>0</v>
      </c>
      <c r="AJ423" s="34"/>
      <c r="AK423" s="34"/>
      <c r="AU423" s="34"/>
      <c r="AV423" s="34"/>
    </row>
    <row r="424" spans="22:48" ht="16" x14ac:dyDescent="0.4">
      <c r="V424" s="97"/>
      <c r="W424" s="16"/>
      <c r="X424" s="89"/>
      <c r="Z424" s="50"/>
      <c r="AA424" s="50"/>
      <c r="AD424" s="48"/>
      <c r="AE424" s="48">
        <f t="shared" si="38"/>
        <v>0</v>
      </c>
      <c r="AF424" s="16"/>
      <c r="AG424" s="72">
        <f t="shared" si="39"/>
        <v>0</v>
      </c>
      <c r="AH424" s="37">
        <f t="shared" si="40"/>
        <v>0</v>
      </c>
      <c r="AJ424" s="34"/>
      <c r="AK424" s="34"/>
      <c r="AU424" s="34"/>
      <c r="AV424" s="34"/>
    </row>
    <row r="425" spans="22:48" ht="16" x14ac:dyDescent="0.4">
      <c r="V425" s="97"/>
      <c r="W425" s="16"/>
      <c r="X425" s="89"/>
      <c r="Z425" s="50"/>
      <c r="AA425" s="50"/>
      <c r="AD425" s="48"/>
      <c r="AE425" s="48">
        <f t="shared" si="38"/>
        <v>0</v>
      </c>
      <c r="AF425" s="16"/>
      <c r="AG425" s="72">
        <f t="shared" si="39"/>
        <v>0</v>
      </c>
      <c r="AH425" s="37">
        <f t="shared" si="40"/>
        <v>0</v>
      </c>
      <c r="AJ425" s="34"/>
      <c r="AK425" s="34"/>
      <c r="AU425" s="34"/>
      <c r="AV425" s="34"/>
    </row>
    <row r="426" spans="22:48" ht="16" x14ac:dyDescent="0.4">
      <c r="V426" s="97"/>
      <c r="W426" s="16"/>
      <c r="X426" s="89"/>
      <c r="Z426" s="50"/>
      <c r="AA426" s="50"/>
      <c r="AD426" s="48"/>
      <c r="AE426" s="48">
        <f t="shared" si="38"/>
        <v>0</v>
      </c>
      <c r="AF426" s="16"/>
      <c r="AG426" s="72">
        <f t="shared" si="39"/>
        <v>0</v>
      </c>
      <c r="AH426" s="37">
        <f t="shared" si="40"/>
        <v>0</v>
      </c>
      <c r="AJ426" s="34"/>
      <c r="AK426" s="34"/>
      <c r="AU426" s="34"/>
      <c r="AV426" s="34"/>
    </row>
    <row r="427" spans="22:48" ht="16" x14ac:dyDescent="0.4">
      <c r="V427" s="97"/>
      <c r="W427" s="16"/>
      <c r="X427" s="89"/>
      <c r="Z427" s="50"/>
      <c r="AA427" s="50"/>
      <c r="AD427" s="48"/>
      <c r="AE427" s="48">
        <f t="shared" si="38"/>
        <v>0</v>
      </c>
      <c r="AF427" s="16"/>
      <c r="AG427" s="72">
        <f t="shared" si="39"/>
        <v>0</v>
      </c>
      <c r="AH427" s="37">
        <f t="shared" si="40"/>
        <v>0</v>
      </c>
      <c r="AJ427" s="34"/>
      <c r="AK427" s="34"/>
      <c r="AU427" s="34"/>
      <c r="AV427" s="34"/>
    </row>
    <row r="428" spans="22:48" ht="16" x14ac:dyDescent="0.4">
      <c r="V428" s="97"/>
      <c r="W428" s="16"/>
      <c r="X428" s="89"/>
      <c r="Z428" s="50"/>
      <c r="AA428" s="50"/>
      <c r="AD428" s="48"/>
      <c r="AE428" s="48">
        <f t="shared" si="38"/>
        <v>0</v>
      </c>
      <c r="AF428" s="16"/>
      <c r="AG428" s="72">
        <f t="shared" si="39"/>
        <v>0</v>
      </c>
      <c r="AH428" s="37">
        <f t="shared" si="40"/>
        <v>0</v>
      </c>
      <c r="AJ428" s="34"/>
      <c r="AK428" s="34"/>
      <c r="AU428" s="34"/>
      <c r="AV428" s="34"/>
    </row>
    <row r="429" spans="22:48" ht="16" x14ac:dyDescent="0.4">
      <c r="V429" s="97"/>
      <c r="W429" s="16"/>
      <c r="X429" s="89"/>
      <c r="Z429" s="50"/>
      <c r="AA429" s="50"/>
      <c r="AD429" s="48"/>
      <c r="AE429" s="48">
        <f t="shared" si="38"/>
        <v>0</v>
      </c>
      <c r="AF429" s="16"/>
      <c r="AG429" s="72">
        <f t="shared" si="39"/>
        <v>0</v>
      </c>
      <c r="AH429" s="37">
        <f t="shared" si="40"/>
        <v>0</v>
      </c>
      <c r="AJ429" s="34"/>
      <c r="AK429" s="34"/>
      <c r="AU429" s="34"/>
      <c r="AV429" s="34"/>
    </row>
    <row r="430" spans="22:48" ht="16" x14ac:dyDescent="0.4">
      <c r="V430" s="97"/>
      <c r="W430" s="16"/>
      <c r="X430" s="89"/>
      <c r="Z430" s="50"/>
      <c r="AA430" s="50"/>
      <c r="AD430" s="48"/>
      <c r="AE430" s="48">
        <f t="shared" si="38"/>
        <v>0</v>
      </c>
      <c r="AF430" s="16"/>
      <c r="AG430" s="72">
        <f t="shared" si="39"/>
        <v>0</v>
      </c>
      <c r="AH430" s="37">
        <f t="shared" si="40"/>
        <v>0</v>
      </c>
      <c r="AJ430" s="34"/>
      <c r="AK430" s="34"/>
      <c r="AU430" s="34"/>
      <c r="AV430" s="34"/>
    </row>
    <row r="431" spans="22:48" ht="16" x14ac:dyDescent="0.4">
      <c r="V431" s="97"/>
      <c r="W431" s="16"/>
      <c r="X431" s="89"/>
      <c r="Z431" s="50"/>
      <c r="AA431" s="50"/>
      <c r="AD431" s="48"/>
      <c r="AE431" s="48">
        <f t="shared" si="38"/>
        <v>0</v>
      </c>
      <c r="AF431" s="16"/>
      <c r="AG431" s="72">
        <f t="shared" si="39"/>
        <v>0</v>
      </c>
      <c r="AH431" s="37">
        <f t="shared" si="40"/>
        <v>0</v>
      </c>
      <c r="AJ431" s="34"/>
      <c r="AK431" s="34"/>
      <c r="AU431" s="34"/>
      <c r="AV431" s="34"/>
    </row>
    <row r="432" spans="22:48" ht="16" x14ac:dyDescent="0.4">
      <c r="V432" s="97"/>
      <c r="W432" s="16"/>
      <c r="X432" s="89"/>
      <c r="Z432" s="50"/>
      <c r="AA432" s="50"/>
      <c r="AD432" s="48"/>
      <c r="AE432" s="48">
        <f t="shared" si="38"/>
        <v>0</v>
      </c>
      <c r="AF432" s="16"/>
      <c r="AG432" s="72">
        <f t="shared" si="39"/>
        <v>0</v>
      </c>
      <c r="AH432" s="37">
        <f t="shared" si="40"/>
        <v>0</v>
      </c>
      <c r="AJ432" s="34"/>
      <c r="AK432" s="34"/>
      <c r="AU432" s="34"/>
      <c r="AV432" s="34"/>
    </row>
    <row r="433" spans="22:48" ht="16" x14ac:dyDescent="0.4">
      <c r="V433" s="97"/>
      <c r="W433" s="16"/>
      <c r="X433" s="89"/>
      <c r="Z433" s="50"/>
      <c r="AA433" s="50"/>
      <c r="AD433" s="48"/>
      <c r="AE433" s="48">
        <f t="shared" si="38"/>
        <v>0</v>
      </c>
      <c r="AF433" s="16"/>
      <c r="AG433" s="72">
        <f t="shared" si="39"/>
        <v>0</v>
      </c>
      <c r="AH433" s="37">
        <f t="shared" si="40"/>
        <v>0</v>
      </c>
      <c r="AJ433" s="34"/>
      <c r="AK433" s="34"/>
      <c r="AU433" s="34"/>
      <c r="AV433" s="34"/>
    </row>
    <row r="434" spans="22:48" ht="16" x14ac:dyDescent="0.4">
      <c r="V434" s="97"/>
      <c r="W434" s="16"/>
      <c r="X434" s="89"/>
      <c r="Z434" s="50"/>
      <c r="AA434" s="50"/>
      <c r="AD434" s="48"/>
      <c r="AE434" s="48">
        <f t="shared" si="38"/>
        <v>0</v>
      </c>
      <c r="AF434" s="16"/>
      <c r="AG434" s="72">
        <f t="shared" si="39"/>
        <v>0</v>
      </c>
      <c r="AH434" s="37">
        <f t="shared" si="40"/>
        <v>0</v>
      </c>
      <c r="AJ434" s="34"/>
      <c r="AK434" s="34"/>
      <c r="AU434" s="34"/>
      <c r="AV434" s="34"/>
    </row>
    <row r="435" spans="22:48" ht="16" x14ac:dyDescent="0.4">
      <c r="V435" s="97"/>
      <c r="W435" s="16"/>
      <c r="X435" s="89"/>
      <c r="Z435" s="50"/>
      <c r="AA435" s="50"/>
      <c r="AD435" s="48"/>
      <c r="AE435" s="48">
        <f t="shared" si="38"/>
        <v>0</v>
      </c>
      <c r="AF435" s="16"/>
      <c r="AG435" s="72">
        <f t="shared" si="39"/>
        <v>0</v>
      </c>
      <c r="AH435" s="37">
        <f t="shared" si="40"/>
        <v>0</v>
      </c>
      <c r="AJ435" s="34"/>
      <c r="AK435" s="34"/>
      <c r="AU435" s="34"/>
      <c r="AV435" s="34"/>
    </row>
    <row r="436" spans="22:48" ht="16" x14ac:dyDescent="0.4">
      <c r="V436" s="97"/>
      <c r="W436" s="16"/>
      <c r="X436" s="89"/>
      <c r="Z436" s="50"/>
      <c r="AA436" s="50"/>
      <c r="AD436" s="48"/>
      <c r="AE436" s="48">
        <f t="shared" si="38"/>
        <v>0</v>
      </c>
      <c r="AF436" s="16"/>
      <c r="AG436" s="72">
        <f t="shared" si="39"/>
        <v>0</v>
      </c>
      <c r="AH436" s="37">
        <f t="shared" si="40"/>
        <v>0</v>
      </c>
      <c r="AJ436" s="34"/>
      <c r="AK436" s="34"/>
      <c r="AU436" s="34"/>
      <c r="AV436" s="34"/>
    </row>
    <row r="437" spans="22:48" ht="16" x14ac:dyDescent="0.4">
      <c r="V437" s="97"/>
      <c r="W437" s="16"/>
      <c r="X437" s="89"/>
      <c r="Z437" s="50"/>
      <c r="AA437" s="50"/>
      <c r="AD437" s="48"/>
      <c r="AE437" s="48">
        <f t="shared" si="38"/>
        <v>0</v>
      </c>
      <c r="AF437" s="16"/>
      <c r="AG437" s="72">
        <f t="shared" si="39"/>
        <v>0</v>
      </c>
      <c r="AH437" s="37">
        <f t="shared" si="40"/>
        <v>0</v>
      </c>
      <c r="AJ437" s="34"/>
      <c r="AK437" s="34"/>
      <c r="AU437" s="34"/>
      <c r="AV437" s="34"/>
    </row>
    <row r="438" spans="22:48" ht="16" x14ac:dyDescent="0.4">
      <c r="V438" s="97"/>
      <c r="W438" s="16"/>
      <c r="X438" s="89"/>
      <c r="Z438" s="50"/>
      <c r="AA438" s="50"/>
      <c r="AD438" s="48"/>
      <c r="AE438" s="48">
        <f t="shared" si="38"/>
        <v>0</v>
      </c>
      <c r="AF438" s="16"/>
      <c r="AG438" s="72">
        <f t="shared" si="39"/>
        <v>0</v>
      </c>
      <c r="AH438" s="37">
        <f t="shared" si="40"/>
        <v>0</v>
      </c>
      <c r="AJ438" s="34"/>
      <c r="AK438" s="34"/>
      <c r="AU438" s="34"/>
      <c r="AV438" s="34"/>
    </row>
    <row r="439" spans="22:48" ht="16" x14ac:dyDescent="0.4">
      <c r="V439" s="97"/>
      <c r="W439" s="16"/>
      <c r="X439" s="89"/>
      <c r="Z439" s="50"/>
      <c r="AA439" s="50"/>
      <c r="AD439" s="48"/>
      <c r="AE439" s="48">
        <f t="shared" si="38"/>
        <v>0</v>
      </c>
      <c r="AF439" s="16"/>
      <c r="AG439" s="72">
        <f t="shared" si="39"/>
        <v>0</v>
      </c>
      <c r="AH439" s="37">
        <f t="shared" si="40"/>
        <v>0</v>
      </c>
      <c r="AJ439" s="34"/>
      <c r="AK439" s="34"/>
      <c r="AU439" s="34"/>
      <c r="AV439" s="34"/>
    </row>
    <row r="440" spans="22:48" ht="16" x14ac:dyDescent="0.4">
      <c r="V440" s="97"/>
      <c r="W440" s="16"/>
      <c r="X440" s="89"/>
      <c r="Z440" s="50"/>
      <c r="AA440" s="50"/>
      <c r="AD440" s="48"/>
      <c r="AE440" s="48">
        <f t="shared" si="38"/>
        <v>0</v>
      </c>
      <c r="AF440" s="16"/>
      <c r="AG440" s="72">
        <f t="shared" si="39"/>
        <v>0</v>
      </c>
      <c r="AH440" s="37">
        <f t="shared" si="40"/>
        <v>0</v>
      </c>
      <c r="AJ440" s="34"/>
      <c r="AK440" s="34"/>
      <c r="AU440" s="34"/>
      <c r="AV440" s="34"/>
    </row>
    <row r="441" spans="22:48" ht="16" x14ac:dyDescent="0.4">
      <c r="V441" s="97"/>
      <c r="W441" s="16"/>
      <c r="X441" s="89"/>
      <c r="Z441" s="50"/>
      <c r="AA441" s="50"/>
      <c r="AD441" s="48"/>
      <c r="AE441" s="48">
        <f t="shared" si="38"/>
        <v>0</v>
      </c>
      <c r="AF441" s="16"/>
      <c r="AG441" s="72">
        <f t="shared" si="39"/>
        <v>0</v>
      </c>
      <c r="AH441" s="37">
        <f t="shared" si="40"/>
        <v>0</v>
      </c>
      <c r="AJ441" s="34"/>
      <c r="AK441" s="34"/>
      <c r="AU441" s="34"/>
      <c r="AV441" s="34"/>
    </row>
    <row r="442" spans="22:48" ht="16" x14ac:dyDescent="0.4">
      <c r="V442" s="97"/>
      <c r="W442" s="16"/>
      <c r="X442" s="89"/>
      <c r="Z442" s="50"/>
      <c r="AA442" s="50"/>
      <c r="AD442" s="48"/>
      <c r="AE442" s="48">
        <f t="shared" si="38"/>
        <v>0</v>
      </c>
      <c r="AF442" s="16"/>
      <c r="AG442" s="72">
        <f t="shared" si="39"/>
        <v>0</v>
      </c>
      <c r="AH442" s="37">
        <f t="shared" si="40"/>
        <v>0</v>
      </c>
      <c r="AJ442" s="34"/>
      <c r="AK442" s="34"/>
      <c r="AU442" s="34"/>
      <c r="AV442" s="34"/>
    </row>
    <row r="443" spans="22:48" ht="16" x14ac:dyDescent="0.4">
      <c r="V443" s="97"/>
      <c r="W443" s="16"/>
      <c r="X443" s="89"/>
      <c r="Z443" s="50"/>
      <c r="AA443" s="50"/>
      <c r="AD443" s="48"/>
      <c r="AE443" s="48">
        <f t="shared" si="38"/>
        <v>0</v>
      </c>
      <c r="AF443" s="16"/>
      <c r="AG443" s="72">
        <f t="shared" si="39"/>
        <v>0</v>
      </c>
      <c r="AH443" s="37">
        <f t="shared" si="40"/>
        <v>0</v>
      </c>
      <c r="AJ443" s="34"/>
      <c r="AK443" s="34"/>
      <c r="AU443" s="34"/>
      <c r="AV443" s="34"/>
    </row>
    <row r="444" spans="22:48" ht="16" x14ac:dyDescent="0.4">
      <c r="V444" s="97"/>
      <c r="W444" s="16"/>
      <c r="X444" s="89"/>
      <c r="Z444" s="50"/>
      <c r="AA444" s="50"/>
      <c r="AD444" s="48"/>
      <c r="AE444" s="48">
        <f t="shared" si="38"/>
        <v>0</v>
      </c>
      <c r="AF444" s="16"/>
      <c r="AG444" s="72">
        <f t="shared" si="39"/>
        <v>0</v>
      </c>
      <c r="AH444" s="37">
        <f t="shared" si="40"/>
        <v>0</v>
      </c>
      <c r="AJ444" s="34"/>
      <c r="AK444" s="34"/>
      <c r="AU444" s="34"/>
      <c r="AV444" s="34"/>
    </row>
    <row r="445" spans="22:48" ht="16" x14ac:dyDescent="0.4">
      <c r="V445" s="97"/>
      <c r="W445" s="16"/>
      <c r="X445" s="89"/>
      <c r="Z445" s="50"/>
      <c r="AA445" s="50"/>
      <c r="AD445" s="48"/>
      <c r="AE445" s="48">
        <f t="shared" si="38"/>
        <v>0</v>
      </c>
      <c r="AF445" s="16"/>
      <c r="AG445" s="72">
        <f t="shared" si="39"/>
        <v>0</v>
      </c>
      <c r="AH445" s="37">
        <f t="shared" si="40"/>
        <v>0</v>
      </c>
      <c r="AJ445" s="34"/>
      <c r="AK445" s="34"/>
      <c r="AU445" s="34"/>
      <c r="AV445" s="34"/>
    </row>
    <row r="446" spans="22:48" ht="16" x14ac:dyDescent="0.4">
      <c r="V446" s="97"/>
      <c r="W446" s="16"/>
      <c r="X446" s="89"/>
      <c r="Z446" s="50"/>
      <c r="AA446" s="50"/>
      <c r="AD446" s="48"/>
      <c r="AE446" s="48">
        <f t="shared" si="38"/>
        <v>0</v>
      </c>
      <c r="AF446" s="16"/>
      <c r="AG446" s="72">
        <f t="shared" si="39"/>
        <v>0</v>
      </c>
      <c r="AH446" s="37">
        <f t="shared" si="40"/>
        <v>0</v>
      </c>
      <c r="AJ446" s="34"/>
      <c r="AK446" s="34"/>
      <c r="AU446" s="34"/>
      <c r="AV446" s="34"/>
    </row>
    <row r="447" spans="22:48" ht="16" x14ac:dyDescent="0.4">
      <c r="V447" s="97"/>
      <c r="W447" s="16"/>
      <c r="X447" s="89"/>
      <c r="Z447" s="50"/>
      <c r="AA447" s="50"/>
      <c r="AD447" s="48"/>
      <c r="AE447" s="48">
        <f t="shared" si="38"/>
        <v>0</v>
      </c>
      <c r="AF447" s="16"/>
      <c r="AG447" s="72">
        <f t="shared" si="39"/>
        <v>0</v>
      </c>
      <c r="AH447" s="37">
        <f t="shared" si="40"/>
        <v>0</v>
      </c>
      <c r="AJ447" s="34"/>
      <c r="AK447" s="34"/>
      <c r="AU447" s="34"/>
      <c r="AV447" s="34"/>
    </row>
    <row r="448" spans="22:48" ht="16" x14ac:dyDescent="0.4">
      <c r="V448" s="97"/>
      <c r="W448" s="16"/>
      <c r="X448" s="89"/>
      <c r="Z448" s="50"/>
      <c r="AA448" s="50"/>
      <c r="AD448" s="48"/>
      <c r="AE448" s="48">
        <f t="shared" si="38"/>
        <v>0</v>
      </c>
      <c r="AF448" s="16"/>
      <c r="AG448" s="72">
        <f t="shared" si="39"/>
        <v>0</v>
      </c>
      <c r="AH448" s="37">
        <f t="shared" si="40"/>
        <v>0</v>
      </c>
      <c r="AJ448" s="34"/>
      <c r="AK448" s="34"/>
      <c r="AU448" s="34"/>
      <c r="AV448" s="34"/>
    </row>
    <row r="449" spans="22:48" ht="16" x14ac:dyDescent="0.4">
      <c r="V449" s="97"/>
      <c r="W449" s="16"/>
      <c r="X449" s="89"/>
      <c r="Z449" s="50"/>
      <c r="AA449" s="50"/>
      <c r="AD449" s="48"/>
      <c r="AE449" s="48">
        <f t="shared" si="38"/>
        <v>0</v>
      </c>
      <c r="AF449" s="16"/>
      <c r="AG449" s="72">
        <f t="shared" si="39"/>
        <v>0</v>
      </c>
      <c r="AH449" s="37">
        <f t="shared" si="40"/>
        <v>0</v>
      </c>
      <c r="AJ449" s="34"/>
      <c r="AK449" s="34"/>
      <c r="AU449" s="34"/>
      <c r="AV449" s="34"/>
    </row>
    <row r="450" spans="22:48" ht="16" x14ac:dyDescent="0.4">
      <c r="V450" s="97"/>
      <c r="W450" s="16"/>
      <c r="X450" s="89"/>
      <c r="Z450" s="50"/>
      <c r="AA450" s="50"/>
      <c r="AD450" s="48"/>
      <c r="AE450" s="48">
        <f t="shared" si="38"/>
        <v>0</v>
      </c>
      <c r="AF450" s="16"/>
      <c r="AG450" s="72">
        <f t="shared" si="39"/>
        <v>0</v>
      </c>
      <c r="AH450" s="37">
        <f t="shared" si="40"/>
        <v>0</v>
      </c>
      <c r="AJ450" s="34"/>
      <c r="AK450" s="34"/>
      <c r="AU450" s="34"/>
      <c r="AV450" s="34"/>
    </row>
    <row r="451" spans="22:48" ht="16" x14ac:dyDescent="0.4">
      <c r="V451" s="97"/>
      <c r="W451" s="16"/>
      <c r="X451" s="89"/>
      <c r="Z451" s="50"/>
      <c r="AA451" s="50"/>
      <c r="AD451" s="48"/>
      <c r="AE451" s="48">
        <f t="shared" si="38"/>
        <v>0</v>
      </c>
      <c r="AF451" s="16"/>
      <c r="AG451" s="72">
        <f t="shared" si="39"/>
        <v>0</v>
      </c>
      <c r="AH451" s="37">
        <f t="shared" si="40"/>
        <v>0</v>
      </c>
      <c r="AJ451" s="34"/>
      <c r="AK451" s="34"/>
      <c r="AU451" s="34"/>
      <c r="AV451" s="34"/>
    </row>
    <row r="452" spans="22:48" ht="16" x14ac:dyDescent="0.4">
      <c r="V452" s="97"/>
      <c r="W452" s="16"/>
      <c r="X452" s="89"/>
      <c r="Z452" s="50"/>
      <c r="AA452" s="50"/>
      <c r="AD452" s="48"/>
      <c r="AE452" s="48">
        <f t="shared" ref="AE452:AE483" si="41">AD452/1000</f>
        <v>0</v>
      </c>
      <c r="AF452" s="16"/>
      <c r="AG452" s="72">
        <f t="shared" si="39"/>
        <v>0</v>
      </c>
      <c r="AH452" s="37">
        <f t="shared" si="40"/>
        <v>0</v>
      </c>
      <c r="AJ452" s="34"/>
      <c r="AK452" s="34"/>
      <c r="AU452" s="34"/>
      <c r="AV452" s="34"/>
    </row>
    <row r="453" spans="22:48" ht="16" x14ac:dyDescent="0.4">
      <c r="V453" s="97"/>
      <c r="W453" s="16"/>
      <c r="X453" s="89"/>
      <c r="Z453" s="50"/>
      <c r="AA453" s="50"/>
      <c r="AD453" s="48"/>
      <c r="AE453" s="48">
        <f t="shared" si="41"/>
        <v>0</v>
      </c>
      <c r="AF453" s="16"/>
      <c r="AG453" s="72">
        <f t="shared" ref="AG453:AG455" si="42">IF($AF453&gt;14,14,$AF453)</f>
        <v>0</v>
      </c>
      <c r="AH453" s="37">
        <f t="shared" si="40"/>
        <v>0</v>
      </c>
      <c r="AJ453" s="34"/>
      <c r="AK453" s="34"/>
      <c r="AU453" s="34"/>
      <c r="AV453" s="34"/>
    </row>
    <row r="454" spans="22:48" ht="16" x14ac:dyDescent="0.4">
      <c r="V454" s="97"/>
      <c r="W454" s="16"/>
      <c r="X454" s="89"/>
      <c r="Z454" s="50"/>
      <c r="AA454" s="50"/>
      <c r="AD454" s="48"/>
      <c r="AE454" s="48">
        <f t="shared" si="41"/>
        <v>0</v>
      </c>
      <c r="AF454" s="16"/>
      <c r="AG454" s="72">
        <f t="shared" si="42"/>
        <v>0</v>
      </c>
      <c r="AH454" s="37">
        <f t="shared" ref="AH454:AH487" si="43">AE454*AG454/14</f>
        <v>0</v>
      </c>
      <c r="AJ454" s="34"/>
      <c r="AK454" s="34"/>
      <c r="AU454" s="34"/>
      <c r="AV454" s="34"/>
    </row>
    <row r="455" spans="22:48" ht="16" x14ac:dyDescent="0.4">
      <c r="V455" s="97"/>
      <c r="X455" s="89"/>
      <c r="Z455" s="50"/>
      <c r="AA455" s="50"/>
      <c r="AD455" s="37"/>
      <c r="AE455" s="48">
        <f t="shared" si="41"/>
        <v>0</v>
      </c>
      <c r="AG455" s="72">
        <f t="shared" si="42"/>
        <v>0</v>
      </c>
      <c r="AH455" s="37">
        <f t="shared" si="43"/>
        <v>0</v>
      </c>
      <c r="AJ455" s="34"/>
      <c r="AK455" s="34"/>
      <c r="AU455" s="34"/>
      <c r="AV455" s="34"/>
    </row>
    <row r="456" spans="22:48" x14ac:dyDescent="0.35">
      <c r="AE456" s="48">
        <f t="shared" si="41"/>
        <v>0</v>
      </c>
      <c r="AH456" s="37">
        <f t="shared" si="43"/>
        <v>0</v>
      </c>
      <c r="AJ456" s="34"/>
      <c r="AK456" s="34"/>
      <c r="AU456" s="34"/>
      <c r="AV456" s="34"/>
    </row>
    <row r="457" spans="22:48" x14ac:dyDescent="0.35">
      <c r="AE457" s="48">
        <f t="shared" si="41"/>
        <v>0</v>
      </c>
      <c r="AH457" s="37">
        <f t="shared" si="43"/>
        <v>0</v>
      </c>
      <c r="AJ457" s="34"/>
      <c r="AK457" s="34"/>
      <c r="AU457" s="34"/>
      <c r="AV457" s="34"/>
    </row>
    <row r="458" spans="22:48" x14ac:dyDescent="0.35">
      <c r="AE458" s="48">
        <f t="shared" si="41"/>
        <v>0</v>
      </c>
      <c r="AH458" s="37">
        <f t="shared" si="43"/>
        <v>0</v>
      </c>
      <c r="AJ458" s="34"/>
      <c r="AK458" s="34"/>
      <c r="AU458" s="34"/>
      <c r="AV458" s="34"/>
    </row>
    <row r="459" spans="22:48" x14ac:dyDescent="0.35">
      <c r="AE459" s="48">
        <f t="shared" si="41"/>
        <v>0</v>
      </c>
      <c r="AH459" s="37">
        <f t="shared" si="43"/>
        <v>0</v>
      </c>
      <c r="AJ459" s="34"/>
      <c r="AK459" s="34"/>
      <c r="AU459" s="34"/>
      <c r="AV459" s="34"/>
    </row>
    <row r="460" spans="22:48" x14ac:dyDescent="0.35">
      <c r="AE460" s="48">
        <f t="shared" si="41"/>
        <v>0</v>
      </c>
      <c r="AH460" s="37">
        <f t="shared" si="43"/>
        <v>0</v>
      </c>
      <c r="AJ460" s="34"/>
      <c r="AK460" s="34"/>
      <c r="AU460" s="34"/>
      <c r="AV460" s="34"/>
    </row>
    <row r="461" spans="22:48" x14ac:dyDescent="0.35">
      <c r="AE461" s="48">
        <f t="shared" si="41"/>
        <v>0</v>
      </c>
      <c r="AH461" s="37">
        <f t="shared" si="43"/>
        <v>0</v>
      </c>
      <c r="AJ461" s="34"/>
      <c r="AK461" s="34"/>
      <c r="AU461" s="34"/>
      <c r="AV461" s="34"/>
    </row>
    <row r="462" spans="22:48" x14ac:dyDescent="0.35">
      <c r="AE462" s="48">
        <f t="shared" si="41"/>
        <v>0</v>
      </c>
      <c r="AH462" s="37">
        <f t="shared" si="43"/>
        <v>0</v>
      </c>
      <c r="AJ462" s="34"/>
      <c r="AK462" s="34"/>
      <c r="AU462" s="34"/>
      <c r="AV462" s="34"/>
    </row>
    <row r="463" spans="22:48" x14ac:dyDescent="0.35">
      <c r="AE463" s="48">
        <f t="shared" si="41"/>
        <v>0</v>
      </c>
      <c r="AH463" s="37">
        <f t="shared" si="43"/>
        <v>0</v>
      </c>
      <c r="AJ463" s="34"/>
      <c r="AK463" s="34"/>
      <c r="AU463" s="34"/>
      <c r="AV463" s="34"/>
    </row>
    <row r="464" spans="22:48" x14ac:dyDescent="0.35">
      <c r="AE464" s="48">
        <f t="shared" si="41"/>
        <v>0</v>
      </c>
      <c r="AH464" s="37">
        <f t="shared" si="43"/>
        <v>0</v>
      </c>
      <c r="AJ464" s="34"/>
      <c r="AK464" s="34"/>
      <c r="AU464" s="34"/>
      <c r="AV464" s="34"/>
    </row>
    <row r="465" spans="31:48" x14ac:dyDescent="0.35">
      <c r="AE465" s="48">
        <f t="shared" si="41"/>
        <v>0</v>
      </c>
      <c r="AH465" s="37">
        <f t="shared" si="43"/>
        <v>0</v>
      </c>
      <c r="AJ465" s="34"/>
      <c r="AK465" s="34"/>
      <c r="AU465" s="34"/>
      <c r="AV465" s="34"/>
    </row>
    <row r="466" spans="31:48" x14ac:dyDescent="0.35">
      <c r="AE466" s="48">
        <f t="shared" si="41"/>
        <v>0</v>
      </c>
      <c r="AH466" s="37">
        <f t="shared" si="43"/>
        <v>0</v>
      </c>
      <c r="AJ466" s="34"/>
      <c r="AK466" s="34"/>
      <c r="AU466" s="34"/>
      <c r="AV466" s="34"/>
    </row>
    <row r="467" spans="31:48" x14ac:dyDescent="0.35">
      <c r="AE467" s="48">
        <f t="shared" si="41"/>
        <v>0</v>
      </c>
      <c r="AH467" s="37">
        <f t="shared" si="43"/>
        <v>0</v>
      </c>
      <c r="AJ467" s="34"/>
      <c r="AK467" s="34"/>
      <c r="AU467" s="34"/>
      <c r="AV467" s="34"/>
    </row>
    <row r="468" spans="31:48" x14ac:dyDescent="0.35">
      <c r="AE468" s="48">
        <f t="shared" si="41"/>
        <v>0</v>
      </c>
      <c r="AH468" s="37">
        <f t="shared" si="43"/>
        <v>0</v>
      </c>
      <c r="AJ468" s="34"/>
      <c r="AK468" s="34"/>
      <c r="AU468" s="34"/>
      <c r="AV468" s="34"/>
    </row>
    <row r="469" spans="31:48" x14ac:dyDescent="0.35">
      <c r="AE469" s="48">
        <f t="shared" si="41"/>
        <v>0</v>
      </c>
      <c r="AH469" s="37">
        <f t="shared" si="43"/>
        <v>0</v>
      </c>
      <c r="AJ469" s="34"/>
      <c r="AK469" s="34"/>
      <c r="AU469" s="34"/>
      <c r="AV469" s="34"/>
    </row>
    <row r="470" spans="31:48" x14ac:dyDescent="0.35">
      <c r="AE470" s="48">
        <f t="shared" si="41"/>
        <v>0</v>
      </c>
      <c r="AH470" s="37">
        <f t="shared" si="43"/>
        <v>0</v>
      </c>
      <c r="AJ470" s="34"/>
      <c r="AK470" s="34"/>
      <c r="AU470" s="34"/>
      <c r="AV470" s="34"/>
    </row>
    <row r="471" spans="31:48" x14ac:dyDescent="0.35">
      <c r="AE471" s="48">
        <f t="shared" si="41"/>
        <v>0</v>
      </c>
      <c r="AH471" s="37">
        <f t="shared" si="43"/>
        <v>0</v>
      </c>
      <c r="AJ471" s="34"/>
      <c r="AK471" s="34"/>
      <c r="AU471" s="34"/>
      <c r="AV471" s="34"/>
    </row>
    <row r="472" spans="31:48" x14ac:dyDescent="0.35">
      <c r="AE472" s="48">
        <f t="shared" si="41"/>
        <v>0</v>
      </c>
      <c r="AH472" s="37">
        <f t="shared" si="43"/>
        <v>0</v>
      </c>
      <c r="AJ472" s="34"/>
      <c r="AK472" s="34"/>
      <c r="AU472" s="34"/>
      <c r="AV472" s="34"/>
    </row>
    <row r="473" spans="31:48" x14ac:dyDescent="0.35">
      <c r="AE473" s="48">
        <f t="shared" si="41"/>
        <v>0</v>
      </c>
      <c r="AH473" s="37">
        <f t="shared" si="43"/>
        <v>0</v>
      </c>
      <c r="AJ473" s="34"/>
      <c r="AK473" s="34"/>
      <c r="AU473" s="34"/>
      <c r="AV473" s="34"/>
    </row>
    <row r="474" spans="31:48" x14ac:dyDescent="0.35">
      <c r="AE474" s="48">
        <f t="shared" si="41"/>
        <v>0</v>
      </c>
      <c r="AH474" s="37">
        <f t="shared" si="43"/>
        <v>0</v>
      </c>
      <c r="AJ474" s="34"/>
      <c r="AK474" s="34"/>
      <c r="AU474" s="34"/>
      <c r="AV474" s="34"/>
    </row>
    <row r="475" spans="31:48" x14ac:dyDescent="0.35">
      <c r="AE475" s="48">
        <f t="shared" si="41"/>
        <v>0</v>
      </c>
      <c r="AH475" s="37">
        <f t="shared" si="43"/>
        <v>0</v>
      </c>
      <c r="AJ475" s="34"/>
      <c r="AK475" s="34"/>
      <c r="AU475" s="34"/>
      <c r="AV475" s="34"/>
    </row>
    <row r="476" spans="31:48" x14ac:dyDescent="0.35">
      <c r="AE476" s="48">
        <f t="shared" si="41"/>
        <v>0</v>
      </c>
      <c r="AH476" s="37">
        <f t="shared" si="43"/>
        <v>0</v>
      </c>
      <c r="AJ476" s="34"/>
      <c r="AK476" s="34"/>
      <c r="AU476" s="34"/>
      <c r="AV476" s="34"/>
    </row>
    <row r="477" spans="31:48" x14ac:dyDescent="0.35">
      <c r="AE477" s="48">
        <f t="shared" si="41"/>
        <v>0</v>
      </c>
      <c r="AH477" s="37">
        <f t="shared" si="43"/>
        <v>0</v>
      </c>
      <c r="AJ477" s="34"/>
      <c r="AK477" s="34"/>
      <c r="AU477" s="34"/>
      <c r="AV477" s="34"/>
    </row>
    <row r="478" spans="31:48" x14ac:dyDescent="0.35">
      <c r="AE478" s="48">
        <f t="shared" si="41"/>
        <v>0</v>
      </c>
      <c r="AH478" s="37">
        <f t="shared" si="43"/>
        <v>0</v>
      </c>
      <c r="AJ478" s="34"/>
      <c r="AK478" s="34"/>
      <c r="AU478" s="34"/>
      <c r="AV478" s="34"/>
    </row>
    <row r="479" spans="31:48" x14ac:dyDescent="0.35">
      <c r="AE479" s="48">
        <f t="shared" si="41"/>
        <v>0</v>
      </c>
      <c r="AH479" s="37">
        <f t="shared" si="43"/>
        <v>0</v>
      </c>
      <c r="AJ479" s="34"/>
      <c r="AK479" s="34"/>
      <c r="AU479" s="34"/>
      <c r="AV479" s="34"/>
    </row>
    <row r="480" spans="31:48" x14ac:dyDescent="0.35">
      <c r="AE480" s="48">
        <f t="shared" si="41"/>
        <v>0</v>
      </c>
      <c r="AH480" s="37">
        <f t="shared" si="43"/>
        <v>0</v>
      </c>
      <c r="AJ480" s="34"/>
      <c r="AK480" s="34"/>
      <c r="AU480" s="34"/>
      <c r="AV480" s="34"/>
    </row>
    <row r="481" spans="31:48" x14ac:dyDescent="0.35">
      <c r="AE481" s="48">
        <f t="shared" si="41"/>
        <v>0</v>
      </c>
      <c r="AH481" s="37">
        <f t="shared" si="43"/>
        <v>0</v>
      </c>
      <c r="AJ481" s="34"/>
      <c r="AK481" s="34"/>
      <c r="AU481" s="34"/>
      <c r="AV481" s="34"/>
    </row>
    <row r="482" spans="31:48" x14ac:dyDescent="0.35">
      <c r="AE482" s="48">
        <f t="shared" si="41"/>
        <v>0</v>
      </c>
      <c r="AH482" s="37">
        <f t="shared" si="43"/>
        <v>0</v>
      </c>
      <c r="AJ482" s="34"/>
      <c r="AK482" s="34"/>
      <c r="AU482" s="34"/>
      <c r="AV482" s="34"/>
    </row>
    <row r="483" spans="31:48" x14ac:dyDescent="0.35">
      <c r="AE483" s="48">
        <f t="shared" si="41"/>
        <v>0</v>
      </c>
      <c r="AH483" s="37">
        <f t="shared" si="43"/>
        <v>0</v>
      </c>
      <c r="AJ483" s="34"/>
      <c r="AK483" s="34"/>
      <c r="AU483" s="34"/>
      <c r="AV483" s="34"/>
    </row>
    <row r="484" spans="31:48" x14ac:dyDescent="0.35">
      <c r="AH484" s="37">
        <f t="shared" si="43"/>
        <v>0</v>
      </c>
      <c r="AJ484" s="34"/>
      <c r="AK484" s="34"/>
      <c r="AU484" s="34"/>
      <c r="AV484" s="34"/>
    </row>
    <row r="485" spans="31:48" x14ac:dyDescent="0.35">
      <c r="AH485" s="37">
        <f t="shared" si="43"/>
        <v>0</v>
      </c>
      <c r="AJ485" s="34"/>
      <c r="AK485" s="34"/>
      <c r="AU485" s="34"/>
      <c r="AV485" s="34"/>
    </row>
    <row r="486" spans="31:48" x14ac:dyDescent="0.35">
      <c r="AH486" s="37">
        <f t="shared" si="43"/>
        <v>0</v>
      </c>
      <c r="AJ486" s="34"/>
      <c r="AK486" s="34"/>
      <c r="AU486" s="34"/>
      <c r="AV486" s="34"/>
    </row>
    <row r="487" spans="31:48" x14ac:dyDescent="0.35">
      <c r="AH487" s="37">
        <f t="shared" si="43"/>
        <v>0</v>
      </c>
      <c r="AJ487" s="34"/>
      <c r="AK487" s="34"/>
      <c r="AU487" s="34"/>
      <c r="AV487" s="34"/>
    </row>
    <row r="488" spans="31:48" x14ac:dyDescent="0.35">
      <c r="AJ488" s="34"/>
      <c r="AK488" s="34"/>
      <c r="AU488" s="34"/>
      <c r="AV488" s="34"/>
    </row>
    <row r="489" spans="31:48" x14ac:dyDescent="0.35">
      <c r="AJ489" s="34"/>
      <c r="AK489" s="34"/>
      <c r="AU489" s="34"/>
      <c r="AV489" s="34"/>
    </row>
    <row r="490" spans="31:48" x14ac:dyDescent="0.35">
      <c r="AJ490" s="34"/>
      <c r="AK490" s="34"/>
      <c r="AU490" s="34"/>
      <c r="AV490" s="34"/>
    </row>
    <row r="491" spans="31:48" x14ac:dyDescent="0.35">
      <c r="AJ491" s="34"/>
      <c r="AK491" s="34"/>
      <c r="AU491" s="34"/>
      <c r="AV491" s="34"/>
    </row>
    <row r="492" spans="31:48" x14ac:dyDescent="0.35">
      <c r="AJ492" s="34"/>
      <c r="AK492" s="34"/>
      <c r="AU492" s="34"/>
      <c r="AV492" s="34"/>
    </row>
    <row r="493" spans="31:48" x14ac:dyDescent="0.35">
      <c r="AJ493" s="34"/>
      <c r="AK493" s="34"/>
      <c r="AU493" s="34"/>
      <c r="AV493" s="34"/>
    </row>
    <row r="494" spans="31:48" x14ac:dyDescent="0.35">
      <c r="AJ494" s="34"/>
      <c r="AK494" s="34"/>
      <c r="AU494" s="34"/>
      <c r="AV494" s="34"/>
    </row>
    <row r="495" spans="31:48" x14ac:dyDescent="0.35">
      <c r="AJ495" s="34"/>
      <c r="AK495" s="34"/>
      <c r="AU495" s="34"/>
      <c r="AV495" s="34"/>
    </row>
    <row r="496" spans="31:48" x14ac:dyDescent="0.35">
      <c r="AJ496" s="34"/>
      <c r="AK496" s="34"/>
      <c r="AU496" s="34"/>
      <c r="AV496" s="34"/>
    </row>
    <row r="497" spans="36:48" x14ac:dyDescent="0.35">
      <c r="AJ497" s="34"/>
      <c r="AK497" s="34"/>
      <c r="AU497" s="34"/>
      <c r="AV497" s="34"/>
    </row>
    <row r="498" spans="36:48" x14ac:dyDescent="0.35">
      <c r="AJ498" s="34"/>
      <c r="AK498" s="34"/>
      <c r="AU498" s="34"/>
      <c r="AV498" s="34"/>
    </row>
    <row r="499" spans="36:48" x14ac:dyDescent="0.35">
      <c r="AJ499" s="34"/>
      <c r="AK499" s="34"/>
      <c r="AU499" s="34"/>
      <c r="AV499" s="34"/>
    </row>
    <row r="500" spans="36:48" x14ac:dyDescent="0.35">
      <c r="AJ500" s="34"/>
      <c r="AK500" s="34"/>
      <c r="AU500" s="34"/>
      <c r="AV500" s="34"/>
    </row>
    <row r="501" spans="36:48" x14ac:dyDescent="0.35">
      <c r="AJ501" s="34"/>
      <c r="AK501" s="34"/>
      <c r="AU501" s="34"/>
      <c r="AV501" s="34"/>
    </row>
    <row r="502" spans="36:48" x14ac:dyDescent="0.35">
      <c r="AJ502" s="34"/>
      <c r="AK502" s="34"/>
      <c r="AU502" s="34"/>
      <c r="AV502" s="34"/>
    </row>
    <row r="503" spans="36:48" x14ac:dyDescent="0.35">
      <c r="AJ503" s="34"/>
      <c r="AK503" s="34"/>
      <c r="AU503" s="34"/>
      <c r="AV503" s="34"/>
    </row>
    <row r="504" spans="36:48" x14ac:dyDescent="0.35">
      <c r="AJ504" s="34"/>
      <c r="AK504" s="34"/>
      <c r="AU504" s="34"/>
      <c r="AV504" s="34"/>
    </row>
    <row r="505" spans="36:48" x14ac:dyDescent="0.35">
      <c r="AJ505" s="34"/>
      <c r="AK505" s="34"/>
      <c r="AU505" s="34"/>
      <c r="AV505" s="34"/>
    </row>
    <row r="506" spans="36:48" x14ac:dyDescent="0.35">
      <c r="AJ506" s="34"/>
      <c r="AK506" s="34"/>
      <c r="AU506" s="34"/>
      <c r="AV506" s="34"/>
    </row>
    <row r="507" spans="36:48" x14ac:dyDescent="0.35">
      <c r="AJ507" s="34"/>
      <c r="AK507" s="34"/>
      <c r="AU507" s="34"/>
      <c r="AV507" s="34"/>
    </row>
    <row r="508" spans="36:48" x14ac:dyDescent="0.35">
      <c r="AJ508" s="34"/>
      <c r="AK508" s="34"/>
      <c r="AU508" s="34"/>
      <c r="AV508" s="34"/>
    </row>
    <row r="509" spans="36:48" x14ac:dyDescent="0.35">
      <c r="AJ509" s="34"/>
      <c r="AK509" s="34"/>
      <c r="AU509" s="34"/>
      <c r="AV509" s="34"/>
    </row>
    <row r="510" spans="36:48" x14ac:dyDescent="0.35">
      <c r="AJ510" s="34"/>
      <c r="AK510" s="34"/>
      <c r="AU510" s="34"/>
      <c r="AV510" s="34"/>
    </row>
    <row r="511" spans="36:48" x14ac:dyDescent="0.35">
      <c r="AJ511" s="34"/>
      <c r="AK511" s="34"/>
      <c r="AU511" s="34"/>
      <c r="AV511" s="34"/>
    </row>
    <row r="512" spans="36:48" x14ac:dyDescent="0.35">
      <c r="AJ512" s="34"/>
      <c r="AK512" s="34"/>
      <c r="AU512" s="34"/>
      <c r="AV512" s="34"/>
    </row>
    <row r="513" spans="36:48" x14ac:dyDescent="0.35">
      <c r="AJ513" s="34"/>
      <c r="AK513" s="34"/>
      <c r="AU513" s="34"/>
      <c r="AV513" s="34"/>
    </row>
    <row r="514" spans="36:48" x14ac:dyDescent="0.35">
      <c r="AJ514" s="34"/>
      <c r="AK514" s="34"/>
      <c r="AU514" s="34"/>
      <c r="AV514" s="34"/>
    </row>
    <row r="515" spans="36:48" x14ac:dyDescent="0.35">
      <c r="AJ515" s="34"/>
      <c r="AK515" s="34"/>
      <c r="AU515" s="34"/>
      <c r="AV515" s="34"/>
    </row>
    <row r="516" spans="36:48" x14ac:dyDescent="0.35">
      <c r="AJ516" s="34"/>
      <c r="AK516" s="34"/>
      <c r="AU516" s="34"/>
      <c r="AV516" s="34"/>
    </row>
    <row r="517" spans="36:48" x14ac:dyDescent="0.35">
      <c r="AJ517" s="34"/>
      <c r="AK517" s="34"/>
      <c r="AU517" s="34"/>
      <c r="AV517" s="34"/>
    </row>
    <row r="518" spans="36:48" x14ac:dyDescent="0.35">
      <c r="AJ518" s="34"/>
      <c r="AK518" s="34"/>
      <c r="AU518" s="34"/>
      <c r="AV518" s="34"/>
    </row>
    <row r="519" spans="36:48" x14ac:dyDescent="0.35">
      <c r="AJ519" s="34"/>
      <c r="AK519" s="34"/>
      <c r="AU519" s="34"/>
      <c r="AV519" s="34"/>
    </row>
    <row r="520" spans="36:48" x14ac:dyDescent="0.35">
      <c r="AJ520" s="34"/>
      <c r="AK520" s="34"/>
      <c r="AU520" s="34"/>
      <c r="AV520" s="34"/>
    </row>
    <row r="521" spans="36:48" x14ac:dyDescent="0.35">
      <c r="AJ521" s="34"/>
      <c r="AK521" s="34"/>
      <c r="AU521" s="34"/>
      <c r="AV521" s="34"/>
    </row>
    <row r="522" spans="36:48" x14ac:dyDescent="0.35">
      <c r="AJ522" s="34"/>
      <c r="AK522" s="34"/>
      <c r="AU522" s="34"/>
      <c r="AV522" s="34"/>
    </row>
    <row r="523" spans="36:48" x14ac:dyDescent="0.35">
      <c r="AJ523" s="34"/>
      <c r="AK523" s="34"/>
      <c r="AU523" s="34"/>
      <c r="AV523" s="34"/>
    </row>
    <row r="524" spans="36:48" x14ac:dyDescent="0.35">
      <c r="AJ524" s="34"/>
      <c r="AK524" s="34"/>
      <c r="AU524" s="34"/>
      <c r="AV524" s="34"/>
    </row>
    <row r="525" spans="36:48" x14ac:dyDescent="0.35">
      <c r="AJ525" s="34"/>
      <c r="AK525" s="34"/>
      <c r="AU525" s="34"/>
      <c r="AV525" s="34"/>
    </row>
    <row r="526" spans="36:48" x14ac:dyDescent="0.35">
      <c r="AJ526" s="34"/>
      <c r="AK526" s="34"/>
      <c r="AU526" s="34"/>
      <c r="AV526" s="34"/>
    </row>
    <row r="527" spans="36:48" x14ac:dyDescent="0.35">
      <c r="AJ527" s="34"/>
      <c r="AK527" s="34"/>
      <c r="AU527" s="34"/>
      <c r="AV527" s="34"/>
    </row>
    <row r="528" spans="36:48" x14ac:dyDescent="0.35">
      <c r="AJ528" s="34"/>
      <c r="AK528" s="34"/>
      <c r="AU528" s="34"/>
      <c r="AV528" s="34"/>
    </row>
    <row r="529" spans="36:48" x14ac:dyDescent="0.35">
      <c r="AJ529" s="34"/>
      <c r="AK529" s="34"/>
      <c r="AU529" s="34"/>
      <c r="AV529" s="34"/>
    </row>
    <row r="530" spans="36:48" x14ac:dyDescent="0.35">
      <c r="AJ530" s="34"/>
      <c r="AK530" s="34"/>
      <c r="AU530" s="34"/>
      <c r="AV530" s="34"/>
    </row>
    <row r="531" spans="36:48" x14ac:dyDescent="0.35">
      <c r="AJ531" s="34"/>
      <c r="AK531" s="34"/>
      <c r="AU531" s="34"/>
      <c r="AV531" s="34"/>
    </row>
    <row r="532" spans="36:48" x14ac:dyDescent="0.35">
      <c r="AJ532" s="34"/>
      <c r="AK532" s="34"/>
      <c r="AU532" s="34"/>
      <c r="AV532" s="34"/>
    </row>
    <row r="533" spans="36:48" x14ac:dyDescent="0.35">
      <c r="AJ533" s="34"/>
      <c r="AK533" s="34"/>
      <c r="AU533" s="34"/>
      <c r="AV533" s="34"/>
    </row>
    <row r="534" spans="36:48" x14ac:dyDescent="0.35">
      <c r="AJ534" s="34"/>
      <c r="AK534" s="34"/>
      <c r="AU534" s="34"/>
      <c r="AV534" s="34"/>
    </row>
    <row r="535" spans="36:48" x14ac:dyDescent="0.35">
      <c r="AJ535" s="34"/>
      <c r="AK535" s="34"/>
      <c r="AU535" s="34"/>
      <c r="AV535" s="34"/>
    </row>
    <row r="536" spans="36:48" x14ac:dyDescent="0.35">
      <c r="AJ536" s="34"/>
      <c r="AK536" s="34"/>
      <c r="AU536" s="34"/>
      <c r="AV536" s="34"/>
    </row>
    <row r="537" spans="36:48" x14ac:dyDescent="0.35">
      <c r="AJ537" s="34"/>
      <c r="AK537" s="34"/>
      <c r="AU537" s="34"/>
      <c r="AV537" s="34"/>
    </row>
    <row r="538" spans="36:48" x14ac:dyDescent="0.35">
      <c r="AJ538" s="34"/>
      <c r="AK538" s="34"/>
      <c r="AU538" s="34"/>
      <c r="AV538" s="34"/>
    </row>
    <row r="539" spans="36:48" x14ac:dyDescent="0.35">
      <c r="AJ539" s="34"/>
      <c r="AK539" s="34"/>
      <c r="AU539" s="34"/>
      <c r="AV539" s="34"/>
    </row>
    <row r="540" spans="36:48" x14ac:dyDescent="0.35">
      <c r="AJ540" s="34"/>
      <c r="AK540" s="34"/>
      <c r="AU540" s="34"/>
      <c r="AV540" s="34"/>
    </row>
    <row r="541" spans="36:48" x14ac:dyDescent="0.35">
      <c r="AJ541" s="34"/>
      <c r="AK541" s="34"/>
      <c r="AU541" s="34"/>
      <c r="AV541" s="34"/>
    </row>
    <row r="542" spans="36:48" x14ac:dyDescent="0.35">
      <c r="AJ542" s="34"/>
      <c r="AK542" s="34"/>
      <c r="AU542" s="34"/>
      <c r="AV542" s="34"/>
    </row>
    <row r="543" spans="36:48" x14ac:dyDescent="0.35">
      <c r="AJ543" s="34"/>
      <c r="AK543" s="34"/>
      <c r="AU543" s="34"/>
      <c r="AV543" s="34"/>
    </row>
    <row r="544" spans="36:48" x14ac:dyDescent="0.35">
      <c r="AJ544" s="34"/>
      <c r="AK544" s="34"/>
      <c r="AU544" s="34"/>
      <c r="AV544" s="34"/>
    </row>
    <row r="545" spans="36:48" x14ac:dyDescent="0.35">
      <c r="AJ545" s="34"/>
      <c r="AK545" s="34"/>
      <c r="AU545" s="34"/>
      <c r="AV545" s="34"/>
    </row>
    <row r="546" spans="36:48" x14ac:dyDescent="0.35">
      <c r="AJ546" s="34"/>
      <c r="AK546" s="34"/>
      <c r="AU546" s="34"/>
      <c r="AV546" s="34"/>
    </row>
    <row r="547" spans="36:48" x14ac:dyDescent="0.35">
      <c r="AJ547" s="34"/>
      <c r="AK547" s="34"/>
      <c r="AU547" s="34"/>
      <c r="AV547" s="34"/>
    </row>
    <row r="548" spans="36:48" x14ac:dyDescent="0.35">
      <c r="AJ548" s="34"/>
      <c r="AK548" s="34"/>
      <c r="AU548" s="34"/>
      <c r="AV548" s="34"/>
    </row>
    <row r="549" spans="36:48" x14ac:dyDescent="0.35">
      <c r="AJ549" s="34"/>
      <c r="AK549" s="34"/>
      <c r="AU549" s="34"/>
      <c r="AV549" s="34"/>
    </row>
    <row r="550" spans="36:48" x14ac:dyDescent="0.35">
      <c r="AJ550" s="34"/>
      <c r="AK550" s="34"/>
      <c r="AU550" s="34"/>
      <c r="AV550" s="34"/>
    </row>
    <row r="551" spans="36:48" x14ac:dyDescent="0.35">
      <c r="AJ551" s="34"/>
      <c r="AK551" s="34"/>
      <c r="AU551" s="34"/>
      <c r="AV551" s="34"/>
    </row>
    <row r="552" spans="36:48" x14ac:dyDescent="0.35">
      <c r="AJ552" s="34"/>
      <c r="AK552" s="34"/>
      <c r="AU552" s="34"/>
      <c r="AV552" s="34"/>
    </row>
    <row r="553" spans="36:48" x14ac:dyDescent="0.35">
      <c r="AJ553" s="34"/>
      <c r="AK553" s="34"/>
      <c r="AU553" s="34"/>
      <c r="AV553" s="34"/>
    </row>
    <row r="554" spans="36:48" x14ac:dyDescent="0.35">
      <c r="AJ554" s="34"/>
      <c r="AK554" s="34"/>
      <c r="AU554" s="34"/>
      <c r="AV554" s="34"/>
    </row>
    <row r="555" spans="36:48" x14ac:dyDescent="0.35">
      <c r="AJ555" s="34"/>
      <c r="AK555" s="34"/>
      <c r="AU555" s="34"/>
      <c r="AV555" s="34"/>
    </row>
    <row r="556" spans="36:48" x14ac:dyDescent="0.35">
      <c r="AJ556" s="34"/>
      <c r="AK556" s="34"/>
      <c r="AU556" s="34"/>
      <c r="AV556" s="34"/>
    </row>
    <row r="557" spans="36:48" x14ac:dyDescent="0.35">
      <c r="AJ557" s="34"/>
      <c r="AK557" s="34"/>
      <c r="AU557" s="34"/>
      <c r="AV557" s="34"/>
    </row>
    <row r="558" spans="36:48" x14ac:dyDescent="0.35">
      <c r="AJ558" s="34"/>
      <c r="AK558" s="34"/>
      <c r="AU558" s="34"/>
      <c r="AV558" s="34"/>
    </row>
    <row r="559" spans="36:48" x14ac:dyDescent="0.35">
      <c r="AJ559" s="34"/>
      <c r="AK559" s="34"/>
      <c r="AU559" s="34"/>
      <c r="AV559" s="34"/>
    </row>
    <row r="560" spans="36:48" x14ac:dyDescent="0.35">
      <c r="AJ560" s="34"/>
      <c r="AK560" s="34"/>
      <c r="AU560" s="34"/>
      <c r="AV560" s="34"/>
    </row>
    <row r="561" spans="36:48" x14ac:dyDescent="0.35">
      <c r="AJ561" s="34"/>
      <c r="AK561" s="34"/>
      <c r="AU561" s="34"/>
      <c r="AV561" s="34"/>
    </row>
    <row r="562" spans="36:48" x14ac:dyDescent="0.35">
      <c r="AJ562" s="34"/>
      <c r="AK562" s="34"/>
      <c r="AU562" s="34"/>
      <c r="AV562" s="34"/>
    </row>
    <row r="563" spans="36:48" x14ac:dyDescent="0.35">
      <c r="AJ563" s="34"/>
      <c r="AK563" s="34"/>
      <c r="AU563" s="34"/>
      <c r="AV563" s="34"/>
    </row>
    <row r="564" spans="36:48" x14ac:dyDescent="0.35">
      <c r="AJ564" s="34"/>
      <c r="AK564" s="34"/>
      <c r="AU564" s="34"/>
      <c r="AV564" s="34"/>
    </row>
    <row r="565" spans="36:48" x14ac:dyDescent="0.35">
      <c r="AJ565" s="34"/>
      <c r="AK565" s="34"/>
      <c r="AU565" s="34"/>
      <c r="AV565" s="34"/>
    </row>
    <row r="566" spans="36:48" x14ac:dyDescent="0.35">
      <c r="AJ566" s="34"/>
      <c r="AK566" s="34"/>
      <c r="AU566" s="34"/>
      <c r="AV566" s="34"/>
    </row>
    <row r="567" spans="36:48" x14ac:dyDescent="0.35">
      <c r="AJ567" s="34"/>
      <c r="AK567" s="34"/>
      <c r="AU567" s="34"/>
      <c r="AV567" s="34"/>
    </row>
    <row r="568" spans="36:48" x14ac:dyDescent="0.35">
      <c r="AJ568" s="34"/>
      <c r="AK568" s="34"/>
      <c r="AU568" s="34"/>
      <c r="AV568" s="34"/>
    </row>
    <row r="569" spans="36:48" x14ac:dyDescent="0.35">
      <c r="AJ569" s="34"/>
      <c r="AK569" s="34"/>
      <c r="AU569" s="34"/>
      <c r="AV569" s="34"/>
    </row>
    <row r="570" spans="36:48" x14ac:dyDescent="0.35">
      <c r="AJ570" s="34"/>
      <c r="AK570" s="34"/>
      <c r="AU570" s="34"/>
      <c r="AV570" s="34"/>
    </row>
    <row r="571" spans="36:48" x14ac:dyDescent="0.35">
      <c r="AJ571" s="34"/>
      <c r="AK571" s="34"/>
      <c r="AU571" s="34"/>
      <c r="AV571" s="34"/>
    </row>
    <row r="572" spans="36:48" x14ac:dyDescent="0.35">
      <c r="AJ572" s="34"/>
      <c r="AK572" s="34"/>
      <c r="AU572" s="34"/>
      <c r="AV572" s="34"/>
    </row>
    <row r="573" spans="36:48" x14ac:dyDescent="0.35">
      <c r="AJ573" s="34"/>
      <c r="AK573" s="34"/>
      <c r="AU573" s="34"/>
      <c r="AV573" s="34"/>
    </row>
    <row r="574" spans="36:48" x14ac:dyDescent="0.35">
      <c r="AJ574" s="34"/>
      <c r="AK574" s="34"/>
      <c r="AU574" s="34"/>
      <c r="AV574" s="34"/>
    </row>
    <row r="575" spans="36:48" x14ac:dyDescent="0.35">
      <c r="AJ575" s="34"/>
      <c r="AK575" s="34"/>
      <c r="AU575" s="34"/>
      <c r="AV575" s="34"/>
    </row>
    <row r="576" spans="36:48" x14ac:dyDescent="0.35">
      <c r="AJ576" s="34"/>
      <c r="AK576" s="34"/>
      <c r="AU576" s="34"/>
      <c r="AV576" s="34"/>
    </row>
    <row r="577" spans="36:48" x14ac:dyDescent="0.35">
      <c r="AJ577" s="34"/>
      <c r="AK577" s="34"/>
      <c r="AU577" s="34"/>
      <c r="AV577" s="34"/>
    </row>
    <row r="578" spans="36:48" x14ac:dyDescent="0.35">
      <c r="AJ578" s="34"/>
      <c r="AK578" s="34"/>
      <c r="AU578" s="34"/>
      <c r="AV578" s="34"/>
    </row>
    <row r="579" spans="36:48" x14ac:dyDescent="0.35">
      <c r="AJ579" s="34"/>
      <c r="AK579" s="34"/>
      <c r="AU579" s="34"/>
      <c r="AV579" s="34"/>
    </row>
    <row r="580" spans="36:48" x14ac:dyDescent="0.35">
      <c r="AJ580" s="34"/>
      <c r="AK580" s="34"/>
      <c r="AU580" s="34"/>
      <c r="AV580" s="34"/>
    </row>
    <row r="581" spans="36:48" x14ac:dyDescent="0.35">
      <c r="AJ581" s="34"/>
      <c r="AK581" s="34"/>
      <c r="AU581" s="34"/>
      <c r="AV581" s="34"/>
    </row>
    <row r="582" spans="36:48" x14ac:dyDescent="0.35">
      <c r="AJ582" s="34"/>
      <c r="AK582" s="34"/>
      <c r="AU582" s="34"/>
      <c r="AV582" s="34"/>
    </row>
    <row r="583" spans="36:48" x14ac:dyDescent="0.35">
      <c r="AJ583" s="34"/>
      <c r="AK583" s="34"/>
      <c r="AU583" s="34"/>
      <c r="AV583" s="34"/>
    </row>
    <row r="584" spans="36:48" x14ac:dyDescent="0.35">
      <c r="AJ584" s="34"/>
      <c r="AK584" s="34"/>
      <c r="AU584" s="34"/>
      <c r="AV584" s="34"/>
    </row>
    <row r="585" spans="36:48" x14ac:dyDescent="0.35">
      <c r="AJ585" s="34"/>
      <c r="AK585" s="34"/>
      <c r="AU585" s="34"/>
      <c r="AV585" s="34"/>
    </row>
    <row r="586" spans="36:48" x14ac:dyDescent="0.35">
      <c r="AJ586" s="34"/>
      <c r="AK586" s="34"/>
      <c r="AU586" s="34"/>
      <c r="AV586" s="34"/>
    </row>
    <row r="587" spans="36:48" x14ac:dyDescent="0.35">
      <c r="AJ587" s="34"/>
      <c r="AK587" s="34"/>
      <c r="AU587" s="34"/>
      <c r="AV587" s="34"/>
    </row>
    <row r="588" spans="36:48" x14ac:dyDescent="0.35">
      <c r="AJ588" s="34"/>
      <c r="AK588" s="34"/>
      <c r="AU588" s="34"/>
      <c r="AV588" s="34"/>
    </row>
    <row r="589" spans="36:48" x14ac:dyDescent="0.35">
      <c r="AJ589" s="34"/>
      <c r="AK589" s="34"/>
      <c r="AU589" s="34"/>
      <c r="AV589" s="34"/>
    </row>
    <row r="590" spans="36:48" x14ac:dyDescent="0.35">
      <c r="AJ590" s="34"/>
      <c r="AK590" s="34"/>
      <c r="AU590" s="34"/>
      <c r="AV590" s="34"/>
    </row>
    <row r="591" spans="36:48" x14ac:dyDescent="0.35">
      <c r="AJ591" s="34"/>
      <c r="AK591" s="34"/>
      <c r="AU591" s="34"/>
      <c r="AV591" s="34"/>
    </row>
    <row r="592" spans="36:48" x14ac:dyDescent="0.35">
      <c r="AJ592" s="34"/>
      <c r="AK592" s="34"/>
      <c r="AU592" s="34"/>
      <c r="AV592" s="34"/>
    </row>
    <row r="593" spans="36:48" x14ac:dyDescent="0.35">
      <c r="AJ593" s="34"/>
      <c r="AK593" s="34"/>
      <c r="AU593" s="34"/>
      <c r="AV593" s="34"/>
    </row>
    <row r="594" spans="36:48" x14ac:dyDescent="0.35">
      <c r="AJ594" s="34"/>
      <c r="AK594" s="34"/>
      <c r="AU594" s="34"/>
      <c r="AV594" s="34"/>
    </row>
    <row r="595" spans="36:48" x14ac:dyDescent="0.35">
      <c r="AJ595" s="34"/>
      <c r="AK595" s="34"/>
      <c r="AU595" s="34"/>
      <c r="AV595" s="34"/>
    </row>
    <row r="596" spans="36:48" x14ac:dyDescent="0.35">
      <c r="AJ596" s="34"/>
      <c r="AK596" s="34"/>
      <c r="AU596" s="34"/>
      <c r="AV596" s="34"/>
    </row>
    <row r="597" spans="36:48" x14ac:dyDescent="0.35">
      <c r="AJ597" s="34"/>
      <c r="AK597" s="34"/>
      <c r="AU597" s="34"/>
      <c r="AV597" s="34"/>
    </row>
    <row r="598" spans="36:48" x14ac:dyDescent="0.35">
      <c r="AJ598" s="34"/>
      <c r="AK598" s="34"/>
      <c r="AU598" s="34"/>
      <c r="AV598" s="34"/>
    </row>
    <row r="599" spans="36:48" x14ac:dyDescent="0.35">
      <c r="AJ599" s="34"/>
      <c r="AK599" s="34"/>
      <c r="AU599" s="34"/>
      <c r="AV599" s="34"/>
    </row>
    <row r="600" spans="36:48" x14ac:dyDescent="0.35">
      <c r="AJ600" s="34"/>
      <c r="AK600" s="34"/>
      <c r="AU600" s="34"/>
      <c r="AV600" s="34"/>
    </row>
    <row r="601" spans="36:48" x14ac:dyDescent="0.35">
      <c r="AJ601" s="34"/>
      <c r="AK601" s="34"/>
      <c r="AU601" s="34"/>
      <c r="AV601" s="34"/>
    </row>
    <row r="602" spans="36:48" x14ac:dyDescent="0.35">
      <c r="AJ602" s="34"/>
      <c r="AK602" s="34"/>
      <c r="AU602" s="34"/>
      <c r="AV602" s="34"/>
    </row>
    <row r="603" spans="36:48" x14ac:dyDescent="0.35">
      <c r="AJ603" s="34"/>
      <c r="AK603" s="34"/>
      <c r="AU603" s="34"/>
      <c r="AV603" s="34"/>
    </row>
    <row r="604" spans="36:48" x14ac:dyDescent="0.35">
      <c r="AJ604" s="34"/>
      <c r="AK604" s="34"/>
      <c r="AU604" s="34"/>
      <c r="AV604" s="34"/>
    </row>
    <row r="605" spans="36:48" x14ac:dyDescent="0.35">
      <c r="AJ605" s="34"/>
      <c r="AK605" s="34"/>
      <c r="AU605" s="34"/>
      <c r="AV605" s="34"/>
    </row>
    <row r="606" spans="36:48" x14ac:dyDescent="0.35">
      <c r="AJ606" s="34"/>
      <c r="AK606" s="34"/>
      <c r="AU606" s="34"/>
      <c r="AV606" s="34"/>
    </row>
    <row r="607" spans="36:48" x14ac:dyDescent="0.35">
      <c r="AJ607" s="34"/>
      <c r="AK607" s="34"/>
      <c r="AU607" s="34"/>
      <c r="AV607" s="34"/>
    </row>
    <row r="608" spans="36:48" x14ac:dyDescent="0.35">
      <c r="AJ608" s="34"/>
      <c r="AK608" s="34"/>
      <c r="AU608" s="34"/>
      <c r="AV608" s="34"/>
    </row>
    <row r="609" spans="36:48" x14ac:dyDescent="0.35">
      <c r="AJ609" s="34"/>
      <c r="AK609" s="34"/>
      <c r="AU609" s="34"/>
      <c r="AV609" s="34"/>
    </row>
    <row r="610" spans="36:48" x14ac:dyDescent="0.35">
      <c r="AJ610" s="34"/>
      <c r="AK610" s="34"/>
      <c r="AU610" s="34"/>
      <c r="AV610" s="34"/>
    </row>
    <row r="611" spans="36:48" x14ac:dyDescent="0.35">
      <c r="AJ611" s="34"/>
      <c r="AK611" s="34"/>
      <c r="AU611" s="34"/>
      <c r="AV611" s="34"/>
    </row>
    <row r="612" spans="36:48" x14ac:dyDescent="0.35">
      <c r="AJ612" s="34"/>
      <c r="AK612" s="34"/>
      <c r="AU612" s="34"/>
      <c r="AV612" s="34"/>
    </row>
    <row r="613" spans="36:48" x14ac:dyDescent="0.35">
      <c r="AJ613" s="34"/>
      <c r="AK613" s="34"/>
      <c r="AU613" s="34"/>
      <c r="AV613" s="34"/>
    </row>
    <row r="614" spans="36:48" x14ac:dyDescent="0.35">
      <c r="AJ614" s="34"/>
      <c r="AK614" s="34"/>
      <c r="AU614" s="34"/>
      <c r="AV614" s="34"/>
    </row>
    <row r="615" spans="36:48" x14ac:dyDescent="0.35">
      <c r="AJ615" s="34"/>
      <c r="AK615" s="34"/>
      <c r="AU615" s="34"/>
      <c r="AV615" s="34"/>
    </row>
    <row r="616" spans="36:48" x14ac:dyDescent="0.35">
      <c r="AJ616" s="34"/>
      <c r="AK616" s="34"/>
      <c r="AU616" s="34"/>
      <c r="AV616" s="34"/>
    </row>
    <row r="617" spans="36:48" x14ac:dyDescent="0.35">
      <c r="AJ617" s="34"/>
      <c r="AK617" s="34"/>
      <c r="AU617" s="34"/>
      <c r="AV617" s="34"/>
    </row>
    <row r="618" spans="36:48" x14ac:dyDescent="0.35">
      <c r="AJ618" s="34"/>
      <c r="AK618" s="34"/>
      <c r="AU618" s="34"/>
      <c r="AV618" s="34"/>
    </row>
    <row r="619" spans="36:48" x14ac:dyDescent="0.35">
      <c r="AJ619" s="34"/>
      <c r="AK619" s="34"/>
      <c r="AU619" s="34"/>
      <c r="AV619" s="34"/>
    </row>
    <row r="620" spans="36:48" x14ac:dyDescent="0.35">
      <c r="AJ620" s="34"/>
      <c r="AK620" s="34"/>
      <c r="AU620" s="34"/>
      <c r="AV620" s="34"/>
    </row>
    <row r="621" spans="36:48" x14ac:dyDescent="0.35">
      <c r="AJ621" s="34"/>
      <c r="AK621" s="34"/>
      <c r="AU621" s="34"/>
      <c r="AV621" s="34"/>
    </row>
    <row r="622" spans="36:48" x14ac:dyDescent="0.35">
      <c r="AJ622" s="34"/>
      <c r="AK622" s="34"/>
      <c r="AU622" s="34"/>
      <c r="AV622" s="34"/>
    </row>
    <row r="623" spans="36:48" x14ac:dyDescent="0.35">
      <c r="AJ623" s="34"/>
      <c r="AK623" s="34"/>
      <c r="AU623" s="34"/>
      <c r="AV623" s="34"/>
    </row>
    <row r="624" spans="36:48" x14ac:dyDescent="0.35">
      <c r="AJ624" s="34"/>
      <c r="AK624" s="34"/>
      <c r="AU624" s="34"/>
      <c r="AV624" s="34"/>
    </row>
    <row r="625" spans="36:48" x14ac:dyDescent="0.35">
      <c r="AJ625" s="34"/>
      <c r="AK625" s="34"/>
      <c r="AU625" s="34"/>
      <c r="AV625" s="34"/>
    </row>
    <row r="626" spans="36:48" x14ac:dyDescent="0.35">
      <c r="AJ626" s="34"/>
      <c r="AK626" s="34"/>
      <c r="AU626" s="34"/>
      <c r="AV626" s="34"/>
    </row>
    <row r="627" spans="36:48" x14ac:dyDescent="0.35">
      <c r="AJ627" s="34"/>
      <c r="AK627" s="34"/>
      <c r="AU627" s="34"/>
      <c r="AV627" s="34"/>
    </row>
    <row r="628" spans="36:48" x14ac:dyDescent="0.35">
      <c r="AJ628" s="34"/>
      <c r="AK628" s="34"/>
      <c r="AU628" s="34"/>
      <c r="AV628" s="34"/>
    </row>
    <row r="629" spans="36:48" x14ac:dyDescent="0.35">
      <c r="AJ629" s="34"/>
      <c r="AK629" s="34"/>
      <c r="AU629" s="34"/>
      <c r="AV629" s="34"/>
    </row>
    <row r="630" spans="36:48" x14ac:dyDescent="0.35">
      <c r="AJ630" s="34"/>
      <c r="AK630" s="34"/>
      <c r="AU630" s="34"/>
      <c r="AV630" s="34"/>
    </row>
    <row r="631" spans="36:48" x14ac:dyDescent="0.35">
      <c r="AJ631" s="34"/>
      <c r="AK631" s="34"/>
      <c r="AU631" s="34"/>
      <c r="AV631" s="34"/>
    </row>
    <row r="632" spans="36:48" x14ac:dyDescent="0.35">
      <c r="AJ632" s="34"/>
      <c r="AK632" s="34"/>
      <c r="AU632" s="34"/>
      <c r="AV632" s="34"/>
    </row>
    <row r="633" spans="36:48" x14ac:dyDescent="0.35">
      <c r="AJ633" s="34"/>
      <c r="AK633" s="34"/>
      <c r="AU633" s="34"/>
      <c r="AV633" s="34"/>
    </row>
    <row r="634" spans="36:48" x14ac:dyDescent="0.35">
      <c r="AJ634" s="34"/>
      <c r="AK634" s="34"/>
      <c r="AU634" s="34"/>
      <c r="AV634" s="34"/>
    </row>
    <row r="635" spans="36:48" x14ac:dyDescent="0.35">
      <c r="AJ635" s="34"/>
      <c r="AK635" s="34"/>
      <c r="AU635" s="34"/>
      <c r="AV635" s="34"/>
    </row>
    <row r="636" spans="36:48" x14ac:dyDescent="0.35">
      <c r="AJ636" s="34"/>
      <c r="AK636" s="34"/>
      <c r="AU636" s="34"/>
      <c r="AV636" s="34"/>
    </row>
    <row r="637" spans="36:48" x14ac:dyDescent="0.35">
      <c r="AJ637" s="34"/>
      <c r="AK637" s="34"/>
      <c r="AU637" s="34"/>
      <c r="AV637" s="34"/>
    </row>
    <row r="638" spans="36:48" x14ac:dyDescent="0.35">
      <c r="AJ638" s="34"/>
      <c r="AK638" s="34"/>
      <c r="AU638" s="34"/>
      <c r="AV638" s="34"/>
    </row>
    <row r="639" spans="36:48" x14ac:dyDescent="0.35">
      <c r="AJ639" s="34"/>
      <c r="AK639" s="34"/>
      <c r="AU639" s="34"/>
      <c r="AV639" s="34"/>
    </row>
    <row r="640" spans="36:48" x14ac:dyDescent="0.35">
      <c r="AJ640" s="34"/>
      <c r="AK640" s="34"/>
      <c r="AU640" s="34"/>
      <c r="AV640" s="34"/>
    </row>
    <row r="641" spans="36:48" x14ac:dyDescent="0.35">
      <c r="AJ641" s="34"/>
      <c r="AK641" s="34"/>
      <c r="AU641" s="34"/>
      <c r="AV641" s="34"/>
    </row>
    <row r="642" spans="36:48" x14ac:dyDescent="0.35">
      <c r="AJ642" s="34"/>
      <c r="AK642" s="34"/>
      <c r="AU642" s="34"/>
      <c r="AV642" s="34"/>
    </row>
    <row r="643" spans="36:48" x14ac:dyDescent="0.35">
      <c r="AJ643" s="34"/>
      <c r="AK643" s="34"/>
      <c r="AU643" s="34"/>
      <c r="AV643" s="34"/>
    </row>
    <row r="644" spans="36:48" x14ac:dyDescent="0.35">
      <c r="AJ644" s="34"/>
      <c r="AK644" s="34"/>
      <c r="AU644" s="34"/>
      <c r="AV644" s="34"/>
    </row>
    <row r="645" spans="36:48" x14ac:dyDescent="0.35">
      <c r="AJ645" s="34"/>
      <c r="AK645" s="34"/>
      <c r="AU645" s="34"/>
      <c r="AV645" s="34"/>
    </row>
    <row r="646" spans="36:48" x14ac:dyDescent="0.35">
      <c r="AJ646" s="34"/>
      <c r="AK646" s="34"/>
      <c r="AU646" s="34"/>
      <c r="AV646" s="34"/>
    </row>
    <row r="647" spans="36:48" x14ac:dyDescent="0.35">
      <c r="AJ647" s="34"/>
      <c r="AK647" s="34"/>
      <c r="AU647" s="34"/>
      <c r="AV647" s="34"/>
    </row>
    <row r="648" spans="36:48" x14ac:dyDescent="0.35">
      <c r="AJ648" s="34"/>
      <c r="AK648" s="34"/>
      <c r="AU648" s="34"/>
      <c r="AV648" s="34"/>
    </row>
    <row r="649" spans="36:48" x14ac:dyDescent="0.35">
      <c r="AJ649" s="34"/>
      <c r="AK649" s="34"/>
      <c r="AU649" s="34"/>
      <c r="AV649" s="34"/>
    </row>
    <row r="650" spans="36:48" x14ac:dyDescent="0.35">
      <c r="AJ650" s="34"/>
      <c r="AK650" s="34"/>
      <c r="AU650" s="34"/>
      <c r="AV650" s="34"/>
    </row>
    <row r="651" spans="36:48" x14ac:dyDescent="0.35">
      <c r="AJ651" s="34"/>
      <c r="AK651" s="34"/>
      <c r="AU651" s="34"/>
      <c r="AV651" s="34"/>
    </row>
    <row r="652" spans="36:48" x14ac:dyDescent="0.35">
      <c r="AJ652" s="34"/>
      <c r="AK652" s="34"/>
      <c r="AU652" s="34"/>
      <c r="AV652" s="34"/>
    </row>
    <row r="653" spans="36:48" x14ac:dyDescent="0.35">
      <c r="AJ653" s="34"/>
      <c r="AK653" s="34"/>
      <c r="AU653" s="34"/>
      <c r="AV653" s="34"/>
    </row>
    <row r="654" spans="36:48" x14ac:dyDescent="0.35">
      <c r="AJ654" s="34"/>
      <c r="AK654" s="34"/>
      <c r="AU654" s="34"/>
      <c r="AV654" s="34"/>
    </row>
    <row r="655" spans="36:48" x14ac:dyDescent="0.35">
      <c r="AJ655" s="34"/>
      <c r="AK655" s="34"/>
      <c r="AU655" s="34"/>
      <c r="AV655" s="34"/>
    </row>
    <row r="656" spans="36:48" x14ac:dyDescent="0.35">
      <c r="AJ656" s="34"/>
      <c r="AK656" s="34"/>
      <c r="AU656" s="34"/>
      <c r="AV656" s="34"/>
    </row>
    <row r="657" spans="36:48" x14ac:dyDescent="0.35">
      <c r="AJ657" s="34"/>
      <c r="AK657" s="34"/>
      <c r="AU657" s="34"/>
      <c r="AV657" s="34"/>
    </row>
    <row r="658" spans="36:48" x14ac:dyDescent="0.35">
      <c r="AJ658" s="34"/>
      <c r="AK658" s="34"/>
      <c r="AU658" s="34"/>
      <c r="AV658" s="34"/>
    </row>
    <row r="659" spans="36:48" x14ac:dyDescent="0.35">
      <c r="AJ659" s="34"/>
      <c r="AK659" s="34"/>
      <c r="AU659" s="34"/>
      <c r="AV659" s="34"/>
    </row>
    <row r="660" spans="36:48" x14ac:dyDescent="0.35">
      <c r="AJ660" s="34"/>
      <c r="AK660" s="34"/>
      <c r="AU660" s="34"/>
      <c r="AV660" s="34"/>
    </row>
    <row r="661" spans="36:48" x14ac:dyDescent="0.35">
      <c r="AJ661" s="34"/>
      <c r="AK661" s="34"/>
      <c r="AU661" s="34"/>
      <c r="AV661" s="34"/>
    </row>
    <row r="662" spans="36:48" x14ac:dyDescent="0.35">
      <c r="AJ662" s="34"/>
      <c r="AK662" s="34"/>
      <c r="AU662" s="34"/>
      <c r="AV662" s="34"/>
    </row>
    <row r="663" spans="36:48" x14ac:dyDescent="0.35">
      <c r="AJ663" s="34"/>
      <c r="AK663" s="34"/>
      <c r="AU663" s="34"/>
      <c r="AV663" s="34"/>
    </row>
    <row r="664" spans="36:48" x14ac:dyDescent="0.35">
      <c r="AJ664" s="34"/>
      <c r="AK664" s="34"/>
      <c r="AU664" s="34"/>
      <c r="AV664" s="34"/>
    </row>
    <row r="665" spans="36:48" x14ac:dyDescent="0.35">
      <c r="AJ665" s="34"/>
      <c r="AK665" s="34"/>
      <c r="AU665" s="34"/>
      <c r="AV665" s="34"/>
    </row>
    <row r="666" spans="36:48" x14ac:dyDescent="0.35">
      <c r="AJ666" s="34"/>
      <c r="AK666" s="34"/>
      <c r="AU666" s="34"/>
      <c r="AV666" s="34"/>
    </row>
    <row r="667" spans="36:48" x14ac:dyDescent="0.35">
      <c r="AJ667" s="34"/>
      <c r="AK667" s="34"/>
      <c r="AU667" s="34"/>
      <c r="AV667" s="34"/>
    </row>
    <row r="668" spans="36:48" x14ac:dyDescent="0.35">
      <c r="AJ668" s="34"/>
      <c r="AK668" s="34"/>
      <c r="AU668" s="34"/>
      <c r="AV668" s="34"/>
    </row>
    <row r="669" spans="36:48" x14ac:dyDescent="0.35">
      <c r="AJ669" s="34"/>
      <c r="AK669" s="34"/>
      <c r="AU669" s="34"/>
      <c r="AV669" s="34"/>
    </row>
    <row r="670" spans="36:48" x14ac:dyDescent="0.35">
      <c r="AJ670" s="34"/>
      <c r="AK670" s="34"/>
      <c r="AU670" s="34"/>
      <c r="AV670" s="34"/>
    </row>
    <row r="671" spans="36:48" x14ac:dyDescent="0.35">
      <c r="AJ671" s="34"/>
      <c r="AK671" s="34"/>
      <c r="AU671" s="34"/>
      <c r="AV671" s="34"/>
    </row>
    <row r="672" spans="36:48" x14ac:dyDescent="0.35">
      <c r="AJ672" s="34"/>
      <c r="AK672" s="34"/>
      <c r="AU672" s="34"/>
      <c r="AV672" s="34"/>
    </row>
    <row r="673" spans="36:48" x14ac:dyDescent="0.35">
      <c r="AJ673" s="34"/>
      <c r="AK673" s="34"/>
      <c r="AU673" s="34"/>
      <c r="AV673" s="34"/>
    </row>
    <row r="674" spans="36:48" x14ac:dyDescent="0.35">
      <c r="AJ674" s="34"/>
      <c r="AK674" s="34"/>
      <c r="AU674" s="34"/>
      <c r="AV674" s="34"/>
    </row>
    <row r="675" spans="36:48" x14ac:dyDescent="0.35">
      <c r="AJ675" s="34"/>
      <c r="AK675" s="34"/>
      <c r="AU675" s="34"/>
      <c r="AV675" s="34"/>
    </row>
    <row r="676" spans="36:48" x14ac:dyDescent="0.35">
      <c r="AJ676" s="34"/>
      <c r="AK676" s="34"/>
      <c r="AU676" s="34"/>
      <c r="AV676" s="34"/>
    </row>
    <row r="677" spans="36:48" x14ac:dyDescent="0.35">
      <c r="AJ677" s="34"/>
      <c r="AK677" s="34"/>
      <c r="AU677" s="34"/>
      <c r="AV677" s="34"/>
    </row>
    <row r="678" spans="36:48" x14ac:dyDescent="0.35">
      <c r="AJ678" s="34"/>
      <c r="AK678" s="34"/>
      <c r="AU678" s="34"/>
      <c r="AV678" s="34"/>
    </row>
    <row r="679" spans="36:48" x14ac:dyDescent="0.35">
      <c r="AJ679" s="34"/>
      <c r="AK679" s="34"/>
      <c r="AU679" s="34"/>
      <c r="AV679" s="34"/>
    </row>
    <row r="680" spans="36:48" x14ac:dyDescent="0.35">
      <c r="AJ680" s="34"/>
      <c r="AK680" s="34"/>
      <c r="AU680" s="34"/>
      <c r="AV680" s="34"/>
    </row>
    <row r="681" spans="36:48" x14ac:dyDescent="0.35">
      <c r="AJ681" s="34"/>
      <c r="AK681" s="34"/>
      <c r="AU681" s="34"/>
      <c r="AV681" s="34"/>
    </row>
    <row r="682" spans="36:48" x14ac:dyDescent="0.35">
      <c r="AJ682" s="34"/>
      <c r="AK682" s="34"/>
      <c r="AU682" s="34"/>
      <c r="AV682" s="34"/>
    </row>
    <row r="683" spans="36:48" x14ac:dyDescent="0.35">
      <c r="AJ683" s="34"/>
      <c r="AK683" s="34"/>
      <c r="AU683" s="34"/>
      <c r="AV683" s="34"/>
    </row>
    <row r="684" spans="36:48" x14ac:dyDescent="0.35">
      <c r="AJ684" s="34"/>
      <c r="AK684" s="34"/>
      <c r="AU684" s="34"/>
      <c r="AV684" s="34"/>
    </row>
    <row r="685" spans="36:48" x14ac:dyDescent="0.35">
      <c r="AJ685" s="34"/>
      <c r="AK685" s="34"/>
      <c r="AU685" s="34"/>
      <c r="AV685" s="34"/>
    </row>
    <row r="686" spans="36:48" x14ac:dyDescent="0.35">
      <c r="AJ686" s="34"/>
      <c r="AK686" s="34"/>
      <c r="AU686" s="34"/>
      <c r="AV686" s="34"/>
    </row>
    <row r="687" spans="36:48" x14ac:dyDescent="0.35">
      <c r="AJ687" s="34"/>
      <c r="AK687" s="34"/>
      <c r="AU687" s="34"/>
      <c r="AV687" s="34"/>
    </row>
    <row r="688" spans="36:48" x14ac:dyDescent="0.35">
      <c r="AJ688" s="34"/>
      <c r="AK688" s="34"/>
      <c r="AU688" s="34"/>
      <c r="AV688" s="34"/>
    </row>
    <row r="689" spans="36:48" x14ac:dyDescent="0.35">
      <c r="AJ689" s="34"/>
      <c r="AK689" s="34"/>
      <c r="AU689" s="34"/>
      <c r="AV689" s="34"/>
    </row>
    <row r="690" spans="36:48" x14ac:dyDescent="0.35">
      <c r="AJ690" s="34"/>
      <c r="AK690" s="34"/>
      <c r="AU690" s="34"/>
      <c r="AV690" s="34"/>
    </row>
    <row r="691" spans="36:48" x14ac:dyDescent="0.35">
      <c r="AJ691" s="34"/>
      <c r="AK691" s="34"/>
      <c r="AU691" s="34"/>
      <c r="AV691" s="34"/>
    </row>
    <row r="692" spans="36:48" x14ac:dyDescent="0.35">
      <c r="AJ692" s="34"/>
      <c r="AK692" s="34"/>
      <c r="AU692" s="34"/>
      <c r="AV692" s="34"/>
    </row>
    <row r="693" spans="36:48" x14ac:dyDescent="0.35">
      <c r="AJ693" s="34"/>
      <c r="AK693" s="34"/>
      <c r="AU693" s="34"/>
      <c r="AV693" s="34"/>
    </row>
    <row r="694" spans="36:48" x14ac:dyDescent="0.35">
      <c r="AJ694" s="34"/>
      <c r="AK694" s="34"/>
      <c r="AU694" s="34"/>
      <c r="AV694" s="34"/>
    </row>
    <row r="695" spans="36:48" x14ac:dyDescent="0.35">
      <c r="AJ695" s="34"/>
      <c r="AK695" s="34"/>
      <c r="AU695" s="34"/>
      <c r="AV695" s="34"/>
    </row>
    <row r="696" spans="36:48" x14ac:dyDescent="0.35">
      <c r="AJ696" s="34"/>
      <c r="AK696" s="34"/>
      <c r="AU696" s="34"/>
      <c r="AV696" s="34"/>
    </row>
    <row r="697" spans="36:48" x14ac:dyDescent="0.35">
      <c r="AJ697" s="34"/>
      <c r="AK697" s="34"/>
      <c r="AU697" s="34"/>
      <c r="AV697" s="34"/>
    </row>
    <row r="698" spans="36:48" x14ac:dyDescent="0.35">
      <c r="AJ698" s="34"/>
      <c r="AK698" s="34"/>
      <c r="AU698" s="34"/>
      <c r="AV698" s="34"/>
    </row>
    <row r="699" spans="36:48" x14ac:dyDescent="0.35">
      <c r="AJ699" s="34"/>
      <c r="AK699" s="34"/>
      <c r="AU699" s="34"/>
      <c r="AV699" s="34"/>
    </row>
    <row r="700" spans="36:48" x14ac:dyDescent="0.35">
      <c r="AJ700" s="34"/>
      <c r="AK700" s="34"/>
      <c r="AU700" s="34"/>
      <c r="AV700" s="34"/>
    </row>
    <row r="701" spans="36:48" x14ac:dyDescent="0.35">
      <c r="AJ701" s="34"/>
      <c r="AK701" s="34"/>
      <c r="AU701" s="34"/>
      <c r="AV701" s="34"/>
    </row>
    <row r="702" spans="36:48" x14ac:dyDescent="0.35">
      <c r="AJ702" s="34"/>
      <c r="AK702" s="34"/>
      <c r="AU702" s="34"/>
      <c r="AV702" s="34"/>
    </row>
    <row r="703" spans="36:48" x14ac:dyDescent="0.35">
      <c r="AJ703" s="34"/>
      <c r="AK703" s="34"/>
      <c r="AU703" s="34"/>
      <c r="AV703" s="34"/>
    </row>
    <row r="704" spans="36:48" x14ac:dyDescent="0.35">
      <c r="AJ704" s="34"/>
      <c r="AK704" s="34"/>
      <c r="AU704" s="34"/>
      <c r="AV704" s="34"/>
    </row>
    <row r="705" spans="36:48" x14ac:dyDescent="0.35">
      <c r="AJ705" s="34"/>
      <c r="AK705" s="34"/>
      <c r="AU705" s="34"/>
      <c r="AV705" s="34"/>
    </row>
    <row r="706" spans="36:48" x14ac:dyDescent="0.35">
      <c r="AJ706" s="34"/>
      <c r="AK706" s="34"/>
      <c r="AU706" s="34"/>
      <c r="AV706" s="34"/>
    </row>
    <row r="707" spans="36:48" x14ac:dyDescent="0.35">
      <c r="AJ707" s="34"/>
      <c r="AK707" s="34"/>
      <c r="AU707" s="34"/>
      <c r="AV707" s="34"/>
    </row>
    <row r="708" spans="36:48" x14ac:dyDescent="0.35">
      <c r="AJ708" s="34"/>
      <c r="AK708" s="34"/>
      <c r="AU708" s="34"/>
      <c r="AV708" s="34"/>
    </row>
    <row r="709" spans="36:48" x14ac:dyDescent="0.35">
      <c r="AJ709" s="34"/>
      <c r="AK709" s="34"/>
      <c r="AU709" s="34"/>
      <c r="AV709" s="34"/>
    </row>
    <row r="710" spans="36:48" x14ac:dyDescent="0.35">
      <c r="AJ710" s="34"/>
      <c r="AK710" s="34"/>
      <c r="AU710" s="34"/>
      <c r="AV710" s="34"/>
    </row>
    <row r="711" spans="36:48" x14ac:dyDescent="0.35">
      <c r="AJ711" s="34"/>
      <c r="AK711" s="34"/>
      <c r="AU711" s="34"/>
      <c r="AV711" s="34"/>
    </row>
    <row r="712" spans="36:48" x14ac:dyDescent="0.35">
      <c r="AJ712" s="34"/>
      <c r="AK712" s="34"/>
      <c r="AU712" s="34"/>
      <c r="AV712" s="34"/>
    </row>
    <row r="713" spans="36:48" x14ac:dyDescent="0.35">
      <c r="AJ713" s="34"/>
      <c r="AK713" s="34"/>
      <c r="AU713" s="34"/>
      <c r="AV713" s="34"/>
    </row>
    <row r="714" spans="36:48" x14ac:dyDescent="0.35">
      <c r="AJ714" s="34"/>
      <c r="AK714" s="34"/>
      <c r="AU714" s="34"/>
      <c r="AV714" s="34"/>
    </row>
    <row r="715" spans="36:48" x14ac:dyDescent="0.35">
      <c r="AJ715" s="34"/>
      <c r="AK715" s="34"/>
      <c r="AU715" s="34"/>
      <c r="AV715" s="34"/>
    </row>
    <row r="716" spans="36:48" x14ac:dyDescent="0.35">
      <c r="AJ716" s="34"/>
      <c r="AK716" s="34"/>
      <c r="AU716" s="34"/>
      <c r="AV716" s="34"/>
    </row>
    <row r="717" spans="36:48" x14ac:dyDescent="0.35">
      <c r="AJ717" s="34"/>
      <c r="AK717" s="34"/>
      <c r="AU717" s="34"/>
      <c r="AV717" s="34"/>
    </row>
    <row r="718" spans="36:48" x14ac:dyDescent="0.35">
      <c r="AJ718" s="34"/>
      <c r="AK718" s="34"/>
      <c r="AU718" s="34"/>
      <c r="AV718" s="34"/>
    </row>
    <row r="719" spans="36:48" x14ac:dyDescent="0.35">
      <c r="AJ719" s="34"/>
      <c r="AK719" s="34"/>
      <c r="AU719" s="34"/>
      <c r="AV719" s="34"/>
    </row>
    <row r="720" spans="36:48" x14ac:dyDescent="0.35">
      <c r="AJ720" s="34"/>
      <c r="AK720" s="34"/>
      <c r="AU720" s="34"/>
      <c r="AV720" s="34"/>
    </row>
    <row r="721" spans="36:48" x14ac:dyDescent="0.35">
      <c r="AJ721" s="34"/>
      <c r="AK721" s="34"/>
      <c r="AU721" s="34"/>
      <c r="AV721" s="34"/>
    </row>
    <row r="722" spans="36:48" x14ac:dyDescent="0.35">
      <c r="AJ722" s="34"/>
      <c r="AK722" s="34"/>
      <c r="AU722" s="34"/>
      <c r="AV722" s="34"/>
    </row>
    <row r="723" spans="36:48" x14ac:dyDescent="0.35">
      <c r="AJ723" s="34"/>
      <c r="AK723" s="34"/>
      <c r="AU723" s="34"/>
      <c r="AV723" s="34"/>
    </row>
    <row r="724" spans="36:48" x14ac:dyDescent="0.35">
      <c r="AJ724" s="34"/>
      <c r="AK724" s="34"/>
      <c r="AU724" s="34"/>
      <c r="AV724" s="34"/>
    </row>
    <row r="725" spans="36:48" x14ac:dyDescent="0.35">
      <c r="AJ725" s="34"/>
      <c r="AK725" s="34"/>
      <c r="AU725" s="34"/>
      <c r="AV725" s="34"/>
    </row>
    <row r="726" spans="36:48" x14ac:dyDescent="0.35">
      <c r="AJ726" s="34"/>
      <c r="AK726" s="34"/>
      <c r="AU726" s="34"/>
      <c r="AV726" s="34"/>
    </row>
    <row r="727" spans="36:48" x14ac:dyDescent="0.35">
      <c r="AJ727" s="34"/>
      <c r="AK727" s="34"/>
      <c r="AU727" s="34"/>
      <c r="AV727" s="34"/>
    </row>
    <row r="728" spans="36:48" x14ac:dyDescent="0.35">
      <c r="AJ728" s="34"/>
      <c r="AK728" s="34"/>
      <c r="AU728" s="34"/>
      <c r="AV728" s="34"/>
    </row>
    <row r="729" spans="36:48" x14ac:dyDescent="0.35">
      <c r="AJ729" s="34"/>
      <c r="AK729" s="34"/>
      <c r="AU729" s="34"/>
      <c r="AV729" s="34"/>
    </row>
    <row r="730" spans="36:48" x14ac:dyDescent="0.35">
      <c r="AJ730" s="34"/>
      <c r="AK730" s="34"/>
      <c r="AU730" s="34"/>
      <c r="AV730" s="34"/>
    </row>
    <row r="731" spans="36:48" x14ac:dyDescent="0.35">
      <c r="AJ731" s="34"/>
      <c r="AK731" s="34"/>
      <c r="AU731" s="34"/>
      <c r="AV731" s="34"/>
    </row>
    <row r="732" spans="36:48" x14ac:dyDescent="0.35">
      <c r="AJ732" s="34"/>
      <c r="AK732" s="34"/>
      <c r="AU732" s="34"/>
      <c r="AV732" s="34"/>
    </row>
    <row r="733" spans="36:48" x14ac:dyDescent="0.35">
      <c r="AJ733" s="34"/>
      <c r="AK733" s="34"/>
      <c r="AU733" s="34"/>
      <c r="AV733" s="34"/>
    </row>
    <row r="734" spans="36:48" x14ac:dyDescent="0.35">
      <c r="AJ734" s="34"/>
      <c r="AK734" s="34"/>
      <c r="AU734" s="34"/>
      <c r="AV734" s="34"/>
    </row>
    <row r="735" spans="36:48" x14ac:dyDescent="0.35">
      <c r="AJ735" s="34"/>
      <c r="AK735" s="34"/>
      <c r="AU735" s="34"/>
      <c r="AV735" s="34"/>
    </row>
    <row r="736" spans="36:48" x14ac:dyDescent="0.35">
      <c r="AJ736" s="34"/>
      <c r="AK736" s="34"/>
      <c r="AU736" s="34"/>
      <c r="AV736" s="34"/>
    </row>
    <row r="737" spans="36:48" x14ac:dyDescent="0.35">
      <c r="AJ737" s="34"/>
      <c r="AK737" s="34"/>
      <c r="AU737" s="34"/>
      <c r="AV737" s="34"/>
    </row>
    <row r="738" spans="36:48" x14ac:dyDescent="0.35">
      <c r="AJ738" s="34"/>
      <c r="AK738" s="34"/>
      <c r="AU738" s="34"/>
      <c r="AV738" s="34"/>
    </row>
    <row r="739" spans="36:48" x14ac:dyDescent="0.35">
      <c r="AJ739" s="34"/>
      <c r="AK739" s="34"/>
      <c r="AU739" s="34"/>
      <c r="AV739" s="34"/>
    </row>
    <row r="740" spans="36:48" x14ac:dyDescent="0.35">
      <c r="AJ740" s="34"/>
      <c r="AK740" s="34"/>
      <c r="AU740" s="34"/>
      <c r="AV740" s="34"/>
    </row>
    <row r="741" spans="36:48" x14ac:dyDescent="0.35">
      <c r="AJ741" s="34"/>
      <c r="AK741" s="34"/>
      <c r="AU741" s="34"/>
      <c r="AV741" s="34"/>
    </row>
    <row r="742" spans="36:48" x14ac:dyDescent="0.35">
      <c r="AJ742" s="34"/>
      <c r="AK742" s="34"/>
      <c r="AU742" s="34"/>
      <c r="AV742" s="34"/>
    </row>
    <row r="743" spans="36:48" x14ac:dyDescent="0.35">
      <c r="AJ743" s="34"/>
      <c r="AK743" s="34"/>
      <c r="AU743" s="34"/>
      <c r="AV743" s="34"/>
    </row>
    <row r="744" spans="36:48" x14ac:dyDescent="0.35">
      <c r="AJ744" s="34"/>
      <c r="AK744" s="34"/>
      <c r="AU744" s="34"/>
      <c r="AV744" s="34"/>
    </row>
    <row r="745" spans="36:48" x14ac:dyDescent="0.35">
      <c r="AJ745" s="34"/>
      <c r="AK745" s="34"/>
      <c r="AU745" s="34"/>
      <c r="AV745" s="34"/>
    </row>
    <row r="746" spans="36:48" x14ac:dyDescent="0.35">
      <c r="AJ746" s="34"/>
      <c r="AK746" s="34"/>
      <c r="AU746" s="34"/>
      <c r="AV746" s="34"/>
    </row>
    <row r="747" spans="36:48" x14ac:dyDescent="0.35">
      <c r="AJ747" s="34"/>
      <c r="AK747" s="34"/>
      <c r="AU747" s="34"/>
      <c r="AV747" s="34"/>
    </row>
    <row r="748" spans="36:48" x14ac:dyDescent="0.35">
      <c r="AJ748" s="34"/>
      <c r="AK748" s="34"/>
      <c r="AU748" s="34"/>
      <c r="AV748" s="34"/>
    </row>
    <row r="749" spans="36:48" x14ac:dyDescent="0.35">
      <c r="AJ749" s="34"/>
      <c r="AK749" s="34"/>
      <c r="AU749" s="34"/>
      <c r="AV749" s="34"/>
    </row>
    <row r="750" spans="36:48" x14ac:dyDescent="0.35">
      <c r="AJ750" s="34"/>
      <c r="AK750" s="34"/>
      <c r="AU750" s="34"/>
      <c r="AV750" s="34"/>
    </row>
    <row r="751" spans="36:48" x14ac:dyDescent="0.35">
      <c r="AJ751" s="34"/>
      <c r="AK751" s="34"/>
      <c r="AU751" s="34"/>
      <c r="AV751" s="34"/>
    </row>
    <row r="752" spans="36:48" x14ac:dyDescent="0.35">
      <c r="AJ752" s="34"/>
      <c r="AK752" s="34"/>
      <c r="AU752" s="34"/>
      <c r="AV752" s="34"/>
    </row>
    <row r="753" spans="36:48" x14ac:dyDescent="0.35">
      <c r="AJ753" s="34"/>
      <c r="AK753" s="34"/>
      <c r="AU753" s="34"/>
      <c r="AV753" s="34"/>
    </row>
    <row r="754" spans="36:48" x14ac:dyDescent="0.35">
      <c r="AJ754" s="34"/>
      <c r="AK754" s="34"/>
      <c r="AU754" s="34"/>
      <c r="AV754" s="34"/>
    </row>
    <row r="755" spans="36:48" x14ac:dyDescent="0.35">
      <c r="AJ755" s="34"/>
      <c r="AK755" s="34"/>
      <c r="AU755" s="34"/>
      <c r="AV755" s="34"/>
    </row>
    <row r="756" spans="36:48" x14ac:dyDescent="0.35">
      <c r="AJ756" s="34"/>
      <c r="AK756" s="34"/>
      <c r="AU756" s="34"/>
      <c r="AV756" s="34"/>
    </row>
    <row r="757" spans="36:48" x14ac:dyDescent="0.35">
      <c r="AJ757" s="34"/>
      <c r="AK757" s="34"/>
      <c r="AU757" s="34"/>
      <c r="AV757" s="34"/>
    </row>
    <row r="758" spans="36:48" x14ac:dyDescent="0.35">
      <c r="AJ758" s="34"/>
      <c r="AK758" s="34"/>
      <c r="AU758" s="34"/>
      <c r="AV758" s="34"/>
    </row>
    <row r="759" spans="36:48" x14ac:dyDescent="0.35">
      <c r="AJ759" s="34"/>
      <c r="AK759" s="34"/>
      <c r="AU759" s="34"/>
      <c r="AV759" s="34"/>
    </row>
    <row r="760" spans="36:48" x14ac:dyDescent="0.35">
      <c r="AJ760" s="34"/>
      <c r="AK760" s="34"/>
      <c r="AU760" s="34"/>
      <c r="AV760" s="34"/>
    </row>
    <row r="761" spans="36:48" x14ac:dyDescent="0.35">
      <c r="AJ761" s="34"/>
      <c r="AK761" s="34"/>
      <c r="AU761" s="34"/>
      <c r="AV761" s="34"/>
    </row>
    <row r="762" spans="36:48" x14ac:dyDescent="0.35">
      <c r="AJ762" s="34"/>
      <c r="AK762" s="34"/>
      <c r="AU762" s="34"/>
      <c r="AV762" s="34"/>
    </row>
    <row r="763" spans="36:48" x14ac:dyDescent="0.35">
      <c r="AJ763" s="34"/>
      <c r="AK763" s="34"/>
      <c r="AU763" s="34"/>
      <c r="AV763" s="34"/>
    </row>
    <row r="764" spans="36:48" x14ac:dyDescent="0.35">
      <c r="AJ764" s="34"/>
      <c r="AK764" s="34"/>
      <c r="AU764" s="34"/>
      <c r="AV764" s="34"/>
    </row>
    <row r="765" spans="36:48" x14ac:dyDescent="0.35">
      <c r="AJ765" s="34"/>
      <c r="AK765" s="34"/>
      <c r="AU765" s="34"/>
      <c r="AV765" s="34"/>
    </row>
    <row r="766" spans="36:48" x14ac:dyDescent="0.35">
      <c r="AJ766" s="34"/>
      <c r="AK766" s="34"/>
      <c r="AU766" s="34"/>
      <c r="AV766" s="34"/>
    </row>
    <row r="767" spans="36:48" x14ac:dyDescent="0.35">
      <c r="AJ767" s="34"/>
      <c r="AK767" s="34"/>
      <c r="AU767" s="34"/>
      <c r="AV767" s="34"/>
    </row>
    <row r="768" spans="36:48" x14ac:dyDescent="0.35">
      <c r="AJ768" s="34"/>
      <c r="AK768" s="34"/>
      <c r="AU768" s="34"/>
      <c r="AV768" s="34"/>
    </row>
    <row r="769" spans="36:48" x14ac:dyDescent="0.35">
      <c r="AJ769" s="34"/>
      <c r="AK769" s="34"/>
      <c r="AU769" s="34"/>
      <c r="AV769" s="34"/>
    </row>
    <row r="770" spans="36:48" x14ac:dyDescent="0.35">
      <c r="AJ770" s="34"/>
      <c r="AK770" s="34"/>
      <c r="AU770" s="34"/>
      <c r="AV770" s="34"/>
    </row>
    <row r="771" spans="36:48" x14ac:dyDescent="0.35">
      <c r="AJ771" s="34"/>
      <c r="AK771" s="34"/>
      <c r="AU771" s="34"/>
      <c r="AV771" s="34"/>
    </row>
    <row r="772" spans="36:48" x14ac:dyDescent="0.35">
      <c r="AJ772" s="34"/>
      <c r="AK772" s="34"/>
      <c r="AU772" s="34"/>
      <c r="AV772" s="34"/>
    </row>
    <row r="773" spans="36:48" x14ac:dyDescent="0.35">
      <c r="AJ773" s="34"/>
      <c r="AK773" s="34"/>
      <c r="AU773" s="34"/>
      <c r="AV773" s="34"/>
    </row>
    <row r="774" spans="36:48" x14ac:dyDescent="0.35">
      <c r="AJ774" s="34"/>
      <c r="AK774" s="34"/>
      <c r="AU774" s="34"/>
      <c r="AV774" s="34"/>
    </row>
  </sheetData>
  <autoFilter ref="V4:BU4" xr:uid="{F679762A-47DC-4E46-BA92-6E91B14CCD94}"/>
  <mergeCells count="16">
    <mergeCell ref="K8:K9"/>
    <mergeCell ref="B3:L4"/>
    <mergeCell ref="B5:L5"/>
    <mergeCell ref="B6:B9"/>
    <mergeCell ref="C6:F6"/>
    <mergeCell ref="G6:G9"/>
    <mergeCell ref="H6:I6"/>
    <mergeCell ref="J6:K7"/>
    <mergeCell ref="L6:L9"/>
    <mergeCell ref="C7:C9"/>
    <mergeCell ref="D7:D9"/>
    <mergeCell ref="E7:E9"/>
    <mergeCell ref="F7:F9"/>
    <mergeCell ref="H7:H9"/>
    <mergeCell ref="I7:I9"/>
    <mergeCell ref="J8:J9"/>
  </mergeCells>
  <conditionalFormatting sqref="W5:W99">
    <cfRule type="duplicateValues" dxfId="82" priority="186"/>
  </conditionalFormatting>
  <conditionalFormatting sqref="W100:W162">
    <cfRule type="duplicateValues" dxfId="81" priority="15"/>
  </conditionalFormatting>
  <conditionalFormatting sqref="W163:W193">
    <cfRule type="duplicateValues" dxfId="80" priority="19"/>
  </conditionalFormatting>
  <conditionalFormatting sqref="W194:W243">
    <cfRule type="duplicateValues" dxfId="79" priority="18"/>
  </conditionalFormatting>
  <conditionalFormatting sqref="W244:W300">
    <cfRule type="duplicateValues" dxfId="78" priority="14"/>
  </conditionalFormatting>
  <conditionalFormatting sqref="W301:W347">
    <cfRule type="duplicateValues" dxfId="77" priority="17"/>
  </conditionalFormatting>
  <conditionalFormatting sqref="W348:W396">
    <cfRule type="duplicateValues" dxfId="76" priority="21"/>
  </conditionalFormatting>
  <conditionalFormatting sqref="W397:W454">
    <cfRule type="duplicateValues" dxfId="75" priority="20"/>
  </conditionalFormatting>
  <conditionalFormatting sqref="W455">
    <cfRule type="duplicateValues" dxfId="74" priority="22"/>
  </conditionalFormatting>
  <conditionalFormatting sqref="W456:W1048576 W1:W4">
    <cfRule type="duplicateValues" dxfId="73" priority="23"/>
  </conditionalFormatting>
  <conditionalFormatting sqref="AK14 AK254 AK193:AK196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93:AK196 AK28:AK38 AK14 AK1:AK4 AK61:AK106 AK254:AK1048576">
    <cfRule type="duplicateValues" dxfId="72" priority="24"/>
  </conditionalFormatting>
  <conditionalFormatting sqref="AK303:AK330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1048576 AK14 AK1:AK4 AK193:AK196 AK254">
    <cfRule type="duplicateValues" dxfId="71" priority="60"/>
  </conditionalFormatting>
  <conditionalFormatting sqref="AK331:AK397 AK407:AK680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K402">
    <cfRule type="duplicateValues" dxfId="70" priority="53"/>
  </conditionalFormatting>
  <conditionalFormatting sqref="AK681:AK77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L402">
    <cfRule type="expression" dxfId="69" priority="51">
      <formula>MOD(ROW(),2)=0</formula>
    </cfRule>
  </conditionalFormatting>
  <conditionalFormatting sqref="AN16">
    <cfRule type="duplicateValues" dxfId="68" priority="54"/>
  </conditionalFormatting>
  <conditionalFormatting sqref="AP5:AP6 AP9:AP15">
    <cfRule type="duplicateValues" dxfId="67" priority="63"/>
  </conditionalFormatting>
  <conditionalFormatting sqref="AP68:AP142 AP5:AP6 AP17:AP21 AP23:AP63 AP65:AP66 AP145:AP147 AP254:AP330 AP237:AP251 AP9:AP15 AP149:AP229">
    <cfRule type="duplicateValues" dxfId="66" priority="62"/>
  </conditionalFormatting>
  <conditionalFormatting sqref="AP331:AP397">
    <cfRule type="duplicateValues" dxfId="65" priority="55"/>
  </conditionalFormatting>
  <conditionalFormatting sqref="AP398:AP402">
    <cfRule type="expression" dxfId="64" priority="52">
      <formula>MOD(ROW(),2)=0</formula>
    </cfRule>
  </conditionalFormatting>
  <conditionalFormatting sqref="AV193:AV196 AV28:AV38 AV14 AV1:AV4 AV61:AV106 AV254:AV1048576">
    <cfRule type="duplicateValues" dxfId="63" priority="1"/>
  </conditionalFormatting>
  <conditionalFormatting sqref="AV254 AV14 AV193:AV19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3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1048576 AV14 AV1:AV4 AV193:AV196 AV254">
    <cfRule type="duplicateValues" dxfId="62" priority="10"/>
  </conditionalFormatting>
  <conditionalFormatting sqref="AV331:AV397 AV407:AV68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V402">
    <cfRule type="duplicateValues" dxfId="61" priority="4"/>
  </conditionalFormatting>
  <conditionalFormatting sqref="AV681:AV77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W402">
    <cfRule type="expression" dxfId="60" priority="2">
      <formula>MOD(ROW(),2)=0</formula>
    </cfRule>
  </conditionalFormatting>
  <conditionalFormatting sqref="AY16">
    <cfRule type="duplicateValues" dxfId="59" priority="5"/>
  </conditionalFormatting>
  <conditionalFormatting sqref="BA5:BA6 BA9:BA15">
    <cfRule type="duplicateValues" dxfId="58" priority="13"/>
  </conditionalFormatting>
  <conditionalFormatting sqref="BA68:BA142 BA5:BA6 BA17:BA21 BA23:BA63 BA65:BA66 BA145:BA147 BA254:BA330 BA237:BA251 BA9:BA15 BA149:BA229">
    <cfRule type="duplicateValues" dxfId="57" priority="12"/>
  </conditionalFormatting>
  <conditionalFormatting sqref="BA331:BA397">
    <cfRule type="duplicateValues" dxfId="56" priority="6"/>
  </conditionalFormatting>
  <conditionalFormatting sqref="BA398:BA402">
    <cfRule type="expression" dxfId="55" priority="3">
      <formula>MOD(ROW(),2)=0</formula>
    </cfRule>
  </conditionalFormatting>
  <conditionalFormatting sqref="BG5:BG6">
    <cfRule type="duplicateValues" dxfId="54" priority="50"/>
  </conditionalFormatting>
  <conditionalFormatting sqref="BG7:BG8">
    <cfRule type="duplicateValues" dxfId="53" priority="49"/>
  </conditionalFormatting>
  <conditionalFormatting sqref="BG9:BG10">
    <cfRule type="duplicateValues" dxfId="52" priority="48"/>
  </conditionalFormatting>
  <conditionalFormatting sqref="BG11:BG12">
    <cfRule type="duplicateValues" dxfId="51" priority="47"/>
  </conditionalFormatting>
  <conditionalFormatting sqref="BG13:BG30">
    <cfRule type="duplicateValues" dxfId="50" priority="46"/>
  </conditionalFormatting>
  <conditionalFormatting sqref="BG53:BG54 BG31:BG37">
    <cfRule type="duplicateValues" dxfId="49" priority="59"/>
  </conditionalFormatting>
  <conditionalFormatting sqref="BG55">
    <cfRule type="duplicateValues" dxfId="48" priority="37"/>
  </conditionalFormatting>
  <conditionalFormatting sqref="BG56">
    <cfRule type="duplicateValues" dxfId="47" priority="36"/>
  </conditionalFormatting>
  <conditionalFormatting sqref="BG57:BG58">
    <cfRule type="duplicateValues" dxfId="46" priority="35"/>
  </conditionalFormatting>
  <conditionalFormatting sqref="BG59:BG60">
    <cfRule type="duplicateValues" dxfId="45" priority="34"/>
  </conditionalFormatting>
  <conditionalFormatting sqref="BG61:BG62">
    <cfRule type="duplicateValues" dxfId="44" priority="33"/>
  </conditionalFormatting>
  <conditionalFormatting sqref="BG63">
    <cfRule type="duplicateValues" dxfId="43" priority="32"/>
  </conditionalFormatting>
  <conditionalFormatting sqref="BG64">
    <cfRule type="duplicateValues" dxfId="42" priority="31"/>
  </conditionalFormatting>
  <conditionalFormatting sqref="BG65:BG66">
    <cfRule type="duplicateValues" dxfId="41" priority="30"/>
  </conditionalFormatting>
  <conditionalFormatting sqref="BG67:BG68">
    <cfRule type="duplicateValues" dxfId="40" priority="29"/>
  </conditionalFormatting>
  <conditionalFormatting sqref="BG69">
    <cfRule type="duplicateValues" dxfId="39" priority="28"/>
  </conditionalFormatting>
  <conditionalFormatting sqref="BG70">
    <cfRule type="duplicateValues" dxfId="38" priority="27"/>
  </conditionalFormatting>
  <conditionalFormatting sqref="BG71">
    <cfRule type="duplicateValues" dxfId="37" priority="26"/>
  </conditionalFormatting>
  <conditionalFormatting sqref="BG72:BG73">
    <cfRule type="duplicateValues" dxfId="36" priority="38"/>
  </conditionalFormatting>
  <conditionalFormatting sqref="BG74">
    <cfRule type="duplicateValues" dxfId="35" priority="39"/>
  </conditionalFormatting>
  <conditionalFormatting sqref="BG75">
    <cfRule type="duplicateValues" dxfId="34" priority="40"/>
  </conditionalFormatting>
  <conditionalFormatting sqref="BG76">
    <cfRule type="duplicateValues" dxfId="33" priority="41"/>
  </conditionalFormatting>
  <conditionalFormatting sqref="BG77:BG78">
    <cfRule type="duplicateValues" dxfId="32" priority="42"/>
  </conditionalFormatting>
  <conditionalFormatting sqref="BG79:BG81">
    <cfRule type="duplicateValues" dxfId="31" priority="43"/>
  </conditionalFormatting>
  <conditionalFormatting sqref="BG82:BG84">
    <cfRule type="duplicateValues" dxfId="30" priority="44"/>
  </conditionalFormatting>
  <conditionalFormatting sqref="BG85:BG87">
    <cfRule type="duplicateValues" dxfId="29" priority="45"/>
  </conditionalFormatting>
  <conditionalFormatting sqref="BM1:BN104 BM108:BN1048576">
    <cfRule type="duplicateValues" dxfId="28" priority="25"/>
  </conditionalFormatting>
  <dataValidations count="1">
    <dataValidation type="list" allowBlank="1" showInputMessage="1" showErrorMessage="1" sqref="AC345:AC346 AC79:AC90 AC93:AC105 AC107:AC134 AC136:AC159 AC161:AC202 AC204:AC343" xr:uid="{62BBD402-C6E5-467D-A814-111FAB85B51E}">
      <formula1>"N/A,CLEAN UP"</formula1>
    </dataValidation>
  </dataValidations>
  <pageMargins left="0.78740157480314965" right="0" top="0.15748031496062992" bottom="0" header="0.31496062992125984" footer="0.31496062992125984"/>
  <pageSetup paperSize="9" fitToHeight="0" orientation="portrait" horizontalDpi="0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9793-3B81-4364-BFBA-39E9B3DC5BB9}">
  <sheetPr>
    <pageSetUpPr fitToPage="1"/>
  </sheetPr>
  <dimension ref="B1:BE774"/>
  <sheetViews>
    <sheetView showGridLines="0" topLeftCell="AD1" zoomScale="55" zoomScaleNormal="55" workbookViewId="0">
      <selection activeCell="L23" sqref="L23"/>
    </sheetView>
  </sheetViews>
  <sheetFormatPr defaultRowHeight="14.5" x14ac:dyDescent="0.35"/>
  <cols>
    <col min="2" max="2" width="15.7265625" customWidth="1"/>
    <col min="3" max="3" width="13.453125" bestFit="1" customWidth="1"/>
    <col min="4" max="4" width="8.1796875" bestFit="1" customWidth="1"/>
    <col min="5" max="5" width="9.7265625" bestFit="1" customWidth="1"/>
    <col min="6" max="6" width="8.1796875" bestFit="1" customWidth="1"/>
    <col min="7" max="7" width="9.453125" bestFit="1" customWidth="1"/>
    <col min="8" max="9" width="11" customWidth="1"/>
    <col min="10" max="10" width="17.453125" customWidth="1"/>
    <col min="11" max="11" width="11.7265625" hidden="1" customWidth="1"/>
    <col min="12" max="12" width="12" customWidth="1"/>
    <col min="14" max="14" width="12.81640625" bestFit="1" customWidth="1"/>
    <col min="15" max="16" width="10.36328125" customWidth="1"/>
    <col min="18" max="18" width="10.1796875" bestFit="1" customWidth="1"/>
    <col min="21" max="21" width="2.453125" style="24" customWidth="1"/>
    <col min="22" max="22" width="13.36328125" customWidth="1"/>
    <col min="24" max="24" width="13.453125" bestFit="1" customWidth="1"/>
    <col min="25" max="25" width="13.453125" customWidth="1"/>
    <col min="26" max="27" width="19.7265625" bestFit="1" customWidth="1"/>
    <col min="28" max="29" width="19.7265625" customWidth="1"/>
    <col min="30" max="30" width="11.1796875" bestFit="1" customWidth="1"/>
    <col min="31" max="31" width="10.81640625" customWidth="1"/>
    <col min="32" max="32" width="19.453125" bestFit="1" customWidth="1"/>
    <col min="33" max="33" width="19.453125" customWidth="1"/>
    <col min="34" max="34" width="24.08984375" bestFit="1" customWidth="1"/>
    <col min="35" max="35" width="2.453125" style="24" customWidth="1"/>
    <col min="36" max="36" width="12.453125" customWidth="1"/>
    <col min="37" max="37" width="14.1796875" bestFit="1" customWidth="1"/>
    <col min="38" max="38" width="11.6328125" bestFit="1" customWidth="1"/>
    <col min="39" max="39" width="12.81640625" bestFit="1" customWidth="1"/>
    <col min="40" max="40" width="19.7265625" bestFit="1" customWidth="1"/>
    <col min="41" max="41" width="23.08984375" bestFit="1" customWidth="1"/>
    <col min="42" max="42" width="12.453125" bestFit="1" customWidth="1"/>
    <col min="43" max="45" width="13.26953125" customWidth="1"/>
    <col min="46" max="46" width="2.453125" style="24" customWidth="1"/>
    <col min="47" max="47" width="12.453125" customWidth="1"/>
    <col min="48" max="48" width="11.453125" customWidth="1"/>
    <col min="49" max="49" width="11.6328125" bestFit="1" customWidth="1"/>
    <col min="50" max="50" width="12.81640625" bestFit="1" customWidth="1"/>
    <col min="51" max="51" width="19.7265625" bestFit="1" customWidth="1"/>
    <col min="52" max="52" width="23.08984375" bestFit="1" customWidth="1"/>
    <col min="53" max="53" width="12.453125" bestFit="1" customWidth="1"/>
    <col min="54" max="56" width="13.26953125" customWidth="1"/>
    <col min="57" max="57" width="2.453125" style="24" customWidth="1"/>
  </cols>
  <sheetData>
    <row r="1" spans="2:56" x14ac:dyDescent="0.35">
      <c r="AA1" s="15" t="s">
        <v>26</v>
      </c>
      <c r="AN1" s="15" t="s">
        <v>26</v>
      </c>
      <c r="AY1" s="15" t="s">
        <v>26</v>
      </c>
    </row>
    <row r="2" spans="2:56" x14ac:dyDescent="0.35">
      <c r="V2" s="15" t="s">
        <v>27</v>
      </c>
      <c r="AJ2" s="15" t="s">
        <v>591</v>
      </c>
      <c r="AK2" s="15"/>
      <c r="AU2" s="15" t="s">
        <v>591</v>
      </c>
      <c r="AV2" s="15"/>
    </row>
    <row r="3" spans="2:56" x14ac:dyDescent="0.35">
      <c r="B3" s="120" t="s">
        <v>25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V3" s="15" t="s">
        <v>33</v>
      </c>
      <c r="AJ3" s="15" t="s">
        <v>33</v>
      </c>
      <c r="AK3" s="15"/>
      <c r="AU3" s="15" t="s">
        <v>33</v>
      </c>
      <c r="AV3" s="15"/>
    </row>
    <row r="4" spans="2:56" x14ac:dyDescent="0.35"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V4" s="29" t="s">
        <v>0</v>
      </c>
      <c r="W4" s="29" t="s">
        <v>15</v>
      </c>
      <c r="X4" s="29" t="s">
        <v>16</v>
      </c>
      <c r="Y4" s="29" t="s">
        <v>16</v>
      </c>
      <c r="Z4" s="29" t="s">
        <v>17</v>
      </c>
      <c r="AA4" s="29" t="s">
        <v>18</v>
      </c>
      <c r="AB4" s="29" t="s">
        <v>20</v>
      </c>
      <c r="AC4" s="29" t="s">
        <v>21</v>
      </c>
      <c r="AD4" s="29" t="s">
        <v>19</v>
      </c>
      <c r="AE4" s="29" t="s">
        <v>44</v>
      </c>
      <c r="AF4" s="53" t="s">
        <v>43</v>
      </c>
      <c r="AG4" s="53" t="s">
        <v>46</v>
      </c>
      <c r="AH4" s="53" t="s">
        <v>41</v>
      </c>
      <c r="AJ4" s="29" t="s">
        <v>0</v>
      </c>
      <c r="AK4" s="29" t="s">
        <v>37</v>
      </c>
      <c r="AL4" s="29" t="s">
        <v>16</v>
      </c>
      <c r="AM4" s="29" t="s">
        <v>16</v>
      </c>
      <c r="AN4" s="29" t="s">
        <v>17</v>
      </c>
      <c r="AO4" s="29" t="s">
        <v>18</v>
      </c>
      <c r="AP4" s="29" t="s">
        <v>19</v>
      </c>
      <c r="AQ4" s="29" t="s">
        <v>34</v>
      </c>
      <c r="AR4" s="29" t="s">
        <v>39</v>
      </c>
      <c r="AS4" s="29" t="s">
        <v>47</v>
      </c>
      <c r="AU4" s="29" t="s">
        <v>0</v>
      </c>
      <c r="AV4" s="29" t="s">
        <v>37</v>
      </c>
      <c r="AW4" s="29" t="s">
        <v>16</v>
      </c>
      <c r="AX4" s="29" t="s">
        <v>16</v>
      </c>
      <c r="AY4" s="29" t="s">
        <v>17</v>
      </c>
      <c r="AZ4" s="29" t="s">
        <v>18</v>
      </c>
      <c r="BA4" s="29" t="s">
        <v>19</v>
      </c>
      <c r="BB4" s="29" t="s">
        <v>34</v>
      </c>
      <c r="BC4" s="29" t="s">
        <v>39</v>
      </c>
      <c r="BD4" s="29" t="s">
        <v>47</v>
      </c>
    </row>
    <row r="5" spans="2:56" ht="24" thickBot="1" x14ac:dyDescent="0.6">
      <c r="B5" s="121" t="s">
        <v>55</v>
      </c>
      <c r="C5" s="121"/>
      <c r="D5" s="121"/>
      <c r="E5" s="121"/>
      <c r="F5" s="121"/>
      <c r="G5" s="121"/>
      <c r="H5" s="122"/>
      <c r="I5" s="122"/>
      <c r="J5" s="122"/>
      <c r="K5" s="122"/>
      <c r="L5" s="122"/>
      <c r="V5" s="97">
        <v>45749</v>
      </c>
      <c r="W5">
        <v>130289</v>
      </c>
      <c r="X5" s="89" t="s">
        <v>36</v>
      </c>
      <c r="Z5" s="50">
        <v>0.8305324074074073</v>
      </c>
      <c r="AA5" s="50">
        <v>0.47164351851851855</v>
      </c>
      <c r="AD5" s="48">
        <v>20536</v>
      </c>
      <c r="AE5" s="48">
        <f t="shared" ref="AE5:AE63" si="0">AD5/1000</f>
        <v>20.536000000000001</v>
      </c>
      <c r="AF5">
        <v>14.49</v>
      </c>
      <c r="AG5" s="72">
        <f>IF($AF5&gt;14,14,$AF5)</f>
        <v>14</v>
      </c>
      <c r="AH5" s="37">
        <f>AE5*AG5/14</f>
        <v>20.536000000000001</v>
      </c>
      <c r="AJ5" s="21">
        <v>45748</v>
      </c>
      <c r="AK5" t="s">
        <v>140</v>
      </c>
      <c r="AL5" t="s">
        <v>5</v>
      </c>
      <c r="AN5" t="s">
        <v>319</v>
      </c>
      <c r="AO5" t="s">
        <v>319</v>
      </c>
      <c r="AP5" s="56">
        <v>2620</v>
      </c>
      <c r="AR5" s="96"/>
      <c r="AU5" s="38">
        <v>45748</v>
      </c>
      <c r="AW5" t="s">
        <v>5</v>
      </c>
      <c r="AY5" s="81">
        <v>0.56597222222222221</v>
      </c>
      <c r="AZ5" s="81">
        <v>0.45555555555555555</v>
      </c>
      <c r="BA5" s="37">
        <v>5398</v>
      </c>
      <c r="BB5" t="s">
        <v>52</v>
      </c>
      <c r="BC5" s="96">
        <v>45748</v>
      </c>
    </row>
    <row r="6" spans="2:56" ht="28.5" customHeight="1" x14ac:dyDescent="0.4">
      <c r="B6" s="123" t="s">
        <v>0</v>
      </c>
      <c r="C6" s="126" t="s">
        <v>1</v>
      </c>
      <c r="D6" s="127"/>
      <c r="E6" s="127"/>
      <c r="F6" s="128"/>
      <c r="G6" s="129" t="s">
        <v>2</v>
      </c>
      <c r="H6" s="132" t="s">
        <v>40</v>
      </c>
      <c r="I6" s="133"/>
      <c r="J6" s="134" t="s">
        <v>35</v>
      </c>
      <c r="K6" s="135"/>
      <c r="L6" s="138" t="s">
        <v>2</v>
      </c>
      <c r="V6" s="97">
        <v>45749</v>
      </c>
      <c r="W6">
        <v>130326</v>
      </c>
      <c r="X6" s="89" t="s">
        <v>36</v>
      </c>
      <c r="Z6" s="50">
        <v>0.26877314814814818</v>
      </c>
      <c r="AA6" s="50">
        <v>0.53763888888888889</v>
      </c>
      <c r="AD6" s="48">
        <v>19878</v>
      </c>
      <c r="AE6" s="48">
        <f t="shared" si="0"/>
        <v>19.878</v>
      </c>
      <c r="AF6">
        <v>18.55</v>
      </c>
      <c r="AG6" s="72">
        <f t="shared" ref="AG6:AG64" si="1">IF($AF6&gt;14,14,$AF6)</f>
        <v>14</v>
      </c>
      <c r="AH6" s="37">
        <f t="shared" ref="AH6:AH69" si="2">AE6*AG6/14</f>
        <v>19.878000000000004</v>
      </c>
      <c r="AJ6" s="21">
        <v>45748</v>
      </c>
      <c r="AK6" t="s">
        <v>141</v>
      </c>
      <c r="AL6" t="s">
        <v>5</v>
      </c>
      <c r="AN6" t="s">
        <v>320</v>
      </c>
      <c r="AO6" t="s">
        <v>321</v>
      </c>
      <c r="AP6" s="56">
        <v>2650</v>
      </c>
      <c r="AR6" s="96"/>
      <c r="AU6" s="38">
        <v>45748</v>
      </c>
      <c r="AW6" t="s">
        <v>5</v>
      </c>
      <c r="AY6" s="81">
        <v>0.41944444444444445</v>
      </c>
      <c r="AZ6" s="81"/>
      <c r="BA6" s="37">
        <v>2748</v>
      </c>
      <c r="BB6" t="s">
        <v>53</v>
      </c>
      <c r="BC6" s="96">
        <v>45748</v>
      </c>
    </row>
    <row r="7" spans="2:56" ht="15.5" customHeight="1" x14ac:dyDescent="0.4">
      <c r="B7" s="124"/>
      <c r="C7" s="141" t="s">
        <v>36</v>
      </c>
      <c r="D7" s="143" t="s">
        <v>5</v>
      </c>
      <c r="E7" s="146" t="s">
        <v>4</v>
      </c>
      <c r="F7" s="141">
        <v>104</v>
      </c>
      <c r="G7" s="130"/>
      <c r="H7" s="149" t="s">
        <v>41</v>
      </c>
      <c r="I7" s="152" t="s">
        <v>42</v>
      </c>
      <c r="J7" s="136"/>
      <c r="K7" s="137"/>
      <c r="L7" s="139"/>
      <c r="N7" s="15" t="s">
        <v>32</v>
      </c>
      <c r="V7" s="97">
        <v>45749</v>
      </c>
      <c r="W7">
        <v>130393</v>
      </c>
      <c r="X7" s="89" t="s">
        <v>36</v>
      </c>
      <c r="Z7" s="50">
        <v>0.83041666666666669</v>
      </c>
      <c r="AA7" s="50">
        <v>0.6037731481481482</v>
      </c>
      <c r="AD7" s="48">
        <v>19610</v>
      </c>
      <c r="AE7" s="48">
        <f t="shared" si="0"/>
        <v>19.61</v>
      </c>
      <c r="AF7">
        <v>14.98</v>
      </c>
      <c r="AG7" s="72">
        <f t="shared" si="1"/>
        <v>14</v>
      </c>
      <c r="AH7" s="37">
        <f t="shared" si="2"/>
        <v>19.609999999999996</v>
      </c>
      <c r="AJ7" s="21">
        <v>45748</v>
      </c>
      <c r="AK7" t="s">
        <v>142</v>
      </c>
      <c r="AL7" t="s">
        <v>5</v>
      </c>
      <c r="AN7" t="s">
        <v>322</v>
      </c>
      <c r="AO7" t="s">
        <v>322</v>
      </c>
      <c r="AP7" s="56">
        <v>1910</v>
      </c>
      <c r="AR7" s="96"/>
      <c r="AU7" s="38">
        <v>45748</v>
      </c>
      <c r="AW7" t="s">
        <v>5</v>
      </c>
      <c r="AY7" s="81">
        <v>0.38125000000000003</v>
      </c>
      <c r="AZ7" s="81">
        <v>0.39861111111111108</v>
      </c>
      <c r="BA7" s="37">
        <v>2670</v>
      </c>
      <c r="BB7" t="s">
        <v>54</v>
      </c>
      <c r="BC7" s="96">
        <v>45748</v>
      </c>
    </row>
    <row r="8" spans="2:56" ht="15" customHeight="1" thickBot="1" x14ac:dyDescent="0.45">
      <c r="B8" s="124"/>
      <c r="C8" s="141"/>
      <c r="D8" s="144"/>
      <c r="E8" s="147"/>
      <c r="F8" s="141"/>
      <c r="G8" s="130"/>
      <c r="H8" s="150"/>
      <c r="I8" s="153"/>
      <c r="J8" s="155" t="s">
        <v>22</v>
      </c>
      <c r="K8" s="118" t="s">
        <v>5</v>
      </c>
      <c r="L8" s="139"/>
      <c r="N8" s="15" t="s">
        <v>38</v>
      </c>
      <c r="V8" s="97">
        <v>45749</v>
      </c>
      <c r="W8">
        <v>130448</v>
      </c>
      <c r="X8" s="89" t="s">
        <v>36</v>
      </c>
      <c r="Z8" s="50">
        <v>0.60750000000000004</v>
      </c>
      <c r="AA8" s="50">
        <v>0.67893518518518514</v>
      </c>
      <c r="AD8" s="48">
        <v>19354</v>
      </c>
      <c r="AE8" s="48">
        <f t="shared" si="0"/>
        <v>19.353999999999999</v>
      </c>
      <c r="AF8">
        <v>14.95</v>
      </c>
      <c r="AG8" s="72">
        <f t="shared" si="1"/>
        <v>14</v>
      </c>
      <c r="AH8" s="37">
        <f t="shared" si="2"/>
        <v>19.354000000000003</v>
      </c>
      <c r="AJ8" s="21">
        <v>45748</v>
      </c>
      <c r="AK8" t="s">
        <v>143</v>
      </c>
      <c r="AL8" t="s">
        <v>5</v>
      </c>
      <c r="AM8" s="16"/>
      <c r="AN8" t="s">
        <v>323</v>
      </c>
      <c r="AO8" t="s">
        <v>324</v>
      </c>
      <c r="AP8" s="56">
        <v>4450</v>
      </c>
      <c r="AR8" s="96"/>
      <c r="AU8" s="38">
        <v>45748</v>
      </c>
      <c r="AW8" t="s">
        <v>5</v>
      </c>
      <c r="AX8" s="16"/>
      <c r="AY8" s="81">
        <v>0.57986111111111105</v>
      </c>
      <c r="AZ8" s="81">
        <v>0.60347222222222219</v>
      </c>
      <c r="BA8" s="37">
        <v>2806</v>
      </c>
      <c r="BB8" t="s">
        <v>57</v>
      </c>
      <c r="BC8" s="96">
        <v>45748</v>
      </c>
    </row>
    <row r="9" spans="2:56" ht="16.5" thickBot="1" x14ac:dyDescent="0.45">
      <c r="B9" s="125"/>
      <c r="C9" s="142"/>
      <c r="D9" s="145"/>
      <c r="E9" s="148"/>
      <c r="F9" s="142"/>
      <c r="G9" s="131"/>
      <c r="H9" s="151"/>
      <c r="I9" s="154"/>
      <c r="J9" s="156"/>
      <c r="K9" s="119"/>
      <c r="L9" s="140"/>
      <c r="N9" s="25" t="s">
        <v>36</v>
      </c>
      <c r="O9" s="26" t="s">
        <v>5</v>
      </c>
      <c r="P9" s="35" t="s">
        <v>4</v>
      </c>
      <c r="Q9" s="27" t="s">
        <v>23</v>
      </c>
      <c r="V9" s="97">
        <v>45749</v>
      </c>
      <c r="W9">
        <v>130197</v>
      </c>
      <c r="X9" s="89" t="s">
        <v>36</v>
      </c>
      <c r="Z9" s="50">
        <v>0.26892361111111113</v>
      </c>
      <c r="AA9" s="50">
        <v>0.37981481481481483</v>
      </c>
      <c r="AD9" s="48">
        <v>18006</v>
      </c>
      <c r="AE9" s="48">
        <f t="shared" si="0"/>
        <v>18.006</v>
      </c>
      <c r="AF9">
        <v>16.809999999999999</v>
      </c>
      <c r="AG9" s="72">
        <f t="shared" si="1"/>
        <v>14</v>
      </c>
      <c r="AH9" s="37">
        <f t="shared" si="2"/>
        <v>18.006</v>
      </c>
      <c r="AJ9" s="21">
        <v>45748</v>
      </c>
      <c r="AK9" t="s">
        <v>144</v>
      </c>
      <c r="AL9" t="s">
        <v>5</v>
      </c>
      <c r="AM9" s="16"/>
      <c r="AN9" t="s">
        <v>325</v>
      </c>
      <c r="AO9" t="s">
        <v>325</v>
      </c>
      <c r="AP9" s="56">
        <v>5200</v>
      </c>
      <c r="AR9" s="96"/>
      <c r="AU9" s="38">
        <v>45748</v>
      </c>
      <c r="AW9" t="s">
        <v>5</v>
      </c>
      <c r="AX9" s="16"/>
      <c r="AY9" s="81">
        <v>0.60625000000000007</v>
      </c>
      <c r="AZ9" s="81">
        <v>0.65347222222222223</v>
      </c>
      <c r="BA9" s="37">
        <v>2726</v>
      </c>
      <c r="BB9" t="s">
        <v>52</v>
      </c>
      <c r="BC9" s="96">
        <v>45748</v>
      </c>
    </row>
    <row r="10" spans="2:56" ht="16" x14ac:dyDescent="0.4">
      <c r="B10" s="60">
        <v>45748</v>
      </c>
      <c r="C10" s="61">
        <f t="shared" ref="C10:C39" si="3">SUMIFS($AE:$AE,$V:$V,$B10,$X:$X,C$7)-$J10</f>
        <v>0</v>
      </c>
      <c r="D10" s="61">
        <f t="shared" ref="D10:E38" si="4">SUMIFS($AP:$AP,$AJ:$AJ,$B10,$AL:$AL,D$7)/1000</f>
        <v>22.34</v>
      </c>
      <c r="E10" s="62">
        <f t="shared" si="4"/>
        <v>0</v>
      </c>
      <c r="F10" s="63">
        <f t="shared" ref="F10:F39" si="5">SUMIFS($AD:$AD,$V:$V,$B10,$AB:$AB,$F$7)/1000</f>
        <v>0</v>
      </c>
      <c r="G10" s="64">
        <f>SUM(C10:E10)</f>
        <v>22.34</v>
      </c>
      <c r="H10" s="65">
        <f t="shared" ref="H10:H39" si="6">SUMIF($V:$V,$B10,$AH:$AH)</f>
        <v>0</v>
      </c>
      <c r="I10" s="66">
        <f>H10+D10+E10</f>
        <v>22.34</v>
      </c>
      <c r="J10" s="70">
        <f t="shared" ref="J10:J39" si="7">SUMIFS($AE:$AE,$V:$V,$B10,$AC:$AC,$J$8)</f>
        <v>0</v>
      </c>
      <c r="K10" s="67"/>
      <c r="L10" s="68">
        <f t="shared" ref="L10:L39" si="8">SUM(J10:K10)</f>
        <v>0</v>
      </c>
      <c r="N10" s="40">
        <f t="shared" ref="N10:N39" si="9">COUNTIFS($V:$V,$B10,$X:$X,N$9)</f>
        <v>0</v>
      </c>
      <c r="O10" s="41">
        <f t="shared" ref="O10:O39" si="10">COUNTIFS($AJ:$AJ,$B10,$AL:$AL,$O$9)</f>
        <v>7</v>
      </c>
      <c r="P10" s="41">
        <f t="shared" ref="P10:P39" si="11">COUNTIFS($AJ:$AJ,$B10,$AL:$AL,P$9)</f>
        <v>0</v>
      </c>
      <c r="Q10" s="42">
        <f>SUM(N10:P10)</f>
        <v>7</v>
      </c>
      <c r="V10" s="97">
        <v>45749</v>
      </c>
      <c r="W10">
        <v>130539</v>
      </c>
      <c r="X10" s="89" t="s">
        <v>36</v>
      </c>
      <c r="Z10" s="50">
        <v>0.65502314814814822</v>
      </c>
      <c r="AA10" s="50">
        <v>0.90869212962962964</v>
      </c>
      <c r="AD10" s="48">
        <v>21226</v>
      </c>
      <c r="AE10" s="48">
        <f t="shared" si="0"/>
        <v>21.225999999999999</v>
      </c>
      <c r="AF10">
        <v>14.52</v>
      </c>
      <c r="AG10" s="72">
        <f t="shared" si="1"/>
        <v>14</v>
      </c>
      <c r="AH10" s="37">
        <f t="shared" si="2"/>
        <v>21.225999999999999</v>
      </c>
      <c r="AJ10" s="21">
        <v>45748</v>
      </c>
      <c r="AK10" t="s">
        <v>145</v>
      </c>
      <c r="AL10" t="s">
        <v>5</v>
      </c>
      <c r="AM10" s="16"/>
      <c r="AN10" t="s">
        <v>326</v>
      </c>
      <c r="AO10" t="s">
        <v>327</v>
      </c>
      <c r="AP10" s="56">
        <v>2800</v>
      </c>
      <c r="AR10" s="96"/>
      <c r="AU10" s="38">
        <v>45749</v>
      </c>
      <c r="AW10" t="s">
        <v>5</v>
      </c>
      <c r="AX10" s="16"/>
      <c r="AY10" s="81">
        <v>0.29721064814814818</v>
      </c>
      <c r="AZ10" s="81">
        <v>0.48880787037037038</v>
      </c>
      <c r="BA10" s="37">
        <v>5494</v>
      </c>
      <c r="BB10" t="s">
        <v>58</v>
      </c>
      <c r="BC10" s="96">
        <v>45749</v>
      </c>
    </row>
    <row r="11" spans="2:56" ht="16" x14ac:dyDescent="0.4">
      <c r="B11" s="1">
        <v>45749</v>
      </c>
      <c r="C11" s="2">
        <f t="shared" si="3"/>
        <v>175.21199999999999</v>
      </c>
      <c r="D11" s="2">
        <f t="shared" si="4"/>
        <v>15.61</v>
      </c>
      <c r="E11" s="2">
        <f t="shared" si="4"/>
        <v>0</v>
      </c>
      <c r="F11" s="32">
        <f t="shared" si="5"/>
        <v>0</v>
      </c>
      <c r="G11" s="3">
        <f>SUM(C11:E11)</f>
        <v>190.822</v>
      </c>
      <c r="H11" s="51">
        <f t="shared" si="6"/>
        <v>175.21199999999999</v>
      </c>
      <c r="I11" s="52">
        <f>H11+D11+E11</f>
        <v>190.822</v>
      </c>
      <c r="J11" s="59">
        <f t="shared" si="7"/>
        <v>0</v>
      </c>
      <c r="K11" s="4"/>
      <c r="L11" s="20">
        <f t="shared" si="8"/>
        <v>0</v>
      </c>
      <c r="N11" s="43">
        <f t="shared" si="9"/>
        <v>9</v>
      </c>
      <c r="O11" s="44">
        <f t="shared" si="10"/>
        <v>3</v>
      </c>
      <c r="P11" s="41">
        <f t="shared" si="11"/>
        <v>0</v>
      </c>
      <c r="Q11" s="45">
        <f>SUM(N11:P11)</f>
        <v>12</v>
      </c>
      <c r="V11" s="97">
        <v>45749</v>
      </c>
      <c r="W11">
        <v>130506</v>
      </c>
      <c r="X11" s="89" t="s">
        <v>36</v>
      </c>
      <c r="Z11" s="50">
        <v>0.72631944444444441</v>
      </c>
      <c r="AA11" s="50">
        <v>0.83917824074074077</v>
      </c>
      <c r="AD11" s="48">
        <v>20014</v>
      </c>
      <c r="AE11" s="48">
        <f t="shared" si="0"/>
        <v>20.013999999999999</v>
      </c>
      <c r="AF11">
        <v>14.74</v>
      </c>
      <c r="AG11" s="72">
        <f t="shared" si="1"/>
        <v>14</v>
      </c>
      <c r="AH11" s="37">
        <f t="shared" si="2"/>
        <v>20.013999999999999</v>
      </c>
      <c r="AJ11" s="21">
        <v>45748</v>
      </c>
      <c r="AK11" t="s">
        <v>146</v>
      </c>
      <c r="AL11" t="s">
        <v>5</v>
      </c>
      <c r="AM11" s="16"/>
      <c r="AN11" t="s">
        <v>328</v>
      </c>
      <c r="AO11" t="s">
        <v>328</v>
      </c>
      <c r="AP11" s="56">
        <v>2710</v>
      </c>
      <c r="AR11" s="96"/>
      <c r="AU11" s="38">
        <v>45749</v>
      </c>
      <c r="AW11" t="s">
        <v>4</v>
      </c>
      <c r="AX11" s="16"/>
      <c r="AY11" s="81">
        <v>0.49730324074074073</v>
      </c>
      <c r="AZ11" s="81">
        <v>0.63376157407407407</v>
      </c>
      <c r="BA11" s="37">
        <v>5544</v>
      </c>
      <c r="BB11" t="s">
        <v>49</v>
      </c>
      <c r="BC11" s="96">
        <v>45749</v>
      </c>
    </row>
    <row r="12" spans="2:56" ht="16" x14ac:dyDescent="0.4">
      <c r="B12" s="1">
        <v>45750</v>
      </c>
      <c r="C12" s="2">
        <f t="shared" si="3"/>
        <v>312.41000000000003</v>
      </c>
      <c r="D12" s="2">
        <f t="shared" si="4"/>
        <v>32.909999999999997</v>
      </c>
      <c r="E12" s="2">
        <f t="shared" si="4"/>
        <v>0</v>
      </c>
      <c r="F12" s="32">
        <f t="shared" si="5"/>
        <v>0</v>
      </c>
      <c r="G12" s="3">
        <f t="shared" ref="G12:G39" si="12">SUM(C12:E12)</f>
        <v>345.32000000000005</v>
      </c>
      <c r="H12" s="51">
        <f t="shared" si="6"/>
        <v>308.13133857142856</v>
      </c>
      <c r="I12" s="52">
        <f t="shared" ref="I12:I39" si="13">H12+D12+E12</f>
        <v>341.04133857142858</v>
      </c>
      <c r="J12" s="59">
        <f t="shared" si="7"/>
        <v>0</v>
      </c>
      <c r="K12" s="4"/>
      <c r="L12" s="20">
        <f t="shared" si="8"/>
        <v>0</v>
      </c>
      <c r="N12" s="43">
        <f t="shared" si="9"/>
        <v>16</v>
      </c>
      <c r="O12" s="44">
        <f t="shared" si="10"/>
        <v>9</v>
      </c>
      <c r="P12" s="41">
        <f t="shared" si="11"/>
        <v>0</v>
      </c>
      <c r="Q12" s="45">
        <f t="shared" ref="Q12:Q39" si="14">SUM(N12:P12)</f>
        <v>25</v>
      </c>
      <c r="V12" s="97">
        <v>45749</v>
      </c>
      <c r="W12">
        <v>130465</v>
      </c>
      <c r="X12" s="89" t="s">
        <v>36</v>
      </c>
      <c r="Z12" s="50">
        <v>0.65524305555555562</v>
      </c>
      <c r="AA12" s="50">
        <v>0.73364583333333344</v>
      </c>
      <c r="AD12" s="48">
        <v>16676</v>
      </c>
      <c r="AE12" s="48">
        <f t="shared" si="0"/>
        <v>16.675999999999998</v>
      </c>
      <c r="AF12">
        <v>16.02</v>
      </c>
      <c r="AG12" s="72">
        <f t="shared" si="1"/>
        <v>14</v>
      </c>
      <c r="AH12" s="37">
        <f t="shared" si="2"/>
        <v>16.675999999999998</v>
      </c>
      <c r="AJ12" s="21">
        <v>45749</v>
      </c>
      <c r="AK12" t="s">
        <v>147</v>
      </c>
      <c r="AL12" t="s">
        <v>5</v>
      </c>
      <c r="AM12" s="16"/>
      <c r="AN12" t="s">
        <v>329</v>
      </c>
      <c r="AO12" t="s">
        <v>329</v>
      </c>
      <c r="AP12" s="56">
        <v>4570</v>
      </c>
      <c r="AR12" s="96"/>
      <c r="AU12" s="38">
        <v>45749</v>
      </c>
      <c r="AW12" t="s">
        <v>5</v>
      </c>
      <c r="AX12" s="16"/>
      <c r="AY12" s="81">
        <v>0.54939814814814814</v>
      </c>
      <c r="AZ12" s="81">
        <v>0.48706018518518518</v>
      </c>
      <c r="BA12" s="37">
        <v>4800</v>
      </c>
      <c r="BB12" t="s">
        <v>58</v>
      </c>
      <c r="BC12" s="96">
        <v>45749</v>
      </c>
    </row>
    <row r="13" spans="2:56" ht="16" x14ac:dyDescent="0.4">
      <c r="B13" s="1">
        <v>45751</v>
      </c>
      <c r="C13" s="2">
        <f t="shared" si="3"/>
        <v>285.03799999999995</v>
      </c>
      <c r="D13" s="2">
        <f t="shared" si="4"/>
        <v>24.7</v>
      </c>
      <c r="E13" s="2">
        <f t="shared" si="4"/>
        <v>0</v>
      </c>
      <c r="F13" s="32">
        <f t="shared" si="5"/>
        <v>0</v>
      </c>
      <c r="G13" s="3">
        <f t="shared" si="12"/>
        <v>309.73799999999994</v>
      </c>
      <c r="H13" s="51">
        <f t="shared" si="6"/>
        <v>282.08887428571427</v>
      </c>
      <c r="I13" s="52">
        <f t="shared" si="13"/>
        <v>306.78887428571426</v>
      </c>
      <c r="J13" s="59">
        <f t="shared" si="7"/>
        <v>0</v>
      </c>
      <c r="K13" s="4"/>
      <c r="L13" s="20">
        <f t="shared" si="8"/>
        <v>0</v>
      </c>
      <c r="N13" s="43">
        <f t="shared" si="9"/>
        <v>14</v>
      </c>
      <c r="O13" s="44">
        <f t="shared" si="10"/>
        <v>7</v>
      </c>
      <c r="P13" s="41">
        <f t="shared" si="11"/>
        <v>0</v>
      </c>
      <c r="Q13" s="45">
        <f t="shared" si="14"/>
        <v>21</v>
      </c>
      <c r="V13" s="97">
        <v>45749</v>
      </c>
      <c r="W13">
        <v>130571</v>
      </c>
      <c r="X13" s="89" t="s">
        <v>36</v>
      </c>
      <c r="Z13" s="50">
        <v>0.72622685185185187</v>
      </c>
      <c r="AA13" s="50">
        <v>1.4560185185185183E-2</v>
      </c>
      <c r="AD13" s="48">
        <v>19912</v>
      </c>
      <c r="AE13" s="48">
        <f t="shared" si="0"/>
        <v>19.911999999999999</v>
      </c>
      <c r="AF13">
        <v>16.52</v>
      </c>
      <c r="AG13" s="72">
        <f t="shared" si="1"/>
        <v>14</v>
      </c>
      <c r="AH13" s="37">
        <f t="shared" si="2"/>
        <v>19.911999999999999</v>
      </c>
      <c r="AJ13" s="21">
        <v>45749</v>
      </c>
      <c r="AK13" t="s">
        <v>148</v>
      </c>
      <c r="AL13" t="s">
        <v>5</v>
      </c>
      <c r="AM13" s="16"/>
      <c r="AN13" t="s">
        <v>330</v>
      </c>
      <c r="AO13" t="s">
        <v>331</v>
      </c>
      <c r="AP13" s="56">
        <v>5310</v>
      </c>
      <c r="AR13" s="96"/>
      <c r="AU13" s="38">
        <v>45750</v>
      </c>
      <c r="AW13" t="s">
        <v>5</v>
      </c>
      <c r="AX13" s="16"/>
      <c r="AY13" s="81">
        <v>0.72986111111111107</v>
      </c>
      <c r="AZ13" s="81"/>
      <c r="BA13" s="37">
        <v>5048</v>
      </c>
      <c r="BC13" s="96">
        <v>45750</v>
      </c>
    </row>
    <row r="14" spans="2:56" ht="16" x14ac:dyDescent="0.4">
      <c r="B14" s="1">
        <v>45752</v>
      </c>
      <c r="C14" s="2">
        <f t="shared" si="3"/>
        <v>234.738</v>
      </c>
      <c r="D14" s="2">
        <f t="shared" si="4"/>
        <v>16.28</v>
      </c>
      <c r="E14" s="2">
        <f t="shared" si="4"/>
        <v>5.54</v>
      </c>
      <c r="F14" s="32">
        <f t="shared" si="5"/>
        <v>0</v>
      </c>
      <c r="G14" s="3">
        <f t="shared" si="12"/>
        <v>256.55799999999999</v>
      </c>
      <c r="H14" s="51">
        <f t="shared" si="6"/>
        <v>233.29116285714289</v>
      </c>
      <c r="I14" s="52">
        <f t="shared" si="13"/>
        <v>255.11116285714289</v>
      </c>
      <c r="J14" s="59">
        <f t="shared" si="7"/>
        <v>0</v>
      </c>
      <c r="K14" s="4"/>
      <c r="L14" s="20">
        <f t="shared" si="8"/>
        <v>0</v>
      </c>
      <c r="N14" s="43">
        <f t="shared" si="9"/>
        <v>12</v>
      </c>
      <c r="O14" s="44">
        <f t="shared" si="10"/>
        <v>5</v>
      </c>
      <c r="P14" s="41">
        <f t="shared" si="11"/>
        <v>1</v>
      </c>
      <c r="Q14" s="45">
        <f t="shared" si="14"/>
        <v>18</v>
      </c>
      <c r="V14" s="97">
        <v>45750</v>
      </c>
      <c r="W14">
        <v>130590</v>
      </c>
      <c r="X14" s="89" t="s">
        <v>36</v>
      </c>
      <c r="Z14" s="50">
        <v>0.78798611111111105</v>
      </c>
      <c r="AA14" s="50">
        <v>9.3449074074074087E-2</v>
      </c>
      <c r="AD14" s="48">
        <v>20200</v>
      </c>
      <c r="AE14" s="48">
        <f t="shared" si="0"/>
        <v>20.2</v>
      </c>
      <c r="AF14">
        <v>15.41</v>
      </c>
      <c r="AG14" s="72">
        <f t="shared" si="1"/>
        <v>14</v>
      </c>
      <c r="AH14" s="37">
        <f t="shared" si="2"/>
        <v>20.2</v>
      </c>
      <c r="AJ14" s="21">
        <v>45749</v>
      </c>
      <c r="AK14" t="s">
        <v>149</v>
      </c>
      <c r="AL14" t="s">
        <v>5</v>
      </c>
      <c r="AM14" s="16"/>
      <c r="AN14" t="s">
        <v>332</v>
      </c>
      <c r="AO14" t="s">
        <v>333</v>
      </c>
      <c r="AP14" s="56">
        <v>5730</v>
      </c>
      <c r="AR14" s="96"/>
      <c r="AU14" s="38">
        <v>45750</v>
      </c>
      <c r="AW14" t="s">
        <v>5</v>
      </c>
      <c r="AX14" s="16"/>
      <c r="AY14" s="81">
        <v>0.50208333333333333</v>
      </c>
      <c r="AZ14" s="81"/>
      <c r="BA14" s="37">
        <v>2178</v>
      </c>
      <c r="BC14" s="96">
        <v>45750</v>
      </c>
    </row>
    <row r="15" spans="2:56" ht="16" x14ac:dyDescent="0.4">
      <c r="B15" s="1">
        <v>45753</v>
      </c>
      <c r="C15" s="2">
        <f t="shared" si="3"/>
        <v>123.34</v>
      </c>
      <c r="D15" s="2">
        <f t="shared" si="4"/>
        <v>0</v>
      </c>
      <c r="E15" s="2">
        <f t="shared" si="4"/>
        <v>0</v>
      </c>
      <c r="F15" s="32">
        <f t="shared" si="5"/>
        <v>0</v>
      </c>
      <c r="G15" s="3">
        <f t="shared" si="12"/>
        <v>123.34</v>
      </c>
      <c r="H15" s="51">
        <f t="shared" si="6"/>
        <v>120.59161857142858</v>
      </c>
      <c r="I15" s="52">
        <f t="shared" si="13"/>
        <v>120.59161857142858</v>
      </c>
      <c r="J15" s="59">
        <f t="shared" si="7"/>
        <v>0</v>
      </c>
      <c r="K15" s="4"/>
      <c r="L15" s="20">
        <f t="shared" si="8"/>
        <v>0</v>
      </c>
      <c r="N15" s="43">
        <f t="shared" si="9"/>
        <v>6</v>
      </c>
      <c r="O15" s="44">
        <f t="shared" si="10"/>
        <v>0</v>
      </c>
      <c r="P15" s="41">
        <f t="shared" si="11"/>
        <v>0</v>
      </c>
      <c r="Q15" s="45">
        <f t="shared" si="14"/>
        <v>6</v>
      </c>
      <c r="V15" s="97">
        <v>45750</v>
      </c>
      <c r="W15">
        <v>130600</v>
      </c>
      <c r="X15" s="89" t="s">
        <v>36</v>
      </c>
      <c r="Z15" s="50">
        <v>0.2686574074074074</v>
      </c>
      <c r="AA15" s="50">
        <v>0.15923611111111111</v>
      </c>
      <c r="AD15" s="48">
        <v>20324</v>
      </c>
      <c r="AE15" s="48">
        <f t="shared" si="0"/>
        <v>20.324000000000002</v>
      </c>
      <c r="AF15">
        <v>14.95</v>
      </c>
      <c r="AG15" s="72">
        <f t="shared" si="1"/>
        <v>14</v>
      </c>
      <c r="AH15" s="37">
        <f t="shared" si="2"/>
        <v>20.324000000000002</v>
      </c>
      <c r="AJ15" s="21">
        <v>45750</v>
      </c>
      <c r="AK15" t="s">
        <v>150</v>
      </c>
      <c r="AL15" t="s">
        <v>5</v>
      </c>
      <c r="AM15" s="16"/>
      <c r="AN15" t="s">
        <v>334</v>
      </c>
      <c r="AO15" t="s">
        <v>335</v>
      </c>
      <c r="AP15" s="56">
        <v>5090</v>
      </c>
      <c r="AR15" s="96"/>
      <c r="AU15" s="38">
        <v>45750</v>
      </c>
      <c r="AW15" t="s">
        <v>5</v>
      </c>
      <c r="AX15" s="16"/>
      <c r="AY15" s="81">
        <v>0.43194444444444446</v>
      </c>
      <c r="AZ15" s="81">
        <v>0.45208333333333334</v>
      </c>
      <c r="BA15" s="37">
        <v>3894</v>
      </c>
      <c r="BB15" t="s">
        <v>59</v>
      </c>
      <c r="BC15" s="96">
        <v>45750</v>
      </c>
    </row>
    <row r="16" spans="2:56" ht="16" x14ac:dyDescent="0.4">
      <c r="B16" s="1">
        <v>45754</v>
      </c>
      <c r="C16" s="2">
        <f t="shared" si="3"/>
        <v>0</v>
      </c>
      <c r="D16" s="2">
        <f t="shared" si="4"/>
        <v>5.0999999999999996</v>
      </c>
      <c r="E16" s="2">
        <f t="shared" si="4"/>
        <v>0</v>
      </c>
      <c r="F16" s="32">
        <f t="shared" si="5"/>
        <v>0</v>
      </c>
      <c r="G16" s="3">
        <f t="shared" si="12"/>
        <v>5.0999999999999996</v>
      </c>
      <c r="H16" s="51">
        <f t="shared" si="6"/>
        <v>0</v>
      </c>
      <c r="I16" s="52">
        <f t="shared" si="13"/>
        <v>5.0999999999999996</v>
      </c>
      <c r="J16" s="59">
        <f t="shared" si="7"/>
        <v>0</v>
      </c>
      <c r="K16" s="4"/>
      <c r="L16" s="20">
        <f t="shared" si="8"/>
        <v>0</v>
      </c>
      <c r="N16" s="43">
        <f t="shared" si="9"/>
        <v>0</v>
      </c>
      <c r="O16" s="44">
        <f t="shared" si="10"/>
        <v>1</v>
      </c>
      <c r="P16" s="41">
        <f t="shared" si="11"/>
        <v>0</v>
      </c>
      <c r="Q16" s="45">
        <f t="shared" si="14"/>
        <v>1</v>
      </c>
      <c r="V16" s="97">
        <v>45750</v>
      </c>
      <c r="W16">
        <v>130667</v>
      </c>
      <c r="X16" s="89" t="s">
        <v>36</v>
      </c>
      <c r="Z16" s="50">
        <v>0.78125</v>
      </c>
      <c r="AA16" s="50">
        <v>0.32916666666666666</v>
      </c>
      <c r="AD16" s="48">
        <v>20298</v>
      </c>
      <c r="AE16" s="48">
        <f t="shared" si="0"/>
        <v>20.297999999999998</v>
      </c>
      <c r="AF16">
        <v>14.77</v>
      </c>
      <c r="AG16" s="72">
        <f t="shared" si="1"/>
        <v>14</v>
      </c>
      <c r="AH16" s="37">
        <f t="shared" si="2"/>
        <v>20.297999999999998</v>
      </c>
      <c r="AJ16" s="21">
        <v>45750</v>
      </c>
      <c r="AK16" t="s">
        <v>151</v>
      </c>
      <c r="AL16" t="s">
        <v>5</v>
      </c>
      <c r="AM16" s="16"/>
      <c r="AN16" t="s">
        <v>336</v>
      </c>
      <c r="AO16" t="s">
        <v>336</v>
      </c>
      <c r="AP16" s="56">
        <v>3840</v>
      </c>
      <c r="AR16" s="96"/>
      <c r="AU16" s="38">
        <v>45750</v>
      </c>
      <c r="AW16" t="s">
        <v>5</v>
      </c>
      <c r="AX16" s="16"/>
      <c r="AY16" s="81">
        <v>0.47083333333333338</v>
      </c>
      <c r="AZ16" s="81">
        <v>0.4680555555555555</v>
      </c>
      <c r="BA16" s="37">
        <v>5306</v>
      </c>
      <c r="BB16" t="s">
        <v>59</v>
      </c>
      <c r="BC16" s="96">
        <v>45750</v>
      </c>
    </row>
    <row r="17" spans="2:55" ht="16" x14ac:dyDescent="0.4">
      <c r="B17" s="1">
        <v>45755</v>
      </c>
      <c r="C17" s="2">
        <f t="shared" si="3"/>
        <v>269.02200000000005</v>
      </c>
      <c r="D17" s="2">
        <f t="shared" si="4"/>
        <v>9.9499999999999993</v>
      </c>
      <c r="E17" s="2">
        <f t="shared" si="4"/>
        <v>0</v>
      </c>
      <c r="F17" s="32">
        <f t="shared" si="5"/>
        <v>0</v>
      </c>
      <c r="G17" s="3">
        <f t="shared" si="12"/>
        <v>278.97200000000004</v>
      </c>
      <c r="H17" s="51">
        <f t="shared" si="6"/>
        <v>267.71018571428573</v>
      </c>
      <c r="I17" s="52">
        <f t="shared" si="13"/>
        <v>277.66018571428572</v>
      </c>
      <c r="J17" s="59">
        <f t="shared" si="7"/>
        <v>0</v>
      </c>
      <c r="K17" s="4"/>
      <c r="L17" s="20">
        <f t="shared" si="8"/>
        <v>0</v>
      </c>
      <c r="N17" s="43">
        <f t="shared" si="9"/>
        <v>13</v>
      </c>
      <c r="O17" s="44">
        <f t="shared" si="10"/>
        <v>3</v>
      </c>
      <c r="P17" s="41">
        <f t="shared" si="11"/>
        <v>0</v>
      </c>
      <c r="Q17" s="45">
        <f t="shared" si="14"/>
        <v>16</v>
      </c>
      <c r="S17" t="s">
        <v>48</v>
      </c>
      <c r="V17" s="97">
        <v>45750</v>
      </c>
      <c r="W17">
        <v>130728</v>
      </c>
      <c r="X17" s="89" t="s">
        <v>36</v>
      </c>
      <c r="Z17" s="50">
        <v>0.20694444444444446</v>
      </c>
      <c r="AA17" s="50">
        <v>0.38819444444444445</v>
      </c>
      <c r="AD17" s="48">
        <v>17884</v>
      </c>
      <c r="AE17" s="48">
        <f t="shared" si="0"/>
        <v>17.884</v>
      </c>
      <c r="AF17">
        <v>17.22</v>
      </c>
      <c r="AG17" s="72">
        <f t="shared" si="1"/>
        <v>14</v>
      </c>
      <c r="AH17" s="37">
        <f t="shared" si="2"/>
        <v>17.884</v>
      </c>
      <c r="AJ17" s="21">
        <v>45750</v>
      </c>
      <c r="AK17" t="s">
        <v>152</v>
      </c>
      <c r="AL17" t="s">
        <v>5</v>
      </c>
      <c r="AM17" s="16"/>
      <c r="AN17" t="s">
        <v>337</v>
      </c>
      <c r="AO17" t="s">
        <v>338</v>
      </c>
      <c r="AP17" s="56">
        <v>2010</v>
      </c>
      <c r="AR17" s="96"/>
      <c r="AU17" s="38">
        <v>45748</v>
      </c>
      <c r="AW17" t="s">
        <v>5</v>
      </c>
      <c r="AX17" s="16"/>
      <c r="AY17" s="81">
        <v>0.42708333333333331</v>
      </c>
      <c r="AZ17" s="81">
        <v>0.45208333333333334</v>
      </c>
      <c r="BA17" s="37">
        <v>4504</v>
      </c>
      <c r="BB17" t="s">
        <v>60</v>
      </c>
      <c r="BC17" s="96">
        <v>45750</v>
      </c>
    </row>
    <row r="18" spans="2:55" ht="16" x14ac:dyDescent="0.4">
      <c r="B18" s="1">
        <v>45756</v>
      </c>
      <c r="C18" s="2">
        <f t="shared" si="3"/>
        <v>118.16800000000001</v>
      </c>
      <c r="D18" s="2">
        <f t="shared" si="4"/>
        <v>21.43</v>
      </c>
      <c r="E18" s="2">
        <f t="shared" si="4"/>
        <v>0</v>
      </c>
      <c r="F18" s="32">
        <f t="shared" si="5"/>
        <v>0</v>
      </c>
      <c r="G18" s="3">
        <f t="shared" si="12"/>
        <v>139.59800000000001</v>
      </c>
      <c r="H18" s="51">
        <f t="shared" si="6"/>
        <v>115.25605000000002</v>
      </c>
      <c r="I18" s="52">
        <f t="shared" si="13"/>
        <v>136.68605000000002</v>
      </c>
      <c r="J18" s="59">
        <f t="shared" si="7"/>
        <v>0</v>
      </c>
      <c r="K18" s="4"/>
      <c r="L18" s="20">
        <f t="shared" si="8"/>
        <v>0</v>
      </c>
      <c r="N18" s="43">
        <f t="shared" si="9"/>
        <v>6</v>
      </c>
      <c r="O18" s="44">
        <f t="shared" si="10"/>
        <v>6</v>
      </c>
      <c r="P18" s="41">
        <f t="shared" si="11"/>
        <v>0</v>
      </c>
      <c r="Q18" s="45">
        <f t="shared" si="14"/>
        <v>12</v>
      </c>
      <c r="V18" s="97">
        <v>45750</v>
      </c>
      <c r="W18">
        <v>130798</v>
      </c>
      <c r="X18" s="89" t="s">
        <v>36</v>
      </c>
      <c r="Z18" s="50">
        <v>0.40833333333333338</v>
      </c>
      <c r="AA18" s="50">
        <v>0.4680555555555555</v>
      </c>
      <c r="AD18" s="48">
        <v>19190</v>
      </c>
      <c r="AE18" s="48">
        <f t="shared" si="0"/>
        <v>19.190000000000001</v>
      </c>
      <c r="AF18">
        <v>14.52</v>
      </c>
      <c r="AG18" s="72">
        <f t="shared" si="1"/>
        <v>14</v>
      </c>
      <c r="AH18" s="37">
        <f t="shared" si="2"/>
        <v>19.190000000000001</v>
      </c>
      <c r="AJ18" s="21">
        <v>45750</v>
      </c>
      <c r="AK18" t="s">
        <v>153</v>
      </c>
      <c r="AL18" t="s">
        <v>5</v>
      </c>
      <c r="AM18" s="16"/>
      <c r="AN18" t="s">
        <v>339</v>
      </c>
      <c r="AO18" t="s">
        <v>340</v>
      </c>
      <c r="AP18" s="56">
        <v>3180</v>
      </c>
      <c r="AR18" s="96"/>
      <c r="AU18" s="38">
        <v>45750</v>
      </c>
      <c r="AW18" t="s">
        <v>5</v>
      </c>
      <c r="AX18" s="16"/>
      <c r="AY18" s="81">
        <v>0.47152777777777777</v>
      </c>
      <c r="AZ18" s="81">
        <v>0.5083333333333333</v>
      </c>
      <c r="BA18" s="37">
        <v>3010</v>
      </c>
      <c r="BB18" t="s">
        <v>61</v>
      </c>
      <c r="BC18" s="96">
        <v>45750</v>
      </c>
    </row>
    <row r="19" spans="2:55" ht="16" x14ac:dyDescent="0.4">
      <c r="B19" s="1">
        <v>45757</v>
      </c>
      <c r="C19" s="2">
        <f t="shared" si="3"/>
        <v>146.624</v>
      </c>
      <c r="D19" s="2">
        <f t="shared" si="4"/>
        <v>12.43</v>
      </c>
      <c r="E19" s="2">
        <f t="shared" si="4"/>
        <v>0</v>
      </c>
      <c r="F19" s="32">
        <f t="shared" si="5"/>
        <v>0</v>
      </c>
      <c r="G19" s="3">
        <f t="shared" si="12"/>
        <v>159.054</v>
      </c>
      <c r="H19" s="51">
        <f t="shared" si="6"/>
        <v>141.5515342857143</v>
      </c>
      <c r="I19" s="52">
        <f t="shared" si="13"/>
        <v>153.9815342857143</v>
      </c>
      <c r="J19" s="59">
        <f t="shared" si="7"/>
        <v>0</v>
      </c>
      <c r="K19" s="4"/>
      <c r="L19" s="20">
        <f t="shared" si="8"/>
        <v>0</v>
      </c>
      <c r="N19" s="43">
        <f t="shared" si="9"/>
        <v>7</v>
      </c>
      <c r="O19" s="44">
        <f t="shared" si="10"/>
        <v>4</v>
      </c>
      <c r="P19" s="41">
        <f t="shared" si="11"/>
        <v>0</v>
      </c>
      <c r="Q19" s="45">
        <f t="shared" si="14"/>
        <v>11</v>
      </c>
      <c r="V19" s="97">
        <v>45750</v>
      </c>
      <c r="W19">
        <v>130826</v>
      </c>
      <c r="X19" s="89" t="s">
        <v>36</v>
      </c>
      <c r="Z19" s="50">
        <v>0.49791666666666662</v>
      </c>
      <c r="AA19" s="50">
        <v>0.54027777777777775</v>
      </c>
      <c r="AD19" s="48">
        <v>21504</v>
      </c>
      <c r="AE19" s="48">
        <f t="shared" si="0"/>
        <v>21.504000000000001</v>
      </c>
      <c r="AF19">
        <v>13.02</v>
      </c>
      <c r="AG19" s="72">
        <f t="shared" si="1"/>
        <v>13.02</v>
      </c>
      <c r="AH19" s="37">
        <f t="shared" si="2"/>
        <v>19.998719999999999</v>
      </c>
      <c r="AJ19" s="21">
        <v>45750</v>
      </c>
      <c r="AK19" t="s">
        <v>154</v>
      </c>
      <c r="AL19" t="s">
        <v>5</v>
      </c>
      <c r="AM19" s="16"/>
      <c r="AN19" t="s">
        <v>341</v>
      </c>
      <c r="AO19" t="s">
        <v>341</v>
      </c>
      <c r="AP19" s="56">
        <v>5400</v>
      </c>
      <c r="AR19" s="96"/>
      <c r="AU19" s="38">
        <v>45750</v>
      </c>
      <c r="AW19" t="s">
        <v>5</v>
      </c>
      <c r="AX19" s="16"/>
      <c r="AY19" s="81">
        <v>0.49513888888888885</v>
      </c>
      <c r="AZ19" s="81">
        <v>0.51527777777777783</v>
      </c>
      <c r="BA19" s="37">
        <v>3132</v>
      </c>
      <c r="BB19" t="s">
        <v>62</v>
      </c>
      <c r="BC19" s="96">
        <v>45750</v>
      </c>
    </row>
    <row r="20" spans="2:55" ht="16" x14ac:dyDescent="0.4">
      <c r="B20" s="1">
        <v>45758</v>
      </c>
      <c r="C20" s="2">
        <f t="shared" si="3"/>
        <v>237.08600000000001</v>
      </c>
      <c r="D20" s="2">
        <f t="shared" si="4"/>
        <v>0</v>
      </c>
      <c r="E20" s="2">
        <f t="shared" si="4"/>
        <v>6.98</v>
      </c>
      <c r="F20" s="32">
        <f t="shared" si="5"/>
        <v>0</v>
      </c>
      <c r="G20" s="3">
        <f t="shared" si="12"/>
        <v>244.066</v>
      </c>
      <c r="H20" s="51">
        <f t="shared" si="6"/>
        <v>235.54003142857144</v>
      </c>
      <c r="I20" s="52">
        <f t="shared" si="13"/>
        <v>242.52003142857143</v>
      </c>
      <c r="J20" s="59">
        <f t="shared" si="7"/>
        <v>0</v>
      </c>
      <c r="K20" s="4"/>
      <c r="L20" s="20">
        <f t="shared" si="8"/>
        <v>0</v>
      </c>
      <c r="N20" s="43">
        <f t="shared" si="9"/>
        <v>12</v>
      </c>
      <c r="O20" s="44">
        <f t="shared" si="10"/>
        <v>0</v>
      </c>
      <c r="P20" s="41">
        <f t="shared" si="11"/>
        <v>1</v>
      </c>
      <c r="Q20" s="45">
        <f t="shared" si="14"/>
        <v>13</v>
      </c>
      <c r="V20" s="97">
        <v>45750</v>
      </c>
      <c r="W20">
        <v>130868</v>
      </c>
      <c r="X20" s="89" t="s">
        <v>36</v>
      </c>
      <c r="Z20" s="50">
        <v>0.40833333333333338</v>
      </c>
      <c r="AA20" s="50">
        <v>0.59722222222222221</v>
      </c>
      <c r="AD20" s="48">
        <v>21112</v>
      </c>
      <c r="AE20" s="48">
        <f t="shared" si="0"/>
        <v>21.111999999999998</v>
      </c>
      <c r="AF20">
        <v>13.87</v>
      </c>
      <c r="AG20" s="72">
        <f t="shared" si="1"/>
        <v>13.87</v>
      </c>
      <c r="AH20" s="37">
        <f t="shared" si="2"/>
        <v>20.915959999999995</v>
      </c>
      <c r="AJ20" s="21">
        <v>45750</v>
      </c>
      <c r="AK20" t="s">
        <v>155</v>
      </c>
      <c r="AL20" t="s">
        <v>5</v>
      </c>
      <c r="AM20" s="16"/>
      <c r="AN20" t="s">
        <v>342</v>
      </c>
      <c r="AO20" t="s">
        <v>343</v>
      </c>
      <c r="AP20" s="56">
        <v>2910</v>
      </c>
      <c r="AR20" s="96"/>
      <c r="AU20" s="38">
        <v>45750</v>
      </c>
      <c r="AW20" t="s">
        <v>5</v>
      </c>
      <c r="AX20" s="16"/>
      <c r="AY20" s="81">
        <v>0.5</v>
      </c>
      <c r="AZ20" s="81"/>
      <c r="BA20" s="37">
        <v>5122</v>
      </c>
      <c r="BC20" s="96">
        <v>45750</v>
      </c>
    </row>
    <row r="21" spans="2:55" ht="16" x14ac:dyDescent="0.4">
      <c r="B21" s="1">
        <v>45759</v>
      </c>
      <c r="C21" s="2">
        <f t="shared" si="3"/>
        <v>282.33199999999999</v>
      </c>
      <c r="D21" s="2">
        <f t="shared" si="4"/>
        <v>6.57</v>
      </c>
      <c r="E21" s="2">
        <f t="shared" si="4"/>
        <v>0</v>
      </c>
      <c r="F21" s="32">
        <f t="shared" si="5"/>
        <v>0</v>
      </c>
      <c r="G21" s="3">
        <f t="shared" si="12"/>
        <v>288.90199999999999</v>
      </c>
      <c r="H21" s="51">
        <f t="shared" si="6"/>
        <v>274.58810000000005</v>
      </c>
      <c r="I21" s="52">
        <f t="shared" si="13"/>
        <v>281.15810000000005</v>
      </c>
      <c r="J21" s="59">
        <f t="shared" si="7"/>
        <v>0</v>
      </c>
      <c r="K21" s="4"/>
      <c r="L21" s="20">
        <f t="shared" si="8"/>
        <v>0</v>
      </c>
      <c r="N21" s="43">
        <f t="shared" si="9"/>
        <v>14</v>
      </c>
      <c r="O21" s="44">
        <f t="shared" si="10"/>
        <v>2</v>
      </c>
      <c r="P21" s="41">
        <f t="shared" si="11"/>
        <v>0</v>
      </c>
      <c r="Q21" s="45">
        <f t="shared" si="14"/>
        <v>16</v>
      </c>
      <c r="V21" s="97">
        <v>45750</v>
      </c>
      <c r="W21">
        <v>130931</v>
      </c>
      <c r="X21" s="89" t="s">
        <v>36</v>
      </c>
      <c r="Z21" s="50">
        <v>0.49722222222222223</v>
      </c>
      <c r="AA21" s="50">
        <v>0.65763888888888888</v>
      </c>
      <c r="AD21" s="48">
        <v>20408</v>
      </c>
      <c r="AE21" s="48">
        <f t="shared" si="0"/>
        <v>20.408000000000001</v>
      </c>
      <c r="AF21">
        <v>13.41</v>
      </c>
      <c r="AG21" s="72">
        <f t="shared" si="1"/>
        <v>13.41</v>
      </c>
      <c r="AH21" s="37">
        <f t="shared" si="2"/>
        <v>19.547948571428574</v>
      </c>
      <c r="AJ21" s="21">
        <v>45750</v>
      </c>
      <c r="AK21" t="s">
        <v>156</v>
      </c>
      <c r="AL21" t="s">
        <v>5</v>
      </c>
      <c r="AM21" s="16"/>
      <c r="AN21" t="s">
        <v>344</v>
      </c>
      <c r="AO21" t="s">
        <v>345</v>
      </c>
      <c r="AP21" s="56">
        <v>3120</v>
      </c>
      <c r="AR21" s="96"/>
      <c r="AU21" s="38">
        <v>45750</v>
      </c>
      <c r="AW21" t="s">
        <v>5</v>
      </c>
      <c r="AX21" s="16"/>
      <c r="AY21" s="81">
        <v>0.49027777777777781</v>
      </c>
      <c r="AZ21" s="81">
        <v>0.68194444444444446</v>
      </c>
      <c r="BA21" s="37">
        <v>2524</v>
      </c>
      <c r="BB21" t="s">
        <v>61</v>
      </c>
      <c r="BC21" s="96">
        <v>45750</v>
      </c>
    </row>
    <row r="22" spans="2:55" ht="16" x14ac:dyDescent="0.4">
      <c r="B22" s="1">
        <v>45760</v>
      </c>
      <c r="C22" s="2">
        <f t="shared" si="3"/>
        <v>139.79399999999998</v>
      </c>
      <c r="D22" s="2">
        <f t="shared" si="4"/>
        <v>0</v>
      </c>
      <c r="E22" s="2">
        <f t="shared" si="4"/>
        <v>0</v>
      </c>
      <c r="F22" s="32">
        <f t="shared" si="5"/>
        <v>0</v>
      </c>
      <c r="G22" s="3">
        <f t="shared" si="12"/>
        <v>139.79399999999998</v>
      </c>
      <c r="H22" s="51">
        <f t="shared" si="6"/>
        <v>139.13672571428572</v>
      </c>
      <c r="I22" s="52">
        <f t="shared" si="13"/>
        <v>139.13672571428572</v>
      </c>
      <c r="J22" s="59">
        <f t="shared" si="7"/>
        <v>0</v>
      </c>
      <c r="K22" s="4"/>
      <c r="L22" s="20">
        <f t="shared" si="8"/>
        <v>0</v>
      </c>
      <c r="N22" s="43">
        <f t="shared" si="9"/>
        <v>7</v>
      </c>
      <c r="O22" s="44">
        <f t="shared" si="10"/>
        <v>0</v>
      </c>
      <c r="P22" s="41">
        <f t="shared" si="11"/>
        <v>0</v>
      </c>
      <c r="Q22" s="45">
        <f t="shared" si="14"/>
        <v>7</v>
      </c>
      <c r="V22" s="97">
        <v>45750</v>
      </c>
      <c r="W22">
        <v>130958</v>
      </c>
      <c r="X22" s="89" t="s">
        <v>36</v>
      </c>
      <c r="Z22" s="50">
        <v>0.40833333333333338</v>
      </c>
      <c r="AA22" s="50">
        <v>0.6958333333333333</v>
      </c>
      <c r="AD22" s="48">
        <v>19764</v>
      </c>
      <c r="AE22" s="48">
        <f t="shared" si="0"/>
        <v>19.763999999999999</v>
      </c>
      <c r="AF22">
        <v>15.09</v>
      </c>
      <c r="AG22" s="72">
        <f t="shared" si="1"/>
        <v>14</v>
      </c>
      <c r="AH22" s="37">
        <f t="shared" si="2"/>
        <v>19.763999999999999</v>
      </c>
      <c r="AJ22" s="21">
        <v>45750</v>
      </c>
      <c r="AK22" t="s">
        <v>157</v>
      </c>
      <c r="AL22" t="s">
        <v>5</v>
      </c>
      <c r="AN22" t="s">
        <v>346</v>
      </c>
      <c r="AO22" t="s">
        <v>347</v>
      </c>
      <c r="AP22" s="56">
        <v>4530</v>
      </c>
      <c r="AQ22" s="81"/>
      <c r="AR22" s="96"/>
      <c r="AU22" s="38">
        <v>45751</v>
      </c>
      <c r="AW22" t="s">
        <v>5</v>
      </c>
      <c r="AY22" s="81">
        <v>0.49722222222222223</v>
      </c>
      <c r="AZ22" s="81"/>
      <c r="BA22" s="37">
        <v>4918</v>
      </c>
      <c r="BB22" s="81"/>
      <c r="BC22" s="96">
        <v>45751</v>
      </c>
    </row>
    <row r="23" spans="2:55" ht="16" x14ac:dyDescent="0.4">
      <c r="B23" s="1">
        <v>45761</v>
      </c>
      <c r="C23" s="2">
        <f t="shared" si="3"/>
        <v>186.86800000000002</v>
      </c>
      <c r="D23" s="2">
        <f t="shared" si="4"/>
        <v>3.65</v>
      </c>
      <c r="E23" s="2">
        <f t="shared" si="4"/>
        <v>0</v>
      </c>
      <c r="F23" s="32">
        <f t="shared" si="5"/>
        <v>0</v>
      </c>
      <c r="G23" s="3">
        <f t="shared" si="12"/>
        <v>190.51800000000003</v>
      </c>
      <c r="H23" s="51">
        <f t="shared" si="6"/>
        <v>186.86800000000002</v>
      </c>
      <c r="I23" s="52">
        <f t="shared" si="13"/>
        <v>190.51800000000003</v>
      </c>
      <c r="J23" s="59">
        <f t="shared" si="7"/>
        <v>0</v>
      </c>
      <c r="K23" s="4"/>
      <c r="L23" s="20">
        <f t="shared" si="8"/>
        <v>0</v>
      </c>
      <c r="N23" s="43">
        <f t="shared" si="9"/>
        <v>9</v>
      </c>
      <c r="O23" s="44">
        <f t="shared" si="10"/>
        <v>1</v>
      </c>
      <c r="P23" s="41">
        <f t="shared" si="11"/>
        <v>0</v>
      </c>
      <c r="Q23" s="45">
        <f t="shared" si="14"/>
        <v>10</v>
      </c>
      <c r="V23" s="97">
        <v>45750</v>
      </c>
      <c r="W23">
        <v>130976</v>
      </c>
      <c r="X23" s="89" t="s">
        <v>36</v>
      </c>
      <c r="Z23" s="50">
        <v>0.49789351851851849</v>
      </c>
      <c r="AA23" s="50">
        <v>0.73350694444444453</v>
      </c>
      <c r="AD23" s="48">
        <v>18688</v>
      </c>
      <c r="AE23" s="48">
        <f t="shared" si="0"/>
        <v>18.687999999999999</v>
      </c>
      <c r="AF23">
        <v>13.52</v>
      </c>
      <c r="AG23" s="72">
        <f t="shared" si="1"/>
        <v>13.52</v>
      </c>
      <c r="AH23" s="37">
        <f t="shared" si="2"/>
        <v>18.047268571428571</v>
      </c>
      <c r="AJ23" s="21">
        <v>45750</v>
      </c>
      <c r="AK23" t="s">
        <v>158</v>
      </c>
      <c r="AL23" t="s">
        <v>5</v>
      </c>
      <c r="AN23" t="s">
        <v>348</v>
      </c>
      <c r="AO23" t="s">
        <v>349</v>
      </c>
      <c r="AP23" s="56">
        <v>2830</v>
      </c>
      <c r="AR23" s="96"/>
      <c r="AU23" s="38">
        <v>45751</v>
      </c>
      <c r="AW23" t="s">
        <v>5</v>
      </c>
      <c r="AY23" s="81">
        <v>0.66805555555555562</v>
      </c>
      <c r="AZ23" s="81">
        <v>0.43263888888888885</v>
      </c>
      <c r="BA23" s="37">
        <v>2098</v>
      </c>
      <c r="BB23" t="s">
        <v>63</v>
      </c>
      <c r="BC23" s="96">
        <v>45751</v>
      </c>
    </row>
    <row r="24" spans="2:55" ht="16" x14ac:dyDescent="0.4">
      <c r="B24" s="1">
        <v>45762</v>
      </c>
      <c r="C24" s="2">
        <f t="shared" si="3"/>
        <v>207.80599999999998</v>
      </c>
      <c r="D24" s="2">
        <f t="shared" si="4"/>
        <v>11.03</v>
      </c>
      <c r="E24" s="2">
        <f t="shared" si="4"/>
        <v>0</v>
      </c>
      <c r="F24" s="32">
        <f t="shared" si="5"/>
        <v>0</v>
      </c>
      <c r="G24" s="3">
        <f t="shared" si="12"/>
        <v>218.83599999999998</v>
      </c>
      <c r="H24" s="51">
        <f t="shared" si="6"/>
        <v>207.67114142857145</v>
      </c>
      <c r="I24" s="52">
        <f t="shared" si="13"/>
        <v>218.70114142857145</v>
      </c>
      <c r="J24" s="59">
        <f t="shared" si="7"/>
        <v>0</v>
      </c>
      <c r="K24" s="4"/>
      <c r="L24" s="20">
        <f t="shared" si="8"/>
        <v>0</v>
      </c>
      <c r="N24" s="43">
        <f t="shared" si="9"/>
        <v>10</v>
      </c>
      <c r="O24" s="44">
        <f t="shared" si="10"/>
        <v>3</v>
      </c>
      <c r="P24" s="41">
        <f t="shared" si="11"/>
        <v>0</v>
      </c>
      <c r="Q24" s="45">
        <f t="shared" si="14"/>
        <v>13</v>
      </c>
      <c r="V24" s="97">
        <v>45750</v>
      </c>
      <c r="W24">
        <v>130987</v>
      </c>
      <c r="X24" s="89" t="s">
        <v>36</v>
      </c>
      <c r="Z24" s="50">
        <v>0.40718750000000004</v>
      </c>
      <c r="AA24" s="50">
        <v>0.78028935185185189</v>
      </c>
      <c r="AD24" s="48">
        <v>16388</v>
      </c>
      <c r="AE24" s="48">
        <f t="shared" si="0"/>
        <v>16.388000000000002</v>
      </c>
      <c r="AF24">
        <v>13.62</v>
      </c>
      <c r="AG24" s="72">
        <f t="shared" si="1"/>
        <v>13.62</v>
      </c>
      <c r="AH24" s="37">
        <f t="shared" si="2"/>
        <v>15.943182857142858</v>
      </c>
      <c r="AJ24" s="21">
        <v>45751</v>
      </c>
      <c r="AK24" t="s">
        <v>159</v>
      </c>
      <c r="AL24" t="s">
        <v>5</v>
      </c>
      <c r="AN24" t="s">
        <v>350</v>
      </c>
      <c r="AO24" t="s">
        <v>351</v>
      </c>
      <c r="AP24" s="56">
        <v>4340</v>
      </c>
      <c r="AR24" s="96"/>
      <c r="AU24" s="38">
        <v>45751</v>
      </c>
      <c r="AW24" t="s">
        <v>5</v>
      </c>
      <c r="AY24" s="81">
        <v>0.50902777777777775</v>
      </c>
      <c r="AZ24" s="81"/>
      <c r="BA24" s="37">
        <v>4854</v>
      </c>
      <c r="BC24" s="96">
        <v>45751</v>
      </c>
    </row>
    <row r="25" spans="2:55" ht="16" x14ac:dyDescent="0.4">
      <c r="B25" s="1">
        <v>45763</v>
      </c>
      <c r="C25" s="2">
        <f t="shared" si="3"/>
        <v>277.00599999999997</v>
      </c>
      <c r="D25" s="2">
        <f t="shared" si="4"/>
        <v>19.809999999999999</v>
      </c>
      <c r="E25" s="2">
        <f t="shared" si="4"/>
        <v>0</v>
      </c>
      <c r="F25" s="32">
        <f t="shared" si="5"/>
        <v>0</v>
      </c>
      <c r="G25" s="3">
        <f t="shared" si="12"/>
        <v>296.81599999999997</v>
      </c>
      <c r="H25" s="51">
        <f t="shared" si="6"/>
        <v>275.34262428571429</v>
      </c>
      <c r="I25" s="52">
        <f t="shared" si="13"/>
        <v>295.1526242857143</v>
      </c>
      <c r="J25" s="59">
        <f t="shared" si="7"/>
        <v>0</v>
      </c>
      <c r="K25" s="4"/>
      <c r="L25" s="20">
        <f t="shared" si="8"/>
        <v>0</v>
      </c>
      <c r="N25" s="43">
        <f t="shared" si="9"/>
        <v>14</v>
      </c>
      <c r="O25" s="44">
        <f t="shared" si="10"/>
        <v>7</v>
      </c>
      <c r="P25" s="41">
        <f t="shared" si="11"/>
        <v>0</v>
      </c>
      <c r="Q25" s="45">
        <f t="shared" si="14"/>
        <v>21</v>
      </c>
      <c r="V25" s="97">
        <v>45750</v>
      </c>
      <c r="W25">
        <v>130995</v>
      </c>
      <c r="X25" s="89" t="s">
        <v>36</v>
      </c>
      <c r="Z25" s="50">
        <v>0.77629629629629626</v>
      </c>
      <c r="AA25" s="50">
        <v>0.80506944444444439</v>
      </c>
      <c r="AD25" s="48">
        <v>16880</v>
      </c>
      <c r="AE25" s="48">
        <f t="shared" si="0"/>
        <v>16.88</v>
      </c>
      <c r="AF25">
        <v>13.84</v>
      </c>
      <c r="AG25" s="72">
        <f t="shared" si="1"/>
        <v>13.84</v>
      </c>
      <c r="AH25" s="37">
        <f t="shared" si="2"/>
        <v>16.687085714285711</v>
      </c>
      <c r="AJ25" s="21">
        <v>45751</v>
      </c>
      <c r="AK25" t="s">
        <v>160</v>
      </c>
      <c r="AL25" t="s">
        <v>5</v>
      </c>
      <c r="AN25" t="s">
        <v>352</v>
      </c>
      <c r="AO25" t="s">
        <v>353</v>
      </c>
      <c r="AP25" s="56">
        <v>2170</v>
      </c>
      <c r="AR25" s="96"/>
      <c r="AU25" s="38">
        <v>45751</v>
      </c>
      <c r="AW25" t="s">
        <v>5</v>
      </c>
      <c r="AY25" s="81">
        <v>0.50486111111111109</v>
      </c>
      <c r="AZ25" s="81"/>
      <c r="BA25" s="37">
        <v>5328</v>
      </c>
      <c r="BC25" s="96">
        <v>45751</v>
      </c>
    </row>
    <row r="26" spans="2:55" ht="16" x14ac:dyDescent="0.4">
      <c r="B26" s="1">
        <v>45764</v>
      </c>
      <c r="C26" s="2">
        <f t="shared" si="3"/>
        <v>295.41999999999996</v>
      </c>
      <c r="D26" s="2">
        <f t="shared" si="4"/>
        <v>43.45</v>
      </c>
      <c r="E26" s="2">
        <f t="shared" si="4"/>
        <v>0</v>
      </c>
      <c r="F26" s="32">
        <f t="shared" si="5"/>
        <v>0</v>
      </c>
      <c r="G26" s="3">
        <f t="shared" si="12"/>
        <v>338.86999999999995</v>
      </c>
      <c r="H26" s="51">
        <f t="shared" si="6"/>
        <v>295.01231571428571</v>
      </c>
      <c r="I26" s="52">
        <f t="shared" si="13"/>
        <v>338.46231571428569</v>
      </c>
      <c r="J26" s="59">
        <f t="shared" si="7"/>
        <v>0</v>
      </c>
      <c r="K26" s="4"/>
      <c r="L26" s="20">
        <f t="shared" si="8"/>
        <v>0</v>
      </c>
      <c r="N26" s="43">
        <f t="shared" si="9"/>
        <v>15</v>
      </c>
      <c r="O26" s="44">
        <f t="shared" si="10"/>
        <v>11</v>
      </c>
      <c r="P26" s="41">
        <f t="shared" si="11"/>
        <v>0</v>
      </c>
      <c r="Q26" s="45">
        <f t="shared" si="14"/>
        <v>26</v>
      </c>
      <c r="V26" s="97">
        <v>45750</v>
      </c>
      <c r="W26">
        <v>131021</v>
      </c>
      <c r="X26" s="89" t="s">
        <v>36</v>
      </c>
      <c r="Z26" s="50">
        <v>0.82378472222222221</v>
      </c>
      <c r="AA26" s="50">
        <v>0.84553240740740743</v>
      </c>
      <c r="AD26" s="48">
        <v>20074</v>
      </c>
      <c r="AE26" s="48">
        <f t="shared" si="0"/>
        <v>20.074000000000002</v>
      </c>
      <c r="AF26">
        <v>14.92</v>
      </c>
      <c r="AG26" s="72">
        <f t="shared" si="1"/>
        <v>14</v>
      </c>
      <c r="AH26" s="37">
        <f t="shared" si="2"/>
        <v>20.074000000000002</v>
      </c>
      <c r="AJ26" s="21">
        <v>45751</v>
      </c>
      <c r="AK26" t="s">
        <v>161</v>
      </c>
      <c r="AL26" t="s">
        <v>5</v>
      </c>
      <c r="AN26" t="s">
        <v>354</v>
      </c>
      <c r="AO26" t="s">
        <v>355</v>
      </c>
      <c r="AP26" s="56">
        <v>4060</v>
      </c>
      <c r="AR26" s="96"/>
      <c r="AU26" s="38">
        <v>45751</v>
      </c>
      <c r="AW26" t="s">
        <v>5</v>
      </c>
      <c r="AY26" s="81">
        <v>0.6069444444444444</v>
      </c>
      <c r="AZ26" s="81">
        <v>0.62291666666666667</v>
      </c>
      <c r="BA26" s="37">
        <v>1016</v>
      </c>
      <c r="BB26" t="s">
        <v>64</v>
      </c>
      <c r="BC26" s="96">
        <v>45751</v>
      </c>
    </row>
    <row r="27" spans="2:55" ht="16" x14ac:dyDescent="0.4">
      <c r="B27" s="1">
        <v>45765</v>
      </c>
      <c r="C27" s="2">
        <f t="shared" si="3"/>
        <v>151.87799999999999</v>
      </c>
      <c r="D27" s="2">
        <f t="shared" si="4"/>
        <v>0</v>
      </c>
      <c r="E27" s="2">
        <f t="shared" si="4"/>
        <v>0</v>
      </c>
      <c r="F27" s="32">
        <f t="shared" si="5"/>
        <v>0</v>
      </c>
      <c r="G27" s="3">
        <f t="shared" si="12"/>
        <v>151.87799999999999</v>
      </c>
      <c r="H27" s="51">
        <f t="shared" si="6"/>
        <v>146.91070000000002</v>
      </c>
      <c r="I27" s="52">
        <f t="shared" si="13"/>
        <v>146.91070000000002</v>
      </c>
      <c r="J27" s="59">
        <f t="shared" si="7"/>
        <v>0</v>
      </c>
      <c r="K27" s="4"/>
      <c r="L27" s="20">
        <f t="shared" si="8"/>
        <v>0</v>
      </c>
      <c r="N27" s="43">
        <f t="shared" si="9"/>
        <v>8</v>
      </c>
      <c r="O27" s="44">
        <f t="shared" si="10"/>
        <v>0</v>
      </c>
      <c r="P27" s="41">
        <f t="shared" si="11"/>
        <v>0</v>
      </c>
      <c r="Q27" s="45">
        <f t="shared" si="14"/>
        <v>8</v>
      </c>
      <c r="V27" s="97">
        <v>45750</v>
      </c>
      <c r="W27">
        <v>131047</v>
      </c>
      <c r="X27" s="89" t="s">
        <v>36</v>
      </c>
      <c r="Z27" s="50">
        <v>0.77615740740740735</v>
      </c>
      <c r="AA27" s="50">
        <v>0.88725694444444436</v>
      </c>
      <c r="AD27" s="48">
        <v>19818</v>
      </c>
      <c r="AE27" s="48">
        <f t="shared" si="0"/>
        <v>19.818000000000001</v>
      </c>
      <c r="AF27">
        <v>13.69</v>
      </c>
      <c r="AG27" s="72">
        <f t="shared" si="1"/>
        <v>13.69</v>
      </c>
      <c r="AH27" s="37">
        <f t="shared" si="2"/>
        <v>19.379172857142859</v>
      </c>
      <c r="AJ27" s="21">
        <v>45751</v>
      </c>
      <c r="AK27" t="s">
        <v>162</v>
      </c>
      <c r="AL27" t="s">
        <v>5</v>
      </c>
      <c r="AN27" t="s">
        <v>356</v>
      </c>
      <c r="AO27" t="s">
        <v>356</v>
      </c>
      <c r="AP27" s="56">
        <v>1920</v>
      </c>
      <c r="AR27" s="96"/>
      <c r="AU27" s="38">
        <v>45752</v>
      </c>
      <c r="AW27" t="s">
        <v>5</v>
      </c>
      <c r="AY27" s="81">
        <v>0.45277777777777778</v>
      </c>
      <c r="AZ27" s="81">
        <v>0.35069444444444442</v>
      </c>
      <c r="BA27" s="37">
        <v>3866</v>
      </c>
      <c r="BB27" t="s">
        <v>65</v>
      </c>
      <c r="BC27" s="96">
        <v>45752</v>
      </c>
    </row>
    <row r="28" spans="2:55" ht="16" x14ac:dyDescent="0.4">
      <c r="B28" s="1">
        <v>45766</v>
      </c>
      <c r="C28" s="2">
        <f t="shared" si="3"/>
        <v>165.92400000000001</v>
      </c>
      <c r="D28" s="2">
        <f t="shared" si="4"/>
        <v>31.46</v>
      </c>
      <c r="E28" s="2">
        <f t="shared" si="4"/>
        <v>0</v>
      </c>
      <c r="F28" s="32">
        <f t="shared" si="5"/>
        <v>0</v>
      </c>
      <c r="G28" s="3">
        <f t="shared" si="12"/>
        <v>197.38400000000001</v>
      </c>
      <c r="H28" s="51">
        <f t="shared" si="6"/>
        <v>162.5797</v>
      </c>
      <c r="I28" s="52">
        <f t="shared" si="13"/>
        <v>194.03970000000001</v>
      </c>
      <c r="J28" s="59">
        <f t="shared" si="7"/>
        <v>0</v>
      </c>
      <c r="K28" s="4"/>
      <c r="L28" s="20">
        <f t="shared" si="8"/>
        <v>0</v>
      </c>
      <c r="N28" s="43">
        <f t="shared" si="9"/>
        <v>8</v>
      </c>
      <c r="O28" s="44">
        <f t="shared" si="10"/>
        <v>9</v>
      </c>
      <c r="P28" s="41">
        <f t="shared" si="11"/>
        <v>0</v>
      </c>
      <c r="Q28" s="45">
        <f t="shared" si="14"/>
        <v>17</v>
      </c>
      <c r="V28" s="97">
        <v>45750</v>
      </c>
      <c r="W28">
        <v>131064</v>
      </c>
      <c r="X28" s="89" t="s">
        <v>36</v>
      </c>
      <c r="Z28" s="50">
        <v>0.82368055555555564</v>
      </c>
      <c r="AA28" s="50">
        <v>0.9290046296296296</v>
      </c>
      <c r="AD28" s="48">
        <v>19560</v>
      </c>
      <c r="AE28" s="48">
        <f t="shared" si="0"/>
        <v>19.559999999999999</v>
      </c>
      <c r="AF28">
        <v>14.53</v>
      </c>
      <c r="AG28" s="72">
        <f t="shared" si="1"/>
        <v>14</v>
      </c>
      <c r="AH28" s="37">
        <f t="shared" si="2"/>
        <v>19.559999999999999</v>
      </c>
      <c r="AJ28" s="21">
        <v>45751</v>
      </c>
      <c r="AK28" t="s">
        <v>163</v>
      </c>
      <c r="AL28" t="s">
        <v>5</v>
      </c>
      <c r="AN28" t="s">
        <v>357</v>
      </c>
      <c r="AO28" t="s">
        <v>358</v>
      </c>
      <c r="AP28" s="56">
        <v>6820</v>
      </c>
      <c r="AR28" s="96"/>
      <c r="AU28" s="38">
        <v>45750</v>
      </c>
      <c r="AW28" t="s">
        <v>5</v>
      </c>
      <c r="AY28" s="81">
        <v>0.44097222222222227</v>
      </c>
      <c r="AZ28" s="81">
        <v>0.46666666666666662</v>
      </c>
      <c r="BA28" s="37">
        <v>3416</v>
      </c>
      <c r="BB28" t="s">
        <v>66</v>
      </c>
      <c r="BC28" s="96">
        <v>45752</v>
      </c>
    </row>
    <row r="29" spans="2:55" ht="16" x14ac:dyDescent="0.4">
      <c r="B29" s="1">
        <v>45767</v>
      </c>
      <c r="C29" s="2">
        <f t="shared" si="3"/>
        <v>97.53</v>
      </c>
      <c r="D29" s="2">
        <f t="shared" si="4"/>
        <v>10.29</v>
      </c>
      <c r="E29" s="2">
        <f t="shared" si="4"/>
        <v>0</v>
      </c>
      <c r="F29" s="32">
        <f t="shared" si="5"/>
        <v>0</v>
      </c>
      <c r="G29" s="3">
        <f t="shared" si="12"/>
        <v>107.82</v>
      </c>
      <c r="H29" s="51">
        <f t="shared" si="6"/>
        <v>94.204565714285721</v>
      </c>
      <c r="I29" s="52">
        <f t="shared" si="13"/>
        <v>104.49456571428573</v>
      </c>
      <c r="J29" s="59">
        <f t="shared" si="7"/>
        <v>0</v>
      </c>
      <c r="K29" s="4"/>
      <c r="L29" s="20">
        <f t="shared" si="8"/>
        <v>0</v>
      </c>
      <c r="N29" s="43">
        <f t="shared" si="9"/>
        <v>5</v>
      </c>
      <c r="O29" s="44">
        <f t="shared" si="10"/>
        <v>3</v>
      </c>
      <c r="P29" s="41">
        <f t="shared" si="11"/>
        <v>0</v>
      </c>
      <c r="Q29" s="45">
        <f t="shared" si="14"/>
        <v>8</v>
      </c>
      <c r="V29" s="97">
        <v>45750</v>
      </c>
      <c r="W29">
        <v>131092</v>
      </c>
      <c r="X29" s="89" t="s">
        <v>36</v>
      </c>
      <c r="Z29" s="50">
        <v>0.77572916666666669</v>
      </c>
      <c r="AA29" s="50">
        <v>2.4421296296296296E-3</v>
      </c>
      <c r="AD29" s="48">
        <v>20318</v>
      </c>
      <c r="AE29" s="48">
        <f t="shared" si="0"/>
        <v>20.318000000000001</v>
      </c>
      <c r="AF29">
        <v>14.14</v>
      </c>
      <c r="AG29" s="72">
        <f t="shared" si="1"/>
        <v>14</v>
      </c>
      <c r="AH29" s="37">
        <f t="shared" si="2"/>
        <v>20.318000000000001</v>
      </c>
      <c r="AJ29" s="21">
        <v>45751</v>
      </c>
      <c r="AK29" t="s">
        <v>164</v>
      </c>
      <c r="AL29" t="s">
        <v>5</v>
      </c>
      <c r="AN29" t="s">
        <v>359</v>
      </c>
      <c r="AO29" t="s">
        <v>360</v>
      </c>
      <c r="AP29" s="56">
        <v>4380</v>
      </c>
      <c r="AR29" s="96"/>
      <c r="AU29" s="38">
        <v>45752</v>
      </c>
      <c r="AW29" t="s">
        <v>5</v>
      </c>
      <c r="AY29" s="81">
        <v>0.46666666666666662</v>
      </c>
      <c r="AZ29" s="81">
        <v>0.42499999999999999</v>
      </c>
      <c r="BA29" s="37">
        <v>2890</v>
      </c>
      <c r="BB29" t="s">
        <v>67</v>
      </c>
      <c r="BC29" s="96">
        <v>45752</v>
      </c>
    </row>
    <row r="30" spans="2:55" ht="16" x14ac:dyDescent="0.4">
      <c r="B30" s="1">
        <v>45768</v>
      </c>
      <c r="C30" s="2">
        <f t="shared" si="3"/>
        <v>0</v>
      </c>
      <c r="D30" s="2">
        <f t="shared" si="4"/>
        <v>32.619999999999997</v>
      </c>
      <c r="E30" s="2">
        <f t="shared" si="4"/>
        <v>0</v>
      </c>
      <c r="F30" s="32">
        <f t="shared" si="5"/>
        <v>0</v>
      </c>
      <c r="G30" s="3">
        <f t="shared" si="12"/>
        <v>32.619999999999997</v>
      </c>
      <c r="H30" s="51">
        <f t="shared" si="6"/>
        <v>0</v>
      </c>
      <c r="I30" s="52">
        <f t="shared" si="13"/>
        <v>32.619999999999997</v>
      </c>
      <c r="J30" s="59">
        <f t="shared" si="7"/>
        <v>0</v>
      </c>
      <c r="K30" s="4"/>
      <c r="L30" s="20">
        <f t="shared" si="8"/>
        <v>0</v>
      </c>
      <c r="N30" s="43">
        <f t="shared" si="9"/>
        <v>0</v>
      </c>
      <c r="O30" s="44">
        <f t="shared" si="10"/>
        <v>10</v>
      </c>
      <c r="P30" s="41">
        <f t="shared" si="11"/>
        <v>0</v>
      </c>
      <c r="Q30" s="45">
        <f t="shared" si="14"/>
        <v>10</v>
      </c>
      <c r="V30" s="97">
        <v>45751</v>
      </c>
      <c r="W30">
        <v>131103</v>
      </c>
      <c r="X30" s="89" t="s">
        <v>36</v>
      </c>
      <c r="Z30" s="50">
        <v>0.82355324074074077</v>
      </c>
      <c r="AA30" s="50">
        <v>4.8518518518518516E-2</v>
      </c>
      <c r="AD30" s="48">
        <v>20588</v>
      </c>
      <c r="AE30" s="48">
        <f t="shared" si="0"/>
        <v>20.588000000000001</v>
      </c>
      <c r="AF30">
        <v>14.02</v>
      </c>
      <c r="AG30" s="72">
        <f t="shared" si="1"/>
        <v>14</v>
      </c>
      <c r="AH30" s="37">
        <f t="shared" si="2"/>
        <v>20.588000000000001</v>
      </c>
      <c r="AJ30" s="21">
        <v>45751</v>
      </c>
      <c r="AK30" t="s">
        <v>165</v>
      </c>
      <c r="AL30" t="s">
        <v>5</v>
      </c>
      <c r="AN30" t="s">
        <v>361</v>
      </c>
      <c r="AO30" t="s">
        <v>362</v>
      </c>
      <c r="AP30" s="56">
        <v>1010</v>
      </c>
      <c r="AR30" s="38"/>
      <c r="AU30" s="38">
        <v>45752</v>
      </c>
      <c r="AW30" t="s">
        <v>4</v>
      </c>
      <c r="AY30" s="39">
        <v>0.4368055555555555</v>
      </c>
      <c r="AZ30" s="39">
        <v>0.44791666666666669</v>
      </c>
      <c r="BA30" s="37">
        <v>5394</v>
      </c>
      <c r="BC30" s="38">
        <v>45752</v>
      </c>
    </row>
    <row r="31" spans="2:55" ht="16" x14ac:dyDescent="0.4">
      <c r="B31" s="1">
        <v>45769</v>
      </c>
      <c r="C31" s="2">
        <f t="shared" si="3"/>
        <v>73.525999999999996</v>
      </c>
      <c r="D31" s="2">
        <f t="shared" si="4"/>
        <v>10.32</v>
      </c>
      <c r="E31" s="2">
        <f t="shared" si="4"/>
        <v>0</v>
      </c>
      <c r="F31" s="32">
        <f t="shared" si="5"/>
        <v>0</v>
      </c>
      <c r="G31" s="3">
        <f t="shared" si="12"/>
        <v>83.846000000000004</v>
      </c>
      <c r="H31" s="51">
        <f t="shared" si="6"/>
        <v>73.005619999999993</v>
      </c>
      <c r="I31" s="52">
        <f t="shared" si="13"/>
        <v>83.325619999999986</v>
      </c>
      <c r="J31" s="59">
        <f t="shared" si="7"/>
        <v>0</v>
      </c>
      <c r="K31" s="4"/>
      <c r="L31" s="20">
        <f t="shared" si="8"/>
        <v>0</v>
      </c>
      <c r="N31" s="43">
        <f t="shared" si="9"/>
        <v>4</v>
      </c>
      <c r="O31" s="44">
        <f t="shared" si="10"/>
        <v>3</v>
      </c>
      <c r="P31" s="41">
        <f t="shared" si="11"/>
        <v>0</v>
      </c>
      <c r="Q31" s="45">
        <f t="shared" si="14"/>
        <v>7</v>
      </c>
      <c r="V31" s="97">
        <v>45751</v>
      </c>
      <c r="W31">
        <v>131123</v>
      </c>
      <c r="X31" s="89" t="s">
        <v>36</v>
      </c>
      <c r="Z31" s="50">
        <v>4.3912037037037034E-2</v>
      </c>
      <c r="AA31" s="50">
        <v>0.10302083333333334</v>
      </c>
      <c r="AD31" s="48">
        <v>20924</v>
      </c>
      <c r="AE31" s="48">
        <f t="shared" si="0"/>
        <v>20.923999999999999</v>
      </c>
      <c r="AF31">
        <v>14.27</v>
      </c>
      <c r="AG31" s="72">
        <f t="shared" si="1"/>
        <v>14</v>
      </c>
      <c r="AH31" s="37">
        <f t="shared" si="2"/>
        <v>20.923999999999999</v>
      </c>
      <c r="AJ31" s="21">
        <v>45752</v>
      </c>
      <c r="AK31" t="s">
        <v>166</v>
      </c>
      <c r="AL31" t="s">
        <v>5</v>
      </c>
      <c r="AN31" t="s">
        <v>363</v>
      </c>
      <c r="AO31" t="s">
        <v>363</v>
      </c>
      <c r="AP31" s="56">
        <v>3720</v>
      </c>
      <c r="AR31" s="38"/>
      <c r="AU31" s="38">
        <v>45752</v>
      </c>
      <c r="AW31" t="s">
        <v>5</v>
      </c>
      <c r="AY31" s="39">
        <v>0.57638888888888895</v>
      </c>
      <c r="AZ31" s="39">
        <v>0.58958333333333335</v>
      </c>
      <c r="BA31" s="37">
        <v>1078</v>
      </c>
      <c r="BB31" t="s">
        <v>65</v>
      </c>
      <c r="BC31" s="38">
        <v>45752</v>
      </c>
    </row>
    <row r="32" spans="2:55" ht="16" x14ac:dyDescent="0.4">
      <c r="B32" s="1">
        <v>45770</v>
      </c>
      <c r="C32" s="2">
        <f t="shared" si="3"/>
        <v>181.54400000000001</v>
      </c>
      <c r="D32" s="2">
        <f t="shared" si="4"/>
        <v>27.53</v>
      </c>
      <c r="E32" s="2">
        <f t="shared" si="4"/>
        <v>0</v>
      </c>
      <c r="F32" s="32">
        <f t="shared" si="5"/>
        <v>0</v>
      </c>
      <c r="G32" s="3">
        <f t="shared" si="12"/>
        <v>209.07400000000001</v>
      </c>
      <c r="H32" s="51">
        <f t="shared" si="6"/>
        <v>179.97735857142857</v>
      </c>
      <c r="I32" s="52">
        <f t="shared" si="13"/>
        <v>207.50735857142857</v>
      </c>
      <c r="J32" s="59">
        <f t="shared" si="7"/>
        <v>0</v>
      </c>
      <c r="K32" s="4"/>
      <c r="L32" s="20">
        <f t="shared" si="8"/>
        <v>0</v>
      </c>
      <c r="N32" s="43">
        <f t="shared" si="9"/>
        <v>9</v>
      </c>
      <c r="O32" s="44">
        <f t="shared" si="10"/>
        <v>7</v>
      </c>
      <c r="P32" s="41">
        <f t="shared" si="11"/>
        <v>0</v>
      </c>
      <c r="Q32" s="45">
        <f t="shared" si="14"/>
        <v>16</v>
      </c>
      <c r="V32" s="97">
        <v>45751</v>
      </c>
      <c r="W32">
        <v>131129</v>
      </c>
      <c r="X32" s="89" t="s">
        <v>36</v>
      </c>
      <c r="Z32" s="50">
        <v>8.8703703703703715E-2</v>
      </c>
      <c r="AA32" s="50">
        <v>0.13612268518518519</v>
      </c>
      <c r="AD32" s="48">
        <v>19434</v>
      </c>
      <c r="AE32" s="48">
        <f t="shared" si="0"/>
        <v>19.434000000000001</v>
      </c>
      <c r="AF32">
        <v>13.63</v>
      </c>
      <c r="AG32" s="72">
        <f t="shared" si="1"/>
        <v>13.63</v>
      </c>
      <c r="AH32" s="37">
        <f t="shared" si="2"/>
        <v>18.920387142857145</v>
      </c>
      <c r="AJ32" s="21">
        <v>45752</v>
      </c>
      <c r="AK32" t="s">
        <v>167</v>
      </c>
      <c r="AL32" t="s">
        <v>5</v>
      </c>
      <c r="AN32" t="s">
        <v>364</v>
      </c>
      <c r="AO32" t="s">
        <v>365</v>
      </c>
      <c r="AP32" s="56">
        <v>2660</v>
      </c>
      <c r="AR32" s="38"/>
      <c r="AU32" s="38">
        <v>45752</v>
      </c>
      <c r="AW32" t="s">
        <v>5</v>
      </c>
      <c r="AY32" s="39">
        <v>0.43541666666666662</v>
      </c>
      <c r="AZ32" s="39">
        <v>0.45694444444444443</v>
      </c>
      <c r="BA32" s="37">
        <v>3628</v>
      </c>
      <c r="BB32" t="s">
        <v>65</v>
      </c>
      <c r="BC32" s="38">
        <v>45752</v>
      </c>
    </row>
    <row r="33" spans="2:55" ht="16" x14ac:dyDescent="0.4">
      <c r="B33" s="1">
        <v>45771</v>
      </c>
      <c r="C33" s="2">
        <f t="shared" si="3"/>
        <v>315.524</v>
      </c>
      <c r="D33" s="2">
        <f t="shared" si="4"/>
        <v>50.93</v>
      </c>
      <c r="E33" s="2">
        <f t="shared" si="4"/>
        <v>7.33</v>
      </c>
      <c r="F33" s="32">
        <f t="shared" si="5"/>
        <v>0</v>
      </c>
      <c r="G33" s="3">
        <f t="shared" si="12"/>
        <v>373.78399999999999</v>
      </c>
      <c r="H33" s="51">
        <f t="shared" si="6"/>
        <v>312.65294428571428</v>
      </c>
      <c r="I33" s="52">
        <f t="shared" si="13"/>
        <v>370.91294428571427</v>
      </c>
      <c r="J33" s="59">
        <f t="shared" si="7"/>
        <v>0</v>
      </c>
      <c r="K33" s="4"/>
      <c r="L33" s="20">
        <f t="shared" si="8"/>
        <v>0</v>
      </c>
      <c r="N33" s="43">
        <f t="shared" si="9"/>
        <v>15</v>
      </c>
      <c r="O33" s="44">
        <f t="shared" si="10"/>
        <v>14</v>
      </c>
      <c r="P33" s="41">
        <f t="shared" si="11"/>
        <v>1</v>
      </c>
      <c r="Q33" s="45">
        <f t="shared" si="14"/>
        <v>30</v>
      </c>
      <c r="V33" s="97">
        <v>45751</v>
      </c>
      <c r="W33">
        <v>131163</v>
      </c>
      <c r="X33" s="89" t="s">
        <v>36</v>
      </c>
      <c r="Z33" s="50">
        <v>4.3750000000000004E-2</v>
      </c>
      <c r="AA33" s="50">
        <v>0.30277777777777776</v>
      </c>
      <c r="AD33" s="48">
        <v>18958</v>
      </c>
      <c r="AE33" s="48">
        <f t="shared" si="0"/>
        <v>18.957999999999998</v>
      </c>
      <c r="AF33">
        <v>14.66</v>
      </c>
      <c r="AG33" s="72">
        <f t="shared" si="1"/>
        <v>14</v>
      </c>
      <c r="AH33" s="37">
        <f t="shared" si="2"/>
        <v>18.957999999999998</v>
      </c>
      <c r="AJ33" s="21">
        <v>45752</v>
      </c>
      <c r="AK33" t="s">
        <v>168</v>
      </c>
      <c r="AL33" t="s">
        <v>5</v>
      </c>
      <c r="AN33" t="s">
        <v>366</v>
      </c>
      <c r="AO33" t="s">
        <v>366</v>
      </c>
      <c r="AP33" s="56">
        <v>3610</v>
      </c>
      <c r="AR33" s="38"/>
      <c r="AU33" s="38">
        <v>45754</v>
      </c>
      <c r="AW33" t="s">
        <v>5</v>
      </c>
      <c r="AY33" s="39">
        <v>0.43842592592592594</v>
      </c>
      <c r="AZ33" s="39">
        <v>0.45591435185185186</v>
      </c>
      <c r="BA33" s="37">
        <v>5290</v>
      </c>
      <c r="BB33" t="s">
        <v>68</v>
      </c>
      <c r="BC33" s="38">
        <v>45754</v>
      </c>
    </row>
    <row r="34" spans="2:55" ht="16" x14ac:dyDescent="0.4">
      <c r="B34" s="1">
        <v>45772</v>
      </c>
      <c r="C34" s="2">
        <f t="shared" si="3"/>
        <v>244.88599999999997</v>
      </c>
      <c r="D34" s="2">
        <f t="shared" si="4"/>
        <v>49.23</v>
      </c>
      <c r="E34" s="2">
        <f t="shared" si="4"/>
        <v>0</v>
      </c>
      <c r="F34" s="32">
        <f t="shared" si="5"/>
        <v>0</v>
      </c>
      <c r="G34" s="3">
        <f t="shared" si="12"/>
        <v>294.11599999999999</v>
      </c>
      <c r="H34" s="51">
        <f t="shared" si="6"/>
        <v>240.64352142857138</v>
      </c>
      <c r="I34" s="52">
        <f t="shared" si="13"/>
        <v>289.87352142857139</v>
      </c>
      <c r="J34" s="59">
        <f t="shared" si="7"/>
        <v>0</v>
      </c>
      <c r="K34" s="4"/>
      <c r="L34" s="20">
        <f t="shared" si="8"/>
        <v>0</v>
      </c>
      <c r="N34" s="43">
        <f t="shared" si="9"/>
        <v>12</v>
      </c>
      <c r="O34" s="44">
        <f t="shared" si="10"/>
        <v>13</v>
      </c>
      <c r="P34" s="41">
        <f t="shared" si="11"/>
        <v>0</v>
      </c>
      <c r="Q34" s="45">
        <f t="shared" si="14"/>
        <v>25</v>
      </c>
      <c r="V34" s="97">
        <v>45751</v>
      </c>
      <c r="W34">
        <v>131249</v>
      </c>
      <c r="X34" s="89" t="s">
        <v>36</v>
      </c>
      <c r="Z34" s="50">
        <v>0.25833333333333336</v>
      </c>
      <c r="AA34" s="50">
        <v>0.3833333333333333</v>
      </c>
      <c r="AD34" s="48">
        <v>20472</v>
      </c>
      <c r="AE34" s="48">
        <f t="shared" si="0"/>
        <v>20.472000000000001</v>
      </c>
      <c r="AF34">
        <v>13.73</v>
      </c>
      <c r="AG34" s="72">
        <f t="shared" si="1"/>
        <v>13.73</v>
      </c>
      <c r="AH34" s="37">
        <f t="shared" si="2"/>
        <v>20.077182857142862</v>
      </c>
      <c r="AJ34" s="21">
        <v>45752</v>
      </c>
      <c r="AK34" t="s">
        <v>169</v>
      </c>
      <c r="AL34" t="s">
        <v>5</v>
      </c>
      <c r="AN34" t="s">
        <v>367</v>
      </c>
      <c r="AO34" t="s">
        <v>367</v>
      </c>
      <c r="AP34" s="56">
        <v>5200</v>
      </c>
      <c r="AR34" s="38"/>
      <c r="AU34" s="38">
        <v>45755</v>
      </c>
      <c r="AW34" t="s">
        <v>5</v>
      </c>
      <c r="AY34" s="39">
        <v>0.4869560185185185</v>
      </c>
      <c r="AZ34" s="39">
        <v>0.50589120370370366</v>
      </c>
      <c r="BA34" s="37">
        <v>3006</v>
      </c>
      <c r="BB34" t="s">
        <v>69</v>
      </c>
      <c r="BC34" s="38">
        <v>45755</v>
      </c>
    </row>
    <row r="35" spans="2:55" ht="16" x14ac:dyDescent="0.4">
      <c r="B35" s="1">
        <v>45773</v>
      </c>
      <c r="C35" s="2">
        <f t="shared" si="3"/>
        <v>306.28999999999996</v>
      </c>
      <c r="D35" s="2">
        <f t="shared" si="4"/>
        <v>37.700000000000003</v>
      </c>
      <c r="E35" s="2">
        <f t="shared" si="4"/>
        <v>0</v>
      </c>
      <c r="F35" s="32">
        <f t="shared" si="5"/>
        <v>0</v>
      </c>
      <c r="G35" s="3">
        <f t="shared" si="12"/>
        <v>343.98999999999995</v>
      </c>
      <c r="H35" s="51">
        <f t="shared" si="6"/>
        <v>305.03408857142853</v>
      </c>
      <c r="I35" s="52">
        <f t="shared" si="13"/>
        <v>342.73408857142852</v>
      </c>
      <c r="J35" s="59">
        <f t="shared" si="7"/>
        <v>0</v>
      </c>
      <c r="K35" s="4"/>
      <c r="L35" s="20">
        <f t="shared" si="8"/>
        <v>0</v>
      </c>
      <c r="N35" s="43">
        <f t="shared" si="9"/>
        <v>15</v>
      </c>
      <c r="O35" s="44">
        <f t="shared" si="10"/>
        <v>10</v>
      </c>
      <c r="P35" s="41">
        <f t="shared" si="11"/>
        <v>0</v>
      </c>
      <c r="Q35" s="45">
        <f t="shared" si="14"/>
        <v>25</v>
      </c>
      <c r="V35" s="97">
        <v>45751</v>
      </c>
      <c r="W35">
        <v>131321</v>
      </c>
      <c r="X35" s="89" t="s">
        <v>36</v>
      </c>
      <c r="Z35" s="50">
        <v>0.26111111111111113</v>
      </c>
      <c r="AA35" s="50">
        <v>0.47430555555555554</v>
      </c>
      <c r="AD35" s="48">
        <v>20470</v>
      </c>
      <c r="AE35" s="48">
        <f t="shared" si="0"/>
        <v>20.47</v>
      </c>
      <c r="AF35">
        <v>13.02</v>
      </c>
      <c r="AG35" s="72">
        <f t="shared" si="1"/>
        <v>13.02</v>
      </c>
      <c r="AH35" s="37">
        <f t="shared" si="2"/>
        <v>19.037099999999999</v>
      </c>
      <c r="AJ35" s="21">
        <v>45752</v>
      </c>
      <c r="AK35" t="s">
        <v>170</v>
      </c>
      <c r="AL35" t="s">
        <v>4</v>
      </c>
      <c r="AN35" t="s">
        <v>368</v>
      </c>
      <c r="AO35" t="s">
        <v>369</v>
      </c>
      <c r="AP35" s="56">
        <v>5540</v>
      </c>
      <c r="AR35" s="38"/>
      <c r="AU35" s="38">
        <v>45755</v>
      </c>
      <c r="AW35" t="s">
        <v>5</v>
      </c>
      <c r="AY35" s="39">
        <v>0.3868287037037037</v>
      </c>
      <c r="AZ35" s="39">
        <v>0.46453703703703703</v>
      </c>
      <c r="BA35" s="37">
        <v>1856</v>
      </c>
      <c r="BC35" s="38">
        <v>45755</v>
      </c>
    </row>
    <row r="36" spans="2:55" ht="16" x14ac:dyDescent="0.4">
      <c r="B36" s="1">
        <v>45774</v>
      </c>
      <c r="C36" s="2">
        <f t="shared" si="3"/>
        <v>122.654</v>
      </c>
      <c r="D36" s="2">
        <f t="shared" si="4"/>
        <v>0</v>
      </c>
      <c r="E36" s="2">
        <f t="shared" si="4"/>
        <v>0</v>
      </c>
      <c r="F36" s="32">
        <f t="shared" si="5"/>
        <v>0</v>
      </c>
      <c r="G36" s="3">
        <f t="shared" si="12"/>
        <v>122.654</v>
      </c>
      <c r="H36" s="51">
        <f t="shared" si="6"/>
        <v>121.0421</v>
      </c>
      <c r="I36" s="52">
        <f t="shared" si="13"/>
        <v>121.0421</v>
      </c>
      <c r="J36" s="59">
        <f t="shared" si="7"/>
        <v>0</v>
      </c>
      <c r="K36" s="4"/>
      <c r="L36" s="20">
        <f t="shared" si="8"/>
        <v>0</v>
      </c>
      <c r="N36" s="43">
        <f t="shared" si="9"/>
        <v>6</v>
      </c>
      <c r="O36" s="44">
        <f t="shared" si="10"/>
        <v>0</v>
      </c>
      <c r="P36" s="41">
        <f t="shared" si="11"/>
        <v>0</v>
      </c>
      <c r="Q36" s="45">
        <f t="shared" si="14"/>
        <v>6</v>
      </c>
      <c r="V36" s="97">
        <v>45751</v>
      </c>
      <c r="W36">
        <v>131340</v>
      </c>
      <c r="X36" s="89" t="s">
        <v>36</v>
      </c>
      <c r="Z36" s="50">
        <v>4.3055555555555562E-2</v>
      </c>
      <c r="AA36" s="50">
        <v>0.5395833333333333</v>
      </c>
      <c r="AD36" s="48">
        <v>20754</v>
      </c>
      <c r="AE36" s="48">
        <f t="shared" si="0"/>
        <v>20.754000000000001</v>
      </c>
      <c r="AF36">
        <v>13.59</v>
      </c>
      <c r="AG36" s="72">
        <f t="shared" si="1"/>
        <v>13.59</v>
      </c>
      <c r="AH36" s="37">
        <f t="shared" si="2"/>
        <v>20.146204285714287</v>
      </c>
      <c r="AJ36" s="21">
        <v>45752</v>
      </c>
      <c r="AK36" t="s">
        <v>171</v>
      </c>
      <c r="AL36" t="s">
        <v>5</v>
      </c>
      <c r="AN36" t="s">
        <v>370</v>
      </c>
      <c r="AO36" t="s">
        <v>370</v>
      </c>
      <c r="AP36" s="56">
        <v>1090</v>
      </c>
      <c r="AR36" s="38"/>
      <c r="AU36" s="38">
        <v>45756</v>
      </c>
      <c r="AW36" t="s">
        <v>5</v>
      </c>
      <c r="AY36" s="39">
        <v>0.45967592592592593</v>
      </c>
      <c r="AZ36" s="39">
        <v>0.48239583333333336</v>
      </c>
      <c r="BA36" s="37">
        <v>4602</v>
      </c>
      <c r="BB36" t="s">
        <v>70</v>
      </c>
      <c r="BC36" s="38">
        <v>45756</v>
      </c>
    </row>
    <row r="37" spans="2:55" ht="16" x14ac:dyDescent="0.4">
      <c r="B37" s="1">
        <v>45775</v>
      </c>
      <c r="C37" s="2">
        <f t="shared" si="3"/>
        <v>62.796000000000006</v>
      </c>
      <c r="D37" s="2">
        <f t="shared" si="4"/>
        <v>54.52</v>
      </c>
      <c r="E37" s="2">
        <f t="shared" si="4"/>
        <v>5.61</v>
      </c>
      <c r="F37" s="32">
        <f t="shared" si="5"/>
        <v>0</v>
      </c>
      <c r="G37" s="3">
        <f t="shared" si="12"/>
        <v>122.926</v>
      </c>
      <c r="H37" s="51">
        <f t="shared" si="6"/>
        <v>62.796000000000006</v>
      </c>
      <c r="I37" s="52">
        <f t="shared" si="13"/>
        <v>122.926</v>
      </c>
      <c r="J37" s="59">
        <f t="shared" si="7"/>
        <v>0</v>
      </c>
      <c r="K37" s="4"/>
      <c r="L37" s="20">
        <f t="shared" si="8"/>
        <v>0</v>
      </c>
      <c r="N37" s="43">
        <f t="shared" si="9"/>
        <v>3</v>
      </c>
      <c r="O37" s="44">
        <f t="shared" si="10"/>
        <v>16</v>
      </c>
      <c r="P37" s="41">
        <f t="shared" si="11"/>
        <v>1</v>
      </c>
      <c r="Q37" s="45">
        <f t="shared" si="14"/>
        <v>20</v>
      </c>
      <c r="V37" s="97">
        <v>45751</v>
      </c>
      <c r="W37">
        <v>131428</v>
      </c>
      <c r="X37" s="89" t="s">
        <v>36</v>
      </c>
      <c r="Z37" s="50">
        <v>8.819444444444445E-2</v>
      </c>
      <c r="AA37" s="50">
        <v>0.60347222222222219</v>
      </c>
      <c r="AD37" s="48">
        <v>20528</v>
      </c>
      <c r="AE37" s="48">
        <f t="shared" si="0"/>
        <v>20.527999999999999</v>
      </c>
      <c r="AF37">
        <v>14.41</v>
      </c>
      <c r="AG37" s="72">
        <f t="shared" si="1"/>
        <v>14</v>
      </c>
      <c r="AH37" s="37">
        <f t="shared" si="2"/>
        <v>20.527999999999999</v>
      </c>
      <c r="AJ37" s="21">
        <v>45754</v>
      </c>
      <c r="AK37" t="s">
        <v>172</v>
      </c>
      <c r="AL37" t="s">
        <v>5</v>
      </c>
      <c r="AN37" t="s">
        <v>371</v>
      </c>
      <c r="AO37" t="s">
        <v>372</v>
      </c>
      <c r="AP37" s="56">
        <v>5100</v>
      </c>
      <c r="AR37" s="38"/>
      <c r="AU37" s="38">
        <v>45756</v>
      </c>
      <c r="AW37" t="s">
        <v>5</v>
      </c>
      <c r="AY37" s="39">
        <v>0.47337962962962959</v>
      </c>
      <c r="AZ37" s="39">
        <v>0.4878587962962963</v>
      </c>
      <c r="BA37" s="37">
        <v>4830</v>
      </c>
      <c r="BB37" t="s">
        <v>71</v>
      </c>
      <c r="BC37" s="38">
        <v>45756</v>
      </c>
    </row>
    <row r="38" spans="2:55" ht="16" x14ac:dyDescent="0.4">
      <c r="B38" s="1">
        <v>45776</v>
      </c>
      <c r="C38" s="2">
        <f t="shared" si="3"/>
        <v>289.90999999999997</v>
      </c>
      <c r="D38" s="2">
        <f t="shared" si="4"/>
        <v>41.72</v>
      </c>
      <c r="E38" s="2">
        <f t="shared" si="4"/>
        <v>0</v>
      </c>
      <c r="F38" s="32">
        <f t="shared" si="5"/>
        <v>0</v>
      </c>
      <c r="G38" s="3">
        <f t="shared" si="12"/>
        <v>331.63</v>
      </c>
      <c r="H38" s="51">
        <f t="shared" si="6"/>
        <v>286.28045999999995</v>
      </c>
      <c r="I38" s="52">
        <f t="shared" si="13"/>
        <v>328.00045999999998</v>
      </c>
      <c r="J38" s="59">
        <f t="shared" si="7"/>
        <v>0</v>
      </c>
      <c r="K38" s="4"/>
      <c r="L38" s="20">
        <f t="shared" si="8"/>
        <v>0</v>
      </c>
      <c r="N38" s="43">
        <f t="shared" si="9"/>
        <v>14</v>
      </c>
      <c r="O38" s="44">
        <f t="shared" si="10"/>
        <v>12</v>
      </c>
      <c r="P38" s="41">
        <f t="shared" si="11"/>
        <v>0</v>
      </c>
      <c r="Q38" s="45">
        <f t="shared" si="14"/>
        <v>26</v>
      </c>
      <c r="V38" s="97">
        <v>45751</v>
      </c>
      <c r="W38">
        <v>131463</v>
      </c>
      <c r="X38" s="89" t="s">
        <v>36</v>
      </c>
      <c r="Z38" s="50">
        <v>0.59027777777777779</v>
      </c>
      <c r="AA38" s="50">
        <v>0.66736111111111107</v>
      </c>
      <c r="AD38" s="48">
        <v>18988</v>
      </c>
      <c r="AE38" s="48">
        <f t="shared" si="0"/>
        <v>18.988</v>
      </c>
      <c r="AF38">
        <v>15.16</v>
      </c>
      <c r="AG38" s="72">
        <f t="shared" si="1"/>
        <v>14</v>
      </c>
      <c r="AH38" s="37">
        <f t="shared" si="2"/>
        <v>18.988</v>
      </c>
      <c r="AJ38" s="21">
        <v>45755</v>
      </c>
      <c r="AK38" t="s">
        <v>173</v>
      </c>
      <c r="AL38" t="s">
        <v>5</v>
      </c>
      <c r="AN38" t="s">
        <v>373</v>
      </c>
      <c r="AO38" t="s">
        <v>374</v>
      </c>
      <c r="AP38" s="56">
        <v>4350</v>
      </c>
      <c r="AR38" s="38"/>
      <c r="AU38" s="38">
        <v>45756</v>
      </c>
      <c r="AW38" t="s">
        <v>5</v>
      </c>
      <c r="AY38" s="39">
        <v>0.41252314814814817</v>
      </c>
      <c r="AZ38" s="39">
        <v>0.45249999999999996</v>
      </c>
      <c r="BA38" s="37">
        <v>4446</v>
      </c>
      <c r="BB38" t="s">
        <v>69</v>
      </c>
      <c r="BC38" s="38">
        <v>45756</v>
      </c>
    </row>
    <row r="39" spans="2:55" ht="16" x14ac:dyDescent="0.4">
      <c r="B39" s="1">
        <v>45777</v>
      </c>
      <c r="C39" s="2">
        <f t="shared" si="3"/>
        <v>340.28</v>
      </c>
      <c r="D39" s="2">
        <f t="shared" ref="D39:E39" si="15">SUMIFS($AP:$AP,$AJ:$AJ,$B39,$AL:$AL,D$7)/1000</f>
        <v>30.45</v>
      </c>
      <c r="E39" s="2">
        <f t="shared" si="15"/>
        <v>0</v>
      </c>
      <c r="F39" s="32">
        <f t="shared" si="5"/>
        <v>0</v>
      </c>
      <c r="G39" s="3">
        <f t="shared" si="12"/>
        <v>370.72999999999996</v>
      </c>
      <c r="H39" s="51">
        <f t="shared" si="6"/>
        <v>339.10312571428562</v>
      </c>
      <c r="I39" s="52">
        <f t="shared" si="13"/>
        <v>369.55312571428561</v>
      </c>
      <c r="J39" s="59">
        <f t="shared" si="7"/>
        <v>0</v>
      </c>
      <c r="K39" s="4"/>
      <c r="L39" s="20">
        <f t="shared" si="8"/>
        <v>0</v>
      </c>
      <c r="N39" s="43">
        <f t="shared" si="9"/>
        <v>16</v>
      </c>
      <c r="O39" s="44">
        <f t="shared" si="10"/>
        <v>9</v>
      </c>
      <c r="P39" s="41">
        <f t="shared" si="11"/>
        <v>0</v>
      </c>
      <c r="Q39" s="45">
        <f t="shared" si="14"/>
        <v>25</v>
      </c>
      <c r="V39" s="97">
        <v>45751</v>
      </c>
      <c r="W39">
        <v>131484</v>
      </c>
      <c r="X39" s="89" t="s">
        <v>36</v>
      </c>
      <c r="Z39" s="50">
        <v>8.819444444444445E-2</v>
      </c>
      <c r="AA39" s="50">
        <v>0.72986111111111107</v>
      </c>
      <c r="AD39" s="48">
        <v>19694</v>
      </c>
      <c r="AE39" s="48">
        <f t="shared" si="0"/>
        <v>19.693999999999999</v>
      </c>
      <c r="AF39">
        <v>15.66</v>
      </c>
      <c r="AG39" s="72">
        <f t="shared" si="1"/>
        <v>14</v>
      </c>
      <c r="AH39" s="37">
        <f t="shared" si="2"/>
        <v>19.693999999999999</v>
      </c>
      <c r="AJ39" s="21">
        <v>45755</v>
      </c>
      <c r="AK39" t="s">
        <v>174</v>
      </c>
      <c r="AL39" t="s">
        <v>5</v>
      </c>
      <c r="AN39" t="s">
        <v>375</v>
      </c>
      <c r="AO39" t="s">
        <v>375</v>
      </c>
      <c r="AP39" s="56">
        <v>1720</v>
      </c>
      <c r="AR39" s="38"/>
      <c r="AU39" s="38">
        <v>45756</v>
      </c>
      <c r="AW39" t="s">
        <v>5</v>
      </c>
      <c r="AY39" s="39">
        <v>0.45710648148148153</v>
      </c>
      <c r="AZ39" s="39">
        <v>0.71021990740740737</v>
      </c>
      <c r="BA39" s="37">
        <v>2136</v>
      </c>
      <c r="BB39" t="s">
        <v>72</v>
      </c>
      <c r="BC39" s="38">
        <v>45756</v>
      </c>
    </row>
    <row r="40" spans="2:55" ht="16.5" thickBot="1" x14ac:dyDescent="0.45">
      <c r="B40" s="1"/>
      <c r="C40" s="2"/>
      <c r="D40" s="2"/>
      <c r="E40" s="2"/>
      <c r="F40" s="32"/>
      <c r="G40" s="3"/>
      <c r="H40" s="51"/>
      <c r="I40" s="52"/>
      <c r="J40" s="59"/>
      <c r="K40" s="4"/>
      <c r="L40" s="20"/>
      <c r="N40" s="43"/>
      <c r="O40" s="44"/>
      <c r="P40" s="41"/>
      <c r="Q40" s="45"/>
      <c r="V40" s="97">
        <v>45751</v>
      </c>
      <c r="W40">
        <v>131517</v>
      </c>
      <c r="X40" s="89" t="s">
        <v>36</v>
      </c>
      <c r="Z40" s="50">
        <v>0.59054398148148146</v>
      </c>
      <c r="AA40" s="50">
        <v>0.81005787037037036</v>
      </c>
      <c r="AD40" s="48">
        <v>19256</v>
      </c>
      <c r="AE40" s="48">
        <f t="shared" si="0"/>
        <v>19.256</v>
      </c>
      <c r="AF40">
        <v>14.45</v>
      </c>
      <c r="AG40" s="72">
        <f t="shared" si="1"/>
        <v>14</v>
      </c>
      <c r="AH40" s="37">
        <f t="shared" si="2"/>
        <v>19.256</v>
      </c>
      <c r="AJ40" s="21">
        <v>45755</v>
      </c>
      <c r="AK40" t="s">
        <v>175</v>
      </c>
      <c r="AL40" t="s">
        <v>5</v>
      </c>
      <c r="AN40" t="s">
        <v>376</v>
      </c>
      <c r="AO40" t="s">
        <v>377</v>
      </c>
      <c r="AP40" s="56">
        <v>3880</v>
      </c>
      <c r="AR40" s="38"/>
      <c r="AU40" s="38">
        <v>45757</v>
      </c>
      <c r="AW40" t="s">
        <v>5</v>
      </c>
      <c r="AY40" s="39">
        <v>0.50656250000000003</v>
      </c>
      <c r="AZ40" s="39">
        <v>0.434537037037037</v>
      </c>
      <c r="BA40" s="37">
        <v>3364</v>
      </c>
      <c r="BB40" t="s">
        <v>73</v>
      </c>
      <c r="BC40" s="38">
        <v>45757</v>
      </c>
    </row>
    <row r="41" spans="2:55" ht="16" x14ac:dyDescent="0.4">
      <c r="B41" s="5" t="s">
        <v>23</v>
      </c>
      <c r="C41" s="6">
        <f t="shared" ref="C41:K41" si="16">SUM(C10:C40)</f>
        <v>5643.6059999999989</v>
      </c>
      <c r="D41" s="31">
        <f>SUM(D10:D40)</f>
        <v>622.03000000000009</v>
      </c>
      <c r="E41" s="31">
        <f t="shared" ref="E41" si="17">SUM(E10:E40)</f>
        <v>25.46</v>
      </c>
      <c r="F41" s="6">
        <f t="shared" si="16"/>
        <v>0</v>
      </c>
      <c r="G41" s="7">
        <f t="shared" si="16"/>
        <v>6291.0959999999977</v>
      </c>
      <c r="H41" s="54">
        <f>SUM(H10:H40)</f>
        <v>5582.2218871428568</v>
      </c>
      <c r="I41" s="7">
        <f>SUM(I10:I40)</f>
        <v>6229.7118871428584</v>
      </c>
      <c r="J41" s="8">
        <f t="shared" si="16"/>
        <v>0</v>
      </c>
      <c r="K41" s="8">
        <f t="shared" si="16"/>
        <v>0</v>
      </c>
      <c r="L41" s="7">
        <f>SUM(L10:L40)-J41</f>
        <v>0</v>
      </c>
      <c r="N41" s="46">
        <f>SUM(N10:N40)</f>
        <v>279</v>
      </c>
      <c r="O41" s="46">
        <f t="shared" ref="O41" si="18">SUM(O10:O40)</f>
        <v>175</v>
      </c>
      <c r="P41" s="46">
        <f>SUM(P10:P40)</f>
        <v>4</v>
      </c>
      <c r="Q41" s="46">
        <f>SUM(Q10:Q40)-Q42</f>
        <v>339</v>
      </c>
      <c r="V41" s="97">
        <v>45751</v>
      </c>
      <c r="W41">
        <v>131543</v>
      </c>
      <c r="X41" s="89" t="s">
        <v>36</v>
      </c>
      <c r="Z41" s="50">
        <v>0.77172453703703703</v>
      </c>
      <c r="AA41" s="50">
        <v>0.87876157407407407</v>
      </c>
      <c r="AD41" s="48">
        <v>19422</v>
      </c>
      <c r="AE41" s="48">
        <f t="shared" si="0"/>
        <v>19.422000000000001</v>
      </c>
      <c r="AF41">
        <v>14.56</v>
      </c>
      <c r="AG41" s="72">
        <f t="shared" si="1"/>
        <v>14</v>
      </c>
      <c r="AH41" s="37">
        <f t="shared" si="2"/>
        <v>19.422000000000001</v>
      </c>
      <c r="AJ41" s="21">
        <v>45756</v>
      </c>
      <c r="AK41" t="s">
        <v>176</v>
      </c>
      <c r="AL41" t="s">
        <v>5</v>
      </c>
      <c r="AN41" t="s">
        <v>378</v>
      </c>
      <c r="AO41" t="s">
        <v>378</v>
      </c>
      <c r="AP41" s="56">
        <v>2960</v>
      </c>
      <c r="AR41" s="38"/>
      <c r="AU41" s="38">
        <v>45757</v>
      </c>
      <c r="AW41" t="s">
        <v>5</v>
      </c>
      <c r="AY41" s="39">
        <v>0.47248842592592594</v>
      </c>
      <c r="AZ41" s="39">
        <v>0.48636574074074074</v>
      </c>
      <c r="BA41" s="37">
        <v>2380</v>
      </c>
      <c r="BB41" t="s">
        <v>74</v>
      </c>
      <c r="BC41" s="38">
        <v>45757</v>
      </c>
    </row>
    <row r="42" spans="2:55" ht="16.5" thickBot="1" x14ac:dyDescent="0.45">
      <c r="B42" s="9"/>
      <c r="C42" s="10">
        <f>C41/$G$41</f>
        <v>0.89707834692079103</v>
      </c>
      <c r="D42" s="10">
        <f t="shared" ref="D42:E42" si="19">D41/$G$41</f>
        <v>9.8874663492656972E-2</v>
      </c>
      <c r="E42" s="10">
        <f t="shared" si="19"/>
        <v>4.0469895865521697E-3</v>
      </c>
      <c r="F42" s="10">
        <f>F41/$G$41</f>
        <v>0</v>
      </c>
      <c r="G42" s="9"/>
      <c r="H42" s="9"/>
      <c r="I42" s="9"/>
      <c r="J42" s="10" t="e">
        <f t="shared" ref="J42:K42" si="20">J41/$L$41</f>
        <v>#DIV/0!</v>
      </c>
      <c r="K42" s="10" t="e">
        <f t="shared" si="20"/>
        <v>#DIV/0!</v>
      </c>
      <c r="L42" s="11">
        <f>G41+L41</f>
        <v>6291.0959999999977</v>
      </c>
      <c r="N42" s="28" t="s">
        <v>24</v>
      </c>
      <c r="O42" s="28"/>
      <c r="P42" s="28"/>
      <c r="Q42" s="28">
        <f>COUNTBLANK(AP5:AP302)</f>
        <v>119</v>
      </c>
      <c r="V42" s="97">
        <v>45751</v>
      </c>
      <c r="W42">
        <v>131576</v>
      </c>
      <c r="X42" s="89" t="s">
        <v>36</v>
      </c>
      <c r="Z42" s="50">
        <v>0.59065972222222218</v>
      </c>
      <c r="AA42" s="50">
        <v>0.9549305555555555</v>
      </c>
      <c r="AD42" s="48">
        <v>22492</v>
      </c>
      <c r="AE42" s="48">
        <f t="shared" si="0"/>
        <v>22.492000000000001</v>
      </c>
      <c r="AF42">
        <v>14.16</v>
      </c>
      <c r="AG42" s="72">
        <f t="shared" si="1"/>
        <v>14</v>
      </c>
      <c r="AH42" s="37">
        <f t="shared" si="2"/>
        <v>22.492000000000001</v>
      </c>
      <c r="AJ42" s="21">
        <v>45756</v>
      </c>
      <c r="AK42" t="s">
        <v>177</v>
      </c>
      <c r="AL42" t="s">
        <v>5</v>
      </c>
      <c r="AN42" t="s">
        <v>379</v>
      </c>
      <c r="AO42" t="s">
        <v>379</v>
      </c>
      <c r="AP42" s="56">
        <v>4520</v>
      </c>
      <c r="AR42" s="38"/>
      <c r="AU42" s="38">
        <v>45757</v>
      </c>
      <c r="AW42" t="s">
        <v>5</v>
      </c>
      <c r="AY42" s="39">
        <v>0.44996527777777778</v>
      </c>
      <c r="AZ42" s="39">
        <v>0.56019675925925927</v>
      </c>
      <c r="BA42" s="37">
        <v>3260</v>
      </c>
      <c r="BB42" t="s">
        <v>73</v>
      </c>
      <c r="BC42" s="38">
        <v>45757</v>
      </c>
    </row>
    <row r="43" spans="2:55" ht="16.5" thickTop="1" x14ac:dyDescent="0.4">
      <c r="G43" s="12"/>
      <c r="H43" s="12"/>
      <c r="I43" s="12"/>
      <c r="J43" s="13"/>
      <c r="K43" s="14"/>
      <c r="V43" s="97">
        <v>45751</v>
      </c>
      <c r="W43">
        <v>131592</v>
      </c>
      <c r="X43" s="89" t="s">
        <v>36</v>
      </c>
      <c r="Z43" s="50">
        <v>0.77145833333333336</v>
      </c>
      <c r="AA43" s="50">
        <v>1.9768518518518515E-2</v>
      </c>
      <c r="AD43" s="48">
        <v>23058</v>
      </c>
      <c r="AE43" s="48">
        <f t="shared" si="0"/>
        <v>23.058</v>
      </c>
      <c r="AF43">
        <v>15.19</v>
      </c>
      <c r="AG43" s="72">
        <f t="shared" si="1"/>
        <v>14</v>
      </c>
      <c r="AH43" s="37">
        <f t="shared" si="2"/>
        <v>23.058</v>
      </c>
      <c r="AJ43" s="21">
        <v>45756</v>
      </c>
      <c r="AK43" t="s">
        <v>178</v>
      </c>
      <c r="AL43" t="s">
        <v>5</v>
      </c>
      <c r="AN43" t="s">
        <v>380</v>
      </c>
      <c r="AO43" t="s">
        <v>380</v>
      </c>
      <c r="AP43" s="56">
        <v>4780</v>
      </c>
      <c r="AR43" s="38"/>
      <c r="AU43" s="38">
        <v>45758</v>
      </c>
      <c r="AV43">
        <v>134358</v>
      </c>
      <c r="AW43" t="s">
        <v>4</v>
      </c>
      <c r="AY43" s="39">
        <v>0.76736111111111116</v>
      </c>
      <c r="AZ43" s="39">
        <v>0.7944444444444444</v>
      </c>
      <c r="BA43" s="37">
        <v>6902</v>
      </c>
      <c r="BC43" s="38">
        <v>45758</v>
      </c>
    </row>
    <row r="44" spans="2:55" ht="16" x14ac:dyDescent="0.4">
      <c r="B44" s="15" t="s">
        <v>6</v>
      </c>
      <c r="G44" s="16"/>
      <c r="H44" s="16"/>
      <c r="I44" s="16"/>
      <c r="J44" s="16"/>
      <c r="K44" s="14"/>
      <c r="V44" s="97">
        <v>45752</v>
      </c>
      <c r="W44">
        <v>131600</v>
      </c>
      <c r="X44" s="89" t="s">
        <v>36</v>
      </c>
      <c r="Z44" s="50">
        <v>0.30372685185185183</v>
      </c>
      <c r="AA44" s="50">
        <v>6.9780092592592588E-2</v>
      </c>
      <c r="AD44" s="48">
        <v>18870</v>
      </c>
      <c r="AE44" s="48">
        <f t="shared" si="0"/>
        <v>18.87</v>
      </c>
      <c r="AF44">
        <v>14.95</v>
      </c>
      <c r="AG44" s="72">
        <f t="shared" si="1"/>
        <v>14</v>
      </c>
      <c r="AH44" s="37">
        <f t="shared" si="2"/>
        <v>18.87</v>
      </c>
      <c r="AJ44" s="21">
        <v>45756</v>
      </c>
      <c r="AK44" t="s">
        <v>179</v>
      </c>
      <c r="AL44" t="s">
        <v>5</v>
      </c>
      <c r="AN44" t="s">
        <v>381</v>
      </c>
      <c r="AO44" t="s">
        <v>382</v>
      </c>
      <c r="AP44" s="56">
        <v>5100</v>
      </c>
      <c r="AR44" s="38"/>
      <c r="AU44" s="38">
        <v>45759</v>
      </c>
      <c r="AW44" t="s">
        <v>5</v>
      </c>
      <c r="AY44" s="81">
        <v>0.41618055555555555</v>
      </c>
      <c r="AZ44" s="81">
        <v>0.57495370370370369</v>
      </c>
      <c r="BA44" s="37">
        <v>3604</v>
      </c>
      <c r="BB44" t="s">
        <v>75</v>
      </c>
      <c r="BC44" s="38">
        <v>45759</v>
      </c>
    </row>
    <row r="45" spans="2:55" ht="16" x14ac:dyDescent="0.4">
      <c r="B45" t="s">
        <v>7</v>
      </c>
      <c r="G45" s="23"/>
      <c r="H45" s="23"/>
      <c r="I45" s="23"/>
      <c r="J45" s="17"/>
      <c r="K45" s="18"/>
      <c r="V45" s="97">
        <v>45752</v>
      </c>
      <c r="W45">
        <v>131621</v>
      </c>
      <c r="X45" s="89" t="s">
        <v>36</v>
      </c>
      <c r="Z45" s="50">
        <v>0.77158564814814812</v>
      </c>
      <c r="AA45" s="50">
        <v>0.13658564814814814</v>
      </c>
      <c r="AD45" s="48">
        <v>17510</v>
      </c>
      <c r="AE45" s="48">
        <f t="shared" si="0"/>
        <v>17.510000000000002</v>
      </c>
      <c r="AF45">
        <v>14.63</v>
      </c>
      <c r="AG45" s="72">
        <f t="shared" si="1"/>
        <v>14</v>
      </c>
      <c r="AH45" s="37">
        <f t="shared" si="2"/>
        <v>17.510000000000002</v>
      </c>
      <c r="AJ45" s="21">
        <v>45756</v>
      </c>
      <c r="AK45" t="s">
        <v>180</v>
      </c>
      <c r="AL45" t="s">
        <v>5</v>
      </c>
      <c r="AN45" t="s">
        <v>383</v>
      </c>
      <c r="AO45" t="s">
        <v>384</v>
      </c>
      <c r="AP45" s="56">
        <v>2060</v>
      </c>
      <c r="AR45" s="38"/>
      <c r="AU45" s="38">
        <v>45761</v>
      </c>
      <c r="AV45">
        <v>135162</v>
      </c>
      <c r="AW45" t="s">
        <v>4</v>
      </c>
      <c r="AY45" s="81"/>
      <c r="AZ45" s="81"/>
      <c r="BA45" s="37">
        <v>5209</v>
      </c>
      <c r="BB45" t="s">
        <v>49</v>
      </c>
      <c r="BC45" s="38">
        <v>45761</v>
      </c>
    </row>
    <row r="46" spans="2:55" ht="16" x14ac:dyDescent="0.4">
      <c r="B46" t="s">
        <v>592</v>
      </c>
      <c r="F46" s="23"/>
      <c r="G46" s="23"/>
      <c r="H46" s="23"/>
      <c r="I46" s="23"/>
      <c r="J46" s="23"/>
      <c r="K46" s="23"/>
      <c r="V46" s="97">
        <v>45752</v>
      </c>
      <c r="W46">
        <v>131626</v>
      </c>
      <c r="X46" s="89" t="s">
        <v>36</v>
      </c>
      <c r="Z46" s="50">
        <v>1.0081018518518519E-2</v>
      </c>
      <c r="AA46" s="50">
        <v>0.20093749999999999</v>
      </c>
      <c r="AD46" s="48">
        <v>17788</v>
      </c>
      <c r="AE46" s="48">
        <f t="shared" si="0"/>
        <v>17.788</v>
      </c>
      <c r="AF46">
        <v>13.86</v>
      </c>
      <c r="AG46" s="72">
        <f t="shared" si="1"/>
        <v>13.86</v>
      </c>
      <c r="AH46" s="37">
        <f t="shared" si="2"/>
        <v>17.610119999999998</v>
      </c>
      <c r="AJ46" s="21">
        <v>45756</v>
      </c>
      <c r="AK46" t="s">
        <v>181</v>
      </c>
      <c r="AL46" t="s">
        <v>5</v>
      </c>
      <c r="AN46" t="s">
        <v>385</v>
      </c>
      <c r="AO46" t="s">
        <v>386</v>
      </c>
      <c r="AP46" s="56">
        <v>2010</v>
      </c>
      <c r="AR46" s="38"/>
      <c r="AU46" s="38">
        <v>45761</v>
      </c>
      <c r="AW46" t="s">
        <v>5</v>
      </c>
      <c r="AY46" s="81">
        <v>0.66940972222222228</v>
      </c>
      <c r="AZ46" s="81">
        <v>0.69446759259259261</v>
      </c>
      <c r="BA46" s="37">
        <v>2008</v>
      </c>
      <c r="BB46">
        <v>502</v>
      </c>
      <c r="BC46" s="38">
        <v>45761</v>
      </c>
    </row>
    <row r="47" spans="2:55" ht="16" x14ac:dyDescent="0.4">
      <c r="B47" t="s">
        <v>9</v>
      </c>
      <c r="F47" s="23"/>
      <c r="G47" s="30"/>
      <c r="H47" s="30"/>
      <c r="I47" s="30"/>
      <c r="V47" s="97">
        <v>45752</v>
      </c>
      <c r="W47">
        <v>131694</v>
      </c>
      <c r="X47" s="89" t="s">
        <v>36</v>
      </c>
      <c r="Z47" s="50">
        <v>9.7222222222222224E-3</v>
      </c>
      <c r="AA47" s="50">
        <v>0.37638888888888888</v>
      </c>
      <c r="AD47" s="48">
        <v>20320</v>
      </c>
      <c r="AE47" s="48">
        <f t="shared" si="0"/>
        <v>20.32</v>
      </c>
      <c r="AF47">
        <v>15.99</v>
      </c>
      <c r="AG47" s="72">
        <f t="shared" si="1"/>
        <v>14</v>
      </c>
      <c r="AH47" s="37">
        <f t="shared" si="2"/>
        <v>20.32</v>
      </c>
      <c r="AJ47" s="21">
        <v>45757</v>
      </c>
      <c r="AK47" t="s">
        <v>182</v>
      </c>
      <c r="AL47" t="s">
        <v>5</v>
      </c>
      <c r="AN47" t="s">
        <v>387</v>
      </c>
      <c r="AO47" t="s">
        <v>388</v>
      </c>
      <c r="AP47" s="56">
        <v>4270</v>
      </c>
      <c r="AR47" s="38"/>
      <c r="AU47" s="38">
        <v>45762</v>
      </c>
      <c r="AV47">
        <v>135627</v>
      </c>
      <c r="AW47" t="s">
        <v>5</v>
      </c>
      <c r="AY47" s="81"/>
      <c r="AZ47" s="81"/>
      <c r="BA47" s="37">
        <v>4732</v>
      </c>
      <c r="BB47" t="s">
        <v>49</v>
      </c>
      <c r="BC47" s="38">
        <v>45762</v>
      </c>
    </row>
    <row r="48" spans="2:55" ht="16" x14ac:dyDescent="0.4">
      <c r="B48" t="s">
        <v>10</v>
      </c>
      <c r="V48" s="97">
        <v>45752</v>
      </c>
      <c r="W48">
        <v>131748</v>
      </c>
      <c r="X48" s="89" t="s">
        <v>36</v>
      </c>
      <c r="Z48" s="50">
        <v>0.19375000000000001</v>
      </c>
      <c r="AA48" s="50">
        <v>0.44236111111111115</v>
      </c>
      <c r="AD48" s="48">
        <v>19886</v>
      </c>
      <c r="AE48" s="48">
        <f t="shared" si="0"/>
        <v>19.885999999999999</v>
      </c>
      <c r="AF48">
        <v>17.059999999999999</v>
      </c>
      <c r="AG48" s="72">
        <f t="shared" si="1"/>
        <v>14</v>
      </c>
      <c r="AH48" s="37">
        <f t="shared" si="2"/>
        <v>19.885999999999999</v>
      </c>
      <c r="AJ48" s="21">
        <v>45757</v>
      </c>
      <c r="AK48" t="s">
        <v>183</v>
      </c>
      <c r="AL48" t="s">
        <v>5</v>
      </c>
      <c r="AN48" t="s">
        <v>389</v>
      </c>
      <c r="AO48" t="s">
        <v>390</v>
      </c>
      <c r="AP48" s="56">
        <v>2320</v>
      </c>
      <c r="AR48" s="38"/>
      <c r="AU48" s="38">
        <v>45762</v>
      </c>
      <c r="AV48">
        <v>135625</v>
      </c>
      <c r="AW48" t="s">
        <v>5</v>
      </c>
      <c r="AY48" s="81"/>
      <c r="AZ48" s="81"/>
      <c r="BA48" s="37">
        <v>5666</v>
      </c>
      <c r="BB48" t="s">
        <v>49</v>
      </c>
      <c r="BC48" s="38">
        <v>45762</v>
      </c>
    </row>
    <row r="49" spans="2:56" ht="16" x14ac:dyDescent="0.4">
      <c r="V49" s="97">
        <v>45752</v>
      </c>
      <c r="W49">
        <v>131777</v>
      </c>
      <c r="X49" s="89" t="s">
        <v>36</v>
      </c>
      <c r="Z49" s="50">
        <v>9.7222222222222224E-3</v>
      </c>
      <c r="AA49" s="50">
        <v>0.53333333333333333</v>
      </c>
      <c r="AD49" s="48">
        <v>20420</v>
      </c>
      <c r="AE49" s="48">
        <f t="shared" si="0"/>
        <v>20.420000000000002</v>
      </c>
      <c r="AF49">
        <v>13.13</v>
      </c>
      <c r="AG49" s="72">
        <f t="shared" si="1"/>
        <v>13.13</v>
      </c>
      <c r="AH49" s="37">
        <f t="shared" si="2"/>
        <v>19.151042857142862</v>
      </c>
      <c r="AJ49" s="21">
        <v>45757</v>
      </c>
      <c r="AK49" t="s">
        <v>184</v>
      </c>
      <c r="AL49" t="s">
        <v>5</v>
      </c>
      <c r="AN49" t="s">
        <v>391</v>
      </c>
      <c r="AO49" t="s">
        <v>391</v>
      </c>
      <c r="AP49" s="56">
        <v>4240</v>
      </c>
      <c r="AR49" s="38"/>
      <c r="AU49" s="38">
        <v>45762</v>
      </c>
      <c r="AV49">
        <v>135618</v>
      </c>
      <c r="AW49" t="s">
        <v>5</v>
      </c>
      <c r="AY49" s="81">
        <v>0.31527777777777777</v>
      </c>
      <c r="AZ49" s="81"/>
      <c r="BA49" s="37">
        <v>4960</v>
      </c>
      <c r="BB49" t="s">
        <v>49</v>
      </c>
      <c r="BC49" s="38">
        <v>45762</v>
      </c>
    </row>
    <row r="50" spans="2:56" ht="16" x14ac:dyDescent="0.4">
      <c r="B50" t="s">
        <v>11</v>
      </c>
      <c r="J50" t="s">
        <v>11</v>
      </c>
      <c r="V50" s="97">
        <v>45752</v>
      </c>
      <c r="W50">
        <v>131817</v>
      </c>
      <c r="X50" s="89" t="s">
        <v>36</v>
      </c>
      <c r="Z50" s="50">
        <v>0.53541666666666665</v>
      </c>
      <c r="AA50" s="50">
        <v>0.59444444444444444</v>
      </c>
      <c r="AD50" s="48">
        <v>19604</v>
      </c>
      <c r="AE50" s="48">
        <f t="shared" si="0"/>
        <v>19.603999999999999</v>
      </c>
      <c r="AF50">
        <v>15.62</v>
      </c>
      <c r="AG50" s="72">
        <f t="shared" si="1"/>
        <v>14</v>
      </c>
      <c r="AH50" s="37">
        <f t="shared" si="2"/>
        <v>19.604000000000003</v>
      </c>
      <c r="AJ50" s="21">
        <v>45757</v>
      </c>
      <c r="AK50" t="s">
        <v>185</v>
      </c>
      <c r="AL50" t="s">
        <v>5</v>
      </c>
      <c r="AN50" t="s">
        <v>392</v>
      </c>
      <c r="AO50" t="s">
        <v>392</v>
      </c>
      <c r="AP50" s="56">
        <v>1600</v>
      </c>
      <c r="AR50" s="38"/>
      <c r="AU50" s="38">
        <v>45763</v>
      </c>
      <c r="AV50">
        <v>136061</v>
      </c>
      <c r="AW50" t="s">
        <v>5</v>
      </c>
      <c r="AY50" s="81">
        <v>0.38541666666666669</v>
      </c>
      <c r="AZ50" s="81">
        <v>0.40972222222222227</v>
      </c>
      <c r="BA50" s="37">
        <v>4542</v>
      </c>
      <c r="BB50" t="s">
        <v>49</v>
      </c>
      <c r="BC50" s="38">
        <v>45763</v>
      </c>
    </row>
    <row r="51" spans="2:56" ht="16" x14ac:dyDescent="0.4">
      <c r="V51" s="97">
        <v>45752</v>
      </c>
      <c r="W51">
        <v>131842</v>
      </c>
      <c r="X51" s="89" t="s">
        <v>36</v>
      </c>
      <c r="Z51" s="50">
        <v>0.11458333333333333</v>
      </c>
      <c r="AA51" s="50">
        <v>0.66111111111111109</v>
      </c>
      <c r="AD51" s="48">
        <v>19670</v>
      </c>
      <c r="AE51" s="48">
        <f t="shared" si="0"/>
        <v>19.670000000000002</v>
      </c>
      <c r="AF51">
        <v>15.98</v>
      </c>
      <c r="AG51" s="72">
        <f t="shared" si="1"/>
        <v>14</v>
      </c>
      <c r="AH51" s="37">
        <f t="shared" si="2"/>
        <v>19.669999999999998</v>
      </c>
      <c r="AJ51" s="21">
        <v>45758</v>
      </c>
      <c r="AK51" t="s">
        <v>186</v>
      </c>
      <c r="AL51" t="s">
        <v>4</v>
      </c>
      <c r="AN51" t="s">
        <v>393</v>
      </c>
      <c r="AO51" t="s">
        <v>394</v>
      </c>
      <c r="AP51" s="56">
        <v>6980</v>
      </c>
      <c r="AR51" s="38"/>
      <c r="AU51" s="38">
        <v>45763</v>
      </c>
      <c r="AW51" t="s">
        <v>5</v>
      </c>
      <c r="AY51" s="81">
        <v>0.61944444444444446</v>
      </c>
      <c r="AZ51" s="81">
        <v>0.4993055555555555</v>
      </c>
      <c r="BA51" s="37">
        <v>2944</v>
      </c>
      <c r="BB51" t="s">
        <v>76</v>
      </c>
      <c r="BC51" s="38">
        <v>45763</v>
      </c>
    </row>
    <row r="52" spans="2:56" ht="16" x14ac:dyDescent="0.4">
      <c r="V52" s="97">
        <v>45752</v>
      </c>
      <c r="W52">
        <v>131865</v>
      </c>
      <c r="X52" s="89" t="s">
        <v>36</v>
      </c>
      <c r="Z52" s="50">
        <v>0.19305555555555554</v>
      </c>
      <c r="AA52" s="50">
        <v>0.72083333333333333</v>
      </c>
      <c r="AD52" s="48">
        <v>20548</v>
      </c>
      <c r="AE52" s="48">
        <f t="shared" si="0"/>
        <v>20.547999999999998</v>
      </c>
      <c r="AF52">
        <v>14.24</v>
      </c>
      <c r="AG52" s="72">
        <f t="shared" si="1"/>
        <v>14</v>
      </c>
      <c r="AH52" s="37">
        <f t="shared" si="2"/>
        <v>20.547999999999998</v>
      </c>
      <c r="AJ52" s="21">
        <v>45759</v>
      </c>
      <c r="AK52" t="s">
        <v>187</v>
      </c>
      <c r="AL52" t="s">
        <v>5</v>
      </c>
      <c r="AN52" t="s">
        <v>395</v>
      </c>
      <c r="AO52" t="s">
        <v>395</v>
      </c>
      <c r="AP52" s="56">
        <v>3130</v>
      </c>
      <c r="AR52" s="38"/>
      <c r="AU52" s="38">
        <v>45763</v>
      </c>
      <c r="AW52" t="s">
        <v>5</v>
      </c>
      <c r="AY52" s="81">
        <v>0.48749999999999999</v>
      </c>
      <c r="AZ52" s="81">
        <v>0.51874999999999993</v>
      </c>
      <c r="BA52" s="37">
        <v>3012</v>
      </c>
      <c r="BB52" t="s">
        <v>76</v>
      </c>
      <c r="BC52" s="38">
        <v>45763</v>
      </c>
    </row>
    <row r="53" spans="2:56" ht="16.5" thickBot="1" x14ac:dyDescent="0.45">
      <c r="B53" s="19" t="s">
        <v>12</v>
      </c>
      <c r="C53" s="19"/>
      <c r="J53" s="19"/>
      <c r="K53" s="19"/>
      <c r="L53" s="19"/>
      <c r="V53" s="97">
        <v>45752</v>
      </c>
      <c r="W53">
        <v>131881</v>
      </c>
      <c r="X53" s="89" t="s">
        <v>36</v>
      </c>
      <c r="Z53" s="50">
        <v>0.71796296296296302</v>
      </c>
      <c r="AA53" s="50">
        <v>0.77555555555555555</v>
      </c>
      <c r="AD53" s="48">
        <v>20318</v>
      </c>
      <c r="AE53" s="48">
        <f t="shared" si="0"/>
        <v>20.318000000000001</v>
      </c>
      <c r="AF53">
        <v>14.98</v>
      </c>
      <c r="AG53" s="72">
        <f t="shared" si="1"/>
        <v>14</v>
      </c>
      <c r="AH53" s="37">
        <f t="shared" si="2"/>
        <v>20.318000000000001</v>
      </c>
      <c r="AJ53" s="21">
        <v>45759</v>
      </c>
      <c r="AK53" t="s">
        <v>188</v>
      </c>
      <c r="AL53" t="s">
        <v>5</v>
      </c>
      <c r="AN53" t="s">
        <v>396</v>
      </c>
      <c r="AO53" t="s">
        <v>397</v>
      </c>
      <c r="AP53" s="56">
        <v>3440</v>
      </c>
      <c r="AR53" s="38"/>
      <c r="AS53" s="88"/>
      <c r="AU53" s="38">
        <v>45763</v>
      </c>
      <c r="AW53" t="s">
        <v>5</v>
      </c>
      <c r="AY53" s="81">
        <v>0.48680555555555555</v>
      </c>
      <c r="AZ53" s="81">
        <v>0.52986111111111112</v>
      </c>
      <c r="BA53" s="37">
        <v>2764</v>
      </c>
      <c r="BB53" t="s">
        <v>77</v>
      </c>
      <c r="BC53" s="38">
        <v>45763</v>
      </c>
      <c r="BD53" s="88"/>
    </row>
    <row r="54" spans="2:56" ht="16" x14ac:dyDescent="0.4">
      <c r="B54" t="s">
        <v>13</v>
      </c>
      <c r="J54" t="s">
        <v>14</v>
      </c>
      <c r="V54" s="97">
        <v>45752</v>
      </c>
      <c r="W54">
        <v>131919</v>
      </c>
      <c r="X54" s="89" t="s">
        <v>36</v>
      </c>
      <c r="Z54" s="50">
        <v>0.65462962962962956</v>
      </c>
      <c r="AA54" s="50">
        <v>0.86883101851851852</v>
      </c>
      <c r="AD54" s="48">
        <v>18460</v>
      </c>
      <c r="AE54" s="48">
        <f t="shared" si="0"/>
        <v>18.46</v>
      </c>
      <c r="AF54">
        <v>14.88</v>
      </c>
      <c r="AG54" s="72">
        <f t="shared" si="1"/>
        <v>14</v>
      </c>
      <c r="AH54" s="37">
        <f t="shared" si="2"/>
        <v>18.46</v>
      </c>
      <c r="AJ54" s="21">
        <v>45761</v>
      </c>
      <c r="AK54" t="s">
        <v>189</v>
      </c>
      <c r="AL54" t="s">
        <v>5</v>
      </c>
      <c r="AN54" t="s">
        <v>398</v>
      </c>
      <c r="AO54" t="s">
        <v>399</v>
      </c>
      <c r="AP54" s="56">
        <v>3650</v>
      </c>
      <c r="AR54" s="38"/>
      <c r="AS54" s="88"/>
      <c r="AU54" s="38">
        <v>45763</v>
      </c>
      <c r="AW54" t="s">
        <v>5</v>
      </c>
      <c r="AY54" s="81">
        <v>0.36874999999999997</v>
      </c>
      <c r="AZ54" s="81">
        <v>0.38472222222222219</v>
      </c>
      <c r="BA54" s="37">
        <v>3078</v>
      </c>
      <c r="BB54" t="s">
        <v>72</v>
      </c>
      <c r="BC54" s="38">
        <v>45763</v>
      </c>
      <c r="BD54" s="88"/>
    </row>
    <row r="55" spans="2:56" ht="16" x14ac:dyDescent="0.4">
      <c r="V55" s="97">
        <v>45752</v>
      </c>
      <c r="W55">
        <v>131931</v>
      </c>
      <c r="X55" s="89" t="s">
        <v>36</v>
      </c>
      <c r="Z55" s="50">
        <v>0.71805555555555556</v>
      </c>
      <c r="AA55" s="50">
        <v>0.93035879629629636</v>
      </c>
      <c r="AD55" s="48">
        <v>21344</v>
      </c>
      <c r="AE55" s="48">
        <f t="shared" si="0"/>
        <v>21.344000000000001</v>
      </c>
      <c r="AF55">
        <v>14.12</v>
      </c>
      <c r="AG55" s="72">
        <f t="shared" si="1"/>
        <v>14</v>
      </c>
      <c r="AH55" s="37">
        <f t="shared" si="2"/>
        <v>21.344000000000001</v>
      </c>
      <c r="AJ55" s="21">
        <v>45762</v>
      </c>
      <c r="AK55" t="s">
        <v>190</v>
      </c>
      <c r="AL55" t="s">
        <v>5</v>
      </c>
      <c r="AN55" t="s">
        <v>400</v>
      </c>
      <c r="AO55" t="s">
        <v>401</v>
      </c>
      <c r="AP55" s="56">
        <v>3390</v>
      </c>
      <c r="AR55" s="38"/>
      <c r="AS55" s="38"/>
      <c r="AU55" s="38">
        <v>45756</v>
      </c>
      <c r="AW55" t="s">
        <v>5</v>
      </c>
      <c r="AY55" s="81">
        <v>0.48333333333333334</v>
      </c>
      <c r="AZ55" s="81">
        <v>0.49652777777777773</v>
      </c>
      <c r="BA55" s="37">
        <v>3158</v>
      </c>
      <c r="BB55" t="s">
        <v>78</v>
      </c>
      <c r="BC55" s="38">
        <v>45763</v>
      </c>
      <c r="BD55" s="38"/>
    </row>
    <row r="56" spans="2:56" ht="16" x14ac:dyDescent="0.4">
      <c r="V56" s="97">
        <v>45753</v>
      </c>
      <c r="W56">
        <v>131972</v>
      </c>
      <c r="X56" s="89" t="s">
        <v>36</v>
      </c>
      <c r="Z56" s="50">
        <v>0.65453703703703703</v>
      </c>
      <c r="AA56" s="50">
        <v>2.8645833333333332E-2</v>
      </c>
      <c r="AD56" s="48">
        <v>20760</v>
      </c>
      <c r="AE56" s="48">
        <f t="shared" si="0"/>
        <v>20.76</v>
      </c>
      <c r="AF56">
        <v>14.96</v>
      </c>
      <c r="AG56" s="72">
        <f t="shared" si="1"/>
        <v>14</v>
      </c>
      <c r="AH56" s="37">
        <f t="shared" si="2"/>
        <v>20.76</v>
      </c>
      <c r="AJ56" s="21">
        <v>45762</v>
      </c>
      <c r="AK56" t="s">
        <v>191</v>
      </c>
      <c r="AL56" t="s">
        <v>5</v>
      </c>
      <c r="AN56" t="s">
        <v>402</v>
      </c>
      <c r="AO56" t="s">
        <v>403</v>
      </c>
      <c r="AP56" s="56">
        <v>3700</v>
      </c>
      <c r="AR56" s="38"/>
      <c r="AS56" s="38"/>
      <c r="AU56" s="38">
        <v>45756</v>
      </c>
      <c r="AW56" t="s">
        <v>5</v>
      </c>
      <c r="AY56" s="81">
        <v>0.49722222222222223</v>
      </c>
      <c r="AZ56" s="81">
        <v>0.64583333333333337</v>
      </c>
      <c r="BA56" s="37">
        <v>5178</v>
      </c>
      <c r="BB56" t="s">
        <v>72</v>
      </c>
      <c r="BC56" s="38">
        <v>45763</v>
      </c>
      <c r="BD56" s="38"/>
    </row>
    <row r="57" spans="2:56" ht="16" x14ac:dyDescent="0.4">
      <c r="V57" s="97">
        <v>45753</v>
      </c>
      <c r="W57">
        <v>131974</v>
      </c>
      <c r="X57" s="89" t="s">
        <v>36</v>
      </c>
      <c r="Z57" s="50">
        <v>0.7181481481481482</v>
      </c>
      <c r="AA57" s="50">
        <v>9.2604166666666668E-2</v>
      </c>
      <c r="AD57" s="48">
        <v>20546</v>
      </c>
      <c r="AE57" s="48">
        <f t="shared" si="0"/>
        <v>20.545999999999999</v>
      </c>
      <c r="AF57">
        <v>14.51</v>
      </c>
      <c r="AG57" s="72">
        <f t="shared" si="1"/>
        <v>14</v>
      </c>
      <c r="AH57" s="37">
        <f t="shared" si="2"/>
        <v>20.545999999999999</v>
      </c>
      <c r="AJ57" s="21">
        <v>45762</v>
      </c>
      <c r="AK57" t="s">
        <v>192</v>
      </c>
      <c r="AL57" t="s">
        <v>5</v>
      </c>
      <c r="AN57" t="s">
        <v>404</v>
      </c>
      <c r="AO57" t="s">
        <v>405</v>
      </c>
      <c r="AP57" s="56">
        <v>3940</v>
      </c>
      <c r="AR57" s="38"/>
      <c r="AS57" s="38"/>
      <c r="AU57" s="38">
        <v>45763</v>
      </c>
      <c r="AW57" t="s">
        <v>5</v>
      </c>
      <c r="AY57" s="81">
        <v>0.66402777777777777</v>
      </c>
      <c r="AZ57" s="81">
        <v>0.45098379629629631</v>
      </c>
      <c r="BA57" s="37">
        <v>2830</v>
      </c>
      <c r="BB57" t="s">
        <v>72</v>
      </c>
      <c r="BC57" s="38">
        <v>45763</v>
      </c>
      <c r="BD57" s="38"/>
    </row>
    <row r="58" spans="2:56" ht="16" x14ac:dyDescent="0.4">
      <c r="V58" s="97">
        <v>45753</v>
      </c>
      <c r="W58">
        <v>131983</v>
      </c>
      <c r="X58" s="89" t="s">
        <v>36</v>
      </c>
      <c r="Z58" s="50">
        <v>0.17171296296296298</v>
      </c>
      <c r="AA58" s="50">
        <v>0.20854166666666665</v>
      </c>
      <c r="AD58" s="48">
        <v>21792</v>
      </c>
      <c r="AE58" s="48">
        <f t="shared" si="0"/>
        <v>21.792000000000002</v>
      </c>
      <c r="AF58">
        <v>14.65</v>
      </c>
      <c r="AG58" s="72">
        <f t="shared" si="1"/>
        <v>14</v>
      </c>
      <c r="AH58" s="37">
        <f t="shared" si="2"/>
        <v>21.792000000000002</v>
      </c>
      <c r="AJ58" s="21">
        <v>45763</v>
      </c>
      <c r="AK58" t="s">
        <v>193</v>
      </c>
      <c r="AL58" t="s">
        <v>5</v>
      </c>
      <c r="AN58" t="s">
        <v>406</v>
      </c>
      <c r="AO58" t="s">
        <v>407</v>
      </c>
      <c r="AP58" s="56">
        <v>3330</v>
      </c>
      <c r="AR58" s="38"/>
      <c r="AS58" s="38"/>
      <c r="AU58" s="38">
        <v>45764</v>
      </c>
      <c r="AW58" t="s">
        <v>5</v>
      </c>
      <c r="AY58" s="81">
        <v>0.51778935185185182</v>
      </c>
      <c r="AZ58" s="81">
        <v>0.39193287037037039</v>
      </c>
      <c r="BA58" s="37">
        <v>5400</v>
      </c>
      <c r="BB58" t="s">
        <v>79</v>
      </c>
      <c r="BC58" s="38">
        <v>45764</v>
      </c>
      <c r="BD58" s="38"/>
    </row>
    <row r="59" spans="2:56" ht="16" x14ac:dyDescent="0.4">
      <c r="V59" s="97">
        <v>45753</v>
      </c>
      <c r="W59">
        <v>131986</v>
      </c>
      <c r="X59" s="89" t="s">
        <v>36</v>
      </c>
      <c r="Z59" s="50">
        <v>0.12361111111111112</v>
      </c>
      <c r="AA59" s="50">
        <v>0.27152777777777776</v>
      </c>
      <c r="AD59" s="48">
        <v>19128</v>
      </c>
      <c r="AE59" s="48">
        <f t="shared" si="0"/>
        <v>19.128</v>
      </c>
      <c r="AF59">
        <v>13.38</v>
      </c>
      <c r="AG59" s="72">
        <f t="shared" si="1"/>
        <v>13.38</v>
      </c>
      <c r="AH59" s="37">
        <f t="shared" si="2"/>
        <v>18.280902857142859</v>
      </c>
      <c r="AJ59" s="21">
        <v>45763</v>
      </c>
      <c r="AK59" t="s">
        <v>194</v>
      </c>
      <c r="AL59" t="s">
        <v>5</v>
      </c>
      <c r="AN59" t="s">
        <v>408</v>
      </c>
      <c r="AO59" t="s">
        <v>409</v>
      </c>
      <c r="AP59" s="56">
        <v>2870</v>
      </c>
      <c r="AR59" s="38"/>
      <c r="AS59" s="38"/>
      <c r="AU59" s="38">
        <v>45764</v>
      </c>
      <c r="AW59" t="s">
        <v>5</v>
      </c>
      <c r="AY59" s="81">
        <v>0.37142361111111111</v>
      </c>
      <c r="AZ59" s="81">
        <v>0.44482638888888887</v>
      </c>
      <c r="BA59" s="37">
        <v>2564</v>
      </c>
      <c r="BB59" t="s">
        <v>80</v>
      </c>
      <c r="BC59" s="38">
        <v>45764</v>
      </c>
      <c r="BD59" s="38"/>
    </row>
    <row r="60" spans="2:56" ht="16" x14ac:dyDescent="0.4">
      <c r="V60" s="97">
        <v>45753</v>
      </c>
      <c r="W60">
        <v>131992</v>
      </c>
      <c r="X60" s="89" t="s">
        <v>36</v>
      </c>
      <c r="Z60" s="50">
        <v>0.71805555555555556</v>
      </c>
      <c r="AA60" s="50">
        <v>0.30069444444444443</v>
      </c>
      <c r="AD60" s="48">
        <v>22236</v>
      </c>
      <c r="AE60" s="48">
        <f t="shared" si="0"/>
        <v>22.236000000000001</v>
      </c>
      <c r="AF60">
        <v>14.59</v>
      </c>
      <c r="AG60" s="72">
        <f t="shared" si="1"/>
        <v>14</v>
      </c>
      <c r="AH60" s="37">
        <f t="shared" si="2"/>
        <v>22.236000000000001</v>
      </c>
      <c r="AJ60" s="21">
        <v>45763</v>
      </c>
      <c r="AK60" t="s">
        <v>195</v>
      </c>
      <c r="AL60" t="s">
        <v>5</v>
      </c>
      <c r="AN60" t="s">
        <v>410</v>
      </c>
      <c r="AO60" t="s">
        <v>411</v>
      </c>
      <c r="AP60" s="56">
        <v>2910</v>
      </c>
      <c r="AR60" s="38"/>
      <c r="AS60" s="38"/>
      <c r="AU60" s="38">
        <v>45764</v>
      </c>
      <c r="AW60" t="s">
        <v>5</v>
      </c>
      <c r="AY60" s="81">
        <v>0.35519675925925925</v>
      </c>
      <c r="AZ60" s="81">
        <v>0.37129629629629629</v>
      </c>
      <c r="BA60" s="37">
        <v>3856</v>
      </c>
      <c r="BB60" t="s">
        <v>81</v>
      </c>
      <c r="BC60" s="38">
        <v>45764</v>
      </c>
      <c r="BD60" s="38"/>
    </row>
    <row r="61" spans="2:56" ht="16" x14ac:dyDescent="0.4">
      <c r="V61" s="97">
        <v>45753</v>
      </c>
      <c r="W61">
        <v>131999</v>
      </c>
      <c r="X61" s="89" t="s">
        <v>36</v>
      </c>
      <c r="Z61" s="50">
        <v>0.65277777777777779</v>
      </c>
      <c r="AA61" s="50">
        <v>0.34861111111111115</v>
      </c>
      <c r="AD61" s="48">
        <v>18878</v>
      </c>
      <c r="AE61" s="48">
        <f t="shared" si="0"/>
        <v>18.878</v>
      </c>
      <c r="AF61">
        <v>12.59</v>
      </c>
      <c r="AG61" s="72">
        <f t="shared" si="1"/>
        <v>12.59</v>
      </c>
      <c r="AH61" s="37">
        <f t="shared" si="2"/>
        <v>16.976715714285714</v>
      </c>
      <c r="AJ61" s="21">
        <v>45763</v>
      </c>
      <c r="AK61" t="s">
        <v>196</v>
      </c>
      <c r="AL61" t="s">
        <v>5</v>
      </c>
      <c r="AN61" t="s">
        <v>412</v>
      </c>
      <c r="AO61" t="s">
        <v>412</v>
      </c>
      <c r="AP61" s="56">
        <v>2710</v>
      </c>
      <c r="AR61" s="38"/>
      <c r="AS61" s="38"/>
      <c r="AU61" s="38">
        <v>45764</v>
      </c>
      <c r="AW61" t="s">
        <v>5</v>
      </c>
      <c r="AY61" s="81">
        <v>0.46175925925925926</v>
      </c>
      <c r="AZ61" s="81">
        <v>0.56024305555555554</v>
      </c>
      <c r="BA61" s="37">
        <v>3810</v>
      </c>
      <c r="BB61" t="s">
        <v>82</v>
      </c>
      <c r="BC61" s="38">
        <v>45764</v>
      </c>
      <c r="BD61" s="38"/>
    </row>
    <row r="62" spans="2:56" ht="16" x14ac:dyDescent="0.4">
      <c r="V62" s="97">
        <v>45755</v>
      </c>
      <c r="W62">
        <v>132574</v>
      </c>
      <c r="X62" s="89" t="s">
        <v>36</v>
      </c>
      <c r="Z62" s="50">
        <v>0.76666666666666661</v>
      </c>
      <c r="AA62" s="50">
        <v>1.9444444444444445E-2</v>
      </c>
      <c r="AD62" s="48">
        <v>21746</v>
      </c>
      <c r="AE62" s="48">
        <f t="shared" si="0"/>
        <v>21.745999999999999</v>
      </c>
      <c r="AF62">
        <v>14.16</v>
      </c>
      <c r="AG62" s="72">
        <f t="shared" si="1"/>
        <v>14</v>
      </c>
      <c r="AH62" s="37">
        <f t="shared" si="2"/>
        <v>21.745999999999999</v>
      </c>
      <c r="AJ62" s="21">
        <v>45763</v>
      </c>
      <c r="AK62" t="s">
        <v>197</v>
      </c>
      <c r="AL62" t="s">
        <v>5</v>
      </c>
      <c r="AN62" t="s">
        <v>413</v>
      </c>
      <c r="AO62" t="s">
        <v>414</v>
      </c>
      <c r="AP62" s="56">
        <v>2990</v>
      </c>
      <c r="AR62" s="38"/>
      <c r="AS62" s="38"/>
      <c r="AU62" s="38">
        <v>45764</v>
      </c>
      <c r="AW62" t="s">
        <v>5</v>
      </c>
      <c r="AY62" s="81">
        <v>0.63312500000000005</v>
      </c>
      <c r="AZ62" s="81">
        <v>0.5668171296296296</v>
      </c>
      <c r="BA62" s="37">
        <v>4084</v>
      </c>
      <c r="BB62" t="s">
        <v>83</v>
      </c>
      <c r="BC62" s="38">
        <v>45764</v>
      </c>
      <c r="BD62" s="38"/>
    </row>
    <row r="63" spans="2:56" ht="16" x14ac:dyDescent="0.4">
      <c r="V63" s="97">
        <v>45755</v>
      </c>
      <c r="W63">
        <v>132583</v>
      </c>
      <c r="X63" s="89" t="s">
        <v>36</v>
      </c>
      <c r="Z63" s="50">
        <v>0.17152777777777775</v>
      </c>
      <c r="AA63" s="50">
        <v>7.7083333333333337E-2</v>
      </c>
      <c r="AD63" s="48">
        <v>20736</v>
      </c>
      <c r="AE63" s="48">
        <f t="shared" si="0"/>
        <v>20.736000000000001</v>
      </c>
      <c r="AF63">
        <v>14.55</v>
      </c>
      <c r="AG63" s="72">
        <f t="shared" si="1"/>
        <v>14</v>
      </c>
      <c r="AH63" s="37">
        <f t="shared" si="2"/>
        <v>20.736000000000001</v>
      </c>
      <c r="AJ63" s="21">
        <v>45763</v>
      </c>
      <c r="AK63" t="s">
        <v>198</v>
      </c>
      <c r="AL63" t="s">
        <v>5</v>
      </c>
      <c r="AN63" t="s">
        <v>415</v>
      </c>
      <c r="AO63" t="s">
        <v>415</v>
      </c>
      <c r="AP63" s="56">
        <v>2180</v>
      </c>
      <c r="AR63" s="38"/>
      <c r="AS63" s="38"/>
      <c r="AU63" s="38">
        <v>45764</v>
      </c>
      <c r="AW63" t="s">
        <v>5</v>
      </c>
      <c r="AY63" s="81">
        <v>0.40465277777777775</v>
      </c>
      <c r="AZ63" s="81">
        <v>0.57131944444444438</v>
      </c>
      <c r="BA63" s="37">
        <v>3036</v>
      </c>
      <c r="BB63" t="s">
        <v>84</v>
      </c>
      <c r="BC63" s="38">
        <v>45764</v>
      </c>
      <c r="BD63" s="38"/>
    </row>
    <row r="64" spans="2:56" ht="16" x14ac:dyDescent="0.4">
      <c r="V64" s="97">
        <v>45755</v>
      </c>
      <c r="W64">
        <v>132595</v>
      </c>
      <c r="X64" s="89" t="s">
        <v>36</v>
      </c>
      <c r="Z64" s="50">
        <v>0.76666666666666661</v>
      </c>
      <c r="AA64" s="50">
        <v>0.14930555555555555</v>
      </c>
      <c r="AD64" s="48">
        <v>19206</v>
      </c>
      <c r="AE64" s="48">
        <f t="shared" ref="AE64:AE125" si="21">AD64/1000</f>
        <v>19.206</v>
      </c>
      <c r="AF64">
        <v>14.48</v>
      </c>
      <c r="AG64" s="72">
        <f t="shared" si="1"/>
        <v>14</v>
      </c>
      <c r="AH64" s="37">
        <f t="shared" si="2"/>
        <v>19.206</v>
      </c>
      <c r="AJ64" s="21">
        <v>45763</v>
      </c>
      <c r="AK64" t="s">
        <v>199</v>
      </c>
      <c r="AL64" t="s">
        <v>5</v>
      </c>
      <c r="AN64" t="s">
        <v>416</v>
      </c>
      <c r="AO64" t="s">
        <v>417</v>
      </c>
      <c r="AP64" s="56">
        <v>2820</v>
      </c>
      <c r="AR64" s="38"/>
      <c r="AS64" s="38"/>
      <c r="AU64" s="38">
        <v>45764</v>
      </c>
      <c r="AW64" t="s">
        <v>5</v>
      </c>
      <c r="AY64" s="81">
        <v>0.61618055555555562</v>
      </c>
      <c r="AZ64" s="81">
        <v>0.63253472222222229</v>
      </c>
      <c r="BA64" s="37">
        <v>2502</v>
      </c>
      <c r="BB64" t="s">
        <v>85</v>
      </c>
      <c r="BC64" s="38">
        <v>45764</v>
      </c>
      <c r="BD64" s="38"/>
    </row>
    <row r="65" spans="22:56" ht="16" x14ac:dyDescent="0.4">
      <c r="V65" s="97">
        <v>45755</v>
      </c>
      <c r="W65">
        <v>132606</v>
      </c>
      <c r="X65" s="89" t="s">
        <v>36</v>
      </c>
      <c r="Z65" s="50">
        <v>0.80555555555555547</v>
      </c>
      <c r="AA65" s="50">
        <v>0.21458333333333335</v>
      </c>
      <c r="AD65" s="48">
        <v>19332</v>
      </c>
      <c r="AE65" s="48">
        <f t="shared" si="21"/>
        <v>19.332000000000001</v>
      </c>
      <c r="AF65">
        <v>13.05</v>
      </c>
      <c r="AG65" s="72">
        <f t="shared" ref="AG65:AG126" si="22">IF($AF65&gt;14,14,$AF65)</f>
        <v>13.05</v>
      </c>
      <c r="AH65" s="37">
        <f t="shared" si="2"/>
        <v>18.020185714285716</v>
      </c>
      <c r="AJ65" s="21">
        <v>45764</v>
      </c>
      <c r="AK65" t="s">
        <v>200</v>
      </c>
      <c r="AL65" t="s">
        <v>5</v>
      </c>
      <c r="AN65" t="s">
        <v>418</v>
      </c>
      <c r="AO65" t="s">
        <v>418</v>
      </c>
      <c r="AP65" s="56">
        <v>3850</v>
      </c>
      <c r="AR65" s="38"/>
      <c r="AS65" s="38"/>
      <c r="AU65" s="38">
        <v>45764</v>
      </c>
      <c r="AW65" t="s">
        <v>5</v>
      </c>
      <c r="AY65" s="81">
        <v>0.43047453703703703</v>
      </c>
      <c r="AZ65" s="81">
        <v>0.44849537037037041</v>
      </c>
      <c r="BA65" s="37">
        <v>2286</v>
      </c>
      <c r="BB65" t="s">
        <v>86</v>
      </c>
      <c r="BC65" s="38">
        <v>45764</v>
      </c>
      <c r="BD65" s="38"/>
    </row>
    <row r="66" spans="22:56" ht="16" x14ac:dyDescent="0.4">
      <c r="V66" s="97">
        <v>45755</v>
      </c>
      <c r="W66">
        <v>132654</v>
      </c>
      <c r="X66" s="89" t="s">
        <v>36</v>
      </c>
      <c r="Z66" s="50">
        <v>0.20005787037037037</v>
      </c>
      <c r="AA66" s="50">
        <v>0.31656250000000002</v>
      </c>
      <c r="AD66" s="48">
        <v>21002</v>
      </c>
      <c r="AE66" s="48">
        <f t="shared" si="21"/>
        <v>21.001999999999999</v>
      </c>
      <c r="AF66">
        <v>15.13</v>
      </c>
      <c r="AG66" s="72">
        <f t="shared" si="22"/>
        <v>14</v>
      </c>
      <c r="AH66" s="37">
        <f t="shared" si="2"/>
        <v>21.001999999999999</v>
      </c>
      <c r="AJ66" s="21">
        <v>45764</v>
      </c>
      <c r="AK66" t="s">
        <v>201</v>
      </c>
      <c r="AL66" t="s">
        <v>5</v>
      </c>
      <c r="AN66" t="s">
        <v>419</v>
      </c>
      <c r="AO66" t="s">
        <v>419</v>
      </c>
      <c r="AP66" s="56">
        <v>3650</v>
      </c>
      <c r="AR66" s="38"/>
      <c r="AS66" s="38"/>
      <c r="AU66" s="38">
        <v>45764</v>
      </c>
      <c r="AW66" t="s">
        <v>5</v>
      </c>
      <c r="AY66" s="81">
        <v>0.53471064814814817</v>
      </c>
      <c r="AZ66" s="81">
        <v>0.56774305555555549</v>
      </c>
      <c r="BA66" s="37">
        <v>3460</v>
      </c>
      <c r="BB66" t="s">
        <v>87</v>
      </c>
      <c r="BC66" s="38">
        <v>45764</v>
      </c>
      <c r="BD66" s="38"/>
    </row>
    <row r="67" spans="22:56" ht="16" x14ac:dyDescent="0.4">
      <c r="V67" s="97">
        <v>45755</v>
      </c>
      <c r="W67">
        <v>132789</v>
      </c>
      <c r="X67" s="89" t="s">
        <v>36</v>
      </c>
      <c r="Z67" s="50">
        <v>0.19990740740740742</v>
      </c>
      <c r="AA67" s="50">
        <v>0.4645023148148148</v>
      </c>
      <c r="AD67" s="48">
        <v>21278</v>
      </c>
      <c r="AE67" s="48">
        <f t="shared" si="21"/>
        <v>21.277999999999999</v>
      </c>
      <c r="AF67">
        <v>14.93</v>
      </c>
      <c r="AG67" s="72">
        <f t="shared" si="22"/>
        <v>14</v>
      </c>
      <c r="AH67" s="37">
        <f t="shared" si="2"/>
        <v>21.277999999999999</v>
      </c>
      <c r="AJ67" s="21">
        <v>45764</v>
      </c>
      <c r="AK67" t="s">
        <v>202</v>
      </c>
      <c r="AL67" t="s">
        <v>5</v>
      </c>
      <c r="AN67" t="s">
        <v>420</v>
      </c>
      <c r="AO67" t="s">
        <v>420</v>
      </c>
      <c r="AP67" s="56">
        <v>3470</v>
      </c>
      <c r="AR67" s="38"/>
      <c r="AS67" s="38"/>
      <c r="AU67" s="38">
        <v>45764</v>
      </c>
      <c r="AW67" t="s">
        <v>5</v>
      </c>
      <c r="AY67" s="81">
        <v>0.44869212962962962</v>
      </c>
      <c r="AZ67" s="81">
        <v>0.59201388888888895</v>
      </c>
      <c r="BA67" s="37">
        <v>6574</v>
      </c>
      <c r="BB67" t="s">
        <v>49</v>
      </c>
      <c r="BC67" s="38">
        <v>45764</v>
      </c>
      <c r="BD67" s="38"/>
    </row>
    <row r="68" spans="22:56" ht="16" x14ac:dyDescent="0.4">
      <c r="V68" s="97">
        <v>45755</v>
      </c>
      <c r="W68">
        <v>132711</v>
      </c>
      <c r="X68" s="89" t="s">
        <v>36</v>
      </c>
      <c r="Z68" s="50">
        <v>0.27628472222222222</v>
      </c>
      <c r="AA68" s="50">
        <v>0.38535879629629632</v>
      </c>
      <c r="AD68" s="48">
        <v>21122</v>
      </c>
      <c r="AE68" s="48">
        <f t="shared" si="21"/>
        <v>21.122</v>
      </c>
      <c r="AF68">
        <v>15.21</v>
      </c>
      <c r="AG68" s="72">
        <f t="shared" si="22"/>
        <v>14</v>
      </c>
      <c r="AH68" s="37">
        <f t="shared" si="2"/>
        <v>21.121999999999996</v>
      </c>
      <c r="AJ68" s="21">
        <v>45764</v>
      </c>
      <c r="AK68" t="s">
        <v>203</v>
      </c>
      <c r="AL68" t="s">
        <v>5</v>
      </c>
      <c r="AN68" t="s">
        <v>421</v>
      </c>
      <c r="AO68" t="s">
        <v>421</v>
      </c>
      <c r="AP68" s="56">
        <v>3870</v>
      </c>
      <c r="AR68" s="38"/>
      <c r="AS68" s="38"/>
      <c r="AU68" s="38">
        <v>45764</v>
      </c>
      <c r="AW68" t="s">
        <v>5</v>
      </c>
      <c r="AY68" s="81">
        <v>0.58960648148148154</v>
      </c>
      <c r="AZ68" s="81">
        <v>0.3841087962962963</v>
      </c>
      <c r="BA68" s="37">
        <v>3760</v>
      </c>
      <c r="BB68" t="s">
        <v>88</v>
      </c>
      <c r="BC68" s="38">
        <v>45764</v>
      </c>
      <c r="BD68" s="38"/>
    </row>
    <row r="69" spans="22:56" ht="16" x14ac:dyDescent="0.4">
      <c r="V69" s="97">
        <v>45755</v>
      </c>
      <c r="W69">
        <v>132869</v>
      </c>
      <c r="X69" s="89" t="s">
        <v>36</v>
      </c>
      <c r="Z69" s="50">
        <v>0.2761805555555556</v>
      </c>
      <c r="AA69" s="50">
        <v>0.57854166666666662</v>
      </c>
      <c r="AD69" s="48">
        <v>20564</v>
      </c>
      <c r="AE69" s="48">
        <f t="shared" si="21"/>
        <v>20.564</v>
      </c>
      <c r="AF69">
        <v>14.88</v>
      </c>
      <c r="AG69" s="72">
        <f t="shared" si="22"/>
        <v>14</v>
      </c>
      <c r="AH69" s="37">
        <f t="shared" si="2"/>
        <v>20.564</v>
      </c>
      <c r="AJ69" s="21">
        <v>45764</v>
      </c>
      <c r="AK69" t="s">
        <v>204</v>
      </c>
      <c r="AL69" t="s">
        <v>5</v>
      </c>
      <c r="AN69" t="s">
        <v>422</v>
      </c>
      <c r="AO69" t="s">
        <v>422</v>
      </c>
      <c r="AP69" s="56">
        <v>5370</v>
      </c>
      <c r="AR69" s="38"/>
      <c r="AS69" s="38"/>
      <c r="AU69" s="38">
        <v>45766</v>
      </c>
      <c r="AW69" t="s">
        <v>5</v>
      </c>
      <c r="AY69" s="81">
        <v>0.38902777777777775</v>
      </c>
      <c r="AZ69" s="81">
        <v>0.40148148148148149</v>
      </c>
      <c r="BA69" s="37">
        <v>2906</v>
      </c>
      <c r="BB69" t="s">
        <v>83</v>
      </c>
      <c r="BC69" s="38">
        <v>45766</v>
      </c>
      <c r="BD69" s="38"/>
    </row>
    <row r="70" spans="22:56" ht="16" x14ac:dyDescent="0.4">
      <c r="V70" s="97">
        <v>45755</v>
      </c>
      <c r="W70">
        <v>132911</v>
      </c>
      <c r="X70" s="89" t="s">
        <v>36</v>
      </c>
      <c r="Z70" s="50">
        <v>0.19974537037037035</v>
      </c>
      <c r="AA70" s="50">
        <v>0.64249999999999996</v>
      </c>
      <c r="AD70" s="48">
        <v>19990</v>
      </c>
      <c r="AE70" s="48">
        <f t="shared" si="21"/>
        <v>19.989999999999998</v>
      </c>
      <c r="AF70">
        <v>14.81</v>
      </c>
      <c r="AG70" s="72">
        <f t="shared" si="22"/>
        <v>14</v>
      </c>
      <c r="AH70" s="37">
        <f t="shared" ref="AH70:AH133" si="23">AE70*AG70/14</f>
        <v>19.989999999999998</v>
      </c>
      <c r="AJ70" s="21">
        <v>45764</v>
      </c>
      <c r="AK70" t="s">
        <v>205</v>
      </c>
      <c r="AL70" t="s">
        <v>5</v>
      </c>
      <c r="AN70" t="s">
        <v>423</v>
      </c>
      <c r="AO70" t="s">
        <v>423</v>
      </c>
      <c r="AP70" s="56">
        <v>2110</v>
      </c>
      <c r="AR70" s="38"/>
      <c r="AS70" s="38"/>
      <c r="AU70" s="38">
        <v>45766</v>
      </c>
      <c r="AW70" t="s">
        <v>5</v>
      </c>
      <c r="AY70" s="81">
        <v>0.45537037037037037</v>
      </c>
      <c r="AZ70" s="81">
        <v>0.46752314814814816</v>
      </c>
      <c r="BA70" s="37">
        <v>3862</v>
      </c>
      <c r="BB70" t="s">
        <v>74</v>
      </c>
      <c r="BC70" s="38">
        <v>45766</v>
      </c>
      <c r="BD70" s="38"/>
    </row>
    <row r="71" spans="22:56" ht="16" x14ac:dyDescent="0.4">
      <c r="V71" s="97">
        <v>45755</v>
      </c>
      <c r="W71">
        <v>132771</v>
      </c>
      <c r="X71" s="89" t="s">
        <v>36</v>
      </c>
      <c r="Z71" s="50">
        <v>0.27606481481481482</v>
      </c>
      <c r="AA71" s="50">
        <v>0.70505787037037038</v>
      </c>
      <c r="AD71" s="48">
        <v>21042</v>
      </c>
      <c r="AE71" s="48">
        <f t="shared" si="21"/>
        <v>21.042000000000002</v>
      </c>
      <c r="AF71">
        <v>14.77</v>
      </c>
      <c r="AG71" s="72">
        <f t="shared" si="22"/>
        <v>14</v>
      </c>
      <c r="AH71" s="37">
        <f t="shared" si="23"/>
        <v>21.042000000000002</v>
      </c>
      <c r="AJ71" s="21">
        <v>45764</v>
      </c>
      <c r="AK71" t="s">
        <v>206</v>
      </c>
      <c r="AL71" t="s">
        <v>5</v>
      </c>
      <c r="AN71" t="s">
        <v>424</v>
      </c>
      <c r="AO71" t="s">
        <v>424</v>
      </c>
      <c r="AP71" s="56">
        <v>4300</v>
      </c>
      <c r="AR71" s="38"/>
      <c r="AS71" s="38"/>
      <c r="AU71" s="38">
        <v>45766</v>
      </c>
      <c r="AW71" t="s">
        <v>5</v>
      </c>
      <c r="AY71" s="81">
        <v>0.46793981481481484</v>
      </c>
      <c r="AZ71" s="81">
        <v>0.53438657407407408</v>
      </c>
      <c r="BA71" s="37">
        <v>2644</v>
      </c>
      <c r="BB71" t="s">
        <v>83</v>
      </c>
      <c r="BC71" s="38">
        <v>45766</v>
      </c>
      <c r="BD71" s="38"/>
    </row>
    <row r="72" spans="22:56" ht="16" x14ac:dyDescent="0.4">
      <c r="V72" s="97">
        <v>45755</v>
      </c>
      <c r="W72">
        <v>132980</v>
      </c>
      <c r="X72" s="89" t="s">
        <v>36</v>
      </c>
      <c r="Z72" s="50">
        <v>0.76388888888888884</v>
      </c>
      <c r="AA72" s="50">
        <v>0.78194444444444444</v>
      </c>
      <c r="AD72" s="48">
        <v>21494</v>
      </c>
      <c r="AE72" s="48">
        <f t="shared" si="21"/>
        <v>21.494</v>
      </c>
      <c r="AF72">
        <v>15.06</v>
      </c>
      <c r="AG72" s="72">
        <f t="shared" si="22"/>
        <v>14</v>
      </c>
      <c r="AH72" s="37">
        <f t="shared" si="23"/>
        <v>21.494</v>
      </c>
      <c r="AJ72" s="21">
        <v>45764</v>
      </c>
      <c r="AK72" t="s">
        <v>207</v>
      </c>
      <c r="AL72" t="s">
        <v>5</v>
      </c>
      <c r="AN72" t="s">
        <v>425</v>
      </c>
      <c r="AO72" t="s">
        <v>425</v>
      </c>
      <c r="AP72" s="56">
        <v>2940</v>
      </c>
      <c r="AR72" s="38"/>
      <c r="AS72" s="38"/>
      <c r="AU72" s="38">
        <v>45766</v>
      </c>
      <c r="AW72" t="s">
        <v>5</v>
      </c>
      <c r="AY72" s="81">
        <v>0.40156249999999999</v>
      </c>
      <c r="AZ72" s="81">
        <v>0.55371527777777774</v>
      </c>
      <c r="BA72" s="37">
        <v>2676</v>
      </c>
      <c r="BB72" t="s">
        <v>89</v>
      </c>
      <c r="BC72" s="38">
        <v>45766</v>
      </c>
      <c r="BD72" s="38"/>
    </row>
    <row r="73" spans="22:56" ht="16" x14ac:dyDescent="0.4">
      <c r="V73" s="97">
        <v>45755</v>
      </c>
      <c r="W73">
        <v>133013</v>
      </c>
      <c r="X73" s="89" t="s">
        <v>36</v>
      </c>
      <c r="Z73" s="50">
        <v>0.76597222222222217</v>
      </c>
      <c r="AA73" s="50">
        <v>0.86319444444444438</v>
      </c>
      <c r="AD73" s="48">
        <v>19898</v>
      </c>
      <c r="AE73" s="48">
        <f t="shared" si="21"/>
        <v>19.898</v>
      </c>
      <c r="AF73">
        <v>14.49</v>
      </c>
      <c r="AG73" s="72">
        <f t="shared" si="22"/>
        <v>14</v>
      </c>
      <c r="AH73" s="37">
        <f t="shared" si="23"/>
        <v>19.898</v>
      </c>
      <c r="AJ73" s="21">
        <v>45764</v>
      </c>
      <c r="AK73" t="s">
        <v>208</v>
      </c>
      <c r="AL73" t="s">
        <v>5</v>
      </c>
      <c r="AN73" t="s">
        <v>426</v>
      </c>
      <c r="AO73" t="s">
        <v>426</v>
      </c>
      <c r="AP73" s="56">
        <v>3460</v>
      </c>
      <c r="AR73" s="38"/>
      <c r="AS73" s="38"/>
      <c r="AU73" s="38">
        <v>45766</v>
      </c>
      <c r="AW73" t="s">
        <v>5</v>
      </c>
      <c r="AY73">
        <v>0.62641203703703707</v>
      </c>
      <c r="BA73" s="37">
        <v>3926</v>
      </c>
      <c r="BB73" t="s">
        <v>83</v>
      </c>
      <c r="BC73" s="38">
        <v>45766</v>
      </c>
      <c r="BD73" s="38"/>
    </row>
    <row r="74" spans="22:56" ht="16" x14ac:dyDescent="0.4">
      <c r="V74" s="97">
        <v>45755</v>
      </c>
      <c r="W74">
        <v>133037</v>
      </c>
      <c r="X74" s="89" t="s">
        <v>36</v>
      </c>
      <c r="Z74" s="50">
        <v>0.70208333333333339</v>
      </c>
      <c r="AA74" s="50">
        <v>0.9277777777777777</v>
      </c>
      <c r="AD74" s="48">
        <v>21612</v>
      </c>
      <c r="AE74" s="48">
        <f t="shared" si="21"/>
        <v>21.611999999999998</v>
      </c>
      <c r="AF74">
        <v>15.63</v>
      </c>
      <c r="AG74" s="72">
        <f t="shared" si="22"/>
        <v>14</v>
      </c>
      <c r="AH74" s="37">
        <f t="shared" si="23"/>
        <v>21.611999999999998</v>
      </c>
      <c r="AJ74" s="21">
        <v>45764</v>
      </c>
      <c r="AK74" t="s">
        <v>209</v>
      </c>
      <c r="AL74" t="s">
        <v>5</v>
      </c>
      <c r="AN74" t="s">
        <v>427</v>
      </c>
      <c r="AO74" t="s">
        <v>428</v>
      </c>
      <c r="AP74" s="56">
        <v>6620</v>
      </c>
      <c r="AR74" s="38"/>
      <c r="AS74" s="38"/>
      <c r="AU74" s="38">
        <v>45766</v>
      </c>
      <c r="AW74" t="s">
        <v>5</v>
      </c>
      <c r="AY74">
        <v>0.60295138888888888</v>
      </c>
      <c r="AZ74">
        <v>0.61946759259259265</v>
      </c>
      <c r="BA74" s="37">
        <v>3442</v>
      </c>
      <c r="BB74" t="s">
        <v>79</v>
      </c>
      <c r="BC74" s="38">
        <v>45766</v>
      </c>
      <c r="BD74" s="38"/>
    </row>
    <row r="75" spans="22:56" ht="16" x14ac:dyDescent="0.4">
      <c r="V75" s="97">
        <v>45756</v>
      </c>
      <c r="W75">
        <v>133059</v>
      </c>
      <c r="X75" s="89" t="s">
        <v>36</v>
      </c>
      <c r="Y75" s="89"/>
      <c r="Z75" s="50">
        <v>0.76597222222222217</v>
      </c>
      <c r="AA75" s="50">
        <v>3.472222222222222E-3</v>
      </c>
      <c r="AD75" s="48">
        <v>19582</v>
      </c>
      <c r="AE75" s="48">
        <f t="shared" si="21"/>
        <v>19.582000000000001</v>
      </c>
      <c r="AF75">
        <v>14.37</v>
      </c>
      <c r="AG75" s="72">
        <f t="shared" si="22"/>
        <v>14</v>
      </c>
      <c r="AH75" s="37">
        <f t="shared" si="23"/>
        <v>19.582000000000001</v>
      </c>
      <c r="AJ75" s="21">
        <v>45764</v>
      </c>
      <c r="AK75" t="s">
        <v>210</v>
      </c>
      <c r="AL75" t="s">
        <v>5</v>
      </c>
      <c r="AN75" t="s">
        <v>429</v>
      </c>
      <c r="AO75" t="s">
        <v>429</v>
      </c>
      <c r="AP75" s="56">
        <v>3810</v>
      </c>
      <c r="AR75" s="38"/>
      <c r="AS75" s="38"/>
      <c r="AU75" s="38">
        <v>45766</v>
      </c>
      <c r="AW75" t="s">
        <v>5</v>
      </c>
      <c r="AY75">
        <v>0.46415509259259258</v>
      </c>
      <c r="AZ75">
        <v>0.65699074074074071</v>
      </c>
      <c r="BA75" s="37">
        <v>2766</v>
      </c>
      <c r="BB75" t="s">
        <v>90</v>
      </c>
      <c r="BC75" s="38">
        <v>45766</v>
      </c>
      <c r="BD75" s="38"/>
    </row>
    <row r="76" spans="22:56" ht="16" x14ac:dyDescent="0.4">
      <c r="V76" s="97">
        <v>45756</v>
      </c>
      <c r="W76">
        <v>133080</v>
      </c>
      <c r="X76" s="89" t="s">
        <v>36</v>
      </c>
      <c r="Y76" s="89"/>
      <c r="Z76" s="50">
        <v>0.70208333333333339</v>
      </c>
      <c r="AA76" s="50">
        <v>6.25E-2</v>
      </c>
      <c r="AD76" s="48">
        <v>20590</v>
      </c>
      <c r="AE76" s="48">
        <f t="shared" si="21"/>
        <v>20.59</v>
      </c>
      <c r="AF76">
        <v>13.4</v>
      </c>
      <c r="AG76" s="72">
        <f t="shared" si="22"/>
        <v>13.4</v>
      </c>
      <c r="AH76" s="37">
        <f t="shared" si="23"/>
        <v>19.707571428571431</v>
      </c>
      <c r="AJ76" s="21">
        <v>45766</v>
      </c>
      <c r="AK76" t="s">
        <v>211</v>
      </c>
      <c r="AL76" t="s">
        <v>5</v>
      </c>
      <c r="AN76" t="s">
        <v>430</v>
      </c>
      <c r="AO76" t="s">
        <v>430</v>
      </c>
      <c r="AP76" s="56">
        <v>3870</v>
      </c>
      <c r="AR76" s="38"/>
      <c r="AS76" s="38"/>
      <c r="AU76" s="38">
        <v>45766</v>
      </c>
      <c r="AW76" t="s">
        <v>5</v>
      </c>
      <c r="AY76">
        <v>0.62465277777777783</v>
      </c>
      <c r="AZ76">
        <v>0.3550462962962963</v>
      </c>
      <c r="BA76" s="37">
        <v>2408</v>
      </c>
      <c r="BB76" t="s">
        <v>79</v>
      </c>
      <c r="BC76" s="38">
        <v>45766</v>
      </c>
      <c r="BD76" s="38"/>
    </row>
    <row r="77" spans="22:56" ht="16" x14ac:dyDescent="0.4">
      <c r="V77" s="97">
        <v>45756</v>
      </c>
      <c r="W77">
        <v>133090</v>
      </c>
      <c r="X77" s="89" t="s">
        <v>36</v>
      </c>
      <c r="Y77" s="89"/>
      <c r="Z77" s="50">
        <v>0.76597222222222217</v>
      </c>
      <c r="AA77" s="50">
        <v>0.12569444444444444</v>
      </c>
      <c r="AD77" s="48">
        <v>21168</v>
      </c>
      <c r="AE77" s="48">
        <f t="shared" si="21"/>
        <v>21.167999999999999</v>
      </c>
      <c r="AF77">
        <v>15.87</v>
      </c>
      <c r="AG77" s="72">
        <f t="shared" si="22"/>
        <v>14</v>
      </c>
      <c r="AH77" s="37">
        <f t="shared" si="23"/>
        <v>21.167999999999999</v>
      </c>
      <c r="AJ77" s="21">
        <v>45766</v>
      </c>
      <c r="AK77" t="s">
        <v>212</v>
      </c>
      <c r="AL77" t="s">
        <v>5</v>
      </c>
      <c r="AN77" t="s">
        <v>431</v>
      </c>
      <c r="AO77" t="s">
        <v>431</v>
      </c>
      <c r="AP77" s="56">
        <v>3870</v>
      </c>
      <c r="AR77" s="38"/>
      <c r="AS77" s="38"/>
      <c r="AU77" s="38">
        <v>45767</v>
      </c>
      <c r="AW77" t="s">
        <v>5</v>
      </c>
      <c r="AY77" s="81">
        <v>0.61040509259259257</v>
      </c>
      <c r="AZ77" s="81">
        <v>0.62458333333333338</v>
      </c>
      <c r="BA77" s="37">
        <v>3666</v>
      </c>
      <c r="BB77" t="s">
        <v>83</v>
      </c>
      <c r="BC77" s="38">
        <v>45767</v>
      </c>
      <c r="BD77" s="38"/>
    </row>
    <row r="78" spans="22:56" ht="16" x14ac:dyDescent="0.4">
      <c r="V78" s="97">
        <v>45756</v>
      </c>
      <c r="W78">
        <v>133099</v>
      </c>
      <c r="X78" s="89" t="s">
        <v>36</v>
      </c>
      <c r="Y78" s="89"/>
      <c r="Z78" s="50">
        <v>0.11805555555555557</v>
      </c>
      <c r="AA78" s="50">
        <v>0.17361111111111113</v>
      </c>
      <c r="AD78" s="48">
        <v>19888</v>
      </c>
      <c r="AE78" s="48">
        <f t="shared" si="21"/>
        <v>19.888000000000002</v>
      </c>
      <c r="AF78">
        <v>15.38</v>
      </c>
      <c r="AG78" s="72">
        <f t="shared" si="22"/>
        <v>14</v>
      </c>
      <c r="AH78" s="37">
        <f t="shared" si="23"/>
        <v>19.888000000000002</v>
      </c>
      <c r="AJ78" s="21">
        <v>45766</v>
      </c>
      <c r="AK78" t="s">
        <v>213</v>
      </c>
      <c r="AL78" t="s">
        <v>5</v>
      </c>
      <c r="AN78" t="s">
        <v>432</v>
      </c>
      <c r="AO78" t="s">
        <v>432</v>
      </c>
      <c r="AP78" s="56">
        <v>3610</v>
      </c>
      <c r="AR78" s="38"/>
      <c r="AS78" s="38"/>
      <c r="AU78" s="38">
        <v>45767</v>
      </c>
      <c r="AW78" t="s">
        <v>5</v>
      </c>
      <c r="AY78">
        <v>0.46229166666666671</v>
      </c>
      <c r="AZ78">
        <v>0.47848379629629628</v>
      </c>
      <c r="BA78" s="37">
        <v>3324</v>
      </c>
      <c r="BB78" t="s">
        <v>79</v>
      </c>
      <c r="BC78" s="38">
        <v>45767</v>
      </c>
      <c r="BD78" s="38"/>
    </row>
    <row r="79" spans="22:56" ht="16" x14ac:dyDescent="0.4">
      <c r="V79" s="97">
        <v>45756</v>
      </c>
      <c r="W79">
        <v>133103</v>
      </c>
      <c r="X79" s="89" t="s">
        <v>36</v>
      </c>
      <c r="Y79" s="89"/>
      <c r="Z79" s="50">
        <v>0.17986111111111111</v>
      </c>
      <c r="AA79" s="50">
        <v>0.22291666666666665</v>
      </c>
      <c r="AD79" s="48">
        <v>19070</v>
      </c>
      <c r="AE79" s="48">
        <f t="shared" si="21"/>
        <v>19.07</v>
      </c>
      <c r="AF79">
        <v>15.8</v>
      </c>
      <c r="AG79" s="72">
        <f t="shared" si="22"/>
        <v>14</v>
      </c>
      <c r="AH79" s="37">
        <f t="shared" si="23"/>
        <v>19.07</v>
      </c>
      <c r="AJ79" s="21">
        <v>45766</v>
      </c>
      <c r="AK79" t="s">
        <v>214</v>
      </c>
      <c r="AL79" t="s">
        <v>5</v>
      </c>
      <c r="AN79" t="s">
        <v>433</v>
      </c>
      <c r="AO79" t="s">
        <v>434</v>
      </c>
      <c r="AP79" s="56">
        <v>3570</v>
      </c>
      <c r="AR79" s="38"/>
      <c r="AS79" s="38"/>
      <c r="AU79" s="38">
        <v>45767</v>
      </c>
      <c r="AW79" t="s">
        <v>5</v>
      </c>
      <c r="AY79">
        <v>0.45833333333333331</v>
      </c>
      <c r="AZ79">
        <v>0.47222222222222227</v>
      </c>
      <c r="BA79" s="37">
        <v>3922</v>
      </c>
      <c r="BB79" t="s">
        <v>91</v>
      </c>
      <c r="BC79" s="38">
        <v>45767</v>
      </c>
      <c r="BD79" s="38"/>
    </row>
    <row r="80" spans="22:56" ht="16" x14ac:dyDescent="0.4">
      <c r="V80" s="97">
        <v>45756</v>
      </c>
      <c r="W80">
        <v>133130</v>
      </c>
      <c r="X80" s="89" t="s">
        <v>36</v>
      </c>
      <c r="Y80" s="89"/>
      <c r="Z80" s="50">
        <v>0.11861111111111111</v>
      </c>
      <c r="AA80" s="50">
        <v>0.30856481481481485</v>
      </c>
      <c r="AD80" s="48">
        <v>17870</v>
      </c>
      <c r="AE80" s="48">
        <f t="shared" si="21"/>
        <v>17.87</v>
      </c>
      <c r="AF80">
        <v>12.41</v>
      </c>
      <c r="AG80" s="72">
        <f t="shared" si="22"/>
        <v>12.41</v>
      </c>
      <c r="AH80" s="37">
        <f t="shared" si="23"/>
        <v>15.840478571428573</v>
      </c>
      <c r="AJ80" s="21">
        <v>45766</v>
      </c>
      <c r="AK80" t="s">
        <v>215</v>
      </c>
      <c r="AL80" t="s">
        <v>5</v>
      </c>
      <c r="AN80" t="s">
        <v>435</v>
      </c>
      <c r="AO80" t="s">
        <v>435</v>
      </c>
      <c r="AP80" s="56">
        <v>3930</v>
      </c>
      <c r="AR80" s="38"/>
      <c r="AS80" s="38"/>
      <c r="AU80" s="38">
        <v>45767</v>
      </c>
      <c r="AW80" t="s">
        <v>5</v>
      </c>
      <c r="AY80">
        <v>0.61944444444444446</v>
      </c>
      <c r="AZ80">
        <v>0.35694444444444445</v>
      </c>
      <c r="BA80" s="37">
        <v>3222</v>
      </c>
      <c r="BB80" t="s">
        <v>92</v>
      </c>
      <c r="BC80" s="38">
        <v>45768</v>
      </c>
      <c r="BD80" s="38"/>
    </row>
    <row r="81" spans="22:56" ht="16" x14ac:dyDescent="0.4">
      <c r="V81" s="97">
        <v>45757</v>
      </c>
      <c r="W81">
        <v>133565</v>
      </c>
      <c r="X81" s="89" t="s">
        <v>36</v>
      </c>
      <c r="Y81" s="89"/>
      <c r="Z81" s="50">
        <v>0.18069444444444446</v>
      </c>
      <c r="AA81" s="50">
        <v>0.39138888888888884</v>
      </c>
      <c r="AD81" s="48">
        <v>20440</v>
      </c>
      <c r="AE81" s="48">
        <f t="shared" si="21"/>
        <v>20.440000000000001</v>
      </c>
      <c r="AF81">
        <v>14.45</v>
      </c>
      <c r="AG81" s="72">
        <f t="shared" si="22"/>
        <v>14</v>
      </c>
      <c r="AH81" s="37">
        <f t="shared" si="23"/>
        <v>20.440000000000001</v>
      </c>
      <c r="AJ81" s="21">
        <v>45766</v>
      </c>
      <c r="AK81" t="s">
        <v>216</v>
      </c>
      <c r="AL81" t="s">
        <v>5</v>
      </c>
      <c r="AN81" t="s">
        <v>436</v>
      </c>
      <c r="AO81" t="s">
        <v>437</v>
      </c>
      <c r="AP81" s="56">
        <v>3740</v>
      </c>
      <c r="AR81" s="38"/>
      <c r="AS81" s="38"/>
      <c r="AU81" s="38">
        <v>45768</v>
      </c>
      <c r="AW81" t="s">
        <v>5</v>
      </c>
      <c r="AY81">
        <v>0.59305555555555556</v>
      </c>
      <c r="BA81" s="37">
        <v>3302</v>
      </c>
      <c r="BB81" t="s">
        <v>92</v>
      </c>
      <c r="BC81" s="38">
        <v>45768</v>
      </c>
      <c r="BD81" s="38"/>
    </row>
    <row r="82" spans="22:56" ht="16" x14ac:dyDescent="0.4">
      <c r="V82" s="97">
        <v>45757</v>
      </c>
      <c r="W82">
        <v>133619</v>
      </c>
      <c r="X82" s="89" t="s">
        <v>36</v>
      </c>
      <c r="Y82" s="89"/>
      <c r="Z82" s="50">
        <v>0.70237268518518514</v>
      </c>
      <c r="AA82" s="50">
        <v>0.48656250000000001</v>
      </c>
      <c r="AD82" s="48">
        <v>22274</v>
      </c>
      <c r="AE82" s="48">
        <f t="shared" si="21"/>
        <v>22.274000000000001</v>
      </c>
      <c r="AF82">
        <v>13.16</v>
      </c>
      <c r="AG82" s="72">
        <f t="shared" si="22"/>
        <v>13.16</v>
      </c>
      <c r="AH82" s="37">
        <f t="shared" si="23"/>
        <v>20.937560000000001</v>
      </c>
      <c r="AJ82" s="21">
        <v>45766</v>
      </c>
      <c r="AK82" t="s">
        <v>217</v>
      </c>
      <c r="AL82" t="s">
        <v>5</v>
      </c>
      <c r="AN82" t="s">
        <v>438</v>
      </c>
      <c r="AO82" t="s">
        <v>438</v>
      </c>
      <c r="AP82" s="56">
        <v>3090</v>
      </c>
      <c r="AR82" s="38"/>
      <c r="AS82" s="38"/>
      <c r="AU82" s="38">
        <v>45768</v>
      </c>
      <c r="AW82" t="s">
        <v>5</v>
      </c>
      <c r="AY82" s="39">
        <v>0.48680555555555555</v>
      </c>
      <c r="AZ82">
        <v>0.5</v>
      </c>
      <c r="BA82" s="37">
        <v>6112</v>
      </c>
      <c r="BC82" s="38">
        <v>45768</v>
      </c>
      <c r="BD82" s="38"/>
    </row>
    <row r="83" spans="22:56" ht="16" x14ac:dyDescent="0.4">
      <c r="V83" s="97">
        <v>45757</v>
      </c>
      <c r="W83">
        <v>133643</v>
      </c>
      <c r="X83" s="89" t="s">
        <v>36</v>
      </c>
      <c r="Y83" s="89"/>
      <c r="Z83" s="50">
        <v>0.18060185185185185</v>
      </c>
      <c r="AA83" s="50">
        <v>0.54631944444444447</v>
      </c>
      <c r="AD83" s="48">
        <v>19438</v>
      </c>
      <c r="AE83" s="48">
        <f t="shared" si="21"/>
        <v>19.437999999999999</v>
      </c>
      <c r="AF83">
        <v>14.32</v>
      </c>
      <c r="AG83" s="72">
        <f t="shared" si="22"/>
        <v>14</v>
      </c>
      <c r="AH83" s="37">
        <f t="shared" si="23"/>
        <v>19.437999999999999</v>
      </c>
      <c r="AJ83" s="21">
        <v>45766</v>
      </c>
      <c r="AK83" t="s">
        <v>218</v>
      </c>
      <c r="AL83" t="s">
        <v>5</v>
      </c>
      <c r="AN83" t="s">
        <v>439</v>
      </c>
      <c r="AO83" t="s">
        <v>440</v>
      </c>
      <c r="AP83" s="56">
        <v>3450</v>
      </c>
      <c r="AR83" s="38"/>
      <c r="AS83" s="38"/>
      <c r="AU83" s="38">
        <v>45768</v>
      </c>
      <c r="AW83" t="s">
        <v>5</v>
      </c>
      <c r="AY83" s="39">
        <v>0.34930555555555554</v>
      </c>
      <c r="AZ83" s="39">
        <v>0.36388888888888887</v>
      </c>
      <c r="BA83" s="37">
        <v>3732</v>
      </c>
      <c r="BB83" t="s">
        <v>93</v>
      </c>
      <c r="BC83" s="38">
        <v>45768</v>
      </c>
      <c r="BD83" s="38"/>
    </row>
    <row r="84" spans="22:56" ht="16" x14ac:dyDescent="0.4">
      <c r="V84" s="97">
        <v>45757</v>
      </c>
      <c r="W84">
        <v>133750</v>
      </c>
      <c r="X84" s="89" t="s">
        <v>36</v>
      </c>
      <c r="Y84" s="89"/>
      <c r="Z84" s="50">
        <v>0.61449074074074073</v>
      </c>
      <c r="AA84" s="50">
        <v>0.6903125</v>
      </c>
      <c r="AD84" s="48">
        <v>23276</v>
      </c>
      <c r="AE84" s="48">
        <f t="shared" si="21"/>
        <v>23.276</v>
      </c>
      <c r="AF84">
        <v>13.39</v>
      </c>
      <c r="AG84" s="72">
        <f t="shared" si="22"/>
        <v>13.39</v>
      </c>
      <c r="AH84" s="37">
        <f t="shared" si="23"/>
        <v>22.26183142857143</v>
      </c>
      <c r="AJ84" s="21">
        <v>45766</v>
      </c>
      <c r="AK84" t="s">
        <v>219</v>
      </c>
      <c r="AL84" t="s">
        <v>5</v>
      </c>
      <c r="AN84" t="s">
        <v>441</v>
      </c>
      <c r="AO84" t="s">
        <v>441</v>
      </c>
      <c r="AP84" s="56">
        <v>2330</v>
      </c>
      <c r="AR84" s="38"/>
      <c r="AS84" s="38"/>
      <c r="AU84" s="38">
        <v>45768</v>
      </c>
      <c r="AW84" t="s">
        <v>5</v>
      </c>
      <c r="AY84" s="81">
        <v>0.36458333333333331</v>
      </c>
      <c r="AZ84" s="81">
        <v>0.42152777777777778</v>
      </c>
      <c r="BA84" s="37">
        <v>3018</v>
      </c>
      <c r="BB84" t="s">
        <v>94</v>
      </c>
      <c r="BC84" s="38">
        <v>45768</v>
      </c>
      <c r="BD84" s="38"/>
    </row>
    <row r="85" spans="22:56" ht="16" x14ac:dyDescent="0.4">
      <c r="V85" s="97">
        <v>45757</v>
      </c>
      <c r="W85">
        <v>133789</v>
      </c>
      <c r="X85" s="89" t="s">
        <v>36</v>
      </c>
      <c r="Y85" s="89"/>
      <c r="Z85" s="50">
        <v>0.27708333333333335</v>
      </c>
      <c r="AA85" s="50">
        <v>0.79305555555555562</v>
      </c>
      <c r="AD85" s="48">
        <v>21134</v>
      </c>
      <c r="AE85" s="48">
        <f t="shared" si="21"/>
        <v>21.134</v>
      </c>
      <c r="AF85">
        <v>14.27</v>
      </c>
      <c r="AG85" s="72">
        <f t="shared" si="22"/>
        <v>14</v>
      </c>
      <c r="AH85" s="37">
        <f t="shared" si="23"/>
        <v>21.133999999999997</v>
      </c>
      <c r="AJ85" s="21">
        <v>45767</v>
      </c>
      <c r="AK85" t="s">
        <v>220</v>
      </c>
      <c r="AL85" t="s">
        <v>5</v>
      </c>
      <c r="AN85" t="s">
        <v>442</v>
      </c>
      <c r="AO85" t="s">
        <v>442</v>
      </c>
      <c r="AP85" s="56">
        <v>3450</v>
      </c>
      <c r="AR85" s="38"/>
      <c r="AS85" s="38"/>
      <c r="AU85" s="38">
        <v>45768</v>
      </c>
      <c r="AW85" t="s">
        <v>5</v>
      </c>
      <c r="AY85" s="81">
        <v>0.47847222222222219</v>
      </c>
      <c r="AZ85" s="81">
        <v>0.44791666666666669</v>
      </c>
      <c r="BA85" s="37">
        <v>3028</v>
      </c>
      <c r="BB85" t="s">
        <v>94</v>
      </c>
      <c r="BC85" s="38">
        <v>45768</v>
      </c>
      <c r="BD85" s="38"/>
    </row>
    <row r="86" spans="22:56" ht="16" x14ac:dyDescent="0.4">
      <c r="V86" s="97">
        <v>45757</v>
      </c>
      <c r="W86">
        <v>133821</v>
      </c>
      <c r="X86" s="89" t="s">
        <v>36</v>
      </c>
      <c r="Y86" s="89"/>
      <c r="Z86" s="50">
        <v>0.77013888888888893</v>
      </c>
      <c r="AA86" s="50">
        <v>0.86388888888888893</v>
      </c>
      <c r="AD86" s="48">
        <v>18892</v>
      </c>
      <c r="AE86" s="48">
        <f t="shared" si="21"/>
        <v>18.891999999999999</v>
      </c>
      <c r="AF86">
        <v>16.59</v>
      </c>
      <c r="AG86" s="72">
        <f t="shared" si="22"/>
        <v>14</v>
      </c>
      <c r="AH86" s="37">
        <f t="shared" si="23"/>
        <v>18.891999999999999</v>
      </c>
      <c r="AJ86" s="21">
        <v>45767</v>
      </c>
      <c r="AK86" t="s">
        <v>221</v>
      </c>
      <c r="AL86" t="s">
        <v>5</v>
      </c>
      <c r="AN86" t="s">
        <v>443</v>
      </c>
      <c r="AO86" t="s">
        <v>443</v>
      </c>
      <c r="AP86" s="56">
        <v>3030</v>
      </c>
      <c r="AR86" s="38"/>
      <c r="AS86" s="38"/>
      <c r="AU86" s="38">
        <v>45768</v>
      </c>
      <c r="AW86" t="s">
        <v>5</v>
      </c>
      <c r="AY86" s="81">
        <v>0.375</v>
      </c>
      <c r="AZ86" s="81">
        <v>0.47847222222222219</v>
      </c>
      <c r="BA86" s="37">
        <v>3446</v>
      </c>
      <c r="BB86" t="s">
        <v>50</v>
      </c>
      <c r="BC86" s="38">
        <v>45768</v>
      </c>
      <c r="BD86" s="38"/>
    </row>
    <row r="87" spans="22:56" ht="16" x14ac:dyDescent="0.4">
      <c r="V87" s="97">
        <v>45757</v>
      </c>
      <c r="W87">
        <v>133868</v>
      </c>
      <c r="X87" s="89" t="s">
        <v>36</v>
      </c>
      <c r="Y87" s="89"/>
      <c r="Z87" s="50">
        <v>0.85277777777777775</v>
      </c>
      <c r="AA87" s="50">
        <v>0.9472222222222223</v>
      </c>
      <c r="AD87" s="48">
        <v>21170</v>
      </c>
      <c r="AE87" s="48">
        <f t="shared" si="21"/>
        <v>21.17</v>
      </c>
      <c r="AF87">
        <v>12.2</v>
      </c>
      <c r="AG87" s="72">
        <f t="shared" si="22"/>
        <v>12.2</v>
      </c>
      <c r="AH87" s="37">
        <f t="shared" si="23"/>
        <v>18.448142857142859</v>
      </c>
      <c r="AJ87" s="21">
        <v>45767</v>
      </c>
      <c r="AK87" t="s">
        <v>222</v>
      </c>
      <c r="AL87" t="s">
        <v>5</v>
      </c>
      <c r="AN87" t="s">
        <v>444</v>
      </c>
      <c r="AO87" t="s">
        <v>444</v>
      </c>
      <c r="AP87" s="56">
        <v>3810</v>
      </c>
      <c r="AR87" s="38"/>
      <c r="AS87" s="38"/>
      <c r="AU87" s="38">
        <v>45768</v>
      </c>
      <c r="AW87" t="s">
        <v>5</v>
      </c>
      <c r="AY87" s="81">
        <v>0.46527777777777773</v>
      </c>
      <c r="AZ87" s="81">
        <v>0.68611111111111101</v>
      </c>
      <c r="BA87" s="37">
        <v>1774</v>
      </c>
      <c r="BB87" t="s">
        <v>95</v>
      </c>
      <c r="BC87" s="38">
        <v>45768</v>
      </c>
      <c r="BD87" s="38"/>
    </row>
    <row r="88" spans="22:56" ht="16" x14ac:dyDescent="0.4">
      <c r="V88" s="97">
        <v>45758</v>
      </c>
      <c r="W88">
        <v>133888</v>
      </c>
      <c r="X88" s="89" t="s">
        <v>36</v>
      </c>
      <c r="Y88" s="89"/>
      <c r="Z88" s="50">
        <v>0.61388888888888882</v>
      </c>
      <c r="AA88" s="50">
        <v>5.5555555555555558E-3</v>
      </c>
      <c r="AD88" s="48">
        <v>18594</v>
      </c>
      <c r="AE88" s="48">
        <f t="shared" si="21"/>
        <v>18.594000000000001</v>
      </c>
      <c r="AF88">
        <v>15.63</v>
      </c>
      <c r="AG88" s="72">
        <f t="shared" si="22"/>
        <v>14</v>
      </c>
      <c r="AH88" s="37">
        <f t="shared" si="23"/>
        <v>18.594000000000001</v>
      </c>
      <c r="AJ88" s="21">
        <v>45768</v>
      </c>
      <c r="AK88" t="s">
        <v>223</v>
      </c>
      <c r="AL88" t="s">
        <v>5</v>
      </c>
      <c r="AN88" t="s">
        <v>445</v>
      </c>
      <c r="AO88" t="s">
        <v>445</v>
      </c>
      <c r="AP88" s="56">
        <v>3010</v>
      </c>
      <c r="AR88" s="38"/>
      <c r="AS88" s="38"/>
      <c r="AU88" s="38">
        <v>45768</v>
      </c>
      <c r="AW88" t="s">
        <v>5</v>
      </c>
      <c r="AY88" s="81">
        <v>0.66875000000000007</v>
      </c>
      <c r="AZ88" s="81">
        <v>0.6972222222222223</v>
      </c>
      <c r="BA88" s="37">
        <v>2610</v>
      </c>
      <c r="BB88" t="s">
        <v>93</v>
      </c>
      <c r="BC88" s="38">
        <v>45768</v>
      </c>
      <c r="BD88" s="38"/>
    </row>
    <row r="89" spans="22:56" ht="16" x14ac:dyDescent="0.4">
      <c r="V89" s="97">
        <v>45758</v>
      </c>
      <c r="W89">
        <v>133904</v>
      </c>
      <c r="X89" s="89" t="s">
        <v>36</v>
      </c>
      <c r="Y89" s="89"/>
      <c r="Z89" s="50">
        <v>0.85277777777777775</v>
      </c>
      <c r="AA89" s="50">
        <v>7.9861111111111105E-2</v>
      </c>
      <c r="AD89" s="48">
        <v>19216</v>
      </c>
      <c r="AE89" s="48">
        <f t="shared" si="21"/>
        <v>19.216000000000001</v>
      </c>
      <c r="AF89">
        <v>17.489999999999998</v>
      </c>
      <c r="AG89" s="72">
        <f t="shared" si="22"/>
        <v>14</v>
      </c>
      <c r="AH89" s="37">
        <f t="shared" si="23"/>
        <v>19.216000000000001</v>
      </c>
      <c r="AJ89" s="21">
        <v>45768</v>
      </c>
      <c r="AK89" t="s">
        <v>224</v>
      </c>
      <c r="AL89" t="s">
        <v>5</v>
      </c>
      <c r="AN89" t="s">
        <v>446</v>
      </c>
      <c r="AO89" t="s">
        <v>446</v>
      </c>
      <c r="AP89" s="56">
        <v>3270</v>
      </c>
      <c r="AR89" s="38"/>
      <c r="AS89" s="38"/>
      <c r="AU89" s="38">
        <v>45768</v>
      </c>
      <c r="AW89" t="s">
        <v>5</v>
      </c>
      <c r="AY89" s="81">
        <v>0.66875000000000007</v>
      </c>
      <c r="AZ89" s="81">
        <v>0.6972222222222223</v>
      </c>
      <c r="BA89" s="37">
        <v>4280</v>
      </c>
      <c r="BB89" t="s">
        <v>93</v>
      </c>
      <c r="BC89" s="38">
        <v>45768</v>
      </c>
      <c r="BD89" s="38"/>
    </row>
    <row r="90" spans="22:56" ht="16" x14ac:dyDescent="0.4">
      <c r="V90" s="97">
        <v>45758</v>
      </c>
      <c r="W90">
        <v>133914</v>
      </c>
      <c r="X90" s="89" t="s">
        <v>36</v>
      </c>
      <c r="Y90" s="89"/>
      <c r="Z90" s="50">
        <v>0.61388888888888882</v>
      </c>
      <c r="AA90" s="50">
        <v>0.13472222222222222</v>
      </c>
      <c r="AD90" s="48">
        <v>20378</v>
      </c>
      <c r="AE90" s="48">
        <f t="shared" si="21"/>
        <v>20.378</v>
      </c>
      <c r="AF90">
        <v>14.06</v>
      </c>
      <c r="AG90" s="72">
        <f t="shared" si="22"/>
        <v>14</v>
      </c>
      <c r="AH90" s="37">
        <f t="shared" si="23"/>
        <v>20.378000000000004</v>
      </c>
      <c r="AJ90" s="21">
        <v>45768</v>
      </c>
      <c r="AK90" t="s">
        <v>225</v>
      </c>
      <c r="AL90" t="s">
        <v>5</v>
      </c>
      <c r="AN90" t="s">
        <v>447</v>
      </c>
      <c r="AO90" t="s">
        <v>448</v>
      </c>
      <c r="AP90" s="56">
        <v>5060</v>
      </c>
      <c r="AR90" s="38"/>
      <c r="AS90" s="38"/>
      <c r="AU90" s="38">
        <v>45769</v>
      </c>
      <c r="AW90" t="s">
        <v>5</v>
      </c>
      <c r="AY90" s="81">
        <v>0.39097222222222222</v>
      </c>
      <c r="AZ90" s="81">
        <v>0.40625</v>
      </c>
      <c r="BA90" s="37">
        <v>2880</v>
      </c>
      <c r="BC90" s="38">
        <v>45769</v>
      </c>
      <c r="BD90" s="38"/>
    </row>
    <row r="91" spans="22:56" ht="16" x14ac:dyDescent="0.4">
      <c r="V91" s="97">
        <v>45758</v>
      </c>
      <c r="W91">
        <v>133927</v>
      </c>
      <c r="X91" s="89" t="s">
        <v>36</v>
      </c>
      <c r="Y91" s="89"/>
      <c r="Z91" s="50">
        <v>0.85277777777777775</v>
      </c>
      <c r="AA91" s="50">
        <v>0.20277777777777781</v>
      </c>
      <c r="AD91" s="48">
        <v>16332</v>
      </c>
      <c r="AE91" s="48">
        <f t="shared" si="21"/>
        <v>16.332000000000001</v>
      </c>
      <c r="AF91">
        <v>13.02</v>
      </c>
      <c r="AG91" s="72">
        <f t="shared" si="22"/>
        <v>13.02</v>
      </c>
      <c r="AH91" s="37">
        <f t="shared" si="23"/>
        <v>15.18876</v>
      </c>
      <c r="AJ91" s="21">
        <v>45768</v>
      </c>
      <c r="AK91" t="s">
        <v>226</v>
      </c>
      <c r="AL91" t="s">
        <v>5</v>
      </c>
      <c r="AN91" t="s">
        <v>449</v>
      </c>
      <c r="AO91" t="s">
        <v>449</v>
      </c>
      <c r="AP91" s="56">
        <v>2830</v>
      </c>
      <c r="AR91" s="38"/>
      <c r="AS91" s="38"/>
      <c r="AU91" s="38">
        <v>45769</v>
      </c>
      <c r="AW91" t="s">
        <v>5</v>
      </c>
      <c r="AY91" s="81">
        <v>0.41111111111111115</v>
      </c>
      <c r="AZ91" s="81">
        <v>0.45416666666666666</v>
      </c>
      <c r="BA91" s="37">
        <v>4522</v>
      </c>
      <c r="BB91" t="s">
        <v>96</v>
      </c>
      <c r="BC91" s="38">
        <v>45769</v>
      </c>
      <c r="BD91" s="38"/>
    </row>
    <row r="92" spans="22:56" ht="16" x14ac:dyDescent="0.4">
      <c r="V92" s="97">
        <v>45758</v>
      </c>
      <c r="W92">
        <v>134001</v>
      </c>
      <c r="X92" s="89" t="s">
        <v>36</v>
      </c>
      <c r="Y92" s="89"/>
      <c r="Z92" s="50">
        <v>0.26701388888888888</v>
      </c>
      <c r="AA92" s="50">
        <v>0.34348379629629627</v>
      </c>
      <c r="AD92" s="48">
        <v>20938</v>
      </c>
      <c r="AE92" s="48">
        <f t="shared" si="21"/>
        <v>20.937999999999999</v>
      </c>
      <c r="AF92">
        <v>15.59</v>
      </c>
      <c r="AG92" s="72">
        <f t="shared" si="22"/>
        <v>14</v>
      </c>
      <c r="AH92" s="37">
        <f t="shared" si="23"/>
        <v>20.937999999999999</v>
      </c>
      <c r="AJ92" s="21">
        <v>45768</v>
      </c>
      <c r="AK92" t="s">
        <v>227</v>
      </c>
      <c r="AL92" t="s">
        <v>5</v>
      </c>
      <c r="AN92" t="s">
        <v>450</v>
      </c>
      <c r="AO92" t="s">
        <v>450</v>
      </c>
      <c r="AP92" s="56">
        <v>3370</v>
      </c>
      <c r="AR92" s="38"/>
      <c r="AS92" s="38"/>
      <c r="AU92" s="38">
        <v>45769</v>
      </c>
      <c r="AW92" t="s">
        <v>5</v>
      </c>
      <c r="AY92" s="81">
        <v>0.4069444444444445</v>
      </c>
      <c r="AZ92" s="81">
        <v>0.52708333333333335</v>
      </c>
      <c r="BA92" s="37">
        <v>2950</v>
      </c>
      <c r="BB92" t="s">
        <v>96</v>
      </c>
      <c r="BC92" s="38">
        <v>45769</v>
      </c>
      <c r="BD92" s="38"/>
    </row>
    <row r="93" spans="22:56" ht="16" x14ac:dyDescent="0.4">
      <c r="V93" s="97">
        <v>45758</v>
      </c>
      <c r="W93">
        <v>134125</v>
      </c>
      <c r="X93" s="89" t="s">
        <v>36</v>
      </c>
      <c r="Y93" s="89"/>
      <c r="Z93" s="50">
        <v>0.26083333333333331</v>
      </c>
      <c r="AA93" s="50">
        <v>0.45664351851851853</v>
      </c>
      <c r="AD93" s="48">
        <v>20694</v>
      </c>
      <c r="AE93" s="48">
        <f t="shared" si="21"/>
        <v>20.693999999999999</v>
      </c>
      <c r="AF93">
        <v>16.41</v>
      </c>
      <c r="AG93" s="72">
        <f t="shared" si="22"/>
        <v>14</v>
      </c>
      <c r="AH93" s="37">
        <f t="shared" si="23"/>
        <v>20.693999999999999</v>
      </c>
      <c r="AJ93" s="21">
        <v>45768</v>
      </c>
      <c r="AK93" t="s">
        <v>228</v>
      </c>
      <c r="AL93" t="s">
        <v>5</v>
      </c>
      <c r="AN93" t="s">
        <v>451</v>
      </c>
      <c r="AO93" t="s">
        <v>451</v>
      </c>
      <c r="AP93" s="56">
        <v>1720</v>
      </c>
      <c r="AR93" s="38"/>
      <c r="AS93" s="38"/>
      <c r="AU93" s="38">
        <v>45768</v>
      </c>
      <c r="AW93" t="s">
        <v>5</v>
      </c>
      <c r="AY93" s="81">
        <v>0.51527777777777783</v>
      </c>
      <c r="AZ93" s="81">
        <v>0.53055555555555556</v>
      </c>
      <c r="BA93" s="37">
        <v>3114</v>
      </c>
      <c r="BB93" t="s">
        <v>94</v>
      </c>
      <c r="BC93" s="38">
        <v>45770</v>
      </c>
      <c r="BD93" s="38"/>
    </row>
    <row r="94" spans="22:56" ht="16" x14ac:dyDescent="0.4">
      <c r="V94" s="97">
        <v>45758</v>
      </c>
      <c r="W94">
        <v>134177</v>
      </c>
      <c r="X94" s="89" t="s">
        <v>36</v>
      </c>
      <c r="Y94" s="89"/>
      <c r="Z94" s="50">
        <v>0.19646990740740741</v>
      </c>
      <c r="AA94" s="50">
        <v>0.54226851851851854</v>
      </c>
      <c r="AD94" s="48">
        <v>21290</v>
      </c>
      <c r="AE94" s="48">
        <f t="shared" si="21"/>
        <v>21.29</v>
      </c>
      <c r="AF94">
        <v>15.67</v>
      </c>
      <c r="AG94" s="72">
        <f t="shared" si="22"/>
        <v>14</v>
      </c>
      <c r="AH94" s="37">
        <f t="shared" si="23"/>
        <v>21.29</v>
      </c>
      <c r="AJ94" s="21">
        <v>45768</v>
      </c>
      <c r="AK94" t="s">
        <v>229</v>
      </c>
      <c r="AL94" t="s">
        <v>5</v>
      </c>
      <c r="AN94" t="s">
        <v>452</v>
      </c>
      <c r="AO94" t="s">
        <v>452</v>
      </c>
      <c r="AP94" s="56">
        <v>3730</v>
      </c>
      <c r="AR94" s="38"/>
      <c r="AS94" s="38"/>
      <c r="AU94" s="38">
        <v>45770</v>
      </c>
      <c r="AW94" t="s">
        <v>5</v>
      </c>
      <c r="AY94" s="81">
        <v>0.53055555555555556</v>
      </c>
      <c r="AZ94" s="81">
        <v>0.41250000000000003</v>
      </c>
      <c r="BA94" s="37">
        <v>3338</v>
      </c>
      <c r="BB94" t="s">
        <v>97</v>
      </c>
      <c r="BC94" s="38">
        <v>45770</v>
      </c>
      <c r="BD94" s="38"/>
    </row>
    <row r="95" spans="22:56" ht="16" x14ac:dyDescent="0.4">
      <c r="V95" s="97">
        <v>45758</v>
      </c>
      <c r="W95">
        <v>134264</v>
      </c>
      <c r="X95" s="89" t="s">
        <v>36</v>
      </c>
      <c r="Y95" s="89"/>
      <c r="Z95" s="50">
        <v>0.26067129629629632</v>
      </c>
      <c r="AA95" s="50">
        <v>0.61726851851851849</v>
      </c>
      <c r="AD95" s="48">
        <v>19094</v>
      </c>
      <c r="AE95" s="48">
        <f t="shared" si="21"/>
        <v>19.094000000000001</v>
      </c>
      <c r="AF95">
        <v>15.38</v>
      </c>
      <c r="AG95" s="72">
        <f t="shared" si="22"/>
        <v>14</v>
      </c>
      <c r="AH95" s="37">
        <f t="shared" si="23"/>
        <v>19.094000000000001</v>
      </c>
      <c r="AJ95" s="21">
        <v>45768</v>
      </c>
      <c r="AK95" t="s">
        <v>230</v>
      </c>
      <c r="AL95" t="s">
        <v>5</v>
      </c>
      <c r="AN95" t="s">
        <v>453</v>
      </c>
      <c r="AO95" t="s">
        <v>453</v>
      </c>
      <c r="AP95" s="56">
        <v>2880</v>
      </c>
      <c r="AR95" s="38"/>
      <c r="AS95" s="38"/>
      <c r="AU95" s="38">
        <v>45770</v>
      </c>
      <c r="AW95" t="s">
        <v>5</v>
      </c>
      <c r="AY95" s="81">
        <v>0.7006944444444444</v>
      </c>
      <c r="AZ95" s="81">
        <v>0.43541666666666662</v>
      </c>
      <c r="BA95" s="37">
        <v>3632</v>
      </c>
      <c r="BB95" t="s">
        <v>96</v>
      </c>
      <c r="BC95" s="38">
        <v>45770</v>
      </c>
      <c r="BD95" s="38"/>
    </row>
    <row r="96" spans="22:56" ht="16" x14ac:dyDescent="0.4">
      <c r="V96" s="97">
        <v>45758</v>
      </c>
      <c r="W96">
        <v>134351</v>
      </c>
      <c r="X96" s="89" t="s">
        <v>36</v>
      </c>
      <c r="Y96" s="89"/>
      <c r="Z96" s="50">
        <v>0.19652777777777777</v>
      </c>
      <c r="AA96" s="50">
        <v>0.77083333333333337</v>
      </c>
      <c r="AD96" s="48">
        <v>18794</v>
      </c>
      <c r="AE96" s="48">
        <f t="shared" si="21"/>
        <v>18.794</v>
      </c>
      <c r="AF96">
        <v>13.7</v>
      </c>
      <c r="AG96" s="72">
        <f t="shared" si="22"/>
        <v>13.7</v>
      </c>
      <c r="AH96" s="37">
        <f t="shared" si="23"/>
        <v>18.391271428571429</v>
      </c>
      <c r="AJ96" s="21">
        <v>45768</v>
      </c>
      <c r="AK96" t="s">
        <v>231</v>
      </c>
      <c r="AL96" t="s">
        <v>5</v>
      </c>
      <c r="AN96" t="s">
        <v>454</v>
      </c>
      <c r="AO96" t="s">
        <v>455</v>
      </c>
      <c r="AP96" s="56">
        <v>2550</v>
      </c>
      <c r="AR96" s="38"/>
      <c r="AS96" s="38"/>
      <c r="AU96" s="38">
        <v>45770</v>
      </c>
      <c r="AW96" t="s">
        <v>5</v>
      </c>
      <c r="AY96" s="81">
        <v>8.3333333333333329E-2</v>
      </c>
      <c r="AZ96" s="81">
        <v>0.50277777777777777</v>
      </c>
      <c r="BA96" s="37">
        <v>3586</v>
      </c>
      <c r="BB96" t="s">
        <v>93</v>
      </c>
      <c r="BC96" s="38">
        <v>45770</v>
      </c>
      <c r="BD96" s="38"/>
    </row>
    <row r="97" spans="22:56" ht="16" x14ac:dyDescent="0.4">
      <c r="V97" s="97">
        <v>45758</v>
      </c>
      <c r="W97">
        <v>134380</v>
      </c>
      <c r="X97" s="89" t="s">
        <v>36</v>
      </c>
      <c r="Y97" s="89"/>
      <c r="Z97" s="50">
        <v>0.7631944444444444</v>
      </c>
      <c r="AA97" s="50">
        <v>0.83611111111111114</v>
      </c>
      <c r="AD97" s="48">
        <v>20374</v>
      </c>
      <c r="AE97" s="48">
        <f t="shared" si="21"/>
        <v>20.373999999999999</v>
      </c>
      <c r="AF97">
        <v>14.27</v>
      </c>
      <c r="AG97" s="72">
        <f t="shared" si="22"/>
        <v>14</v>
      </c>
      <c r="AH97" s="37">
        <f t="shared" si="23"/>
        <v>20.373999999999999</v>
      </c>
      <c r="AJ97" s="21">
        <v>45768</v>
      </c>
      <c r="AK97" t="s">
        <v>232</v>
      </c>
      <c r="AL97" t="s">
        <v>5</v>
      </c>
      <c r="AN97" t="s">
        <v>456</v>
      </c>
      <c r="AO97" t="s">
        <v>456</v>
      </c>
      <c r="AP97" s="56">
        <v>4200</v>
      </c>
      <c r="AR97" s="38"/>
      <c r="AS97" s="38"/>
      <c r="AU97" s="38">
        <v>45770</v>
      </c>
      <c r="AW97" t="s">
        <v>5</v>
      </c>
      <c r="AY97" s="81">
        <v>0.54236111111111118</v>
      </c>
      <c r="AZ97" s="81">
        <v>0.53055555555555556</v>
      </c>
      <c r="BA97" s="37">
        <v>3094</v>
      </c>
      <c r="BB97" t="s">
        <v>97</v>
      </c>
      <c r="BC97" s="38">
        <v>45770</v>
      </c>
      <c r="BD97" s="38"/>
    </row>
    <row r="98" spans="22:56" ht="16" x14ac:dyDescent="0.4">
      <c r="V98" s="97">
        <v>45758</v>
      </c>
      <c r="W98">
        <v>134408</v>
      </c>
      <c r="X98" s="89" t="s">
        <v>36</v>
      </c>
      <c r="Y98" s="89"/>
      <c r="Z98" s="50">
        <v>0.19583333333333333</v>
      </c>
      <c r="AA98" s="50">
        <v>0.88958333333333339</v>
      </c>
      <c r="AD98" s="48">
        <v>20732</v>
      </c>
      <c r="AE98" s="48">
        <f t="shared" si="21"/>
        <v>20.731999999999999</v>
      </c>
      <c r="AF98">
        <v>14.55</v>
      </c>
      <c r="AG98" s="72">
        <f t="shared" si="22"/>
        <v>14</v>
      </c>
      <c r="AH98" s="37">
        <f t="shared" si="23"/>
        <v>20.731999999999999</v>
      </c>
      <c r="AJ98" s="21">
        <v>45769</v>
      </c>
      <c r="AK98" t="s">
        <v>233</v>
      </c>
      <c r="AL98" t="s">
        <v>5</v>
      </c>
      <c r="AN98" t="s">
        <v>457</v>
      </c>
      <c r="AO98" t="s">
        <v>457</v>
      </c>
      <c r="AP98" s="56">
        <v>2880</v>
      </c>
      <c r="AR98" s="38"/>
      <c r="AS98" s="38"/>
      <c r="AU98" s="38">
        <v>45770</v>
      </c>
      <c r="AW98" t="s">
        <v>5</v>
      </c>
      <c r="AY98" s="81">
        <v>0.29097222222222224</v>
      </c>
      <c r="AZ98" s="81">
        <v>0.39444444444444443</v>
      </c>
      <c r="BA98" s="37">
        <v>5226</v>
      </c>
      <c r="BC98" s="38">
        <v>45770</v>
      </c>
      <c r="BD98" s="38"/>
    </row>
    <row r="99" spans="22:56" ht="16" x14ac:dyDescent="0.4">
      <c r="V99" s="97">
        <v>45758</v>
      </c>
      <c r="W99">
        <v>134433</v>
      </c>
      <c r="X99" s="89" t="s">
        <v>36</v>
      </c>
      <c r="Y99" s="89"/>
      <c r="Z99" s="50">
        <v>0.26041666666666669</v>
      </c>
      <c r="AA99" s="50">
        <v>0.96736111111111101</v>
      </c>
      <c r="AD99" s="48">
        <v>20650</v>
      </c>
      <c r="AE99" s="48">
        <f t="shared" si="21"/>
        <v>20.65</v>
      </c>
      <c r="AF99">
        <v>14.13</v>
      </c>
      <c r="AG99" s="72">
        <f t="shared" si="22"/>
        <v>14</v>
      </c>
      <c r="AH99" s="37">
        <f t="shared" si="23"/>
        <v>20.65</v>
      </c>
      <c r="AJ99" s="21">
        <v>45769</v>
      </c>
      <c r="AK99" t="s">
        <v>234</v>
      </c>
      <c r="AL99" t="s">
        <v>5</v>
      </c>
      <c r="AN99" t="s">
        <v>458</v>
      </c>
      <c r="AO99" t="s">
        <v>459</v>
      </c>
      <c r="AP99" s="56">
        <v>4470</v>
      </c>
      <c r="AR99" s="38"/>
      <c r="AS99" s="38"/>
      <c r="AU99" s="38">
        <v>45770</v>
      </c>
      <c r="AW99" t="s">
        <v>5</v>
      </c>
      <c r="AY99" s="81">
        <v>0.4548611111111111</v>
      </c>
      <c r="AZ99">
        <v>0.65694444444444444</v>
      </c>
      <c r="BA99" s="37">
        <v>3288</v>
      </c>
      <c r="BB99" t="s">
        <v>93</v>
      </c>
      <c r="BC99" s="38">
        <v>45770</v>
      </c>
      <c r="BD99" s="38"/>
    </row>
    <row r="100" spans="22:56" ht="16" x14ac:dyDescent="0.4">
      <c r="V100" s="97">
        <v>45759</v>
      </c>
      <c r="W100">
        <v>134450</v>
      </c>
      <c r="X100" s="89" t="s">
        <v>36</v>
      </c>
      <c r="Y100" s="89"/>
      <c r="Z100" s="50">
        <v>0.81666666666666676</v>
      </c>
      <c r="AA100" s="50">
        <v>4.027777777777778E-2</v>
      </c>
      <c r="AD100" s="48">
        <v>19296</v>
      </c>
      <c r="AE100" s="48">
        <f t="shared" si="21"/>
        <v>19.295999999999999</v>
      </c>
      <c r="AF100">
        <v>18.190000000000001</v>
      </c>
      <c r="AG100" s="72">
        <f t="shared" si="22"/>
        <v>14</v>
      </c>
      <c r="AH100" s="37">
        <f t="shared" si="23"/>
        <v>19.295999999999999</v>
      </c>
      <c r="AJ100" s="21">
        <v>45769</v>
      </c>
      <c r="AK100" t="s">
        <v>235</v>
      </c>
      <c r="AL100" t="s">
        <v>5</v>
      </c>
      <c r="AN100" t="s">
        <v>460</v>
      </c>
      <c r="AO100" t="s">
        <v>460</v>
      </c>
      <c r="AP100" s="56">
        <v>2970</v>
      </c>
      <c r="AR100" s="38"/>
      <c r="AS100" s="38"/>
      <c r="AU100" s="38">
        <v>45770</v>
      </c>
      <c r="AW100" t="s">
        <v>5</v>
      </c>
      <c r="AY100" s="81">
        <v>0.55972222222222223</v>
      </c>
      <c r="AZ100" s="81">
        <v>0.61111111111111105</v>
      </c>
      <c r="BA100" s="37">
        <v>5700</v>
      </c>
      <c r="BC100" s="38">
        <v>45771</v>
      </c>
      <c r="BD100" s="38"/>
    </row>
    <row r="101" spans="22:56" ht="16" x14ac:dyDescent="0.4">
      <c r="V101" s="97">
        <v>45759</v>
      </c>
      <c r="W101">
        <v>134461</v>
      </c>
      <c r="X101" s="89" t="s">
        <v>36</v>
      </c>
      <c r="Y101" s="89"/>
      <c r="Z101" s="50">
        <v>0.81666666666666676</v>
      </c>
      <c r="AA101" s="50">
        <v>0.10486111111111111</v>
      </c>
      <c r="AD101" s="48">
        <v>19086</v>
      </c>
      <c r="AE101" s="48">
        <f t="shared" si="21"/>
        <v>19.085999999999999</v>
      </c>
      <c r="AF101">
        <v>16.38</v>
      </c>
      <c r="AG101" s="72">
        <f t="shared" si="22"/>
        <v>14</v>
      </c>
      <c r="AH101" s="37">
        <f t="shared" si="23"/>
        <v>19.085999999999995</v>
      </c>
      <c r="AJ101" s="21">
        <v>45770</v>
      </c>
      <c r="AK101" t="s">
        <v>236</v>
      </c>
      <c r="AL101" t="s">
        <v>5</v>
      </c>
      <c r="AN101" t="s">
        <v>461</v>
      </c>
      <c r="AO101" t="s">
        <v>462</v>
      </c>
      <c r="AP101" s="56">
        <v>5150</v>
      </c>
      <c r="AR101" s="38"/>
      <c r="AS101" s="38"/>
      <c r="AU101" s="38">
        <v>45771</v>
      </c>
      <c r="AW101" t="s">
        <v>5</v>
      </c>
      <c r="AY101" s="39">
        <v>0.54652777777777783</v>
      </c>
      <c r="AZ101">
        <v>0.28680555555555554</v>
      </c>
      <c r="BA101" s="37">
        <v>2672</v>
      </c>
      <c r="BB101" t="s">
        <v>98</v>
      </c>
      <c r="BC101" s="38">
        <v>45771</v>
      </c>
      <c r="BD101" s="38"/>
    </row>
    <row r="102" spans="22:56" ht="16" x14ac:dyDescent="0.4">
      <c r="V102" s="97">
        <v>45759</v>
      </c>
      <c r="W102">
        <v>134468</v>
      </c>
      <c r="X102" s="89" t="s">
        <v>36</v>
      </c>
      <c r="Y102" s="89"/>
      <c r="Z102" s="50">
        <v>0.81666666666666676</v>
      </c>
      <c r="AA102" s="50">
        <v>0.14861111111111111</v>
      </c>
      <c r="AD102" s="48">
        <v>19214</v>
      </c>
      <c r="AE102" s="48">
        <f t="shared" si="21"/>
        <v>19.213999999999999</v>
      </c>
      <c r="AF102">
        <v>14.06</v>
      </c>
      <c r="AG102" s="72">
        <f t="shared" si="22"/>
        <v>14</v>
      </c>
      <c r="AH102" s="37">
        <f t="shared" si="23"/>
        <v>19.213999999999999</v>
      </c>
      <c r="AJ102" s="21">
        <v>45770</v>
      </c>
      <c r="AK102" t="s">
        <v>237</v>
      </c>
      <c r="AL102" t="s">
        <v>5</v>
      </c>
      <c r="AN102" t="s">
        <v>463</v>
      </c>
      <c r="AO102" t="s">
        <v>463</v>
      </c>
      <c r="AP102" s="56">
        <v>3150</v>
      </c>
      <c r="AR102" s="38"/>
      <c r="AS102" s="38"/>
      <c r="AU102" s="38">
        <v>45771</v>
      </c>
      <c r="AW102" t="s">
        <v>5</v>
      </c>
      <c r="AY102" s="39">
        <v>0.27291666666666664</v>
      </c>
      <c r="AZ102" s="39">
        <v>0.34027777777777773</v>
      </c>
      <c r="BA102" s="37">
        <v>3302</v>
      </c>
      <c r="BB102" t="s">
        <v>98</v>
      </c>
      <c r="BC102" s="38">
        <v>45771</v>
      </c>
      <c r="BD102" s="38"/>
    </row>
    <row r="103" spans="22:56" ht="16" x14ac:dyDescent="0.4">
      <c r="V103" s="97">
        <v>45759</v>
      </c>
      <c r="W103">
        <v>134483</v>
      </c>
      <c r="X103" s="89" t="s">
        <v>36</v>
      </c>
      <c r="Y103" s="89"/>
      <c r="Z103" s="50">
        <v>0.16458333333333333</v>
      </c>
      <c r="AA103" s="50">
        <v>0.21597222222222223</v>
      </c>
      <c r="AD103" s="48">
        <v>20514</v>
      </c>
      <c r="AE103" s="48">
        <f t="shared" si="21"/>
        <v>20.513999999999999</v>
      </c>
      <c r="AF103">
        <v>14.84</v>
      </c>
      <c r="AG103" s="72">
        <f t="shared" si="22"/>
        <v>14</v>
      </c>
      <c r="AH103" s="37">
        <f t="shared" si="23"/>
        <v>20.513999999999999</v>
      </c>
      <c r="AJ103" s="21">
        <v>45770</v>
      </c>
      <c r="AK103" t="s">
        <v>238</v>
      </c>
      <c r="AL103" t="s">
        <v>5</v>
      </c>
      <c r="AN103" t="s">
        <v>464</v>
      </c>
      <c r="AO103" t="s">
        <v>464</v>
      </c>
      <c r="AP103" s="56">
        <v>3630</v>
      </c>
      <c r="AR103" s="38"/>
      <c r="AS103" s="38"/>
      <c r="AU103" s="38">
        <v>45771</v>
      </c>
      <c r="AV103" s="16"/>
      <c r="AW103" t="s">
        <v>5</v>
      </c>
      <c r="AY103" s="39">
        <v>0.44097222222222227</v>
      </c>
      <c r="AZ103" s="39">
        <v>0.31736111111111115</v>
      </c>
      <c r="BA103" s="37">
        <v>5102</v>
      </c>
      <c r="BC103" s="38">
        <v>45771</v>
      </c>
      <c r="BD103" s="38"/>
    </row>
    <row r="104" spans="22:56" ht="16" x14ac:dyDescent="0.4">
      <c r="V104" s="97">
        <v>45759</v>
      </c>
      <c r="W104">
        <v>134509</v>
      </c>
      <c r="X104" s="89" t="s">
        <v>36</v>
      </c>
      <c r="Y104" s="89"/>
      <c r="Z104" s="50">
        <v>0.1935300925925926</v>
      </c>
      <c r="AA104" s="50">
        <v>0.30091435185185184</v>
      </c>
      <c r="AD104" s="48">
        <v>20842</v>
      </c>
      <c r="AE104" s="48">
        <f t="shared" si="21"/>
        <v>20.841999999999999</v>
      </c>
      <c r="AF104">
        <v>14.37</v>
      </c>
      <c r="AG104" s="72">
        <f t="shared" si="22"/>
        <v>14</v>
      </c>
      <c r="AH104" s="37">
        <f t="shared" si="23"/>
        <v>20.842000000000002</v>
      </c>
      <c r="AJ104" s="21">
        <v>45770</v>
      </c>
      <c r="AK104" t="s">
        <v>239</v>
      </c>
      <c r="AL104" t="s">
        <v>5</v>
      </c>
      <c r="AN104" t="s">
        <v>465</v>
      </c>
      <c r="AO104" t="s">
        <v>465</v>
      </c>
      <c r="AP104" s="56">
        <v>3480</v>
      </c>
      <c r="AR104" s="38"/>
      <c r="AS104" s="38"/>
      <c r="AU104" s="38">
        <v>45771</v>
      </c>
      <c r="AV104" s="16"/>
      <c r="AW104" t="s">
        <v>5</v>
      </c>
      <c r="AY104" s="39">
        <v>0.30069444444444443</v>
      </c>
      <c r="AZ104" s="39">
        <v>0.3576388888888889</v>
      </c>
      <c r="BA104" s="37">
        <v>2710</v>
      </c>
      <c r="BB104" t="s">
        <v>99</v>
      </c>
      <c r="BC104" s="38">
        <v>45771</v>
      </c>
      <c r="BD104" s="38"/>
    </row>
    <row r="105" spans="22:56" ht="16" x14ac:dyDescent="0.4">
      <c r="V105" s="97">
        <v>45759</v>
      </c>
      <c r="W105">
        <v>134569</v>
      </c>
      <c r="X105" s="89" t="s">
        <v>36</v>
      </c>
      <c r="Y105" s="89"/>
      <c r="Z105" s="50">
        <v>0.1648263888888889</v>
      </c>
      <c r="AA105" s="50">
        <v>0.37624999999999997</v>
      </c>
      <c r="AD105" s="48">
        <v>20364</v>
      </c>
      <c r="AE105" s="48">
        <f t="shared" si="21"/>
        <v>20.364000000000001</v>
      </c>
      <c r="AF105">
        <v>15.87</v>
      </c>
      <c r="AG105" s="72">
        <f t="shared" si="22"/>
        <v>14</v>
      </c>
      <c r="AH105" s="37">
        <f t="shared" si="23"/>
        <v>20.364000000000001</v>
      </c>
      <c r="AJ105" s="21">
        <v>45770</v>
      </c>
      <c r="AK105" t="s">
        <v>240</v>
      </c>
      <c r="AL105" t="s">
        <v>5</v>
      </c>
      <c r="AN105" t="s">
        <v>466</v>
      </c>
      <c r="AO105" t="s">
        <v>467</v>
      </c>
      <c r="AP105" s="56">
        <v>3170</v>
      </c>
      <c r="AR105" s="38"/>
      <c r="AS105" s="38"/>
      <c r="AU105" s="38">
        <v>45771</v>
      </c>
      <c r="AV105" s="16"/>
      <c r="AW105" t="s">
        <v>5</v>
      </c>
      <c r="AY105" s="81">
        <v>0.41180555555555554</v>
      </c>
      <c r="AZ105" s="81"/>
      <c r="BA105" s="37">
        <v>3384</v>
      </c>
      <c r="BB105" t="s">
        <v>98</v>
      </c>
      <c r="BC105" s="38">
        <v>45771</v>
      </c>
      <c r="BD105" s="38"/>
    </row>
    <row r="106" spans="22:56" ht="16" x14ac:dyDescent="0.4">
      <c r="V106" s="97">
        <v>45759</v>
      </c>
      <c r="W106">
        <v>134652</v>
      </c>
      <c r="X106" s="89" t="s">
        <v>36</v>
      </c>
      <c r="Y106" s="89"/>
      <c r="Z106" s="50">
        <v>0.40916666666666668</v>
      </c>
      <c r="AA106" s="50">
        <v>0.47711805555555559</v>
      </c>
      <c r="AD106" s="48">
        <v>20992</v>
      </c>
      <c r="AE106" s="48">
        <f t="shared" si="21"/>
        <v>20.992000000000001</v>
      </c>
      <c r="AF106">
        <v>14.52</v>
      </c>
      <c r="AG106" s="72">
        <f t="shared" si="22"/>
        <v>14</v>
      </c>
      <c r="AH106" s="37">
        <f t="shared" si="23"/>
        <v>20.992000000000001</v>
      </c>
      <c r="AJ106" s="21">
        <v>45770</v>
      </c>
      <c r="AK106" t="s">
        <v>241</v>
      </c>
      <c r="AL106" t="s">
        <v>5</v>
      </c>
      <c r="AN106" t="s">
        <v>468</v>
      </c>
      <c r="AO106" t="s">
        <v>469</v>
      </c>
      <c r="AP106" s="56">
        <v>5680</v>
      </c>
      <c r="AR106" s="38"/>
      <c r="AS106" s="38"/>
      <c r="AU106" s="38">
        <v>45771</v>
      </c>
      <c r="AV106" s="16">
        <v>139055</v>
      </c>
      <c r="AW106" t="s">
        <v>5</v>
      </c>
      <c r="BA106" s="37">
        <v>5706</v>
      </c>
      <c r="BC106" s="38">
        <v>45771</v>
      </c>
      <c r="BD106" s="38"/>
    </row>
    <row r="107" spans="22:56" ht="16" x14ac:dyDescent="0.4">
      <c r="V107" s="97">
        <v>45759</v>
      </c>
      <c r="W107">
        <v>134680</v>
      </c>
      <c r="X107" s="89" t="s">
        <v>36</v>
      </c>
      <c r="Y107" s="89"/>
      <c r="Z107" s="50">
        <v>0.16468750000000001</v>
      </c>
      <c r="AA107" s="50">
        <v>0.55201388888888892</v>
      </c>
      <c r="AD107" s="48">
        <v>19674</v>
      </c>
      <c r="AE107" s="48">
        <f t="shared" si="21"/>
        <v>19.673999999999999</v>
      </c>
      <c r="AF107">
        <v>16.02</v>
      </c>
      <c r="AG107" s="72">
        <f t="shared" si="22"/>
        <v>14</v>
      </c>
      <c r="AH107" s="37">
        <f t="shared" si="23"/>
        <v>19.673999999999999</v>
      </c>
      <c r="AJ107" s="21">
        <v>45770</v>
      </c>
      <c r="AK107" t="s">
        <v>242</v>
      </c>
      <c r="AL107" t="s">
        <v>5</v>
      </c>
      <c r="AN107" t="s">
        <v>470</v>
      </c>
      <c r="AO107" t="s">
        <v>471</v>
      </c>
      <c r="AP107" s="56">
        <v>3270</v>
      </c>
      <c r="AR107" s="38"/>
      <c r="AS107" s="38"/>
      <c r="AU107" s="38">
        <v>45771</v>
      </c>
      <c r="AV107" s="16"/>
      <c r="AW107" t="s">
        <v>5</v>
      </c>
      <c r="AY107" s="39">
        <v>0.3833333333333333</v>
      </c>
      <c r="AZ107" s="39">
        <v>0.44305555555555554</v>
      </c>
      <c r="BA107" s="37">
        <v>2580</v>
      </c>
      <c r="BB107" t="s">
        <v>98</v>
      </c>
      <c r="BC107" s="38">
        <v>45771</v>
      </c>
      <c r="BD107" s="38"/>
    </row>
    <row r="108" spans="22:56" ht="16" x14ac:dyDescent="0.4">
      <c r="V108" s="97">
        <v>45759</v>
      </c>
      <c r="W108">
        <v>134728</v>
      </c>
      <c r="X108" s="89" t="s">
        <v>36</v>
      </c>
      <c r="Y108" s="89"/>
      <c r="Z108" s="50">
        <v>0.19325231481481484</v>
      </c>
      <c r="AA108" s="50">
        <v>0.61223379629629626</v>
      </c>
      <c r="AD108" s="48">
        <v>20180</v>
      </c>
      <c r="AE108" s="48">
        <f t="shared" si="21"/>
        <v>20.18</v>
      </c>
      <c r="AF108">
        <v>14.81</v>
      </c>
      <c r="AG108" s="72">
        <f t="shared" si="22"/>
        <v>14</v>
      </c>
      <c r="AH108" s="37">
        <f t="shared" si="23"/>
        <v>20.18</v>
      </c>
      <c r="AJ108" s="21">
        <v>45771</v>
      </c>
      <c r="AK108" t="s">
        <v>243</v>
      </c>
      <c r="AL108" t="s">
        <v>5</v>
      </c>
      <c r="AN108" t="s">
        <v>472</v>
      </c>
      <c r="AO108" t="s">
        <v>473</v>
      </c>
      <c r="AP108" s="56">
        <v>2760</v>
      </c>
      <c r="AR108" s="38"/>
      <c r="AU108" s="38">
        <v>45771</v>
      </c>
      <c r="AV108" s="16"/>
      <c r="AW108" t="s">
        <v>5</v>
      </c>
      <c r="AY108" s="39"/>
      <c r="AZ108" s="39"/>
      <c r="BA108" s="37">
        <v>6194</v>
      </c>
      <c r="BC108" s="38">
        <v>45771</v>
      </c>
    </row>
    <row r="109" spans="22:56" ht="16" x14ac:dyDescent="0.4">
      <c r="V109" s="97">
        <v>45759</v>
      </c>
      <c r="W109">
        <v>134760</v>
      </c>
      <c r="X109" s="89" t="s">
        <v>36</v>
      </c>
      <c r="Y109" s="89"/>
      <c r="Z109" s="50">
        <v>0.59731481481481474</v>
      </c>
      <c r="AA109" s="50">
        <v>0.67472222222222211</v>
      </c>
      <c r="AD109" s="48">
        <v>19492</v>
      </c>
      <c r="AE109" s="48">
        <f t="shared" si="21"/>
        <v>19.492000000000001</v>
      </c>
      <c r="AF109">
        <v>14.01</v>
      </c>
      <c r="AG109" s="72">
        <f t="shared" si="22"/>
        <v>14</v>
      </c>
      <c r="AH109" s="37">
        <f t="shared" si="23"/>
        <v>19.492000000000001</v>
      </c>
      <c r="AJ109" s="21">
        <v>45771</v>
      </c>
      <c r="AK109" t="s">
        <v>244</v>
      </c>
      <c r="AL109" t="s">
        <v>5</v>
      </c>
      <c r="AN109" t="s">
        <v>474</v>
      </c>
      <c r="AO109" t="s">
        <v>475</v>
      </c>
      <c r="AP109" s="56">
        <v>3340</v>
      </c>
      <c r="AR109" s="38"/>
      <c r="AU109" s="38">
        <v>45771</v>
      </c>
      <c r="AV109" s="16"/>
      <c r="AW109" t="s">
        <v>5</v>
      </c>
      <c r="AY109" s="39">
        <v>0.52083333333333337</v>
      </c>
      <c r="AZ109" s="39"/>
      <c r="BA109" s="37">
        <v>3810</v>
      </c>
      <c r="BB109" t="s">
        <v>97</v>
      </c>
      <c r="BC109" s="38">
        <v>45771</v>
      </c>
    </row>
    <row r="110" spans="22:56" ht="16" x14ac:dyDescent="0.4">
      <c r="V110" s="97">
        <v>45759</v>
      </c>
      <c r="W110">
        <v>134783</v>
      </c>
      <c r="X110" s="89" t="s">
        <v>36</v>
      </c>
      <c r="Y110" s="89"/>
      <c r="Z110" s="50">
        <v>0.19305555555555554</v>
      </c>
      <c r="AA110" s="50">
        <v>0.76041666666666663</v>
      </c>
      <c r="AD110" s="48">
        <v>20966</v>
      </c>
      <c r="AE110" s="48">
        <f t="shared" si="21"/>
        <v>20.966000000000001</v>
      </c>
      <c r="AF110">
        <v>11.3</v>
      </c>
      <c r="AG110" s="72">
        <f t="shared" si="22"/>
        <v>11.3</v>
      </c>
      <c r="AH110" s="37">
        <f t="shared" si="23"/>
        <v>16.922557142857144</v>
      </c>
      <c r="AJ110" s="21">
        <v>45771</v>
      </c>
      <c r="AK110" t="s">
        <v>245</v>
      </c>
      <c r="AL110" t="s">
        <v>5</v>
      </c>
      <c r="AN110" t="s">
        <v>476</v>
      </c>
      <c r="AO110" t="s">
        <v>477</v>
      </c>
      <c r="AP110" s="56">
        <v>3880</v>
      </c>
      <c r="AR110" s="38"/>
      <c r="AU110" s="38">
        <v>45771</v>
      </c>
      <c r="AV110" s="98"/>
      <c r="AW110" t="s">
        <v>5</v>
      </c>
      <c r="AY110" s="39">
        <v>0.4513888888888889</v>
      </c>
      <c r="AZ110" s="39">
        <v>0.55347222222222225</v>
      </c>
      <c r="BA110" s="37">
        <v>3246</v>
      </c>
      <c r="BB110" t="s">
        <v>97</v>
      </c>
      <c r="BC110" s="38">
        <v>45771</v>
      </c>
    </row>
    <row r="111" spans="22:56" ht="16" x14ac:dyDescent="0.4">
      <c r="V111" s="97">
        <v>45759</v>
      </c>
      <c r="W111">
        <v>134792</v>
      </c>
      <c r="X111" s="89" t="s">
        <v>36</v>
      </c>
      <c r="Y111" s="89"/>
      <c r="Z111" s="50">
        <v>0.59722222222222221</v>
      </c>
      <c r="AA111" s="50">
        <v>0.80694444444444446</v>
      </c>
      <c r="AD111" s="48">
        <v>20640</v>
      </c>
      <c r="AE111" s="48">
        <f t="shared" si="21"/>
        <v>20.64</v>
      </c>
      <c r="AF111">
        <v>11.49</v>
      </c>
      <c r="AG111" s="72">
        <f t="shared" si="22"/>
        <v>11.49</v>
      </c>
      <c r="AH111" s="37">
        <f t="shared" si="23"/>
        <v>16.939542857142857</v>
      </c>
      <c r="AJ111" s="21">
        <v>45771</v>
      </c>
      <c r="AK111" t="s">
        <v>246</v>
      </c>
      <c r="AL111" t="s">
        <v>5</v>
      </c>
      <c r="AN111" t="s">
        <v>478</v>
      </c>
      <c r="AO111" t="s">
        <v>478</v>
      </c>
      <c r="AP111" s="56">
        <v>2870</v>
      </c>
      <c r="AR111" s="38"/>
      <c r="AU111" s="38">
        <v>45771</v>
      </c>
      <c r="AV111" s="16"/>
      <c r="AW111" t="s">
        <v>5</v>
      </c>
      <c r="AY111" s="39">
        <v>0.43611111111111112</v>
      </c>
      <c r="AZ111" s="39">
        <v>0.45</v>
      </c>
      <c r="BA111" s="37">
        <v>1806</v>
      </c>
      <c r="BB111" t="s">
        <v>100</v>
      </c>
      <c r="BC111" s="38">
        <v>45771</v>
      </c>
    </row>
    <row r="112" spans="22:56" ht="16" x14ac:dyDescent="0.4">
      <c r="V112" s="97">
        <v>45759</v>
      </c>
      <c r="W112">
        <v>134827</v>
      </c>
      <c r="X112" s="89" t="s">
        <v>36</v>
      </c>
      <c r="Y112" s="89"/>
      <c r="Z112" s="50">
        <v>0.80763888888888891</v>
      </c>
      <c r="AA112" s="50">
        <v>0.87916666666666676</v>
      </c>
      <c r="AD112" s="48">
        <v>19412</v>
      </c>
      <c r="AE112" s="48">
        <f t="shared" si="21"/>
        <v>19.411999999999999</v>
      </c>
      <c r="AF112">
        <v>16.16</v>
      </c>
      <c r="AG112" s="72">
        <f t="shared" si="22"/>
        <v>14</v>
      </c>
      <c r="AH112" s="37">
        <f t="shared" si="23"/>
        <v>19.411999999999999</v>
      </c>
      <c r="AJ112" s="21">
        <v>45771</v>
      </c>
      <c r="AK112" t="s">
        <v>247</v>
      </c>
      <c r="AL112" t="s">
        <v>5</v>
      </c>
      <c r="AN112" t="s">
        <v>479</v>
      </c>
      <c r="AO112" t="s">
        <v>479</v>
      </c>
      <c r="AP112" s="56">
        <v>3350</v>
      </c>
      <c r="AR112" s="38"/>
      <c r="AU112" s="38">
        <v>45771</v>
      </c>
      <c r="AV112" s="16"/>
      <c r="AW112" t="s">
        <v>5</v>
      </c>
      <c r="AY112" s="39">
        <v>0.53819444444444442</v>
      </c>
      <c r="AZ112" s="39">
        <v>0.56111111111111112</v>
      </c>
      <c r="BA112" s="37">
        <v>7446</v>
      </c>
      <c r="BC112" s="38">
        <v>45771</v>
      </c>
    </row>
    <row r="113" spans="22:55" ht="16" x14ac:dyDescent="0.4">
      <c r="V113" s="97">
        <v>45759</v>
      </c>
      <c r="W113">
        <v>134849</v>
      </c>
      <c r="X113" s="89" t="s">
        <v>36</v>
      </c>
      <c r="Y113" s="89"/>
      <c r="Z113" s="50">
        <v>0.59722222222222221</v>
      </c>
      <c r="AA113" s="50">
        <v>0.94027777777777777</v>
      </c>
      <c r="AD113" s="48">
        <v>21660</v>
      </c>
      <c r="AE113" s="48">
        <f t="shared" si="21"/>
        <v>21.66</v>
      </c>
      <c r="AF113">
        <v>15.87</v>
      </c>
      <c r="AG113" s="72">
        <f t="shared" si="22"/>
        <v>14</v>
      </c>
      <c r="AH113" s="37">
        <f t="shared" si="23"/>
        <v>21.66</v>
      </c>
      <c r="AJ113" s="21">
        <v>45771</v>
      </c>
      <c r="AK113" t="s">
        <v>248</v>
      </c>
      <c r="AL113" t="s">
        <v>5</v>
      </c>
      <c r="AN113" t="s">
        <v>480</v>
      </c>
      <c r="AO113" t="s">
        <v>481</v>
      </c>
      <c r="AP113" s="56">
        <v>5510</v>
      </c>
      <c r="AR113" s="38"/>
      <c r="AU113" s="38">
        <v>45771</v>
      </c>
      <c r="AV113" s="16"/>
      <c r="AW113" t="s">
        <v>5</v>
      </c>
      <c r="AY113" s="39">
        <v>0.63194444444444442</v>
      </c>
      <c r="AZ113" s="39">
        <v>0.64722222222222225</v>
      </c>
      <c r="BA113" s="37">
        <v>4818</v>
      </c>
      <c r="BB113" t="s">
        <v>101</v>
      </c>
      <c r="BC113" s="38">
        <v>45771</v>
      </c>
    </row>
    <row r="114" spans="22:55" ht="16" x14ac:dyDescent="0.4">
      <c r="V114" s="97">
        <v>45760</v>
      </c>
      <c r="W114">
        <v>134861</v>
      </c>
      <c r="X114" s="89" t="s">
        <v>36</v>
      </c>
      <c r="Y114" s="89"/>
      <c r="Z114" s="50">
        <v>0.80763888888888891</v>
      </c>
      <c r="AA114" s="50">
        <v>1.8749999999999999E-2</v>
      </c>
      <c r="AD114" s="48">
        <v>21252</v>
      </c>
      <c r="AE114" s="48">
        <f t="shared" si="21"/>
        <v>21.251999999999999</v>
      </c>
      <c r="AF114">
        <v>14.09</v>
      </c>
      <c r="AG114" s="72">
        <f t="shared" si="22"/>
        <v>14</v>
      </c>
      <c r="AH114" s="37">
        <f t="shared" si="23"/>
        <v>21.251999999999999</v>
      </c>
      <c r="AJ114" s="21">
        <v>45771</v>
      </c>
      <c r="AK114" t="s">
        <v>249</v>
      </c>
      <c r="AL114" t="s">
        <v>5</v>
      </c>
      <c r="AN114" t="s">
        <v>482</v>
      </c>
      <c r="AO114" t="s">
        <v>483</v>
      </c>
      <c r="AP114" s="56">
        <v>1660</v>
      </c>
      <c r="AR114" s="38"/>
      <c r="AU114" s="38">
        <v>45771</v>
      </c>
      <c r="AV114" s="16"/>
      <c r="AW114" t="s">
        <v>5</v>
      </c>
      <c r="AY114" s="39">
        <v>0.51944444444444449</v>
      </c>
      <c r="AZ114" s="39">
        <v>0.67152777777777783</v>
      </c>
      <c r="BA114" s="37">
        <v>3404</v>
      </c>
      <c r="BB114" t="s">
        <v>102</v>
      </c>
      <c r="BC114" s="38">
        <v>45771</v>
      </c>
    </row>
    <row r="115" spans="22:55" ht="16" x14ac:dyDescent="0.4">
      <c r="V115" s="97">
        <v>45760</v>
      </c>
      <c r="W115">
        <v>134873</v>
      </c>
      <c r="X115" s="89" t="s">
        <v>36</v>
      </c>
      <c r="Y115" s="89"/>
      <c r="Z115" s="50">
        <v>0.85</v>
      </c>
      <c r="AA115" s="50">
        <v>6.805555555555555E-2</v>
      </c>
      <c r="AD115" s="48">
        <v>20038</v>
      </c>
      <c r="AE115" s="48">
        <f t="shared" si="21"/>
        <v>20.038</v>
      </c>
      <c r="AF115">
        <v>13.88</v>
      </c>
      <c r="AG115" s="72">
        <f t="shared" si="22"/>
        <v>13.88</v>
      </c>
      <c r="AH115" s="37">
        <f t="shared" si="23"/>
        <v>19.866245714285718</v>
      </c>
      <c r="AJ115" s="21">
        <v>45771</v>
      </c>
      <c r="AK115" t="s">
        <v>250</v>
      </c>
      <c r="AL115" t="s">
        <v>5</v>
      </c>
      <c r="AN115" t="s">
        <v>484</v>
      </c>
      <c r="AO115" t="s">
        <v>484</v>
      </c>
      <c r="AP115" s="56">
        <v>2700</v>
      </c>
      <c r="AR115" s="38"/>
      <c r="AU115" s="38">
        <v>45771</v>
      </c>
      <c r="AV115" s="16"/>
      <c r="AW115" t="s">
        <v>5</v>
      </c>
      <c r="AY115" s="39">
        <v>0.48194444444444445</v>
      </c>
      <c r="AZ115" s="39">
        <v>0.51944444444444449</v>
      </c>
      <c r="BA115" s="37">
        <v>3866</v>
      </c>
      <c r="BB115" t="s">
        <v>101</v>
      </c>
      <c r="BC115" s="38">
        <v>45771</v>
      </c>
    </row>
    <row r="116" spans="22:55" ht="16" x14ac:dyDescent="0.4">
      <c r="V116" s="97">
        <v>45760</v>
      </c>
      <c r="W116">
        <v>134890</v>
      </c>
      <c r="X116" s="89" t="s">
        <v>36</v>
      </c>
      <c r="Y116" s="89"/>
      <c r="Z116" s="50">
        <v>0.80833333333333324</v>
      </c>
      <c r="AA116" s="50">
        <v>0.1277777777777778</v>
      </c>
      <c r="AD116" s="48">
        <v>20942</v>
      </c>
      <c r="AE116" s="48">
        <f t="shared" si="21"/>
        <v>20.942</v>
      </c>
      <c r="AF116">
        <v>15.49</v>
      </c>
      <c r="AG116" s="72">
        <f t="shared" si="22"/>
        <v>14</v>
      </c>
      <c r="AH116" s="37">
        <f t="shared" si="23"/>
        <v>20.942</v>
      </c>
      <c r="AJ116" s="21">
        <v>45771</v>
      </c>
      <c r="AK116" t="s">
        <v>251</v>
      </c>
      <c r="AL116" t="s">
        <v>5</v>
      </c>
      <c r="AN116" t="s">
        <v>485</v>
      </c>
      <c r="AO116" t="s">
        <v>486</v>
      </c>
      <c r="AP116" s="56">
        <v>3830</v>
      </c>
      <c r="AR116" s="38"/>
      <c r="AU116" s="38">
        <v>45772</v>
      </c>
      <c r="AV116" s="16"/>
      <c r="AW116" t="s">
        <v>5</v>
      </c>
      <c r="AY116" s="39"/>
      <c r="AZ116" s="39"/>
      <c r="BA116" s="37">
        <v>4362</v>
      </c>
      <c r="BC116" s="38">
        <v>45772</v>
      </c>
    </row>
    <row r="117" spans="22:55" ht="16" x14ac:dyDescent="0.4">
      <c r="V117" s="97">
        <v>45760</v>
      </c>
      <c r="W117">
        <v>134895</v>
      </c>
      <c r="X117" s="89" t="s">
        <v>36</v>
      </c>
      <c r="Y117" s="89"/>
      <c r="Z117" s="50">
        <v>0.85902777777777783</v>
      </c>
      <c r="AA117" s="50">
        <v>0.18680555555555556</v>
      </c>
      <c r="AD117" s="48">
        <v>19862</v>
      </c>
      <c r="AE117" s="48">
        <f t="shared" si="21"/>
        <v>19.861999999999998</v>
      </c>
      <c r="AF117">
        <v>15.31</v>
      </c>
      <c r="AG117" s="72">
        <f t="shared" si="22"/>
        <v>14</v>
      </c>
      <c r="AH117" s="37">
        <f t="shared" si="23"/>
        <v>19.861999999999998</v>
      </c>
      <c r="AJ117" s="21">
        <v>45771</v>
      </c>
      <c r="AK117" t="s">
        <v>252</v>
      </c>
      <c r="AL117" t="s">
        <v>5</v>
      </c>
      <c r="AN117" t="s">
        <v>487</v>
      </c>
      <c r="AO117" t="s">
        <v>488</v>
      </c>
      <c r="AP117" s="56">
        <v>5870</v>
      </c>
      <c r="AR117" s="38"/>
      <c r="AU117" s="38">
        <v>45772</v>
      </c>
      <c r="AV117" s="16"/>
      <c r="AW117" t="s">
        <v>5</v>
      </c>
      <c r="AY117" s="39">
        <v>0.53611111111111109</v>
      </c>
      <c r="AZ117" s="39">
        <v>0.44375000000000003</v>
      </c>
      <c r="BA117" s="37">
        <v>3978</v>
      </c>
      <c r="BB117" t="s">
        <v>103</v>
      </c>
      <c r="BC117" s="38">
        <v>45772</v>
      </c>
    </row>
    <row r="118" spans="22:55" ht="16" x14ac:dyDescent="0.4">
      <c r="V118" s="97">
        <v>45760</v>
      </c>
      <c r="W118">
        <v>134898</v>
      </c>
      <c r="X118" s="89" t="s">
        <v>36</v>
      </c>
      <c r="Y118" s="89"/>
      <c r="Z118" s="50">
        <v>0.17013888888888887</v>
      </c>
      <c r="AA118" s="50">
        <v>0.23472222222222219</v>
      </c>
      <c r="AD118" s="48">
        <v>17372</v>
      </c>
      <c r="AE118" s="48">
        <f t="shared" si="21"/>
        <v>17.372</v>
      </c>
      <c r="AF118">
        <v>14.98</v>
      </c>
      <c r="AG118" s="72">
        <f t="shared" si="22"/>
        <v>14</v>
      </c>
      <c r="AH118" s="37">
        <f t="shared" si="23"/>
        <v>17.372</v>
      </c>
      <c r="AJ118" s="21">
        <v>45771</v>
      </c>
      <c r="AK118" t="s">
        <v>253</v>
      </c>
      <c r="AL118" t="s">
        <v>5</v>
      </c>
      <c r="AN118" t="s">
        <v>489</v>
      </c>
      <c r="AO118" t="s">
        <v>490</v>
      </c>
      <c r="AP118" s="56">
        <v>3880</v>
      </c>
      <c r="AR118" s="38"/>
      <c r="AU118" s="38">
        <v>45772</v>
      </c>
      <c r="AV118" s="16"/>
      <c r="AW118" t="s">
        <v>5</v>
      </c>
      <c r="AY118">
        <v>0.44236111111111115</v>
      </c>
      <c r="AZ118">
        <v>0.46458333333333335</v>
      </c>
      <c r="BA118" s="37">
        <v>3374</v>
      </c>
      <c r="BB118" t="s">
        <v>104</v>
      </c>
      <c r="BC118" s="38">
        <v>45772</v>
      </c>
    </row>
    <row r="119" spans="22:55" ht="16" x14ac:dyDescent="0.4">
      <c r="V119" s="97">
        <v>45760</v>
      </c>
      <c r="W119">
        <v>134915</v>
      </c>
      <c r="X119" s="89" t="s">
        <v>36</v>
      </c>
      <c r="Y119" s="89"/>
      <c r="Z119" s="50">
        <v>0.12662037037037036</v>
      </c>
      <c r="AA119" s="50">
        <v>0.29834490740740743</v>
      </c>
      <c r="AD119" s="48">
        <v>20336</v>
      </c>
      <c r="AE119" s="48">
        <f t="shared" si="21"/>
        <v>20.335999999999999</v>
      </c>
      <c r="AF119">
        <v>14.06</v>
      </c>
      <c r="AG119" s="72">
        <f t="shared" si="22"/>
        <v>14</v>
      </c>
      <c r="AH119" s="37">
        <f t="shared" si="23"/>
        <v>20.335999999999995</v>
      </c>
      <c r="AJ119" s="21">
        <v>45771</v>
      </c>
      <c r="AK119" t="s">
        <v>254</v>
      </c>
      <c r="AL119" t="s">
        <v>5</v>
      </c>
      <c r="AN119" t="s">
        <v>491</v>
      </c>
      <c r="AO119" t="s">
        <v>491</v>
      </c>
      <c r="AP119" s="56">
        <v>3130</v>
      </c>
      <c r="AR119" s="38"/>
      <c r="AU119" s="38">
        <v>45772</v>
      </c>
      <c r="AV119" s="16"/>
      <c r="AW119" t="s">
        <v>5</v>
      </c>
      <c r="BA119" s="37">
        <v>5202</v>
      </c>
      <c r="BC119" s="38">
        <v>45772</v>
      </c>
    </row>
    <row r="120" spans="22:55" ht="16" x14ac:dyDescent="0.4">
      <c r="V120" s="97">
        <v>45760</v>
      </c>
      <c r="W120">
        <v>134924</v>
      </c>
      <c r="X120" s="89" t="s">
        <v>36</v>
      </c>
      <c r="Y120" s="89"/>
      <c r="Z120" s="50">
        <v>0.17081018518518518</v>
      </c>
      <c r="AA120" s="50">
        <v>0.3357060185185185</v>
      </c>
      <c r="AD120" s="48">
        <v>19992</v>
      </c>
      <c r="AE120" s="48">
        <f t="shared" si="21"/>
        <v>19.992000000000001</v>
      </c>
      <c r="AF120">
        <v>13.66</v>
      </c>
      <c r="AG120" s="72">
        <f t="shared" si="22"/>
        <v>13.66</v>
      </c>
      <c r="AH120" s="37">
        <f t="shared" si="23"/>
        <v>19.506480000000003</v>
      </c>
      <c r="AJ120" s="21">
        <v>45771</v>
      </c>
      <c r="AK120" t="s">
        <v>255</v>
      </c>
      <c r="AL120" t="s">
        <v>4</v>
      </c>
      <c r="AN120" t="s">
        <v>492</v>
      </c>
      <c r="AO120" t="s">
        <v>493</v>
      </c>
      <c r="AP120" s="56">
        <v>7330</v>
      </c>
      <c r="AR120" s="38"/>
      <c r="AU120" s="38">
        <v>45772</v>
      </c>
      <c r="AV120" s="16"/>
      <c r="AW120" t="s">
        <v>5</v>
      </c>
      <c r="AY120" s="39">
        <v>0.37708333333333338</v>
      </c>
      <c r="AZ120" s="39">
        <v>0.39166666666666666</v>
      </c>
      <c r="BA120" s="37">
        <v>5230</v>
      </c>
      <c r="BB120" t="s">
        <v>105</v>
      </c>
      <c r="BC120" s="38">
        <v>45772</v>
      </c>
    </row>
    <row r="121" spans="22:55" ht="16" x14ac:dyDescent="0.4">
      <c r="V121" s="97">
        <v>45761</v>
      </c>
      <c r="W121">
        <v>135155</v>
      </c>
      <c r="X121" s="89" t="s">
        <v>36</v>
      </c>
      <c r="Y121" s="89"/>
      <c r="Z121" s="50">
        <v>0.23394675925925926</v>
      </c>
      <c r="AA121" s="50">
        <v>0.37678240740740737</v>
      </c>
      <c r="AD121" s="48">
        <v>19788</v>
      </c>
      <c r="AE121" s="48">
        <f t="shared" si="21"/>
        <v>19.788</v>
      </c>
      <c r="AF121">
        <v>14.09</v>
      </c>
      <c r="AG121" s="72">
        <f t="shared" si="22"/>
        <v>14</v>
      </c>
      <c r="AH121" s="37">
        <f t="shared" si="23"/>
        <v>19.788</v>
      </c>
      <c r="AJ121" s="21">
        <v>45771</v>
      </c>
      <c r="AK121" t="s">
        <v>256</v>
      </c>
      <c r="AL121" t="s">
        <v>5</v>
      </c>
      <c r="AN121" t="s">
        <v>494</v>
      </c>
      <c r="AO121" t="s">
        <v>494</v>
      </c>
      <c r="AP121" s="56">
        <v>4760</v>
      </c>
      <c r="AR121" s="38"/>
      <c r="AU121" s="38">
        <v>45772</v>
      </c>
      <c r="AW121" t="s">
        <v>5</v>
      </c>
      <c r="AY121" s="39">
        <v>0.39166666666666666</v>
      </c>
      <c r="AZ121" s="39">
        <v>0.4916666666666667</v>
      </c>
      <c r="BA121" s="37">
        <v>6130</v>
      </c>
      <c r="BB121" t="s">
        <v>105</v>
      </c>
      <c r="BC121" s="38">
        <v>45772</v>
      </c>
    </row>
    <row r="122" spans="22:55" ht="16" x14ac:dyDescent="0.4">
      <c r="V122" s="97">
        <v>45761</v>
      </c>
      <c r="W122">
        <v>135248</v>
      </c>
      <c r="X122" s="89" t="s">
        <v>36</v>
      </c>
      <c r="Y122" s="89"/>
      <c r="Z122" s="50">
        <v>0.29076388888888888</v>
      </c>
      <c r="AA122" s="50">
        <v>0.48125000000000001</v>
      </c>
      <c r="AD122" s="48">
        <v>21832</v>
      </c>
      <c r="AE122" s="48">
        <f t="shared" si="21"/>
        <v>21.832000000000001</v>
      </c>
      <c r="AF122">
        <v>15.84</v>
      </c>
      <c r="AG122" s="72">
        <f t="shared" si="22"/>
        <v>14</v>
      </c>
      <c r="AH122" s="37">
        <f t="shared" si="23"/>
        <v>21.832000000000001</v>
      </c>
      <c r="AJ122" s="21">
        <v>45771</v>
      </c>
      <c r="AK122" t="s">
        <v>257</v>
      </c>
      <c r="AL122" t="s">
        <v>5</v>
      </c>
      <c r="AN122" t="s">
        <v>495</v>
      </c>
      <c r="AO122" t="s">
        <v>496</v>
      </c>
      <c r="AP122" s="56">
        <v>3390</v>
      </c>
      <c r="AR122" s="38"/>
      <c r="AU122" s="38">
        <v>45772</v>
      </c>
      <c r="AW122" t="s">
        <v>5</v>
      </c>
      <c r="AY122" s="39"/>
      <c r="AZ122" s="39"/>
      <c r="BA122" s="37">
        <v>4876</v>
      </c>
      <c r="BC122" s="38">
        <v>45772</v>
      </c>
    </row>
    <row r="123" spans="22:55" ht="16" x14ac:dyDescent="0.4">
      <c r="V123" s="97">
        <v>45761</v>
      </c>
      <c r="W123">
        <v>135289</v>
      </c>
      <c r="X123" s="89" t="s">
        <v>36</v>
      </c>
      <c r="Y123" s="89"/>
      <c r="Z123" s="50">
        <v>0.23383101851851851</v>
      </c>
      <c r="AA123" s="50">
        <v>0.5606944444444445</v>
      </c>
      <c r="AD123" s="48">
        <v>20514</v>
      </c>
      <c r="AE123" s="48">
        <f t="shared" si="21"/>
        <v>20.513999999999999</v>
      </c>
      <c r="AF123">
        <v>16.16</v>
      </c>
      <c r="AG123" s="72">
        <f t="shared" si="22"/>
        <v>14</v>
      </c>
      <c r="AH123" s="37">
        <f t="shared" si="23"/>
        <v>20.513999999999999</v>
      </c>
      <c r="AJ123" s="21">
        <v>45772</v>
      </c>
      <c r="AK123" t="s">
        <v>258</v>
      </c>
      <c r="AL123" t="s">
        <v>5</v>
      </c>
      <c r="AN123" t="s">
        <v>497</v>
      </c>
      <c r="AO123" t="s">
        <v>497</v>
      </c>
      <c r="AP123" s="56">
        <v>2670</v>
      </c>
      <c r="AR123" s="38"/>
      <c r="AU123" s="38">
        <v>45772</v>
      </c>
      <c r="AW123" t="s">
        <v>5</v>
      </c>
      <c r="AY123" s="39">
        <v>0.35138888888888892</v>
      </c>
      <c r="AZ123" s="39">
        <v>0.42708333333333331</v>
      </c>
      <c r="BA123" s="37">
        <v>1575</v>
      </c>
      <c r="BC123" s="38">
        <v>45772</v>
      </c>
    </row>
    <row r="124" spans="22:55" ht="16" x14ac:dyDescent="0.4">
      <c r="V124" s="97">
        <v>45761</v>
      </c>
      <c r="W124">
        <v>135350</v>
      </c>
      <c r="X124" s="89" t="s">
        <v>36</v>
      </c>
      <c r="Y124" s="89"/>
      <c r="Z124" s="50">
        <v>0.29062499999999997</v>
      </c>
      <c r="AA124" s="50">
        <v>0.62818287037037035</v>
      </c>
      <c r="AD124" s="48">
        <v>20778</v>
      </c>
      <c r="AE124" s="48">
        <f t="shared" si="21"/>
        <v>20.777999999999999</v>
      </c>
      <c r="AF124">
        <v>15.81</v>
      </c>
      <c r="AG124" s="72">
        <f t="shared" si="22"/>
        <v>14</v>
      </c>
      <c r="AH124" s="37">
        <f t="shared" si="23"/>
        <v>20.777999999999999</v>
      </c>
      <c r="AJ124" s="21">
        <v>45772</v>
      </c>
      <c r="AK124" t="s">
        <v>259</v>
      </c>
      <c r="AL124" t="s">
        <v>5</v>
      </c>
      <c r="AN124" t="s">
        <v>498</v>
      </c>
      <c r="AO124" t="s">
        <v>498</v>
      </c>
      <c r="AP124" s="56">
        <v>5140</v>
      </c>
      <c r="AR124" s="38"/>
      <c r="AU124" s="38">
        <v>45772</v>
      </c>
      <c r="AW124" t="s">
        <v>5</v>
      </c>
      <c r="AY124" s="39">
        <v>0.35347222222222219</v>
      </c>
      <c r="AZ124" s="39">
        <v>0.3743055555555555</v>
      </c>
      <c r="BA124" s="37">
        <v>2792</v>
      </c>
      <c r="BB124" t="s">
        <v>103</v>
      </c>
      <c r="BC124" s="38">
        <v>45772</v>
      </c>
    </row>
    <row r="125" spans="22:55" ht="16" x14ac:dyDescent="0.4">
      <c r="V125" s="97">
        <v>45761</v>
      </c>
      <c r="W125">
        <v>135390</v>
      </c>
      <c r="X125" s="89" t="s">
        <v>36</v>
      </c>
      <c r="Y125" s="89"/>
      <c r="Z125" s="50">
        <v>0.85872685185185194</v>
      </c>
      <c r="AA125" s="50">
        <v>0.23344907407407409</v>
      </c>
      <c r="AD125" s="48">
        <v>20448</v>
      </c>
      <c r="AE125" s="48">
        <f t="shared" si="21"/>
        <v>20.448</v>
      </c>
      <c r="AF125">
        <v>15.02</v>
      </c>
      <c r="AG125" s="72">
        <f t="shared" si="22"/>
        <v>14</v>
      </c>
      <c r="AH125" s="37">
        <f t="shared" si="23"/>
        <v>20.448</v>
      </c>
      <c r="AJ125" s="21">
        <v>45772</v>
      </c>
      <c r="AK125" t="s">
        <v>260</v>
      </c>
      <c r="AL125" t="s">
        <v>5</v>
      </c>
      <c r="AN125" t="s">
        <v>499</v>
      </c>
      <c r="AO125" t="s">
        <v>500</v>
      </c>
      <c r="AP125" s="56">
        <v>3920</v>
      </c>
      <c r="AR125" s="38"/>
      <c r="AU125" s="38">
        <v>45772</v>
      </c>
      <c r="AW125" t="s">
        <v>5</v>
      </c>
      <c r="AY125" s="39">
        <v>0.4597222222222222</v>
      </c>
      <c r="AZ125" s="39">
        <v>0.57152777777777775</v>
      </c>
      <c r="BA125" s="37">
        <v>2642</v>
      </c>
      <c r="BB125" t="s">
        <v>101</v>
      </c>
      <c r="BC125" s="38">
        <v>45772</v>
      </c>
    </row>
    <row r="126" spans="22:55" ht="16" x14ac:dyDescent="0.4">
      <c r="V126" s="97">
        <v>45761</v>
      </c>
      <c r="W126">
        <v>135412</v>
      </c>
      <c r="X126" s="89" t="s">
        <v>36</v>
      </c>
      <c r="Y126" s="89"/>
      <c r="Z126" s="50">
        <v>0.2902777777777778</v>
      </c>
      <c r="AA126" s="50">
        <v>0.76527777777777783</v>
      </c>
      <c r="AD126" s="48">
        <v>24316</v>
      </c>
      <c r="AE126" s="48">
        <f t="shared" ref="AE126:AE187" si="24">AD126/1000</f>
        <v>24.315999999999999</v>
      </c>
      <c r="AF126">
        <v>15.06</v>
      </c>
      <c r="AG126" s="72">
        <f t="shared" si="22"/>
        <v>14</v>
      </c>
      <c r="AH126" s="37">
        <f t="shared" si="23"/>
        <v>24.315999999999999</v>
      </c>
      <c r="AJ126" s="21">
        <v>45772</v>
      </c>
      <c r="AK126" t="s">
        <v>261</v>
      </c>
      <c r="AL126" t="s">
        <v>5</v>
      </c>
      <c r="AN126" t="s">
        <v>501</v>
      </c>
      <c r="AO126" t="s">
        <v>501</v>
      </c>
      <c r="AP126" s="56">
        <v>3370</v>
      </c>
      <c r="AR126" s="38"/>
      <c r="AU126" s="38">
        <v>45772</v>
      </c>
      <c r="AW126" t="s">
        <v>5</v>
      </c>
      <c r="AY126" s="39">
        <v>0.375</v>
      </c>
      <c r="AZ126" s="39">
        <v>0.57222222222222219</v>
      </c>
      <c r="BA126" s="37">
        <v>3318</v>
      </c>
      <c r="BB126" t="s">
        <v>103</v>
      </c>
      <c r="BC126" s="38">
        <v>45772</v>
      </c>
    </row>
    <row r="127" spans="22:55" ht="16" x14ac:dyDescent="0.4">
      <c r="V127" s="97">
        <v>45761</v>
      </c>
      <c r="W127">
        <v>135436</v>
      </c>
      <c r="X127" s="89" t="s">
        <v>36</v>
      </c>
      <c r="Y127" s="89"/>
      <c r="Z127" s="50">
        <v>0.76458333333333339</v>
      </c>
      <c r="AA127" s="50">
        <v>0.8208333333333333</v>
      </c>
      <c r="AD127" s="48">
        <v>20568</v>
      </c>
      <c r="AE127" s="48">
        <f t="shared" si="24"/>
        <v>20.568000000000001</v>
      </c>
      <c r="AF127">
        <v>16.739999999999998</v>
      </c>
      <c r="AG127" s="72">
        <f t="shared" ref="AG127:AG188" si="25">IF($AF127&gt;14,14,$AF127)</f>
        <v>14</v>
      </c>
      <c r="AH127" s="37">
        <f t="shared" si="23"/>
        <v>20.568000000000001</v>
      </c>
      <c r="AJ127" s="21">
        <v>45772</v>
      </c>
      <c r="AK127" t="s">
        <v>262</v>
      </c>
      <c r="AL127" t="s">
        <v>5</v>
      </c>
      <c r="AN127" t="s">
        <v>502</v>
      </c>
      <c r="AO127" t="s">
        <v>502</v>
      </c>
      <c r="AP127" s="56">
        <v>3900</v>
      </c>
      <c r="AR127" s="38"/>
      <c r="AU127" s="38">
        <v>45772</v>
      </c>
      <c r="AW127" t="s">
        <v>5</v>
      </c>
      <c r="AY127" s="39">
        <v>0.48819444444444443</v>
      </c>
      <c r="AZ127" s="39">
        <v>0.65138888888888891</v>
      </c>
      <c r="BA127" s="37">
        <v>3614</v>
      </c>
      <c r="BB127" t="s">
        <v>101</v>
      </c>
      <c r="BC127" s="38">
        <v>45772</v>
      </c>
    </row>
    <row r="128" spans="22:55" ht="16" x14ac:dyDescent="0.4">
      <c r="V128" s="97">
        <v>45761</v>
      </c>
      <c r="W128">
        <v>135468</v>
      </c>
      <c r="X128" s="89" t="s">
        <v>36</v>
      </c>
      <c r="Y128" s="89"/>
      <c r="Z128" s="50">
        <v>0.81597222222222221</v>
      </c>
      <c r="AA128" s="50">
        <v>0.89097222222222217</v>
      </c>
      <c r="AD128" s="48">
        <v>19642</v>
      </c>
      <c r="AE128" s="48">
        <f t="shared" si="24"/>
        <v>19.641999999999999</v>
      </c>
      <c r="AF128">
        <v>16.59</v>
      </c>
      <c r="AG128" s="72">
        <f t="shared" si="25"/>
        <v>14</v>
      </c>
      <c r="AH128" s="37">
        <f t="shared" si="23"/>
        <v>19.641999999999999</v>
      </c>
      <c r="AJ128" s="21">
        <v>45772</v>
      </c>
      <c r="AK128" t="s">
        <v>263</v>
      </c>
      <c r="AL128" t="s">
        <v>5</v>
      </c>
      <c r="AN128" t="s">
        <v>503</v>
      </c>
      <c r="AO128" t="s">
        <v>504</v>
      </c>
      <c r="AP128" s="56">
        <v>3680</v>
      </c>
      <c r="AR128" s="38"/>
      <c r="AU128" s="38">
        <v>45772</v>
      </c>
      <c r="AW128" t="s">
        <v>5</v>
      </c>
      <c r="AY128" s="39">
        <v>0.45</v>
      </c>
      <c r="AZ128" s="39">
        <v>0.48819444444444443</v>
      </c>
      <c r="BA128" s="37">
        <v>3712</v>
      </c>
      <c r="BB128" t="s">
        <v>101</v>
      </c>
      <c r="BC128" s="38">
        <v>45772</v>
      </c>
    </row>
    <row r="129" spans="22:55" ht="16" x14ac:dyDescent="0.4">
      <c r="V129" s="97">
        <v>45761</v>
      </c>
      <c r="W129">
        <v>135497</v>
      </c>
      <c r="X129" s="89" t="s">
        <v>36</v>
      </c>
      <c r="Y129" s="89"/>
      <c r="Z129" s="50">
        <v>0.7583333333333333</v>
      </c>
      <c r="AA129" s="50">
        <v>0.96388888888888891</v>
      </c>
      <c r="AD129" s="48">
        <v>18982</v>
      </c>
      <c r="AE129" s="48">
        <f t="shared" si="24"/>
        <v>18.981999999999999</v>
      </c>
      <c r="AF129">
        <v>17.7</v>
      </c>
      <c r="AG129" s="72">
        <f t="shared" si="25"/>
        <v>14</v>
      </c>
      <c r="AH129" s="37">
        <f t="shared" si="23"/>
        <v>18.981999999999999</v>
      </c>
      <c r="AJ129" s="21">
        <v>45772</v>
      </c>
      <c r="AK129" t="s">
        <v>264</v>
      </c>
      <c r="AL129" t="s">
        <v>5</v>
      </c>
      <c r="AN129" t="s">
        <v>505</v>
      </c>
      <c r="AO129" t="s">
        <v>506</v>
      </c>
      <c r="AP129" s="56">
        <v>4970</v>
      </c>
      <c r="AR129" s="38"/>
      <c r="AU129" s="38">
        <v>45773</v>
      </c>
      <c r="AW129" t="s">
        <v>5</v>
      </c>
      <c r="AY129" s="39">
        <v>0.35555555555555557</v>
      </c>
      <c r="AZ129" s="39">
        <v>0.3666666666666667</v>
      </c>
      <c r="BA129" s="37">
        <v>4832</v>
      </c>
      <c r="BC129" s="38">
        <v>45773</v>
      </c>
    </row>
    <row r="130" spans="22:55" ht="16" x14ac:dyDescent="0.4">
      <c r="V130" s="97">
        <v>45762</v>
      </c>
      <c r="W130">
        <v>135521</v>
      </c>
      <c r="X130" s="89" t="s">
        <v>36</v>
      </c>
      <c r="Y130" s="89"/>
      <c r="Z130" s="50">
        <v>0.81597222222222221</v>
      </c>
      <c r="AA130" s="50">
        <v>3.2638888888888891E-2</v>
      </c>
      <c r="AD130" s="48">
        <v>21302</v>
      </c>
      <c r="AE130" s="48">
        <f t="shared" si="24"/>
        <v>21.302</v>
      </c>
      <c r="AF130">
        <v>14.49</v>
      </c>
      <c r="AG130" s="72">
        <f t="shared" si="25"/>
        <v>14</v>
      </c>
      <c r="AH130" s="37">
        <f t="shared" si="23"/>
        <v>21.302</v>
      </c>
      <c r="AJ130" s="21">
        <v>45772</v>
      </c>
      <c r="AK130" t="s">
        <v>265</v>
      </c>
      <c r="AL130" t="s">
        <v>5</v>
      </c>
      <c r="AN130" t="s">
        <v>507</v>
      </c>
      <c r="AO130" t="s">
        <v>508</v>
      </c>
      <c r="AP130" s="56">
        <v>6090</v>
      </c>
      <c r="AR130" s="38"/>
      <c r="AU130" s="38">
        <v>45773</v>
      </c>
      <c r="AW130" t="s">
        <v>5</v>
      </c>
      <c r="AY130" s="39">
        <v>0.59236111111111112</v>
      </c>
      <c r="AZ130" s="39">
        <v>0.41875000000000001</v>
      </c>
      <c r="BA130" s="37">
        <v>3056</v>
      </c>
      <c r="BB130" t="s">
        <v>105</v>
      </c>
      <c r="BC130" s="38">
        <v>45773</v>
      </c>
    </row>
    <row r="131" spans="22:55" ht="16" x14ac:dyDescent="0.4">
      <c r="V131" s="97">
        <v>45762</v>
      </c>
      <c r="W131">
        <v>135525</v>
      </c>
      <c r="X131" s="89" t="s">
        <v>36</v>
      </c>
      <c r="Y131" s="89"/>
      <c r="Z131" s="50">
        <v>0.75902777777777775</v>
      </c>
      <c r="AA131" s="50">
        <v>9.4444444444444442E-2</v>
      </c>
      <c r="AD131" s="48">
        <v>21778</v>
      </c>
      <c r="AE131" s="48">
        <f t="shared" si="24"/>
        <v>21.777999999999999</v>
      </c>
      <c r="AF131">
        <v>14.11</v>
      </c>
      <c r="AG131" s="72">
        <f t="shared" si="25"/>
        <v>14</v>
      </c>
      <c r="AH131" s="37">
        <f t="shared" si="23"/>
        <v>21.777999999999999</v>
      </c>
      <c r="AJ131" s="21">
        <v>45772</v>
      </c>
      <c r="AK131" t="s">
        <v>266</v>
      </c>
      <c r="AL131" t="s">
        <v>5</v>
      </c>
      <c r="AN131" t="s">
        <v>509</v>
      </c>
      <c r="AO131" t="s">
        <v>510</v>
      </c>
      <c r="AP131" s="56">
        <v>4470</v>
      </c>
      <c r="AR131" s="38"/>
      <c r="AU131" s="38">
        <v>45773</v>
      </c>
      <c r="AV131">
        <v>140022</v>
      </c>
      <c r="AW131" t="s">
        <v>5</v>
      </c>
      <c r="AY131" s="39">
        <v>0.3430555555555555</v>
      </c>
      <c r="AZ131" s="39">
        <v>0.36805555555555558</v>
      </c>
      <c r="BA131" s="37">
        <v>5138</v>
      </c>
      <c r="BC131" s="38">
        <v>45773</v>
      </c>
    </row>
    <row r="132" spans="22:55" ht="16" x14ac:dyDescent="0.4">
      <c r="V132" s="97">
        <v>45762</v>
      </c>
      <c r="W132">
        <v>135657</v>
      </c>
      <c r="X132" s="89" t="s">
        <v>36</v>
      </c>
      <c r="Y132" s="89"/>
      <c r="Z132" s="50">
        <v>0.26344907407407409</v>
      </c>
      <c r="AA132" s="50">
        <v>0.41017361111111111</v>
      </c>
      <c r="AD132" s="48">
        <v>20010</v>
      </c>
      <c r="AE132" s="48">
        <f t="shared" si="24"/>
        <v>20.010000000000002</v>
      </c>
      <c r="AF132">
        <v>15.06</v>
      </c>
      <c r="AG132" s="72">
        <f t="shared" si="25"/>
        <v>14</v>
      </c>
      <c r="AH132" s="37">
        <f t="shared" si="23"/>
        <v>20.010000000000002</v>
      </c>
      <c r="AJ132" s="21">
        <v>45772</v>
      </c>
      <c r="AK132" t="s">
        <v>267</v>
      </c>
      <c r="AL132" t="s">
        <v>5</v>
      </c>
      <c r="AN132" t="s">
        <v>511</v>
      </c>
      <c r="AO132" t="s">
        <v>512</v>
      </c>
      <c r="AP132" s="56">
        <v>1490</v>
      </c>
      <c r="AR132" s="38"/>
      <c r="AU132" s="38">
        <v>45773</v>
      </c>
      <c r="AW132" t="s">
        <v>5</v>
      </c>
      <c r="AY132" s="39">
        <v>0.35486111111111113</v>
      </c>
      <c r="AZ132" s="39">
        <v>0.37847222222222227</v>
      </c>
      <c r="BA132" s="37">
        <v>3374</v>
      </c>
      <c r="BB132" t="s">
        <v>106</v>
      </c>
      <c r="BC132" s="38">
        <v>45773</v>
      </c>
    </row>
    <row r="133" spans="22:55" ht="16" x14ac:dyDescent="0.4">
      <c r="V133" s="97">
        <v>45762</v>
      </c>
      <c r="W133">
        <v>135723</v>
      </c>
      <c r="X133" s="89" t="s">
        <v>36</v>
      </c>
      <c r="Y133" s="89"/>
      <c r="Z133" s="50">
        <v>0.37628472222222226</v>
      </c>
      <c r="AA133" s="50">
        <v>0.50247685185185187</v>
      </c>
      <c r="AD133" s="48">
        <v>20778</v>
      </c>
      <c r="AE133" s="48">
        <f t="shared" si="24"/>
        <v>20.777999999999999</v>
      </c>
      <c r="AF133">
        <v>14.16</v>
      </c>
      <c r="AG133" s="72">
        <f t="shared" si="25"/>
        <v>14</v>
      </c>
      <c r="AH133" s="37">
        <f t="shared" si="23"/>
        <v>20.777999999999999</v>
      </c>
      <c r="AJ133" s="21">
        <v>45772</v>
      </c>
      <c r="AK133" t="s">
        <v>268</v>
      </c>
      <c r="AL133" t="s">
        <v>5</v>
      </c>
      <c r="AN133" t="s">
        <v>513</v>
      </c>
      <c r="AO133" t="s">
        <v>513</v>
      </c>
      <c r="AP133" s="56">
        <v>2740</v>
      </c>
      <c r="AR133" s="38"/>
      <c r="AU133" s="38">
        <v>45773</v>
      </c>
      <c r="AW133" t="s">
        <v>5</v>
      </c>
      <c r="AY133" s="39">
        <v>0.37847222222222227</v>
      </c>
      <c r="AZ133" s="39">
        <v>0.44097222222222227</v>
      </c>
      <c r="BA133" s="37">
        <v>3206</v>
      </c>
      <c r="BB133" t="s">
        <v>106</v>
      </c>
      <c r="BC133" s="38">
        <v>45773</v>
      </c>
    </row>
    <row r="134" spans="22:55" ht="16" x14ac:dyDescent="0.4">
      <c r="V134" s="97">
        <v>45762</v>
      </c>
      <c r="W134">
        <v>135782</v>
      </c>
      <c r="X134" s="89" t="s">
        <v>36</v>
      </c>
      <c r="Y134" s="89"/>
      <c r="Z134" s="50">
        <v>0.26332175925925927</v>
      </c>
      <c r="AA134" s="50">
        <v>0.57929398148148148</v>
      </c>
      <c r="AD134" s="48">
        <v>20978</v>
      </c>
      <c r="AE134" s="48">
        <f t="shared" si="24"/>
        <v>20.978000000000002</v>
      </c>
      <c r="AF134">
        <v>13.91</v>
      </c>
      <c r="AG134" s="72">
        <f t="shared" si="25"/>
        <v>13.91</v>
      </c>
      <c r="AH134" s="37">
        <f t="shared" ref="AH134:AH197" si="26">AE134*AG134/14</f>
        <v>20.843141428571432</v>
      </c>
      <c r="AJ134" s="21">
        <v>45772</v>
      </c>
      <c r="AK134" t="s">
        <v>269</v>
      </c>
      <c r="AL134" t="s">
        <v>5</v>
      </c>
      <c r="AN134" t="s">
        <v>514</v>
      </c>
      <c r="AO134" t="s">
        <v>514</v>
      </c>
      <c r="AP134" s="56">
        <v>3190</v>
      </c>
      <c r="AR134" s="38"/>
      <c r="AU134" s="38">
        <v>45773</v>
      </c>
      <c r="AV134">
        <v>140018</v>
      </c>
      <c r="AW134" t="s">
        <v>5</v>
      </c>
      <c r="AY134" s="39"/>
      <c r="AZ134" s="39"/>
      <c r="BA134" s="37">
        <v>4950</v>
      </c>
      <c r="BC134" s="38">
        <v>45773</v>
      </c>
    </row>
    <row r="135" spans="22:55" ht="16" x14ac:dyDescent="0.4">
      <c r="V135" s="97">
        <v>45762</v>
      </c>
      <c r="W135">
        <v>135842</v>
      </c>
      <c r="X135" s="89" t="s">
        <v>36</v>
      </c>
      <c r="Y135" s="89"/>
      <c r="Z135" s="50">
        <v>0.37616898148148148</v>
      </c>
      <c r="AA135" s="50">
        <v>0.6554861111111111</v>
      </c>
      <c r="AD135" s="48">
        <v>19370</v>
      </c>
      <c r="AE135" s="48">
        <f t="shared" si="24"/>
        <v>19.37</v>
      </c>
      <c r="AF135">
        <v>14.41</v>
      </c>
      <c r="AG135" s="72">
        <f t="shared" si="25"/>
        <v>14</v>
      </c>
      <c r="AH135" s="37">
        <f t="shared" si="26"/>
        <v>19.37</v>
      </c>
      <c r="AJ135" s="21">
        <v>45772</v>
      </c>
      <c r="AK135" t="s">
        <v>270</v>
      </c>
      <c r="AL135" t="s">
        <v>5</v>
      </c>
      <c r="AN135" t="s">
        <v>515</v>
      </c>
      <c r="AO135" t="s">
        <v>516</v>
      </c>
      <c r="AP135" s="56">
        <v>3600</v>
      </c>
      <c r="AR135" s="38"/>
      <c r="AU135" s="38">
        <v>45773</v>
      </c>
      <c r="AW135" t="s">
        <v>5</v>
      </c>
      <c r="AY135" s="39">
        <v>0.46666666666666662</v>
      </c>
      <c r="AZ135" s="39">
        <v>0.55763888888888891</v>
      </c>
      <c r="BA135" s="37">
        <v>3708</v>
      </c>
      <c r="BB135" t="s">
        <v>105</v>
      </c>
      <c r="BC135" s="38">
        <v>45773</v>
      </c>
    </row>
    <row r="136" spans="22:55" ht="16" x14ac:dyDescent="0.4">
      <c r="V136" s="97">
        <v>45762</v>
      </c>
      <c r="W136">
        <v>135877</v>
      </c>
      <c r="X136" s="89" t="s">
        <v>36</v>
      </c>
      <c r="Y136" s="89"/>
      <c r="Z136" s="50">
        <v>0.26319444444444445</v>
      </c>
      <c r="AA136" s="50">
        <v>0.72777777777777775</v>
      </c>
      <c r="AD136" s="48">
        <v>19922</v>
      </c>
      <c r="AE136" s="48">
        <f t="shared" si="24"/>
        <v>19.922000000000001</v>
      </c>
      <c r="AF136">
        <v>14.88</v>
      </c>
      <c r="AG136" s="72">
        <f t="shared" si="25"/>
        <v>14</v>
      </c>
      <c r="AH136" s="37">
        <f t="shared" si="26"/>
        <v>19.922000000000001</v>
      </c>
      <c r="AJ136" s="21">
        <v>45773</v>
      </c>
      <c r="AK136" t="s">
        <v>271</v>
      </c>
      <c r="AL136" t="s">
        <v>5</v>
      </c>
      <c r="AN136" t="s">
        <v>517</v>
      </c>
      <c r="AO136" t="s">
        <v>517</v>
      </c>
      <c r="AP136" s="56">
        <v>3190</v>
      </c>
      <c r="AR136" s="38"/>
      <c r="AU136" s="38">
        <v>45773</v>
      </c>
      <c r="AW136" t="s">
        <v>5</v>
      </c>
      <c r="AY136" s="39">
        <v>0.47569444444444442</v>
      </c>
      <c r="AZ136" s="39">
        <v>0.5625</v>
      </c>
      <c r="BA136" s="37">
        <v>2584</v>
      </c>
      <c r="BB136" t="s">
        <v>106</v>
      </c>
      <c r="BC136" s="38">
        <v>45773</v>
      </c>
    </row>
    <row r="137" spans="22:55" ht="16" x14ac:dyDescent="0.4">
      <c r="V137" s="97">
        <v>45762</v>
      </c>
      <c r="W137">
        <v>135906</v>
      </c>
      <c r="X137" s="89" t="s">
        <v>36</v>
      </c>
      <c r="Y137" s="89"/>
      <c r="Z137" s="50">
        <v>0.3756944444444445</v>
      </c>
      <c r="AA137" s="50">
        <v>0.81041666666666667</v>
      </c>
      <c r="AD137" s="48">
        <v>22554</v>
      </c>
      <c r="AE137" s="48">
        <f t="shared" si="24"/>
        <v>22.553999999999998</v>
      </c>
      <c r="AF137">
        <v>14.7</v>
      </c>
      <c r="AG137" s="72">
        <f t="shared" si="25"/>
        <v>14</v>
      </c>
      <c r="AH137" s="37">
        <f t="shared" si="26"/>
        <v>22.553999999999998</v>
      </c>
      <c r="AJ137" s="21">
        <v>45773</v>
      </c>
      <c r="AK137" t="s">
        <v>272</v>
      </c>
      <c r="AL137" t="s">
        <v>5</v>
      </c>
      <c r="AN137" t="s">
        <v>518</v>
      </c>
      <c r="AO137" t="s">
        <v>519</v>
      </c>
      <c r="AP137" s="56">
        <v>4970</v>
      </c>
      <c r="AR137" s="38"/>
      <c r="AU137" s="38">
        <v>45773</v>
      </c>
      <c r="AW137" t="s">
        <v>5</v>
      </c>
      <c r="AY137" s="39">
        <v>0.44027777777777777</v>
      </c>
      <c r="AZ137" s="39">
        <v>0.57222222222222219</v>
      </c>
      <c r="BA137" s="37">
        <v>2838</v>
      </c>
      <c r="BB137" t="s">
        <v>105</v>
      </c>
      <c r="BC137" s="38">
        <v>45773</v>
      </c>
    </row>
    <row r="138" spans="22:55" ht="16" x14ac:dyDescent="0.4">
      <c r="V138" s="97">
        <v>45762</v>
      </c>
      <c r="W138">
        <v>135944</v>
      </c>
      <c r="X138" s="89" t="s">
        <v>36</v>
      </c>
      <c r="Y138" s="89"/>
      <c r="Z138" s="50">
        <v>0.7631944444444444</v>
      </c>
      <c r="AA138" s="50">
        <v>0.87847222222222221</v>
      </c>
      <c r="AD138" s="48">
        <v>20390</v>
      </c>
      <c r="AE138" s="48">
        <f t="shared" si="24"/>
        <v>20.39</v>
      </c>
      <c r="AF138">
        <v>16.13</v>
      </c>
      <c r="AG138" s="72">
        <f t="shared" si="25"/>
        <v>14</v>
      </c>
      <c r="AH138" s="37">
        <f t="shared" si="26"/>
        <v>20.390000000000004</v>
      </c>
      <c r="AJ138" s="21">
        <v>45773</v>
      </c>
      <c r="AK138" t="s">
        <v>273</v>
      </c>
      <c r="AL138" t="s">
        <v>5</v>
      </c>
      <c r="AN138" t="s">
        <v>520</v>
      </c>
      <c r="AO138" t="s">
        <v>521</v>
      </c>
      <c r="AP138" s="56">
        <v>4910</v>
      </c>
      <c r="AR138" s="38"/>
      <c r="AU138" s="38">
        <v>45773</v>
      </c>
      <c r="AW138" t="s">
        <v>5</v>
      </c>
      <c r="AY138" s="39">
        <v>0.41597222222222219</v>
      </c>
      <c r="AZ138" s="39">
        <v>0.61041666666666672</v>
      </c>
      <c r="BA138" s="37">
        <v>4916</v>
      </c>
      <c r="BB138" t="s">
        <v>101</v>
      </c>
      <c r="BC138" s="38">
        <v>45773</v>
      </c>
    </row>
    <row r="139" spans="22:55" ht="16" x14ac:dyDescent="0.4">
      <c r="V139" s="97">
        <v>45762</v>
      </c>
      <c r="W139">
        <v>135964</v>
      </c>
      <c r="X139" s="89" t="s">
        <v>36</v>
      </c>
      <c r="Y139" s="89"/>
      <c r="Z139" s="50">
        <v>0.71111111111111114</v>
      </c>
      <c r="AA139" s="50">
        <v>0.93263888888888891</v>
      </c>
      <c r="AD139" s="48">
        <v>20724</v>
      </c>
      <c r="AE139" s="48">
        <f t="shared" si="24"/>
        <v>20.724</v>
      </c>
      <c r="AF139">
        <v>14.98</v>
      </c>
      <c r="AG139" s="72">
        <f t="shared" si="25"/>
        <v>14</v>
      </c>
      <c r="AH139" s="37">
        <f t="shared" si="26"/>
        <v>20.724</v>
      </c>
      <c r="AJ139" s="21">
        <v>45773</v>
      </c>
      <c r="AK139" t="s">
        <v>274</v>
      </c>
      <c r="AL139" t="s">
        <v>5</v>
      </c>
      <c r="AN139" t="s">
        <v>522</v>
      </c>
      <c r="AO139" t="s">
        <v>523</v>
      </c>
      <c r="AP139" s="56">
        <v>3040</v>
      </c>
      <c r="AR139" s="38"/>
      <c r="AU139" s="38">
        <v>45773</v>
      </c>
      <c r="AW139" t="s">
        <v>5</v>
      </c>
      <c r="AY139" s="39">
        <v>0.51041666666666663</v>
      </c>
      <c r="AZ139" s="39">
        <v>0.40208333333333335</v>
      </c>
      <c r="BA139" s="37">
        <v>4926</v>
      </c>
      <c r="BB139" t="s">
        <v>101</v>
      </c>
      <c r="BC139" s="38">
        <v>45773</v>
      </c>
    </row>
    <row r="140" spans="22:55" ht="16" x14ac:dyDescent="0.4">
      <c r="V140" s="97">
        <v>45763</v>
      </c>
      <c r="W140">
        <v>135992</v>
      </c>
      <c r="X140" s="89" t="s">
        <v>36</v>
      </c>
      <c r="Y140" s="89"/>
      <c r="Z140" s="50">
        <v>0.7631944444444444</v>
      </c>
      <c r="AA140" s="50">
        <v>2.7777777777777779E-3</v>
      </c>
      <c r="AD140" s="48">
        <v>22032</v>
      </c>
      <c r="AE140" s="48">
        <f t="shared" si="24"/>
        <v>22.032</v>
      </c>
      <c r="AF140">
        <v>15.31</v>
      </c>
      <c r="AG140" s="72">
        <f t="shared" si="25"/>
        <v>14</v>
      </c>
      <c r="AH140" s="37">
        <f t="shared" si="26"/>
        <v>22.032</v>
      </c>
      <c r="AJ140" s="21">
        <v>45773</v>
      </c>
      <c r="AK140" t="s">
        <v>275</v>
      </c>
      <c r="AL140" t="s">
        <v>5</v>
      </c>
      <c r="AN140" t="s">
        <v>524</v>
      </c>
      <c r="AO140" t="s">
        <v>524</v>
      </c>
      <c r="AP140" s="56">
        <v>3120</v>
      </c>
      <c r="AR140" s="38"/>
      <c r="AU140" s="38">
        <v>45775</v>
      </c>
      <c r="AW140" t="s">
        <v>5</v>
      </c>
      <c r="AY140" s="39">
        <v>0.46458333333333335</v>
      </c>
      <c r="AZ140" s="39">
        <v>0.34583333333333338</v>
      </c>
      <c r="BA140" s="37">
        <v>3486</v>
      </c>
      <c r="BB140" t="s">
        <v>107</v>
      </c>
      <c r="BC140" s="38">
        <v>45775</v>
      </c>
    </row>
    <row r="141" spans="22:55" ht="16" x14ac:dyDescent="0.4">
      <c r="V141" s="97">
        <v>45763</v>
      </c>
      <c r="W141">
        <v>136001</v>
      </c>
      <c r="X141" s="89" t="s">
        <v>36</v>
      </c>
      <c r="Y141" s="89"/>
      <c r="Z141" s="50">
        <v>0.71111111111111114</v>
      </c>
      <c r="AA141" s="50">
        <v>5.4166666666666669E-2</v>
      </c>
      <c r="AD141" s="48">
        <v>19916</v>
      </c>
      <c r="AE141" s="48">
        <f t="shared" si="24"/>
        <v>19.916</v>
      </c>
      <c r="AF141">
        <v>14.88</v>
      </c>
      <c r="AG141" s="72">
        <f t="shared" si="25"/>
        <v>14</v>
      </c>
      <c r="AH141" s="37">
        <f t="shared" si="26"/>
        <v>19.916</v>
      </c>
      <c r="AJ141" s="21">
        <v>45773</v>
      </c>
      <c r="AK141" t="s">
        <v>276</v>
      </c>
      <c r="AL141" t="s">
        <v>5</v>
      </c>
      <c r="AN141" t="s">
        <v>525</v>
      </c>
      <c r="AO141" t="s">
        <v>526</v>
      </c>
      <c r="AP141" s="56">
        <v>4240</v>
      </c>
      <c r="AR141" s="38"/>
      <c r="AU141" s="38">
        <v>45775</v>
      </c>
      <c r="AW141" t="s">
        <v>5</v>
      </c>
      <c r="AY141" s="39">
        <v>0.58263888888888882</v>
      </c>
      <c r="AZ141" s="39">
        <v>0.39652777777777781</v>
      </c>
      <c r="BA141" s="48">
        <v>3634</v>
      </c>
      <c r="BB141" t="s">
        <v>106</v>
      </c>
      <c r="BC141" s="38">
        <v>45775</v>
      </c>
    </row>
    <row r="142" spans="22:55" ht="16" x14ac:dyDescent="0.4">
      <c r="V142" s="97">
        <v>45763</v>
      </c>
      <c r="W142">
        <v>136010</v>
      </c>
      <c r="X142" s="89" t="s">
        <v>36</v>
      </c>
      <c r="Y142" s="89"/>
      <c r="Z142" s="50">
        <v>0.76250000000000007</v>
      </c>
      <c r="AA142" s="50">
        <v>0.10902777777777778</v>
      </c>
      <c r="AD142" s="48">
        <v>19368</v>
      </c>
      <c r="AE142" s="48">
        <f t="shared" si="24"/>
        <v>19.367999999999999</v>
      </c>
      <c r="AF142">
        <v>15.68</v>
      </c>
      <c r="AG142" s="72">
        <f t="shared" si="25"/>
        <v>14</v>
      </c>
      <c r="AH142" s="37">
        <f t="shared" si="26"/>
        <v>19.367999999999999</v>
      </c>
      <c r="AJ142" s="21">
        <v>45773</v>
      </c>
      <c r="AK142" t="s">
        <v>277</v>
      </c>
      <c r="AL142" t="s">
        <v>5</v>
      </c>
      <c r="AN142" t="s">
        <v>527</v>
      </c>
      <c r="AO142" t="s">
        <v>527</v>
      </c>
      <c r="AP142" s="56">
        <v>3680</v>
      </c>
      <c r="AR142" s="38"/>
      <c r="AU142" s="38">
        <v>45775</v>
      </c>
      <c r="AW142" t="s">
        <v>5</v>
      </c>
      <c r="AY142" s="39">
        <v>0.58680555555555558</v>
      </c>
      <c r="AZ142" s="39">
        <v>0.41250000000000003</v>
      </c>
      <c r="BA142" s="48">
        <v>3268</v>
      </c>
      <c r="BB142" t="s">
        <v>105</v>
      </c>
      <c r="BC142" s="38">
        <v>45775</v>
      </c>
    </row>
    <row r="143" spans="22:55" ht="16" x14ac:dyDescent="0.4">
      <c r="V143" s="97">
        <v>45763</v>
      </c>
      <c r="W143">
        <v>136020</v>
      </c>
      <c r="X143" s="89" t="s">
        <v>36</v>
      </c>
      <c r="Y143" s="89"/>
      <c r="Z143" s="50">
        <v>0.10347222222222223</v>
      </c>
      <c r="AA143" s="50">
        <v>0.15138888888888888</v>
      </c>
      <c r="AD143" s="48">
        <v>16998</v>
      </c>
      <c r="AE143" s="48">
        <f t="shared" si="24"/>
        <v>16.998000000000001</v>
      </c>
      <c r="AF143">
        <v>12.63</v>
      </c>
      <c r="AG143" s="72">
        <f t="shared" si="25"/>
        <v>12.63</v>
      </c>
      <c r="AH143" s="37">
        <f t="shared" si="26"/>
        <v>15.334624285714288</v>
      </c>
      <c r="AJ143" s="21">
        <v>45773</v>
      </c>
      <c r="AK143" t="s">
        <v>278</v>
      </c>
      <c r="AL143" t="s">
        <v>5</v>
      </c>
      <c r="AN143" t="s">
        <v>528</v>
      </c>
      <c r="AO143" t="s">
        <v>528</v>
      </c>
      <c r="AP143" s="56">
        <v>2590</v>
      </c>
      <c r="AR143" s="38"/>
      <c r="AU143" s="38">
        <v>45775</v>
      </c>
      <c r="AV143">
        <v>140598</v>
      </c>
      <c r="AW143" s="16" t="s">
        <v>4</v>
      </c>
      <c r="AY143" s="39">
        <v>0.35486111111111113</v>
      </c>
      <c r="AZ143" s="39">
        <v>0.3979166666666667</v>
      </c>
      <c r="BA143" s="48">
        <v>5606</v>
      </c>
      <c r="BC143" s="38">
        <v>45775</v>
      </c>
    </row>
    <row r="144" spans="22:55" ht="16" x14ac:dyDescent="0.4">
      <c r="V144" s="97">
        <v>45763</v>
      </c>
      <c r="W144">
        <v>136069</v>
      </c>
      <c r="X144" s="89" t="s">
        <v>36</v>
      </c>
      <c r="Y144" s="89"/>
      <c r="Z144" s="50">
        <v>0.15069444444444444</v>
      </c>
      <c r="AA144" s="50">
        <v>0.3215277777777778</v>
      </c>
      <c r="AD144" s="48">
        <v>18014</v>
      </c>
      <c r="AE144" s="48">
        <f t="shared" si="24"/>
        <v>18.013999999999999</v>
      </c>
      <c r="AF144">
        <v>14.49</v>
      </c>
      <c r="AG144" s="72">
        <f t="shared" si="25"/>
        <v>14</v>
      </c>
      <c r="AH144" s="37">
        <f t="shared" si="26"/>
        <v>18.013999999999999</v>
      </c>
      <c r="AJ144" s="21">
        <v>45773</v>
      </c>
      <c r="AK144" t="s">
        <v>279</v>
      </c>
      <c r="AL144" t="s">
        <v>5</v>
      </c>
      <c r="AN144" t="s">
        <v>529</v>
      </c>
      <c r="AO144" t="s">
        <v>529</v>
      </c>
      <c r="AP144" s="56">
        <v>2930</v>
      </c>
      <c r="AR144" s="38"/>
      <c r="AU144" s="38">
        <v>45775</v>
      </c>
      <c r="AW144" t="s">
        <v>5</v>
      </c>
      <c r="AY144" s="39">
        <v>0.33611111111111108</v>
      </c>
      <c r="AZ144" s="39">
        <v>0.37013888888888885</v>
      </c>
      <c r="BA144" s="48">
        <v>3444</v>
      </c>
      <c r="BB144" t="s">
        <v>106</v>
      </c>
      <c r="BC144" s="38">
        <v>45775</v>
      </c>
    </row>
    <row r="145" spans="22:55" ht="16" x14ac:dyDescent="0.4">
      <c r="V145" s="97">
        <v>45763</v>
      </c>
      <c r="W145">
        <v>136137</v>
      </c>
      <c r="X145" s="89" t="s">
        <v>36</v>
      </c>
      <c r="Y145" s="89"/>
      <c r="Z145" s="50">
        <v>0.30208333333333331</v>
      </c>
      <c r="AA145" s="50">
        <v>0.40347222222222223</v>
      </c>
      <c r="AD145" s="48">
        <v>18370</v>
      </c>
      <c r="AE145" s="48">
        <f t="shared" si="24"/>
        <v>18.37</v>
      </c>
      <c r="AF145">
        <v>15.55</v>
      </c>
      <c r="AG145" s="72">
        <f t="shared" si="25"/>
        <v>14</v>
      </c>
      <c r="AH145" s="37">
        <f t="shared" si="26"/>
        <v>18.37</v>
      </c>
      <c r="AJ145" s="21">
        <v>45773</v>
      </c>
      <c r="AK145" t="s">
        <v>280</v>
      </c>
      <c r="AL145" t="s">
        <v>5</v>
      </c>
      <c r="AN145" t="s">
        <v>530</v>
      </c>
      <c r="AO145" t="s">
        <v>530</v>
      </c>
      <c r="AP145" s="56">
        <v>5030</v>
      </c>
      <c r="AR145" s="38"/>
      <c r="AU145" s="38">
        <v>45775</v>
      </c>
      <c r="AW145" t="s">
        <v>5</v>
      </c>
      <c r="AY145" s="39">
        <v>0.37083333333333335</v>
      </c>
      <c r="AZ145" s="39">
        <v>0.43124999999999997</v>
      </c>
      <c r="BA145" s="48">
        <v>3940</v>
      </c>
      <c r="BB145" t="s">
        <v>106</v>
      </c>
      <c r="BC145" s="38">
        <v>45775</v>
      </c>
    </row>
    <row r="146" spans="22:55" ht="16" x14ac:dyDescent="0.4">
      <c r="V146" s="97">
        <v>45763</v>
      </c>
      <c r="W146">
        <v>136207</v>
      </c>
      <c r="X146" s="89" t="s">
        <v>36</v>
      </c>
      <c r="Y146" s="89"/>
      <c r="Z146" s="50">
        <v>0.37291666666666662</v>
      </c>
      <c r="AA146" s="50">
        <v>0.49583333333333335</v>
      </c>
      <c r="AD146" s="48">
        <v>21182</v>
      </c>
      <c r="AE146" s="48">
        <f t="shared" si="24"/>
        <v>21.181999999999999</v>
      </c>
      <c r="AF146">
        <v>15.31</v>
      </c>
      <c r="AG146" s="72">
        <f t="shared" si="25"/>
        <v>14</v>
      </c>
      <c r="AH146" s="37">
        <f t="shared" si="26"/>
        <v>21.181999999999999</v>
      </c>
      <c r="AJ146" s="21">
        <v>45775</v>
      </c>
      <c r="AK146" t="s">
        <v>281</v>
      </c>
      <c r="AL146" t="s">
        <v>5</v>
      </c>
      <c r="AN146" t="s">
        <v>531</v>
      </c>
      <c r="AO146" t="s">
        <v>532</v>
      </c>
      <c r="AP146" s="56">
        <v>3430</v>
      </c>
      <c r="AR146" s="38"/>
      <c r="AU146" s="38">
        <v>45775</v>
      </c>
      <c r="AW146" t="s">
        <v>5</v>
      </c>
      <c r="AY146" s="39">
        <v>0.44166666666666665</v>
      </c>
      <c r="AZ146" s="39">
        <v>0.46319444444444446</v>
      </c>
      <c r="BA146" s="48">
        <v>3624</v>
      </c>
      <c r="BB146" t="s">
        <v>107</v>
      </c>
      <c r="BC146" s="38">
        <v>45775</v>
      </c>
    </row>
    <row r="147" spans="22:55" ht="16" x14ac:dyDescent="0.4">
      <c r="V147" s="97">
        <v>45763</v>
      </c>
      <c r="W147">
        <v>136249</v>
      </c>
      <c r="X147" s="89" t="s">
        <v>36</v>
      </c>
      <c r="Y147" s="89"/>
      <c r="Z147" s="50">
        <v>0.30208333333333331</v>
      </c>
      <c r="AA147" s="50">
        <v>0.56805555555555554</v>
      </c>
      <c r="AD147" s="48">
        <v>18984</v>
      </c>
      <c r="AE147" s="48">
        <f t="shared" si="24"/>
        <v>18.984000000000002</v>
      </c>
      <c r="AF147">
        <v>16.239999999999998</v>
      </c>
      <c r="AG147" s="72">
        <f t="shared" si="25"/>
        <v>14</v>
      </c>
      <c r="AH147" s="37">
        <f t="shared" si="26"/>
        <v>18.984000000000002</v>
      </c>
      <c r="AJ147" s="21">
        <v>45775</v>
      </c>
      <c r="AK147" t="s">
        <v>282</v>
      </c>
      <c r="AL147" t="s">
        <v>5</v>
      </c>
      <c r="AN147" t="s">
        <v>533</v>
      </c>
      <c r="AO147" t="s">
        <v>533</v>
      </c>
      <c r="AP147" s="56">
        <v>3400</v>
      </c>
      <c r="AR147" s="38"/>
      <c r="AU147" s="38">
        <v>45775</v>
      </c>
      <c r="AW147" t="s">
        <v>5</v>
      </c>
      <c r="AY147" s="39">
        <v>0.4604166666666667</v>
      </c>
      <c r="AZ147" s="39">
        <v>0.48125000000000001</v>
      </c>
      <c r="BA147" s="48">
        <v>3424</v>
      </c>
      <c r="BB147" t="s">
        <v>108</v>
      </c>
      <c r="BC147" s="38">
        <v>45775</v>
      </c>
    </row>
    <row r="148" spans="22:55" ht="16" x14ac:dyDescent="0.4">
      <c r="V148" s="97">
        <v>45763</v>
      </c>
      <c r="W148">
        <v>136317</v>
      </c>
      <c r="X148" s="89" t="s">
        <v>36</v>
      </c>
      <c r="Y148" s="89"/>
      <c r="Z148" s="50">
        <v>0.10347222222222223</v>
      </c>
      <c r="AA148" s="50">
        <v>0.63888888888888895</v>
      </c>
      <c r="AD148" s="48">
        <v>20360</v>
      </c>
      <c r="AE148" s="48">
        <f t="shared" si="24"/>
        <v>20.36</v>
      </c>
      <c r="AF148">
        <v>14.95</v>
      </c>
      <c r="AG148" s="72">
        <f t="shared" si="25"/>
        <v>14</v>
      </c>
      <c r="AH148" s="37">
        <f t="shared" si="26"/>
        <v>20.359999999999996</v>
      </c>
      <c r="AJ148" s="21">
        <v>45775</v>
      </c>
      <c r="AK148" t="s">
        <v>283</v>
      </c>
      <c r="AL148" t="s">
        <v>5</v>
      </c>
      <c r="AN148" t="s">
        <v>534</v>
      </c>
      <c r="AO148" t="s">
        <v>534</v>
      </c>
      <c r="AP148" s="56">
        <v>1900</v>
      </c>
      <c r="AR148" s="38"/>
      <c r="AU148" s="38">
        <v>45775</v>
      </c>
      <c r="AW148" t="s">
        <v>5</v>
      </c>
      <c r="AY148" s="39">
        <v>0.41041666666666665</v>
      </c>
      <c r="AZ148" s="39">
        <v>0.49791666666666662</v>
      </c>
      <c r="BA148" s="48">
        <v>3822</v>
      </c>
      <c r="BB148" t="s">
        <v>106</v>
      </c>
      <c r="BC148" s="38">
        <v>45775</v>
      </c>
    </row>
    <row r="149" spans="22:55" ht="16" x14ac:dyDescent="0.4">
      <c r="V149" s="97">
        <v>45763</v>
      </c>
      <c r="W149">
        <v>136370</v>
      </c>
      <c r="X149" s="89" t="s">
        <v>36</v>
      </c>
      <c r="Y149" s="89"/>
      <c r="Z149" s="50">
        <v>0.30208333333333331</v>
      </c>
      <c r="AA149" s="50">
        <v>0.71388888888888891</v>
      </c>
      <c r="AD149" s="48">
        <v>20094</v>
      </c>
      <c r="AE149" s="48">
        <f t="shared" si="24"/>
        <v>20.094000000000001</v>
      </c>
      <c r="AF149">
        <v>14.63</v>
      </c>
      <c r="AG149" s="72">
        <f t="shared" si="25"/>
        <v>14</v>
      </c>
      <c r="AH149" s="37">
        <f t="shared" si="26"/>
        <v>20.094000000000001</v>
      </c>
      <c r="AJ149" s="21">
        <v>45775</v>
      </c>
      <c r="AK149" t="s">
        <v>284</v>
      </c>
      <c r="AL149" t="s">
        <v>5</v>
      </c>
      <c r="AN149" t="s">
        <v>535</v>
      </c>
      <c r="AO149" t="s">
        <v>536</v>
      </c>
      <c r="AP149" s="56">
        <v>3620</v>
      </c>
      <c r="AR149" s="38"/>
      <c r="AU149" s="38">
        <v>45775</v>
      </c>
      <c r="AW149" t="s">
        <v>5</v>
      </c>
      <c r="AY149" s="39">
        <v>0.4284722222222222</v>
      </c>
      <c r="AZ149" s="39">
        <v>0.55972222222222223</v>
      </c>
      <c r="BA149" s="48">
        <v>3230</v>
      </c>
      <c r="BB149" t="s">
        <v>109</v>
      </c>
      <c r="BC149" s="38">
        <v>45775</v>
      </c>
    </row>
    <row r="150" spans="22:55" ht="16" x14ac:dyDescent="0.4">
      <c r="V150" s="97">
        <v>45763</v>
      </c>
      <c r="W150">
        <v>136397</v>
      </c>
      <c r="X150" s="89" t="s">
        <v>36</v>
      </c>
      <c r="Y150" s="89"/>
      <c r="Z150" s="50">
        <v>0.10416666666666667</v>
      </c>
      <c r="AA150" s="50">
        <v>0.78333333333333333</v>
      </c>
      <c r="AD150" s="48">
        <v>20454</v>
      </c>
      <c r="AE150" s="48">
        <f t="shared" si="24"/>
        <v>20.454000000000001</v>
      </c>
      <c r="AF150">
        <v>16.2</v>
      </c>
      <c r="AG150" s="72">
        <f t="shared" si="25"/>
        <v>14</v>
      </c>
      <c r="AH150" s="37">
        <f t="shared" si="26"/>
        <v>20.454000000000001</v>
      </c>
      <c r="AJ150" s="21">
        <v>45775</v>
      </c>
      <c r="AK150" t="s">
        <v>285</v>
      </c>
      <c r="AL150" t="s">
        <v>5</v>
      </c>
      <c r="AN150" t="s">
        <v>537</v>
      </c>
      <c r="AO150" t="s">
        <v>537</v>
      </c>
      <c r="AP150" s="56">
        <v>3340</v>
      </c>
      <c r="AR150" s="38"/>
      <c r="AU150" s="38">
        <v>45775</v>
      </c>
      <c r="AW150" t="s">
        <v>5</v>
      </c>
      <c r="AY150" s="39">
        <v>0.22291666666666665</v>
      </c>
      <c r="AZ150" s="39">
        <v>0.55763888888888891</v>
      </c>
      <c r="BA150" s="48">
        <v>2832</v>
      </c>
      <c r="BB150" t="s">
        <v>107</v>
      </c>
      <c r="BC150" s="38">
        <v>45775</v>
      </c>
    </row>
    <row r="151" spans="22:55" ht="16" x14ac:dyDescent="0.4">
      <c r="V151" s="97">
        <v>45763</v>
      </c>
      <c r="W151">
        <v>136408</v>
      </c>
      <c r="X151" s="89" t="s">
        <v>36</v>
      </c>
      <c r="Y151" s="89"/>
      <c r="Z151" s="50">
        <v>0.77569444444444446</v>
      </c>
      <c r="AA151" s="50">
        <v>0.84236111111111101</v>
      </c>
      <c r="AD151" s="48">
        <v>21472</v>
      </c>
      <c r="AE151" s="48">
        <f t="shared" si="24"/>
        <v>21.472000000000001</v>
      </c>
      <c r="AF151">
        <v>15.56</v>
      </c>
      <c r="AG151" s="72">
        <f t="shared" si="25"/>
        <v>14</v>
      </c>
      <c r="AH151" s="37">
        <f t="shared" si="26"/>
        <v>21.472000000000001</v>
      </c>
      <c r="AJ151" s="21">
        <v>45775</v>
      </c>
      <c r="AK151" t="s">
        <v>286</v>
      </c>
      <c r="AL151" t="s">
        <v>4</v>
      </c>
      <c r="AN151" t="s">
        <v>538</v>
      </c>
      <c r="AO151" t="s">
        <v>539</v>
      </c>
      <c r="AP151" s="56">
        <v>5610</v>
      </c>
      <c r="AR151" s="38"/>
      <c r="AU151" s="38">
        <v>45775</v>
      </c>
      <c r="AW151" t="s">
        <v>5</v>
      </c>
      <c r="AY151" s="39">
        <v>0.37361111111111112</v>
      </c>
      <c r="AZ151" s="39">
        <v>0.38958333333333334</v>
      </c>
      <c r="BA151" s="48">
        <v>1946</v>
      </c>
      <c r="BB151" t="s">
        <v>107</v>
      </c>
      <c r="BC151" s="38">
        <v>45775</v>
      </c>
    </row>
    <row r="152" spans="22:55" ht="16" x14ac:dyDescent="0.4">
      <c r="V152" s="97">
        <v>45763</v>
      </c>
      <c r="W152">
        <v>136436</v>
      </c>
      <c r="X152" s="89" t="s">
        <v>36</v>
      </c>
      <c r="Y152" s="89"/>
      <c r="Z152" s="50">
        <v>0.69652777777777775</v>
      </c>
      <c r="AA152" s="50">
        <v>0.90555555555555556</v>
      </c>
      <c r="AD152" s="48">
        <v>19278</v>
      </c>
      <c r="AE152" s="48">
        <f t="shared" si="24"/>
        <v>19.277999999999999</v>
      </c>
      <c r="AF152">
        <v>15.34</v>
      </c>
      <c r="AG152" s="72">
        <f t="shared" si="25"/>
        <v>14</v>
      </c>
      <c r="AH152" s="37">
        <f t="shared" si="26"/>
        <v>19.277999999999999</v>
      </c>
      <c r="AJ152" s="21">
        <v>45775</v>
      </c>
      <c r="AK152" t="s">
        <v>287</v>
      </c>
      <c r="AL152" t="s">
        <v>5</v>
      </c>
      <c r="AN152" t="s">
        <v>540</v>
      </c>
      <c r="AO152" t="s">
        <v>541</v>
      </c>
      <c r="AP152" s="56">
        <v>3920</v>
      </c>
      <c r="AR152" s="38"/>
      <c r="AU152" s="38">
        <v>45775</v>
      </c>
      <c r="AW152" t="s">
        <v>5</v>
      </c>
      <c r="AY152" s="39">
        <v>0.48125000000000001</v>
      </c>
      <c r="AZ152" s="39">
        <v>0.62916666666666665</v>
      </c>
      <c r="BA152" s="48">
        <v>2392</v>
      </c>
      <c r="BB152" t="s">
        <v>108</v>
      </c>
      <c r="BC152" s="38">
        <v>45775</v>
      </c>
    </row>
    <row r="153" spans="22:55" ht="16" x14ac:dyDescent="0.4">
      <c r="V153" s="97">
        <v>45763</v>
      </c>
      <c r="W153">
        <v>136458</v>
      </c>
      <c r="X153" s="89" t="s">
        <v>36</v>
      </c>
      <c r="Y153" s="89"/>
      <c r="Z153" s="50">
        <v>0.77569444444444446</v>
      </c>
      <c r="AA153" s="50">
        <v>0.9784722222222223</v>
      </c>
      <c r="AD153" s="48">
        <v>20484</v>
      </c>
      <c r="AE153" s="48">
        <f t="shared" si="24"/>
        <v>20.484000000000002</v>
      </c>
      <c r="AF153">
        <v>15.24</v>
      </c>
      <c r="AG153" s="72">
        <f t="shared" si="25"/>
        <v>14</v>
      </c>
      <c r="AH153" s="37">
        <f t="shared" si="26"/>
        <v>20.484000000000002</v>
      </c>
      <c r="AJ153" s="21">
        <v>45775</v>
      </c>
      <c r="AK153" t="s">
        <v>288</v>
      </c>
      <c r="AL153" t="s">
        <v>5</v>
      </c>
      <c r="AN153" t="s">
        <v>542</v>
      </c>
      <c r="AO153" t="s">
        <v>543</v>
      </c>
      <c r="AP153" s="56">
        <v>3530</v>
      </c>
      <c r="AR153" s="38"/>
      <c r="AU153" s="38">
        <v>45775</v>
      </c>
      <c r="AW153" t="s">
        <v>5</v>
      </c>
      <c r="AY153" s="39"/>
      <c r="AZ153" s="39"/>
      <c r="BA153" s="48">
        <v>4618</v>
      </c>
      <c r="BC153" s="38">
        <v>45775</v>
      </c>
    </row>
    <row r="154" spans="22:55" ht="16" x14ac:dyDescent="0.4">
      <c r="V154" s="97">
        <v>45764</v>
      </c>
      <c r="W154">
        <v>136473</v>
      </c>
      <c r="X154" s="89" t="s">
        <v>36</v>
      </c>
      <c r="Y154" s="89"/>
      <c r="Z154" s="50">
        <v>23.05</v>
      </c>
      <c r="AA154" s="50">
        <v>5.0694444444444452E-2</v>
      </c>
      <c r="AD154" s="48">
        <v>19748</v>
      </c>
      <c r="AE154" s="48">
        <f t="shared" si="24"/>
        <v>19.748000000000001</v>
      </c>
      <c r="AF154">
        <v>14.91</v>
      </c>
      <c r="AG154" s="72">
        <f t="shared" si="25"/>
        <v>14</v>
      </c>
      <c r="AH154" s="37">
        <f t="shared" si="26"/>
        <v>19.748000000000001</v>
      </c>
      <c r="AJ154" s="21">
        <v>45775</v>
      </c>
      <c r="AK154" t="s">
        <v>289</v>
      </c>
      <c r="AL154" t="s">
        <v>5</v>
      </c>
      <c r="AN154" t="s">
        <v>544</v>
      </c>
      <c r="AO154" t="s">
        <v>544</v>
      </c>
      <c r="AP154" s="56">
        <v>3380</v>
      </c>
      <c r="AR154" s="38"/>
      <c r="AU154" s="38">
        <v>45776</v>
      </c>
      <c r="AW154" t="s">
        <v>5</v>
      </c>
      <c r="AY154" s="39">
        <v>0.32708333333333334</v>
      </c>
      <c r="AZ154" s="39">
        <v>0.36944444444444446</v>
      </c>
      <c r="BA154" s="48">
        <v>3908</v>
      </c>
      <c r="BC154" s="38">
        <v>45776</v>
      </c>
    </row>
    <row r="155" spans="22:55" ht="16" x14ac:dyDescent="0.4">
      <c r="V155" s="97">
        <v>45764</v>
      </c>
      <c r="W155" s="16">
        <v>136486</v>
      </c>
      <c r="X155" s="89" t="s">
        <v>36</v>
      </c>
      <c r="Y155" s="89"/>
      <c r="Z155" s="50">
        <v>0.77569444444444446</v>
      </c>
      <c r="AA155" s="50">
        <v>0.10694444444444444</v>
      </c>
      <c r="AD155" s="48">
        <v>19878</v>
      </c>
      <c r="AE155" s="48">
        <f t="shared" si="24"/>
        <v>19.878</v>
      </c>
      <c r="AF155">
        <v>15.55</v>
      </c>
      <c r="AG155" s="72">
        <f t="shared" si="25"/>
        <v>14</v>
      </c>
      <c r="AH155" s="37">
        <f t="shared" si="26"/>
        <v>19.878000000000004</v>
      </c>
      <c r="AJ155" s="21">
        <v>45775</v>
      </c>
      <c r="AK155" t="s">
        <v>290</v>
      </c>
      <c r="AL155" t="s">
        <v>5</v>
      </c>
      <c r="AN155" t="s">
        <v>545</v>
      </c>
      <c r="AO155" t="s">
        <v>546</v>
      </c>
      <c r="AP155" s="56">
        <v>3400</v>
      </c>
      <c r="AR155" s="38"/>
      <c r="AU155" s="38">
        <v>45775</v>
      </c>
      <c r="AW155" t="s">
        <v>5</v>
      </c>
      <c r="AY155" s="39">
        <v>0.54236111111111118</v>
      </c>
      <c r="AZ155" s="39">
        <v>0.58958333333333335</v>
      </c>
      <c r="BA155" s="48">
        <v>3710</v>
      </c>
      <c r="BB155" t="s">
        <v>90</v>
      </c>
      <c r="BC155" s="38">
        <v>45776</v>
      </c>
    </row>
    <row r="156" spans="22:55" ht="16" x14ac:dyDescent="0.4">
      <c r="V156" s="97">
        <v>45764</v>
      </c>
      <c r="W156" s="16">
        <v>136493</v>
      </c>
      <c r="X156" s="89" t="s">
        <v>36</v>
      </c>
      <c r="Y156" s="89"/>
      <c r="Z156" s="50">
        <v>0.96180555555555547</v>
      </c>
      <c r="AA156" s="50">
        <v>0.16250000000000001</v>
      </c>
      <c r="AD156" s="48">
        <v>18846</v>
      </c>
      <c r="AE156" s="48">
        <f t="shared" si="24"/>
        <v>18.846</v>
      </c>
      <c r="AF156">
        <v>16.190000000000001</v>
      </c>
      <c r="AG156" s="72">
        <f t="shared" si="25"/>
        <v>14</v>
      </c>
      <c r="AH156" s="37">
        <f t="shared" si="26"/>
        <v>18.846</v>
      </c>
      <c r="AJ156" s="21">
        <v>45775</v>
      </c>
      <c r="AK156" t="s">
        <v>291</v>
      </c>
      <c r="AL156" t="s">
        <v>5</v>
      </c>
      <c r="AN156" t="s">
        <v>547</v>
      </c>
      <c r="AO156" t="s">
        <v>547</v>
      </c>
      <c r="AP156" s="56">
        <v>3730</v>
      </c>
      <c r="AR156" s="38"/>
      <c r="AU156" s="38">
        <v>45776</v>
      </c>
      <c r="AW156" t="s">
        <v>5</v>
      </c>
      <c r="AY156" s="39">
        <v>0.38055555555555554</v>
      </c>
      <c r="AZ156" s="39">
        <v>0.4152777777777778</v>
      </c>
      <c r="BA156" s="48">
        <v>2122</v>
      </c>
      <c r="BC156" s="38">
        <v>45776</v>
      </c>
    </row>
    <row r="157" spans="22:55" ht="16" x14ac:dyDescent="0.4">
      <c r="V157" s="97">
        <v>45764</v>
      </c>
      <c r="W157" s="16">
        <v>136498</v>
      </c>
      <c r="X157" s="89" t="s">
        <v>36</v>
      </c>
      <c r="Y157" s="89"/>
      <c r="Z157" s="50">
        <v>0.15972222222222224</v>
      </c>
      <c r="AA157" s="50">
        <v>0.22291666666666665</v>
      </c>
      <c r="AD157" s="48">
        <v>20166</v>
      </c>
      <c r="AE157" s="48">
        <f t="shared" si="24"/>
        <v>20.166</v>
      </c>
      <c r="AF157">
        <v>14.95</v>
      </c>
      <c r="AG157" s="72">
        <f t="shared" si="25"/>
        <v>14</v>
      </c>
      <c r="AH157" s="37">
        <f t="shared" si="26"/>
        <v>20.166</v>
      </c>
      <c r="AJ157" s="21">
        <v>45775</v>
      </c>
      <c r="AK157" t="s">
        <v>292</v>
      </c>
      <c r="AL157" t="s">
        <v>5</v>
      </c>
      <c r="AN157" t="s">
        <v>548</v>
      </c>
      <c r="AO157" t="s">
        <v>549</v>
      </c>
      <c r="AP157" s="56">
        <v>5000</v>
      </c>
      <c r="AR157" s="38"/>
      <c r="AU157" s="38">
        <v>45776</v>
      </c>
      <c r="AW157" t="s">
        <v>5</v>
      </c>
      <c r="AY157" s="39">
        <v>0.58472222222222225</v>
      </c>
      <c r="AZ157" s="39">
        <v>0.43333333333333335</v>
      </c>
      <c r="BA157" s="48">
        <v>2738</v>
      </c>
      <c r="BB157" t="s">
        <v>107</v>
      </c>
      <c r="BC157" s="38">
        <v>45776</v>
      </c>
    </row>
    <row r="158" spans="22:55" ht="16" x14ac:dyDescent="0.4">
      <c r="V158" s="97">
        <v>45764</v>
      </c>
      <c r="W158" s="16">
        <v>136516</v>
      </c>
      <c r="X158" s="89" t="s">
        <v>36</v>
      </c>
      <c r="Y158" s="89"/>
      <c r="Z158" s="50">
        <v>0.96258101851851852</v>
      </c>
      <c r="AA158" s="50">
        <v>0.28543981481481479</v>
      </c>
      <c r="AD158" s="48">
        <v>21512</v>
      </c>
      <c r="AE158" s="48">
        <f t="shared" si="24"/>
        <v>21.512</v>
      </c>
      <c r="AF158">
        <v>14.63</v>
      </c>
      <c r="AG158" s="72">
        <f t="shared" si="25"/>
        <v>14</v>
      </c>
      <c r="AH158" s="37">
        <f t="shared" si="26"/>
        <v>21.512</v>
      </c>
      <c r="AJ158" s="21">
        <v>45775</v>
      </c>
      <c r="AK158" t="s">
        <v>293</v>
      </c>
      <c r="AL158" t="s">
        <v>5</v>
      </c>
      <c r="AN158" t="s">
        <v>550</v>
      </c>
      <c r="AO158" t="s">
        <v>551</v>
      </c>
      <c r="AP158" s="56">
        <v>3650</v>
      </c>
      <c r="AR158" s="38"/>
      <c r="AU158" s="38">
        <v>45776</v>
      </c>
      <c r="AW158" t="s">
        <v>5</v>
      </c>
      <c r="AY158" s="39">
        <v>0.46319444444444446</v>
      </c>
      <c r="AZ158" s="39">
        <v>0.4604166666666667</v>
      </c>
      <c r="BA158" s="48">
        <v>3428</v>
      </c>
      <c r="BB158" t="s">
        <v>101</v>
      </c>
      <c r="BC158" s="38">
        <v>45776</v>
      </c>
    </row>
    <row r="159" spans="22:55" ht="16" x14ac:dyDescent="0.4">
      <c r="V159" s="97">
        <v>45764</v>
      </c>
      <c r="W159" s="16">
        <v>136557</v>
      </c>
      <c r="X159" s="89" t="s">
        <v>36</v>
      </c>
      <c r="Y159" s="89"/>
      <c r="Z159" s="50">
        <v>0.16306712962962963</v>
      </c>
      <c r="AA159" s="50">
        <v>0.34890046296296301</v>
      </c>
      <c r="AD159" s="48">
        <v>21870</v>
      </c>
      <c r="AE159" s="48">
        <f t="shared" si="24"/>
        <v>21.87</v>
      </c>
      <c r="AF159">
        <v>14.83</v>
      </c>
      <c r="AG159" s="72">
        <f t="shared" si="25"/>
        <v>14</v>
      </c>
      <c r="AH159" s="37">
        <f t="shared" si="26"/>
        <v>21.87</v>
      </c>
      <c r="AJ159" s="21">
        <v>45775</v>
      </c>
      <c r="AK159" t="s">
        <v>294</v>
      </c>
      <c r="AL159" t="s">
        <v>5</v>
      </c>
      <c r="AN159" t="s">
        <v>552</v>
      </c>
      <c r="AO159" t="s">
        <v>552</v>
      </c>
      <c r="AP159" s="56">
        <v>2140</v>
      </c>
      <c r="AQ159" s="39"/>
      <c r="AR159" s="38"/>
      <c r="AU159" s="38">
        <v>45776</v>
      </c>
      <c r="AW159" t="s">
        <v>5</v>
      </c>
      <c r="AY159" s="39">
        <v>0.4694444444444445</v>
      </c>
      <c r="AZ159" s="39">
        <v>0.46180555555555558</v>
      </c>
      <c r="BA159" s="48">
        <v>3116</v>
      </c>
      <c r="BB159" s="39" t="s">
        <v>105</v>
      </c>
      <c r="BC159" s="38">
        <v>45776</v>
      </c>
    </row>
    <row r="160" spans="22:55" ht="16" x14ac:dyDescent="0.4">
      <c r="V160" s="97">
        <v>45764</v>
      </c>
      <c r="W160" s="16">
        <v>136611</v>
      </c>
      <c r="X160" s="89" t="s">
        <v>36</v>
      </c>
      <c r="Y160" s="89"/>
      <c r="Z160" s="50">
        <v>0.33133101851851854</v>
      </c>
      <c r="AA160" s="50">
        <v>0.41759259259259257</v>
      </c>
      <c r="AD160" s="48">
        <v>19758</v>
      </c>
      <c r="AE160" s="48">
        <f t="shared" si="24"/>
        <v>19.757999999999999</v>
      </c>
      <c r="AF160">
        <v>16.37</v>
      </c>
      <c r="AG160" s="72">
        <f t="shared" si="25"/>
        <v>14</v>
      </c>
      <c r="AH160" s="37">
        <f t="shared" si="26"/>
        <v>19.757999999999999</v>
      </c>
      <c r="AJ160" s="21">
        <v>45775</v>
      </c>
      <c r="AK160" t="s">
        <v>295</v>
      </c>
      <c r="AL160" t="s">
        <v>5</v>
      </c>
      <c r="AN160" t="s">
        <v>553</v>
      </c>
      <c r="AO160" t="s">
        <v>553</v>
      </c>
      <c r="AP160" s="56">
        <v>3270</v>
      </c>
      <c r="AR160" s="38"/>
      <c r="AU160" s="38">
        <v>45775</v>
      </c>
      <c r="AW160" t="s">
        <v>5</v>
      </c>
      <c r="AY160" s="39">
        <v>0.45208333333333334</v>
      </c>
      <c r="AZ160" s="39">
        <v>0.4694444444444445</v>
      </c>
      <c r="BA160" s="48">
        <v>3478</v>
      </c>
      <c r="BB160" t="s">
        <v>105</v>
      </c>
      <c r="BC160" s="38">
        <v>45776</v>
      </c>
    </row>
    <row r="161" spans="22:55" ht="16" x14ac:dyDescent="0.4">
      <c r="V161" s="97">
        <v>45764</v>
      </c>
      <c r="W161" s="16">
        <v>136647</v>
      </c>
      <c r="X161" s="89" t="s">
        <v>36</v>
      </c>
      <c r="Y161" s="89"/>
      <c r="Z161" s="50">
        <v>0.15995370370370371</v>
      </c>
      <c r="AA161" s="50">
        <v>0.50495370370370374</v>
      </c>
      <c r="AD161" s="48">
        <v>20016</v>
      </c>
      <c r="AE161" s="48">
        <f t="shared" si="24"/>
        <v>20.015999999999998</v>
      </c>
      <c r="AF161">
        <v>16.45</v>
      </c>
      <c r="AG161" s="72">
        <f t="shared" si="25"/>
        <v>14</v>
      </c>
      <c r="AH161" s="37">
        <f t="shared" si="26"/>
        <v>20.015999999999998</v>
      </c>
      <c r="AJ161" s="21">
        <v>45775</v>
      </c>
      <c r="AK161" t="s">
        <v>296</v>
      </c>
      <c r="AL161" t="s">
        <v>5</v>
      </c>
      <c r="AN161" t="s">
        <v>554</v>
      </c>
      <c r="AO161" t="s">
        <v>555</v>
      </c>
      <c r="AP161" s="56">
        <v>2320</v>
      </c>
      <c r="AR161" s="38"/>
      <c r="AU161" s="38">
        <v>45776</v>
      </c>
      <c r="AW161" t="s">
        <v>5</v>
      </c>
      <c r="AY161" s="39">
        <v>0.39374999999999999</v>
      </c>
      <c r="AZ161" s="39">
        <v>0.43541666666666662</v>
      </c>
      <c r="BA161" s="48">
        <v>4492</v>
      </c>
      <c r="BB161" t="s">
        <v>105</v>
      </c>
      <c r="BC161" s="38">
        <v>45776</v>
      </c>
    </row>
    <row r="162" spans="22:55" ht="16" x14ac:dyDescent="0.4">
      <c r="V162" s="97">
        <v>45764</v>
      </c>
      <c r="W162" s="16">
        <v>136676</v>
      </c>
      <c r="X162" s="89" t="s">
        <v>36</v>
      </c>
      <c r="Y162" s="89"/>
      <c r="Z162" s="50">
        <v>0.69385416666666666</v>
      </c>
      <c r="AA162" s="50">
        <v>0.55418981481481489</v>
      </c>
      <c r="AD162" s="48">
        <v>20078</v>
      </c>
      <c r="AE162" s="48">
        <f t="shared" si="24"/>
        <v>20.077999999999999</v>
      </c>
      <c r="AF162">
        <v>14.16</v>
      </c>
      <c r="AG162" s="72">
        <f t="shared" si="25"/>
        <v>14</v>
      </c>
      <c r="AH162" s="37">
        <f t="shared" si="26"/>
        <v>20.077999999999999</v>
      </c>
      <c r="AJ162" s="21">
        <v>45775</v>
      </c>
      <c r="AK162" t="s">
        <v>297</v>
      </c>
      <c r="AL162" t="s">
        <v>5</v>
      </c>
      <c r="AN162" t="s">
        <v>556</v>
      </c>
      <c r="AO162" t="s">
        <v>557</v>
      </c>
      <c r="AP162" s="56">
        <v>4490</v>
      </c>
      <c r="AR162" s="38"/>
      <c r="AU162" s="38">
        <v>45776</v>
      </c>
      <c r="AW162" t="s">
        <v>5</v>
      </c>
      <c r="AY162" s="39">
        <v>0.39513888888888887</v>
      </c>
      <c r="AZ162" s="39">
        <v>0.43124999999999997</v>
      </c>
      <c r="BA162" s="48">
        <v>3592</v>
      </c>
      <c r="BB162" t="s">
        <v>107</v>
      </c>
      <c r="BC162" s="38">
        <v>45776</v>
      </c>
    </row>
    <row r="163" spans="22:55" ht="16" x14ac:dyDescent="0.4">
      <c r="V163" s="97">
        <v>45764</v>
      </c>
      <c r="W163" s="16">
        <v>136717</v>
      </c>
      <c r="X163" s="89" t="s">
        <v>36</v>
      </c>
      <c r="Y163" s="89"/>
      <c r="Z163" s="50">
        <v>0.57500000000000007</v>
      </c>
      <c r="AA163" s="50">
        <v>0.62599537037037034</v>
      </c>
      <c r="AD163" s="48">
        <v>19928</v>
      </c>
      <c r="AE163" s="48">
        <f t="shared" si="24"/>
        <v>19.928000000000001</v>
      </c>
      <c r="AF163">
        <v>14.55</v>
      </c>
      <c r="AG163" s="72">
        <f t="shared" si="25"/>
        <v>14</v>
      </c>
      <c r="AH163" s="37">
        <f t="shared" si="26"/>
        <v>19.928000000000001</v>
      </c>
      <c r="AJ163" s="21">
        <v>45776</v>
      </c>
      <c r="AK163" t="s">
        <v>298</v>
      </c>
      <c r="AL163" t="s">
        <v>5</v>
      </c>
      <c r="AN163" t="s">
        <v>558</v>
      </c>
      <c r="AO163" t="s">
        <v>559</v>
      </c>
      <c r="AP163" s="56">
        <v>2010</v>
      </c>
      <c r="AR163" s="38"/>
      <c r="AU163" s="38">
        <v>45776</v>
      </c>
      <c r="AW163" t="s">
        <v>5</v>
      </c>
      <c r="AY163" s="39">
        <v>0.60902777777777783</v>
      </c>
      <c r="AZ163" s="39">
        <v>0.62708333333333333</v>
      </c>
      <c r="BA163" s="48">
        <v>3038</v>
      </c>
      <c r="BB163" t="s">
        <v>110</v>
      </c>
      <c r="BC163" s="38">
        <v>45776</v>
      </c>
    </row>
    <row r="164" spans="22:55" ht="16" x14ac:dyDescent="0.4">
      <c r="V164" s="97">
        <v>45764</v>
      </c>
      <c r="W164" s="16">
        <v>136739</v>
      </c>
      <c r="X164" s="89" t="s">
        <v>36</v>
      </c>
      <c r="Y164" s="89"/>
      <c r="Z164" s="50">
        <v>0.33116898148148149</v>
      </c>
      <c r="AA164" s="50">
        <v>0.68376157407407412</v>
      </c>
      <c r="AD164" s="48">
        <v>18816</v>
      </c>
      <c r="AE164" s="48">
        <f t="shared" si="24"/>
        <v>18.815999999999999</v>
      </c>
      <c r="AF164">
        <v>14.13</v>
      </c>
      <c r="AG164" s="72">
        <f t="shared" si="25"/>
        <v>14</v>
      </c>
      <c r="AH164" s="37">
        <f t="shared" si="26"/>
        <v>18.815999999999999</v>
      </c>
      <c r="AJ164" s="21">
        <v>45776</v>
      </c>
      <c r="AK164" t="s">
        <v>299</v>
      </c>
      <c r="AL164" t="s">
        <v>5</v>
      </c>
      <c r="AN164" t="s">
        <v>560</v>
      </c>
      <c r="AO164" t="s">
        <v>561</v>
      </c>
      <c r="AP164" s="56">
        <v>3460</v>
      </c>
      <c r="AR164" s="38"/>
      <c r="AU164" s="38">
        <v>45776</v>
      </c>
      <c r="AW164" t="s">
        <v>5</v>
      </c>
      <c r="AY164" s="39">
        <v>0.65625</v>
      </c>
      <c r="AZ164" s="39">
        <v>0.66180555555555554</v>
      </c>
      <c r="BA164" s="48">
        <v>3870</v>
      </c>
      <c r="BB164" t="s">
        <v>101</v>
      </c>
      <c r="BC164" s="38">
        <v>45776</v>
      </c>
    </row>
    <row r="165" spans="22:55" ht="16" x14ac:dyDescent="0.4">
      <c r="V165" s="97">
        <v>45764</v>
      </c>
      <c r="W165" s="16">
        <v>136752</v>
      </c>
      <c r="X165" s="89" t="s">
        <v>36</v>
      </c>
      <c r="Y165" s="89"/>
      <c r="Z165" s="50">
        <v>0.57430555555555551</v>
      </c>
      <c r="AA165" s="50">
        <v>0.73749999999999993</v>
      </c>
      <c r="AD165" s="48">
        <v>17930</v>
      </c>
      <c r="AE165" s="48">
        <f t="shared" si="24"/>
        <v>17.93</v>
      </c>
      <c r="AF165">
        <v>13.81</v>
      </c>
      <c r="AG165" s="72">
        <f t="shared" si="25"/>
        <v>13.81</v>
      </c>
      <c r="AH165" s="37">
        <f t="shared" si="26"/>
        <v>17.686664285714286</v>
      </c>
      <c r="AJ165" s="21">
        <v>45776</v>
      </c>
      <c r="AK165" t="s">
        <v>300</v>
      </c>
      <c r="AL165" t="s">
        <v>5</v>
      </c>
      <c r="AN165" t="s">
        <v>562</v>
      </c>
      <c r="AO165" t="s">
        <v>563</v>
      </c>
      <c r="AP165" s="56">
        <v>4480</v>
      </c>
      <c r="AR165" s="38"/>
      <c r="AU165" s="38">
        <v>45776</v>
      </c>
      <c r="AW165" t="s">
        <v>5</v>
      </c>
      <c r="AY165" s="39">
        <v>0.50138888888888888</v>
      </c>
      <c r="AZ165" s="39">
        <v>0.51250000000000007</v>
      </c>
      <c r="BA165" s="48">
        <v>5056</v>
      </c>
      <c r="BB165" t="s">
        <v>101</v>
      </c>
      <c r="BC165" s="38">
        <v>45776</v>
      </c>
    </row>
    <row r="166" spans="22:55" ht="16" x14ac:dyDescent="0.4">
      <c r="V166" s="97">
        <v>45764</v>
      </c>
      <c r="W166" s="16">
        <v>136765</v>
      </c>
      <c r="X166" s="89" t="s">
        <v>36</v>
      </c>
      <c r="Y166" s="89"/>
      <c r="Z166" s="50">
        <v>0.33055555555555555</v>
      </c>
      <c r="AA166" s="50">
        <v>0.79791666666666661</v>
      </c>
      <c r="AD166" s="48">
        <v>17740</v>
      </c>
      <c r="AE166" s="48">
        <f t="shared" si="24"/>
        <v>17.739999999999998</v>
      </c>
      <c r="AF166">
        <v>14.09</v>
      </c>
      <c r="AG166" s="72">
        <f t="shared" si="25"/>
        <v>14</v>
      </c>
      <c r="AH166" s="37">
        <f t="shared" si="26"/>
        <v>17.739999999999998</v>
      </c>
      <c r="AJ166" s="21">
        <v>45776</v>
      </c>
      <c r="AK166" t="s">
        <v>301</v>
      </c>
      <c r="AL166" t="s">
        <v>5</v>
      </c>
      <c r="AN166" t="s">
        <v>564</v>
      </c>
      <c r="AO166" t="s">
        <v>564</v>
      </c>
      <c r="AP166" s="56">
        <v>3580</v>
      </c>
      <c r="AR166" s="38"/>
      <c r="AU166" s="38">
        <v>45777</v>
      </c>
      <c r="AW166" t="s">
        <v>5</v>
      </c>
      <c r="AY166" s="39">
        <v>0.46527777777777773</v>
      </c>
      <c r="AZ166" s="39"/>
      <c r="BA166" s="48">
        <v>2818</v>
      </c>
      <c r="BB166" t="s">
        <v>111</v>
      </c>
      <c r="BC166" s="38">
        <v>45777</v>
      </c>
    </row>
    <row r="167" spans="22:55" ht="16" x14ac:dyDescent="0.4">
      <c r="V167" s="97">
        <v>45764</v>
      </c>
      <c r="W167" s="16">
        <v>136782</v>
      </c>
      <c r="X167" s="89" t="s">
        <v>36</v>
      </c>
      <c r="Y167" s="89"/>
      <c r="Z167" s="50">
        <v>0.57430555555555551</v>
      </c>
      <c r="AA167" s="50">
        <v>0.85416666666666663</v>
      </c>
      <c r="AD167" s="48">
        <v>19174</v>
      </c>
      <c r="AE167" s="48">
        <f t="shared" si="24"/>
        <v>19.173999999999999</v>
      </c>
      <c r="AF167">
        <v>13.88</v>
      </c>
      <c r="AG167" s="72">
        <f t="shared" si="25"/>
        <v>13.88</v>
      </c>
      <c r="AH167" s="37">
        <f t="shared" si="26"/>
        <v>19.009651428571431</v>
      </c>
      <c r="AJ167" s="21">
        <v>45776</v>
      </c>
      <c r="AK167" t="s">
        <v>302</v>
      </c>
      <c r="AL167" t="s">
        <v>5</v>
      </c>
      <c r="AN167" t="s">
        <v>565</v>
      </c>
      <c r="AO167" t="s">
        <v>565</v>
      </c>
      <c r="AP167" s="56">
        <v>2810</v>
      </c>
      <c r="AR167" s="38"/>
      <c r="AU167" s="38">
        <v>45777</v>
      </c>
      <c r="AW167" t="s">
        <v>5</v>
      </c>
      <c r="AY167" s="39">
        <v>0.59652777777777777</v>
      </c>
      <c r="AZ167" s="39">
        <v>0.40416666666666662</v>
      </c>
      <c r="BA167" s="48">
        <v>3700</v>
      </c>
      <c r="BB167" t="s">
        <v>105</v>
      </c>
      <c r="BC167" s="38">
        <v>45777</v>
      </c>
    </row>
    <row r="168" spans="22:55" ht="16" x14ac:dyDescent="0.4">
      <c r="V168" s="97">
        <v>45764</v>
      </c>
      <c r="W168" s="16">
        <v>136802</v>
      </c>
      <c r="X168" s="89" t="s">
        <v>36</v>
      </c>
      <c r="Y168" s="89"/>
      <c r="Z168" s="50">
        <v>0.85833333333333339</v>
      </c>
      <c r="AA168" s="50">
        <v>0.90902777777777777</v>
      </c>
      <c r="AD168" s="48">
        <v>19960</v>
      </c>
      <c r="AE168" s="48">
        <f t="shared" si="24"/>
        <v>19.96</v>
      </c>
      <c r="AF168">
        <v>14.38</v>
      </c>
      <c r="AG168" s="72">
        <f t="shared" si="25"/>
        <v>14</v>
      </c>
      <c r="AH168" s="37">
        <f t="shared" si="26"/>
        <v>19.96</v>
      </c>
      <c r="AJ168" s="21">
        <v>45776</v>
      </c>
      <c r="AK168" t="s">
        <v>303</v>
      </c>
      <c r="AL168" t="s">
        <v>5</v>
      </c>
      <c r="AN168" t="s">
        <v>566</v>
      </c>
      <c r="AO168" t="s">
        <v>567</v>
      </c>
      <c r="AP168" s="56">
        <v>4600</v>
      </c>
      <c r="AR168" s="38"/>
      <c r="AU168" s="38">
        <v>45776</v>
      </c>
      <c r="AW168" t="s">
        <v>5</v>
      </c>
      <c r="AY168" s="39">
        <v>0.57986111111111105</v>
      </c>
      <c r="AZ168" s="39">
        <v>0.59583333333333333</v>
      </c>
      <c r="BA168" s="48">
        <v>3510</v>
      </c>
      <c r="BB168" t="s">
        <v>107</v>
      </c>
      <c r="BC168" s="38">
        <v>45777</v>
      </c>
    </row>
    <row r="169" spans="22:55" ht="16" x14ac:dyDescent="0.4">
      <c r="V169" s="97">
        <v>45765</v>
      </c>
      <c r="W169" s="16">
        <v>136829</v>
      </c>
      <c r="X169" s="89" t="s">
        <v>36</v>
      </c>
      <c r="Y169" s="89"/>
      <c r="Z169" s="50">
        <v>0.77430555555555547</v>
      </c>
      <c r="AA169" s="50">
        <v>3.472222222222222E-3</v>
      </c>
      <c r="AD169" s="48">
        <v>20948</v>
      </c>
      <c r="AE169" s="48">
        <f t="shared" si="24"/>
        <v>20.948</v>
      </c>
      <c r="AF169">
        <v>12.13</v>
      </c>
      <c r="AG169" s="72">
        <f t="shared" si="25"/>
        <v>12.13</v>
      </c>
      <c r="AH169" s="37">
        <f t="shared" si="26"/>
        <v>18.149945714285714</v>
      </c>
      <c r="AJ169" s="21">
        <v>45776</v>
      </c>
      <c r="AK169" t="s">
        <v>304</v>
      </c>
      <c r="AL169" t="s">
        <v>5</v>
      </c>
      <c r="AN169" t="s">
        <v>568</v>
      </c>
      <c r="AO169" t="s">
        <v>568</v>
      </c>
      <c r="AP169" s="56">
        <v>3450</v>
      </c>
      <c r="AR169" s="38"/>
      <c r="AU169" s="38">
        <v>45777</v>
      </c>
      <c r="AW169" t="s">
        <v>5</v>
      </c>
      <c r="AY169" s="39">
        <v>0.45833333333333331</v>
      </c>
      <c r="AZ169" s="39">
        <v>0.47638888888888892</v>
      </c>
      <c r="BA169" s="48">
        <v>3650</v>
      </c>
      <c r="BB169" t="s">
        <v>105</v>
      </c>
      <c r="BC169" s="38">
        <v>45777</v>
      </c>
    </row>
    <row r="170" spans="22:55" ht="16" x14ac:dyDescent="0.4">
      <c r="V170" s="97">
        <v>45765</v>
      </c>
      <c r="W170" s="16">
        <v>136839</v>
      </c>
      <c r="X170" s="89" t="s">
        <v>36</v>
      </c>
      <c r="Y170" s="89"/>
      <c r="Z170" s="50">
        <v>0.85763888888888884</v>
      </c>
      <c r="AA170" s="50">
        <v>4.2361111111111106E-2</v>
      </c>
      <c r="AD170" s="48">
        <v>16362</v>
      </c>
      <c r="AE170" s="48">
        <f t="shared" si="24"/>
        <v>16.361999999999998</v>
      </c>
      <c r="AF170">
        <v>14.45</v>
      </c>
      <c r="AG170" s="72">
        <f t="shared" si="25"/>
        <v>14</v>
      </c>
      <c r="AH170" s="37">
        <f t="shared" si="26"/>
        <v>16.361999999999998</v>
      </c>
      <c r="AJ170" s="21">
        <v>45776</v>
      </c>
      <c r="AK170" t="s">
        <v>305</v>
      </c>
      <c r="AL170" t="s">
        <v>5</v>
      </c>
      <c r="AN170" t="s">
        <v>569</v>
      </c>
      <c r="AO170" t="s">
        <v>570</v>
      </c>
      <c r="AP170" s="56">
        <v>3130</v>
      </c>
      <c r="AR170" s="38"/>
      <c r="AU170" s="38">
        <v>45777</v>
      </c>
      <c r="AW170" t="s">
        <v>5</v>
      </c>
      <c r="AY170" s="39">
        <v>0.59791666666666665</v>
      </c>
      <c r="AZ170" s="39">
        <v>0.50069444444444444</v>
      </c>
      <c r="BA170" s="48">
        <v>3396</v>
      </c>
      <c r="BB170" t="s">
        <v>101</v>
      </c>
      <c r="BC170" s="38">
        <v>45777</v>
      </c>
    </row>
    <row r="171" spans="22:55" ht="16" x14ac:dyDescent="0.4">
      <c r="V171" s="97">
        <v>45765</v>
      </c>
      <c r="W171" s="16">
        <v>136852</v>
      </c>
      <c r="X171" s="89" t="s">
        <v>36</v>
      </c>
      <c r="Y171" s="89"/>
      <c r="Z171" s="50">
        <v>0.77430555555555547</v>
      </c>
      <c r="AA171" s="50">
        <v>9.7222222222222224E-2</v>
      </c>
      <c r="AD171" s="48">
        <v>19832</v>
      </c>
      <c r="AE171" s="48">
        <f t="shared" si="24"/>
        <v>19.832000000000001</v>
      </c>
      <c r="AF171">
        <v>13.52</v>
      </c>
      <c r="AG171" s="72">
        <f t="shared" si="25"/>
        <v>13.52</v>
      </c>
      <c r="AH171" s="37">
        <f t="shared" si="26"/>
        <v>19.152045714285716</v>
      </c>
      <c r="AJ171" s="21">
        <v>45776</v>
      </c>
      <c r="AK171" t="s">
        <v>306</v>
      </c>
      <c r="AL171" t="s">
        <v>5</v>
      </c>
      <c r="AN171" t="s">
        <v>571</v>
      </c>
      <c r="AO171" t="s">
        <v>572</v>
      </c>
      <c r="AP171" s="56">
        <v>3830</v>
      </c>
      <c r="AR171" s="38"/>
      <c r="AU171" s="38">
        <v>45776</v>
      </c>
      <c r="AW171" t="s">
        <v>5</v>
      </c>
      <c r="AY171" s="39">
        <v>0.5756944444444444</v>
      </c>
      <c r="AZ171" s="39">
        <v>0.59722222222222221</v>
      </c>
      <c r="BA171" s="48">
        <v>3826</v>
      </c>
      <c r="BB171" t="s">
        <v>105</v>
      </c>
      <c r="BC171" s="38">
        <v>45777</v>
      </c>
    </row>
    <row r="172" spans="22:55" ht="16" x14ac:dyDescent="0.4">
      <c r="V172" s="97">
        <v>45765</v>
      </c>
      <c r="W172" s="16">
        <v>136866</v>
      </c>
      <c r="X172" s="89" t="s">
        <v>36</v>
      </c>
      <c r="Y172" s="89"/>
      <c r="Z172" s="50">
        <v>0.60833333333333328</v>
      </c>
      <c r="AA172" s="50">
        <v>0.14722222222222223</v>
      </c>
      <c r="AD172" s="48">
        <v>19714</v>
      </c>
      <c r="AE172" s="48">
        <f t="shared" si="24"/>
        <v>19.713999999999999</v>
      </c>
      <c r="AF172">
        <v>14.81</v>
      </c>
      <c r="AG172" s="72">
        <f t="shared" si="25"/>
        <v>14</v>
      </c>
      <c r="AH172" s="37">
        <f t="shared" si="26"/>
        <v>19.713999999999999</v>
      </c>
      <c r="AJ172" s="21">
        <v>45776</v>
      </c>
      <c r="AK172" t="s">
        <v>307</v>
      </c>
      <c r="AL172" t="s">
        <v>5</v>
      </c>
      <c r="AN172" t="s">
        <v>573</v>
      </c>
      <c r="AO172" t="s">
        <v>573</v>
      </c>
      <c r="AP172" s="56">
        <v>3450</v>
      </c>
      <c r="AR172" s="38"/>
      <c r="AU172" s="38">
        <v>45776</v>
      </c>
      <c r="AW172" t="s">
        <v>5</v>
      </c>
      <c r="AY172" s="39">
        <v>0.31458333333333333</v>
      </c>
      <c r="AZ172" s="39">
        <v>0.37083333333333335</v>
      </c>
      <c r="BA172" s="48">
        <v>4866</v>
      </c>
      <c r="BC172" s="38">
        <v>45777</v>
      </c>
    </row>
    <row r="173" spans="22:55" ht="16" x14ac:dyDescent="0.4">
      <c r="V173" s="97">
        <v>45765</v>
      </c>
      <c r="W173" s="16">
        <v>136874</v>
      </c>
      <c r="X173" s="89" t="s">
        <v>36</v>
      </c>
      <c r="Y173" s="89"/>
      <c r="Z173" s="50">
        <v>0.17222222222222225</v>
      </c>
      <c r="AA173" s="50">
        <v>0.20277777777777781</v>
      </c>
      <c r="AD173" s="48">
        <v>20218</v>
      </c>
      <c r="AE173" s="48">
        <f t="shared" si="24"/>
        <v>20.218</v>
      </c>
      <c r="AF173">
        <v>13.7</v>
      </c>
      <c r="AG173" s="72">
        <f t="shared" si="25"/>
        <v>13.7</v>
      </c>
      <c r="AH173" s="37">
        <f t="shared" si="26"/>
        <v>19.784757142857142</v>
      </c>
      <c r="AJ173" s="21">
        <v>45776</v>
      </c>
      <c r="AK173" t="s">
        <v>308</v>
      </c>
      <c r="AL173" t="s">
        <v>5</v>
      </c>
      <c r="AN173" t="s">
        <v>574</v>
      </c>
      <c r="AO173" t="s">
        <v>575</v>
      </c>
      <c r="AP173" s="56">
        <v>2970</v>
      </c>
      <c r="AR173" s="38"/>
      <c r="AU173" s="38">
        <v>45777</v>
      </c>
      <c r="AW173" t="s">
        <v>5</v>
      </c>
      <c r="AY173" s="39">
        <v>0.29722222222222222</v>
      </c>
      <c r="AZ173" s="39">
        <v>0.3659722222222222</v>
      </c>
      <c r="BA173" s="48">
        <v>982</v>
      </c>
      <c r="BC173" s="38">
        <v>45777</v>
      </c>
    </row>
    <row r="174" spans="22:55" ht="16" x14ac:dyDescent="0.4">
      <c r="V174" s="97">
        <v>45765</v>
      </c>
      <c r="W174" s="16">
        <v>136883</v>
      </c>
      <c r="X174" s="89" t="s">
        <v>36</v>
      </c>
      <c r="Y174" s="89"/>
      <c r="Z174" s="50">
        <v>0.17923611111111112</v>
      </c>
      <c r="AA174" s="50">
        <v>0.28534722222222225</v>
      </c>
      <c r="AD174" s="48">
        <v>17726</v>
      </c>
      <c r="AE174" s="48">
        <f t="shared" si="24"/>
        <v>17.725999999999999</v>
      </c>
      <c r="AF174">
        <v>15.74</v>
      </c>
      <c r="AG174" s="72">
        <f t="shared" si="25"/>
        <v>14</v>
      </c>
      <c r="AH174" s="37">
        <f t="shared" si="26"/>
        <v>17.725999999999999</v>
      </c>
      <c r="AJ174" s="21">
        <v>45776</v>
      </c>
      <c r="AK174" t="s">
        <v>309</v>
      </c>
      <c r="AL174" t="s">
        <v>5</v>
      </c>
      <c r="AN174" t="s">
        <v>576</v>
      </c>
      <c r="AO174" t="s">
        <v>576</v>
      </c>
      <c r="AP174" s="56">
        <v>3950</v>
      </c>
      <c r="AR174" s="38"/>
      <c r="AU174" s="38">
        <v>45777</v>
      </c>
      <c r="AW174" t="s">
        <v>5</v>
      </c>
      <c r="AY174" s="39">
        <v>0.38125000000000003</v>
      </c>
      <c r="AZ174" s="39">
        <v>0.39999999999999997</v>
      </c>
      <c r="BA174" s="48">
        <v>4522</v>
      </c>
      <c r="BC174" s="38">
        <v>45777</v>
      </c>
    </row>
    <row r="175" spans="22:55" ht="16" x14ac:dyDescent="0.4">
      <c r="V175" s="97">
        <v>45765</v>
      </c>
      <c r="W175" s="16">
        <v>136887</v>
      </c>
      <c r="X175" s="89" t="s">
        <v>36</v>
      </c>
      <c r="Y175" s="89"/>
      <c r="Z175" s="50">
        <v>0.28804398148148147</v>
      </c>
      <c r="AA175" s="50">
        <v>0.2990740740740741</v>
      </c>
      <c r="AD175" s="48">
        <v>20466</v>
      </c>
      <c r="AE175" s="48">
        <f t="shared" si="24"/>
        <v>20.466000000000001</v>
      </c>
      <c r="AF175">
        <v>14.88</v>
      </c>
      <c r="AG175" s="72">
        <f t="shared" si="25"/>
        <v>14</v>
      </c>
      <c r="AH175" s="37">
        <f t="shared" si="26"/>
        <v>20.466000000000001</v>
      </c>
      <c r="AJ175" s="21">
        <v>45777</v>
      </c>
      <c r="AK175" t="s">
        <v>310</v>
      </c>
      <c r="AL175" t="s">
        <v>5</v>
      </c>
      <c r="AN175" t="s">
        <v>577</v>
      </c>
      <c r="AO175" t="s">
        <v>577</v>
      </c>
      <c r="AP175" s="56">
        <v>2640</v>
      </c>
      <c r="AR175" s="38"/>
      <c r="AU175" s="38">
        <v>45777</v>
      </c>
      <c r="AW175" t="s">
        <v>5</v>
      </c>
      <c r="AY175" s="39">
        <v>0.57152777777777775</v>
      </c>
      <c r="AZ175" s="39">
        <v>0.5854166666666667</v>
      </c>
      <c r="BA175" s="48">
        <v>4156</v>
      </c>
      <c r="BB175" t="s">
        <v>105</v>
      </c>
      <c r="BC175" s="38">
        <v>45777</v>
      </c>
    </row>
    <row r="176" spans="22:55" ht="16" x14ac:dyDescent="0.4">
      <c r="V176" s="97">
        <v>45765</v>
      </c>
      <c r="W176" s="16">
        <v>136893</v>
      </c>
      <c r="X176" s="89" t="s">
        <v>36</v>
      </c>
      <c r="Y176" s="89"/>
      <c r="Z176" s="50">
        <v>0.35863425925925929</v>
      </c>
      <c r="AA176" s="50">
        <v>0.37945601851851851</v>
      </c>
      <c r="AD176" s="48">
        <v>16612</v>
      </c>
      <c r="AE176" s="48">
        <f t="shared" si="24"/>
        <v>16.611999999999998</v>
      </c>
      <c r="AF176">
        <v>13.11</v>
      </c>
      <c r="AG176" s="72">
        <f t="shared" si="25"/>
        <v>13.11</v>
      </c>
      <c r="AH176" s="37">
        <f t="shared" si="26"/>
        <v>15.555951428571428</v>
      </c>
      <c r="AJ176" s="21">
        <v>45777</v>
      </c>
      <c r="AK176" t="s">
        <v>311</v>
      </c>
      <c r="AL176" t="s">
        <v>5</v>
      </c>
      <c r="AN176" t="s">
        <v>578</v>
      </c>
      <c r="AO176" t="s">
        <v>579</v>
      </c>
      <c r="AP176" s="56">
        <v>3670</v>
      </c>
      <c r="AR176" s="38"/>
      <c r="AU176" s="38">
        <v>45777</v>
      </c>
      <c r="AW176" t="s">
        <v>5</v>
      </c>
      <c r="AY176" s="39">
        <v>0.67361111111111116</v>
      </c>
      <c r="AZ176" s="39">
        <v>0.6381944444444444</v>
      </c>
      <c r="BA176" s="48">
        <v>4980</v>
      </c>
      <c r="BB176" t="s">
        <v>101</v>
      </c>
      <c r="BC176" s="38">
        <v>45777</v>
      </c>
    </row>
    <row r="177" spans="22:56" ht="16" x14ac:dyDescent="0.4">
      <c r="V177" s="97">
        <v>45766</v>
      </c>
      <c r="W177" s="16">
        <v>137043</v>
      </c>
      <c r="X177" s="89" t="s">
        <v>36</v>
      </c>
      <c r="Y177" s="89"/>
      <c r="Z177" s="50">
        <v>0.18120370370370373</v>
      </c>
      <c r="AA177" s="50">
        <v>0.43231481481481482</v>
      </c>
      <c r="AD177" s="48">
        <v>20808</v>
      </c>
      <c r="AE177" s="48">
        <f t="shared" si="24"/>
        <v>20.808</v>
      </c>
      <c r="AF177">
        <v>14.39</v>
      </c>
      <c r="AG177" s="72">
        <f t="shared" si="25"/>
        <v>14</v>
      </c>
      <c r="AH177" s="37">
        <f t="shared" si="26"/>
        <v>20.808</v>
      </c>
      <c r="AJ177" s="21">
        <v>45777</v>
      </c>
      <c r="AK177" t="s">
        <v>312</v>
      </c>
      <c r="AL177" t="s">
        <v>5</v>
      </c>
      <c r="AN177" t="s">
        <v>580</v>
      </c>
      <c r="AO177" t="s">
        <v>580</v>
      </c>
      <c r="AP177" s="56">
        <v>2930</v>
      </c>
      <c r="AR177" s="38"/>
      <c r="AU177" s="38">
        <v>45759</v>
      </c>
      <c r="AW177" t="s">
        <v>5</v>
      </c>
      <c r="AY177" s="39">
        <v>0.40138888888888885</v>
      </c>
      <c r="AZ177" s="39">
        <v>0.4152777777777778</v>
      </c>
      <c r="BA177" s="48">
        <v>3216</v>
      </c>
      <c r="BB177" t="s">
        <v>101</v>
      </c>
      <c r="BC177" s="38">
        <v>45759</v>
      </c>
    </row>
    <row r="178" spans="22:56" ht="16" x14ac:dyDescent="0.4">
      <c r="V178" s="97">
        <v>45766</v>
      </c>
      <c r="W178" s="16">
        <v>137072</v>
      </c>
      <c r="X178" s="89" t="s">
        <v>36</v>
      </c>
      <c r="Y178" s="89"/>
      <c r="Z178" s="50">
        <v>0.17267361111111112</v>
      </c>
      <c r="AA178" s="50">
        <v>0.53820601851851857</v>
      </c>
      <c r="AD178" s="48">
        <v>21420</v>
      </c>
      <c r="AE178" s="48">
        <f t="shared" si="24"/>
        <v>21.42</v>
      </c>
      <c r="AF178">
        <v>14.94</v>
      </c>
      <c r="AG178" s="72">
        <f t="shared" si="25"/>
        <v>14</v>
      </c>
      <c r="AH178" s="37">
        <f t="shared" si="26"/>
        <v>21.419999999999998</v>
      </c>
      <c r="AJ178" s="21">
        <v>45777</v>
      </c>
      <c r="AK178" t="s">
        <v>313</v>
      </c>
      <c r="AL178" t="s">
        <v>5</v>
      </c>
      <c r="AN178" t="s">
        <v>581</v>
      </c>
      <c r="AO178" t="s">
        <v>582</v>
      </c>
      <c r="AP178" s="56">
        <v>3670</v>
      </c>
      <c r="AR178" s="38"/>
      <c r="AU178" s="38">
        <v>45757</v>
      </c>
      <c r="AW178" t="s">
        <v>5</v>
      </c>
      <c r="AY178" s="39">
        <v>0.6020833333333333</v>
      </c>
      <c r="AZ178" s="39">
        <v>0.61875000000000002</v>
      </c>
      <c r="BA178" s="48">
        <v>674</v>
      </c>
      <c r="BB178" t="s">
        <v>73</v>
      </c>
      <c r="BC178" s="38">
        <v>45759</v>
      </c>
    </row>
    <row r="179" spans="22:56" ht="16" x14ac:dyDescent="0.4">
      <c r="V179" s="97">
        <v>45766</v>
      </c>
      <c r="W179" s="16">
        <v>137110</v>
      </c>
      <c r="X179" s="89" t="s">
        <v>36</v>
      </c>
      <c r="Y179" s="89"/>
      <c r="Z179" s="50">
        <v>0.18141203703703704</v>
      </c>
      <c r="AA179" s="50">
        <v>0.61328703703703702</v>
      </c>
      <c r="AD179" s="48">
        <v>20226</v>
      </c>
      <c r="AE179" s="48">
        <f t="shared" si="24"/>
        <v>20.225999999999999</v>
      </c>
      <c r="AF179">
        <v>15.46</v>
      </c>
      <c r="AG179" s="72">
        <f t="shared" si="25"/>
        <v>14</v>
      </c>
      <c r="AH179" s="37">
        <f t="shared" si="26"/>
        <v>20.225999999999999</v>
      </c>
      <c r="AJ179" s="21">
        <v>45777</v>
      </c>
      <c r="AK179" t="s">
        <v>314</v>
      </c>
      <c r="AL179" t="s">
        <v>5</v>
      </c>
      <c r="AN179" t="s">
        <v>583</v>
      </c>
      <c r="AO179" t="s">
        <v>584</v>
      </c>
      <c r="AP179" s="56">
        <v>3420</v>
      </c>
      <c r="AR179" s="38"/>
      <c r="AU179" s="38"/>
      <c r="AW179" s="16"/>
      <c r="AY179" s="39"/>
      <c r="AZ179" s="39"/>
      <c r="BA179" s="48"/>
      <c r="BC179" s="38"/>
    </row>
    <row r="180" spans="22:56" ht="16" x14ac:dyDescent="0.4">
      <c r="V180" s="97">
        <v>45766</v>
      </c>
      <c r="W180" s="16">
        <v>137135</v>
      </c>
      <c r="X180" s="89" t="s">
        <v>36</v>
      </c>
      <c r="Y180" s="89"/>
      <c r="Z180" s="50">
        <v>0.17245370370370372</v>
      </c>
      <c r="AA180" s="50">
        <v>0.67501157407407408</v>
      </c>
      <c r="AD180" s="48">
        <v>20040</v>
      </c>
      <c r="AE180" s="48">
        <f t="shared" si="24"/>
        <v>20.04</v>
      </c>
      <c r="AF180">
        <v>14.63</v>
      </c>
      <c r="AG180" s="72">
        <f t="shared" si="25"/>
        <v>14</v>
      </c>
      <c r="AH180" s="37">
        <f t="shared" si="26"/>
        <v>20.04</v>
      </c>
      <c r="AJ180" s="21">
        <v>45777</v>
      </c>
      <c r="AK180" t="s">
        <v>315</v>
      </c>
      <c r="AL180" t="s">
        <v>5</v>
      </c>
      <c r="AN180" t="s">
        <v>585</v>
      </c>
      <c r="AO180" t="s">
        <v>586</v>
      </c>
      <c r="AP180" s="56">
        <v>840</v>
      </c>
      <c r="AR180" s="38"/>
      <c r="AU180" s="38"/>
      <c r="AW180" s="16"/>
      <c r="AY180" s="39"/>
      <c r="AZ180" s="39"/>
      <c r="BA180" s="48"/>
      <c r="BC180" s="38"/>
    </row>
    <row r="181" spans="22:56" ht="16" x14ac:dyDescent="0.4">
      <c r="V181" s="97">
        <v>45766</v>
      </c>
      <c r="W181" s="16">
        <v>137149</v>
      </c>
      <c r="X181" s="89" t="s">
        <v>36</v>
      </c>
      <c r="Y181" s="89"/>
      <c r="Z181" s="50">
        <v>0.18124999999999999</v>
      </c>
      <c r="AA181" s="50">
        <v>0.73055555555555562</v>
      </c>
      <c r="AD181" s="48">
        <v>18808</v>
      </c>
      <c r="AE181" s="48">
        <f t="shared" si="24"/>
        <v>18.808</v>
      </c>
      <c r="AF181">
        <v>14.59</v>
      </c>
      <c r="AG181" s="72">
        <f t="shared" si="25"/>
        <v>14</v>
      </c>
      <c r="AH181" s="37">
        <f t="shared" si="26"/>
        <v>18.808</v>
      </c>
      <c r="AJ181" s="21">
        <v>45777</v>
      </c>
      <c r="AK181" t="s">
        <v>316</v>
      </c>
      <c r="AL181" t="s">
        <v>5</v>
      </c>
      <c r="AN181" t="s">
        <v>587</v>
      </c>
      <c r="AO181" t="s">
        <v>588</v>
      </c>
      <c r="AP181" s="56">
        <v>4120</v>
      </c>
      <c r="AR181" s="38"/>
      <c r="AU181" s="38"/>
      <c r="AW181" s="16"/>
      <c r="AY181" s="39"/>
      <c r="AZ181" s="39"/>
      <c r="BA181" s="48"/>
      <c r="BC181" s="38"/>
    </row>
    <row r="182" spans="22:56" ht="16" x14ac:dyDescent="0.4">
      <c r="V182" s="97">
        <v>45766</v>
      </c>
      <c r="W182" s="16">
        <v>137187</v>
      </c>
      <c r="X182" s="89" t="s">
        <v>36</v>
      </c>
      <c r="Y182" s="89"/>
      <c r="Z182" s="50">
        <v>0.35833333333333334</v>
      </c>
      <c r="AA182" s="50">
        <v>0.84027777777777779</v>
      </c>
      <c r="AD182" s="48">
        <v>22450</v>
      </c>
      <c r="AE182" s="48">
        <f t="shared" si="24"/>
        <v>22.45</v>
      </c>
      <c r="AF182">
        <v>12.7</v>
      </c>
      <c r="AG182" s="72">
        <f t="shared" si="25"/>
        <v>12.7</v>
      </c>
      <c r="AH182" s="37">
        <f t="shared" si="26"/>
        <v>20.365357142857139</v>
      </c>
      <c r="AJ182" s="21">
        <v>45777</v>
      </c>
      <c r="AK182" t="s">
        <v>317</v>
      </c>
      <c r="AL182" t="s">
        <v>5</v>
      </c>
      <c r="AN182" t="s">
        <v>589</v>
      </c>
      <c r="AO182" t="s">
        <v>589</v>
      </c>
      <c r="AP182" s="56">
        <v>4180</v>
      </c>
      <c r="AR182" s="38"/>
      <c r="AU182" s="38"/>
      <c r="AW182" s="16"/>
      <c r="AY182" s="39"/>
      <c r="AZ182" s="39"/>
      <c r="BA182" s="48"/>
      <c r="BC182" s="38"/>
    </row>
    <row r="183" spans="22:56" ht="16" x14ac:dyDescent="0.4">
      <c r="V183" s="97">
        <v>45766</v>
      </c>
      <c r="W183" s="16">
        <v>137208</v>
      </c>
      <c r="X183" s="89" t="s">
        <v>36</v>
      </c>
      <c r="Y183" s="89"/>
      <c r="Z183" s="50">
        <v>0.77638888888888891</v>
      </c>
      <c r="AA183" s="50">
        <v>0.90347222222222223</v>
      </c>
      <c r="AD183" s="48">
        <v>20128</v>
      </c>
      <c r="AE183" s="48">
        <f t="shared" si="24"/>
        <v>20.128</v>
      </c>
      <c r="AF183">
        <v>15.49</v>
      </c>
      <c r="AG183" s="72">
        <f t="shared" si="25"/>
        <v>14</v>
      </c>
      <c r="AH183" s="37">
        <f t="shared" si="26"/>
        <v>20.128000000000004</v>
      </c>
      <c r="AJ183" s="21">
        <v>45777</v>
      </c>
      <c r="AK183" t="s">
        <v>318</v>
      </c>
      <c r="AL183" t="s">
        <v>5</v>
      </c>
      <c r="AN183" t="s">
        <v>590</v>
      </c>
      <c r="AO183" t="s">
        <v>590</v>
      </c>
      <c r="AP183" s="56">
        <v>4980</v>
      </c>
      <c r="AR183" s="38"/>
      <c r="AU183" s="38"/>
      <c r="AW183" s="16"/>
      <c r="AY183" s="39"/>
      <c r="AZ183" s="39"/>
      <c r="BA183" s="48"/>
      <c r="BC183" s="38"/>
    </row>
    <row r="184" spans="22:56" ht="16" x14ac:dyDescent="0.4">
      <c r="V184" s="97">
        <v>45766</v>
      </c>
      <c r="W184" s="16">
        <v>137229</v>
      </c>
      <c r="X184" s="89" t="s">
        <v>36</v>
      </c>
      <c r="Y184" s="89"/>
      <c r="Z184" s="50">
        <v>0.90902777777777777</v>
      </c>
      <c r="AA184" s="50">
        <v>0.97291666666666676</v>
      </c>
      <c r="AD184" s="48">
        <v>22044</v>
      </c>
      <c r="AE184" s="48">
        <f t="shared" si="24"/>
        <v>22.044</v>
      </c>
      <c r="AF184">
        <v>13.2</v>
      </c>
      <c r="AG184" s="72">
        <f t="shared" si="25"/>
        <v>13.2</v>
      </c>
      <c r="AH184" s="37">
        <f t="shared" si="26"/>
        <v>20.784342857142857</v>
      </c>
      <c r="AJ184" s="38"/>
      <c r="AL184" s="16"/>
      <c r="AN184" s="39"/>
      <c r="AO184" s="39"/>
      <c r="AP184" s="48"/>
      <c r="AR184" s="38"/>
      <c r="AS184" s="49"/>
      <c r="AU184" s="38"/>
      <c r="AW184" s="16"/>
      <c r="AY184" s="39"/>
      <c r="AZ184" s="39"/>
      <c r="BA184" s="48"/>
      <c r="BC184" s="38"/>
      <c r="BD184" s="49"/>
    </row>
    <row r="185" spans="22:56" ht="16" x14ac:dyDescent="0.4">
      <c r="V185" s="97">
        <v>45767</v>
      </c>
      <c r="W185" s="16">
        <v>137245</v>
      </c>
      <c r="X185" s="89" t="s">
        <v>36</v>
      </c>
      <c r="Y185" s="89"/>
      <c r="Z185" s="50">
        <v>0.77638888888888891</v>
      </c>
      <c r="AA185" s="50">
        <v>4.9305555555555554E-2</v>
      </c>
      <c r="AD185" s="48">
        <v>20870</v>
      </c>
      <c r="AE185" s="48">
        <f t="shared" si="24"/>
        <v>20.87</v>
      </c>
      <c r="AF185">
        <v>13.24</v>
      </c>
      <c r="AG185" s="72">
        <f t="shared" si="25"/>
        <v>13.24</v>
      </c>
      <c r="AH185" s="37">
        <f t="shared" si="26"/>
        <v>19.737057142857143</v>
      </c>
      <c r="AJ185" s="38"/>
      <c r="AL185" s="16"/>
      <c r="AN185" s="39"/>
      <c r="AO185" s="39"/>
      <c r="AP185" s="48"/>
      <c r="AR185" s="38"/>
      <c r="AS185" s="49"/>
      <c r="AU185" s="38"/>
      <c r="AW185" s="16"/>
      <c r="AY185" s="39"/>
      <c r="AZ185" s="39"/>
      <c r="BA185" s="48"/>
      <c r="BC185" s="38"/>
      <c r="BD185" s="49"/>
    </row>
    <row r="186" spans="22:56" ht="16" x14ac:dyDescent="0.4">
      <c r="V186" s="97">
        <v>45767</v>
      </c>
      <c r="W186" s="16">
        <v>137249</v>
      </c>
      <c r="X186" s="89" t="s">
        <v>36</v>
      </c>
      <c r="Y186" s="89"/>
      <c r="Z186" s="50">
        <v>0.90902777777777777</v>
      </c>
      <c r="AA186" s="50">
        <v>0.10416666666666667</v>
      </c>
      <c r="AD186" s="48">
        <v>18924</v>
      </c>
      <c r="AE186" s="48">
        <f t="shared" si="24"/>
        <v>18.923999999999999</v>
      </c>
      <c r="AF186">
        <v>14.38</v>
      </c>
      <c r="AG186" s="72">
        <f t="shared" si="25"/>
        <v>14</v>
      </c>
      <c r="AH186" s="37">
        <f t="shared" si="26"/>
        <v>18.923999999999999</v>
      </c>
      <c r="AJ186" s="38"/>
      <c r="AL186" s="16"/>
      <c r="AN186" s="39"/>
      <c r="AO186" s="39"/>
      <c r="AP186" s="48"/>
      <c r="AR186" s="38"/>
      <c r="AS186" s="49"/>
      <c r="AU186" s="38"/>
      <c r="AW186" s="16"/>
      <c r="AY186" s="39"/>
      <c r="AZ186" s="39"/>
      <c r="BA186" s="48"/>
      <c r="BC186" s="38"/>
      <c r="BD186" s="49"/>
    </row>
    <row r="187" spans="22:56" ht="16" x14ac:dyDescent="0.4">
      <c r="V187" s="97">
        <v>45767</v>
      </c>
      <c r="W187" s="16">
        <v>137256</v>
      </c>
      <c r="X187" s="89" t="s">
        <v>36</v>
      </c>
      <c r="Y187" s="89"/>
      <c r="Z187" s="50">
        <v>0.77569444444444446</v>
      </c>
      <c r="AA187" s="50">
        <v>0.16250000000000001</v>
      </c>
      <c r="AD187" s="48">
        <v>19970</v>
      </c>
      <c r="AE187" s="48">
        <f t="shared" si="24"/>
        <v>19.97</v>
      </c>
      <c r="AF187">
        <v>14.45</v>
      </c>
      <c r="AG187" s="72">
        <f t="shared" si="25"/>
        <v>14</v>
      </c>
      <c r="AH187" s="37">
        <f t="shared" si="26"/>
        <v>19.97</v>
      </c>
      <c r="AJ187" s="38"/>
      <c r="AL187" s="16"/>
      <c r="AN187" s="39"/>
      <c r="AO187" s="39"/>
      <c r="AP187" s="48"/>
      <c r="AR187" s="38"/>
      <c r="AS187" s="49"/>
      <c r="AU187" s="38"/>
      <c r="AW187" s="16"/>
      <c r="AY187" s="39"/>
      <c r="AZ187" s="39"/>
      <c r="BA187" s="48"/>
      <c r="BC187" s="38"/>
      <c r="BD187" s="49"/>
    </row>
    <row r="188" spans="22:56" ht="16" x14ac:dyDescent="0.4">
      <c r="V188" s="97">
        <v>45767</v>
      </c>
      <c r="W188" s="16">
        <v>137262</v>
      </c>
      <c r="X188" s="89" t="s">
        <v>36</v>
      </c>
      <c r="Y188" s="89"/>
      <c r="Z188" s="50">
        <v>0.90902777777777777</v>
      </c>
      <c r="AA188" s="50">
        <v>0.22500000000000001</v>
      </c>
      <c r="AD188" s="48">
        <v>21084</v>
      </c>
      <c r="AE188" s="48">
        <f t="shared" ref="AE188:AE249" si="27">AD188/1000</f>
        <v>21.084</v>
      </c>
      <c r="AF188">
        <v>14.98</v>
      </c>
      <c r="AG188" s="72">
        <f t="shared" si="25"/>
        <v>14</v>
      </c>
      <c r="AH188" s="37">
        <f t="shared" si="26"/>
        <v>21.084</v>
      </c>
      <c r="AJ188" s="38"/>
      <c r="AL188" s="16"/>
      <c r="AN188" s="39"/>
      <c r="AO188" s="39"/>
      <c r="AP188" s="48"/>
      <c r="AR188" s="38"/>
      <c r="AS188" s="49"/>
      <c r="AU188" s="38"/>
      <c r="AW188" s="16"/>
      <c r="AY188" s="39"/>
      <c r="AZ188" s="39"/>
      <c r="BA188" s="48"/>
      <c r="BC188" s="38"/>
      <c r="BD188" s="49"/>
    </row>
    <row r="189" spans="22:56" ht="16" x14ac:dyDescent="0.4">
      <c r="V189" s="97">
        <v>45767</v>
      </c>
      <c r="W189" s="16">
        <v>137266</v>
      </c>
      <c r="X189" s="89" t="s">
        <v>36</v>
      </c>
      <c r="Y189" s="89"/>
      <c r="Z189" s="50">
        <v>0.21081018518518521</v>
      </c>
      <c r="AA189" s="50">
        <v>0.28255787037037039</v>
      </c>
      <c r="AD189" s="48">
        <v>16682</v>
      </c>
      <c r="AE189" s="48">
        <f t="shared" si="27"/>
        <v>16.681999999999999</v>
      </c>
      <c r="AF189">
        <v>12.16</v>
      </c>
      <c r="AG189" s="72">
        <f t="shared" ref="AG189:AG250" si="28">IF($AF189&gt;14,14,$AF189)</f>
        <v>12.16</v>
      </c>
      <c r="AH189" s="37">
        <f t="shared" si="26"/>
        <v>14.489508571428571</v>
      </c>
      <c r="AJ189" s="38"/>
      <c r="AL189" s="16"/>
      <c r="AN189" s="39"/>
      <c r="AO189" s="39"/>
      <c r="AP189" s="48"/>
      <c r="AR189" s="38"/>
      <c r="AS189" s="49"/>
      <c r="AU189" s="38"/>
      <c r="AW189" s="16"/>
      <c r="AY189" s="39"/>
      <c r="AZ189" s="39"/>
      <c r="BA189" s="48"/>
      <c r="BC189" s="38"/>
      <c r="BD189" s="49"/>
    </row>
    <row r="190" spans="22:56" ht="16" x14ac:dyDescent="0.4">
      <c r="V190" s="97">
        <v>45769</v>
      </c>
      <c r="W190" s="16">
        <v>138032</v>
      </c>
      <c r="X190" s="89" t="s">
        <v>36</v>
      </c>
      <c r="Y190" s="89"/>
      <c r="Z190" s="50">
        <v>0.15486111111111112</v>
      </c>
      <c r="AA190" s="50">
        <v>0.37361111111111112</v>
      </c>
      <c r="AD190" s="48">
        <v>20558</v>
      </c>
      <c r="AE190" s="48">
        <f t="shared" si="27"/>
        <v>20.558</v>
      </c>
      <c r="AF190">
        <v>14.77</v>
      </c>
      <c r="AG190" s="72">
        <f t="shared" si="28"/>
        <v>14</v>
      </c>
      <c r="AH190" s="37">
        <f t="shared" si="26"/>
        <v>20.558</v>
      </c>
      <c r="AJ190" s="38"/>
      <c r="AL190" s="16"/>
      <c r="AN190" s="39"/>
      <c r="AO190" s="39"/>
      <c r="AP190" s="48"/>
      <c r="AR190" s="38"/>
      <c r="AS190" s="49"/>
      <c r="AU190" s="38"/>
      <c r="AW190" s="16"/>
      <c r="AY190" s="39"/>
      <c r="AZ190" s="39"/>
      <c r="BA190" s="48"/>
      <c r="BC190" s="38"/>
      <c r="BD190" s="49"/>
    </row>
    <row r="191" spans="22:56" ht="16" x14ac:dyDescent="0.4">
      <c r="V191" s="97">
        <v>45769</v>
      </c>
      <c r="W191" s="16">
        <v>138101</v>
      </c>
      <c r="X191" s="89" t="s">
        <v>36</v>
      </c>
      <c r="Y191" s="89"/>
      <c r="Z191" s="50">
        <v>0.15069444444444444</v>
      </c>
      <c r="AA191" s="50">
        <v>0.44236111111111115</v>
      </c>
      <c r="AD191" s="48">
        <v>19470</v>
      </c>
      <c r="AE191" s="48">
        <f t="shared" si="27"/>
        <v>19.47</v>
      </c>
      <c r="AF191">
        <v>14.74</v>
      </c>
      <c r="AG191" s="72">
        <f t="shared" si="28"/>
        <v>14</v>
      </c>
      <c r="AH191" s="37">
        <f t="shared" si="26"/>
        <v>19.47</v>
      </c>
      <c r="AJ191" s="38"/>
      <c r="AL191" s="16"/>
      <c r="AN191" s="39"/>
      <c r="AO191" s="39"/>
      <c r="AP191" s="48"/>
      <c r="AR191" s="38"/>
      <c r="AS191" s="49"/>
      <c r="AU191" s="38"/>
      <c r="AW191" s="16"/>
      <c r="AY191" s="39"/>
      <c r="AZ191" s="39"/>
      <c r="BA191" s="48"/>
      <c r="BC191" s="38"/>
      <c r="BD191" s="49"/>
    </row>
    <row r="192" spans="22:56" ht="16" x14ac:dyDescent="0.4">
      <c r="V192" s="97">
        <v>45769</v>
      </c>
      <c r="W192" s="16">
        <v>138158</v>
      </c>
      <c r="X192" s="89" t="s">
        <v>36</v>
      </c>
      <c r="Y192" s="89"/>
      <c r="Z192" s="50">
        <v>0.26111111111111113</v>
      </c>
      <c r="AA192" s="50">
        <v>0.56180555555555556</v>
      </c>
      <c r="AD192" s="48">
        <v>12348</v>
      </c>
      <c r="AE192" s="48">
        <f t="shared" si="27"/>
        <v>12.348000000000001</v>
      </c>
      <c r="AF192">
        <v>13.41</v>
      </c>
      <c r="AG192" s="72">
        <f t="shared" si="28"/>
        <v>13.41</v>
      </c>
      <c r="AH192" s="37">
        <f t="shared" si="26"/>
        <v>11.82762</v>
      </c>
      <c r="AJ192" s="38"/>
      <c r="AL192" s="16"/>
      <c r="AN192" s="39"/>
      <c r="AO192" s="39"/>
      <c r="AP192" s="48"/>
      <c r="AR192" s="38"/>
      <c r="AS192" s="49"/>
      <c r="AU192" s="38"/>
      <c r="AW192" s="16"/>
      <c r="AY192" s="39"/>
      <c r="AZ192" s="39"/>
      <c r="BA192" s="48"/>
      <c r="BC192" s="38"/>
      <c r="BD192" s="49"/>
    </row>
    <row r="193" spans="22:56" ht="16" x14ac:dyDescent="0.4">
      <c r="V193" s="97">
        <v>45769</v>
      </c>
      <c r="W193" s="16">
        <v>138347</v>
      </c>
      <c r="X193" s="89" t="s">
        <v>36</v>
      </c>
      <c r="Y193" s="89"/>
      <c r="Z193" s="50">
        <v>0.15065972222222221</v>
      </c>
      <c r="AA193" s="50">
        <v>0.89075231481481476</v>
      </c>
      <c r="AD193" s="48">
        <v>21150</v>
      </c>
      <c r="AE193" s="48">
        <f t="shared" si="27"/>
        <v>21.15</v>
      </c>
      <c r="AF193">
        <v>14.59</v>
      </c>
      <c r="AG193" s="72">
        <f t="shared" si="28"/>
        <v>14</v>
      </c>
      <c r="AH193" s="37">
        <f t="shared" si="26"/>
        <v>21.15</v>
      </c>
      <c r="AJ193" s="38"/>
      <c r="AL193" s="16"/>
      <c r="AN193" s="39"/>
      <c r="AO193" s="39"/>
      <c r="AP193" s="48"/>
      <c r="AR193" s="38"/>
      <c r="AS193" s="49"/>
      <c r="AU193" s="38"/>
      <c r="AW193" s="16"/>
      <c r="AY193" s="39"/>
      <c r="AZ193" s="39"/>
      <c r="BA193" s="48"/>
      <c r="BC193" s="38"/>
      <c r="BD193" s="49"/>
    </row>
    <row r="194" spans="22:56" ht="16" x14ac:dyDescent="0.4">
      <c r="V194" s="97">
        <v>45770</v>
      </c>
      <c r="W194" s="16">
        <v>138385</v>
      </c>
      <c r="X194" s="89" t="s">
        <v>36</v>
      </c>
      <c r="Y194" s="89"/>
      <c r="Z194" s="50">
        <v>0.15539351851851851</v>
      </c>
      <c r="AA194" s="50">
        <v>3.6921296296296292E-2</v>
      </c>
      <c r="AD194" s="48">
        <v>19628</v>
      </c>
      <c r="AE194" s="48">
        <f t="shared" si="27"/>
        <v>19.628</v>
      </c>
      <c r="AF194">
        <v>15.31</v>
      </c>
      <c r="AG194" s="72">
        <f t="shared" si="28"/>
        <v>14</v>
      </c>
      <c r="AH194" s="37">
        <f t="shared" si="26"/>
        <v>19.628000000000004</v>
      </c>
      <c r="AJ194" s="38"/>
      <c r="AL194" s="16"/>
      <c r="AN194" s="39"/>
      <c r="AO194" s="39"/>
      <c r="AP194" s="48"/>
      <c r="AR194" s="38"/>
      <c r="AS194" s="49"/>
      <c r="AU194" s="38"/>
      <c r="AW194" s="16"/>
      <c r="AY194" s="39"/>
      <c r="AZ194" s="39"/>
      <c r="BA194" s="48"/>
      <c r="BC194" s="38"/>
      <c r="BD194" s="49"/>
    </row>
    <row r="195" spans="22:56" ht="16" x14ac:dyDescent="0.4">
      <c r="V195" s="97">
        <v>45770</v>
      </c>
      <c r="W195" s="16">
        <v>138414</v>
      </c>
      <c r="X195" s="89" t="s">
        <v>36</v>
      </c>
      <c r="Y195" s="89"/>
      <c r="Z195" s="50">
        <v>0.28291666666666665</v>
      </c>
      <c r="AA195" s="50">
        <v>0.14008101851851851</v>
      </c>
      <c r="AD195" s="48">
        <v>21268</v>
      </c>
      <c r="AE195" s="48">
        <f t="shared" si="27"/>
        <v>21.268000000000001</v>
      </c>
      <c r="AF195">
        <v>14.86</v>
      </c>
      <c r="AG195" s="72">
        <f t="shared" si="28"/>
        <v>14</v>
      </c>
      <c r="AH195" s="37">
        <f t="shared" si="26"/>
        <v>21.268000000000001</v>
      </c>
      <c r="AJ195" s="38"/>
      <c r="AL195" s="16"/>
      <c r="AN195" s="39"/>
      <c r="AO195" s="39"/>
      <c r="AP195" s="48"/>
      <c r="AQ195" s="16"/>
      <c r="AR195" s="38"/>
      <c r="AS195" s="49"/>
      <c r="AU195" s="38"/>
      <c r="AW195" s="16"/>
      <c r="AY195" s="39"/>
      <c r="AZ195" s="39"/>
      <c r="BA195" s="48"/>
      <c r="BB195" s="16"/>
      <c r="BC195" s="38"/>
      <c r="BD195" s="49"/>
    </row>
    <row r="196" spans="22:56" ht="16" x14ac:dyDescent="0.4">
      <c r="V196" s="97">
        <v>45770</v>
      </c>
      <c r="W196" s="16">
        <v>138532</v>
      </c>
      <c r="X196" s="89" t="s">
        <v>36</v>
      </c>
      <c r="Y196" s="89"/>
      <c r="Z196" s="50">
        <v>8.3333333333333329E-2</v>
      </c>
      <c r="AA196" s="50">
        <v>0.37152777777777773</v>
      </c>
      <c r="AD196" s="48">
        <v>20122</v>
      </c>
      <c r="AE196" s="48">
        <f t="shared" si="27"/>
        <v>20.122</v>
      </c>
      <c r="AF196">
        <v>12.91</v>
      </c>
      <c r="AG196" s="72">
        <f t="shared" si="28"/>
        <v>12.91</v>
      </c>
      <c r="AH196" s="37">
        <f t="shared" si="26"/>
        <v>18.55535857142857</v>
      </c>
      <c r="AJ196" s="38"/>
      <c r="AL196" s="16"/>
      <c r="AM196" s="17"/>
      <c r="AN196" s="81"/>
      <c r="AO196" s="39"/>
      <c r="AP196" s="48"/>
      <c r="AR196" s="38"/>
      <c r="AS196" s="49"/>
      <c r="AU196" s="38"/>
      <c r="AW196" s="16"/>
      <c r="AX196" s="17"/>
      <c r="AY196" s="81"/>
      <c r="AZ196" s="39"/>
      <c r="BA196" s="48"/>
      <c r="BC196" s="38"/>
      <c r="BD196" s="49"/>
    </row>
    <row r="197" spans="22:56" ht="16" x14ac:dyDescent="0.4">
      <c r="V197" s="97">
        <v>45770</v>
      </c>
      <c r="W197" s="16">
        <v>138599</v>
      </c>
      <c r="X197" s="89" t="s">
        <v>36</v>
      </c>
      <c r="Y197" s="89"/>
      <c r="Z197" s="50">
        <v>0.19166666666666665</v>
      </c>
      <c r="AA197" s="50">
        <v>0.45347222222222222</v>
      </c>
      <c r="AD197" s="48">
        <v>20456</v>
      </c>
      <c r="AE197" s="48">
        <f t="shared" si="27"/>
        <v>20.456</v>
      </c>
      <c r="AF197">
        <v>14.95</v>
      </c>
      <c r="AG197" s="72">
        <f t="shared" si="28"/>
        <v>14</v>
      </c>
      <c r="AH197" s="37">
        <f t="shared" si="26"/>
        <v>20.456</v>
      </c>
      <c r="AJ197" s="38"/>
      <c r="AL197" s="16"/>
      <c r="AN197" s="81"/>
      <c r="AO197" s="39"/>
      <c r="AP197" s="48"/>
      <c r="AR197" s="38"/>
      <c r="AS197" s="16"/>
      <c r="AU197" s="38"/>
      <c r="AW197" s="16"/>
      <c r="AY197" s="81"/>
      <c r="AZ197" s="39"/>
      <c r="BA197" s="48"/>
      <c r="BC197" s="38"/>
      <c r="BD197" s="16"/>
    </row>
    <row r="198" spans="22:56" ht="16" x14ac:dyDescent="0.4">
      <c r="V198" s="97">
        <v>45770</v>
      </c>
      <c r="W198" s="16">
        <v>138683</v>
      </c>
      <c r="X198" s="89" t="s">
        <v>36</v>
      </c>
      <c r="Y198" s="89"/>
      <c r="Z198" s="50">
        <v>8.4027777777777771E-2</v>
      </c>
      <c r="AA198" s="50">
        <v>0.57152777777777775</v>
      </c>
      <c r="AD198" s="48">
        <v>20832</v>
      </c>
      <c r="AE198" s="48">
        <f t="shared" si="27"/>
        <v>20.832000000000001</v>
      </c>
      <c r="AF198">
        <v>15.3</v>
      </c>
      <c r="AG198" s="72">
        <f t="shared" si="28"/>
        <v>14</v>
      </c>
      <c r="AH198" s="37">
        <f t="shared" ref="AH198:AH261" si="29">AE198*AG198/14</f>
        <v>20.832000000000001</v>
      </c>
      <c r="AJ198" s="38"/>
      <c r="AL198" s="16"/>
      <c r="AN198" s="81"/>
      <c r="AO198" s="39"/>
      <c r="AP198" s="48"/>
      <c r="AR198" s="38"/>
      <c r="AS198" s="16"/>
      <c r="AU198" s="38"/>
      <c r="AW198" s="16"/>
      <c r="AY198" s="81"/>
      <c r="AZ198" s="39"/>
      <c r="BA198" s="48"/>
      <c r="BC198" s="38"/>
      <c r="BD198" s="16"/>
    </row>
    <row r="199" spans="22:56" ht="16" x14ac:dyDescent="0.4">
      <c r="V199" s="97">
        <v>45770</v>
      </c>
      <c r="W199" s="16">
        <v>138747</v>
      </c>
      <c r="X199" s="89" t="s">
        <v>36</v>
      </c>
      <c r="Y199" s="89"/>
      <c r="Z199" s="50">
        <v>0.19166666666666665</v>
      </c>
      <c r="AA199" s="50">
        <v>0.64513888888888882</v>
      </c>
      <c r="AD199" s="48">
        <v>19098</v>
      </c>
      <c r="AE199" s="48">
        <f t="shared" si="27"/>
        <v>19.097999999999999</v>
      </c>
      <c r="AF199">
        <v>14.27</v>
      </c>
      <c r="AG199" s="72">
        <f t="shared" si="28"/>
        <v>14</v>
      </c>
      <c r="AH199" s="37">
        <f t="shared" si="29"/>
        <v>19.097999999999995</v>
      </c>
      <c r="AJ199" s="38"/>
      <c r="AL199" s="16"/>
      <c r="AN199" s="81"/>
      <c r="AO199" s="39"/>
      <c r="AP199" s="48"/>
      <c r="AR199" s="38"/>
      <c r="AS199" s="16"/>
      <c r="AU199" s="38"/>
      <c r="AW199" s="16"/>
      <c r="AY199" s="81"/>
      <c r="AZ199" s="39"/>
      <c r="BA199" s="48"/>
      <c r="BC199" s="38"/>
      <c r="BD199" s="16"/>
    </row>
    <row r="200" spans="22:56" ht="16" x14ac:dyDescent="0.4">
      <c r="V200" s="97">
        <v>45770</v>
      </c>
      <c r="W200" s="16">
        <v>138792</v>
      </c>
      <c r="X200" s="89" t="s">
        <v>36</v>
      </c>
      <c r="Y200" s="89"/>
      <c r="Z200" s="50">
        <v>8.4178240740740748E-2</v>
      </c>
      <c r="AA200" s="50">
        <v>0.72980324074074077</v>
      </c>
      <c r="AD200" s="48">
        <v>18424</v>
      </c>
      <c r="AE200" s="48">
        <f t="shared" si="27"/>
        <v>18.423999999999999</v>
      </c>
      <c r="AF200">
        <v>16.37</v>
      </c>
      <c r="AG200" s="72">
        <f t="shared" si="28"/>
        <v>14</v>
      </c>
      <c r="AH200" s="37">
        <f t="shared" si="29"/>
        <v>18.423999999999999</v>
      </c>
      <c r="AJ200" s="38"/>
      <c r="AL200" s="16"/>
      <c r="AN200" s="81"/>
      <c r="AO200" s="39"/>
      <c r="AP200" s="48"/>
      <c r="AR200" s="38"/>
      <c r="AS200" s="16"/>
      <c r="AU200" s="38"/>
      <c r="AW200" s="16"/>
      <c r="AY200" s="81"/>
      <c r="AZ200" s="39"/>
      <c r="BA200" s="48"/>
      <c r="BC200" s="38"/>
      <c r="BD200" s="16"/>
    </row>
    <row r="201" spans="22:56" ht="16" x14ac:dyDescent="0.4">
      <c r="V201" s="97">
        <v>45770</v>
      </c>
      <c r="W201" s="16">
        <v>138874</v>
      </c>
      <c r="X201" s="89" t="s">
        <v>36</v>
      </c>
      <c r="Y201" s="89"/>
      <c r="Z201" s="50">
        <v>0.76465277777777774</v>
      </c>
      <c r="AA201" s="50">
        <v>0.88870370370370377</v>
      </c>
      <c r="AD201" s="48">
        <v>20322</v>
      </c>
      <c r="AE201" s="48">
        <f t="shared" si="27"/>
        <v>20.321999999999999</v>
      </c>
      <c r="AF201">
        <v>14.34</v>
      </c>
      <c r="AG201" s="72">
        <f t="shared" si="28"/>
        <v>14</v>
      </c>
      <c r="AH201" s="37">
        <f t="shared" si="29"/>
        <v>20.321999999999999</v>
      </c>
      <c r="AJ201" s="38"/>
      <c r="AL201" s="16"/>
      <c r="AN201" s="81"/>
      <c r="AO201" s="39"/>
      <c r="AP201" s="48"/>
      <c r="AR201" s="38"/>
      <c r="AS201" s="16"/>
      <c r="AU201" s="38"/>
      <c r="AW201" s="16"/>
      <c r="AY201" s="81"/>
      <c r="AZ201" s="39"/>
      <c r="BA201" s="48"/>
      <c r="BC201" s="38"/>
      <c r="BD201" s="16"/>
    </row>
    <row r="202" spans="22:56" ht="16" x14ac:dyDescent="0.4">
      <c r="V202" s="97">
        <v>45770</v>
      </c>
      <c r="W202" s="16">
        <v>138899</v>
      </c>
      <c r="X202" s="89" t="s">
        <v>36</v>
      </c>
      <c r="Y202" s="89"/>
      <c r="Z202" s="50">
        <v>0.19206018518518519</v>
      </c>
      <c r="AA202" s="50">
        <v>0.96056712962962953</v>
      </c>
      <c r="AD202" s="48">
        <v>21394</v>
      </c>
      <c r="AE202" s="48">
        <f t="shared" si="27"/>
        <v>21.393999999999998</v>
      </c>
      <c r="AF202">
        <v>14.52</v>
      </c>
      <c r="AG202" s="72">
        <f t="shared" si="28"/>
        <v>14</v>
      </c>
      <c r="AH202" s="37">
        <f t="shared" si="29"/>
        <v>21.393999999999998</v>
      </c>
      <c r="AJ202" s="38"/>
      <c r="AL202" s="16"/>
      <c r="AN202" s="81"/>
      <c r="AO202" s="39"/>
      <c r="AP202" s="48"/>
      <c r="AR202" s="38"/>
      <c r="AS202" s="16"/>
      <c r="AU202" s="38"/>
      <c r="AW202" s="16"/>
      <c r="AY202" s="81"/>
      <c r="AZ202" s="39"/>
      <c r="BA202" s="48"/>
      <c r="BC202" s="38"/>
      <c r="BD202" s="16"/>
    </row>
    <row r="203" spans="22:56" ht="16" x14ac:dyDescent="0.4">
      <c r="V203" s="97">
        <v>45771</v>
      </c>
      <c r="W203" s="16">
        <v>138923</v>
      </c>
      <c r="X203" s="89" t="s">
        <v>36</v>
      </c>
      <c r="Y203" s="89"/>
      <c r="Z203" s="50">
        <v>0.76453703703703713</v>
      </c>
      <c r="AA203" s="50">
        <v>7.4699074074074071E-2</v>
      </c>
      <c r="AD203" s="48">
        <v>20010</v>
      </c>
      <c r="AE203" s="48">
        <f t="shared" si="27"/>
        <v>20.010000000000002</v>
      </c>
      <c r="AF203">
        <v>15.41</v>
      </c>
      <c r="AG203" s="72">
        <f t="shared" si="28"/>
        <v>14</v>
      </c>
      <c r="AH203" s="37">
        <f t="shared" si="29"/>
        <v>20.010000000000002</v>
      </c>
      <c r="AJ203" s="38"/>
      <c r="AL203" s="16"/>
      <c r="AN203" s="81"/>
      <c r="AO203" s="39"/>
      <c r="AP203" s="48"/>
      <c r="AR203" s="38"/>
      <c r="AS203" s="16"/>
      <c r="AU203" s="38"/>
      <c r="AW203" s="16"/>
      <c r="AY203" s="81"/>
      <c r="AZ203" s="39"/>
      <c r="BA203" s="48"/>
      <c r="BC203" s="38"/>
      <c r="BD203" s="16"/>
    </row>
    <row r="204" spans="22:56" ht="16" x14ac:dyDescent="0.4">
      <c r="V204" s="97">
        <v>45771</v>
      </c>
      <c r="W204" s="16">
        <v>138931</v>
      </c>
      <c r="X204" s="89" t="s">
        <v>36</v>
      </c>
      <c r="Y204" s="89"/>
      <c r="Z204" s="50">
        <v>1.9710648148148147E-2</v>
      </c>
      <c r="AA204" s="50">
        <v>0.12315972222222223</v>
      </c>
      <c r="AD204" s="48">
        <v>21418</v>
      </c>
      <c r="AE204" s="48">
        <f t="shared" si="27"/>
        <v>21.417999999999999</v>
      </c>
      <c r="AF204">
        <v>14.31</v>
      </c>
      <c r="AG204" s="72">
        <f t="shared" si="28"/>
        <v>14</v>
      </c>
      <c r="AH204" s="37">
        <f t="shared" si="29"/>
        <v>21.417999999999999</v>
      </c>
      <c r="AJ204" s="38"/>
      <c r="AL204" s="16"/>
      <c r="AN204" s="81"/>
      <c r="AO204" s="39"/>
      <c r="AP204" s="48"/>
      <c r="AR204" s="38"/>
      <c r="AS204" s="16"/>
      <c r="AU204" s="38"/>
      <c r="AW204" s="16"/>
      <c r="AY204" s="81"/>
      <c r="AZ204" s="39"/>
      <c r="BA204" s="48"/>
      <c r="BC204" s="38"/>
      <c r="BD204" s="16"/>
    </row>
    <row r="205" spans="22:56" ht="16" x14ac:dyDescent="0.4">
      <c r="V205" s="97">
        <v>45771</v>
      </c>
      <c r="W205" s="16">
        <v>138938</v>
      </c>
      <c r="X205" s="89" t="s">
        <v>36</v>
      </c>
      <c r="Y205" s="89"/>
      <c r="Z205" s="50">
        <v>0.76388888888888884</v>
      </c>
      <c r="AA205" s="50">
        <v>0.17847222222222223</v>
      </c>
      <c r="AD205" s="48">
        <v>22112</v>
      </c>
      <c r="AE205" s="93">
        <f t="shared" si="27"/>
        <v>22.111999999999998</v>
      </c>
      <c r="AF205">
        <v>15.66</v>
      </c>
      <c r="AG205" s="72">
        <f t="shared" si="28"/>
        <v>14</v>
      </c>
      <c r="AH205" s="37">
        <f t="shared" si="29"/>
        <v>22.111999999999998</v>
      </c>
      <c r="AJ205" s="38"/>
      <c r="AL205" s="16"/>
      <c r="AN205" s="81"/>
      <c r="AO205" s="39"/>
      <c r="AP205" s="48"/>
      <c r="AR205" s="38"/>
      <c r="AS205" s="16"/>
      <c r="AU205" s="38"/>
      <c r="AW205" s="16"/>
      <c r="AY205" s="81"/>
      <c r="AZ205" s="39"/>
      <c r="BA205" s="48"/>
      <c r="BC205" s="38"/>
      <c r="BD205" s="16"/>
    </row>
    <row r="206" spans="22:56" ht="16" x14ac:dyDescent="0.4">
      <c r="V206" s="97">
        <v>45771</v>
      </c>
      <c r="W206" s="16">
        <v>138949</v>
      </c>
      <c r="X206" s="89" t="s">
        <v>36</v>
      </c>
      <c r="Y206" s="89"/>
      <c r="Z206" s="50">
        <v>0.28125</v>
      </c>
      <c r="AA206" s="50">
        <v>0.23402777777777781</v>
      </c>
      <c r="AD206" s="48">
        <v>21486</v>
      </c>
      <c r="AE206" s="93">
        <f t="shared" si="27"/>
        <v>21.486000000000001</v>
      </c>
      <c r="AF206">
        <v>14.25</v>
      </c>
      <c r="AG206" s="72">
        <f t="shared" si="28"/>
        <v>14</v>
      </c>
      <c r="AH206" s="37">
        <f t="shared" si="29"/>
        <v>21.486000000000001</v>
      </c>
      <c r="AJ206" s="38"/>
      <c r="AL206" s="16"/>
      <c r="AN206" s="81"/>
      <c r="AO206" s="39"/>
      <c r="AP206" s="48"/>
      <c r="AR206" s="38"/>
      <c r="AS206" s="16"/>
      <c r="AU206" s="38"/>
      <c r="AW206" s="16"/>
      <c r="AY206" s="81"/>
      <c r="AZ206" s="39"/>
      <c r="BA206" s="48"/>
      <c r="BC206" s="38"/>
      <c r="BD206" s="16"/>
    </row>
    <row r="207" spans="22:56" ht="16" x14ac:dyDescent="0.4">
      <c r="V207" s="97">
        <v>45771</v>
      </c>
      <c r="W207" s="16">
        <v>138972</v>
      </c>
      <c r="X207" s="89" t="s">
        <v>36</v>
      </c>
      <c r="Y207" s="89"/>
      <c r="Z207" s="50">
        <v>0.21666666666666667</v>
      </c>
      <c r="AA207" s="50">
        <v>0.30972222222222223</v>
      </c>
      <c r="AD207" s="48">
        <v>21388</v>
      </c>
      <c r="AE207" s="93">
        <f t="shared" si="27"/>
        <v>21.388000000000002</v>
      </c>
      <c r="AF207">
        <v>14.49</v>
      </c>
      <c r="AG207" s="72">
        <f t="shared" si="28"/>
        <v>14</v>
      </c>
      <c r="AH207" s="37">
        <f t="shared" si="29"/>
        <v>21.388000000000002</v>
      </c>
      <c r="AJ207" s="38"/>
      <c r="AL207" s="16"/>
      <c r="AN207" s="81"/>
      <c r="AO207" s="39"/>
      <c r="AP207" s="48"/>
      <c r="AR207" s="38"/>
      <c r="AS207" s="16"/>
      <c r="AU207" s="38"/>
      <c r="AW207" s="16"/>
      <c r="AY207" s="81"/>
      <c r="AZ207" s="39"/>
      <c r="BA207" s="48"/>
      <c r="BC207" s="38"/>
      <c r="BD207" s="16"/>
    </row>
    <row r="208" spans="22:56" ht="16" x14ac:dyDescent="0.4">
      <c r="V208" s="97">
        <v>45771</v>
      </c>
      <c r="W208" s="16">
        <v>139062</v>
      </c>
      <c r="X208" s="89" t="s">
        <v>36</v>
      </c>
      <c r="Y208" s="89"/>
      <c r="Z208" s="50">
        <v>0.29236111111111113</v>
      </c>
      <c r="AA208" s="50">
        <v>0.38263888888888892</v>
      </c>
      <c r="AD208" s="48">
        <v>20444</v>
      </c>
      <c r="AE208" s="93">
        <f t="shared" si="27"/>
        <v>20.443999999999999</v>
      </c>
      <c r="AF208">
        <v>14.81</v>
      </c>
      <c r="AG208" s="72">
        <f t="shared" si="28"/>
        <v>14</v>
      </c>
      <c r="AH208" s="37">
        <f t="shared" si="29"/>
        <v>20.443999999999999</v>
      </c>
      <c r="AJ208" s="38"/>
      <c r="AL208" s="16"/>
      <c r="AN208" s="81"/>
      <c r="AO208" s="39"/>
      <c r="AP208" s="48"/>
      <c r="AR208" s="38"/>
      <c r="AS208" s="16"/>
      <c r="AU208" s="38"/>
      <c r="AW208" s="16"/>
      <c r="AY208" s="81"/>
      <c r="AZ208" s="39"/>
      <c r="BA208" s="48"/>
      <c r="BC208" s="38"/>
      <c r="BD208" s="16"/>
    </row>
    <row r="209" spans="18:56" ht="16" x14ac:dyDescent="0.4">
      <c r="V209" s="97">
        <v>45771</v>
      </c>
      <c r="W209" s="16">
        <v>139123</v>
      </c>
      <c r="X209" s="89" t="s">
        <v>36</v>
      </c>
      <c r="Y209" s="99"/>
      <c r="Z209" s="50">
        <v>0.21666666666666667</v>
      </c>
      <c r="AA209" s="50">
        <v>0.45555555555555555</v>
      </c>
      <c r="AD209" s="48">
        <v>21280</v>
      </c>
      <c r="AE209" s="93">
        <f t="shared" si="27"/>
        <v>21.28</v>
      </c>
      <c r="AF209">
        <v>16.2</v>
      </c>
      <c r="AG209" s="72">
        <f t="shared" si="28"/>
        <v>14</v>
      </c>
      <c r="AH209" s="37">
        <f t="shared" si="29"/>
        <v>21.28</v>
      </c>
      <c r="AJ209" s="38"/>
      <c r="AL209" s="16"/>
      <c r="AN209" s="81"/>
      <c r="AO209" s="81"/>
      <c r="AP209" s="48"/>
      <c r="AR209" s="38"/>
      <c r="AS209" s="16"/>
      <c r="AU209" s="38"/>
      <c r="AW209" s="16"/>
      <c r="AY209" s="81"/>
      <c r="AZ209" s="81"/>
      <c r="BA209" s="48"/>
      <c r="BC209" s="38"/>
      <c r="BD209" s="16"/>
    </row>
    <row r="210" spans="18:56" ht="16" x14ac:dyDescent="0.4">
      <c r="V210" s="97">
        <v>45771</v>
      </c>
      <c r="W210" s="16">
        <v>139155</v>
      </c>
      <c r="X210" s="89" t="s">
        <v>36</v>
      </c>
      <c r="Y210" s="89"/>
      <c r="Z210" s="50">
        <v>1.8749999999999999E-2</v>
      </c>
      <c r="AA210" s="50">
        <v>0.53125</v>
      </c>
      <c r="AD210" s="48">
        <v>22260</v>
      </c>
      <c r="AE210" s="93">
        <f t="shared" si="27"/>
        <v>22.26</v>
      </c>
      <c r="AF210">
        <v>13.37</v>
      </c>
      <c r="AG210" s="72">
        <f t="shared" si="28"/>
        <v>13.37</v>
      </c>
      <c r="AH210" s="37">
        <f t="shared" si="29"/>
        <v>21.258299999999998</v>
      </c>
      <c r="AJ210" s="38"/>
      <c r="AL210" s="16"/>
      <c r="AN210" s="81"/>
      <c r="AO210" s="81"/>
      <c r="AP210" s="48"/>
      <c r="AR210" s="38"/>
      <c r="AS210" s="16"/>
      <c r="AU210" s="38"/>
      <c r="AW210" s="16"/>
      <c r="AY210" s="81"/>
      <c r="AZ210" s="81"/>
      <c r="BA210" s="48"/>
      <c r="BC210" s="38"/>
      <c r="BD210" s="16"/>
    </row>
    <row r="211" spans="18:56" ht="16" x14ac:dyDescent="0.4">
      <c r="V211" s="97">
        <v>45771</v>
      </c>
      <c r="W211" s="16">
        <v>139221</v>
      </c>
      <c r="X211" s="89" t="s">
        <v>36</v>
      </c>
      <c r="Y211" s="89"/>
      <c r="Z211" s="50">
        <v>0.21666666666666667</v>
      </c>
      <c r="AA211" s="50">
        <v>0.59930555555555554</v>
      </c>
      <c r="AD211" s="48">
        <v>20978</v>
      </c>
      <c r="AE211" s="93">
        <f t="shared" si="27"/>
        <v>20.978000000000002</v>
      </c>
      <c r="AF211">
        <v>13.31</v>
      </c>
      <c r="AG211" s="72">
        <f t="shared" si="28"/>
        <v>13.31</v>
      </c>
      <c r="AH211" s="37">
        <f t="shared" si="29"/>
        <v>19.94408428571429</v>
      </c>
      <c r="AJ211" s="38"/>
      <c r="AL211" s="16"/>
      <c r="AN211" s="81"/>
      <c r="AO211" s="81"/>
      <c r="AP211" s="48"/>
      <c r="AR211" s="38"/>
      <c r="AS211" s="16"/>
      <c r="AU211" s="38"/>
      <c r="AW211" s="16"/>
      <c r="AY211" s="81"/>
      <c r="AZ211" s="81"/>
      <c r="BA211" s="48"/>
      <c r="BC211" s="38"/>
      <c r="BD211" s="16"/>
    </row>
    <row r="212" spans="18:56" ht="16" x14ac:dyDescent="0.4">
      <c r="V212" s="97">
        <v>45771</v>
      </c>
      <c r="W212" s="16">
        <v>139262</v>
      </c>
      <c r="X212" s="89" t="s">
        <v>36</v>
      </c>
      <c r="Y212" s="89"/>
      <c r="Z212" s="50">
        <v>1.9444444444444445E-2</v>
      </c>
      <c r="AA212" s="50">
        <v>0.6645833333333333</v>
      </c>
      <c r="AD212" s="48">
        <v>21408</v>
      </c>
      <c r="AE212" s="93">
        <f t="shared" si="27"/>
        <v>21.408000000000001</v>
      </c>
      <c r="AF212">
        <v>14.12</v>
      </c>
      <c r="AG212" s="72">
        <f t="shared" si="28"/>
        <v>14</v>
      </c>
      <c r="AH212" s="37">
        <f t="shared" si="29"/>
        <v>21.407999999999998</v>
      </c>
      <c r="AJ212" s="38"/>
      <c r="AL212" s="16"/>
      <c r="AN212" s="81"/>
      <c r="AO212" s="81"/>
      <c r="AP212" s="48"/>
      <c r="AR212" s="38"/>
      <c r="AS212" s="16"/>
      <c r="AU212" s="38"/>
      <c r="AW212" s="16"/>
      <c r="AY212" s="81"/>
      <c r="AZ212" s="81"/>
      <c r="BA212" s="48"/>
      <c r="BC212" s="38"/>
      <c r="BD212" s="16"/>
    </row>
    <row r="213" spans="18:56" ht="16" x14ac:dyDescent="0.4">
      <c r="V213" s="97">
        <v>45771</v>
      </c>
      <c r="W213" s="16">
        <v>139294</v>
      </c>
      <c r="X213" s="89" t="s">
        <v>36</v>
      </c>
      <c r="Y213" s="89"/>
      <c r="Z213" s="50">
        <v>0.68194444444444446</v>
      </c>
      <c r="AA213" s="50">
        <v>0.71597222222222223</v>
      </c>
      <c r="AD213" s="48">
        <v>19824</v>
      </c>
      <c r="AE213" s="93">
        <f t="shared" si="27"/>
        <v>19.824000000000002</v>
      </c>
      <c r="AF213">
        <v>13.41</v>
      </c>
      <c r="AG213" s="72">
        <f t="shared" si="28"/>
        <v>13.41</v>
      </c>
      <c r="AH213" s="37">
        <f t="shared" si="29"/>
        <v>18.988560000000003</v>
      </c>
      <c r="AJ213" s="38"/>
      <c r="AL213" s="16"/>
      <c r="AN213" s="81"/>
      <c r="AO213" s="81"/>
      <c r="AP213" s="48"/>
      <c r="AR213" s="38"/>
      <c r="AS213" s="16"/>
      <c r="AU213" s="38"/>
      <c r="AW213" s="16"/>
      <c r="AY213" s="81"/>
      <c r="AZ213" s="81"/>
      <c r="BA213" s="48"/>
      <c r="BC213" s="38"/>
      <c r="BD213" s="16"/>
    </row>
    <row r="214" spans="18:56" ht="16" x14ac:dyDescent="0.4">
      <c r="V214" s="97">
        <v>45771</v>
      </c>
      <c r="W214" s="16">
        <v>139321</v>
      </c>
      <c r="X214" s="89" t="s">
        <v>36</v>
      </c>
      <c r="Y214" s="89"/>
      <c r="Z214" s="50">
        <v>0.72372685185185182</v>
      </c>
      <c r="AA214" s="50">
        <v>0.78390046296296301</v>
      </c>
      <c r="AD214" s="48">
        <v>19654</v>
      </c>
      <c r="AE214" s="93">
        <f t="shared" si="27"/>
        <v>19.654</v>
      </c>
      <c r="AF214">
        <v>14.84</v>
      </c>
      <c r="AG214" s="72">
        <f t="shared" si="28"/>
        <v>14</v>
      </c>
      <c r="AH214" s="37">
        <f t="shared" si="29"/>
        <v>19.654</v>
      </c>
      <c r="AJ214" s="38"/>
      <c r="AL214" s="16"/>
      <c r="AN214" s="81"/>
      <c r="AO214" s="81"/>
      <c r="AP214" s="48"/>
      <c r="AR214" s="38"/>
      <c r="AS214" s="16"/>
      <c r="AU214" s="38"/>
      <c r="AW214" s="16"/>
      <c r="AY214" s="81"/>
      <c r="AZ214" s="81"/>
      <c r="BA214" s="48"/>
      <c r="BC214" s="38"/>
      <c r="BD214" s="16"/>
    </row>
    <row r="215" spans="18:56" ht="16" x14ac:dyDescent="0.4">
      <c r="V215" s="97">
        <v>45771</v>
      </c>
      <c r="W215" s="16">
        <v>139344</v>
      </c>
      <c r="X215" s="89" t="s">
        <v>36</v>
      </c>
      <c r="Y215" s="89"/>
      <c r="Z215" s="50">
        <v>0.68225694444444451</v>
      </c>
      <c r="AA215" s="50">
        <v>0.84125000000000005</v>
      </c>
      <c r="AD215" s="48">
        <v>20718</v>
      </c>
      <c r="AE215" s="93">
        <f t="shared" si="27"/>
        <v>20.718</v>
      </c>
      <c r="AF215">
        <v>15.38</v>
      </c>
      <c r="AG215" s="72">
        <f t="shared" si="28"/>
        <v>14</v>
      </c>
      <c r="AH215" s="37">
        <f t="shared" si="29"/>
        <v>20.718</v>
      </c>
      <c r="AJ215" s="38"/>
      <c r="AL215" s="16"/>
      <c r="AN215" s="81"/>
      <c r="AO215" s="81"/>
      <c r="AP215" s="48"/>
      <c r="AR215" s="38"/>
      <c r="AS215" s="16"/>
      <c r="AU215" s="38"/>
      <c r="AW215" s="16"/>
      <c r="AY215" s="81"/>
      <c r="AZ215" s="81"/>
      <c r="BA215" s="48"/>
      <c r="BC215" s="38"/>
      <c r="BD215" s="16"/>
    </row>
    <row r="216" spans="18:56" ht="16" x14ac:dyDescent="0.4">
      <c r="V216" s="97">
        <v>45771</v>
      </c>
      <c r="W216" s="16">
        <v>139367</v>
      </c>
      <c r="X216" s="89" t="s">
        <v>36</v>
      </c>
      <c r="Y216" s="89"/>
      <c r="Z216" s="50">
        <v>0.72340277777777784</v>
      </c>
      <c r="AA216" s="50">
        <v>0.91775462962962961</v>
      </c>
      <c r="AD216" s="48">
        <v>21966</v>
      </c>
      <c r="AE216" s="48">
        <f t="shared" si="27"/>
        <v>21.966000000000001</v>
      </c>
      <c r="AF216">
        <v>14.66</v>
      </c>
      <c r="AG216" s="72">
        <f t="shared" si="28"/>
        <v>14</v>
      </c>
      <c r="AH216" s="37">
        <f t="shared" si="29"/>
        <v>21.966000000000001</v>
      </c>
      <c r="AJ216" s="38"/>
      <c r="AL216" s="16"/>
      <c r="AN216" s="81"/>
      <c r="AO216" s="81"/>
      <c r="AP216" s="48"/>
      <c r="AR216" s="38"/>
      <c r="AS216" s="16"/>
      <c r="AU216" s="38"/>
      <c r="AW216" s="16"/>
      <c r="AY216" s="81"/>
      <c r="AZ216" s="81"/>
      <c r="BA216" s="48"/>
      <c r="BC216" s="38"/>
      <c r="BD216" s="16"/>
    </row>
    <row r="217" spans="18:56" ht="16" x14ac:dyDescent="0.4">
      <c r="V217" s="97">
        <v>45771</v>
      </c>
      <c r="W217" s="16">
        <v>139387</v>
      </c>
      <c r="X217" s="89" t="s">
        <v>36</v>
      </c>
      <c r="Y217" s="89"/>
      <c r="Z217" s="50">
        <v>0.68216435185185187</v>
      </c>
      <c r="AA217" s="50">
        <v>0.98873842592592587</v>
      </c>
      <c r="AD217" s="48">
        <v>20578</v>
      </c>
      <c r="AE217" s="48">
        <f t="shared" si="27"/>
        <v>20.577999999999999</v>
      </c>
      <c r="AF217">
        <v>15.24</v>
      </c>
      <c r="AG217" s="72">
        <f t="shared" si="28"/>
        <v>14</v>
      </c>
      <c r="AH217" s="37">
        <f t="shared" si="29"/>
        <v>20.577999999999999</v>
      </c>
      <c r="AJ217" s="38"/>
      <c r="AL217" s="16"/>
      <c r="AN217" s="81"/>
      <c r="AO217" s="81"/>
      <c r="AP217" s="48"/>
      <c r="AR217" s="38"/>
      <c r="AS217" s="16"/>
      <c r="AU217" s="38"/>
      <c r="AW217" s="16"/>
      <c r="AY217" s="81"/>
      <c r="AZ217" s="81"/>
      <c r="BA217" s="48"/>
      <c r="BC217" s="38"/>
      <c r="BD217" s="16"/>
    </row>
    <row r="218" spans="18:56" ht="16" x14ac:dyDescent="0.4">
      <c r="V218" s="97">
        <v>45772</v>
      </c>
      <c r="W218" s="16">
        <v>139397</v>
      </c>
      <c r="X218" s="89" t="s">
        <v>36</v>
      </c>
      <c r="Y218" s="89"/>
      <c r="Z218" s="50">
        <v>0.96668981481481486</v>
      </c>
      <c r="AA218" s="50">
        <v>4.7962962962962964E-2</v>
      </c>
      <c r="AD218" s="48">
        <v>19896</v>
      </c>
      <c r="AE218" s="48">
        <f t="shared" si="27"/>
        <v>19.896000000000001</v>
      </c>
      <c r="AF218">
        <v>15.09</v>
      </c>
      <c r="AG218" s="72">
        <f t="shared" si="28"/>
        <v>14</v>
      </c>
      <c r="AH218" s="37">
        <f t="shared" si="29"/>
        <v>19.895999999999997</v>
      </c>
      <c r="AJ218" s="38"/>
      <c r="AL218" s="16"/>
      <c r="AN218" s="81"/>
      <c r="AO218" s="81"/>
      <c r="AP218" s="48"/>
      <c r="AR218" s="38"/>
      <c r="AS218" s="16"/>
      <c r="AU218" s="38"/>
      <c r="AW218" s="16"/>
      <c r="AY218" s="81"/>
      <c r="AZ218" s="81"/>
      <c r="BA218" s="48"/>
      <c r="BC218" s="38"/>
      <c r="BD218" s="16"/>
    </row>
    <row r="219" spans="18:56" ht="16" x14ac:dyDescent="0.4">
      <c r="R219" s="33"/>
      <c r="V219" s="97">
        <v>45772</v>
      </c>
      <c r="W219" s="16">
        <v>139407</v>
      </c>
      <c r="X219" s="89" t="s">
        <v>36</v>
      </c>
      <c r="Y219" s="89"/>
      <c r="Z219" s="50">
        <v>2.6481481481481481E-2</v>
      </c>
      <c r="AA219" s="50">
        <v>9.6412037037037046E-2</v>
      </c>
      <c r="AD219" s="48">
        <v>21126</v>
      </c>
      <c r="AE219" s="48">
        <f t="shared" si="27"/>
        <v>21.126000000000001</v>
      </c>
      <c r="AF219">
        <v>14.77</v>
      </c>
      <c r="AG219" s="72">
        <f t="shared" si="28"/>
        <v>14</v>
      </c>
      <c r="AH219" s="37">
        <f t="shared" si="29"/>
        <v>21.126000000000001</v>
      </c>
      <c r="AJ219" s="38"/>
      <c r="AL219" s="16"/>
      <c r="AN219" s="81"/>
      <c r="AO219" s="81"/>
      <c r="AP219" s="48"/>
      <c r="AR219" s="38"/>
      <c r="AU219" s="38"/>
      <c r="AW219" s="16"/>
      <c r="AY219" s="81"/>
      <c r="AZ219" s="81"/>
      <c r="BA219" s="48"/>
      <c r="BC219" s="38"/>
    </row>
    <row r="220" spans="18:56" ht="16" x14ac:dyDescent="0.4">
      <c r="R220" s="33"/>
      <c r="V220" s="97">
        <v>45772</v>
      </c>
      <c r="W220" s="16">
        <v>139416</v>
      </c>
      <c r="X220" s="89" t="s">
        <v>36</v>
      </c>
      <c r="Y220" s="89"/>
      <c r="Z220" s="50">
        <v>0.96613425925925922</v>
      </c>
      <c r="AA220" s="50">
        <v>0.14800925925925926</v>
      </c>
      <c r="AD220" s="48">
        <v>17562</v>
      </c>
      <c r="AE220" s="48">
        <f t="shared" si="27"/>
        <v>17.562000000000001</v>
      </c>
      <c r="AF220">
        <v>10.63</v>
      </c>
      <c r="AG220" s="72">
        <f t="shared" si="28"/>
        <v>10.63</v>
      </c>
      <c r="AH220" s="37">
        <f t="shared" si="29"/>
        <v>13.334575714285716</v>
      </c>
      <c r="AJ220" s="38"/>
      <c r="AL220" s="16"/>
      <c r="AN220" s="81"/>
      <c r="AO220" s="81"/>
      <c r="AP220" s="48"/>
      <c r="AR220" s="38"/>
      <c r="AU220" s="38"/>
      <c r="AW220" s="16"/>
      <c r="AY220" s="81"/>
      <c r="AZ220" s="81"/>
      <c r="BA220" s="48"/>
      <c r="BC220" s="38"/>
    </row>
    <row r="221" spans="18:56" ht="16" x14ac:dyDescent="0.4">
      <c r="V221" s="97">
        <v>45772</v>
      </c>
      <c r="W221" s="16">
        <v>139580</v>
      </c>
      <c r="X221" s="89" t="s">
        <v>36</v>
      </c>
      <c r="Y221" s="89"/>
      <c r="Z221" s="50">
        <v>0.25833333333333336</v>
      </c>
      <c r="AA221" s="50">
        <v>0.41736111111111113</v>
      </c>
      <c r="AD221" s="48">
        <v>19616</v>
      </c>
      <c r="AE221" s="48">
        <f t="shared" si="27"/>
        <v>19.616</v>
      </c>
      <c r="AF221">
        <v>14.66</v>
      </c>
      <c r="AG221" s="72">
        <f t="shared" si="28"/>
        <v>14</v>
      </c>
      <c r="AH221" s="37">
        <f t="shared" si="29"/>
        <v>19.616000000000003</v>
      </c>
      <c r="AJ221" s="38"/>
      <c r="AL221" s="16"/>
      <c r="AN221" s="81"/>
      <c r="AO221" s="81"/>
      <c r="AP221" s="48"/>
      <c r="AR221" s="38"/>
      <c r="AU221" s="38"/>
      <c r="AW221" s="16"/>
      <c r="AY221" s="81"/>
      <c r="AZ221" s="81"/>
      <c r="BA221" s="48"/>
      <c r="BC221" s="38"/>
    </row>
    <row r="222" spans="18:56" ht="16" x14ac:dyDescent="0.4">
      <c r="V222" s="97">
        <v>45772</v>
      </c>
      <c r="W222" s="16">
        <v>139637</v>
      </c>
      <c r="X222" s="89" t="s">
        <v>36</v>
      </c>
      <c r="Y222" s="89"/>
      <c r="Z222" s="50">
        <v>0.21388888888888891</v>
      </c>
      <c r="AA222" s="50">
        <v>0.49236111111111108</v>
      </c>
      <c r="AD222" s="48">
        <v>19524</v>
      </c>
      <c r="AE222" s="48">
        <f t="shared" si="27"/>
        <v>19.524000000000001</v>
      </c>
      <c r="AF222">
        <v>14.12</v>
      </c>
      <c r="AG222" s="72">
        <f t="shared" si="28"/>
        <v>14</v>
      </c>
      <c r="AH222" s="37">
        <f t="shared" si="29"/>
        <v>19.524000000000001</v>
      </c>
      <c r="AJ222" s="38"/>
      <c r="AL222" s="16"/>
      <c r="AN222" s="81"/>
      <c r="AO222" s="81"/>
      <c r="AP222" s="48"/>
      <c r="AR222" s="38"/>
      <c r="AU222" s="38"/>
      <c r="AW222" s="16"/>
      <c r="AY222" s="81"/>
      <c r="AZ222" s="81"/>
      <c r="BA222" s="48"/>
      <c r="BC222" s="38"/>
    </row>
    <row r="223" spans="18:56" ht="16" x14ac:dyDescent="0.4">
      <c r="V223" s="97">
        <v>45772</v>
      </c>
      <c r="W223" s="16">
        <v>139657</v>
      </c>
      <c r="X223" s="89" t="s">
        <v>36</v>
      </c>
      <c r="Y223" s="89"/>
      <c r="Z223" s="50">
        <v>0.96597222222222223</v>
      </c>
      <c r="AA223" s="50">
        <v>0.55069444444444449</v>
      </c>
      <c r="AD223" s="48">
        <v>21076</v>
      </c>
      <c r="AE223" s="48">
        <f t="shared" si="27"/>
        <v>21.076000000000001</v>
      </c>
      <c r="AF223">
        <v>13.99</v>
      </c>
      <c r="AG223" s="72">
        <f t="shared" si="28"/>
        <v>13.99</v>
      </c>
      <c r="AH223" s="37">
        <f t="shared" si="29"/>
        <v>21.060945714285715</v>
      </c>
      <c r="AJ223" s="38"/>
      <c r="AL223" s="16"/>
      <c r="AN223" s="81"/>
      <c r="AO223" s="81"/>
      <c r="AP223" s="48"/>
      <c r="AR223" s="38"/>
      <c r="AU223" s="38"/>
      <c r="AW223" s="16"/>
      <c r="AY223" s="81"/>
      <c r="AZ223" s="81"/>
      <c r="BA223" s="48"/>
      <c r="BC223" s="38"/>
    </row>
    <row r="224" spans="18:56" ht="16" x14ac:dyDescent="0.4">
      <c r="V224" s="97">
        <v>45772</v>
      </c>
      <c r="W224" s="16">
        <v>139725</v>
      </c>
      <c r="X224" s="89" t="s">
        <v>36</v>
      </c>
      <c r="Y224" s="89"/>
      <c r="Z224" s="50">
        <v>0.41250000000000003</v>
      </c>
      <c r="AA224" s="50">
        <v>0.61458333333333337</v>
      </c>
      <c r="AD224" s="48">
        <v>20290</v>
      </c>
      <c r="AE224" s="48">
        <f t="shared" si="27"/>
        <v>20.29</v>
      </c>
      <c r="AF224">
        <v>14.24</v>
      </c>
      <c r="AG224" s="72">
        <f t="shared" si="28"/>
        <v>14</v>
      </c>
      <c r="AH224" s="37">
        <f t="shared" si="29"/>
        <v>20.29</v>
      </c>
      <c r="AJ224" s="38"/>
      <c r="AL224" s="16"/>
      <c r="AN224" s="81"/>
      <c r="AO224" s="81"/>
      <c r="AP224" s="48"/>
      <c r="AR224" s="38"/>
      <c r="AU224" s="38"/>
      <c r="AW224" s="16"/>
      <c r="AY224" s="81"/>
      <c r="AZ224" s="81"/>
      <c r="BA224" s="48"/>
      <c r="BC224" s="38"/>
    </row>
    <row r="225" spans="22:56" ht="16" x14ac:dyDescent="0.4">
      <c r="V225" s="97">
        <v>45772</v>
      </c>
      <c r="W225" s="16">
        <v>139762</v>
      </c>
      <c r="X225" s="89" t="s">
        <v>36</v>
      </c>
      <c r="Y225" s="89"/>
      <c r="Z225" s="50">
        <v>0.2590277777777778</v>
      </c>
      <c r="AA225" s="50">
        <v>0.67013888888888884</v>
      </c>
      <c r="AD225" s="48">
        <v>21962</v>
      </c>
      <c r="AE225" s="48">
        <f t="shared" si="27"/>
        <v>21.962</v>
      </c>
      <c r="AF225">
        <v>14.49</v>
      </c>
      <c r="AG225" s="72">
        <f t="shared" si="28"/>
        <v>14</v>
      </c>
      <c r="AH225" s="37">
        <f t="shared" si="29"/>
        <v>21.962</v>
      </c>
      <c r="AJ225" s="38"/>
      <c r="AL225" s="16"/>
      <c r="AN225" s="39"/>
      <c r="AO225" s="39"/>
      <c r="AP225" s="48"/>
      <c r="AR225" s="38"/>
      <c r="AU225" s="38"/>
      <c r="AW225" s="16"/>
      <c r="AY225" s="39"/>
      <c r="AZ225" s="39"/>
      <c r="BA225" s="48"/>
      <c r="BC225" s="38"/>
    </row>
    <row r="226" spans="22:56" ht="16" x14ac:dyDescent="0.4">
      <c r="V226" s="97">
        <v>45772</v>
      </c>
      <c r="W226" s="16">
        <v>139788</v>
      </c>
      <c r="X226" s="89" t="s">
        <v>36</v>
      </c>
      <c r="Y226" s="89"/>
      <c r="Z226" s="50">
        <v>0.68674768518518514</v>
      </c>
      <c r="AA226" s="50">
        <v>0.72767361111111117</v>
      </c>
      <c r="AD226" s="48">
        <v>20360</v>
      </c>
      <c r="AE226" s="48">
        <f t="shared" si="27"/>
        <v>20.36</v>
      </c>
      <c r="AF226">
        <v>14.2</v>
      </c>
      <c r="AG226" s="72">
        <f t="shared" si="28"/>
        <v>14</v>
      </c>
      <c r="AH226" s="37">
        <f t="shared" si="29"/>
        <v>20.359999999999996</v>
      </c>
      <c r="AJ226" s="38"/>
      <c r="AL226" s="16"/>
      <c r="AN226" s="39"/>
      <c r="AO226" s="39"/>
      <c r="AP226" s="48"/>
      <c r="AR226" s="38"/>
      <c r="AU226" s="38"/>
      <c r="AW226" s="16"/>
      <c r="AY226" s="39"/>
      <c r="AZ226" s="39"/>
      <c r="BA226" s="48"/>
      <c r="BC226" s="38"/>
    </row>
    <row r="227" spans="22:56" ht="16" x14ac:dyDescent="0.4">
      <c r="V227" s="97">
        <v>45772</v>
      </c>
      <c r="W227" s="16">
        <v>139807</v>
      </c>
      <c r="X227" s="89" t="s">
        <v>36</v>
      </c>
      <c r="Y227" s="89"/>
      <c r="Z227" s="50">
        <v>0.78040509259259261</v>
      </c>
      <c r="AA227" s="50"/>
      <c r="AD227" s="48">
        <v>20948</v>
      </c>
      <c r="AE227" s="48">
        <f t="shared" si="27"/>
        <v>20.948</v>
      </c>
      <c r="AF227">
        <v>14.34</v>
      </c>
      <c r="AG227" s="72">
        <f t="shared" si="28"/>
        <v>14</v>
      </c>
      <c r="AH227" s="37">
        <f t="shared" si="29"/>
        <v>20.948</v>
      </c>
      <c r="AJ227" s="38"/>
      <c r="AL227" s="16"/>
      <c r="AN227" s="39"/>
      <c r="AO227" s="39"/>
      <c r="AP227" s="48"/>
      <c r="AR227" s="38"/>
      <c r="AU227" s="38"/>
      <c r="AW227" s="16"/>
      <c r="AY227" s="39"/>
      <c r="AZ227" s="39"/>
      <c r="BA227" s="48"/>
      <c r="BC227" s="38"/>
    </row>
    <row r="228" spans="22:56" ht="16" x14ac:dyDescent="0.4">
      <c r="V228" s="97">
        <v>45772</v>
      </c>
      <c r="W228" s="16">
        <v>139835</v>
      </c>
      <c r="X228" s="89" t="s">
        <v>36</v>
      </c>
      <c r="Y228" s="89"/>
      <c r="Z228" s="50">
        <v>0.68641203703703713</v>
      </c>
      <c r="AA228" s="50">
        <v>0.84740740740740739</v>
      </c>
      <c r="AD228" s="48">
        <v>21070</v>
      </c>
      <c r="AE228" s="48">
        <f t="shared" si="27"/>
        <v>21.07</v>
      </c>
      <c r="AF228">
        <v>15.42</v>
      </c>
      <c r="AG228" s="72">
        <f t="shared" si="28"/>
        <v>14</v>
      </c>
      <c r="AH228" s="37">
        <f t="shared" si="29"/>
        <v>21.07</v>
      </c>
      <c r="AJ228" s="38"/>
      <c r="AL228" s="16"/>
      <c r="AM228" s="16"/>
      <c r="AN228" s="81"/>
      <c r="AO228" s="81"/>
      <c r="AP228" s="48"/>
      <c r="AR228" s="38"/>
      <c r="AU228" s="38"/>
      <c r="AW228" s="16"/>
      <c r="AX228" s="16"/>
      <c r="AY228" s="81"/>
      <c r="AZ228" s="81"/>
      <c r="BA228" s="48"/>
      <c r="BC228" s="38"/>
    </row>
    <row r="229" spans="22:56" ht="16" x14ac:dyDescent="0.4">
      <c r="V229" s="97">
        <v>45772</v>
      </c>
      <c r="W229" s="16">
        <v>139856</v>
      </c>
      <c r="X229" s="89" t="s">
        <v>36</v>
      </c>
      <c r="Y229" s="89"/>
      <c r="Z229" s="50">
        <v>0.71858796296296301</v>
      </c>
      <c r="AA229" s="50">
        <v>0.92547453703703697</v>
      </c>
      <c r="AD229" s="48">
        <v>21456</v>
      </c>
      <c r="AE229" s="48">
        <f t="shared" si="27"/>
        <v>21.456</v>
      </c>
      <c r="AF229">
        <v>15.09</v>
      </c>
      <c r="AG229" s="72">
        <f t="shared" si="28"/>
        <v>14</v>
      </c>
      <c r="AH229" s="37">
        <f t="shared" si="29"/>
        <v>21.456</v>
      </c>
      <c r="AJ229" s="38"/>
      <c r="AL229" s="16"/>
      <c r="AM229" s="16"/>
      <c r="AN229" s="81"/>
      <c r="AP229" s="48"/>
      <c r="AR229" s="38"/>
      <c r="AU229" s="38"/>
      <c r="AW229" s="16"/>
      <c r="AX229" s="16"/>
      <c r="AY229" s="81"/>
      <c r="BA229" s="48"/>
      <c r="BC229" s="38"/>
    </row>
    <row r="230" spans="22:56" ht="16" x14ac:dyDescent="0.4">
      <c r="V230" s="97">
        <v>45773</v>
      </c>
      <c r="W230" s="16">
        <v>139889</v>
      </c>
      <c r="X230" s="89" t="s">
        <v>36</v>
      </c>
      <c r="Y230" s="89"/>
      <c r="Z230" s="50">
        <v>0.68664351851851846</v>
      </c>
      <c r="AA230" s="50">
        <v>0.99678240740740742</v>
      </c>
      <c r="AD230" s="48">
        <v>22506</v>
      </c>
      <c r="AE230" s="48">
        <f t="shared" si="27"/>
        <v>22.506</v>
      </c>
      <c r="AF230">
        <v>15.74</v>
      </c>
      <c r="AG230" s="72">
        <f t="shared" si="28"/>
        <v>14</v>
      </c>
      <c r="AH230" s="37">
        <f t="shared" si="29"/>
        <v>22.506</v>
      </c>
      <c r="AJ230" s="38"/>
      <c r="AL230" s="16"/>
      <c r="AM230" s="16"/>
      <c r="AN230" s="81"/>
      <c r="AO230" s="81"/>
      <c r="AP230" s="48"/>
      <c r="AR230" s="38"/>
      <c r="AS230" s="49"/>
      <c r="AU230" s="38"/>
      <c r="AW230" s="16"/>
      <c r="AX230" s="16"/>
      <c r="AY230" s="81"/>
      <c r="AZ230" s="81"/>
      <c r="BA230" s="48"/>
      <c r="BC230" s="38"/>
      <c r="BD230" s="49"/>
    </row>
    <row r="231" spans="22:56" ht="16" x14ac:dyDescent="0.4">
      <c r="V231" s="97">
        <v>45773</v>
      </c>
      <c r="W231" s="16">
        <v>139893</v>
      </c>
      <c r="X231" s="89" t="s">
        <v>36</v>
      </c>
      <c r="Y231" s="89"/>
      <c r="Z231" s="50">
        <v>0.96824074074074085</v>
      </c>
      <c r="AA231" s="50">
        <v>4.0486111111111105E-2</v>
      </c>
      <c r="AD231" s="48">
        <v>19902</v>
      </c>
      <c r="AE231" s="48">
        <f t="shared" si="27"/>
        <v>19.902000000000001</v>
      </c>
      <c r="AF231">
        <v>14.41</v>
      </c>
      <c r="AG231" s="72">
        <f t="shared" si="28"/>
        <v>14</v>
      </c>
      <c r="AH231" s="37">
        <f t="shared" si="29"/>
        <v>19.902000000000005</v>
      </c>
      <c r="AJ231" s="38"/>
      <c r="AL231" s="16"/>
      <c r="AM231" s="16"/>
      <c r="AN231" s="81"/>
      <c r="AO231" s="81"/>
      <c r="AP231" s="48"/>
      <c r="AR231" s="38"/>
      <c r="AS231" s="49"/>
      <c r="AU231" s="38"/>
      <c r="AW231" s="16"/>
      <c r="AX231" s="16"/>
      <c r="AY231" s="81"/>
      <c r="AZ231" s="81"/>
      <c r="BA231" s="48"/>
      <c r="BC231" s="38"/>
      <c r="BD231" s="49"/>
    </row>
    <row r="232" spans="22:56" ht="16" x14ac:dyDescent="0.4">
      <c r="V232" s="97">
        <v>45773</v>
      </c>
      <c r="W232" s="16">
        <v>139904</v>
      </c>
      <c r="X232" s="89" t="s">
        <v>36</v>
      </c>
      <c r="Y232" s="89"/>
      <c r="Z232" s="50">
        <v>6.1122685185185183E-2</v>
      </c>
      <c r="AA232" s="50">
        <v>9.8993055555555556E-2</v>
      </c>
      <c r="AD232" s="48">
        <v>20828</v>
      </c>
      <c r="AE232" s="48">
        <f t="shared" si="27"/>
        <v>20.827999999999999</v>
      </c>
      <c r="AF232">
        <v>14.27</v>
      </c>
      <c r="AG232" s="72">
        <f t="shared" si="28"/>
        <v>14</v>
      </c>
      <c r="AH232" s="37">
        <f t="shared" si="29"/>
        <v>20.827999999999999</v>
      </c>
      <c r="AJ232" s="38"/>
      <c r="AL232" s="16"/>
      <c r="AM232" s="16"/>
      <c r="AN232" s="81"/>
      <c r="AO232" s="81"/>
      <c r="AP232" s="48"/>
      <c r="AR232" s="38"/>
      <c r="AS232" s="49"/>
      <c r="AU232" s="38"/>
      <c r="AW232" s="16"/>
      <c r="AX232" s="16"/>
      <c r="AY232" s="81"/>
      <c r="AZ232" s="81"/>
      <c r="BA232" s="48"/>
      <c r="BC232" s="38"/>
      <c r="BD232" s="49"/>
    </row>
    <row r="233" spans="22:56" ht="16" x14ac:dyDescent="0.4">
      <c r="V233" s="97">
        <v>45773</v>
      </c>
      <c r="W233" s="16">
        <v>139913</v>
      </c>
      <c r="X233" s="89" t="s">
        <v>36</v>
      </c>
      <c r="Y233" s="89"/>
      <c r="Z233" s="50">
        <v>0.71842592592592591</v>
      </c>
      <c r="AA233" s="50">
        <v>0.15181712962962965</v>
      </c>
      <c r="AD233" s="48">
        <v>20784</v>
      </c>
      <c r="AE233" s="48">
        <f t="shared" si="27"/>
        <v>20.783999999999999</v>
      </c>
      <c r="AF233">
        <v>14.88</v>
      </c>
      <c r="AG233" s="72">
        <f t="shared" si="28"/>
        <v>14</v>
      </c>
      <c r="AH233" s="37">
        <f t="shared" si="29"/>
        <v>20.783999999999999</v>
      </c>
      <c r="AJ233" s="38"/>
      <c r="AL233" s="16"/>
      <c r="AN233" s="81"/>
      <c r="AO233" s="81"/>
      <c r="AP233" s="48"/>
      <c r="AR233" s="38"/>
      <c r="AS233" s="49"/>
      <c r="AU233" s="38"/>
      <c r="AW233" s="16"/>
      <c r="AY233" s="81"/>
      <c r="AZ233" s="81"/>
      <c r="BA233" s="48"/>
      <c r="BC233" s="38"/>
      <c r="BD233" s="49"/>
    </row>
    <row r="234" spans="22:56" ht="16" x14ac:dyDescent="0.4">
      <c r="V234" s="97">
        <v>45773</v>
      </c>
      <c r="W234">
        <v>139919</v>
      </c>
      <c r="X234" s="89" t="s">
        <v>36</v>
      </c>
      <c r="Y234" s="89"/>
      <c r="Z234" s="50">
        <v>6.0995370370370366E-2</v>
      </c>
      <c r="AA234" s="50">
        <v>0.1957986111111111</v>
      </c>
      <c r="AD234" s="48">
        <v>20158</v>
      </c>
      <c r="AE234" s="48">
        <f t="shared" si="27"/>
        <v>20.158000000000001</v>
      </c>
      <c r="AF234">
        <v>14.04</v>
      </c>
      <c r="AG234" s="72">
        <f t="shared" si="28"/>
        <v>14</v>
      </c>
      <c r="AH234" s="37">
        <f t="shared" si="29"/>
        <v>20.157999999999998</v>
      </c>
      <c r="AJ234" s="38"/>
      <c r="AL234" s="16"/>
      <c r="AN234" s="81"/>
      <c r="AO234" s="81"/>
      <c r="AP234" s="48"/>
      <c r="AR234" s="38"/>
      <c r="AS234" s="49"/>
      <c r="AU234" s="38"/>
      <c r="AW234" s="16"/>
      <c r="AY234" s="81"/>
      <c r="AZ234" s="81"/>
      <c r="BA234" s="48"/>
      <c r="BC234" s="38"/>
      <c r="BD234" s="49"/>
    </row>
    <row r="235" spans="22:56" ht="16" x14ac:dyDescent="0.4">
      <c r="V235" s="97">
        <v>45773</v>
      </c>
      <c r="W235">
        <v>139924</v>
      </c>
      <c r="X235" s="89" t="s">
        <v>36</v>
      </c>
      <c r="Y235" s="89"/>
      <c r="Z235" s="50">
        <v>0.7368055555555556</v>
      </c>
      <c r="AA235" s="50">
        <v>0.23680555555555557</v>
      </c>
      <c r="AD235" s="48">
        <v>16972</v>
      </c>
      <c r="AE235" s="48">
        <f t="shared" si="27"/>
        <v>16.972000000000001</v>
      </c>
      <c r="AF235">
        <v>14.85</v>
      </c>
      <c r="AG235" s="72">
        <f t="shared" si="28"/>
        <v>14</v>
      </c>
      <c r="AH235" s="37">
        <f t="shared" si="29"/>
        <v>16.972000000000001</v>
      </c>
      <c r="AJ235" s="38"/>
      <c r="AL235" s="16"/>
      <c r="AN235" s="81"/>
      <c r="AO235" s="81"/>
      <c r="AP235" s="48"/>
      <c r="AR235" s="38"/>
      <c r="AS235" s="49"/>
      <c r="AU235" s="38"/>
      <c r="AW235" s="16"/>
      <c r="AY235" s="81"/>
      <c r="AZ235" s="81"/>
      <c r="BA235" s="48"/>
      <c r="BC235" s="38"/>
      <c r="BD235" s="49"/>
    </row>
    <row r="236" spans="22:56" ht="16" x14ac:dyDescent="0.4">
      <c r="V236" s="97">
        <v>45773</v>
      </c>
      <c r="W236">
        <v>139975</v>
      </c>
      <c r="X236" s="89" t="s">
        <v>36</v>
      </c>
      <c r="Y236" s="89"/>
      <c r="Z236" s="50">
        <v>6.0416666666666667E-2</v>
      </c>
      <c r="AA236" s="50">
        <v>0.34236111111111112</v>
      </c>
      <c r="AD236" s="48">
        <v>22938</v>
      </c>
      <c r="AE236" s="48">
        <f t="shared" si="27"/>
        <v>22.937999999999999</v>
      </c>
      <c r="AF236">
        <v>14.95</v>
      </c>
      <c r="AG236" s="72">
        <f t="shared" si="28"/>
        <v>14</v>
      </c>
      <c r="AH236" s="37">
        <f t="shared" si="29"/>
        <v>22.937999999999999</v>
      </c>
      <c r="AJ236" s="38"/>
      <c r="AL236" s="16"/>
      <c r="AN236" s="81"/>
      <c r="AP236" s="48"/>
      <c r="AR236" s="38"/>
      <c r="AS236" s="49"/>
      <c r="AU236" s="38"/>
      <c r="AW236" s="16"/>
      <c r="AY236" s="81"/>
      <c r="BA236" s="48"/>
      <c r="BC236" s="38"/>
      <c r="BD236" s="49"/>
    </row>
    <row r="237" spans="22:56" ht="16" x14ac:dyDescent="0.4">
      <c r="V237" s="97">
        <v>45773</v>
      </c>
      <c r="W237">
        <v>140057</v>
      </c>
      <c r="X237" s="89" t="s">
        <v>36</v>
      </c>
      <c r="Y237" s="89"/>
      <c r="Z237" s="50">
        <v>0.27152777777777776</v>
      </c>
      <c r="AA237" s="50">
        <v>0.43888888888888888</v>
      </c>
      <c r="AD237" s="48">
        <v>21522</v>
      </c>
      <c r="AE237" s="48">
        <f t="shared" si="27"/>
        <v>21.521999999999998</v>
      </c>
      <c r="AF237">
        <v>14.27</v>
      </c>
      <c r="AG237" s="72">
        <f t="shared" si="28"/>
        <v>14</v>
      </c>
      <c r="AH237" s="37">
        <f t="shared" si="29"/>
        <v>21.521999999999998</v>
      </c>
      <c r="AJ237" s="38"/>
      <c r="AL237" s="16"/>
      <c r="AN237" s="81"/>
      <c r="AO237" s="81"/>
      <c r="AP237" s="48"/>
      <c r="AR237" s="38"/>
      <c r="AS237" s="49"/>
      <c r="AU237" s="38"/>
      <c r="AW237" s="16"/>
      <c r="AY237" s="81"/>
      <c r="AZ237" s="81"/>
      <c r="BA237" s="48"/>
      <c r="BC237" s="38"/>
      <c r="BD237" s="49"/>
    </row>
    <row r="238" spans="22:56" ht="16" x14ac:dyDescent="0.4">
      <c r="V238" s="97">
        <v>45773</v>
      </c>
      <c r="W238">
        <v>140100</v>
      </c>
      <c r="X238" s="89" t="s">
        <v>36</v>
      </c>
      <c r="Y238" s="89"/>
      <c r="Z238" s="50">
        <v>0.39999999999999997</v>
      </c>
      <c r="AA238" s="50">
        <v>0.51458333333333328</v>
      </c>
      <c r="AD238" s="48">
        <v>22056</v>
      </c>
      <c r="AE238" s="48">
        <f t="shared" si="27"/>
        <v>22.056000000000001</v>
      </c>
      <c r="AF238">
        <v>13.49</v>
      </c>
      <c r="AG238" s="72">
        <f t="shared" si="28"/>
        <v>13.49</v>
      </c>
      <c r="AH238" s="37">
        <f t="shared" si="29"/>
        <v>21.252531428571427</v>
      </c>
      <c r="AJ238" s="38"/>
      <c r="AL238" s="16"/>
      <c r="AN238" s="81"/>
      <c r="AO238" s="81"/>
      <c r="AP238" s="48"/>
      <c r="AR238" s="38"/>
      <c r="AS238" s="49"/>
      <c r="AU238" s="38"/>
      <c r="AW238" s="16"/>
      <c r="AY238" s="81"/>
      <c r="AZ238" s="81"/>
      <c r="BA238" s="48"/>
      <c r="BC238" s="38"/>
      <c r="BD238" s="49"/>
    </row>
    <row r="239" spans="22:56" ht="16" x14ac:dyDescent="0.4">
      <c r="V239" s="97">
        <v>45773</v>
      </c>
      <c r="W239">
        <v>140139</v>
      </c>
      <c r="X239" s="89" t="s">
        <v>36</v>
      </c>
      <c r="Y239" s="89"/>
      <c r="Z239" s="50">
        <v>0.68333333333333324</v>
      </c>
      <c r="AA239" s="50">
        <v>0.59305555555555556</v>
      </c>
      <c r="AD239" s="48">
        <v>17606</v>
      </c>
      <c r="AE239" s="48">
        <f t="shared" si="27"/>
        <v>17.606000000000002</v>
      </c>
      <c r="AF239">
        <v>14.34</v>
      </c>
      <c r="AG239" s="72">
        <f t="shared" si="28"/>
        <v>14</v>
      </c>
      <c r="AH239" s="37">
        <f t="shared" si="29"/>
        <v>17.606000000000002</v>
      </c>
      <c r="AJ239" s="38"/>
      <c r="AL239" s="16"/>
      <c r="AP239" s="48"/>
      <c r="AR239" s="38"/>
      <c r="AS239" s="49"/>
      <c r="AU239" s="38"/>
      <c r="AW239" s="16"/>
      <c r="BA239" s="48"/>
      <c r="BC239" s="38"/>
      <c r="BD239" s="49"/>
    </row>
    <row r="240" spans="22:56" ht="16" x14ac:dyDescent="0.4">
      <c r="V240" s="97">
        <v>45773</v>
      </c>
      <c r="W240">
        <v>140180</v>
      </c>
      <c r="X240" s="89" t="s">
        <v>36</v>
      </c>
      <c r="Y240" s="89"/>
      <c r="Z240" s="50">
        <v>0.39999999999999997</v>
      </c>
      <c r="AA240" s="50">
        <v>0.66319444444444442</v>
      </c>
      <c r="AD240" s="48">
        <v>21088</v>
      </c>
      <c r="AE240" s="48">
        <f t="shared" si="27"/>
        <v>21.088000000000001</v>
      </c>
      <c r="AF240">
        <v>14.23</v>
      </c>
      <c r="AG240" s="72">
        <f t="shared" si="28"/>
        <v>14</v>
      </c>
      <c r="AH240" s="37">
        <f t="shared" si="29"/>
        <v>21.088000000000001</v>
      </c>
      <c r="AJ240" s="38"/>
      <c r="AL240" s="16"/>
      <c r="AN240" s="81"/>
      <c r="AO240" s="81"/>
      <c r="AP240" s="48"/>
      <c r="AR240" s="38"/>
      <c r="AS240" s="49"/>
      <c r="AU240" s="38"/>
      <c r="AW240" s="16"/>
      <c r="AY240" s="81"/>
      <c r="AZ240" s="81"/>
      <c r="BA240" s="48"/>
      <c r="BC240" s="38"/>
      <c r="BD240" s="49"/>
    </row>
    <row r="241" spans="22:56" ht="16" x14ac:dyDescent="0.4">
      <c r="V241" s="97">
        <v>45773</v>
      </c>
      <c r="W241">
        <v>140200</v>
      </c>
      <c r="X241" s="89" t="s">
        <v>36</v>
      </c>
      <c r="Y241" s="89"/>
      <c r="Z241" s="50">
        <v>0.39999999999999997</v>
      </c>
      <c r="AA241" s="50">
        <v>0.72569444444444453</v>
      </c>
      <c r="AD241" s="48">
        <v>18630</v>
      </c>
      <c r="AE241" s="48">
        <f t="shared" si="27"/>
        <v>18.63</v>
      </c>
      <c r="AF241">
        <v>13.66</v>
      </c>
      <c r="AG241" s="72">
        <f t="shared" si="28"/>
        <v>13.66</v>
      </c>
      <c r="AH241" s="37">
        <f t="shared" si="29"/>
        <v>18.177557142857143</v>
      </c>
      <c r="AJ241" s="38"/>
      <c r="AL241" s="16"/>
      <c r="AN241" s="81"/>
      <c r="AO241" s="81"/>
      <c r="AP241" s="48"/>
      <c r="AR241" s="38"/>
      <c r="AS241" s="49"/>
      <c r="AU241" s="38"/>
      <c r="AW241" s="16"/>
      <c r="AY241" s="81"/>
      <c r="AZ241" s="81"/>
      <c r="BA241" s="48"/>
      <c r="BC241" s="38"/>
      <c r="BD241" s="49"/>
    </row>
    <row r="242" spans="22:56" ht="16" x14ac:dyDescent="0.4">
      <c r="V242" s="97">
        <v>45773</v>
      </c>
      <c r="W242">
        <v>140223</v>
      </c>
      <c r="X242" s="89" t="s">
        <v>36</v>
      </c>
      <c r="Y242" s="89"/>
      <c r="Z242" s="50">
        <v>0.75361111111111112</v>
      </c>
      <c r="AA242" s="50">
        <v>0.81472222222222224</v>
      </c>
      <c r="AD242" s="48">
        <v>21248</v>
      </c>
      <c r="AE242" s="48">
        <f t="shared" si="27"/>
        <v>21.248000000000001</v>
      </c>
      <c r="AF242">
        <v>14.02</v>
      </c>
      <c r="AG242" s="72">
        <f t="shared" si="28"/>
        <v>14</v>
      </c>
      <c r="AH242" s="37">
        <f t="shared" si="29"/>
        <v>21.248000000000001</v>
      </c>
      <c r="AJ242" s="38"/>
      <c r="AL242" s="16"/>
      <c r="AN242" s="81"/>
      <c r="AO242" s="81"/>
      <c r="AP242" s="48"/>
      <c r="AR242" s="38"/>
      <c r="AS242" s="49"/>
      <c r="AU242" s="38"/>
      <c r="AW242" s="16"/>
      <c r="AY242" s="81"/>
      <c r="AZ242" s="81"/>
      <c r="BA242" s="48"/>
      <c r="BC242" s="38"/>
      <c r="BD242" s="49"/>
    </row>
    <row r="243" spans="22:56" ht="16" x14ac:dyDescent="0.4">
      <c r="V243" s="97">
        <v>45773</v>
      </c>
      <c r="W243">
        <v>140247</v>
      </c>
      <c r="X243" s="89" t="s">
        <v>36</v>
      </c>
      <c r="Y243" s="89"/>
      <c r="Z243" s="50">
        <v>0.80103009259259261</v>
      </c>
      <c r="AA243" s="50">
        <v>0.87502314814814808</v>
      </c>
      <c r="AD243" s="48">
        <v>19652</v>
      </c>
      <c r="AE243" s="48">
        <f t="shared" si="27"/>
        <v>19.652000000000001</v>
      </c>
      <c r="AF243">
        <v>14.91</v>
      </c>
      <c r="AG243" s="72">
        <f t="shared" si="28"/>
        <v>14</v>
      </c>
      <c r="AH243" s="37">
        <f t="shared" si="29"/>
        <v>19.652000000000005</v>
      </c>
      <c r="AJ243" s="38"/>
      <c r="AL243" s="16"/>
      <c r="AN243" s="39"/>
      <c r="AO243" s="39"/>
      <c r="AP243" s="48"/>
      <c r="AR243" s="38"/>
      <c r="AS243" s="49"/>
      <c r="AU243" s="38"/>
      <c r="AW243" s="16"/>
      <c r="AY243" s="39"/>
      <c r="AZ243" s="39"/>
      <c r="BA243" s="48"/>
      <c r="BC243" s="38"/>
      <c r="BD243" s="49"/>
    </row>
    <row r="244" spans="22:56" ht="16" x14ac:dyDescent="0.4">
      <c r="V244" s="97">
        <v>45773</v>
      </c>
      <c r="W244">
        <v>140260</v>
      </c>
      <c r="X244" s="89" t="s">
        <v>36</v>
      </c>
      <c r="Y244" s="89"/>
      <c r="Z244" s="50">
        <v>0.42056712962962961</v>
      </c>
      <c r="AA244" s="50">
        <v>0.9258912037037037</v>
      </c>
      <c r="AD244" s="48">
        <v>20400</v>
      </c>
      <c r="AE244" s="48">
        <f t="shared" si="27"/>
        <v>20.399999999999999</v>
      </c>
      <c r="AF244">
        <v>15.86</v>
      </c>
      <c r="AG244" s="72">
        <f t="shared" si="28"/>
        <v>14</v>
      </c>
      <c r="AH244" s="37">
        <f t="shared" si="29"/>
        <v>20.399999999999999</v>
      </c>
      <c r="AJ244" s="38"/>
      <c r="AL244" s="16"/>
      <c r="AN244" s="81"/>
      <c r="AO244" s="81"/>
      <c r="AP244" s="48"/>
      <c r="AR244" s="38"/>
      <c r="AS244" s="49"/>
      <c r="AU244" s="38"/>
      <c r="AW244" s="16"/>
      <c r="AY244" s="81"/>
      <c r="AZ244" s="81"/>
      <c r="BA244" s="48"/>
      <c r="BC244" s="38"/>
      <c r="BD244" s="49"/>
    </row>
    <row r="245" spans="22:56" ht="16" x14ac:dyDescent="0.4">
      <c r="V245" s="97">
        <v>45774</v>
      </c>
      <c r="W245">
        <v>140284</v>
      </c>
      <c r="X245" s="89" t="s">
        <v>36</v>
      </c>
      <c r="Y245" s="89"/>
      <c r="Z245" s="50">
        <v>0.27206018518518521</v>
      </c>
      <c r="AA245" s="50">
        <v>8.0787037037037043E-3</v>
      </c>
      <c r="AD245" s="48">
        <v>22698</v>
      </c>
      <c r="AE245" s="48">
        <f t="shared" si="27"/>
        <v>22.698</v>
      </c>
      <c r="AF245">
        <v>15.04</v>
      </c>
      <c r="AG245" s="72">
        <f t="shared" si="28"/>
        <v>14</v>
      </c>
      <c r="AH245" s="37">
        <f t="shared" si="29"/>
        <v>22.698</v>
      </c>
      <c r="AJ245" s="38"/>
      <c r="AK245" s="81"/>
      <c r="AL245" s="16"/>
      <c r="AN245" s="81"/>
      <c r="AO245" s="81"/>
      <c r="AP245" s="48"/>
      <c r="AR245" s="38"/>
      <c r="AS245" s="49"/>
      <c r="AU245" s="38"/>
      <c r="AV245" s="81"/>
      <c r="AW245" s="16"/>
      <c r="AY245" s="81"/>
      <c r="AZ245" s="81"/>
      <c r="BA245" s="48"/>
      <c r="BC245" s="38"/>
      <c r="BD245" s="49"/>
    </row>
    <row r="246" spans="22:56" ht="16" x14ac:dyDescent="0.4">
      <c r="V246" s="97">
        <v>45774</v>
      </c>
      <c r="W246">
        <v>140292</v>
      </c>
      <c r="X246" s="89" t="s">
        <v>36</v>
      </c>
      <c r="Y246" s="89"/>
      <c r="Z246" s="50">
        <v>0.75377314814814822</v>
      </c>
      <c r="AA246" s="50">
        <v>6.8136574074074072E-2</v>
      </c>
      <c r="AD246" s="48">
        <v>21548</v>
      </c>
      <c r="AE246" s="48">
        <f t="shared" si="27"/>
        <v>21.547999999999998</v>
      </c>
      <c r="AF246">
        <v>14.73</v>
      </c>
      <c r="AG246" s="72">
        <f t="shared" si="28"/>
        <v>14</v>
      </c>
      <c r="AH246" s="37">
        <f t="shared" si="29"/>
        <v>21.547999999999998</v>
      </c>
      <c r="AJ246" s="38"/>
      <c r="AL246" s="16"/>
      <c r="AN246" s="81"/>
      <c r="AO246" s="81"/>
      <c r="AP246" s="48"/>
      <c r="AR246" s="38"/>
      <c r="AS246" s="49"/>
      <c r="AU246" s="38"/>
      <c r="AW246" s="16"/>
      <c r="AY246" s="81"/>
      <c r="AZ246" s="81"/>
      <c r="BA246" s="48"/>
      <c r="BC246" s="38"/>
      <c r="BD246" s="49"/>
    </row>
    <row r="247" spans="22:56" ht="16" x14ac:dyDescent="0.4">
      <c r="V247" s="97">
        <v>45774</v>
      </c>
      <c r="W247">
        <v>140306</v>
      </c>
      <c r="X247" s="89" t="s">
        <v>36</v>
      </c>
      <c r="Y247" s="89"/>
      <c r="Z247" s="50">
        <v>0.27180555555555558</v>
      </c>
      <c r="AA247" s="50">
        <v>0.13087962962962962</v>
      </c>
      <c r="AD247" s="48">
        <v>20844</v>
      </c>
      <c r="AE247" s="48">
        <f t="shared" si="27"/>
        <v>20.844000000000001</v>
      </c>
      <c r="AF247">
        <v>14.05</v>
      </c>
      <c r="AG247" s="72">
        <f t="shared" si="28"/>
        <v>14</v>
      </c>
      <c r="AH247" s="37">
        <f t="shared" si="29"/>
        <v>20.844000000000001</v>
      </c>
      <c r="AJ247" s="38"/>
      <c r="AL247" s="16"/>
      <c r="AN247" s="81"/>
      <c r="AO247" s="81"/>
      <c r="AP247" s="48"/>
      <c r="AR247" s="38"/>
      <c r="AS247" s="49"/>
      <c r="AU247" s="38"/>
      <c r="AW247" s="16"/>
      <c r="AY247" s="81"/>
      <c r="AZ247" s="81"/>
      <c r="BA247" s="48"/>
      <c r="BC247" s="38"/>
      <c r="BD247" s="49"/>
    </row>
    <row r="248" spans="22:56" ht="16" x14ac:dyDescent="0.4">
      <c r="V248" s="97">
        <v>45774</v>
      </c>
      <c r="W248">
        <v>140309</v>
      </c>
      <c r="X248" s="89" t="s">
        <v>36</v>
      </c>
      <c r="Y248" s="89"/>
      <c r="Z248" s="50">
        <v>0.11445601851851851</v>
      </c>
      <c r="AA248" s="50">
        <v>0.17408564814814817</v>
      </c>
      <c r="AD248" s="48">
        <v>20266</v>
      </c>
      <c r="AE248" s="48">
        <f t="shared" si="27"/>
        <v>20.265999999999998</v>
      </c>
      <c r="AF248">
        <v>14.35</v>
      </c>
      <c r="AG248" s="72">
        <f t="shared" si="28"/>
        <v>14</v>
      </c>
      <c r="AH248" s="37">
        <f t="shared" si="29"/>
        <v>20.265999999999998</v>
      </c>
      <c r="AJ248" s="38"/>
      <c r="AL248" s="16"/>
      <c r="AN248" s="81"/>
      <c r="AO248" s="81"/>
      <c r="AP248" s="48"/>
      <c r="AR248" s="38"/>
      <c r="AS248" s="49"/>
      <c r="AU248" s="38"/>
      <c r="AW248" s="16"/>
      <c r="AY248" s="81"/>
      <c r="AZ248" s="81"/>
      <c r="BA248" s="48"/>
      <c r="BC248" s="38"/>
      <c r="BD248" s="49"/>
    </row>
    <row r="249" spans="22:56" ht="16" x14ac:dyDescent="0.4">
      <c r="V249" s="97">
        <v>45774</v>
      </c>
      <c r="W249">
        <v>140313</v>
      </c>
      <c r="X249" s="89" t="s">
        <v>36</v>
      </c>
      <c r="Y249" s="89"/>
      <c r="Z249" s="50">
        <v>0.18331018518518519</v>
      </c>
      <c r="AA249" s="50">
        <v>0.22320601851851851</v>
      </c>
      <c r="AD249" s="48">
        <v>19388</v>
      </c>
      <c r="AE249" s="48">
        <f t="shared" si="27"/>
        <v>19.388000000000002</v>
      </c>
      <c r="AF249">
        <v>14.55</v>
      </c>
      <c r="AG249" s="72">
        <f t="shared" si="28"/>
        <v>14</v>
      </c>
      <c r="AH249" s="37">
        <f t="shared" si="29"/>
        <v>19.388000000000002</v>
      </c>
      <c r="AJ249" s="38"/>
      <c r="AL249" s="16"/>
      <c r="AN249" s="81"/>
      <c r="AO249" s="81"/>
      <c r="AP249" s="48"/>
      <c r="AR249" s="38"/>
      <c r="AS249" s="49"/>
      <c r="AU249" s="38"/>
      <c r="AW249" s="16"/>
      <c r="AY249" s="81"/>
      <c r="AZ249" s="81"/>
      <c r="BA249" s="48"/>
      <c r="BC249" s="38"/>
      <c r="BD249" s="49"/>
    </row>
    <row r="250" spans="22:56" ht="16" x14ac:dyDescent="0.4">
      <c r="V250" s="97">
        <v>45774</v>
      </c>
      <c r="W250">
        <v>140325</v>
      </c>
      <c r="X250" s="89" t="s">
        <v>36</v>
      </c>
      <c r="Y250" s="89"/>
      <c r="Z250" s="50">
        <v>0.62013888888888891</v>
      </c>
      <c r="AA250" s="50">
        <v>0.2951388888888889</v>
      </c>
      <c r="AD250" s="48">
        <v>17910</v>
      </c>
      <c r="AE250" s="48">
        <f t="shared" ref="AE250:AE312" si="30">AD250/1000</f>
        <v>17.91</v>
      </c>
      <c r="AF250">
        <v>12.74</v>
      </c>
      <c r="AG250" s="72">
        <f t="shared" si="28"/>
        <v>12.74</v>
      </c>
      <c r="AH250" s="37">
        <f t="shared" si="29"/>
        <v>16.298100000000002</v>
      </c>
      <c r="AJ250" s="38"/>
      <c r="AL250" s="16"/>
      <c r="AN250" s="81"/>
      <c r="AO250" s="81"/>
      <c r="AP250" s="48"/>
      <c r="AR250" s="38"/>
      <c r="AS250" s="49"/>
      <c r="AU250" s="38"/>
      <c r="AW250" s="16"/>
      <c r="AY250" s="81"/>
      <c r="AZ250" s="81"/>
      <c r="BA250" s="48"/>
      <c r="BC250" s="38"/>
      <c r="BD250" s="49"/>
    </row>
    <row r="251" spans="22:56" ht="16" x14ac:dyDescent="0.4">
      <c r="V251" s="97">
        <v>45775</v>
      </c>
      <c r="W251">
        <v>140876</v>
      </c>
      <c r="X251" s="89" t="s">
        <v>36</v>
      </c>
      <c r="Y251" s="89"/>
      <c r="Z251" s="50">
        <v>0.18305555555555555</v>
      </c>
      <c r="AA251" s="50">
        <v>0.81109953703703708</v>
      </c>
      <c r="AD251" s="48">
        <v>18864</v>
      </c>
      <c r="AE251" s="48">
        <f t="shared" si="30"/>
        <v>18.864000000000001</v>
      </c>
      <c r="AF251">
        <v>15.55</v>
      </c>
      <c r="AG251" s="72">
        <f t="shared" ref="AG251:AG313" si="31">IF($AF251&gt;14,14,$AF251)</f>
        <v>14</v>
      </c>
      <c r="AH251" s="37">
        <f t="shared" si="29"/>
        <v>18.864000000000001</v>
      </c>
      <c r="AJ251" s="38"/>
      <c r="AL251" s="16"/>
      <c r="AN251" s="81"/>
      <c r="AO251" s="81"/>
      <c r="AP251" s="48"/>
      <c r="AR251" s="38"/>
      <c r="AS251" s="49"/>
      <c r="AU251" s="38"/>
      <c r="AW251" s="16"/>
      <c r="AY251" s="81"/>
      <c r="AZ251" s="81"/>
      <c r="BA251" s="48"/>
      <c r="BC251" s="38"/>
      <c r="BD251" s="49"/>
    </row>
    <row r="252" spans="22:56" ht="16" x14ac:dyDescent="0.4">
      <c r="V252" s="97">
        <v>45775</v>
      </c>
      <c r="W252">
        <v>140902</v>
      </c>
      <c r="X252" s="89" t="s">
        <v>36</v>
      </c>
      <c r="Y252" s="89"/>
      <c r="Z252" s="50">
        <v>0.11421296296296296</v>
      </c>
      <c r="AA252" s="50">
        <v>0.87141203703703696</v>
      </c>
      <c r="AD252" s="48">
        <v>21628</v>
      </c>
      <c r="AE252" s="48">
        <f t="shared" si="30"/>
        <v>21.628</v>
      </c>
      <c r="AF252">
        <v>14.73</v>
      </c>
      <c r="AG252" s="72">
        <f t="shared" si="31"/>
        <v>14</v>
      </c>
      <c r="AH252" s="37">
        <f t="shared" si="29"/>
        <v>21.628000000000004</v>
      </c>
      <c r="AJ252" s="38"/>
      <c r="AL252" s="16"/>
      <c r="AN252" s="81"/>
      <c r="AO252" s="81"/>
      <c r="AP252" s="48"/>
      <c r="AR252" s="38"/>
      <c r="AS252" s="49"/>
      <c r="AU252" s="38"/>
      <c r="AW252" s="16"/>
      <c r="AY252" s="81"/>
      <c r="AZ252" s="81"/>
      <c r="BA252" s="48"/>
      <c r="BC252" s="38"/>
      <c r="BD252" s="49"/>
    </row>
    <row r="253" spans="22:56" ht="16" x14ac:dyDescent="0.4">
      <c r="V253" s="97">
        <v>45775</v>
      </c>
      <c r="W253">
        <v>140943</v>
      </c>
      <c r="X253" s="89" t="s">
        <v>36</v>
      </c>
      <c r="Y253" s="89"/>
      <c r="Z253" s="50">
        <v>0.71142361111111108</v>
      </c>
      <c r="AA253" s="50">
        <v>0.96327546296296296</v>
      </c>
      <c r="AD253" s="48">
        <v>22304</v>
      </c>
      <c r="AE253" s="48">
        <f t="shared" si="30"/>
        <v>22.303999999999998</v>
      </c>
      <c r="AF253">
        <v>14.72</v>
      </c>
      <c r="AG253" s="72">
        <f t="shared" si="31"/>
        <v>14</v>
      </c>
      <c r="AH253" s="37">
        <f t="shared" si="29"/>
        <v>22.303999999999998</v>
      </c>
      <c r="AJ253" s="38"/>
      <c r="AL253" s="16"/>
      <c r="AN253" s="81"/>
      <c r="AO253" s="81"/>
      <c r="AP253" s="48"/>
      <c r="AR253" s="38"/>
      <c r="AS253" s="49"/>
      <c r="AU253" s="38"/>
      <c r="AW253" s="16"/>
      <c r="AY253" s="81"/>
      <c r="AZ253" s="81"/>
      <c r="BA253" s="48"/>
      <c r="BC253" s="38"/>
      <c r="BD253" s="49"/>
    </row>
    <row r="254" spans="22:56" ht="16" x14ac:dyDescent="0.4">
      <c r="V254" s="97">
        <v>45776</v>
      </c>
      <c r="W254">
        <v>140950</v>
      </c>
      <c r="X254" s="89" t="s">
        <v>36</v>
      </c>
      <c r="Y254" s="89"/>
      <c r="Z254" s="50">
        <v>0.7543981481481481</v>
      </c>
      <c r="AA254" s="50">
        <v>1.7013888888888887E-2</v>
      </c>
      <c r="AD254" s="48">
        <v>20868</v>
      </c>
      <c r="AE254" s="48">
        <f t="shared" si="30"/>
        <v>20.867999999999999</v>
      </c>
      <c r="AF254">
        <v>14.43</v>
      </c>
      <c r="AG254" s="72">
        <f t="shared" si="31"/>
        <v>14</v>
      </c>
      <c r="AH254" s="37">
        <f t="shared" si="29"/>
        <v>20.867999999999999</v>
      </c>
      <c r="AJ254" s="38"/>
      <c r="AL254" s="16"/>
      <c r="AP254" s="48"/>
      <c r="AR254" s="38"/>
      <c r="AS254" s="49"/>
      <c r="AU254" s="38"/>
      <c r="AW254" s="16"/>
      <c r="BA254" s="48"/>
      <c r="BC254" s="38"/>
      <c r="BD254" s="49"/>
    </row>
    <row r="255" spans="22:56" ht="16" x14ac:dyDescent="0.4">
      <c r="V255" s="97">
        <v>45776</v>
      </c>
      <c r="W255">
        <v>140964</v>
      </c>
      <c r="X255" s="89" t="s">
        <v>36</v>
      </c>
      <c r="Y255" s="89"/>
      <c r="Z255" s="50">
        <v>9.9803240740740748E-2</v>
      </c>
      <c r="AA255" s="50">
        <v>7.8726851851851853E-2</v>
      </c>
      <c r="AD255" s="48">
        <v>22214</v>
      </c>
      <c r="AE255" s="48">
        <f t="shared" si="30"/>
        <v>22.213999999999999</v>
      </c>
      <c r="AF255">
        <v>14.05</v>
      </c>
      <c r="AG255" s="72">
        <f t="shared" si="31"/>
        <v>14</v>
      </c>
      <c r="AH255" s="37">
        <f t="shared" si="29"/>
        <v>22.213999999999999</v>
      </c>
      <c r="AJ255" s="38"/>
      <c r="AL255" s="16"/>
      <c r="AN255" s="81"/>
      <c r="AO255" s="81"/>
      <c r="AP255" s="48"/>
      <c r="AR255" s="38"/>
      <c r="AS255" s="71"/>
      <c r="AU255" s="38"/>
      <c r="AW255" s="16"/>
      <c r="AY255" s="81"/>
      <c r="AZ255" s="81"/>
      <c r="BA255" s="48"/>
      <c r="BC255" s="38"/>
      <c r="BD255" s="71"/>
    </row>
    <row r="256" spans="22:56" ht="16" x14ac:dyDescent="0.4">
      <c r="V256" s="97">
        <v>45776</v>
      </c>
      <c r="W256">
        <v>140972</v>
      </c>
      <c r="X256" s="89" t="s">
        <v>36</v>
      </c>
      <c r="Y256" s="89"/>
      <c r="Z256" s="50">
        <v>0.11431712962962963</v>
      </c>
      <c r="AA256" s="50">
        <v>0.13688657407407409</v>
      </c>
      <c r="AD256" s="48">
        <v>22040</v>
      </c>
      <c r="AE256" s="48">
        <f t="shared" si="30"/>
        <v>22.04</v>
      </c>
      <c r="AF256">
        <v>14.21</v>
      </c>
      <c r="AG256" s="72">
        <f t="shared" si="31"/>
        <v>14</v>
      </c>
      <c r="AH256" s="37">
        <f t="shared" si="29"/>
        <v>22.04</v>
      </c>
      <c r="AJ256" s="38"/>
      <c r="AL256" s="16"/>
      <c r="AN256" s="81"/>
      <c r="AO256" s="81"/>
      <c r="AP256" s="48"/>
      <c r="AR256" s="38"/>
      <c r="AS256" s="49"/>
      <c r="AU256" s="38"/>
      <c r="AW256" s="16"/>
      <c r="AY256" s="81"/>
      <c r="AZ256" s="81"/>
      <c r="BA256" s="48"/>
      <c r="BC256" s="38"/>
      <c r="BD256" s="49"/>
    </row>
    <row r="257" spans="22:56" ht="16" x14ac:dyDescent="0.4">
      <c r="V257" s="97">
        <v>45776</v>
      </c>
      <c r="W257">
        <v>140984</v>
      </c>
      <c r="X257" s="89" t="s">
        <v>36</v>
      </c>
      <c r="Y257" s="89"/>
      <c r="Z257" s="50">
        <v>0.12659722222222222</v>
      </c>
      <c r="AA257" s="50">
        <v>0.20395833333333332</v>
      </c>
      <c r="AD257" s="48">
        <v>21720</v>
      </c>
      <c r="AE257" s="48">
        <f t="shared" si="30"/>
        <v>21.72</v>
      </c>
      <c r="AF257">
        <v>14.31</v>
      </c>
      <c r="AG257" s="72">
        <f t="shared" si="31"/>
        <v>14</v>
      </c>
      <c r="AH257" s="37">
        <f t="shared" si="29"/>
        <v>21.72</v>
      </c>
      <c r="AJ257" s="38"/>
      <c r="AL257" s="16"/>
      <c r="AN257" s="81"/>
      <c r="AO257" s="81"/>
      <c r="AP257" s="48"/>
      <c r="AR257" s="38"/>
      <c r="AS257" s="49"/>
      <c r="AU257" s="38"/>
      <c r="AW257" s="16"/>
      <c r="AY257" s="81"/>
      <c r="AZ257" s="81"/>
      <c r="BA257" s="48"/>
      <c r="BC257" s="38"/>
      <c r="BD257" s="49"/>
    </row>
    <row r="258" spans="22:56" ht="16" x14ac:dyDescent="0.4">
      <c r="V258" s="97">
        <v>45776</v>
      </c>
      <c r="W258">
        <v>140998</v>
      </c>
      <c r="X258" s="89" t="s">
        <v>36</v>
      </c>
      <c r="Y258" s="89"/>
      <c r="Z258" s="50">
        <v>0.18124999999999999</v>
      </c>
      <c r="AA258" s="50">
        <v>0.3</v>
      </c>
      <c r="AD258" s="48">
        <v>17446</v>
      </c>
      <c r="AE258" s="48">
        <f t="shared" si="30"/>
        <v>17.446000000000002</v>
      </c>
      <c r="AF258">
        <v>12.56</v>
      </c>
      <c r="AG258" s="72">
        <f t="shared" si="31"/>
        <v>12.56</v>
      </c>
      <c r="AH258" s="37">
        <f t="shared" si="29"/>
        <v>15.651554285714287</v>
      </c>
      <c r="AJ258" s="97"/>
      <c r="AL258" s="16"/>
      <c r="AN258" s="39"/>
      <c r="AO258" s="39"/>
      <c r="AP258" s="47"/>
      <c r="AR258" s="38"/>
      <c r="AS258" s="49"/>
      <c r="AU258" s="97"/>
      <c r="AW258" s="16"/>
      <c r="AY258" s="39"/>
      <c r="AZ258" s="39"/>
      <c r="BA258" s="47"/>
      <c r="BC258" s="38"/>
      <c r="BD258" s="49"/>
    </row>
    <row r="259" spans="22:56" ht="16" x14ac:dyDescent="0.4">
      <c r="V259" s="97">
        <v>45776</v>
      </c>
      <c r="W259">
        <v>141059</v>
      </c>
      <c r="X259" s="89" t="s">
        <v>36</v>
      </c>
      <c r="Y259" s="89"/>
      <c r="Z259" s="50">
        <v>0.12638888888888888</v>
      </c>
      <c r="AA259" s="50">
        <v>0.35486111111111113</v>
      </c>
      <c r="AD259" s="48">
        <v>18438</v>
      </c>
      <c r="AE259" s="48">
        <f t="shared" si="30"/>
        <v>18.437999999999999</v>
      </c>
      <c r="AF259">
        <v>12.7</v>
      </c>
      <c r="AG259" s="72">
        <f t="shared" si="31"/>
        <v>12.7</v>
      </c>
      <c r="AH259" s="37">
        <f t="shared" si="29"/>
        <v>16.725899999999999</v>
      </c>
      <c r="AJ259" s="97"/>
      <c r="AL259" s="16"/>
      <c r="AP259" s="47"/>
      <c r="AR259" s="38"/>
      <c r="AS259" s="49"/>
      <c r="AU259" s="97"/>
      <c r="AW259" s="16"/>
      <c r="BA259" s="47"/>
      <c r="BC259" s="38"/>
      <c r="BD259" s="49"/>
    </row>
    <row r="260" spans="22:56" ht="16" x14ac:dyDescent="0.4">
      <c r="V260" s="97">
        <v>45776</v>
      </c>
      <c r="W260">
        <v>141121</v>
      </c>
      <c r="X260" s="89" t="s">
        <v>36</v>
      </c>
      <c r="Y260" s="89"/>
      <c r="Z260" s="50">
        <v>0.18124999999999999</v>
      </c>
      <c r="AA260" s="50">
        <v>0.42499999999999999</v>
      </c>
      <c r="AD260" s="48">
        <v>21524</v>
      </c>
      <c r="AE260" s="48">
        <f t="shared" si="30"/>
        <v>21.524000000000001</v>
      </c>
      <c r="AF260">
        <v>13.92</v>
      </c>
      <c r="AG260" s="72">
        <f t="shared" si="31"/>
        <v>13.92</v>
      </c>
      <c r="AH260" s="37">
        <f t="shared" si="29"/>
        <v>21.401005714285713</v>
      </c>
      <c r="AJ260" s="97"/>
      <c r="AL260" s="16"/>
      <c r="AN260" s="39"/>
      <c r="AO260" s="39"/>
      <c r="AP260" s="47"/>
      <c r="AR260" s="38"/>
      <c r="AS260" s="49"/>
      <c r="AU260" s="97"/>
      <c r="AW260" s="16"/>
      <c r="AY260" s="39"/>
      <c r="AZ260" s="39"/>
      <c r="BA260" s="47"/>
      <c r="BC260" s="38"/>
      <c r="BD260" s="49"/>
    </row>
    <row r="261" spans="22:56" ht="16" x14ac:dyDescent="0.4">
      <c r="V261" s="97">
        <v>45776</v>
      </c>
      <c r="W261">
        <v>141178</v>
      </c>
      <c r="X261" s="89" t="s">
        <v>36</v>
      </c>
      <c r="Y261" s="89"/>
      <c r="Z261" s="50">
        <v>0.12569444444444444</v>
      </c>
      <c r="AA261" s="50">
        <v>0.5229166666666667</v>
      </c>
      <c r="AD261" s="48">
        <v>20776</v>
      </c>
      <c r="AE261" s="48">
        <f t="shared" si="30"/>
        <v>20.776</v>
      </c>
      <c r="AF261">
        <v>14.45</v>
      </c>
      <c r="AG261" s="72">
        <f t="shared" si="31"/>
        <v>14</v>
      </c>
      <c r="AH261" s="37">
        <f t="shared" si="29"/>
        <v>20.776</v>
      </c>
      <c r="AJ261" s="97"/>
      <c r="AL261" s="16"/>
      <c r="AN261" s="39"/>
      <c r="AO261" s="39"/>
      <c r="AP261" s="47"/>
      <c r="AR261" s="38"/>
      <c r="AS261" s="49"/>
      <c r="AU261" s="97"/>
      <c r="AW261" s="16"/>
      <c r="AY261" s="39"/>
      <c r="AZ261" s="39"/>
      <c r="BA261" s="47"/>
      <c r="BC261" s="38"/>
      <c r="BD261" s="49"/>
    </row>
    <row r="262" spans="22:56" ht="16" x14ac:dyDescent="0.4">
      <c r="V262" s="97">
        <v>45776</v>
      </c>
      <c r="W262">
        <v>141247</v>
      </c>
      <c r="X262" s="89" t="s">
        <v>36</v>
      </c>
      <c r="Y262" s="89"/>
      <c r="Z262" s="50">
        <v>0.18124999999999999</v>
      </c>
      <c r="AA262" s="50">
        <v>0.59097222222222223</v>
      </c>
      <c r="AD262" s="48">
        <v>20166</v>
      </c>
      <c r="AE262" s="48">
        <f t="shared" si="30"/>
        <v>20.166</v>
      </c>
      <c r="AF262">
        <v>17.559999999999999</v>
      </c>
      <c r="AG262" s="72">
        <f t="shared" si="31"/>
        <v>14</v>
      </c>
      <c r="AH262" s="37">
        <f t="shared" ref="AH262:AH325" si="32">AE262*AG262/14</f>
        <v>20.166</v>
      </c>
      <c r="AJ262" s="97"/>
      <c r="AL262" s="16"/>
      <c r="AN262" s="39"/>
      <c r="AO262" s="39"/>
      <c r="AP262" s="94"/>
      <c r="AR262" s="38"/>
      <c r="AS262" s="49"/>
      <c r="AU262" s="97"/>
      <c r="AW262" s="16"/>
      <c r="AY262" s="39"/>
      <c r="AZ262" s="39"/>
      <c r="BA262" s="94"/>
      <c r="BC262" s="38"/>
      <c r="BD262" s="49"/>
    </row>
    <row r="263" spans="22:56" ht="16" x14ac:dyDescent="0.4">
      <c r="V263" s="97">
        <v>45776</v>
      </c>
      <c r="W263">
        <v>141285</v>
      </c>
      <c r="X263" s="89" t="s">
        <v>36</v>
      </c>
      <c r="Y263" s="89"/>
      <c r="Z263" s="50">
        <v>0.57430555555555551</v>
      </c>
      <c r="AA263" s="50">
        <v>0.65833333333333333</v>
      </c>
      <c r="AD263" s="48">
        <v>21722</v>
      </c>
      <c r="AE263" s="48">
        <f t="shared" si="30"/>
        <v>21.722000000000001</v>
      </c>
      <c r="AF263">
        <v>16.309999999999999</v>
      </c>
      <c r="AG263" s="72">
        <f t="shared" si="31"/>
        <v>14</v>
      </c>
      <c r="AH263" s="37">
        <f t="shared" si="32"/>
        <v>21.722000000000001</v>
      </c>
      <c r="AJ263" s="97"/>
      <c r="AL263" s="16"/>
      <c r="AN263" s="39"/>
      <c r="AO263" s="39"/>
      <c r="AP263" s="94"/>
      <c r="AR263" s="38"/>
      <c r="AS263" s="49"/>
      <c r="AU263" s="97"/>
      <c r="AW263" s="16"/>
      <c r="AY263" s="39"/>
      <c r="AZ263" s="39"/>
      <c r="BA263" s="94"/>
      <c r="BC263" s="38"/>
      <c r="BD263" s="49"/>
    </row>
    <row r="264" spans="22:56" ht="16" x14ac:dyDescent="0.4">
      <c r="V264" s="97">
        <v>45776</v>
      </c>
      <c r="W264">
        <v>141350</v>
      </c>
      <c r="X264" s="89" t="s">
        <v>36</v>
      </c>
      <c r="Y264" s="89"/>
      <c r="Z264" s="50">
        <v>0.65662037037037035</v>
      </c>
      <c r="AA264" s="50">
        <v>0.73417824074074067</v>
      </c>
      <c r="AD264" s="48">
        <v>19500</v>
      </c>
      <c r="AE264" s="48">
        <f t="shared" si="30"/>
        <v>19.5</v>
      </c>
      <c r="AF264">
        <v>16.73</v>
      </c>
      <c r="AG264" s="72">
        <f t="shared" si="31"/>
        <v>14</v>
      </c>
      <c r="AH264" s="37">
        <f t="shared" si="32"/>
        <v>19.5</v>
      </c>
      <c r="AJ264" s="97"/>
      <c r="AL264" s="16"/>
      <c r="AN264" s="39"/>
      <c r="AO264" s="39"/>
      <c r="AP264" s="94"/>
      <c r="AR264" s="38"/>
      <c r="AS264" s="49"/>
      <c r="AU264" s="97"/>
      <c r="AW264" s="16"/>
      <c r="AY264" s="39"/>
      <c r="AZ264" s="39"/>
      <c r="BA264" s="94"/>
      <c r="BC264" s="38"/>
      <c r="BD264" s="49"/>
    </row>
    <row r="265" spans="22:56" ht="16" x14ac:dyDescent="0.4">
      <c r="V265" s="97">
        <v>45776</v>
      </c>
      <c r="W265">
        <v>141384</v>
      </c>
      <c r="X265" s="89" t="s">
        <v>36</v>
      </c>
      <c r="Y265" s="89"/>
      <c r="Z265" s="50">
        <v>0.57489583333333327</v>
      </c>
      <c r="AA265" s="50">
        <v>0.83034722222222224</v>
      </c>
      <c r="AD265" s="48">
        <v>21122</v>
      </c>
      <c r="AE265" s="48">
        <f t="shared" si="30"/>
        <v>21.122</v>
      </c>
      <c r="AF265">
        <v>14.06</v>
      </c>
      <c r="AG265" s="72">
        <f t="shared" si="31"/>
        <v>14</v>
      </c>
      <c r="AH265" s="37">
        <f t="shared" si="32"/>
        <v>21.121999999999996</v>
      </c>
      <c r="AJ265" s="97"/>
      <c r="AL265" s="16"/>
      <c r="AN265" s="39"/>
      <c r="AO265" s="39"/>
      <c r="AP265" s="94"/>
      <c r="AR265" s="38"/>
      <c r="AS265" s="49"/>
      <c r="AU265" s="97"/>
      <c r="AW265" s="16"/>
      <c r="AY265" s="39"/>
      <c r="AZ265" s="39"/>
      <c r="BA265" s="94"/>
      <c r="BC265" s="38"/>
      <c r="BD265" s="49"/>
    </row>
    <row r="266" spans="22:56" ht="16" x14ac:dyDescent="0.4">
      <c r="V266" s="97">
        <v>45776</v>
      </c>
      <c r="W266">
        <v>141419</v>
      </c>
      <c r="X266" s="89" t="s">
        <v>36</v>
      </c>
      <c r="Y266" s="89"/>
      <c r="Z266" s="50">
        <v>0.61519675925925921</v>
      </c>
      <c r="AA266" s="50">
        <v>0.88403935185185178</v>
      </c>
      <c r="AD266" s="48">
        <v>21162</v>
      </c>
      <c r="AE266" s="48">
        <f t="shared" si="30"/>
        <v>21.161999999999999</v>
      </c>
      <c r="AF266">
        <v>14.56</v>
      </c>
      <c r="AG266" s="72">
        <f t="shared" si="31"/>
        <v>14</v>
      </c>
      <c r="AH266" s="37">
        <f t="shared" si="32"/>
        <v>21.161999999999999</v>
      </c>
      <c r="AJ266" s="97"/>
      <c r="AL266" s="16"/>
      <c r="AN266" s="39"/>
      <c r="AO266" s="39"/>
      <c r="AP266" s="94"/>
      <c r="AR266" s="38"/>
      <c r="AS266" s="49"/>
      <c r="AU266" s="97"/>
      <c r="AW266" s="16"/>
      <c r="AY266" s="39"/>
      <c r="AZ266" s="39"/>
      <c r="BA266" s="94"/>
      <c r="BC266" s="38"/>
      <c r="BD266" s="49"/>
    </row>
    <row r="267" spans="22:56" ht="16" x14ac:dyDescent="0.4">
      <c r="V267" s="97">
        <v>45776</v>
      </c>
      <c r="W267">
        <v>141449</v>
      </c>
      <c r="X267" s="89" t="s">
        <v>36</v>
      </c>
      <c r="Y267" s="89"/>
      <c r="Z267" s="50">
        <v>0.72024305555555557</v>
      </c>
      <c r="AA267" s="50">
        <v>0.95023148148148151</v>
      </c>
      <c r="AD267" s="48">
        <v>21212</v>
      </c>
      <c r="AE267" s="48">
        <f t="shared" si="30"/>
        <v>21.212</v>
      </c>
      <c r="AF267">
        <v>14.35</v>
      </c>
      <c r="AG267" s="72">
        <f t="shared" si="31"/>
        <v>14</v>
      </c>
      <c r="AH267" s="37">
        <f t="shared" si="32"/>
        <v>21.212</v>
      </c>
      <c r="AJ267" s="97"/>
      <c r="AL267" s="16"/>
      <c r="AN267" s="39"/>
      <c r="AO267" s="39"/>
      <c r="AP267" s="47"/>
      <c r="AR267" s="38"/>
      <c r="AS267" s="49"/>
      <c r="AU267" s="97"/>
      <c r="AW267" s="16"/>
      <c r="AY267" s="39"/>
      <c r="AZ267" s="39"/>
      <c r="BA267" s="47"/>
      <c r="BC267" s="38"/>
      <c r="BD267" s="49"/>
    </row>
    <row r="268" spans="22:56" ht="16" x14ac:dyDescent="0.4">
      <c r="V268" s="97">
        <v>45777</v>
      </c>
      <c r="W268">
        <v>141473</v>
      </c>
      <c r="X268" s="89" t="s">
        <v>36</v>
      </c>
      <c r="Y268" s="89"/>
      <c r="Z268" s="50">
        <v>0.65673611111111108</v>
      </c>
      <c r="AA268" s="50">
        <v>2.1724537037037039E-2</v>
      </c>
      <c r="AD268" s="48">
        <v>20984</v>
      </c>
      <c r="AE268" s="48">
        <f t="shared" si="30"/>
        <v>20.984000000000002</v>
      </c>
      <c r="AF268">
        <v>14.49</v>
      </c>
      <c r="AG268" s="72">
        <f t="shared" si="31"/>
        <v>14</v>
      </c>
      <c r="AH268" s="37">
        <f t="shared" si="32"/>
        <v>20.984000000000002</v>
      </c>
      <c r="AJ268" s="97"/>
      <c r="AL268" s="16"/>
      <c r="AN268" s="39"/>
      <c r="AO268" s="39"/>
      <c r="AP268" s="47"/>
      <c r="AR268" s="38"/>
      <c r="AS268" s="49"/>
      <c r="AU268" s="97"/>
      <c r="AW268" s="16"/>
      <c r="AY268" s="39"/>
      <c r="AZ268" s="39"/>
      <c r="BA268" s="47"/>
      <c r="BC268" s="38"/>
      <c r="BD268" s="49"/>
    </row>
    <row r="269" spans="22:56" ht="16" x14ac:dyDescent="0.4">
      <c r="V269" s="97">
        <v>45777</v>
      </c>
      <c r="W269">
        <v>141487</v>
      </c>
      <c r="X269" s="89" t="s">
        <v>36</v>
      </c>
      <c r="Y269" s="89"/>
      <c r="Z269" s="50">
        <v>0.57511574074074068</v>
      </c>
      <c r="AA269" s="50">
        <v>7.7488425925925933E-2</v>
      </c>
      <c r="AD269" s="48">
        <v>20038</v>
      </c>
      <c r="AE269" s="48">
        <f t="shared" si="30"/>
        <v>20.038</v>
      </c>
      <c r="AF269">
        <v>14.99</v>
      </c>
      <c r="AG269" s="72">
        <f t="shared" si="31"/>
        <v>14</v>
      </c>
      <c r="AH269" s="37">
        <f t="shared" si="32"/>
        <v>20.038</v>
      </c>
      <c r="AJ269" s="97"/>
      <c r="AL269" s="16"/>
      <c r="AN269" s="39"/>
      <c r="AO269" s="39"/>
      <c r="AP269" s="47"/>
      <c r="AR269" s="38"/>
      <c r="AS269" s="49"/>
      <c r="AU269" s="97"/>
      <c r="AW269" s="16"/>
      <c r="AY269" s="39"/>
      <c r="AZ269" s="39"/>
      <c r="BA269" s="47"/>
      <c r="BC269" s="38"/>
      <c r="BD269" s="49"/>
    </row>
    <row r="270" spans="22:56" ht="16" x14ac:dyDescent="0.4">
      <c r="V270" s="97">
        <v>45777</v>
      </c>
      <c r="W270">
        <v>141505</v>
      </c>
      <c r="X270" s="89" t="s">
        <v>36</v>
      </c>
      <c r="Y270" s="89"/>
      <c r="Z270" s="50">
        <v>6.1458333333333337E-2</v>
      </c>
      <c r="AA270" s="50">
        <v>0.12990740740740742</v>
      </c>
      <c r="AD270" s="48">
        <v>21648</v>
      </c>
      <c r="AE270" s="48">
        <f t="shared" si="30"/>
        <v>21.648</v>
      </c>
      <c r="AF270">
        <v>15.52</v>
      </c>
      <c r="AG270" s="72">
        <f t="shared" si="31"/>
        <v>14</v>
      </c>
      <c r="AH270" s="37">
        <f t="shared" si="32"/>
        <v>21.648</v>
      </c>
      <c r="AJ270" s="97"/>
      <c r="AL270" s="16"/>
      <c r="AN270" s="39"/>
      <c r="AO270" s="39"/>
      <c r="AP270" s="47"/>
      <c r="AR270" s="38"/>
      <c r="AS270" s="49"/>
      <c r="AU270" s="97"/>
      <c r="AW270" s="16"/>
      <c r="AY270" s="39"/>
      <c r="AZ270" s="39"/>
      <c r="BA270" s="47"/>
      <c r="BC270" s="38"/>
      <c r="BD270" s="49"/>
    </row>
    <row r="271" spans="22:56" ht="16" x14ac:dyDescent="0.4">
      <c r="V271" s="97">
        <v>45777</v>
      </c>
      <c r="W271">
        <v>141515</v>
      </c>
      <c r="X271" s="89" t="s">
        <v>36</v>
      </c>
      <c r="Y271" s="89"/>
      <c r="Z271" s="50">
        <v>0.12560185185185185</v>
      </c>
      <c r="AA271" s="50">
        <v>0.18339120370370368</v>
      </c>
      <c r="AD271" s="48">
        <v>23006</v>
      </c>
      <c r="AE271" s="48">
        <f t="shared" si="30"/>
        <v>23.006</v>
      </c>
      <c r="AF271">
        <v>14.66</v>
      </c>
      <c r="AG271" s="72">
        <f t="shared" si="31"/>
        <v>14</v>
      </c>
      <c r="AH271" s="37">
        <f t="shared" si="32"/>
        <v>23.006</v>
      </c>
      <c r="AJ271" s="97"/>
      <c r="AL271" s="16"/>
      <c r="AN271" s="39"/>
      <c r="AO271" s="39"/>
      <c r="AP271" s="47"/>
      <c r="AR271" s="38"/>
      <c r="AS271" s="49"/>
      <c r="AU271" s="97"/>
      <c r="AW271" s="16"/>
      <c r="AY271" s="39"/>
      <c r="AZ271" s="39"/>
      <c r="BA271" s="47"/>
      <c r="BC271" s="38"/>
      <c r="BD271" s="49"/>
    </row>
    <row r="272" spans="22:56" ht="16" x14ac:dyDescent="0.4">
      <c r="V272" s="97">
        <v>45777</v>
      </c>
      <c r="W272">
        <v>141521</v>
      </c>
      <c r="X272" s="89" t="s">
        <v>36</v>
      </c>
      <c r="Y272" s="89"/>
      <c r="Z272" s="50">
        <v>6.1342592592592594E-2</v>
      </c>
      <c r="AA272" s="50">
        <v>0.23141203703703703</v>
      </c>
      <c r="AD272" s="48">
        <v>19778</v>
      </c>
      <c r="AE272" s="48">
        <f t="shared" si="30"/>
        <v>19.777999999999999</v>
      </c>
      <c r="AF272">
        <v>14.59</v>
      </c>
      <c r="AG272" s="72">
        <f t="shared" si="31"/>
        <v>14</v>
      </c>
      <c r="AH272" s="37">
        <f t="shared" si="32"/>
        <v>19.777999999999999</v>
      </c>
      <c r="AJ272" s="97"/>
      <c r="AL272" s="16"/>
      <c r="AN272" s="39"/>
      <c r="AO272" s="39"/>
      <c r="AP272" s="47"/>
      <c r="AR272" s="38"/>
      <c r="AS272" s="49"/>
      <c r="AU272" s="97"/>
      <c r="AW272" s="16"/>
      <c r="AY272" s="39"/>
      <c r="AZ272" s="39"/>
      <c r="BA272" s="47"/>
      <c r="BC272" s="38"/>
      <c r="BD272" s="49"/>
    </row>
    <row r="273" spans="22:56" ht="16" x14ac:dyDescent="0.4">
      <c r="V273" s="97">
        <v>45777</v>
      </c>
      <c r="W273">
        <v>141553</v>
      </c>
      <c r="X273" s="89" t="s">
        <v>36</v>
      </c>
      <c r="Y273" s="89"/>
      <c r="Z273" s="50">
        <v>0.125</v>
      </c>
      <c r="AA273" s="50">
        <v>0.31180555555555556</v>
      </c>
      <c r="AD273" s="48">
        <v>20708</v>
      </c>
      <c r="AE273" s="48">
        <f t="shared" si="30"/>
        <v>20.707999999999998</v>
      </c>
      <c r="AF273">
        <v>13.91</v>
      </c>
      <c r="AG273" s="72">
        <f t="shared" si="31"/>
        <v>13.91</v>
      </c>
      <c r="AH273" s="37">
        <f t="shared" si="32"/>
        <v>20.57487714285714</v>
      </c>
      <c r="AJ273" s="97"/>
      <c r="AL273" s="16"/>
      <c r="AN273" s="39"/>
      <c r="AO273" s="39"/>
      <c r="AP273" s="47"/>
      <c r="AR273" s="38"/>
      <c r="AS273" s="49"/>
      <c r="AU273" s="97"/>
      <c r="AW273" s="16"/>
      <c r="AY273" s="39"/>
      <c r="AZ273" s="39"/>
      <c r="BA273" s="47"/>
      <c r="BC273" s="38"/>
      <c r="BD273" s="49"/>
    </row>
    <row r="274" spans="22:56" ht="16" x14ac:dyDescent="0.4">
      <c r="V274" s="97">
        <v>45777</v>
      </c>
      <c r="W274">
        <v>141614</v>
      </c>
      <c r="X274" s="89" t="s">
        <v>36</v>
      </c>
      <c r="Y274" s="89"/>
      <c r="Z274" s="50">
        <v>6.1111111111111116E-2</v>
      </c>
      <c r="AA274" s="50">
        <v>0.37361111111111112</v>
      </c>
      <c r="AD274" s="48">
        <v>21486</v>
      </c>
      <c r="AE274" s="48">
        <f t="shared" si="30"/>
        <v>21.486000000000001</v>
      </c>
      <c r="AF274">
        <v>14.56</v>
      </c>
      <c r="AG274" s="72">
        <f t="shared" si="31"/>
        <v>14</v>
      </c>
      <c r="AH274" s="37">
        <f t="shared" si="32"/>
        <v>21.486000000000001</v>
      </c>
      <c r="AJ274" s="97"/>
      <c r="AL274" s="16"/>
      <c r="AN274" s="39"/>
      <c r="AO274" s="39"/>
      <c r="AP274" s="47"/>
      <c r="AR274" s="38"/>
      <c r="AS274" s="49"/>
      <c r="AU274" s="97"/>
      <c r="AW274" s="16"/>
      <c r="AY274" s="39"/>
      <c r="AZ274" s="39"/>
      <c r="BA274" s="47"/>
      <c r="BC274" s="38"/>
      <c r="BD274" s="49"/>
    </row>
    <row r="275" spans="22:56" ht="16" x14ac:dyDescent="0.4">
      <c r="V275" s="97">
        <v>45777</v>
      </c>
      <c r="W275">
        <v>141679</v>
      </c>
      <c r="X275" s="89" t="s">
        <v>36</v>
      </c>
      <c r="Y275" s="89"/>
      <c r="Z275" s="50">
        <v>0.125</v>
      </c>
      <c r="AA275" s="50">
        <v>0.44722222222222219</v>
      </c>
      <c r="AD275" s="48">
        <v>22142</v>
      </c>
      <c r="AE275" s="48">
        <f t="shared" si="30"/>
        <v>22.141999999999999</v>
      </c>
      <c r="AF275">
        <v>13.66</v>
      </c>
      <c r="AG275" s="72">
        <f t="shared" si="31"/>
        <v>13.66</v>
      </c>
      <c r="AH275" s="37">
        <f t="shared" si="32"/>
        <v>21.604265714285713</v>
      </c>
      <c r="AJ275" s="97"/>
      <c r="AL275" s="16"/>
      <c r="AN275" s="39"/>
      <c r="AO275" s="39"/>
      <c r="AP275" s="47"/>
      <c r="AR275" s="38"/>
      <c r="AS275" s="49"/>
      <c r="AU275" s="97"/>
      <c r="AW275" s="16"/>
      <c r="AY275" s="39"/>
      <c r="AZ275" s="39"/>
      <c r="BA275" s="47"/>
      <c r="BC275" s="38"/>
      <c r="BD275" s="49"/>
    </row>
    <row r="276" spans="22:56" ht="16" x14ac:dyDescent="0.4">
      <c r="V276" s="97">
        <v>45777</v>
      </c>
      <c r="W276">
        <v>141727</v>
      </c>
      <c r="X276" s="89" t="s">
        <v>36</v>
      </c>
      <c r="Y276" s="89"/>
      <c r="Z276" s="50">
        <v>0.4381944444444445</v>
      </c>
      <c r="AA276" s="50">
        <v>0.5180555555555556</v>
      </c>
      <c r="AD276" s="48">
        <v>21454</v>
      </c>
      <c r="AE276" s="48">
        <f t="shared" si="30"/>
        <v>21.454000000000001</v>
      </c>
      <c r="AF276">
        <v>17.739999999999998</v>
      </c>
      <c r="AG276" s="72">
        <f t="shared" si="31"/>
        <v>14</v>
      </c>
      <c r="AH276" s="37">
        <f t="shared" si="32"/>
        <v>21.454000000000001</v>
      </c>
      <c r="AJ276" s="97"/>
      <c r="AL276" s="16"/>
      <c r="AN276" s="39"/>
      <c r="AO276" s="39"/>
      <c r="AP276" s="47"/>
      <c r="AR276" s="38"/>
      <c r="AS276" s="49"/>
      <c r="AU276" s="97"/>
      <c r="AW276" s="16"/>
      <c r="AY276" s="39"/>
      <c r="AZ276" s="39"/>
      <c r="BA276" s="47"/>
      <c r="BC276" s="38"/>
      <c r="BD276" s="49"/>
    </row>
    <row r="277" spans="22:56" ht="16" x14ac:dyDescent="0.4">
      <c r="V277" s="97">
        <v>45777</v>
      </c>
      <c r="W277">
        <v>141764</v>
      </c>
      <c r="X277" s="89" t="s">
        <v>36</v>
      </c>
      <c r="Y277" s="89"/>
      <c r="Z277" s="50">
        <v>0.50972222222222219</v>
      </c>
      <c r="AA277" s="50">
        <v>0.57916666666666672</v>
      </c>
      <c r="AD277" s="48">
        <v>20976</v>
      </c>
      <c r="AE277" s="48">
        <f t="shared" si="30"/>
        <v>20.975999999999999</v>
      </c>
      <c r="AF277">
        <v>17.52</v>
      </c>
      <c r="AG277" s="72">
        <f t="shared" si="31"/>
        <v>14</v>
      </c>
      <c r="AH277" s="37">
        <f t="shared" si="32"/>
        <v>20.975999999999999</v>
      </c>
      <c r="AJ277" s="97"/>
      <c r="AL277" s="16"/>
      <c r="AN277" s="39"/>
      <c r="AO277" s="39"/>
      <c r="AP277" s="47"/>
      <c r="AR277" s="38"/>
      <c r="AS277" s="49"/>
      <c r="AU277" s="97"/>
      <c r="AW277" s="16"/>
      <c r="AY277" s="39"/>
      <c r="AZ277" s="39"/>
      <c r="BA277" s="47"/>
      <c r="BC277" s="38"/>
      <c r="BD277" s="49"/>
    </row>
    <row r="278" spans="22:56" ht="16" x14ac:dyDescent="0.4">
      <c r="V278" s="97">
        <v>45777</v>
      </c>
      <c r="W278">
        <v>141815</v>
      </c>
      <c r="X278" s="89" t="s">
        <v>36</v>
      </c>
      <c r="Y278" s="89"/>
      <c r="Z278" s="50">
        <v>0.43888888888888888</v>
      </c>
      <c r="AA278" s="50">
        <v>0.64166666666666672</v>
      </c>
      <c r="AD278" s="48">
        <v>20836</v>
      </c>
      <c r="AE278" s="48">
        <f t="shared" si="30"/>
        <v>20.835999999999999</v>
      </c>
      <c r="AF278">
        <v>13.66</v>
      </c>
      <c r="AG278" s="72">
        <f t="shared" si="31"/>
        <v>13.66</v>
      </c>
      <c r="AH278" s="37">
        <f t="shared" si="32"/>
        <v>20.329982857142856</v>
      </c>
      <c r="AJ278" s="97"/>
      <c r="AL278" s="16"/>
      <c r="AN278" s="39"/>
      <c r="AO278" s="39"/>
      <c r="AP278" s="47"/>
      <c r="AR278" s="38"/>
      <c r="AS278" s="49"/>
      <c r="AU278" s="97"/>
      <c r="AW278" s="16"/>
      <c r="AY278" s="39"/>
      <c r="AZ278" s="39"/>
      <c r="BA278" s="47"/>
      <c r="BC278" s="38"/>
      <c r="BD278" s="49"/>
    </row>
    <row r="279" spans="22:56" ht="16" x14ac:dyDescent="0.4">
      <c r="V279" s="97">
        <v>45777</v>
      </c>
      <c r="W279">
        <v>141870</v>
      </c>
      <c r="X279" s="89" t="s">
        <v>36</v>
      </c>
      <c r="Y279" s="89"/>
      <c r="Z279" s="50">
        <v>0.50972222222222219</v>
      </c>
      <c r="AA279" s="50">
        <v>0.70694444444444438</v>
      </c>
      <c r="AD279" s="48">
        <v>23504</v>
      </c>
      <c r="AE279" s="48">
        <f t="shared" si="30"/>
        <v>23.504000000000001</v>
      </c>
      <c r="AF279">
        <v>15.16</v>
      </c>
      <c r="AG279" s="72">
        <f t="shared" si="31"/>
        <v>14</v>
      </c>
      <c r="AH279" s="37">
        <f t="shared" si="32"/>
        <v>23.504000000000001</v>
      </c>
      <c r="AJ279" s="97"/>
      <c r="AL279" s="16"/>
      <c r="AN279" s="39"/>
      <c r="AO279" s="39"/>
      <c r="AP279" s="47"/>
      <c r="AR279" s="38"/>
      <c r="AS279" s="49"/>
      <c r="AU279" s="97"/>
      <c r="AW279" s="16"/>
      <c r="AY279" s="39"/>
      <c r="AZ279" s="39"/>
      <c r="BA279" s="47"/>
      <c r="BC279" s="38"/>
      <c r="BD279" s="49"/>
    </row>
    <row r="280" spans="22:56" ht="16" x14ac:dyDescent="0.4">
      <c r="V280" s="97">
        <v>45777</v>
      </c>
      <c r="W280">
        <v>141894</v>
      </c>
      <c r="X280" s="89" t="s">
        <v>36</v>
      </c>
      <c r="Y280" s="89"/>
      <c r="Z280" s="50">
        <v>0.43910879629629629</v>
      </c>
      <c r="AA280" s="50">
        <v>0.78675925925925927</v>
      </c>
      <c r="AD280" s="48">
        <v>20358</v>
      </c>
      <c r="AE280" s="48">
        <f t="shared" si="30"/>
        <v>20.358000000000001</v>
      </c>
      <c r="AF280">
        <v>14.66</v>
      </c>
      <c r="AG280" s="72">
        <f t="shared" si="31"/>
        <v>14</v>
      </c>
      <c r="AH280" s="37">
        <f t="shared" si="32"/>
        <v>20.358000000000001</v>
      </c>
      <c r="AJ280" s="97"/>
      <c r="AL280" s="16"/>
      <c r="AN280" s="39"/>
      <c r="AO280" s="39"/>
      <c r="AP280" s="47"/>
      <c r="AR280" s="38"/>
      <c r="AS280" s="49"/>
      <c r="AU280" s="97"/>
      <c r="AW280" s="16"/>
      <c r="AY280" s="39"/>
      <c r="AZ280" s="39"/>
      <c r="BA280" s="47"/>
      <c r="BC280" s="38"/>
      <c r="BD280" s="49"/>
    </row>
    <row r="281" spans="22:56" ht="16" x14ac:dyDescent="0.4">
      <c r="V281" s="97">
        <v>45777</v>
      </c>
      <c r="W281">
        <v>141920</v>
      </c>
      <c r="X281" s="89" t="s">
        <v>36</v>
      </c>
      <c r="Y281" s="89"/>
      <c r="Z281" s="50">
        <v>0.50966435185185188</v>
      </c>
      <c r="AA281" s="50">
        <v>0.84601851851851861</v>
      </c>
      <c r="AD281" s="48">
        <v>22330</v>
      </c>
      <c r="AE281" s="48">
        <f t="shared" si="30"/>
        <v>22.33</v>
      </c>
      <c r="AF281">
        <v>14.43</v>
      </c>
      <c r="AG281" s="72">
        <f t="shared" si="31"/>
        <v>14</v>
      </c>
      <c r="AH281" s="37">
        <f t="shared" si="32"/>
        <v>22.330000000000002</v>
      </c>
      <c r="AJ281" s="97"/>
      <c r="AL281" s="16"/>
      <c r="AN281" s="39"/>
      <c r="AO281" s="39"/>
      <c r="AP281" s="47"/>
      <c r="AR281" s="38"/>
      <c r="AS281" s="49"/>
      <c r="AU281" s="97"/>
      <c r="AW281" s="16"/>
      <c r="AY281" s="39"/>
      <c r="AZ281" s="39"/>
      <c r="BA281" s="47"/>
      <c r="BC281" s="38"/>
      <c r="BD281" s="49"/>
    </row>
    <row r="282" spans="22:56" ht="16" x14ac:dyDescent="0.4">
      <c r="V282" s="97">
        <v>45777</v>
      </c>
      <c r="W282">
        <v>141953</v>
      </c>
      <c r="X282" s="89" t="s">
        <v>36</v>
      </c>
      <c r="Y282" s="89"/>
      <c r="Z282" s="50">
        <v>0.86716435185185192</v>
      </c>
      <c r="AA282" s="50">
        <v>0.89615740740740746</v>
      </c>
      <c r="AD282" s="48">
        <v>19892</v>
      </c>
      <c r="AE282" s="48">
        <f t="shared" si="30"/>
        <v>19.891999999999999</v>
      </c>
      <c r="AF282">
        <v>15.81</v>
      </c>
      <c r="AG282" s="72">
        <f t="shared" si="31"/>
        <v>14</v>
      </c>
      <c r="AH282" s="37">
        <f t="shared" si="32"/>
        <v>19.891999999999999</v>
      </c>
      <c r="AJ282" s="97"/>
      <c r="AL282" s="16"/>
      <c r="AN282" s="39"/>
      <c r="AO282" s="39"/>
      <c r="AP282" s="47"/>
      <c r="AR282" s="38"/>
      <c r="AS282" s="49"/>
      <c r="AU282" s="97"/>
      <c r="AW282" s="16"/>
      <c r="AY282" s="39"/>
      <c r="AZ282" s="39"/>
      <c r="BA282" s="47"/>
      <c r="BC282" s="38"/>
      <c r="BD282" s="49"/>
    </row>
    <row r="283" spans="22:56" ht="16" x14ac:dyDescent="0.4">
      <c r="V283" s="97">
        <v>45777</v>
      </c>
      <c r="W283">
        <v>141976</v>
      </c>
      <c r="X283" s="89" t="s">
        <v>36</v>
      </c>
      <c r="Y283" s="89"/>
      <c r="Z283" s="50">
        <v>0.86736111111111114</v>
      </c>
      <c r="AA283" s="50">
        <v>0.95833333333333337</v>
      </c>
      <c r="AD283" s="48">
        <v>21140</v>
      </c>
      <c r="AE283" s="48">
        <f t="shared" si="30"/>
        <v>21.14</v>
      </c>
      <c r="AF283">
        <v>15.96</v>
      </c>
      <c r="AG283" s="72">
        <f t="shared" si="31"/>
        <v>14</v>
      </c>
      <c r="AH283" s="37">
        <f t="shared" si="32"/>
        <v>21.140000000000004</v>
      </c>
      <c r="AJ283" s="97"/>
      <c r="AL283" s="16"/>
      <c r="AN283" s="39"/>
      <c r="AO283" s="39"/>
      <c r="AP283" s="47"/>
      <c r="AR283" s="38"/>
      <c r="AS283" s="49"/>
      <c r="AU283" s="97"/>
      <c r="AW283" s="16"/>
      <c r="AY283" s="39"/>
      <c r="AZ283" s="39"/>
      <c r="BA283" s="47"/>
      <c r="BC283" s="38"/>
      <c r="BD283" s="49"/>
    </row>
    <row r="284" spans="22:56" ht="16" x14ac:dyDescent="0.4">
      <c r="V284" s="97"/>
      <c r="X284" s="89"/>
      <c r="Y284" s="89"/>
      <c r="Z284" s="50"/>
      <c r="AA284" s="50"/>
      <c r="AD284" s="48"/>
      <c r="AE284" s="48">
        <f t="shared" si="30"/>
        <v>0</v>
      </c>
      <c r="AF284" s="16"/>
      <c r="AG284" s="72">
        <f t="shared" si="31"/>
        <v>0</v>
      </c>
      <c r="AH284" s="37">
        <f t="shared" si="32"/>
        <v>0</v>
      </c>
      <c r="AJ284" s="97"/>
      <c r="AL284" s="16"/>
      <c r="AN284" s="39"/>
      <c r="AO284" s="39"/>
      <c r="AP284" s="47"/>
      <c r="AR284" s="38"/>
      <c r="AS284" s="49"/>
      <c r="AU284" s="97"/>
      <c r="AW284" s="16"/>
      <c r="AY284" s="39"/>
      <c r="AZ284" s="39"/>
      <c r="BA284" s="47"/>
      <c r="BC284" s="38"/>
      <c r="BD284" s="49"/>
    </row>
    <row r="285" spans="22:56" ht="16" x14ac:dyDescent="0.4">
      <c r="V285" s="97"/>
      <c r="X285" s="89"/>
      <c r="Y285" s="89"/>
      <c r="Z285" s="50"/>
      <c r="AA285" s="50"/>
      <c r="AD285" s="48"/>
      <c r="AE285" s="48">
        <f t="shared" si="30"/>
        <v>0</v>
      </c>
      <c r="AG285" s="72">
        <f t="shared" si="31"/>
        <v>0</v>
      </c>
      <c r="AH285" s="37">
        <f t="shared" si="32"/>
        <v>0</v>
      </c>
      <c r="AJ285" s="97"/>
      <c r="AL285" s="16"/>
      <c r="AN285" s="39"/>
      <c r="AO285" s="39"/>
      <c r="AP285" s="47"/>
      <c r="AR285" s="38"/>
      <c r="AS285" s="49"/>
      <c r="AU285" s="97"/>
      <c r="AW285" s="16"/>
      <c r="AY285" s="39"/>
      <c r="AZ285" s="39"/>
      <c r="BA285" s="47"/>
      <c r="BC285" s="38"/>
      <c r="BD285" s="49"/>
    </row>
    <row r="286" spans="22:56" ht="16" x14ac:dyDescent="0.4">
      <c r="V286" s="97"/>
      <c r="X286" s="89"/>
      <c r="Y286" s="89"/>
      <c r="Z286" s="50"/>
      <c r="AA286" s="50"/>
      <c r="AD286" s="48"/>
      <c r="AE286" s="48">
        <f t="shared" si="30"/>
        <v>0</v>
      </c>
      <c r="AG286" s="72">
        <f t="shared" si="31"/>
        <v>0</v>
      </c>
      <c r="AH286" s="37">
        <f t="shared" si="32"/>
        <v>0</v>
      </c>
      <c r="AJ286" s="97"/>
      <c r="AL286" s="16"/>
      <c r="AN286" s="39"/>
      <c r="AP286" s="47"/>
      <c r="AR286" s="38"/>
      <c r="AS286" s="49"/>
      <c r="AU286" s="97"/>
      <c r="AW286" s="16"/>
      <c r="AY286" s="39"/>
      <c r="BA286" s="47"/>
      <c r="BC286" s="38"/>
      <c r="BD286" s="49"/>
    </row>
    <row r="287" spans="22:56" ht="16" x14ac:dyDescent="0.4">
      <c r="V287" s="97"/>
      <c r="X287" s="89"/>
      <c r="Y287" s="89"/>
      <c r="Z287" s="50"/>
      <c r="AA287" s="50"/>
      <c r="AD287" s="48"/>
      <c r="AE287" s="48">
        <f t="shared" si="30"/>
        <v>0</v>
      </c>
      <c r="AG287" s="72">
        <f t="shared" si="31"/>
        <v>0</v>
      </c>
      <c r="AH287" s="37">
        <f t="shared" si="32"/>
        <v>0</v>
      </c>
      <c r="AJ287" s="97"/>
      <c r="AL287" s="16"/>
      <c r="AN287" s="39"/>
      <c r="AO287" s="39"/>
      <c r="AP287" s="47"/>
      <c r="AR287" s="38"/>
      <c r="AS287" s="49"/>
      <c r="AU287" s="97"/>
      <c r="AW287" s="16"/>
      <c r="AY287" s="39"/>
      <c r="AZ287" s="39"/>
      <c r="BA287" s="47"/>
      <c r="BC287" s="38"/>
      <c r="BD287" s="49"/>
    </row>
    <row r="288" spans="22:56" ht="16" x14ac:dyDescent="0.4">
      <c r="V288" s="97"/>
      <c r="X288" s="89"/>
      <c r="Y288" s="89"/>
      <c r="Z288" s="50"/>
      <c r="AA288" s="50"/>
      <c r="AD288" s="48"/>
      <c r="AE288" s="48">
        <f t="shared" si="30"/>
        <v>0</v>
      </c>
      <c r="AG288" s="72">
        <f t="shared" si="31"/>
        <v>0</v>
      </c>
      <c r="AH288" s="37">
        <f t="shared" si="32"/>
        <v>0</v>
      </c>
      <c r="AJ288" s="97"/>
      <c r="AL288" s="16"/>
      <c r="AN288" s="39"/>
      <c r="AO288" s="39"/>
      <c r="AP288" s="47"/>
      <c r="AR288" s="38"/>
      <c r="AS288" s="49"/>
      <c r="AU288" s="97"/>
      <c r="AW288" s="16"/>
      <c r="AY288" s="39"/>
      <c r="AZ288" s="39"/>
      <c r="BA288" s="47"/>
      <c r="BC288" s="38"/>
      <c r="BD288" s="49"/>
    </row>
    <row r="289" spans="22:56" ht="16" x14ac:dyDescent="0.4">
      <c r="V289" s="97"/>
      <c r="X289" s="89"/>
      <c r="Y289" s="89"/>
      <c r="Z289" s="50"/>
      <c r="AA289" s="50"/>
      <c r="AD289" s="48"/>
      <c r="AE289" s="48">
        <f t="shared" si="30"/>
        <v>0</v>
      </c>
      <c r="AG289" s="72">
        <f t="shared" si="31"/>
        <v>0</v>
      </c>
      <c r="AH289" s="37">
        <f t="shared" si="32"/>
        <v>0</v>
      </c>
      <c r="AJ289" s="97"/>
      <c r="AL289" s="16"/>
      <c r="AN289" s="39"/>
      <c r="AO289" s="39"/>
      <c r="AP289" s="47"/>
      <c r="AR289" s="38"/>
      <c r="AS289" s="49"/>
      <c r="AU289" s="97"/>
      <c r="AW289" s="16"/>
      <c r="AY289" s="39"/>
      <c r="AZ289" s="39"/>
      <c r="BA289" s="47"/>
      <c r="BC289" s="38"/>
      <c r="BD289" s="49"/>
    </row>
    <row r="290" spans="22:56" ht="16" x14ac:dyDescent="0.4">
      <c r="V290" s="97"/>
      <c r="W290" s="16"/>
      <c r="X290" s="89"/>
      <c r="Y290" s="89"/>
      <c r="Z290" s="50"/>
      <c r="AA290" s="50"/>
      <c r="AD290" s="48"/>
      <c r="AE290" s="48">
        <f t="shared" si="30"/>
        <v>0</v>
      </c>
      <c r="AG290" s="72">
        <f t="shared" si="31"/>
        <v>0</v>
      </c>
      <c r="AH290" s="37">
        <f t="shared" si="32"/>
        <v>0</v>
      </c>
      <c r="AJ290" s="97"/>
      <c r="AL290" s="16"/>
      <c r="AN290" s="39"/>
      <c r="AO290" s="39"/>
      <c r="AP290" s="47"/>
      <c r="AR290" s="38"/>
      <c r="AS290" s="38"/>
      <c r="AU290" s="97"/>
      <c r="AW290" s="16"/>
      <c r="AY290" s="39"/>
      <c r="AZ290" s="39"/>
      <c r="BA290" s="47"/>
      <c r="BC290" s="38"/>
      <c r="BD290" s="38"/>
    </row>
    <row r="291" spans="22:56" ht="16" x14ac:dyDescent="0.4">
      <c r="V291" s="97"/>
      <c r="W291" s="16"/>
      <c r="X291" s="89"/>
      <c r="Y291" s="89"/>
      <c r="Z291" s="50"/>
      <c r="AA291" s="50"/>
      <c r="AD291" s="37"/>
      <c r="AE291" s="48">
        <f t="shared" si="30"/>
        <v>0</v>
      </c>
      <c r="AG291" s="72">
        <f t="shared" si="31"/>
        <v>0</v>
      </c>
      <c r="AH291" s="37">
        <f t="shared" si="32"/>
        <v>0</v>
      </c>
      <c r="AJ291" s="97"/>
      <c r="AL291" s="16"/>
      <c r="AN291" s="39"/>
      <c r="AO291" s="39"/>
      <c r="AP291" s="47"/>
      <c r="AR291" s="38"/>
      <c r="AS291" s="38"/>
      <c r="AU291" s="97"/>
      <c r="AW291" s="16"/>
      <c r="AY291" s="39"/>
      <c r="AZ291" s="39"/>
      <c r="BA291" s="47"/>
      <c r="BC291" s="38"/>
      <c r="BD291" s="38"/>
    </row>
    <row r="292" spans="22:56" ht="16" x14ac:dyDescent="0.4">
      <c r="V292" s="97"/>
      <c r="W292" s="16"/>
      <c r="X292" s="89"/>
      <c r="Y292" s="89"/>
      <c r="Z292" s="50"/>
      <c r="AA292" s="50"/>
      <c r="AD292" s="37"/>
      <c r="AE292" s="48">
        <f t="shared" si="30"/>
        <v>0</v>
      </c>
      <c r="AG292" s="72">
        <f t="shared" si="31"/>
        <v>0</v>
      </c>
      <c r="AH292" s="37">
        <f t="shared" si="32"/>
        <v>0</v>
      </c>
      <c r="AJ292" s="97"/>
      <c r="AL292" s="16"/>
      <c r="AN292" s="39"/>
      <c r="AO292" s="39"/>
      <c r="AP292" s="47"/>
      <c r="AR292" s="38"/>
      <c r="AS292" s="38"/>
      <c r="AU292" s="97"/>
      <c r="AW292" s="16"/>
      <c r="AY292" s="39"/>
      <c r="AZ292" s="39"/>
      <c r="BA292" s="47"/>
      <c r="BC292" s="38"/>
      <c r="BD292" s="38"/>
    </row>
    <row r="293" spans="22:56" ht="16" x14ac:dyDescent="0.4">
      <c r="V293" s="97"/>
      <c r="W293" s="16"/>
      <c r="X293" s="89"/>
      <c r="Y293" s="89"/>
      <c r="Z293" s="50"/>
      <c r="AA293" s="50"/>
      <c r="AD293" s="37"/>
      <c r="AE293" s="48">
        <f t="shared" si="30"/>
        <v>0</v>
      </c>
      <c r="AG293" s="72">
        <f t="shared" si="31"/>
        <v>0</v>
      </c>
      <c r="AH293" s="37">
        <f t="shared" si="32"/>
        <v>0</v>
      </c>
      <c r="AJ293" s="97"/>
      <c r="AL293" s="16"/>
      <c r="AN293" s="39"/>
      <c r="AO293" s="39"/>
      <c r="AP293" s="47"/>
      <c r="AR293" s="38"/>
      <c r="AS293" s="38"/>
      <c r="AU293" s="97"/>
      <c r="AW293" s="16"/>
      <c r="AY293" s="39"/>
      <c r="AZ293" s="39"/>
      <c r="BA293" s="47"/>
      <c r="BC293" s="38"/>
      <c r="BD293" s="38"/>
    </row>
    <row r="294" spans="22:56" ht="16" x14ac:dyDescent="0.4">
      <c r="V294" s="97"/>
      <c r="W294" s="16"/>
      <c r="X294" s="89"/>
      <c r="Y294" s="89"/>
      <c r="Z294" s="50"/>
      <c r="AA294" s="50"/>
      <c r="AD294" s="37"/>
      <c r="AE294" s="48">
        <f t="shared" si="30"/>
        <v>0</v>
      </c>
      <c r="AG294" s="72">
        <f t="shared" si="31"/>
        <v>0</v>
      </c>
      <c r="AH294" s="37">
        <f t="shared" si="32"/>
        <v>0</v>
      </c>
      <c r="AJ294" s="97"/>
      <c r="AL294" s="16"/>
      <c r="AN294" s="39"/>
      <c r="AO294" s="39"/>
      <c r="AP294" s="47"/>
      <c r="AR294" s="38"/>
      <c r="AS294" s="38"/>
      <c r="AU294" s="97"/>
      <c r="AW294" s="16"/>
      <c r="AY294" s="39"/>
      <c r="AZ294" s="39"/>
      <c r="BA294" s="47"/>
      <c r="BC294" s="38"/>
      <c r="BD294" s="38"/>
    </row>
    <row r="295" spans="22:56" ht="16" x14ac:dyDescent="0.4">
      <c r="V295" s="97"/>
      <c r="W295" s="16"/>
      <c r="X295" s="89"/>
      <c r="Y295" s="89"/>
      <c r="Z295" s="50"/>
      <c r="AA295" s="50"/>
      <c r="AD295" s="37"/>
      <c r="AE295" s="48">
        <f t="shared" si="30"/>
        <v>0</v>
      </c>
      <c r="AG295" s="72">
        <f t="shared" si="31"/>
        <v>0</v>
      </c>
      <c r="AH295" s="37">
        <f t="shared" si="32"/>
        <v>0</v>
      </c>
      <c r="AJ295" s="97"/>
      <c r="AL295" s="16"/>
      <c r="AN295" s="39"/>
      <c r="AP295" s="47"/>
      <c r="AR295" s="38"/>
      <c r="AS295" s="38"/>
      <c r="AU295" s="97"/>
      <c r="AW295" s="16"/>
      <c r="AY295" s="39"/>
      <c r="BA295" s="47"/>
      <c r="BC295" s="38"/>
      <c r="BD295" s="38"/>
    </row>
    <row r="296" spans="22:56" ht="16" x14ac:dyDescent="0.4">
      <c r="V296" s="97"/>
      <c r="W296" s="16"/>
      <c r="X296" s="89"/>
      <c r="Y296" s="89"/>
      <c r="Z296" s="50"/>
      <c r="AA296" s="50"/>
      <c r="AD296" s="37"/>
      <c r="AE296" s="48">
        <f t="shared" si="30"/>
        <v>0</v>
      </c>
      <c r="AG296" s="72">
        <f t="shared" si="31"/>
        <v>0</v>
      </c>
      <c r="AH296" s="37">
        <f t="shared" si="32"/>
        <v>0</v>
      </c>
      <c r="AJ296" s="97"/>
      <c r="AL296" s="16"/>
      <c r="AN296" s="39"/>
      <c r="AO296" s="39"/>
      <c r="AP296" s="47"/>
      <c r="AR296" s="38"/>
      <c r="AS296" s="38"/>
      <c r="AU296" s="97"/>
      <c r="AW296" s="16"/>
      <c r="AY296" s="39"/>
      <c r="AZ296" s="39"/>
      <c r="BA296" s="47"/>
      <c r="BC296" s="38"/>
      <c r="BD296" s="38"/>
    </row>
    <row r="297" spans="22:56" ht="16" x14ac:dyDescent="0.4">
      <c r="V297" s="97"/>
      <c r="W297" s="16"/>
      <c r="X297" s="89"/>
      <c r="Y297" s="89"/>
      <c r="Z297" s="50"/>
      <c r="AA297" s="50"/>
      <c r="AD297" s="37"/>
      <c r="AE297" s="48">
        <f t="shared" si="30"/>
        <v>0</v>
      </c>
      <c r="AG297" s="72">
        <f t="shared" si="31"/>
        <v>0</v>
      </c>
      <c r="AH297" s="37">
        <f t="shared" si="32"/>
        <v>0</v>
      </c>
      <c r="AJ297" s="97"/>
      <c r="AL297" s="16"/>
      <c r="AN297" s="39"/>
      <c r="AO297" s="39"/>
      <c r="AP297" s="47"/>
      <c r="AR297" s="38"/>
      <c r="AS297" s="38"/>
      <c r="AU297" s="97"/>
      <c r="AW297" s="16"/>
      <c r="AY297" s="39"/>
      <c r="AZ297" s="39"/>
      <c r="BA297" s="47"/>
      <c r="BC297" s="38"/>
      <c r="BD297" s="38"/>
    </row>
    <row r="298" spans="22:56" ht="16" x14ac:dyDescent="0.4">
      <c r="V298" s="97"/>
      <c r="W298" s="16"/>
      <c r="X298" s="89"/>
      <c r="Y298" s="89"/>
      <c r="Z298" s="50"/>
      <c r="AA298" s="50"/>
      <c r="AD298" s="37"/>
      <c r="AE298" s="48">
        <f t="shared" si="30"/>
        <v>0</v>
      </c>
      <c r="AG298" s="72">
        <f t="shared" si="31"/>
        <v>0</v>
      </c>
      <c r="AH298" s="37">
        <f t="shared" si="32"/>
        <v>0</v>
      </c>
      <c r="AJ298" s="97"/>
      <c r="AL298" s="16"/>
      <c r="AN298" s="39"/>
      <c r="AO298" s="39"/>
      <c r="AP298" s="47"/>
      <c r="AR298" s="38"/>
      <c r="AS298" s="38"/>
      <c r="AU298" s="97"/>
      <c r="AW298" s="16"/>
      <c r="AY298" s="39"/>
      <c r="AZ298" s="39"/>
      <c r="BA298" s="47"/>
      <c r="BC298" s="38"/>
      <c r="BD298" s="38"/>
    </row>
    <row r="299" spans="22:56" ht="16" x14ac:dyDescent="0.4">
      <c r="V299" s="97"/>
      <c r="W299" s="16"/>
      <c r="X299" s="89"/>
      <c r="Y299" s="89"/>
      <c r="Z299" s="50"/>
      <c r="AA299" s="50"/>
      <c r="AD299" s="37"/>
      <c r="AE299" s="48">
        <f t="shared" si="30"/>
        <v>0</v>
      </c>
      <c r="AG299" s="72">
        <f t="shared" si="31"/>
        <v>0</v>
      </c>
      <c r="AH299" s="37">
        <f t="shared" si="32"/>
        <v>0</v>
      </c>
      <c r="AJ299" s="97"/>
      <c r="AL299" s="16"/>
      <c r="AO299" s="39"/>
      <c r="AP299" s="47"/>
      <c r="AR299" s="38"/>
      <c r="AS299" s="38"/>
      <c r="AU299" s="97"/>
      <c r="AW299" s="16"/>
      <c r="AZ299" s="39"/>
      <c r="BA299" s="47"/>
      <c r="BC299" s="38"/>
      <c r="BD299" s="38"/>
    </row>
    <row r="300" spans="22:56" ht="16" x14ac:dyDescent="0.4">
      <c r="V300" s="97"/>
      <c r="W300" s="16"/>
      <c r="X300" s="89"/>
      <c r="Y300" s="89"/>
      <c r="Z300" s="50"/>
      <c r="AA300" s="50"/>
      <c r="AD300" s="37"/>
      <c r="AE300" s="48">
        <f t="shared" si="30"/>
        <v>0</v>
      </c>
      <c r="AG300" s="72">
        <f t="shared" si="31"/>
        <v>0</v>
      </c>
      <c r="AH300" s="37">
        <f t="shared" si="32"/>
        <v>0</v>
      </c>
      <c r="AJ300" s="97"/>
      <c r="AL300" s="16"/>
      <c r="AN300" s="39"/>
      <c r="AO300" s="39"/>
      <c r="AP300" s="47"/>
      <c r="AR300" s="38"/>
      <c r="AS300" s="38"/>
      <c r="AU300" s="97"/>
      <c r="AW300" s="16"/>
      <c r="AY300" s="39"/>
      <c r="AZ300" s="39"/>
      <c r="BA300" s="47"/>
      <c r="BC300" s="38"/>
      <c r="BD300" s="38"/>
    </row>
    <row r="301" spans="22:56" ht="16" x14ac:dyDescent="0.4">
      <c r="V301" s="97"/>
      <c r="W301" s="16"/>
      <c r="X301" s="89"/>
      <c r="Y301" s="89"/>
      <c r="Z301" s="50"/>
      <c r="AA301" s="50"/>
      <c r="AD301" s="37"/>
      <c r="AE301" s="48">
        <f t="shared" si="30"/>
        <v>0</v>
      </c>
      <c r="AG301" s="72">
        <f t="shared" si="31"/>
        <v>0</v>
      </c>
      <c r="AH301" s="37">
        <f t="shared" si="32"/>
        <v>0</v>
      </c>
      <c r="AJ301" s="97"/>
      <c r="AL301" s="16"/>
      <c r="AN301" s="39"/>
      <c r="AO301" s="39"/>
      <c r="AP301" s="47"/>
      <c r="AR301" s="38"/>
      <c r="AS301" s="38"/>
      <c r="AU301" s="97"/>
      <c r="AW301" s="16"/>
      <c r="AY301" s="39"/>
      <c r="AZ301" s="39"/>
      <c r="BA301" s="47"/>
      <c r="BC301" s="38"/>
      <c r="BD301" s="38"/>
    </row>
    <row r="302" spans="22:56" ht="16" x14ac:dyDescent="0.4">
      <c r="V302" s="97"/>
      <c r="W302" s="16"/>
      <c r="X302" s="89"/>
      <c r="Y302" s="89"/>
      <c r="Z302" s="50"/>
      <c r="AA302" s="50"/>
      <c r="AD302" s="37"/>
      <c r="AE302" s="48">
        <f t="shared" si="30"/>
        <v>0</v>
      </c>
      <c r="AG302" s="72">
        <f t="shared" si="31"/>
        <v>0</v>
      </c>
      <c r="AH302" s="37">
        <f t="shared" si="32"/>
        <v>0</v>
      </c>
      <c r="AJ302" s="97"/>
      <c r="AL302" s="16"/>
      <c r="AN302" s="39"/>
      <c r="AO302" s="39"/>
      <c r="AP302" s="47"/>
      <c r="AR302" s="38"/>
      <c r="AS302" s="38"/>
      <c r="AU302" s="97"/>
      <c r="AW302" s="16"/>
      <c r="AY302" s="39"/>
      <c r="AZ302" s="39"/>
      <c r="BA302" s="47"/>
      <c r="BC302" s="38"/>
      <c r="BD302" s="38"/>
    </row>
    <row r="303" spans="22:56" ht="16" x14ac:dyDescent="0.4">
      <c r="V303" s="97"/>
      <c r="W303" s="16"/>
      <c r="X303" s="89"/>
      <c r="Y303" s="89"/>
      <c r="Z303" s="50"/>
      <c r="AA303" s="50"/>
      <c r="AD303" s="37"/>
      <c r="AE303" s="48">
        <f t="shared" si="30"/>
        <v>0</v>
      </c>
      <c r="AG303" s="72">
        <f t="shared" si="31"/>
        <v>0</v>
      </c>
      <c r="AH303" s="37">
        <f t="shared" si="32"/>
        <v>0</v>
      </c>
      <c r="AJ303" s="97"/>
      <c r="AK303" s="34"/>
      <c r="AL303" s="16"/>
      <c r="AN303" s="39"/>
      <c r="AO303" s="39"/>
      <c r="AP303" s="47"/>
      <c r="AR303" s="38"/>
      <c r="AS303" s="38"/>
      <c r="AU303" s="97"/>
      <c r="AV303" s="34"/>
      <c r="AW303" s="16"/>
      <c r="AY303" s="39"/>
      <c r="AZ303" s="39"/>
      <c r="BA303" s="47"/>
      <c r="BC303" s="38"/>
      <c r="BD303" s="38"/>
    </row>
    <row r="304" spans="22:56" ht="16" x14ac:dyDescent="0.4">
      <c r="V304" s="97"/>
      <c r="W304" s="16"/>
      <c r="X304" s="89"/>
      <c r="Y304" s="89"/>
      <c r="Z304" s="50"/>
      <c r="AA304" s="50"/>
      <c r="AD304" s="37"/>
      <c r="AE304" s="48">
        <f t="shared" si="30"/>
        <v>0</v>
      </c>
      <c r="AG304" s="72">
        <f t="shared" si="31"/>
        <v>0</v>
      </c>
      <c r="AH304" s="37">
        <f t="shared" si="32"/>
        <v>0</v>
      </c>
      <c r="AJ304" s="97"/>
      <c r="AK304" s="34"/>
      <c r="AL304" s="16"/>
      <c r="AN304" s="39"/>
      <c r="AP304" s="47"/>
      <c r="AR304" s="38"/>
      <c r="AS304" s="38"/>
      <c r="AU304" s="97"/>
      <c r="AV304" s="34"/>
      <c r="AW304" s="16"/>
      <c r="AY304" s="39"/>
      <c r="BA304" s="47"/>
      <c r="BC304" s="38"/>
      <c r="BD304" s="38"/>
    </row>
    <row r="305" spans="22:56" ht="16" x14ac:dyDescent="0.4">
      <c r="V305" s="97"/>
      <c r="W305" s="16"/>
      <c r="X305" s="89"/>
      <c r="Y305" s="89"/>
      <c r="Z305" s="50"/>
      <c r="AA305" s="50"/>
      <c r="AD305" s="37"/>
      <c r="AE305" s="48">
        <f t="shared" si="30"/>
        <v>0</v>
      </c>
      <c r="AG305" s="72">
        <f t="shared" si="31"/>
        <v>0</v>
      </c>
      <c r="AH305" s="37">
        <f t="shared" si="32"/>
        <v>0</v>
      </c>
      <c r="AJ305" s="97"/>
      <c r="AK305" s="34"/>
      <c r="AL305" s="16"/>
      <c r="AN305" s="39"/>
      <c r="AO305" s="39"/>
      <c r="AP305" s="47"/>
      <c r="AR305" s="38"/>
      <c r="AS305" s="84"/>
      <c r="AU305" s="97"/>
      <c r="AV305" s="34"/>
      <c r="AW305" s="16"/>
      <c r="AY305" s="39"/>
      <c r="AZ305" s="39"/>
      <c r="BA305" s="47"/>
      <c r="BC305" s="38"/>
      <c r="BD305" s="84"/>
    </row>
    <row r="306" spans="22:56" ht="16" x14ac:dyDescent="0.4">
      <c r="V306" s="97"/>
      <c r="W306" s="16"/>
      <c r="X306" s="89"/>
      <c r="Y306" s="89"/>
      <c r="Z306" s="50"/>
      <c r="AA306" s="50"/>
      <c r="AD306" s="37"/>
      <c r="AE306" s="48">
        <f t="shared" si="30"/>
        <v>0</v>
      </c>
      <c r="AG306" s="72">
        <f t="shared" si="31"/>
        <v>0</v>
      </c>
      <c r="AH306" s="37">
        <f t="shared" si="32"/>
        <v>0</v>
      </c>
      <c r="AJ306" s="97"/>
      <c r="AK306" s="34"/>
      <c r="AL306" s="16"/>
      <c r="AN306" s="39"/>
      <c r="AO306" s="39"/>
      <c r="AP306" s="47"/>
      <c r="AR306" s="38"/>
      <c r="AS306" s="38"/>
      <c r="AU306" s="97"/>
      <c r="AV306" s="34"/>
      <c r="AW306" s="16"/>
      <c r="AY306" s="39"/>
      <c r="AZ306" s="39"/>
      <c r="BA306" s="47"/>
      <c r="BC306" s="38"/>
      <c r="BD306" s="38"/>
    </row>
    <row r="307" spans="22:56" ht="16" x14ac:dyDescent="0.4">
      <c r="V307" s="97"/>
      <c r="W307" s="16"/>
      <c r="X307" s="89"/>
      <c r="Y307" s="89"/>
      <c r="Z307" s="50"/>
      <c r="AA307" s="50"/>
      <c r="AD307" s="37"/>
      <c r="AE307" s="48">
        <f t="shared" si="30"/>
        <v>0</v>
      </c>
      <c r="AG307" s="72">
        <f t="shared" si="31"/>
        <v>0</v>
      </c>
      <c r="AH307" s="37">
        <f t="shared" si="32"/>
        <v>0</v>
      </c>
      <c r="AJ307" s="38"/>
      <c r="AK307" s="34"/>
      <c r="AL307" s="16"/>
      <c r="AN307" s="39"/>
      <c r="AO307" s="39"/>
      <c r="AP307" s="47"/>
      <c r="AR307" s="38"/>
      <c r="AS307" s="38"/>
      <c r="AU307" s="38"/>
      <c r="AV307" s="34"/>
      <c r="AW307" s="16"/>
      <c r="AY307" s="39"/>
      <c r="AZ307" s="39"/>
      <c r="BA307" s="47"/>
      <c r="BC307" s="38"/>
      <c r="BD307" s="38"/>
    </row>
    <row r="308" spans="22:56" ht="16" x14ac:dyDescent="0.4">
      <c r="V308" s="97"/>
      <c r="W308" s="16"/>
      <c r="X308" s="89"/>
      <c r="Y308" s="89"/>
      <c r="Z308" s="50"/>
      <c r="AA308" s="50"/>
      <c r="AD308" s="37"/>
      <c r="AE308" s="48">
        <f t="shared" si="30"/>
        <v>0</v>
      </c>
      <c r="AG308" s="72">
        <f t="shared" si="31"/>
        <v>0</v>
      </c>
      <c r="AH308" s="37">
        <f t="shared" si="32"/>
        <v>0</v>
      </c>
      <c r="AJ308" s="38"/>
      <c r="AK308" s="34"/>
      <c r="AL308" s="16"/>
      <c r="AN308" s="39"/>
      <c r="AO308" s="39"/>
      <c r="AP308" s="47"/>
      <c r="AR308" s="38"/>
      <c r="AS308" s="38"/>
      <c r="AU308" s="38"/>
      <c r="AV308" s="34"/>
      <c r="AW308" s="16"/>
      <c r="AY308" s="39"/>
      <c r="AZ308" s="39"/>
      <c r="BA308" s="47"/>
      <c r="BC308" s="38"/>
      <c r="BD308" s="38"/>
    </row>
    <row r="309" spans="22:56" ht="16" x14ac:dyDescent="0.4">
      <c r="V309" s="97"/>
      <c r="W309" s="16"/>
      <c r="X309" s="89"/>
      <c r="Y309" s="89"/>
      <c r="Z309" s="50"/>
      <c r="AA309" s="50"/>
      <c r="AD309" s="37"/>
      <c r="AE309" s="48">
        <f t="shared" si="30"/>
        <v>0</v>
      </c>
      <c r="AG309" s="72">
        <f t="shared" si="31"/>
        <v>0</v>
      </c>
      <c r="AH309" s="37">
        <f t="shared" si="32"/>
        <v>0</v>
      </c>
      <c r="AJ309" s="38"/>
      <c r="AK309" s="34"/>
      <c r="AL309" s="16"/>
      <c r="AN309" s="39"/>
      <c r="AO309" s="39"/>
      <c r="AP309" s="47"/>
      <c r="AR309" s="38"/>
      <c r="AS309" s="38"/>
      <c r="AU309" s="38"/>
      <c r="AV309" s="34"/>
      <c r="AW309" s="16"/>
      <c r="AY309" s="39"/>
      <c r="AZ309" s="39"/>
      <c r="BA309" s="47"/>
      <c r="BC309" s="38"/>
      <c r="BD309" s="38"/>
    </row>
    <row r="310" spans="22:56" ht="16" x14ac:dyDescent="0.4">
      <c r="V310" s="97"/>
      <c r="W310" s="16"/>
      <c r="X310" s="89"/>
      <c r="Y310" s="89"/>
      <c r="Z310" s="50"/>
      <c r="AA310" s="50"/>
      <c r="AD310" s="37"/>
      <c r="AE310" s="48">
        <f t="shared" si="30"/>
        <v>0</v>
      </c>
      <c r="AG310" s="72">
        <f t="shared" si="31"/>
        <v>0</v>
      </c>
      <c r="AH310" s="37">
        <f t="shared" si="32"/>
        <v>0</v>
      </c>
      <c r="AJ310" s="38"/>
      <c r="AK310" s="34"/>
      <c r="AL310" s="16"/>
      <c r="AN310" s="39"/>
      <c r="AO310" s="39"/>
      <c r="AP310" s="47"/>
      <c r="AR310" s="38"/>
      <c r="AS310" s="38"/>
      <c r="AU310" s="38"/>
      <c r="AV310" s="34"/>
      <c r="AW310" s="16"/>
      <c r="AY310" s="39"/>
      <c r="AZ310" s="39"/>
      <c r="BA310" s="47"/>
      <c r="BC310" s="38"/>
      <c r="BD310" s="38"/>
    </row>
    <row r="311" spans="22:56" ht="16" x14ac:dyDescent="0.4">
      <c r="V311" s="97"/>
      <c r="W311" s="16"/>
      <c r="X311" s="89"/>
      <c r="Y311" s="89"/>
      <c r="Z311" s="50"/>
      <c r="AA311" s="50"/>
      <c r="AD311" s="37"/>
      <c r="AE311" s="48">
        <f t="shared" si="30"/>
        <v>0</v>
      </c>
      <c r="AG311" s="72">
        <f t="shared" si="31"/>
        <v>0</v>
      </c>
      <c r="AH311" s="37">
        <f t="shared" si="32"/>
        <v>0</v>
      </c>
      <c r="AJ311" s="38"/>
      <c r="AK311" s="34"/>
      <c r="AL311" s="16"/>
      <c r="AN311" s="39"/>
      <c r="AO311" s="39"/>
      <c r="AP311" s="47"/>
      <c r="AR311" s="38"/>
      <c r="AS311" s="38"/>
      <c r="AU311" s="38"/>
      <c r="AV311" s="34"/>
      <c r="AW311" s="16"/>
      <c r="AY311" s="39"/>
      <c r="AZ311" s="39"/>
      <c r="BA311" s="47"/>
      <c r="BC311" s="38"/>
      <c r="BD311" s="38"/>
    </row>
    <row r="312" spans="22:56" ht="16" x14ac:dyDescent="0.4">
      <c r="V312" s="97"/>
      <c r="W312" s="16"/>
      <c r="X312" s="89"/>
      <c r="Y312" s="89"/>
      <c r="Z312" s="50"/>
      <c r="AA312" s="50"/>
      <c r="AD312" s="37"/>
      <c r="AE312" s="48">
        <f t="shared" si="30"/>
        <v>0</v>
      </c>
      <c r="AG312" s="72">
        <f t="shared" si="31"/>
        <v>0</v>
      </c>
      <c r="AH312" s="37">
        <f t="shared" si="32"/>
        <v>0</v>
      </c>
      <c r="AJ312" s="38"/>
      <c r="AK312" s="34"/>
      <c r="AL312" s="16"/>
      <c r="AN312" s="39"/>
      <c r="AO312" s="39"/>
      <c r="AP312" s="47"/>
      <c r="AR312" s="38"/>
      <c r="AS312" s="38"/>
      <c r="AU312" s="38"/>
      <c r="AV312" s="34"/>
      <c r="AW312" s="16"/>
      <c r="AY312" s="39"/>
      <c r="AZ312" s="39"/>
      <c r="BA312" s="47"/>
      <c r="BC312" s="38"/>
      <c r="BD312" s="38"/>
    </row>
    <row r="313" spans="22:56" ht="16" x14ac:dyDescent="0.4">
      <c r="V313" s="97"/>
      <c r="W313" s="16"/>
      <c r="X313" s="89"/>
      <c r="Y313" s="89"/>
      <c r="Z313" s="50"/>
      <c r="AA313" s="50"/>
      <c r="AD313" s="37"/>
      <c r="AE313" s="48">
        <f t="shared" ref="AE313:AE376" si="33">AD313/1000</f>
        <v>0</v>
      </c>
      <c r="AG313" s="72">
        <f t="shared" si="31"/>
        <v>0</v>
      </c>
      <c r="AH313" s="37">
        <f t="shared" si="32"/>
        <v>0</v>
      </c>
      <c r="AJ313" s="38"/>
      <c r="AK313" s="34"/>
      <c r="AL313" s="16"/>
      <c r="AN313" s="39"/>
      <c r="AO313" s="39"/>
      <c r="AP313" s="47"/>
      <c r="AR313" s="38"/>
      <c r="AS313" s="38"/>
      <c r="AU313" s="38"/>
      <c r="AV313" s="34"/>
      <c r="AW313" s="16"/>
      <c r="AY313" s="39"/>
      <c r="AZ313" s="39"/>
      <c r="BA313" s="47"/>
      <c r="BC313" s="38"/>
      <c r="BD313" s="38"/>
    </row>
    <row r="314" spans="22:56" ht="16" x14ac:dyDescent="0.4">
      <c r="V314" s="97"/>
      <c r="W314" s="16"/>
      <c r="X314" s="89"/>
      <c r="Y314" s="89"/>
      <c r="Z314" s="50"/>
      <c r="AA314" s="50"/>
      <c r="AD314" s="37"/>
      <c r="AE314" s="48">
        <f t="shared" si="33"/>
        <v>0</v>
      </c>
      <c r="AG314" s="72">
        <f t="shared" ref="AG314:AG377" si="34">IF($AF314&gt;14,14,$AF314)</f>
        <v>0</v>
      </c>
      <c r="AH314" s="37">
        <f t="shared" si="32"/>
        <v>0</v>
      </c>
      <c r="AJ314" s="38"/>
      <c r="AK314" s="34"/>
      <c r="AL314" s="16"/>
      <c r="AN314" s="39"/>
      <c r="AO314" s="39"/>
      <c r="AP314" s="47"/>
      <c r="AR314" s="38"/>
      <c r="AS314" s="38"/>
      <c r="AU314" s="38"/>
      <c r="AV314" s="34"/>
      <c r="AW314" s="16"/>
      <c r="AY314" s="39"/>
      <c r="AZ314" s="39"/>
      <c r="BA314" s="47"/>
      <c r="BC314" s="38"/>
      <c r="BD314" s="38"/>
    </row>
    <row r="315" spans="22:56" ht="16" x14ac:dyDescent="0.4">
      <c r="V315" s="97"/>
      <c r="W315" s="16"/>
      <c r="X315" s="89"/>
      <c r="Y315" s="89"/>
      <c r="Z315" s="50"/>
      <c r="AA315" s="50"/>
      <c r="AD315" s="37"/>
      <c r="AE315" s="48">
        <f t="shared" si="33"/>
        <v>0</v>
      </c>
      <c r="AG315" s="72">
        <f t="shared" si="34"/>
        <v>0</v>
      </c>
      <c r="AH315" s="37">
        <f t="shared" si="32"/>
        <v>0</v>
      </c>
      <c r="AJ315" s="38"/>
      <c r="AK315" s="34"/>
      <c r="AL315" s="16"/>
      <c r="AN315" s="39"/>
      <c r="AO315" s="39"/>
      <c r="AP315" s="47"/>
      <c r="AR315" s="38"/>
      <c r="AS315" s="38"/>
      <c r="AU315" s="38"/>
      <c r="AV315" s="34"/>
      <c r="AW315" s="16"/>
      <c r="AY315" s="39"/>
      <c r="AZ315" s="39"/>
      <c r="BA315" s="47"/>
      <c r="BC315" s="38"/>
      <c r="BD315" s="38"/>
    </row>
    <row r="316" spans="22:56" ht="16" x14ac:dyDescent="0.4">
      <c r="V316" s="97"/>
      <c r="W316" s="16"/>
      <c r="X316" s="89"/>
      <c r="Y316" s="89"/>
      <c r="Z316" s="50"/>
      <c r="AA316" s="50"/>
      <c r="AD316" s="37"/>
      <c r="AE316" s="48">
        <f t="shared" si="33"/>
        <v>0</v>
      </c>
      <c r="AG316" s="72">
        <f t="shared" si="34"/>
        <v>0</v>
      </c>
      <c r="AH316" s="37">
        <f t="shared" si="32"/>
        <v>0</v>
      </c>
      <c r="AJ316" s="38"/>
      <c r="AK316" s="34"/>
      <c r="AL316" s="16"/>
      <c r="AN316" s="39"/>
      <c r="AP316" s="47"/>
      <c r="AR316" s="38"/>
      <c r="AS316" s="38"/>
      <c r="AU316" s="38"/>
      <c r="AV316" s="34"/>
      <c r="AW316" s="16"/>
      <c r="AY316" s="39"/>
      <c r="BA316" s="47"/>
      <c r="BC316" s="38"/>
      <c r="BD316" s="38"/>
    </row>
    <row r="317" spans="22:56" ht="16" x14ac:dyDescent="0.4">
      <c r="V317" s="97"/>
      <c r="W317" s="16"/>
      <c r="X317" s="89"/>
      <c r="Y317" s="89"/>
      <c r="Z317" s="50"/>
      <c r="AA317" s="50"/>
      <c r="AD317" s="37"/>
      <c r="AE317" s="48">
        <f t="shared" si="33"/>
        <v>0</v>
      </c>
      <c r="AG317" s="72">
        <f t="shared" si="34"/>
        <v>0</v>
      </c>
      <c r="AH317" s="37">
        <f t="shared" si="32"/>
        <v>0</v>
      </c>
      <c r="AJ317" s="38"/>
      <c r="AK317" s="34"/>
      <c r="AL317" s="16"/>
      <c r="AN317" s="39"/>
      <c r="AO317" s="39"/>
      <c r="AP317" s="47"/>
      <c r="AR317" s="38"/>
      <c r="AS317" s="38"/>
      <c r="AU317" s="38"/>
      <c r="AV317" s="34"/>
      <c r="AW317" s="16"/>
      <c r="AY317" s="39"/>
      <c r="AZ317" s="39"/>
      <c r="BA317" s="47"/>
      <c r="BC317" s="38"/>
      <c r="BD317" s="38"/>
    </row>
    <row r="318" spans="22:56" ht="16" x14ac:dyDescent="0.4">
      <c r="V318" s="97"/>
      <c r="W318" s="16"/>
      <c r="X318" s="89"/>
      <c r="Y318" s="89"/>
      <c r="Z318" s="50"/>
      <c r="AA318" s="50"/>
      <c r="AD318" s="37"/>
      <c r="AE318" s="48">
        <f t="shared" si="33"/>
        <v>0</v>
      </c>
      <c r="AG318" s="72">
        <f t="shared" si="34"/>
        <v>0</v>
      </c>
      <c r="AH318" s="37">
        <f t="shared" si="32"/>
        <v>0</v>
      </c>
      <c r="AJ318" s="38"/>
      <c r="AK318" s="34"/>
      <c r="AL318" s="16"/>
      <c r="AN318" s="39"/>
      <c r="AO318" s="39"/>
      <c r="AP318" s="47"/>
      <c r="AR318" s="38"/>
      <c r="AS318" s="38"/>
      <c r="AU318" s="38"/>
      <c r="AV318" s="34"/>
      <c r="AW318" s="16"/>
      <c r="AY318" s="39"/>
      <c r="AZ318" s="39"/>
      <c r="BA318" s="47"/>
      <c r="BC318" s="38"/>
      <c r="BD318" s="38"/>
    </row>
    <row r="319" spans="22:56" ht="16" x14ac:dyDescent="0.4">
      <c r="V319" s="97"/>
      <c r="W319" s="16"/>
      <c r="X319" s="89"/>
      <c r="Y319" s="89"/>
      <c r="Z319" s="50"/>
      <c r="AA319" s="50"/>
      <c r="AD319" s="37"/>
      <c r="AE319" s="48">
        <f t="shared" si="33"/>
        <v>0</v>
      </c>
      <c r="AG319" s="72">
        <f t="shared" si="34"/>
        <v>0</v>
      </c>
      <c r="AH319" s="37">
        <f t="shared" si="32"/>
        <v>0</v>
      </c>
      <c r="AJ319" s="38"/>
      <c r="AK319" s="34"/>
      <c r="AL319" s="16"/>
      <c r="AN319" s="39"/>
      <c r="AP319" s="47"/>
      <c r="AR319" s="38"/>
      <c r="AS319" s="38"/>
      <c r="AU319" s="38"/>
      <c r="AV319" s="34"/>
      <c r="AW319" s="16"/>
      <c r="AY319" s="39"/>
      <c r="BA319" s="47"/>
      <c r="BC319" s="38"/>
      <c r="BD319" s="38"/>
    </row>
    <row r="320" spans="22:56" ht="16" x14ac:dyDescent="0.4">
      <c r="V320" s="97"/>
      <c r="W320" s="16"/>
      <c r="X320" s="89"/>
      <c r="Y320" s="89"/>
      <c r="Z320" s="50"/>
      <c r="AA320" s="50"/>
      <c r="AD320" s="37"/>
      <c r="AE320" s="48">
        <f t="shared" si="33"/>
        <v>0</v>
      </c>
      <c r="AG320" s="72">
        <f t="shared" si="34"/>
        <v>0</v>
      </c>
      <c r="AH320" s="37">
        <f t="shared" si="32"/>
        <v>0</v>
      </c>
      <c r="AJ320" s="38"/>
      <c r="AK320" s="34"/>
      <c r="AL320" s="16"/>
      <c r="AN320" s="39"/>
      <c r="AO320" s="39"/>
      <c r="AP320" s="47"/>
      <c r="AR320" s="38"/>
      <c r="AS320" s="38"/>
      <c r="AU320" s="38"/>
      <c r="AV320" s="34"/>
      <c r="AW320" s="16"/>
      <c r="AY320" s="39"/>
      <c r="AZ320" s="39"/>
      <c r="BA320" s="47"/>
      <c r="BC320" s="38"/>
      <c r="BD320" s="38"/>
    </row>
    <row r="321" spans="22:56" ht="16" x14ac:dyDescent="0.4">
      <c r="V321" s="97"/>
      <c r="W321" s="16"/>
      <c r="X321" s="89"/>
      <c r="Y321" s="89"/>
      <c r="Z321" s="50"/>
      <c r="AA321" s="50"/>
      <c r="AD321" s="37"/>
      <c r="AE321" s="48">
        <f t="shared" si="33"/>
        <v>0</v>
      </c>
      <c r="AG321" s="72">
        <f t="shared" si="34"/>
        <v>0</v>
      </c>
      <c r="AH321" s="37">
        <f t="shared" si="32"/>
        <v>0</v>
      </c>
      <c r="AJ321" s="34"/>
      <c r="AK321" s="34"/>
      <c r="AL321" s="82"/>
      <c r="AN321" s="83"/>
      <c r="AO321" s="83"/>
      <c r="AP321" s="82"/>
      <c r="AQ321" s="84"/>
      <c r="AR321" s="84"/>
      <c r="AS321" s="38"/>
      <c r="AU321" s="34"/>
      <c r="AV321" s="34"/>
      <c r="AW321" s="82"/>
      <c r="AY321" s="83"/>
      <c r="AZ321" s="83"/>
      <c r="BA321" s="82"/>
      <c r="BB321" s="84"/>
      <c r="BC321" s="84"/>
      <c r="BD321" s="38"/>
    </row>
    <row r="322" spans="22:56" ht="16" x14ac:dyDescent="0.4">
      <c r="V322" s="97"/>
      <c r="W322" s="16"/>
      <c r="X322" s="89"/>
      <c r="Y322" s="89"/>
      <c r="Z322" s="50"/>
      <c r="AA322" s="50"/>
      <c r="AD322" s="37"/>
      <c r="AE322" s="48">
        <f t="shared" si="33"/>
        <v>0</v>
      </c>
      <c r="AG322" s="72">
        <f t="shared" si="34"/>
        <v>0</v>
      </c>
      <c r="AH322" s="37">
        <f t="shared" si="32"/>
        <v>0</v>
      </c>
      <c r="AJ322" s="34"/>
      <c r="AK322" s="34"/>
      <c r="AL322" s="82"/>
      <c r="AN322" s="83"/>
      <c r="AO322" s="83"/>
      <c r="AP322" s="82"/>
      <c r="AQ322" s="84"/>
      <c r="AR322" s="84"/>
      <c r="AS322" s="38"/>
      <c r="AU322" s="34"/>
      <c r="AV322" s="34"/>
      <c r="AW322" s="82"/>
      <c r="AY322" s="83"/>
      <c r="AZ322" s="83"/>
      <c r="BA322" s="82"/>
      <c r="BB322" s="84"/>
      <c r="BC322" s="84"/>
      <c r="BD322" s="38"/>
    </row>
    <row r="323" spans="22:56" ht="16" x14ac:dyDescent="0.4">
      <c r="V323" s="97"/>
      <c r="W323" s="16"/>
      <c r="X323" s="89"/>
      <c r="Y323" s="89"/>
      <c r="Z323" s="50"/>
      <c r="AA323" s="50"/>
      <c r="AD323" s="37"/>
      <c r="AE323" s="48">
        <f t="shared" si="33"/>
        <v>0</v>
      </c>
      <c r="AG323" s="72">
        <f t="shared" si="34"/>
        <v>0</v>
      </c>
      <c r="AH323" s="37">
        <f t="shared" si="32"/>
        <v>0</v>
      </c>
      <c r="AJ323" s="34"/>
      <c r="AK323" s="34"/>
      <c r="AL323" s="82"/>
      <c r="AN323" s="83"/>
      <c r="AO323" s="83"/>
      <c r="AP323" s="82"/>
      <c r="AQ323" s="84"/>
      <c r="AR323" s="84"/>
      <c r="AS323" s="84"/>
      <c r="AU323" s="34"/>
      <c r="AV323" s="34"/>
      <c r="AW323" s="82"/>
      <c r="AY323" s="83"/>
      <c r="AZ323" s="83"/>
      <c r="BA323" s="82"/>
      <c r="BB323" s="84"/>
      <c r="BC323" s="84"/>
      <c r="BD323" s="84"/>
    </row>
    <row r="324" spans="22:56" ht="16" x14ac:dyDescent="0.4">
      <c r="V324" s="97"/>
      <c r="W324" s="16"/>
      <c r="X324" s="89"/>
      <c r="Y324" s="89"/>
      <c r="Z324" s="50"/>
      <c r="AA324" s="50"/>
      <c r="AD324" s="37"/>
      <c r="AE324" s="48">
        <f t="shared" si="33"/>
        <v>0</v>
      </c>
      <c r="AG324" s="72">
        <f t="shared" si="34"/>
        <v>0</v>
      </c>
      <c r="AH324" s="37">
        <f t="shared" si="32"/>
        <v>0</v>
      </c>
      <c r="AJ324" s="34"/>
      <c r="AK324" s="34"/>
      <c r="AL324" s="82"/>
      <c r="AN324" s="83"/>
      <c r="AO324" s="83"/>
      <c r="AP324" s="82"/>
      <c r="AQ324" s="84"/>
      <c r="AR324" s="84"/>
      <c r="AS324" s="84"/>
      <c r="AU324" s="34"/>
      <c r="AV324" s="34"/>
      <c r="AW324" s="82"/>
      <c r="AY324" s="83"/>
      <c r="AZ324" s="83"/>
      <c r="BA324" s="82"/>
      <c r="BB324" s="84"/>
      <c r="BC324" s="84"/>
      <c r="BD324" s="84"/>
    </row>
    <row r="325" spans="22:56" ht="16" x14ac:dyDescent="0.4">
      <c r="V325" s="97"/>
      <c r="W325" s="16"/>
      <c r="X325" s="89"/>
      <c r="Y325" s="89"/>
      <c r="Z325" s="50"/>
      <c r="AA325" s="50"/>
      <c r="AD325" s="37"/>
      <c r="AE325" s="48">
        <f t="shared" si="33"/>
        <v>0</v>
      </c>
      <c r="AG325" s="72">
        <f t="shared" si="34"/>
        <v>0</v>
      </c>
      <c r="AH325" s="37">
        <f t="shared" si="32"/>
        <v>0</v>
      </c>
      <c r="AJ325" s="34"/>
      <c r="AK325" s="34"/>
      <c r="AL325" s="82"/>
      <c r="AN325" s="83"/>
      <c r="AO325" s="83"/>
      <c r="AP325" s="82"/>
      <c r="AQ325" s="84"/>
      <c r="AR325" s="84"/>
      <c r="AS325" s="84"/>
      <c r="AU325" s="34"/>
      <c r="AV325" s="34"/>
      <c r="AW325" s="82"/>
      <c r="AY325" s="83"/>
      <c r="AZ325" s="83"/>
      <c r="BA325" s="82"/>
      <c r="BB325" s="84"/>
      <c r="BC325" s="84"/>
      <c r="BD325" s="84"/>
    </row>
    <row r="326" spans="22:56" ht="16" x14ac:dyDescent="0.4">
      <c r="V326" s="97"/>
      <c r="W326" s="16"/>
      <c r="X326" s="89"/>
      <c r="Y326" s="89"/>
      <c r="Z326" s="50"/>
      <c r="AA326" s="50"/>
      <c r="AD326" s="37"/>
      <c r="AE326" s="48">
        <f t="shared" si="33"/>
        <v>0</v>
      </c>
      <c r="AG326" s="72">
        <f t="shared" si="34"/>
        <v>0</v>
      </c>
      <c r="AH326" s="37">
        <f t="shared" ref="AH326:AH389" si="35">AE326*AG326/14</f>
        <v>0</v>
      </c>
      <c r="AJ326" s="34"/>
      <c r="AK326" s="34"/>
      <c r="AL326" s="82"/>
      <c r="AN326" s="83"/>
      <c r="AO326" s="83"/>
      <c r="AP326" s="82"/>
      <c r="AQ326" s="84"/>
      <c r="AR326" s="84"/>
      <c r="AS326" s="84"/>
      <c r="AU326" s="34"/>
      <c r="AV326" s="34"/>
      <c r="AW326" s="82"/>
      <c r="AY326" s="83"/>
      <c r="AZ326" s="83"/>
      <c r="BA326" s="82"/>
      <c r="BB326" s="84"/>
      <c r="BC326" s="84"/>
      <c r="BD326" s="84"/>
    </row>
    <row r="327" spans="22:56" ht="16" x14ac:dyDescent="0.4">
      <c r="V327" s="97"/>
      <c r="W327" s="16"/>
      <c r="X327" s="89"/>
      <c r="Y327" s="89"/>
      <c r="Z327" s="50"/>
      <c r="AA327" s="50"/>
      <c r="AD327" s="37"/>
      <c r="AE327" s="48">
        <f t="shared" si="33"/>
        <v>0</v>
      </c>
      <c r="AG327" s="72">
        <f t="shared" si="34"/>
        <v>0</v>
      </c>
      <c r="AH327" s="37">
        <f t="shared" si="35"/>
        <v>0</v>
      </c>
      <c r="AJ327" s="34"/>
      <c r="AK327" s="34"/>
      <c r="AL327" s="82"/>
      <c r="AN327" s="83"/>
      <c r="AO327" s="83"/>
      <c r="AP327" s="82"/>
      <c r="AQ327" s="84"/>
      <c r="AR327" s="84"/>
      <c r="AS327" s="84"/>
      <c r="AU327" s="34"/>
      <c r="AV327" s="34"/>
      <c r="AW327" s="82"/>
      <c r="AY327" s="83"/>
      <c r="AZ327" s="83"/>
      <c r="BA327" s="82"/>
      <c r="BB327" s="84"/>
      <c r="BC327" s="84"/>
      <c r="BD327" s="84"/>
    </row>
    <row r="328" spans="22:56" ht="16" x14ac:dyDescent="0.4">
      <c r="V328" s="97"/>
      <c r="W328" s="16"/>
      <c r="X328" s="89"/>
      <c r="Y328" s="89"/>
      <c r="Z328" s="50"/>
      <c r="AA328" s="50"/>
      <c r="AD328" s="37"/>
      <c r="AE328" s="48">
        <f t="shared" si="33"/>
        <v>0</v>
      </c>
      <c r="AG328" s="72">
        <f t="shared" si="34"/>
        <v>0</v>
      </c>
      <c r="AH328" s="37">
        <f t="shared" si="35"/>
        <v>0</v>
      </c>
      <c r="AJ328" s="34"/>
      <c r="AK328" s="34"/>
      <c r="AL328" s="82"/>
      <c r="AN328" s="83"/>
      <c r="AO328" s="83"/>
      <c r="AP328" s="82"/>
      <c r="AQ328" s="84"/>
      <c r="AR328" s="84"/>
      <c r="AS328" s="84"/>
      <c r="AU328" s="34"/>
      <c r="AV328" s="34"/>
      <c r="AW328" s="82"/>
      <c r="AY328" s="83"/>
      <c r="AZ328" s="83"/>
      <c r="BA328" s="82"/>
      <c r="BB328" s="84"/>
      <c r="BC328" s="84"/>
      <c r="BD328" s="84"/>
    </row>
    <row r="329" spans="22:56" ht="16" x14ac:dyDescent="0.4">
      <c r="V329" s="97"/>
      <c r="W329" s="16"/>
      <c r="X329" s="89"/>
      <c r="Y329" s="89"/>
      <c r="Z329" s="50"/>
      <c r="AA329" s="50"/>
      <c r="AD329" s="37"/>
      <c r="AE329" s="48">
        <f t="shared" si="33"/>
        <v>0</v>
      </c>
      <c r="AG329" s="72">
        <f t="shared" si="34"/>
        <v>0</v>
      </c>
      <c r="AH329" s="37">
        <f t="shared" si="35"/>
        <v>0</v>
      </c>
      <c r="AJ329" s="34"/>
      <c r="AK329" s="34"/>
      <c r="AL329" s="82"/>
      <c r="AN329" s="83"/>
      <c r="AO329" s="83"/>
      <c r="AP329" s="82"/>
      <c r="AQ329" s="84"/>
      <c r="AR329" s="84"/>
      <c r="AS329" s="84"/>
      <c r="AU329" s="34"/>
      <c r="AV329" s="34"/>
      <c r="AW329" s="82"/>
      <c r="AY329" s="83"/>
      <c r="AZ329" s="83"/>
      <c r="BA329" s="82"/>
      <c r="BB329" s="84"/>
      <c r="BC329" s="84"/>
      <c r="BD329" s="84"/>
    </row>
    <row r="330" spans="22:56" ht="16" x14ac:dyDescent="0.4">
      <c r="V330" s="97"/>
      <c r="W330" s="16"/>
      <c r="X330" s="89"/>
      <c r="Y330" s="89"/>
      <c r="Z330" s="50"/>
      <c r="AA330" s="50"/>
      <c r="AD330" s="37"/>
      <c r="AE330" s="48">
        <f t="shared" si="33"/>
        <v>0</v>
      </c>
      <c r="AG330" s="72">
        <f t="shared" si="34"/>
        <v>0</v>
      </c>
      <c r="AH330" s="37">
        <f t="shared" si="35"/>
        <v>0</v>
      </c>
      <c r="AJ330" s="34"/>
      <c r="AK330" s="34"/>
      <c r="AL330" s="82"/>
      <c r="AN330" s="83"/>
      <c r="AO330" s="83"/>
      <c r="AP330" s="82"/>
      <c r="AQ330" s="84"/>
      <c r="AR330" s="84"/>
      <c r="AS330" s="84"/>
      <c r="AU330" s="34"/>
      <c r="AV330" s="34"/>
      <c r="AW330" s="82"/>
      <c r="AY330" s="83"/>
      <c r="AZ330" s="83"/>
      <c r="BA330" s="82"/>
      <c r="BB330" s="84"/>
      <c r="BC330" s="84"/>
      <c r="BD330" s="84"/>
    </row>
    <row r="331" spans="22:56" ht="16" x14ac:dyDescent="0.4">
      <c r="V331" s="97"/>
      <c r="W331" s="16"/>
      <c r="X331" s="89"/>
      <c r="Y331" s="89"/>
      <c r="Z331" s="50"/>
      <c r="AA331" s="50"/>
      <c r="AD331" s="37"/>
      <c r="AE331" s="48">
        <f t="shared" si="33"/>
        <v>0</v>
      </c>
      <c r="AG331" s="72">
        <f t="shared" si="34"/>
        <v>0</v>
      </c>
      <c r="AH331" s="37">
        <f t="shared" si="35"/>
        <v>0</v>
      </c>
      <c r="AJ331" s="34"/>
      <c r="AK331" s="34"/>
      <c r="AL331" s="82"/>
      <c r="AN331" s="83"/>
      <c r="AO331" s="83"/>
      <c r="AP331" s="82"/>
      <c r="AQ331" s="84"/>
      <c r="AR331" s="84"/>
      <c r="AS331" s="84"/>
      <c r="AU331" s="34"/>
      <c r="AV331" s="34"/>
      <c r="AW331" s="82"/>
      <c r="AY331" s="83"/>
      <c r="AZ331" s="83"/>
      <c r="BA331" s="82"/>
      <c r="BB331" s="84"/>
      <c r="BC331" s="84"/>
      <c r="BD331" s="84"/>
    </row>
    <row r="332" spans="22:56" ht="16" x14ac:dyDescent="0.4">
      <c r="V332" s="97"/>
      <c r="W332" s="16"/>
      <c r="X332" s="89"/>
      <c r="Y332" s="89"/>
      <c r="Z332" s="50"/>
      <c r="AA332" s="50"/>
      <c r="AD332" s="37"/>
      <c r="AE332" s="48">
        <f t="shared" si="33"/>
        <v>0</v>
      </c>
      <c r="AG332" s="72">
        <f t="shared" si="34"/>
        <v>0</v>
      </c>
      <c r="AH332" s="37">
        <f t="shared" si="35"/>
        <v>0</v>
      </c>
      <c r="AJ332" s="34"/>
      <c r="AK332" s="34"/>
      <c r="AL332" s="82"/>
      <c r="AN332" s="83"/>
      <c r="AO332" s="83"/>
      <c r="AP332" s="82"/>
      <c r="AQ332" s="84"/>
      <c r="AR332" s="84"/>
      <c r="AS332" s="84"/>
      <c r="AU332" s="34"/>
      <c r="AV332" s="34"/>
      <c r="AW332" s="82"/>
      <c r="AY332" s="83"/>
      <c r="AZ332" s="83"/>
      <c r="BA332" s="82"/>
      <c r="BB332" s="84"/>
      <c r="BC332" s="84"/>
      <c r="BD332" s="84"/>
    </row>
    <row r="333" spans="22:56" ht="16" x14ac:dyDescent="0.4">
      <c r="V333" s="97"/>
      <c r="W333" s="16"/>
      <c r="X333" s="89"/>
      <c r="Z333" s="50"/>
      <c r="AA333" s="50"/>
      <c r="AD333" s="37"/>
      <c r="AE333" s="48">
        <f t="shared" si="33"/>
        <v>0</v>
      </c>
      <c r="AG333" s="72">
        <f t="shared" si="34"/>
        <v>0</v>
      </c>
      <c r="AH333" s="37">
        <f t="shared" si="35"/>
        <v>0</v>
      </c>
      <c r="AJ333" s="34"/>
      <c r="AK333" s="34"/>
      <c r="AL333" s="82"/>
      <c r="AN333" s="83"/>
      <c r="AO333" s="83"/>
      <c r="AP333" s="82"/>
      <c r="AQ333" s="84"/>
      <c r="AR333" s="84"/>
      <c r="AS333" s="84"/>
      <c r="AU333" s="34"/>
      <c r="AV333" s="34"/>
      <c r="AW333" s="82"/>
      <c r="AY333" s="83"/>
      <c r="AZ333" s="83"/>
      <c r="BA333" s="82"/>
      <c r="BB333" s="84"/>
      <c r="BC333" s="84"/>
      <c r="BD333" s="84"/>
    </row>
    <row r="334" spans="22:56" ht="16" x14ac:dyDescent="0.4">
      <c r="V334" s="97"/>
      <c r="W334" s="16"/>
      <c r="X334" s="89"/>
      <c r="Z334" s="50"/>
      <c r="AA334" s="50"/>
      <c r="AD334" s="37"/>
      <c r="AE334" s="48">
        <f t="shared" si="33"/>
        <v>0</v>
      </c>
      <c r="AG334" s="72">
        <f t="shared" si="34"/>
        <v>0</v>
      </c>
      <c r="AH334" s="37">
        <f t="shared" si="35"/>
        <v>0</v>
      </c>
      <c r="AJ334" s="34"/>
      <c r="AK334" s="34"/>
      <c r="AL334" s="82"/>
      <c r="AN334" s="83"/>
      <c r="AO334" s="83"/>
      <c r="AP334" s="82"/>
      <c r="AQ334" s="84"/>
      <c r="AR334" s="84"/>
      <c r="AS334" s="84"/>
      <c r="AU334" s="34"/>
      <c r="AV334" s="34"/>
      <c r="AW334" s="82"/>
      <c r="AY334" s="83"/>
      <c r="AZ334" s="83"/>
      <c r="BA334" s="82"/>
      <c r="BB334" s="84"/>
      <c r="BC334" s="84"/>
      <c r="BD334" s="84"/>
    </row>
    <row r="335" spans="22:56" ht="16" x14ac:dyDescent="0.4">
      <c r="V335" s="97"/>
      <c r="W335" s="16"/>
      <c r="X335" s="89"/>
      <c r="Z335" s="50"/>
      <c r="AA335" s="50"/>
      <c r="AD335" s="37"/>
      <c r="AE335" s="48">
        <f t="shared" si="33"/>
        <v>0</v>
      </c>
      <c r="AG335" s="72">
        <f t="shared" si="34"/>
        <v>0</v>
      </c>
      <c r="AH335" s="37">
        <f t="shared" si="35"/>
        <v>0</v>
      </c>
      <c r="AJ335" s="34"/>
      <c r="AK335" s="34"/>
      <c r="AL335" s="82"/>
      <c r="AN335" s="83"/>
      <c r="AO335" s="83"/>
      <c r="AP335" s="82"/>
      <c r="AQ335" s="84"/>
      <c r="AR335" s="84"/>
      <c r="AS335" s="84"/>
      <c r="AU335" s="34"/>
      <c r="AV335" s="34"/>
      <c r="AW335" s="82"/>
      <c r="AY335" s="83"/>
      <c r="AZ335" s="83"/>
      <c r="BA335" s="82"/>
      <c r="BB335" s="84"/>
      <c r="BC335" s="84"/>
      <c r="BD335" s="84"/>
    </row>
    <row r="336" spans="22:56" ht="16" x14ac:dyDescent="0.4">
      <c r="V336" s="97"/>
      <c r="W336" s="16"/>
      <c r="X336" s="89"/>
      <c r="Z336" s="50"/>
      <c r="AA336" s="50"/>
      <c r="AD336" s="37"/>
      <c r="AE336" s="48">
        <f t="shared" si="33"/>
        <v>0</v>
      </c>
      <c r="AG336" s="72">
        <f t="shared" si="34"/>
        <v>0</v>
      </c>
      <c r="AH336" s="37">
        <f t="shared" si="35"/>
        <v>0</v>
      </c>
      <c r="AJ336" s="34"/>
      <c r="AK336" s="34"/>
      <c r="AL336" s="82"/>
      <c r="AN336" s="83"/>
      <c r="AO336" s="83"/>
      <c r="AP336" s="82"/>
      <c r="AQ336" s="84"/>
      <c r="AR336" s="84"/>
      <c r="AS336" s="84"/>
      <c r="AU336" s="34"/>
      <c r="AV336" s="34"/>
      <c r="AW336" s="82"/>
      <c r="AY336" s="83"/>
      <c r="AZ336" s="83"/>
      <c r="BA336" s="82"/>
      <c r="BB336" s="84"/>
      <c r="BC336" s="84"/>
      <c r="BD336" s="84"/>
    </row>
    <row r="337" spans="22:56" ht="16" x14ac:dyDescent="0.4">
      <c r="V337" s="97"/>
      <c r="W337" s="16"/>
      <c r="X337" s="89"/>
      <c r="Z337" s="50"/>
      <c r="AA337" s="50"/>
      <c r="AD337" s="100"/>
      <c r="AE337" s="48">
        <f t="shared" si="33"/>
        <v>0</v>
      </c>
      <c r="AF337" s="16"/>
      <c r="AG337" s="72">
        <f t="shared" si="34"/>
        <v>0</v>
      </c>
      <c r="AH337" s="37">
        <f t="shared" si="35"/>
        <v>0</v>
      </c>
      <c r="AJ337" s="34"/>
      <c r="AK337" s="34"/>
      <c r="AL337" s="82"/>
      <c r="AN337" s="83"/>
      <c r="AO337" s="83"/>
      <c r="AP337" s="82"/>
      <c r="AQ337" s="84"/>
      <c r="AR337" s="84"/>
      <c r="AS337" s="84"/>
      <c r="AU337" s="34"/>
      <c r="AV337" s="34"/>
      <c r="AW337" s="82"/>
      <c r="AY337" s="83"/>
      <c r="AZ337" s="83"/>
      <c r="BA337" s="82"/>
      <c r="BB337" s="84"/>
      <c r="BC337" s="84"/>
      <c r="BD337" s="84"/>
    </row>
    <row r="338" spans="22:56" ht="16" x14ac:dyDescent="0.4">
      <c r="V338" s="97"/>
      <c r="W338" s="16"/>
      <c r="X338" s="89"/>
      <c r="Z338" s="50"/>
      <c r="AA338" s="50"/>
      <c r="AD338" s="100"/>
      <c r="AE338" s="48">
        <f t="shared" si="33"/>
        <v>0</v>
      </c>
      <c r="AF338" s="16"/>
      <c r="AG338" s="72">
        <f t="shared" si="34"/>
        <v>0</v>
      </c>
      <c r="AH338" s="37">
        <f t="shared" si="35"/>
        <v>0</v>
      </c>
      <c r="AJ338" s="34"/>
      <c r="AK338" s="34"/>
      <c r="AL338" s="82"/>
      <c r="AN338" s="83"/>
      <c r="AO338" s="83"/>
      <c r="AP338" s="82"/>
      <c r="AQ338" s="84"/>
      <c r="AR338" s="84"/>
      <c r="AS338" s="84"/>
      <c r="AU338" s="34"/>
      <c r="AV338" s="34"/>
      <c r="AW338" s="82"/>
      <c r="AY338" s="83"/>
      <c r="AZ338" s="83"/>
      <c r="BA338" s="82"/>
      <c r="BB338" s="84"/>
      <c r="BC338" s="84"/>
      <c r="BD338" s="84"/>
    </row>
    <row r="339" spans="22:56" ht="16" x14ac:dyDescent="0.4">
      <c r="V339" s="97"/>
      <c r="W339" s="16"/>
      <c r="X339" s="89"/>
      <c r="Z339" s="50"/>
      <c r="AA339" s="50"/>
      <c r="AD339" s="100"/>
      <c r="AE339" s="48">
        <f t="shared" si="33"/>
        <v>0</v>
      </c>
      <c r="AF339" s="16"/>
      <c r="AG339" s="72">
        <f t="shared" si="34"/>
        <v>0</v>
      </c>
      <c r="AH339" s="37">
        <f t="shared" si="35"/>
        <v>0</v>
      </c>
      <c r="AJ339" s="34"/>
      <c r="AK339" s="34"/>
      <c r="AL339" s="82"/>
      <c r="AN339" s="83"/>
      <c r="AO339" s="83"/>
      <c r="AP339" s="82"/>
      <c r="AQ339" s="84"/>
      <c r="AR339" s="84"/>
      <c r="AS339" s="84"/>
      <c r="AU339" s="34"/>
      <c r="AV339" s="34"/>
      <c r="AW339" s="82"/>
      <c r="AY339" s="83"/>
      <c r="AZ339" s="83"/>
      <c r="BA339" s="82"/>
      <c r="BB339" s="84"/>
      <c r="BC339" s="84"/>
      <c r="BD339" s="84"/>
    </row>
    <row r="340" spans="22:56" ht="16" x14ac:dyDescent="0.4">
      <c r="V340" s="97"/>
      <c r="W340" s="16"/>
      <c r="X340" s="89"/>
      <c r="Z340" s="50"/>
      <c r="AA340" s="50"/>
      <c r="AD340" s="100"/>
      <c r="AE340" s="48">
        <f t="shared" si="33"/>
        <v>0</v>
      </c>
      <c r="AF340" s="16"/>
      <c r="AG340" s="72">
        <f t="shared" si="34"/>
        <v>0</v>
      </c>
      <c r="AH340" s="37">
        <f t="shared" si="35"/>
        <v>0</v>
      </c>
      <c r="AJ340" s="34"/>
      <c r="AK340" s="34"/>
      <c r="AL340" s="82"/>
      <c r="AN340" s="83"/>
      <c r="AO340" s="83"/>
      <c r="AP340" s="82"/>
      <c r="AQ340" s="84"/>
      <c r="AR340" s="84"/>
      <c r="AS340" s="84"/>
      <c r="AU340" s="34"/>
      <c r="AV340" s="34"/>
      <c r="AW340" s="82"/>
      <c r="AY340" s="83"/>
      <c r="AZ340" s="83"/>
      <c r="BA340" s="82"/>
      <c r="BB340" s="84"/>
      <c r="BC340" s="84"/>
      <c r="BD340" s="84"/>
    </row>
    <row r="341" spans="22:56" ht="16" x14ac:dyDescent="0.4">
      <c r="V341" s="97"/>
      <c r="W341" s="16"/>
      <c r="X341" s="89"/>
      <c r="Z341" s="50"/>
      <c r="AA341" s="50"/>
      <c r="AD341" s="100"/>
      <c r="AE341" s="48">
        <f t="shared" si="33"/>
        <v>0</v>
      </c>
      <c r="AF341" s="16"/>
      <c r="AG341" s="72">
        <f t="shared" si="34"/>
        <v>0</v>
      </c>
      <c r="AH341" s="37">
        <f t="shared" si="35"/>
        <v>0</v>
      </c>
      <c r="AJ341" s="34"/>
      <c r="AK341" s="34"/>
      <c r="AL341" s="82"/>
      <c r="AN341" s="83"/>
      <c r="AO341" s="83"/>
      <c r="AP341" s="82"/>
      <c r="AQ341" s="84"/>
      <c r="AR341" s="84"/>
      <c r="AS341" s="84"/>
      <c r="AU341" s="34"/>
      <c r="AV341" s="34"/>
      <c r="AW341" s="82"/>
      <c r="AY341" s="83"/>
      <c r="AZ341" s="83"/>
      <c r="BA341" s="82"/>
      <c r="BB341" s="84"/>
      <c r="BC341" s="84"/>
      <c r="BD341" s="84"/>
    </row>
    <row r="342" spans="22:56" ht="16" x14ac:dyDescent="0.4">
      <c r="V342" s="97"/>
      <c r="W342" s="16"/>
      <c r="X342" s="89"/>
      <c r="Z342" s="50"/>
      <c r="AA342" s="50"/>
      <c r="AD342" s="100"/>
      <c r="AE342" s="48">
        <f t="shared" si="33"/>
        <v>0</v>
      </c>
      <c r="AF342" s="16"/>
      <c r="AG342" s="72">
        <f t="shared" si="34"/>
        <v>0</v>
      </c>
      <c r="AH342" s="37">
        <f t="shared" si="35"/>
        <v>0</v>
      </c>
      <c r="AJ342" s="34"/>
      <c r="AK342" s="34"/>
      <c r="AL342" s="82"/>
      <c r="AN342" s="83"/>
      <c r="AO342" s="83"/>
      <c r="AP342" s="82"/>
      <c r="AQ342" s="84"/>
      <c r="AR342" s="84"/>
      <c r="AS342" s="84"/>
      <c r="AU342" s="34"/>
      <c r="AV342" s="34"/>
      <c r="AW342" s="82"/>
      <c r="AY342" s="83"/>
      <c r="AZ342" s="83"/>
      <c r="BA342" s="82"/>
      <c r="BB342" s="84"/>
      <c r="BC342" s="84"/>
      <c r="BD342" s="84"/>
    </row>
    <row r="343" spans="22:56" ht="16" x14ac:dyDescent="0.4">
      <c r="V343" s="97"/>
      <c r="W343" s="16"/>
      <c r="X343" s="89"/>
      <c r="Z343" s="50"/>
      <c r="AA343" s="50"/>
      <c r="AD343" s="100"/>
      <c r="AE343" s="48">
        <f t="shared" si="33"/>
        <v>0</v>
      </c>
      <c r="AF343" s="16"/>
      <c r="AG343" s="72">
        <f t="shared" si="34"/>
        <v>0</v>
      </c>
      <c r="AH343" s="37">
        <f t="shared" si="35"/>
        <v>0</v>
      </c>
      <c r="AJ343" s="34"/>
      <c r="AK343" s="34"/>
      <c r="AL343" s="82"/>
      <c r="AN343" s="83"/>
      <c r="AO343" s="83"/>
      <c r="AP343" s="82"/>
      <c r="AQ343" s="84"/>
      <c r="AR343" s="84"/>
      <c r="AS343" s="84"/>
      <c r="AU343" s="34"/>
      <c r="AV343" s="34"/>
      <c r="AW343" s="82"/>
      <c r="AY343" s="83"/>
      <c r="AZ343" s="83"/>
      <c r="BA343" s="82"/>
      <c r="BB343" s="84"/>
      <c r="BC343" s="84"/>
      <c r="BD343" s="84"/>
    </row>
    <row r="344" spans="22:56" ht="16" x14ac:dyDescent="0.4">
      <c r="V344" s="97"/>
      <c r="W344" s="16"/>
      <c r="X344" s="89"/>
      <c r="Z344" s="50"/>
      <c r="AA344" s="50"/>
      <c r="AD344" s="100"/>
      <c r="AE344" s="48">
        <f t="shared" si="33"/>
        <v>0</v>
      </c>
      <c r="AF344" s="16"/>
      <c r="AG344" s="72">
        <f t="shared" si="34"/>
        <v>0</v>
      </c>
      <c r="AH344" s="37">
        <f t="shared" si="35"/>
        <v>0</v>
      </c>
      <c r="AJ344" s="34"/>
      <c r="AK344" s="34"/>
      <c r="AL344" s="82"/>
      <c r="AN344" s="83"/>
      <c r="AO344" s="83"/>
      <c r="AP344" s="82"/>
      <c r="AQ344" s="84"/>
      <c r="AR344" s="84"/>
      <c r="AS344" s="84"/>
      <c r="AU344" s="34"/>
      <c r="AV344" s="34"/>
      <c r="AW344" s="82"/>
      <c r="AY344" s="83"/>
      <c r="AZ344" s="83"/>
      <c r="BA344" s="82"/>
      <c r="BB344" s="84"/>
      <c r="BC344" s="84"/>
      <c r="BD344" s="84"/>
    </row>
    <row r="345" spans="22:56" ht="16" x14ac:dyDescent="0.4">
      <c r="V345" s="97"/>
      <c r="W345" s="16"/>
      <c r="X345" s="89"/>
      <c r="Z345" s="50"/>
      <c r="AA345" s="50"/>
      <c r="AD345" s="100"/>
      <c r="AE345" s="48">
        <f t="shared" si="33"/>
        <v>0</v>
      </c>
      <c r="AF345" s="16"/>
      <c r="AG345" s="72">
        <f t="shared" si="34"/>
        <v>0</v>
      </c>
      <c r="AH345" s="37">
        <f t="shared" si="35"/>
        <v>0</v>
      </c>
      <c r="AJ345" s="34"/>
      <c r="AK345" s="34"/>
      <c r="AL345" s="82"/>
      <c r="AN345" s="83"/>
      <c r="AO345" s="83"/>
      <c r="AP345" s="82"/>
      <c r="AQ345" s="84"/>
      <c r="AR345" s="84"/>
      <c r="AS345" s="84"/>
      <c r="AU345" s="34"/>
      <c r="AV345" s="34"/>
      <c r="AW345" s="82"/>
      <c r="AY345" s="83"/>
      <c r="AZ345" s="83"/>
      <c r="BA345" s="82"/>
      <c r="BB345" s="84"/>
      <c r="BC345" s="84"/>
      <c r="BD345" s="84"/>
    </row>
    <row r="346" spans="22:56" ht="16" x14ac:dyDescent="0.4">
      <c r="V346" s="97"/>
      <c r="W346" s="16"/>
      <c r="X346" s="89"/>
      <c r="Z346" s="50"/>
      <c r="AA346" s="50"/>
      <c r="AD346" s="100"/>
      <c r="AE346" s="48">
        <f t="shared" si="33"/>
        <v>0</v>
      </c>
      <c r="AF346" s="16"/>
      <c r="AG346" s="72">
        <f t="shared" si="34"/>
        <v>0</v>
      </c>
      <c r="AH346" s="37">
        <f t="shared" si="35"/>
        <v>0</v>
      </c>
      <c r="AJ346" s="34"/>
      <c r="AK346" s="34"/>
      <c r="AL346" s="82"/>
      <c r="AN346" s="83"/>
      <c r="AO346" s="83"/>
      <c r="AP346" s="82"/>
      <c r="AQ346" s="84"/>
      <c r="AR346" s="84"/>
      <c r="AS346" s="84"/>
      <c r="AU346" s="34"/>
      <c r="AV346" s="34"/>
      <c r="AW346" s="82"/>
      <c r="AY346" s="83"/>
      <c r="AZ346" s="83"/>
      <c r="BA346" s="82"/>
      <c r="BB346" s="84"/>
      <c r="BC346" s="84"/>
      <c r="BD346" s="84"/>
    </row>
    <row r="347" spans="22:56" ht="16" x14ac:dyDescent="0.4">
      <c r="V347" s="97"/>
      <c r="W347" s="16"/>
      <c r="X347" s="89"/>
      <c r="Z347" s="50"/>
      <c r="AA347" s="50"/>
      <c r="AD347" s="100"/>
      <c r="AE347" s="48">
        <f t="shared" si="33"/>
        <v>0</v>
      </c>
      <c r="AF347" s="16"/>
      <c r="AG347" s="72">
        <f t="shared" si="34"/>
        <v>0</v>
      </c>
      <c r="AH347" s="37">
        <f t="shared" si="35"/>
        <v>0</v>
      </c>
      <c r="AJ347" s="34"/>
      <c r="AK347" s="34"/>
      <c r="AL347" s="82"/>
      <c r="AN347" s="83"/>
      <c r="AO347" s="83"/>
      <c r="AP347" s="82"/>
      <c r="AQ347" s="84"/>
      <c r="AR347" s="84"/>
      <c r="AS347" s="84"/>
      <c r="AU347" s="34"/>
      <c r="AV347" s="34"/>
      <c r="AW347" s="82"/>
      <c r="AY347" s="83"/>
      <c r="AZ347" s="83"/>
      <c r="BA347" s="82"/>
      <c r="BB347" s="84"/>
      <c r="BC347" s="84"/>
      <c r="BD347" s="84"/>
    </row>
    <row r="348" spans="22:56" ht="16" x14ac:dyDescent="0.4">
      <c r="V348" s="97"/>
      <c r="W348" s="16"/>
      <c r="X348" s="89"/>
      <c r="Z348" s="50"/>
      <c r="AA348" s="50"/>
      <c r="AD348" s="100"/>
      <c r="AE348" s="48">
        <f t="shared" si="33"/>
        <v>0</v>
      </c>
      <c r="AF348" s="16"/>
      <c r="AG348" s="72">
        <f t="shared" si="34"/>
        <v>0</v>
      </c>
      <c r="AH348" s="37">
        <f t="shared" si="35"/>
        <v>0</v>
      </c>
      <c r="AJ348" s="34"/>
      <c r="AK348" s="34"/>
      <c r="AL348" s="82"/>
      <c r="AN348" s="83"/>
      <c r="AO348" s="83"/>
      <c r="AP348" s="82"/>
      <c r="AQ348" s="84"/>
      <c r="AR348" s="84"/>
      <c r="AS348" s="84"/>
      <c r="AU348" s="34"/>
      <c r="AV348" s="34"/>
      <c r="AW348" s="82"/>
      <c r="AY348" s="83"/>
      <c r="AZ348" s="83"/>
      <c r="BA348" s="82"/>
      <c r="BB348" s="84"/>
      <c r="BC348" s="84"/>
      <c r="BD348" s="84"/>
    </row>
    <row r="349" spans="22:56" ht="16" x14ac:dyDescent="0.4">
      <c r="V349" s="97"/>
      <c r="W349" s="16"/>
      <c r="X349" s="89"/>
      <c r="Z349" s="50"/>
      <c r="AA349" s="50"/>
      <c r="AD349" s="100"/>
      <c r="AE349" s="48">
        <f t="shared" si="33"/>
        <v>0</v>
      </c>
      <c r="AF349" s="16"/>
      <c r="AG349" s="72">
        <f t="shared" si="34"/>
        <v>0</v>
      </c>
      <c r="AH349" s="37">
        <f t="shared" si="35"/>
        <v>0</v>
      </c>
      <c r="AJ349" s="34"/>
      <c r="AK349" s="34"/>
      <c r="AL349" s="82"/>
      <c r="AN349" s="83"/>
      <c r="AO349" s="83"/>
      <c r="AP349" s="82"/>
      <c r="AQ349" s="84"/>
      <c r="AR349" s="84"/>
      <c r="AS349" s="84"/>
      <c r="AU349" s="34"/>
      <c r="AV349" s="34"/>
      <c r="AW349" s="82"/>
      <c r="AY349" s="83"/>
      <c r="AZ349" s="83"/>
      <c r="BA349" s="82"/>
      <c r="BB349" s="84"/>
      <c r="BC349" s="84"/>
      <c r="BD349" s="84"/>
    </row>
    <row r="350" spans="22:56" ht="16" x14ac:dyDescent="0.4">
      <c r="V350" s="97"/>
      <c r="W350" s="16"/>
      <c r="X350" s="89"/>
      <c r="Z350" s="50"/>
      <c r="AA350" s="50"/>
      <c r="AD350" s="100"/>
      <c r="AE350" s="48">
        <f t="shared" si="33"/>
        <v>0</v>
      </c>
      <c r="AF350" s="16"/>
      <c r="AG350" s="72">
        <f t="shared" si="34"/>
        <v>0</v>
      </c>
      <c r="AH350" s="37">
        <f t="shared" si="35"/>
        <v>0</v>
      </c>
      <c r="AJ350" s="34"/>
      <c r="AK350" s="34"/>
      <c r="AL350" s="82"/>
      <c r="AN350" s="83"/>
      <c r="AO350" s="83"/>
      <c r="AP350" s="82"/>
      <c r="AQ350" s="84"/>
      <c r="AR350" s="84"/>
      <c r="AS350" s="84"/>
      <c r="AU350" s="34"/>
      <c r="AV350" s="34"/>
      <c r="AW350" s="82"/>
      <c r="AY350" s="83"/>
      <c r="AZ350" s="83"/>
      <c r="BA350" s="82"/>
      <c r="BB350" s="84"/>
      <c r="BC350" s="84"/>
      <c r="BD350" s="84"/>
    </row>
    <row r="351" spans="22:56" ht="16" x14ac:dyDescent="0.4">
      <c r="V351" s="97"/>
      <c r="W351" s="16"/>
      <c r="X351" s="89"/>
      <c r="Z351" s="50"/>
      <c r="AA351" s="50"/>
      <c r="AD351" s="100"/>
      <c r="AE351" s="48">
        <f t="shared" si="33"/>
        <v>0</v>
      </c>
      <c r="AF351" s="16"/>
      <c r="AG351" s="72">
        <f t="shared" si="34"/>
        <v>0</v>
      </c>
      <c r="AH351" s="37">
        <f t="shared" si="35"/>
        <v>0</v>
      </c>
      <c r="AJ351" s="34"/>
      <c r="AK351" s="34"/>
      <c r="AL351" s="82"/>
      <c r="AN351" s="83"/>
      <c r="AO351" s="83"/>
      <c r="AP351" s="82"/>
      <c r="AQ351" s="84"/>
      <c r="AR351" s="84"/>
      <c r="AS351" s="84"/>
      <c r="AU351" s="34"/>
      <c r="AV351" s="34"/>
      <c r="AW351" s="82"/>
      <c r="AY351" s="83"/>
      <c r="AZ351" s="83"/>
      <c r="BA351" s="82"/>
      <c r="BB351" s="84"/>
      <c r="BC351" s="84"/>
      <c r="BD351" s="84"/>
    </row>
    <row r="352" spans="22:56" ht="16" x14ac:dyDescent="0.4">
      <c r="V352" s="97"/>
      <c r="W352" s="16"/>
      <c r="X352" s="89"/>
      <c r="Z352" s="50"/>
      <c r="AA352" s="50"/>
      <c r="AD352" s="100"/>
      <c r="AE352" s="48">
        <f t="shared" si="33"/>
        <v>0</v>
      </c>
      <c r="AF352" s="16"/>
      <c r="AG352" s="72">
        <f t="shared" si="34"/>
        <v>0</v>
      </c>
      <c r="AH352" s="37">
        <f t="shared" si="35"/>
        <v>0</v>
      </c>
      <c r="AJ352" s="34"/>
      <c r="AK352" s="34"/>
      <c r="AL352" s="82"/>
      <c r="AN352" s="83"/>
      <c r="AO352" s="83"/>
      <c r="AP352" s="82"/>
      <c r="AQ352" s="84"/>
      <c r="AR352" s="84"/>
      <c r="AS352" s="84"/>
      <c r="AU352" s="34"/>
      <c r="AV352" s="34"/>
      <c r="AW352" s="82"/>
      <c r="AY352" s="83"/>
      <c r="AZ352" s="83"/>
      <c r="BA352" s="82"/>
      <c r="BB352" s="84"/>
      <c r="BC352" s="84"/>
      <c r="BD352" s="84"/>
    </row>
    <row r="353" spans="22:56" ht="16" x14ac:dyDescent="0.4">
      <c r="V353" s="97"/>
      <c r="W353" s="16"/>
      <c r="X353" s="89"/>
      <c r="Z353" s="50"/>
      <c r="AA353" s="50"/>
      <c r="AD353" s="100"/>
      <c r="AE353" s="48">
        <f t="shared" si="33"/>
        <v>0</v>
      </c>
      <c r="AF353" s="16"/>
      <c r="AG353" s="72">
        <f t="shared" si="34"/>
        <v>0</v>
      </c>
      <c r="AH353" s="37">
        <f t="shared" si="35"/>
        <v>0</v>
      </c>
      <c r="AJ353" s="34"/>
      <c r="AK353" s="34"/>
      <c r="AL353" s="82"/>
      <c r="AN353" s="83"/>
      <c r="AO353" s="83"/>
      <c r="AP353" s="82"/>
      <c r="AQ353" s="84"/>
      <c r="AR353" s="84"/>
      <c r="AS353" s="84"/>
      <c r="AU353" s="34"/>
      <c r="AV353" s="34"/>
      <c r="AW353" s="82"/>
      <c r="AY353" s="83"/>
      <c r="AZ353" s="83"/>
      <c r="BA353" s="82"/>
      <c r="BB353" s="84"/>
      <c r="BC353" s="84"/>
      <c r="BD353" s="84"/>
    </row>
    <row r="354" spans="22:56" ht="16" x14ac:dyDescent="0.4">
      <c r="V354" s="97"/>
      <c r="W354" s="16"/>
      <c r="X354" s="89"/>
      <c r="Z354" s="50"/>
      <c r="AA354" s="50"/>
      <c r="AD354" s="100"/>
      <c r="AE354" s="48">
        <f t="shared" si="33"/>
        <v>0</v>
      </c>
      <c r="AF354" s="16"/>
      <c r="AG354" s="72">
        <f t="shared" si="34"/>
        <v>0</v>
      </c>
      <c r="AH354" s="37">
        <f t="shared" si="35"/>
        <v>0</v>
      </c>
      <c r="AJ354" s="34"/>
      <c r="AK354" s="34"/>
      <c r="AL354" s="82"/>
      <c r="AN354" s="83"/>
      <c r="AO354" s="83"/>
      <c r="AP354" s="82"/>
      <c r="AQ354" s="84"/>
      <c r="AR354" s="84"/>
      <c r="AS354" s="84"/>
      <c r="AU354" s="34"/>
      <c r="AV354" s="34"/>
      <c r="AW354" s="82"/>
      <c r="AY354" s="83"/>
      <c r="AZ354" s="83"/>
      <c r="BA354" s="82"/>
      <c r="BB354" s="84"/>
      <c r="BC354" s="84"/>
      <c r="BD354" s="84"/>
    </row>
    <row r="355" spans="22:56" ht="16" x14ac:dyDescent="0.4">
      <c r="V355" s="97"/>
      <c r="W355" s="16"/>
      <c r="X355" s="89"/>
      <c r="Z355" s="50"/>
      <c r="AA355" s="50"/>
      <c r="AD355" s="100"/>
      <c r="AE355" s="48">
        <f t="shared" si="33"/>
        <v>0</v>
      </c>
      <c r="AF355" s="16"/>
      <c r="AG355" s="72">
        <f t="shared" si="34"/>
        <v>0</v>
      </c>
      <c r="AH355" s="37">
        <f t="shared" si="35"/>
        <v>0</v>
      </c>
      <c r="AJ355" s="34"/>
      <c r="AK355" s="34"/>
      <c r="AL355" s="82"/>
      <c r="AN355" s="83"/>
      <c r="AO355" s="83"/>
      <c r="AP355" s="82"/>
      <c r="AQ355" s="84"/>
      <c r="AR355" s="84"/>
      <c r="AS355" s="84"/>
      <c r="AU355" s="34"/>
      <c r="AV355" s="34"/>
      <c r="AW355" s="82"/>
      <c r="AY355" s="83"/>
      <c r="AZ355" s="83"/>
      <c r="BA355" s="82"/>
      <c r="BB355" s="84"/>
      <c r="BC355" s="84"/>
      <c r="BD355" s="84"/>
    </row>
    <row r="356" spans="22:56" ht="16" x14ac:dyDescent="0.4">
      <c r="V356" s="97"/>
      <c r="W356" s="16"/>
      <c r="X356" s="89"/>
      <c r="Z356" s="50"/>
      <c r="AA356" s="50"/>
      <c r="AD356" s="100"/>
      <c r="AE356" s="48">
        <f t="shared" si="33"/>
        <v>0</v>
      </c>
      <c r="AF356" s="16"/>
      <c r="AG356" s="72">
        <f t="shared" si="34"/>
        <v>0</v>
      </c>
      <c r="AH356" s="37">
        <f t="shared" si="35"/>
        <v>0</v>
      </c>
      <c r="AJ356" s="34"/>
      <c r="AK356" s="34"/>
      <c r="AL356" s="82"/>
      <c r="AN356" s="83"/>
      <c r="AO356" s="83"/>
      <c r="AP356" s="82"/>
      <c r="AQ356" s="84"/>
      <c r="AR356" s="84"/>
      <c r="AS356" s="84"/>
      <c r="AU356" s="34"/>
      <c r="AV356" s="34"/>
      <c r="AW356" s="82"/>
      <c r="AY356" s="83"/>
      <c r="AZ356" s="83"/>
      <c r="BA356" s="82"/>
      <c r="BB356" s="84"/>
      <c r="BC356" s="84"/>
      <c r="BD356" s="84"/>
    </row>
    <row r="357" spans="22:56" ht="16" x14ac:dyDescent="0.4">
      <c r="V357" s="97"/>
      <c r="W357" s="16"/>
      <c r="X357" s="89"/>
      <c r="Z357" s="50"/>
      <c r="AA357" s="50"/>
      <c r="AD357" s="100"/>
      <c r="AE357" s="48">
        <f t="shared" si="33"/>
        <v>0</v>
      </c>
      <c r="AF357" s="16"/>
      <c r="AG357" s="72">
        <f t="shared" si="34"/>
        <v>0</v>
      </c>
      <c r="AH357" s="37">
        <f t="shared" si="35"/>
        <v>0</v>
      </c>
      <c r="AJ357" s="34"/>
      <c r="AK357" s="34"/>
      <c r="AL357" s="82"/>
      <c r="AN357" s="83"/>
      <c r="AO357" s="83"/>
      <c r="AP357" s="82"/>
      <c r="AQ357" s="84"/>
      <c r="AR357" s="84"/>
      <c r="AS357" s="84"/>
      <c r="AU357" s="34"/>
      <c r="AV357" s="34"/>
      <c r="AW357" s="82"/>
      <c r="AY357" s="83"/>
      <c r="AZ357" s="83"/>
      <c r="BA357" s="82"/>
      <c r="BB357" s="84"/>
      <c r="BC357" s="84"/>
      <c r="BD357" s="84"/>
    </row>
    <row r="358" spans="22:56" ht="16" x14ac:dyDescent="0.4">
      <c r="V358" s="97"/>
      <c r="W358" s="16"/>
      <c r="X358" s="89"/>
      <c r="Z358" s="50"/>
      <c r="AA358" s="50"/>
      <c r="AD358" s="100"/>
      <c r="AE358" s="48">
        <f t="shared" si="33"/>
        <v>0</v>
      </c>
      <c r="AF358" s="16"/>
      <c r="AG358" s="72">
        <f t="shared" si="34"/>
        <v>0</v>
      </c>
      <c r="AH358" s="37">
        <f t="shared" si="35"/>
        <v>0</v>
      </c>
      <c r="AJ358" s="34"/>
      <c r="AK358" s="34"/>
      <c r="AL358" s="82"/>
      <c r="AN358" s="83"/>
      <c r="AO358" s="83"/>
      <c r="AP358" s="82"/>
      <c r="AQ358" s="84"/>
      <c r="AR358" s="84"/>
      <c r="AS358" s="84"/>
      <c r="AU358" s="34"/>
      <c r="AV358" s="34"/>
      <c r="AW358" s="82"/>
      <c r="AY358" s="83"/>
      <c r="AZ358" s="83"/>
      <c r="BA358" s="82"/>
      <c r="BB358" s="84"/>
      <c r="BC358" s="84"/>
      <c r="BD358" s="84"/>
    </row>
    <row r="359" spans="22:56" ht="16" x14ac:dyDescent="0.4">
      <c r="V359" s="97"/>
      <c r="W359" s="16"/>
      <c r="X359" s="89"/>
      <c r="Z359" s="50"/>
      <c r="AA359" s="50"/>
      <c r="AD359" s="100"/>
      <c r="AE359" s="48">
        <f t="shared" si="33"/>
        <v>0</v>
      </c>
      <c r="AF359" s="16"/>
      <c r="AG359" s="72">
        <f t="shared" si="34"/>
        <v>0</v>
      </c>
      <c r="AH359" s="37">
        <f t="shared" si="35"/>
        <v>0</v>
      </c>
      <c r="AJ359" s="34"/>
      <c r="AK359" s="34"/>
      <c r="AL359" s="82"/>
      <c r="AN359" s="83"/>
      <c r="AO359" s="83"/>
      <c r="AP359" s="82"/>
      <c r="AQ359" s="84"/>
      <c r="AR359" s="84"/>
      <c r="AS359" s="84"/>
      <c r="AU359" s="34"/>
      <c r="AV359" s="34"/>
      <c r="AW359" s="82"/>
      <c r="AY359" s="83"/>
      <c r="AZ359" s="83"/>
      <c r="BA359" s="82"/>
      <c r="BB359" s="84"/>
      <c r="BC359" s="84"/>
      <c r="BD359" s="84"/>
    </row>
    <row r="360" spans="22:56" ht="16" x14ac:dyDescent="0.4">
      <c r="V360" s="97"/>
      <c r="W360" s="16"/>
      <c r="X360" s="89"/>
      <c r="Z360" s="50"/>
      <c r="AA360" s="50"/>
      <c r="AD360" s="100"/>
      <c r="AE360" s="48">
        <f t="shared" si="33"/>
        <v>0</v>
      </c>
      <c r="AF360" s="16"/>
      <c r="AG360" s="72">
        <f t="shared" si="34"/>
        <v>0</v>
      </c>
      <c r="AH360" s="37">
        <f t="shared" si="35"/>
        <v>0</v>
      </c>
      <c r="AJ360" s="34"/>
      <c r="AK360" s="34"/>
      <c r="AL360" s="82"/>
      <c r="AN360" s="83"/>
      <c r="AO360" s="83"/>
      <c r="AP360" s="82"/>
      <c r="AQ360" s="84"/>
      <c r="AR360" s="84"/>
      <c r="AS360" s="84"/>
      <c r="AU360" s="34"/>
      <c r="AV360" s="34"/>
      <c r="AW360" s="82"/>
      <c r="AY360" s="83"/>
      <c r="AZ360" s="83"/>
      <c r="BA360" s="82"/>
      <c r="BB360" s="84"/>
      <c r="BC360" s="84"/>
      <c r="BD360" s="84"/>
    </row>
    <row r="361" spans="22:56" ht="16" x14ac:dyDescent="0.4">
      <c r="V361" s="97"/>
      <c r="W361" s="16"/>
      <c r="X361" s="89"/>
      <c r="Z361" s="50"/>
      <c r="AA361" s="50"/>
      <c r="AD361" s="100"/>
      <c r="AE361" s="48">
        <f t="shared" si="33"/>
        <v>0</v>
      </c>
      <c r="AF361" s="16"/>
      <c r="AG361" s="72">
        <f t="shared" si="34"/>
        <v>0</v>
      </c>
      <c r="AH361" s="37">
        <f t="shared" si="35"/>
        <v>0</v>
      </c>
      <c r="AJ361" s="34"/>
      <c r="AK361" s="34"/>
      <c r="AL361" s="82"/>
      <c r="AN361" s="83"/>
      <c r="AO361" s="83"/>
      <c r="AP361" s="82"/>
      <c r="AQ361" s="84"/>
      <c r="AR361" s="84"/>
      <c r="AS361" s="84"/>
      <c r="AU361" s="34"/>
      <c r="AV361" s="34"/>
      <c r="AW361" s="82"/>
      <c r="AY361" s="83"/>
      <c r="AZ361" s="83"/>
      <c r="BA361" s="82"/>
      <c r="BB361" s="84"/>
      <c r="BC361" s="84"/>
      <c r="BD361" s="84"/>
    </row>
    <row r="362" spans="22:56" ht="16" x14ac:dyDescent="0.4">
      <c r="V362" s="97"/>
      <c r="W362" s="16"/>
      <c r="X362" s="89"/>
      <c r="Z362" s="50"/>
      <c r="AA362" s="50"/>
      <c r="AD362" s="100"/>
      <c r="AE362" s="48">
        <f t="shared" si="33"/>
        <v>0</v>
      </c>
      <c r="AF362" s="16"/>
      <c r="AG362" s="72">
        <f t="shared" si="34"/>
        <v>0</v>
      </c>
      <c r="AH362" s="37">
        <f t="shared" si="35"/>
        <v>0</v>
      </c>
      <c r="AJ362" s="34"/>
      <c r="AK362" s="34"/>
      <c r="AL362" s="82"/>
      <c r="AN362" s="83"/>
      <c r="AO362" s="83"/>
      <c r="AP362" s="82"/>
      <c r="AQ362" s="84"/>
      <c r="AR362" s="84"/>
      <c r="AS362" s="84"/>
      <c r="AU362" s="34"/>
      <c r="AV362" s="34"/>
      <c r="AW362" s="82"/>
      <c r="AY362" s="83"/>
      <c r="AZ362" s="83"/>
      <c r="BA362" s="82"/>
      <c r="BB362" s="84"/>
      <c r="BC362" s="84"/>
      <c r="BD362" s="84"/>
    </row>
    <row r="363" spans="22:56" ht="16" x14ac:dyDescent="0.4">
      <c r="V363" s="97"/>
      <c r="W363" s="16"/>
      <c r="X363" s="89"/>
      <c r="Z363" s="50"/>
      <c r="AA363" s="50"/>
      <c r="AD363" s="100"/>
      <c r="AE363" s="48">
        <f t="shared" si="33"/>
        <v>0</v>
      </c>
      <c r="AF363" s="16"/>
      <c r="AG363" s="72">
        <f t="shared" si="34"/>
        <v>0</v>
      </c>
      <c r="AH363" s="37">
        <f t="shared" si="35"/>
        <v>0</v>
      </c>
      <c r="AJ363" s="34"/>
      <c r="AK363" s="34"/>
      <c r="AL363" s="82"/>
      <c r="AN363" s="83"/>
      <c r="AO363" s="83"/>
      <c r="AP363" s="82"/>
      <c r="AQ363" s="84"/>
      <c r="AR363" s="84"/>
      <c r="AS363" s="84"/>
      <c r="AU363" s="34"/>
      <c r="AV363" s="34"/>
      <c r="AW363" s="82"/>
      <c r="AY363" s="83"/>
      <c r="AZ363" s="83"/>
      <c r="BA363" s="82"/>
      <c r="BB363" s="84"/>
      <c r="BC363" s="84"/>
      <c r="BD363" s="84"/>
    </row>
    <row r="364" spans="22:56" ht="16" x14ac:dyDescent="0.4">
      <c r="V364" s="97"/>
      <c r="W364" s="16"/>
      <c r="X364" s="89"/>
      <c r="Z364" s="50"/>
      <c r="AA364" s="50"/>
      <c r="AD364" s="100"/>
      <c r="AE364" s="48">
        <f t="shared" si="33"/>
        <v>0</v>
      </c>
      <c r="AF364" s="16"/>
      <c r="AG364" s="72">
        <f t="shared" si="34"/>
        <v>0</v>
      </c>
      <c r="AH364" s="37">
        <f t="shared" si="35"/>
        <v>0</v>
      </c>
      <c r="AJ364" s="34"/>
      <c r="AK364" s="34"/>
      <c r="AL364" s="82"/>
      <c r="AN364" s="83"/>
      <c r="AO364" s="83"/>
      <c r="AP364" s="82"/>
      <c r="AQ364" s="84"/>
      <c r="AR364" s="84"/>
      <c r="AS364" s="84"/>
      <c r="AU364" s="34"/>
      <c r="AV364" s="34"/>
      <c r="AW364" s="82"/>
      <c r="AY364" s="83"/>
      <c r="AZ364" s="83"/>
      <c r="BA364" s="82"/>
      <c r="BB364" s="84"/>
      <c r="BC364" s="84"/>
      <c r="BD364" s="84"/>
    </row>
    <row r="365" spans="22:56" ht="16" x14ac:dyDescent="0.4">
      <c r="V365" s="97"/>
      <c r="W365" s="16"/>
      <c r="X365" s="89"/>
      <c r="Z365" s="50"/>
      <c r="AA365" s="50"/>
      <c r="AD365" s="100"/>
      <c r="AE365" s="48">
        <f t="shared" si="33"/>
        <v>0</v>
      </c>
      <c r="AF365" s="16"/>
      <c r="AG365" s="72">
        <f t="shared" si="34"/>
        <v>0</v>
      </c>
      <c r="AH365" s="37">
        <f t="shared" si="35"/>
        <v>0</v>
      </c>
      <c r="AJ365" s="34"/>
      <c r="AK365" s="34"/>
      <c r="AL365" s="82"/>
      <c r="AN365" s="83"/>
      <c r="AO365" s="83"/>
      <c r="AP365" s="82"/>
      <c r="AQ365" s="84"/>
      <c r="AR365" s="84"/>
      <c r="AS365" s="84"/>
      <c r="AU365" s="34"/>
      <c r="AV365" s="34"/>
      <c r="AW365" s="82"/>
      <c r="AY365" s="83"/>
      <c r="AZ365" s="83"/>
      <c r="BA365" s="82"/>
      <c r="BB365" s="84"/>
      <c r="BC365" s="84"/>
      <c r="BD365" s="84"/>
    </row>
    <row r="366" spans="22:56" ht="16" x14ac:dyDescent="0.4">
      <c r="V366" s="97"/>
      <c r="W366" s="16"/>
      <c r="X366" s="89"/>
      <c r="Z366" s="50"/>
      <c r="AA366" s="50"/>
      <c r="AD366" s="100"/>
      <c r="AE366" s="48">
        <f t="shared" si="33"/>
        <v>0</v>
      </c>
      <c r="AF366" s="16"/>
      <c r="AG366" s="72">
        <f t="shared" si="34"/>
        <v>0</v>
      </c>
      <c r="AH366" s="37">
        <f t="shared" si="35"/>
        <v>0</v>
      </c>
      <c r="AJ366" s="34"/>
      <c r="AK366" s="34"/>
      <c r="AL366" s="82"/>
      <c r="AN366" s="83"/>
      <c r="AO366" s="83"/>
      <c r="AP366" s="82"/>
      <c r="AQ366" s="84"/>
      <c r="AR366" s="84"/>
      <c r="AS366" s="84"/>
      <c r="AU366" s="34"/>
      <c r="AV366" s="34"/>
      <c r="AW366" s="82"/>
      <c r="AY366" s="83"/>
      <c r="AZ366" s="83"/>
      <c r="BA366" s="82"/>
      <c r="BB366" s="84"/>
      <c r="BC366" s="84"/>
      <c r="BD366" s="84"/>
    </row>
    <row r="367" spans="22:56" ht="16" x14ac:dyDescent="0.4">
      <c r="V367" s="97"/>
      <c r="W367" s="16"/>
      <c r="X367" s="89"/>
      <c r="Z367" s="50"/>
      <c r="AA367" s="50"/>
      <c r="AD367" s="100"/>
      <c r="AE367" s="48">
        <f t="shared" si="33"/>
        <v>0</v>
      </c>
      <c r="AF367" s="16"/>
      <c r="AG367" s="72">
        <f t="shared" si="34"/>
        <v>0</v>
      </c>
      <c r="AH367" s="37">
        <f t="shared" si="35"/>
        <v>0</v>
      </c>
      <c r="AJ367" s="34"/>
      <c r="AK367" s="34"/>
      <c r="AL367" s="82"/>
      <c r="AN367" s="83"/>
      <c r="AO367" s="83"/>
      <c r="AP367" s="82"/>
      <c r="AQ367" s="84"/>
      <c r="AR367" s="84"/>
      <c r="AS367" s="84"/>
      <c r="AU367" s="34"/>
      <c r="AV367" s="34"/>
      <c r="AW367" s="82"/>
      <c r="AY367" s="83"/>
      <c r="AZ367" s="83"/>
      <c r="BA367" s="82"/>
      <c r="BB367" s="84"/>
      <c r="BC367" s="84"/>
      <c r="BD367" s="84"/>
    </row>
    <row r="368" spans="22:56" ht="16" x14ac:dyDescent="0.4">
      <c r="V368" s="97"/>
      <c r="W368" s="16"/>
      <c r="X368" s="89"/>
      <c r="Z368" s="50"/>
      <c r="AA368" s="50"/>
      <c r="AD368" s="100"/>
      <c r="AE368" s="48">
        <f t="shared" si="33"/>
        <v>0</v>
      </c>
      <c r="AF368" s="16"/>
      <c r="AG368" s="72">
        <f t="shared" si="34"/>
        <v>0</v>
      </c>
      <c r="AH368" s="37">
        <f t="shared" si="35"/>
        <v>0</v>
      </c>
      <c r="AJ368" s="34"/>
      <c r="AK368" s="34"/>
      <c r="AL368" s="82"/>
      <c r="AN368" s="83"/>
      <c r="AO368" s="83"/>
      <c r="AP368" s="82"/>
      <c r="AQ368" s="84"/>
      <c r="AR368" s="84"/>
      <c r="AS368" s="84"/>
      <c r="AU368" s="34"/>
      <c r="AV368" s="34"/>
      <c r="AW368" s="82"/>
      <c r="AY368" s="83"/>
      <c r="AZ368" s="83"/>
      <c r="BA368" s="82"/>
      <c r="BB368" s="84"/>
      <c r="BC368" s="84"/>
      <c r="BD368" s="84"/>
    </row>
    <row r="369" spans="22:56" ht="16" x14ac:dyDescent="0.4">
      <c r="V369" s="97"/>
      <c r="W369" s="16"/>
      <c r="X369" s="89"/>
      <c r="Z369" s="50"/>
      <c r="AA369" s="50"/>
      <c r="AD369" s="100"/>
      <c r="AE369" s="48">
        <f t="shared" si="33"/>
        <v>0</v>
      </c>
      <c r="AF369" s="16"/>
      <c r="AG369" s="72">
        <f t="shared" si="34"/>
        <v>0</v>
      </c>
      <c r="AH369" s="37">
        <f t="shared" si="35"/>
        <v>0</v>
      </c>
      <c r="AJ369" s="34"/>
      <c r="AK369" s="34"/>
      <c r="AL369" s="82"/>
      <c r="AN369" s="83"/>
      <c r="AO369" s="83"/>
      <c r="AP369" s="82"/>
      <c r="AQ369" s="84"/>
      <c r="AR369" s="84"/>
      <c r="AS369" s="84"/>
      <c r="AU369" s="34"/>
      <c r="AV369" s="34"/>
      <c r="AW369" s="82"/>
      <c r="AY369" s="83"/>
      <c r="AZ369" s="83"/>
      <c r="BA369" s="82"/>
      <c r="BB369" s="84"/>
      <c r="BC369" s="84"/>
      <c r="BD369" s="84"/>
    </row>
    <row r="370" spans="22:56" ht="16" x14ac:dyDescent="0.4">
      <c r="V370" s="97"/>
      <c r="W370" s="16"/>
      <c r="X370" s="89"/>
      <c r="Z370" s="50"/>
      <c r="AA370" s="50"/>
      <c r="AD370" s="100"/>
      <c r="AE370" s="48">
        <f t="shared" si="33"/>
        <v>0</v>
      </c>
      <c r="AF370" s="16"/>
      <c r="AG370" s="72">
        <f t="shared" si="34"/>
        <v>0</v>
      </c>
      <c r="AH370" s="37">
        <f t="shared" si="35"/>
        <v>0</v>
      </c>
      <c r="AJ370" s="34"/>
      <c r="AK370" s="34"/>
      <c r="AL370" s="82"/>
      <c r="AN370" s="83"/>
      <c r="AO370" s="83"/>
      <c r="AP370" s="82"/>
      <c r="AQ370" s="84"/>
      <c r="AR370" s="84"/>
      <c r="AS370" s="84"/>
      <c r="AU370" s="34"/>
      <c r="AV370" s="34"/>
      <c r="AW370" s="82"/>
      <c r="AY370" s="83"/>
      <c r="AZ370" s="83"/>
      <c r="BA370" s="82"/>
      <c r="BB370" s="84"/>
      <c r="BC370" s="84"/>
      <c r="BD370" s="84"/>
    </row>
    <row r="371" spans="22:56" ht="16" x14ac:dyDescent="0.4">
      <c r="V371" s="97"/>
      <c r="W371" s="16"/>
      <c r="X371" s="89"/>
      <c r="Z371" s="50"/>
      <c r="AA371" s="50"/>
      <c r="AD371" s="100"/>
      <c r="AE371" s="48">
        <f t="shared" si="33"/>
        <v>0</v>
      </c>
      <c r="AF371" s="16"/>
      <c r="AG371" s="72">
        <f t="shared" si="34"/>
        <v>0</v>
      </c>
      <c r="AH371" s="37">
        <f t="shared" si="35"/>
        <v>0</v>
      </c>
      <c r="AJ371" s="34"/>
      <c r="AK371" s="34"/>
      <c r="AL371" s="82"/>
      <c r="AN371" s="83"/>
      <c r="AO371" s="83"/>
      <c r="AP371" s="82"/>
      <c r="AQ371" s="84"/>
      <c r="AR371" s="84"/>
      <c r="AS371" s="84"/>
      <c r="AU371" s="34"/>
      <c r="AV371" s="34"/>
      <c r="AW371" s="82"/>
      <c r="AY371" s="83"/>
      <c r="AZ371" s="83"/>
      <c r="BA371" s="82"/>
      <c r="BB371" s="84"/>
      <c r="BC371" s="84"/>
      <c r="BD371" s="84"/>
    </row>
    <row r="372" spans="22:56" ht="16" x14ac:dyDescent="0.4">
      <c r="V372" s="97"/>
      <c r="W372" s="16"/>
      <c r="X372" s="89"/>
      <c r="Z372" s="50"/>
      <c r="AA372" s="50"/>
      <c r="AD372" s="100"/>
      <c r="AE372" s="48">
        <f t="shared" si="33"/>
        <v>0</v>
      </c>
      <c r="AF372" s="16"/>
      <c r="AG372" s="72">
        <f t="shared" si="34"/>
        <v>0</v>
      </c>
      <c r="AH372" s="37">
        <f t="shared" si="35"/>
        <v>0</v>
      </c>
      <c r="AJ372" s="34"/>
      <c r="AK372" s="34"/>
      <c r="AL372" s="82"/>
      <c r="AN372" s="83"/>
      <c r="AO372" s="83"/>
      <c r="AP372" s="82"/>
      <c r="AQ372" s="84"/>
      <c r="AR372" s="84"/>
      <c r="AS372" s="84"/>
      <c r="AU372" s="34"/>
      <c r="AV372" s="34"/>
      <c r="AW372" s="82"/>
      <c r="AY372" s="83"/>
      <c r="AZ372" s="83"/>
      <c r="BA372" s="82"/>
      <c r="BB372" s="84"/>
      <c r="BC372" s="84"/>
      <c r="BD372" s="84"/>
    </row>
    <row r="373" spans="22:56" ht="16" x14ac:dyDescent="0.4">
      <c r="V373" s="97"/>
      <c r="W373" s="16"/>
      <c r="X373" s="89"/>
      <c r="Z373" s="50"/>
      <c r="AA373" s="50"/>
      <c r="AD373" s="100"/>
      <c r="AE373" s="48">
        <f t="shared" si="33"/>
        <v>0</v>
      </c>
      <c r="AF373" s="16"/>
      <c r="AG373" s="72">
        <f t="shared" si="34"/>
        <v>0</v>
      </c>
      <c r="AH373" s="37">
        <f t="shared" si="35"/>
        <v>0</v>
      </c>
      <c r="AJ373" s="34"/>
      <c r="AK373" s="34"/>
      <c r="AL373" s="82"/>
      <c r="AN373" s="83"/>
      <c r="AO373" s="83"/>
      <c r="AP373" s="82"/>
      <c r="AQ373" s="84"/>
      <c r="AR373" s="84"/>
      <c r="AS373" s="84"/>
      <c r="AU373" s="34"/>
      <c r="AV373" s="34"/>
      <c r="AW373" s="82"/>
      <c r="AY373" s="83"/>
      <c r="AZ373" s="83"/>
      <c r="BA373" s="82"/>
      <c r="BB373" s="84"/>
      <c r="BC373" s="84"/>
      <c r="BD373" s="84"/>
    </row>
    <row r="374" spans="22:56" ht="16" x14ac:dyDescent="0.4">
      <c r="V374" s="97"/>
      <c r="W374" s="16"/>
      <c r="X374" s="89"/>
      <c r="Z374" s="50"/>
      <c r="AA374" s="50"/>
      <c r="AD374" s="100"/>
      <c r="AE374" s="48">
        <f t="shared" si="33"/>
        <v>0</v>
      </c>
      <c r="AF374" s="16"/>
      <c r="AG374" s="72">
        <f t="shared" si="34"/>
        <v>0</v>
      </c>
      <c r="AH374" s="37">
        <f t="shared" si="35"/>
        <v>0</v>
      </c>
      <c r="AJ374" s="34"/>
      <c r="AK374" s="34"/>
      <c r="AL374" s="82"/>
      <c r="AN374" s="83"/>
      <c r="AO374" s="83"/>
      <c r="AP374" s="82"/>
      <c r="AQ374" s="84"/>
      <c r="AR374" s="84"/>
      <c r="AS374" s="84"/>
      <c r="AU374" s="34"/>
      <c r="AV374" s="34"/>
      <c r="AW374" s="82"/>
      <c r="AY374" s="83"/>
      <c r="AZ374" s="83"/>
      <c r="BA374" s="82"/>
      <c r="BB374" s="84"/>
      <c r="BC374" s="84"/>
      <c r="BD374" s="84"/>
    </row>
    <row r="375" spans="22:56" ht="16" x14ac:dyDescent="0.4">
      <c r="V375" s="97"/>
      <c r="W375" s="16"/>
      <c r="X375" s="89"/>
      <c r="Z375" s="50"/>
      <c r="AA375" s="50"/>
      <c r="AD375" s="100"/>
      <c r="AE375" s="48">
        <f t="shared" si="33"/>
        <v>0</v>
      </c>
      <c r="AF375" s="16"/>
      <c r="AG375" s="72">
        <f t="shared" si="34"/>
        <v>0</v>
      </c>
      <c r="AH375" s="37">
        <f t="shared" si="35"/>
        <v>0</v>
      </c>
      <c r="AJ375" s="34"/>
      <c r="AK375" s="34"/>
      <c r="AL375" s="82"/>
      <c r="AN375" s="83"/>
      <c r="AO375" s="83"/>
      <c r="AP375" s="82"/>
      <c r="AQ375" s="84"/>
      <c r="AR375" s="84"/>
      <c r="AS375" s="84"/>
      <c r="AU375" s="34"/>
      <c r="AV375" s="34"/>
      <c r="AW375" s="82"/>
      <c r="AY375" s="83"/>
      <c r="AZ375" s="83"/>
      <c r="BA375" s="82"/>
      <c r="BB375" s="84"/>
      <c r="BC375" s="84"/>
      <c r="BD375" s="84"/>
    </row>
    <row r="376" spans="22:56" ht="16" x14ac:dyDescent="0.4">
      <c r="V376" s="97"/>
      <c r="W376" s="16"/>
      <c r="X376" s="89"/>
      <c r="Z376" s="50"/>
      <c r="AA376" s="50"/>
      <c r="AD376" s="100"/>
      <c r="AE376" s="48">
        <f t="shared" si="33"/>
        <v>0</v>
      </c>
      <c r="AF376" s="16"/>
      <c r="AG376" s="72">
        <f t="shared" si="34"/>
        <v>0</v>
      </c>
      <c r="AH376" s="37">
        <f t="shared" si="35"/>
        <v>0</v>
      </c>
      <c r="AJ376" s="34"/>
      <c r="AK376" s="34"/>
      <c r="AL376" s="82"/>
      <c r="AN376" s="83"/>
      <c r="AO376" s="83"/>
      <c r="AP376" s="82"/>
      <c r="AQ376" s="84"/>
      <c r="AR376" s="84"/>
      <c r="AS376" s="84"/>
      <c r="AU376" s="34"/>
      <c r="AV376" s="34"/>
      <c r="AW376" s="82"/>
      <c r="AY376" s="83"/>
      <c r="AZ376" s="83"/>
      <c r="BA376" s="82"/>
      <c r="BB376" s="84"/>
      <c r="BC376" s="84"/>
      <c r="BD376" s="84"/>
    </row>
    <row r="377" spans="22:56" ht="16" x14ac:dyDescent="0.4">
      <c r="V377" s="97"/>
      <c r="W377" s="16"/>
      <c r="X377" s="89"/>
      <c r="Z377" s="50"/>
      <c r="AA377" s="50"/>
      <c r="AD377" s="100"/>
      <c r="AE377" s="48">
        <f t="shared" ref="AE377:AE440" si="36">AD377/1000</f>
        <v>0</v>
      </c>
      <c r="AF377" s="16"/>
      <c r="AG377" s="72">
        <f t="shared" si="34"/>
        <v>0</v>
      </c>
      <c r="AH377" s="37">
        <f t="shared" si="35"/>
        <v>0</v>
      </c>
      <c r="AJ377" s="34"/>
      <c r="AK377" s="34"/>
      <c r="AL377" s="82"/>
      <c r="AN377" s="83"/>
      <c r="AO377" s="83"/>
      <c r="AP377" s="82"/>
      <c r="AQ377" s="84"/>
      <c r="AR377" s="84"/>
      <c r="AS377" s="84"/>
      <c r="AU377" s="34"/>
      <c r="AV377" s="34"/>
      <c r="AW377" s="82"/>
      <c r="AY377" s="83"/>
      <c r="AZ377" s="83"/>
      <c r="BA377" s="82"/>
      <c r="BB377" s="84"/>
      <c r="BC377" s="84"/>
      <c r="BD377" s="84"/>
    </row>
    <row r="378" spans="22:56" ht="16" x14ac:dyDescent="0.4">
      <c r="V378" s="97"/>
      <c r="W378" s="16"/>
      <c r="X378" s="89"/>
      <c r="Z378" s="50"/>
      <c r="AA378" s="50"/>
      <c r="AD378" s="100"/>
      <c r="AE378" s="48">
        <f t="shared" si="36"/>
        <v>0</v>
      </c>
      <c r="AF378" s="16"/>
      <c r="AG378" s="72">
        <f t="shared" ref="AG378:AG441" si="37">IF($AF378&gt;14,14,$AF378)</f>
        <v>0</v>
      </c>
      <c r="AH378" s="37">
        <f t="shared" si="35"/>
        <v>0</v>
      </c>
      <c r="AJ378" s="34"/>
      <c r="AK378" s="34"/>
      <c r="AL378" s="82"/>
      <c r="AN378" s="83"/>
      <c r="AO378" s="83"/>
      <c r="AP378" s="82"/>
      <c r="AQ378" s="84"/>
      <c r="AR378" s="84"/>
      <c r="AS378" s="84"/>
      <c r="AU378" s="34"/>
      <c r="AV378" s="34"/>
      <c r="AW378" s="82"/>
      <c r="AY378" s="83"/>
      <c r="AZ378" s="83"/>
      <c r="BA378" s="82"/>
      <c r="BB378" s="84"/>
      <c r="BC378" s="84"/>
      <c r="BD378" s="84"/>
    </row>
    <row r="379" spans="22:56" ht="16" x14ac:dyDescent="0.4">
      <c r="V379" s="97"/>
      <c r="W379" s="16"/>
      <c r="X379" s="89"/>
      <c r="Z379" s="50"/>
      <c r="AA379" s="50"/>
      <c r="AD379" s="100"/>
      <c r="AE379" s="48">
        <f t="shared" si="36"/>
        <v>0</v>
      </c>
      <c r="AF379" s="16"/>
      <c r="AG379" s="72">
        <f t="shared" si="37"/>
        <v>0</v>
      </c>
      <c r="AH379" s="37">
        <f t="shared" si="35"/>
        <v>0</v>
      </c>
      <c r="AJ379" s="34"/>
      <c r="AK379" s="34"/>
      <c r="AL379" s="82"/>
      <c r="AN379" s="83"/>
      <c r="AO379" s="83"/>
      <c r="AP379" s="82"/>
      <c r="AQ379" s="84"/>
      <c r="AR379" s="84"/>
      <c r="AS379" s="84"/>
      <c r="AU379" s="34"/>
      <c r="AV379" s="34"/>
      <c r="AW379" s="82"/>
      <c r="AY379" s="83"/>
      <c r="AZ379" s="83"/>
      <c r="BA379" s="82"/>
      <c r="BB379" s="84"/>
      <c r="BC379" s="84"/>
      <c r="BD379" s="84"/>
    </row>
    <row r="380" spans="22:56" ht="16" x14ac:dyDescent="0.4">
      <c r="V380" s="97"/>
      <c r="W380" s="16"/>
      <c r="X380" s="89"/>
      <c r="Z380" s="50"/>
      <c r="AA380" s="50"/>
      <c r="AD380" s="100"/>
      <c r="AE380" s="48">
        <f t="shared" si="36"/>
        <v>0</v>
      </c>
      <c r="AF380" s="16"/>
      <c r="AG380" s="72">
        <f t="shared" si="37"/>
        <v>0</v>
      </c>
      <c r="AH380" s="37">
        <f t="shared" si="35"/>
        <v>0</v>
      </c>
      <c r="AJ380" s="34"/>
      <c r="AK380" s="34"/>
      <c r="AL380" s="82"/>
      <c r="AN380" s="83"/>
      <c r="AO380" s="83"/>
      <c r="AP380" s="82"/>
      <c r="AQ380" s="84"/>
      <c r="AR380" s="84"/>
      <c r="AS380" s="84"/>
      <c r="AU380" s="34"/>
      <c r="AV380" s="34"/>
      <c r="AW380" s="82"/>
      <c r="AY380" s="83"/>
      <c r="AZ380" s="83"/>
      <c r="BA380" s="82"/>
      <c r="BB380" s="84"/>
      <c r="BC380" s="84"/>
      <c r="BD380" s="84"/>
    </row>
    <row r="381" spans="22:56" ht="16" x14ac:dyDescent="0.4">
      <c r="V381" s="97"/>
      <c r="W381" s="16"/>
      <c r="X381" s="89"/>
      <c r="Z381" s="50"/>
      <c r="AA381" s="50"/>
      <c r="AD381" s="100"/>
      <c r="AE381" s="48">
        <f t="shared" si="36"/>
        <v>0</v>
      </c>
      <c r="AF381" s="16"/>
      <c r="AG381" s="72">
        <f t="shared" si="37"/>
        <v>0</v>
      </c>
      <c r="AH381" s="37">
        <f t="shared" si="35"/>
        <v>0</v>
      </c>
      <c r="AJ381" s="34"/>
      <c r="AK381" s="34"/>
      <c r="AL381" s="82"/>
      <c r="AN381" s="83"/>
      <c r="AO381" s="83"/>
      <c r="AP381" s="82"/>
      <c r="AQ381" s="84"/>
      <c r="AR381" s="84"/>
      <c r="AS381" s="84"/>
      <c r="AU381" s="34"/>
      <c r="AV381" s="34"/>
      <c r="AW381" s="82"/>
      <c r="AY381" s="83"/>
      <c r="AZ381" s="83"/>
      <c r="BA381" s="82"/>
      <c r="BB381" s="84"/>
      <c r="BC381" s="84"/>
      <c r="BD381" s="84"/>
    </row>
    <row r="382" spans="22:56" ht="16" x14ac:dyDescent="0.4">
      <c r="V382" s="97"/>
      <c r="W382" s="16"/>
      <c r="X382" s="89"/>
      <c r="Z382" s="50"/>
      <c r="AA382" s="50"/>
      <c r="AD382" s="100"/>
      <c r="AE382" s="48">
        <f t="shared" si="36"/>
        <v>0</v>
      </c>
      <c r="AF382" s="16"/>
      <c r="AG382" s="72">
        <f t="shared" si="37"/>
        <v>0</v>
      </c>
      <c r="AH382" s="37">
        <f t="shared" si="35"/>
        <v>0</v>
      </c>
      <c r="AJ382" s="34"/>
      <c r="AK382" s="34"/>
      <c r="AL382" s="82"/>
      <c r="AN382" s="83"/>
      <c r="AO382" s="83"/>
      <c r="AP382" s="82"/>
      <c r="AQ382" s="84"/>
      <c r="AR382" s="84"/>
      <c r="AS382" s="84"/>
      <c r="AU382" s="34"/>
      <c r="AV382" s="34"/>
      <c r="AW382" s="82"/>
      <c r="AY382" s="83"/>
      <c r="AZ382" s="83"/>
      <c r="BA382" s="82"/>
      <c r="BB382" s="84"/>
      <c r="BC382" s="84"/>
      <c r="BD382" s="84"/>
    </row>
    <row r="383" spans="22:56" ht="16" x14ac:dyDescent="0.4">
      <c r="V383" s="97"/>
      <c r="W383" s="16"/>
      <c r="X383" s="89"/>
      <c r="Z383" s="50"/>
      <c r="AA383" s="50"/>
      <c r="AD383" s="100"/>
      <c r="AE383" s="48">
        <f t="shared" si="36"/>
        <v>0</v>
      </c>
      <c r="AF383" s="16"/>
      <c r="AG383" s="72">
        <f t="shared" si="37"/>
        <v>0</v>
      </c>
      <c r="AH383" s="37">
        <f t="shared" si="35"/>
        <v>0</v>
      </c>
      <c r="AJ383" s="34"/>
      <c r="AK383" s="34"/>
      <c r="AL383" s="82"/>
      <c r="AN383" s="83"/>
      <c r="AO383" s="83"/>
      <c r="AP383" s="82"/>
      <c r="AQ383" s="84"/>
      <c r="AR383" s="84"/>
      <c r="AS383" s="84"/>
      <c r="AU383" s="34"/>
      <c r="AV383" s="34"/>
      <c r="AW383" s="82"/>
      <c r="AY383" s="83"/>
      <c r="AZ383" s="83"/>
      <c r="BA383" s="82"/>
      <c r="BB383" s="84"/>
      <c r="BC383" s="84"/>
      <c r="BD383" s="84"/>
    </row>
    <row r="384" spans="22:56" ht="16" x14ac:dyDescent="0.4">
      <c r="V384" s="97"/>
      <c r="W384" s="16"/>
      <c r="X384" s="89"/>
      <c r="Z384" s="50"/>
      <c r="AA384" s="50"/>
      <c r="AD384" s="100"/>
      <c r="AE384" s="48">
        <f t="shared" si="36"/>
        <v>0</v>
      </c>
      <c r="AF384" s="16"/>
      <c r="AG384" s="72">
        <f t="shared" si="37"/>
        <v>0</v>
      </c>
      <c r="AH384" s="37">
        <f t="shared" si="35"/>
        <v>0</v>
      </c>
      <c r="AJ384" s="34"/>
      <c r="AK384" s="34"/>
      <c r="AL384" s="82"/>
      <c r="AN384" s="83"/>
      <c r="AO384" s="83"/>
      <c r="AP384" s="82"/>
      <c r="AQ384" s="84"/>
      <c r="AR384" s="84"/>
      <c r="AS384" s="84"/>
      <c r="AU384" s="34"/>
      <c r="AV384" s="34"/>
      <c r="AW384" s="82"/>
      <c r="AY384" s="83"/>
      <c r="AZ384" s="83"/>
      <c r="BA384" s="82"/>
      <c r="BB384" s="84"/>
      <c r="BC384" s="84"/>
      <c r="BD384" s="84"/>
    </row>
    <row r="385" spans="22:56" ht="16" x14ac:dyDescent="0.4">
      <c r="V385" s="97"/>
      <c r="W385" s="16"/>
      <c r="X385" s="89"/>
      <c r="Z385" s="50"/>
      <c r="AA385" s="50"/>
      <c r="AD385" s="100"/>
      <c r="AE385" s="48">
        <f t="shared" si="36"/>
        <v>0</v>
      </c>
      <c r="AF385" s="16"/>
      <c r="AG385" s="72">
        <f t="shared" si="37"/>
        <v>0</v>
      </c>
      <c r="AH385" s="37">
        <f t="shared" si="35"/>
        <v>0</v>
      </c>
      <c r="AJ385" s="34"/>
      <c r="AK385" s="34"/>
      <c r="AL385" s="82"/>
      <c r="AN385" s="83"/>
      <c r="AO385" s="83"/>
      <c r="AP385" s="82"/>
      <c r="AQ385" s="84"/>
      <c r="AR385" s="84"/>
      <c r="AS385" s="84"/>
      <c r="AU385" s="34"/>
      <c r="AV385" s="34"/>
      <c r="AW385" s="82"/>
      <c r="AY385" s="83"/>
      <c r="AZ385" s="83"/>
      <c r="BA385" s="82"/>
      <c r="BB385" s="84"/>
      <c r="BC385" s="84"/>
      <c r="BD385" s="84"/>
    </row>
    <row r="386" spans="22:56" ht="16" x14ac:dyDescent="0.4">
      <c r="V386" s="97"/>
      <c r="W386" s="16"/>
      <c r="X386" s="89"/>
      <c r="Z386" s="50"/>
      <c r="AA386" s="50"/>
      <c r="AD386" s="48"/>
      <c r="AE386" s="48">
        <f t="shared" si="36"/>
        <v>0</v>
      </c>
      <c r="AF386" s="16"/>
      <c r="AG386" s="72">
        <f t="shared" si="37"/>
        <v>0</v>
      </c>
      <c r="AH386" s="37">
        <f t="shared" si="35"/>
        <v>0</v>
      </c>
      <c r="AJ386" s="34"/>
      <c r="AK386" s="34"/>
      <c r="AL386" s="82"/>
      <c r="AN386" s="83"/>
      <c r="AO386" s="83"/>
      <c r="AP386" s="82"/>
      <c r="AQ386" s="84"/>
      <c r="AR386" s="84"/>
      <c r="AS386" s="84"/>
      <c r="AU386" s="34"/>
      <c r="AV386" s="34"/>
      <c r="AW386" s="82"/>
      <c r="AY386" s="83"/>
      <c r="AZ386" s="83"/>
      <c r="BA386" s="82"/>
      <c r="BB386" s="84"/>
      <c r="BC386" s="84"/>
      <c r="BD386" s="84"/>
    </row>
    <row r="387" spans="22:56" ht="16" x14ac:dyDescent="0.4">
      <c r="V387" s="97"/>
      <c r="W387" s="16"/>
      <c r="X387" s="89"/>
      <c r="Z387" s="50"/>
      <c r="AA387" s="50"/>
      <c r="AD387" s="48"/>
      <c r="AE387" s="48">
        <f t="shared" si="36"/>
        <v>0</v>
      </c>
      <c r="AF387" s="16"/>
      <c r="AG387" s="72">
        <f t="shared" si="37"/>
        <v>0</v>
      </c>
      <c r="AH387" s="37">
        <f t="shared" si="35"/>
        <v>0</v>
      </c>
      <c r="AJ387" s="34"/>
      <c r="AK387" s="34"/>
      <c r="AL387" s="82"/>
      <c r="AN387" s="83"/>
      <c r="AO387" s="83"/>
      <c r="AP387" s="82"/>
      <c r="AQ387" s="84"/>
      <c r="AR387" s="84"/>
      <c r="AS387" s="84"/>
      <c r="AU387" s="34"/>
      <c r="AV387" s="34"/>
      <c r="AW387" s="82"/>
      <c r="AY387" s="83"/>
      <c r="AZ387" s="83"/>
      <c r="BA387" s="82"/>
      <c r="BB387" s="84"/>
      <c r="BC387" s="84"/>
      <c r="BD387" s="84"/>
    </row>
    <row r="388" spans="22:56" ht="16" x14ac:dyDescent="0.4">
      <c r="V388" s="97"/>
      <c r="W388" s="16"/>
      <c r="X388" s="89"/>
      <c r="Z388" s="50"/>
      <c r="AA388" s="50"/>
      <c r="AD388" s="48"/>
      <c r="AE388" s="48">
        <f t="shared" si="36"/>
        <v>0</v>
      </c>
      <c r="AF388" s="16"/>
      <c r="AG388" s="72">
        <f t="shared" si="37"/>
        <v>0</v>
      </c>
      <c r="AH388" s="37">
        <f t="shared" si="35"/>
        <v>0</v>
      </c>
      <c r="AJ388" s="34"/>
      <c r="AK388" s="34"/>
      <c r="AL388" s="82"/>
      <c r="AN388" s="83"/>
      <c r="AO388" s="83"/>
      <c r="AP388" s="82"/>
      <c r="AQ388" s="84"/>
      <c r="AR388" s="84"/>
      <c r="AS388" s="84"/>
      <c r="AU388" s="34"/>
      <c r="AV388" s="34"/>
      <c r="AW388" s="82"/>
      <c r="AY388" s="83"/>
      <c r="AZ388" s="83"/>
      <c r="BA388" s="82"/>
      <c r="BB388" s="84"/>
      <c r="BC388" s="84"/>
      <c r="BD388" s="84"/>
    </row>
    <row r="389" spans="22:56" ht="16" x14ac:dyDescent="0.4">
      <c r="V389" s="97"/>
      <c r="W389" s="16"/>
      <c r="X389" s="89"/>
      <c r="Z389" s="50"/>
      <c r="AA389" s="50"/>
      <c r="AD389" s="48"/>
      <c r="AE389" s="48">
        <f t="shared" si="36"/>
        <v>0</v>
      </c>
      <c r="AF389" s="16"/>
      <c r="AG389" s="72">
        <f t="shared" si="37"/>
        <v>0</v>
      </c>
      <c r="AH389" s="37">
        <f t="shared" si="35"/>
        <v>0</v>
      </c>
      <c r="AJ389" s="34"/>
      <c r="AK389" s="34"/>
      <c r="AL389" s="82"/>
      <c r="AN389" s="83"/>
      <c r="AO389" s="83"/>
      <c r="AP389" s="82"/>
      <c r="AQ389" s="84"/>
      <c r="AR389" s="84"/>
      <c r="AS389" s="84"/>
      <c r="AU389" s="34"/>
      <c r="AV389" s="34"/>
      <c r="AW389" s="82"/>
      <c r="AY389" s="83"/>
      <c r="AZ389" s="83"/>
      <c r="BA389" s="82"/>
      <c r="BB389" s="84"/>
      <c r="BC389" s="84"/>
      <c r="BD389" s="84"/>
    </row>
    <row r="390" spans="22:56" ht="16" x14ac:dyDescent="0.4">
      <c r="V390" s="97"/>
      <c r="W390" s="16"/>
      <c r="X390" s="89"/>
      <c r="Z390" s="50"/>
      <c r="AA390" s="50"/>
      <c r="AD390" s="48"/>
      <c r="AE390" s="48">
        <f t="shared" si="36"/>
        <v>0</v>
      </c>
      <c r="AF390" s="16"/>
      <c r="AG390" s="72">
        <f t="shared" si="37"/>
        <v>0</v>
      </c>
      <c r="AH390" s="37">
        <f t="shared" ref="AH390:AH453" si="38">AE390*AG390/14</f>
        <v>0</v>
      </c>
      <c r="AJ390" s="34"/>
      <c r="AK390" s="34"/>
      <c r="AL390" s="82"/>
      <c r="AN390" s="83"/>
      <c r="AO390" s="83"/>
      <c r="AP390" s="82"/>
      <c r="AQ390" s="84"/>
      <c r="AR390" s="84"/>
      <c r="AS390" s="84"/>
      <c r="AU390" s="34"/>
      <c r="AV390" s="34"/>
      <c r="AW390" s="82"/>
      <c r="AY390" s="83"/>
      <c r="AZ390" s="83"/>
      <c r="BA390" s="82"/>
      <c r="BB390" s="84"/>
      <c r="BC390" s="84"/>
      <c r="BD390" s="84"/>
    </row>
    <row r="391" spans="22:56" ht="16" x14ac:dyDescent="0.4">
      <c r="V391" s="97"/>
      <c r="W391" s="16"/>
      <c r="X391" s="89"/>
      <c r="Z391" s="50"/>
      <c r="AA391" s="50"/>
      <c r="AD391" s="48"/>
      <c r="AE391" s="48">
        <f t="shared" si="36"/>
        <v>0</v>
      </c>
      <c r="AF391" s="16"/>
      <c r="AG391" s="72">
        <f t="shared" si="37"/>
        <v>0</v>
      </c>
      <c r="AH391" s="37">
        <f t="shared" si="38"/>
        <v>0</v>
      </c>
      <c r="AJ391" s="34"/>
      <c r="AK391" s="34"/>
      <c r="AL391" s="82"/>
      <c r="AN391" s="83"/>
      <c r="AO391" s="83"/>
      <c r="AP391" s="82"/>
      <c r="AQ391" s="84"/>
      <c r="AR391" s="84"/>
      <c r="AS391" s="84"/>
      <c r="AU391" s="34"/>
      <c r="AV391" s="34"/>
      <c r="AW391" s="82"/>
      <c r="AY391" s="83"/>
      <c r="AZ391" s="83"/>
      <c r="BA391" s="82"/>
      <c r="BB391" s="84"/>
      <c r="BC391" s="84"/>
      <c r="BD391" s="84"/>
    </row>
    <row r="392" spans="22:56" ht="16" x14ac:dyDescent="0.4">
      <c r="V392" s="97"/>
      <c r="W392" s="16"/>
      <c r="X392" s="89"/>
      <c r="Z392" s="50"/>
      <c r="AA392" s="50"/>
      <c r="AD392" s="48"/>
      <c r="AE392" s="48">
        <f t="shared" si="36"/>
        <v>0</v>
      </c>
      <c r="AF392" s="16"/>
      <c r="AG392" s="72">
        <f t="shared" si="37"/>
        <v>0</v>
      </c>
      <c r="AH392" s="37">
        <f t="shared" si="38"/>
        <v>0</v>
      </c>
      <c r="AJ392" s="34"/>
      <c r="AK392" s="34"/>
      <c r="AL392" s="82"/>
      <c r="AN392" s="83"/>
      <c r="AO392" s="83"/>
      <c r="AP392" s="82"/>
      <c r="AQ392" s="84"/>
      <c r="AR392" s="84"/>
      <c r="AS392" s="84"/>
      <c r="AU392" s="34"/>
      <c r="AV392" s="34"/>
      <c r="AW392" s="82"/>
      <c r="AY392" s="83"/>
      <c r="AZ392" s="83"/>
      <c r="BA392" s="82"/>
      <c r="BB392" s="84"/>
      <c r="BC392" s="84"/>
      <c r="BD392" s="84"/>
    </row>
    <row r="393" spans="22:56" ht="16" x14ac:dyDescent="0.4">
      <c r="V393" s="97"/>
      <c r="W393" s="16"/>
      <c r="X393" s="89"/>
      <c r="Z393" s="50"/>
      <c r="AA393" s="50"/>
      <c r="AD393" s="48"/>
      <c r="AE393" s="48">
        <f t="shared" si="36"/>
        <v>0</v>
      </c>
      <c r="AF393" s="16"/>
      <c r="AG393" s="72">
        <f t="shared" si="37"/>
        <v>0</v>
      </c>
      <c r="AH393" s="37">
        <f t="shared" si="38"/>
        <v>0</v>
      </c>
      <c r="AJ393" s="34"/>
      <c r="AK393" s="34"/>
      <c r="AL393" s="82"/>
      <c r="AN393" s="83"/>
      <c r="AO393" s="83"/>
      <c r="AP393" s="82"/>
      <c r="AQ393" s="84"/>
      <c r="AR393" s="84"/>
      <c r="AS393" s="84"/>
      <c r="AU393" s="34"/>
      <c r="AV393" s="34"/>
      <c r="AW393" s="82"/>
      <c r="AY393" s="83"/>
      <c r="AZ393" s="83"/>
      <c r="BA393" s="82"/>
      <c r="BB393" s="84"/>
      <c r="BC393" s="84"/>
      <c r="BD393" s="84"/>
    </row>
    <row r="394" spans="22:56" ht="16" x14ac:dyDescent="0.4">
      <c r="V394" s="97"/>
      <c r="W394" s="16"/>
      <c r="X394" s="89"/>
      <c r="Z394" s="50"/>
      <c r="AA394" s="50"/>
      <c r="AD394" s="48"/>
      <c r="AE394" s="48">
        <f t="shared" si="36"/>
        <v>0</v>
      </c>
      <c r="AF394" s="16"/>
      <c r="AG394" s="72">
        <f t="shared" si="37"/>
        <v>0</v>
      </c>
      <c r="AH394" s="37">
        <f t="shared" si="38"/>
        <v>0</v>
      </c>
      <c r="AJ394" s="34"/>
      <c r="AK394" s="34"/>
      <c r="AL394" s="82"/>
      <c r="AN394" s="83"/>
      <c r="AO394" s="83"/>
      <c r="AP394" s="82"/>
      <c r="AQ394" s="84"/>
      <c r="AR394" s="84"/>
      <c r="AS394" s="84"/>
      <c r="AU394" s="34"/>
      <c r="AV394" s="34"/>
      <c r="AW394" s="82"/>
      <c r="AY394" s="83"/>
      <c r="AZ394" s="83"/>
      <c r="BA394" s="82"/>
      <c r="BB394" s="84"/>
      <c r="BC394" s="84"/>
      <c r="BD394" s="84"/>
    </row>
    <row r="395" spans="22:56" ht="16" x14ac:dyDescent="0.4">
      <c r="V395" s="97"/>
      <c r="W395" s="16"/>
      <c r="X395" s="89"/>
      <c r="Z395" s="50"/>
      <c r="AA395" s="50"/>
      <c r="AD395" s="48"/>
      <c r="AE395" s="48">
        <f t="shared" si="36"/>
        <v>0</v>
      </c>
      <c r="AF395" s="16"/>
      <c r="AG395" s="72">
        <f t="shared" si="37"/>
        <v>0</v>
      </c>
      <c r="AH395" s="37">
        <f t="shared" si="38"/>
        <v>0</v>
      </c>
      <c r="AJ395" s="34"/>
      <c r="AK395" s="34"/>
      <c r="AL395" s="82"/>
      <c r="AN395" s="83"/>
      <c r="AO395" s="83"/>
      <c r="AP395" s="82"/>
      <c r="AQ395" s="84"/>
      <c r="AR395" s="84"/>
      <c r="AS395" s="84"/>
      <c r="AU395" s="34"/>
      <c r="AV395" s="34"/>
      <c r="AW395" s="82"/>
      <c r="AY395" s="83"/>
      <c r="AZ395" s="83"/>
      <c r="BA395" s="82"/>
      <c r="BB395" s="84"/>
      <c r="BC395" s="84"/>
      <c r="BD395" s="84"/>
    </row>
    <row r="396" spans="22:56" ht="16" x14ac:dyDescent="0.4">
      <c r="V396" s="97"/>
      <c r="W396" s="16"/>
      <c r="X396" s="89"/>
      <c r="Z396" s="50"/>
      <c r="AA396" s="50"/>
      <c r="AD396" s="48"/>
      <c r="AE396" s="48">
        <f t="shared" si="36"/>
        <v>0</v>
      </c>
      <c r="AF396" s="16"/>
      <c r="AG396" s="72">
        <f t="shared" si="37"/>
        <v>0</v>
      </c>
      <c r="AH396" s="37">
        <f t="shared" si="38"/>
        <v>0</v>
      </c>
      <c r="AJ396" s="34"/>
      <c r="AK396" s="34"/>
      <c r="AL396" s="82"/>
      <c r="AN396" s="83"/>
      <c r="AO396" s="83"/>
      <c r="AP396" s="82"/>
      <c r="AQ396" s="84"/>
      <c r="AR396" s="84"/>
      <c r="AS396" s="84"/>
      <c r="AU396" s="34"/>
      <c r="AV396" s="34"/>
      <c r="AW396" s="82"/>
      <c r="AY396" s="83"/>
      <c r="AZ396" s="83"/>
      <c r="BA396" s="82"/>
      <c r="BB396" s="84"/>
      <c r="BC396" s="84"/>
      <c r="BD396" s="84"/>
    </row>
    <row r="397" spans="22:56" ht="16" x14ac:dyDescent="0.4">
      <c r="V397" s="97"/>
      <c r="W397" s="16"/>
      <c r="X397" s="89"/>
      <c r="Z397" s="50"/>
      <c r="AA397" s="50"/>
      <c r="AD397" s="48"/>
      <c r="AE397" s="48">
        <f t="shared" si="36"/>
        <v>0</v>
      </c>
      <c r="AF397" s="16"/>
      <c r="AG397" s="72">
        <f t="shared" si="37"/>
        <v>0</v>
      </c>
      <c r="AH397" s="37">
        <f t="shared" si="38"/>
        <v>0</v>
      </c>
      <c r="AJ397" s="34"/>
      <c r="AK397" s="34"/>
      <c r="AL397" s="82"/>
      <c r="AN397" s="83"/>
      <c r="AO397" s="83"/>
      <c r="AP397" s="82"/>
      <c r="AQ397" s="84"/>
      <c r="AR397" s="84"/>
      <c r="AS397" s="84"/>
      <c r="AU397" s="34"/>
      <c r="AV397" s="34"/>
      <c r="AW397" s="82"/>
      <c r="AY397" s="83"/>
      <c r="AZ397" s="83"/>
      <c r="BA397" s="82"/>
      <c r="BB397" s="84"/>
      <c r="BC397" s="84"/>
      <c r="BD397" s="84"/>
    </row>
    <row r="398" spans="22:56" ht="16" x14ac:dyDescent="0.4">
      <c r="V398" s="97"/>
      <c r="W398" s="16"/>
      <c r="X398" s="89"/>
      <c r="Z398" s="50"/>
      <c r="AA398" s="50"/>
      <c r="AD398" s="48"/>
      <c r="AE398" s="48">
        <f t="shared" si="36"/>
        <v>0</v>
      </c>
      <c r="AF398" s="16"/>
      <c r="AG398" s="72">
        <f t="shared" si="37"/>
        <v>0</v>
      </c>
      <c r="AH398" s="37">
        <f t="shared" si="38"/>
        <v>0</v>
      </c>
      <c r="AJ398" s="85"/>
      <c r="AK398" s="86"/>
      <c r="AL398" s="82"/>
      <c r="AP398" s="86"/>
      <c r="AS398" s="84"/>
      <c r="AU398" s="85"/>
      <c r="AV398" s="86"/>
      <c r="AW398" s="82"/>
      <c r="BA398" s="86"/>
      <c r="BD398" s="84"/>
    </row>
    <row r="399" spans="22:56" ht="16" x14ac:dyDescent="0.4">
      <c r="V399" s="97"/>
      <c r="W399" s="16"/>
      <c r="X399" s="89"/>
      <c r="Z399" s="50"/>
      <c r="AA399" s="50"/>
      <c r="AD399" s="48"/>
      <c r="AE399" s="48">
        <f t="shared" si="36"/>
        <v>0</v>
      </c>
      <c r="AF399" s="16"/>
      <c r="AG399" s="72">
        <f t="shared" si="37"/>
        <v>0</v>
      </c>
      <c r="AH399" s="37">
        <f t="shared" si="38"/>
        <v>0</v>
      </c>
      <c r="AJ399" s="85"/>
      <c r="AK399" s="86"/>
      <c r="AL399" s="82"/>
      <c r="AP399" s="86"/>
      <c r="AS399" s="84"/>
      <c r="AU399" s="85"/>
      <c r="AV399" s="86"/>
      <c r="AW399" s="82"/>
      <c r="BA399" s="86"/>
      <c r="BD399" s="84"/>
    </row>
    <row r="400" spans="22:56" ht="16" x14ac:dyDescent="0.4">
      <c r="V400" s="97"/>
      <c r="W400" s="16"/>
      <c r="X400" s="89"/>
      <c r="Z400" s="50"/>
      <c r="AA400" s="50"/>
      <c r="AD400" s="48"/>
      <c r="AE400" s="48">
        <f t="shared" si="36"/>
        <v>0</v>
      </c>
      <c r="AF400" s="16"/>
      <c r="AG400" s="72">
        <f t="shared" si="37"/>
        <v>0</v>
      </c>
      <c r="AH400" s="37">
        <f t="shared" si="38"/>
        <v>0</v>
      </c>
      <c r="AJ400" s="85"/>
      <c r="AK400" s="86"/>
      <c r="AL400" s="82"/>
      <c r="AP400" s="86"/>
      <c r="AU400" s="85"/>
      <c r="AV400" s="86"/>
      <c r="AW400" s="82"/>
      <c r="BA400" s="86"/>
    </row>
    <row r="401" spans="22:53" ht="16" x14ac:dyDescent="0.4">
      <c r="V401" s="97"/>
      <c r="W401" s="16"/>
      <c r="X401" s="89"/>
      <c r="Z401" s="50"/>
      <c r="AA401" s="50"/>
      <c r="AD401" s="48"/>
      <c r="AE401" s="48">
        <f t="shared" si="36"/>
        <v>0</v>
      </c>
      <c r="AF401" s="16"/>
      <c r="AG401" s="72">
        <f t="shared" si="37"/>
        <v>0</v>
      </c>
      <c r="AH401" s="37">
        <f t="shared" si="38"/>
        <v>0</v>
      </c>
      <c r="AJ401" s="85"/>
      <c r="AK401" s="86"/>
      <c r="AL401" s="82"/>
      <c r="AP401" s="86"/>
      <c r="AU401" s="85"/>
      <c r="AV401" s="86"/>
      <c r="AW401" s="82"/>
      <c r="BA401" s="86"/>
    </row>
    <row r="402" spans="22:53" ht="16" x14ac:dyDescent="0.4">
      <c r="V402" s="97"/>
      <c r="W402" s="16"/>
      <c r="X402" s="89"/>
      <c r="Z402" s="50"/>
      <c r="AA402" s="50"/>
      <c r="AD402" s="48"/>
      <c r="AE402" s="48">
        <f t="shared" si="36"/>
        <v>0</v>
      </c>
      <c r="AF402" s="16"/>
      <c r="AG402" s="72">
        <f t="shared" si="37"/>
        <v>0</v>
      </c>
      <c r="AH402" s="37">
        <f t="shared" si="38"/>
        <v>0</v>
      </c>
      <c r="AJ402" s="87"/>
      <c r="AK402" s="82"/>
      <c r="AL402" s="82"/>
      <c r="AP402" s="82"/>
      <c r="AU402" s="87"/>
      <c r="AV402" s="82"/>
      <c r="AW402" s="82"/>
      <c r="BA402" s="82"/>
    </row>
    <row r="403" spans="22:53" ht="16" x14ac:dyDescent="0.4">
      <c r="V403" s="97"/>
      <c r="W403" s="16"/>
      <c r="X403" s="89"/>
      <c r="Z403" s="50"/>
      <c r="AA403" s="50"/>
      <c r="AD403" s="48"/>
      <c r="AE403" s="48">
        <f t="shared" si="36"/>
        <v>0</v>
      </c>
      <c r="AF403" s="16"/>
      <c r="AG403" s="72">
        <f t="shared" si="37"/>
        <v>0</v>
      </c>
      <c r="AH403" s="37">
        <f t="shared" si="38"/>
        <v>0</v>
      </c>
    </row>
    <row r="404" spans="22:53" ht="16" x14ac:dyDescent="0.4">
      <c r="V404" s="97"/>
      <c r="W404" s="16"/>
      <c r="X404" s="89"/>
      <c r="Z404" s="50"/>
      <c r="AA404" s="50"/>
      <c r="AD404" s="48"/>
      <c r="AE404" s="48">
        <f t="shared" si="36"/>
        <v>0</v>
      </c>
      <c r="AF404" s="16"/>
      <c r="AG404" s="72">
        <f t="shared" si="37"/>
        <v>0</v>
      </c>
      <c r="AH404" s="37">
        <f t="shared" si="38"/>
        <v>0</v>
      </c>
    </row>
    <row r="405" spans="22:53" ht="16" x14ac:dyDescent="0.4">
      <c r="V405" s="97"/>
      <c r="W405" s="16"/>
      <c r="X405" s="89"/>
      <c r="Z405" s="50"/>
      <c r="AA405" s="50"/>
      <c r="AD405" s="48"/>
      <c r="AE405" s="48">
        <f t="shared" si="36"/>
        <v>0</v>
      </c>
      <c r="AF405" s="16"/>
      <c r="AG405" s="72">
        <f t="shared" si="37"/>
        <v>0</v>
      </c>
      <c r="AH405" s="37">
        <f t="shared" si="38"/>
        <v>0</v>
      </c>
    </row>
    <row r="406" spans="22:53" ht="16" x14ac:dyDescent="0.4">
      <c r="V406" s="97"/>
      <c r="W406" s="16"/>
      <c r="X406" s="89"/>
      <c r="Z406" s="50"/>
      <c r="AA406" s="50"/>
      <c r="AD406" s="48"/>
      <c r="AE406" s="48">
        <f t="shared" si="36"/>
        <v>0</v>
      </c>
      <c r="AF406" s="16"/>
      <c r="AG406" s="72">
        <f t="shared" si="37"/>
        <v>0</v>
      </c>
      <c r="AH406" s="37">
        <f t="shared" si="38"/>
        <v>0</v>
      </c>
    </row>
    <row r="407" spans="22:53" ht="16" x14ac:dyDescent="0.4">
      <c r="V407" s="97"/>
      <c r="W407" s="16"/>
      <c r="X407" s="89"/>
      <c r="Z407" s="50"/>
      <c r="AA407" s="50"/>
      <c r="AD407" s="48"/>
      <c r="AE407" s="48">
        <f t="shared" si="36"/>
        <v>0</v>
      </c>
      <c r="AF407" s="16"/>
      <c r="AG407" s="72">
        <f t="shared" si="37"/>
        <v>0</v>
      </c>
      <c r="AH407" s="37">
        <f t="shared" si="38"/>
        <v>0</v>
      </c>
      <c r="AJ407" s="34"/>
      <c r="AK407" s="34"/>
      <c r="AU407" s="34"/>
      <c r="AV407" s="34"/>
    </row>
    <row r="408" spans="22:53" ht="16" x14ac:dyDescent="0.4">
      <c r="V408" s="97"/>
      <c r="W408" s="16"/>
      <c r="X408" s="89"/>
      <c r="Z408" s="50"/>
      <c r="AA408" s="50"/>
      <c r="AD408" s="48"/>
      <c r="AE408" s="48">
        <f t="shared" si="36"/>
        <v>0</v>
      </c>
      <c r="AF408" s="16"/>
      <c r="AG408" s="72">
        <f t="shared" si="37"/>
        <v>0</v>
      </c>
      <c r="AH408" s="37">
        <f t="shared" si="38"/>
        <v>0</v>
      </c>
      <c r="AJ408" s="34"/>
      <c r="AK408" s="34"/>
      <c r="AU408" s="34"/>
      <c r="AV408" s="34"/>
    </row>
    <row r="409" spans="22:53" ht="16" x14ac:dyDescent="0.4">
      <c r="V409" s="97"/>
      <c r="W409" s="16"/>
      <c r="X409" s="89"/>
      <c r="Z409" s="50"/>
      <c r="AA409" s="50"/>
      <c r="AD409" s="48"/>
      <c r="AE409" s="48">
        <f t="shared" si="36"/>
        <v>0</v>
      </c>
      <c r="AF409" s="16"/>
      <c r="AG409" s="72">
        <f t="shared" si="37"/>
        <v>0</v>
      </c>
      <c r="AH409" s="37">
        <f t="shared" si="38"/>
        <v>0</v>
      </c>
      <c r="AJ409" s="34"/>
      <c r="AK409" s="34"/>
      <c r="AU409" s="34"/>
      <c r="AV409" s="34"/>
    </row>
    <row r="410" spans="22:53" ht="16" x14ac:dyDescent="0.4">
      <c r="V410" s="97"/>
      <c r="W410" s="16"/>
      <c r="X410" s="89"/>
      <c r="Z410" s="50"/>
      <c r="AA410" s="50"/>
      <c r="AD410" s="48"/>
      <c r="AE410" s="48">
        <f t="shared" si="36"/>
        <v>0</v>
      </c>
      <c r="AF410" s="16"/>
      <c r="AG410" s="72">
        <f t="shared" si="37"/>
        <v>0</v>
      </c>
      <c r="AH410" s="37">
        <f t="shared" si="38"/>
        <v>0</v>
      </c>
      <c r="AJ410" s="34"/>
      <c r="AK410" s="34"/>
      <c r="AU410" s="34"/>
      <c r="AV410" s="34"/>
    </row>
    <row r="411" spans="22:53" ht="16" x14ac:dyDescent="0.4">
      <c r="V411" s="97"/>
      <c r="W411" s="16"/>
      <c r="X411" s="89"/>
      <c r="Z411" s="50"/>
      <c r="AA411" s="50"/>
      <c r="AD411" s="48"/>
      <c r="AE411" s="48">
        <f t="shared" si="36"/>
        <v>0</v>
      </c>
      <c r="AF411" s="16"/>
      <c r="AG411" s="72">
        <f t="shared" si="37"/>
        <v>0</v>
      </c>
      <c r="AH411" s="37">
        <f t="shared" si="38"/>
        <v>0</v>
      </c>
      <c r="AJ411" s="34"/>
      <c r="AK411" s="34"/>
      <c r="AU411" s="34"/>
      <c r="AV411" s="34"/>
    </row>
    <row r="412" spans="22:53" ht="16" x14ac:dyDescent="0.4">
      <c r="V412" s="97"/>
      <c r="W412" s="16"/>
      <c r="X412" s="89"/>
      <c r="Z412" s="50"/>
      <c r="AA412" s="50"/>
      <c r="AD412" s="48"/>
      <c r="AE412" s="48">
        <f t="shared" si="36"/>
        <v>0</v>
      </c>
      <c r="AF412" s="16"/>
      <c r="AG412" s="72">
        <f t="shared" si="37"/>
        <v>0</v>
      </c>
      <c r="AH412" s="37">
        <f t="shared" si="38"/>
        <v>0</v>
      </c>
      <c r="AJ412" s="34"/>
      <c r="AK412" s="34"/>
      <c r="AU412" s="34"/>
      <c r="AV412" s="34"/>
    </row>
    <row r="413" spans="22:53" ht="16" x14ac:dyDescent="0.4">
      <c r="V413" s="97"/>
      <c r="W413" s="16"/>
      <c r="X413" s="89"/>
      <c r="Z413" s="50"/>
      <c r="AA413" s="50"/>
      <c r="AD413" s="48"/>
      <c r="AE413" s="48">
        <f t="shared" si="36"/>
        <v>0</v>
      </c>
      <c r="AF413" s="16"/>
      <c r="AG413" s="72">
        <f t="shared" si="37"/>
        <v>0</v>
      </c>
      <c r="AH413" s="37">
        <f t="shared" si="38"/>
        <v>0</v>
      </c>
      <c r="AJ413" s="34"/>
      <c r="AK413" s="34"/>
      <c r="AU413" s="34"/>
      <c r="AV413" s="34"/>
    </row>
    <row r="414" spans="22:53" ht="16" x14ac:dyDescent="0.4">
      <c r="V414" s="97"/>
      <c r="W414" s="16"/>
      <c r="X414" s="89"/>
      <c r="Z414" s="50"/>
      <c r="AA414" s="50"/>
      <c r="AD414" s="48"/>
      <c r="AE414" s="48">
        <f t="shared" si="36"/>
        <v>0</v>
      </c>
      <c r="AF414" s="16"/>
      <c r="AG414" s="72">
        <f t="shared" si="37"/>
        <v>0</v>
      </c>
      <c r="AH414" s="37">
        <f t="shared" si="38"/>
        <v>0</v>
      </c>
      <c r="AJ414" s="34"/>
      <c r="AK414" s="34"/>
      <c r="AU414" s="34"/>
      <c r="AV414" s="34"/>
    </row>
    <row r="415" spans="22:53" ht="16" x14ac:dyDescent="0.4">
      <c r="V415" s="97"/>
      <c r="W415" s="16"/>
      <c r="X415" s="89"/>
      <c r="Z415" s="50"/>
      <c r="AA415" s="50"/>
      <c r="AD415" s="48"/>
      <c r="AE415" s="48">
        <f t="shared" si="36"/>
        <v>0</v>
      </c>
      <c r="AF415" s="16"/>
      <c r="AG415" s="72">
        <f t="shared" si="37"/>
        <v>0</v>
      </c>
      <c r="AH415" s="37">
        <f t="shared" si="38"/>
        <v>0</v>
      </c>
      <c r="AJ415" s="34"/>
      <c r="AK415" s="34"/>
      <c r="AU415" s="34"/>
      <c r="AV415" s="34"/>
    </row>
    <row r="416" spans="22:53" ht="16" x14ac:dyDescent="0.4">
      <c r="V416" s="97"/>
      <c r="W416" s="16"/>
      <c r="X416" s="89"/>
      <c r="Z416" s="50"/>
      <c r="AA416" s="50"/>
      <c r="AD416" s="48"/>
      <c r="AE416" s="48">
        <f t="shared" si="36"/>
        <v>0</v>
      </c>
      <c r="AF416" s="16"/>
      <c r="AG416" s="72">
        <f t="shared" si="37"/>
        <v>0</v>
      </c>
      <c r="AH416" s="37">
        <f t="shared" si="38"/>
        <v>0</v>
      </c>
      <c r="AJ416" s="34"/>
      <c r="AK416" s="34"/>
      <c r="AU416" s="34"/>
      <c r="AV416" s="34"/>
    </row>
    <row r="417" spans="22:48" ht="16" x14ac:dyDescent="0.4">
      <c r="V417" s="97"/>
      <c r="W417" s="16"/>
      <c r="X417" s="89"/>
      <c r="Z417" s="50"/>
      <c r="AA417" s="50"/>
      <c r="AD417" s="48"/>
      <c r="AE417" s="48">
        <f t="shared" si="36"/>
        <v>0</v>
      </c>
      <c r="AF417" s="16"/>
      <c r="AG417" s="72">
        <f t="shared" si="37"/>
        <v>0</v>
      </c>
      <c r="AH417" s="37">
        <f t="shared" si="38"/>
        <v>0</v>
      </c>
      <c r="AJ417" s="34"/>
      <c r="AK417" s="34"/>
      <c r="AU417" s="34"/>
      <c r="AV417" s="34"/>
    </row>
    <row r="418" spans="22:48" ht="16" x14ac:dyDescent="0.4">
      <c r="V418" s="97"/>
      <c r="W418" s="16"/>
      <c r="X418" s="89"/>
      <c r="Z418" s="50"/>
      <c r="AA418" s="50"/>
      <c r="AD418" s="48"/>
      <c r="AE418" s="48">
        <f t="shared" si="36"/>
        <v>0</v>
      </c>
      <c r="AF418" s="16"/>
      <c r="AG418" s="72">
        <f t="shared" si="37"/>
        <v>0</v>
      </c>
      <c r="AH418" s="37">
        <f t="shared" si="38"/>
        <v>0</v>
      </c>
      <c r="AJ418" s="34"/>
      <c r="AK418" s="34"/>
      <c r="AU418" s="34"/>
      <c r="AV418" s="34"/>
    </row>
    <row r="419" spans="22:48" ht="16" x14ac:dyDescent="0.4">
      <c r="V419" s="97"/>
      <c r="W419" s="16"/>
      <c r="X419" s="89"/>
      <c r="Z419" s="50"/>
      <c r="AA419" s="50"/>
      <c r="AD419" s="48"/>
      <c r="AE419" s="48">
        <f t="shared" si="36"/>
        <v>0</v>
      </c>
      <c r="AF419" s="16"/>
      <c r="AG419" s="72">
        <f t="shared" si="37"/>
        <v>0</v>
      </c>
      <c r="AH419" s="37">
        <f t="shared" si="38"/>
        <v>0</v>
      </c>
      <c r="AJ419" s="34"/>
      <c r="AK419" s="34"/>
      <c r="AU419" s="34"/>
      <c r="AV419" s="34"/>
    </row>
    <row r="420" spans="22:48" ht="16" x14ac:dyDescent="0.4">
      <c r="V420" s="97"/>
      <c r="W420" s="16"/>
      <c r="X420" s="89"/>
      <c r="Z420" s="50"/>
      <c r="AA420" s="50"/>
      <c r="AD420" s="48"/>
      <c r="AE420" s="48">
        <f t="shared" si="36"/>
        <v>0</v>
      </c>
      <c r="AF420" s="16"/>
      <c r="AG420" s="72">
        <f t="shared" si="37"/>
        <v>0</v>
      </c>
      <c r="AH420" s="37">
        <f t="shared" si="38"/>
        <v>0</v>
      </c>
      <c r="AJ420" s="34"/>
      <c r="AK420" s="34"/>
      <c r="AU420" s="34"/>
      <c r="AV420" s="34"/>
    </row>
    <row r="421" spans="22:48" ht="16" x14ac:dyDescent="0.4">
      <c r="V421" s="97"/>
      <c r="W421" s="16"/>
      <c r="X421" s="89"/>
      <c r="Z421" s="50"/>
      <c r="AA421" s="50"/>
      <c r="AD421" s="48"/>
      <c r="AE421" s="48">
        <f t="shared" si="36"/>
        <v>0</v>
      </c>
      <c r="AF421" s="16"/>
      <c r="AG421" s="72">
        <f t="shared" si="37"/>
        <v>0</v>
      </c>
      <c r="AH421" s="37">
        <f t="shared" si="38"/>
        <v>0</v>
      </c>
      <c r="AJ421" s="34"/>
      <c r="AK421" s="34"/>
      <c r="AU421" s="34"/>
      <c r="AV421" s="34"/>
    </row>
    <row r="422" spans="22:48" ht="16" x14ac:dyDescent="0.4">
      <c r="V422" s="97"/>
      <c r="W422" s="16"/>
      <c r="X422" s="89"/>
      <c r="Z422" s="50"/>
      <c r="AA422" s="50"/>
      <c r="AD422" s="48"/>
      <c r="AE422" s="48">
        <f t="shared" si="36"/>
        <v>0</v>
      </c>
      <c r="AF422" s="16"/>
      <c r="AG422" s="72">
        <f t="shared" si="37"/>
        <v>0</v>
      </c>
      <c r="AH422" s="37">
        <f t="shared" si="38"/>
        <v>0</v>
      </c>
      <c r="AJ422" s="34"/>
      <c r="AK422" s="34"/>
      <c r="AU422" s="34"/>
      <c r="AV422" s="34"/>
    </row>
    <row r="423" spans="22:48" ht="16" x14ac:dyDescent="0.4">
      <c r="V423" s="97"/>
      <c r="W423" s="16"/>
      <c r="X423" s="89"/>
      <c r="Z423" s="50"/>
      <c r="AA423" s="50"/>
      <c r="AD423" s="48"/>
      <c r="AE423" s="48">
        <f t="shared" si="36"/>
        <v>0</v>
      </c>
      <c r="AF423" s="16"/>
      <c r="AG423" s="72">
        <f t="shared" si="37"/>
        <v>0</v>
      </c>
      <c r="AH423" s="37">
        <f t="shared" si="38"/>
        <v>0</v>
      </c>
      <c r="AJ423" s="34"/>
      <c r="AK423" s="34"/>
      <c r="AU423" s="34"/>
      <c r="AV423" s="34"/>
    </row>
    <row r="424" spans="22:48" ht="16" x14ac:dyDescent="0.4">
      <c r="V424" s="97"/>
      <c r="W424" s="16"/>
      <c r="X424" s="89"/>
      <c r="Z424" s="50"/>
      <c r="AA424" s="50"/>
      <c r="AD424" s="48"/>
      <c r="AE424" s="48">
        <f t="shared" si="36"/>
        <v>0</v>
      </c>
      <c r="AF424" s="16"/>
      <c r="AG424" s="72">
        <f t="shared" si="37"/>
        <v>0</v>
      </c>
      <c r="AH424" s="37">
        <f t="shared" si="38"/>
        <v>0</v>
      </c>
      <c r="AJ424" s="34"/>
      <c r="AK424" s="34"/>
      <c r="AU424" s="34"/>
      <c r="AV424" s="34"/>
    </row>
    <row r="425" spans="22:48" ht="16" x14ac:dyDescent="0.4">
      <c r="V425" s="97"/>
      <c r="W425" s="16"/>
      <c r="X425" s="89"/>
      <c r="Z425" s="50"/>
      <c r="AA425" s="50"/>
      <c r="AD425" s="48"/>
      <c r="AE425" s="48">
        <f t="shared" si="36"/>
        <v>0</v>
      </c>
      <c r="AF425" s="16"/>
      <c r="AG425" s="72">
        <f t="shared" si="37"/>
        <v>0</v>
      </c>
      <c r="AH425" s="37">
        <f t="shared" si="38"/>
        <v>0</v>
      </c>
      <c r="AJ425" s="34"/>
      <c r="AK425" s="34"/>
      <c r="AU425" s="34"/>
      <c r="AV425" s="34"/>
    </row>
    <row r="426" spans="22:48" ht="16" x14ac:dyDescent="0.4">
      <c r="V426" s="97"/>
      <c r="W426" s="16"/>
      <c r="X426" s="89"/>
      <c r="Z426" s="50"/>
      <c r="AA426" s="50"/>
      <c r="AD426" s="48"/>
      <c r="AE426" s="48">
        <f t="shared" si="36"/>
        <v>0</v>
      </c>
      <c r="AF426" s="16"/>
      <c r="AG426" s="72">
        <f t="shared" si="37"/>
        <v>0</v>
      </c>
      <c r="AH426" s="37">
        <f t="shared" si="38"/>
        <v>0</v>
      </c>
      <c r="AJ426" s="34"/>
      <c r="AK426" s="34"/>
      <c r="AU426" s="34"/>
      <c r="AV426" s="34"/>
    </row>
    <row r="427" spans="22:48" ht="16" x14ac:dyDescent="0.4">
      <c r="V427" s="97"/>
      <c r="W427" s="16"/>
      <c r="X427" s="89"/>
      <c r="Z427" s="50"/>
      <c r="AA427" s="50"/>
      <c r="AD427" s="48"/>
      <c r="AE427" s="48">
        <f t="shared" si="36"/>
        <v>0</v>
      </c>
      <c r="AF427" s="16"/>
      <c r="AG427" s="72">
        <f t="shared" si="37"/>
        <v>0</v>
      </c>
      <c r="AH427" s="37">
        <f t="shared" si="38"/>
        <v>0</v>
      </c>
      <c r="AJ427" s="34"/>
      <c r="AK427" s="34"/>
      <c r="AU427" s="34"/>
      <c r="AV427" s="34"/>
    </row>
    <row r="428" spans="22:48" ht="16" x14ac:dyDescent="0.4">
      <c r="V428" s="97"/>
      <c r="W428" s="16"/>
      <c r="X428" s="89"/>
      <c r="Z428" s="50"/>
      <c r="AA428" s="50"/>
      <c r="AD428" s="48"/>
      <c r="AE428" s="48">
        <f t="shared" si="36"/>
        <v>0</v>
      </c>
      <c r="AF428" s="16"/>
      <c r="AG428" s="72">
        <f t="shared" si="37"/>
        <v>0</v>
      </c>
      <c r="AH428" s="37">
        <f t="shared" si="38"/>
        <v>0</v>
      </c>
      <c r="AJ428" s="34"/>
      <c r="AK428" s="34"/>
      <c r="AU428" s="34"/>
      <c r="AV428" s="34"/>
    </row>
    <row r="429" spans="22:48" ht="16" x14ac:dyDescent="0.4">
      <c r="V429" s="97"/>
      <c r="W429" s="16"/>
      <c r="X429" s="89"/>
      <c r="Z429" s="50"/>
      <c r="AA429" s="50"/>
      <c r="AD429" s="48"/>
      <c r="AE429" s="48">
        <f t="shared" si="36"/>
        <v>0</v>
      </c>
      <c r="AF429" s="16"/>
      <c r="AG429" s="72">
        <f t="shared" si="37"/>
        <v>0</v>
      </c>
      <c r="AH429" s="37">
        <f t="shared" si="38"/>
        <v>0</v>
      </c>
      <c r="AJ429" s="34"/>
      <c r="AK429" s="34"/>
      <c r="AU429" s="34"/>
      <c r="AV429" s="34"/>
    </row>
    <row r="430" spans="22:48" ht="16" x14ac:dyDescent="0.4">
      <c r="V430" s="97"/>
      <c r="W430" s="16"/>
      <c r="X430" s="89"/>
      <c r="Z430" s="50"/>
      <c r="AA430" s="50"/>
      <c r="AD430" s="48"/>
      <c r="AE430" s="48">
        <f t="shared" si="36"/>
        <v>0</v>
      </c>
      <c r="AF430" s="16"/>
      <c r="AG430" s="72">
        <f t="shared" si="37"/>
        <v>0</v>
      </c>
      <c r="AH430" s="37">
        <f t="shared" si="38"/>
        <v>0</v>
      </c>
      <c r="AJ430" s="34"/>
      <c r="AK430" s="34"/>
      <c r="AU430" s="34"/>
      <c r="AV430" s="34"/>
    </row>
    <row r="431" spans="22:48" ht="16" x14ac:dyDescent="0.4">
      <c r="V431" s="97"/>
      <c r="W431" s="16"/>
      <c r="X431" s="89"/>
      <c r="Z431" s="50"/>
      <c r="AA431" s="50"/>
      <c r="AD431" s="48"/>
      <c r="AE431" s="48">
        <f t="shared" si="36"/>
        <v>0</v>
      </c>
      <c r="AF431" s="16"/>
      <c r="AG431" s="72">
        <f t="shared" si="37"/>
        <v>0</v>
      </c>
      <c r="AH431" s="37">
        <f t="shared" si="38"/>
        <v>0</v>
      </c>
      <c r="AJ431" s="34"/>
      <c r="AK431" s="34"/>
      <c r="AU431" s="34"/>
      <c r="AV431" s="34"/>
    </row>
    <row r="432" spans="22:48" ht="16" x14ac:dyDescent="0.4">
      <c r="V432" s="97"/>
      <c r="W432" s="16"/>
      <c r="X432" s="89"/>
      <c r="Z432" s="50"/>
      <c r="AA432" s="50"/>
      <c r="AD432" s="48"/>
      <c r="AE432" s="48">
        <f t="shared" si="36"/>
        <v>0</v>
      </c>
      <c r="AF432" s="16"/>
      <c r="AG432" s="72">
        <f t="shared" si="37"/>
        <v>0</v>
      </c>
      <c r="AH432" s="37">
        <f t="shared" si="38"/>
        <v>0</v>
      </c>
      <c r="AJ432" s="34"/>
      <c r="AK432" s="34"/>
      <c r="AU432" s="34"/>
      <c r="AV432" s="34"/>
    </row>
    <row r="433" spans="22:48" ht="16" x14ac:dyDescent="0.4">
      <c r="V433" s="97"/>
      <c r="W433" s="16"/>
      <c r="X433" s="89"/>
      <c r="Z433" s="50"/>
      <c r="AA433" s="50"/>
      <c r="AD433" s="48"/>
      <c r="AE433" s="48">
        <f t="shared" si="36"/>
        <v>0</v>
      </c>
      <c r="AF433" s="16"/>
      <c r="AG433" s="72">
        <f t="shared" si="37"/>
        <v>0</v>
      </c>
      <c r="AH433" s="37">
        <f t="shared" si="38"/>
        <v>0</v>
      </c>
      <c r="AJ433" s="34"/>
      <c r="AK433" s="34"/>
      <c r="AU433" s="34"/>
      <c r="AV433" s="34"/>
    </row>
    <row r="434" spans="22:48" ht="16" x14ac:dyDescent="0.4">
      <c r="V434" s="97"/>
      <c r="W434" s="16"/>
      <c r="X434" s="89"/>
      <c r="Z434" s="50"/>
      <c r="AA434" s="50"/>
      <c r="AD434" s="48"/>
      <c r="AE434" s="48">
        <f t="shared" si="36"/>
        <v>0</v>
      </c>
      <c r="AF434" s="16"/>
      <c r="AG434" s="72">
        <f t="shared" si="37"/>
        <v>0</v>
      </c>
      <c r="AH434" s="37">
        <f t="shared" si="38"/>
        <v>0</v>
      </c>
      <c r="AJ434" s="34"/>
      <c r="AK434" s="34"/>
      <c r="AU434" s="34"/>
      <c r="AV434" s="34"/>
    </row>
    <row r="435" spans="22:48" ht="16" x14ac:dyDescent="0.4">
      <c r="V435" s="97"/>
      <c r="W435" s="16"/>
      <c r="X435" s="89"/>
      <c r="Z435" s="50"/>
      <c r="AA435" s="50"/>
      <c r="AD435" s="48"/>
      <c r="AE435" s="48">
        <f t="shared" si="36"/>
        <v>0</v>
      </c>
      <c r="AF435" s="16"/>
      <c r="AG435" s="72">
        <f t="shared" si="37"/>
        <v>0</v>
      </c>
      <c r="AH435" s="37">
        <f t="shared" si="38"/>
        <v>0</v>
      </c>
      <c r="AJ435" s="34"/>
      <c r="AK435" s="34"/>
      <c r="AU435" s="34"/>
      <c r="AV435" s="34"/>
    </row>
    <row r="436" spans="22:48" ht="16" x14ac:dyDescent="0.4">
      <c r="V436" s="97"/>
      <c r="W436" s="16"/>
      <c r="X436" s="89"/>
      <c r="Z436" s="50"/>
      <c r="AA436" s="50"/>
      <c r="AD436" s="48"/>
      <c r="AE436" s="48">
        <f t="shared" si="36"/>
        <v>0</v>
      </c>
      <c r="AF436" s="16"/>
      <c r="AG436" s="72">
        <f t="shared" si="37"/>
        <v>0</v>
      </c>
      <c r="AH436" s="37">
        <f t="shared" si="38"/>
        <v>0</v>
      </c>
      <c r="AJ436" s="34"/>
      <c r="AK436" s="34"/>
      <c r="AU436" s="34"/>
      <c r="AV436" s="34"/>
    </row>
    <row r="437" spans="22:48" ht="16" x14ac:dyDescent="0.4">
      <c r="V437" s="97"/>
      <c r="W437" s="16"/>
      <c r="X437" s="89"/>
      <c r="Z437" s="50"/>
      <c r="AA437" s="50"/>
      <c r="AD437" s="48"/>
      <c r="AE437" s="48">
        <f t="shared" si="36"/>
        <v>0</v>
      </c>
      <c r="AF437" s="16"/>
      <c r="AG437" s="72">
        <f t="shared" si="37"/>
        <v>0</v>
      </c>
      <c r="AH437" s="37">
        <f t="shared" si="38"/>
        <v>0</v>
      </c>
      <c r="AJ437" s="34"/>
      <c r="AK437" s="34"/>
      <c r="AU437" s="34"/>
      <c r="AV437" s="34"/>
    </row>
    <row r="438" spans="22:48" ht="16" x14ac:dyDescent="0.4">
      <c r="V438" s="97"/>
      <c r="W438" s="16"/>
      <c r="X438" s="89"/>
      <c r="Z438" s="50"/>
      <c r="AA438" s="50"/>
      <c r="AD438" s="48"/>
      <c r="AE438" s="48">
        <f t="shared" si="36"/>
        <v>0</v>
      </c>
      <c r="AF438" s="16"/>
      <c r="AG438" s="72">
        <f t="shared" si="37"/>
        <v>0</v>
      </c>
      <c r="AH438" s="37">
        <f t="shared" si="38"/>
        <v>0</v>
      </c>
      <c r="AJ438" s="34"/>
      <c r="AK438" s="34"/>
      <c r="AU438" s="34"/>
      <c r="AV438" s="34"/>
    </row>
    <row r="439" spans="22:48" ht="16" x14ac:dyDescent="0.4">
      <c r="V439" s="97"/>
      <c r="W439" s="16"/>
      <c r="X439" s="89"/>
      <c r="Z439" s="50"/>
      <c r="AA439" s="50"/>
      <c r="AD439" s="48"/>
      <c r="AE439" s="48">
        <f t="shared" si="36"/>
        <v>0</v>
      </c>
      <c r="AF439" s="16"/>
      <c r="AG439" s="72">
        <f t="shared" si="37"/>
        <v>0</v>
      </c>
      <c r="AH439" s="37">
        <f t="shared" si="38"/>
        <v>0</v>
      </c>
      <c r="AJ439" s="34"/>
      <c r="AK439" s="34"/>
      <c r="AU439" s="34"/>
      <c r="AV439" s="34"/>
    </row>
    <row r="440" spans="22:48" ht="16" x14ac:dyDescent="0.4">
      <c r="V440" s="97"/>
      <c r="W440" s="16"/>
      <c r="X440" s="89"/>
      <c r="Z440" s="50"/>
      <c r="AA440" s="50"/>
      <c r="AD440" s="48"/>
      <c r="AE440" s="48">
        <f t="shared" si="36"/>
        <v>0</v>
      </c>
      <c r="AF440" s="16"/>
      <c r="AG440" s="72">
        <f t="shared" si="37"/>
        <v>0</v>
      </c>
      <c r="AH440" s="37">
        <f t="shared" si="38"/>
        <v>0</v>
      </c>
      <c r="AJ440" s="34"/>
      <c r="AK440" s="34"/>
      <c r="AU440" s="34"/>
      <c r="AV440" s="34"/>
    </row>
    <row r="441" spans="22:48" ht="16" x14ac:dyDescent="0.4">
      <c r="V441" s="97"/>
      <c r="W441" s="16"/>
      <c r="X441" s="89"/>
      <c r="Z441" s="50"/>
      <c r="AA441" s="50"/>
      <c r="AD441" s="48"/>
      <c r="AE441" s="48">
        <f t="shared" ref="AE441:AE472" si="39">AD441/1000</f>
        <v>0</v>
      </c>
      <c r="AF441" s="16"/>
      <c r="AG441" s="72">
        <f t="shared" si="37"/>
        <v>0</v>
      </c>
      <c r="AH441" s="37">
        <f t="shared" si="38"/>
        <v>0</v>
      </c>
      <c r="AJ441" s="34"/>
      <c r="AK441" s="34"/>
      <c r="AU441" s="34"/>
      <c r="AV441" s="34"/>
    </row>
    <row r="442" spans="22:48" ht="16" x14ac:dyDescent="0.4">
      <c r="V442" s="97"/>
      <c r="W442" s="16"/>
      <c r="X442" s="89"/>
      <c r="Z442" s="50"/>
      <c r="AA442" s="50"/>
      <c r="AD442" s="48"/>
      <c r="AE442" s="48">
        <f t="shared" si="39"/>
        <v>0</v>
      </c>
      <c r="AF442" s="16"/>
      <c r="AG442" s="72">
        <f t="shared" ref="AG442:AG444" si="40">IF($AF442&gt;14,14,$AF442)</f>
        <v>0</v>
      </c>
      <c r="AH442" s="37">
        <f t="shared" si="38"/>
        <v>0</v>
      </c>
      <c r="AJ442" s="34"/>
      <c r="AK442" s="34"/>
      <c r="AU442" s="34"/>
      <c r="AV442" s="34"/>
    </row>
    <row r="443" spans="22:48" ht="16" x14ac:dyDescent="0.4">
      <c r="V443" s="97"/>
      <c r="W443" s="16"/>
      <c r="X443" s="89"/>
      <c r="Z443" s="50"/>
      <c r="AA443" s="50"/>
      <c r="AD443" s="48"/>
      <c r="AE443" s="48">
        <f t="shared" si="39"/>
        <v>0</v>
      </c>
      <c r="AF443" s="16"/>
      <c r="AG443" s="72">
        <f t="shared" si="40"/>
        <v>0</v>
      </c>
      <c r="AH443" s="37">
        <f t="shared" si="38"/>
        <v>0</v>
      </c>
      <c r="AJ443" s="34"/>
      <c r="AK443" s="34"/>
      <c r="AU443" s="34"/>
      <c r="AV443" s="34"/>
    </row>
    <row r="444" spans="22:48" ht="16" x14ac:dyDescent="0.4">
      <c r="V444" s="97"/>
      <c r="X444" s="89"/>
      <c r="Z444" s="50"/>
      <c r="AA444" s="50"/>
      <c r="AD444" s="37"/>
      <c r="AE444" s="48">
        <f t="shared" si="39"/>
        <v>0</v>
      </c>
      <c r="AG444" s="72">
        <f t="shared" si="40"/>
        <v>0</v>
      </c>
      <c r="AH444" s="37">
        <f t="shared" si="38"/>
        <v>0</v>
      </c>
      <c r="AJ444" s="34"/>
      <c r="AK444" s="34"/>
      <c r="AU444" s="34"/>
      <c r="AV444" s="34"/>
    </row>
    <row r="445" spans="22:48" x14ac:dyDescent="0.35">
      <c r="AE445" s="48">
        <f t="shared" si="39"/>
        <v>0</v>
      </c>
      <c r="AH445" s="37">
        <f t="shared" si="38"/>
        <v>0</v>
      </c>
      <c r="AJ445" s="34"/>
      <c r="AK445" s="34"/>
      <c r="AU445" s="34"/>
      <c r="AV445" s="34"/>
    </row>
    <row r="446" spans="22:48" x14ac:dyDescent="0.35">
      <c r="AE446" s="48">
        <f t="shared" si="39"/>
        <v>0</v>
      </c>
      <c r="AH446" s="37">
        <f t="shared" si="38"/>
        <v>0</v>
      </c>
      <c r="AJ446" s="34"/>
      <c r="AK446" s="34"/>
      <c r="AU446" s="34"/>
      <c r="AV446" s="34"/>
    </row>
    <row r="447" spans="22:48" x14ac:dyDescent="0.35">
      <c r="AE447" s="48">
        <f t="shared" si="39"/>
        <v>0</v>
      </c>
      <c r="AH447" s="37">
        <f t="shared" si="38"/>
        <v>0</v>
      </c>
      <c r="AJ447" s="34"/>
      <c r="AK447" s="34"/>
      <c r="AU447" s="34"/>
      <c r="AV447" s="34"/>
    </row>
    <row r="448" spans="22:48" x14ac:dyDescent="0.35">
      <c r="AE448" s="48">
        <f t="shared" si="39"/>
        <v>0</v>
      </c>
      <c r="AH448" s="37">
        <f t="shared" si="38"/>
        <v>0</v>
      </c>
      <c r="AJ448" s="34"/>
      <c r="AK448" s="34"/>
      <c r="AU448" s="34"/>
      <c r="AV448" s="34"/>
    </row>
    <row r="449" spans="31:48" x14ac:dyDescent="0.35">
      <c r="AE449" s="48">
        <f t="shared" si="39"/>
        <v>0</v>
      </c>
      <c r="AH449" s="37">
        <f t="shared" si="38"/>
        <v>0</v>
      </c>
      <c r="AJ449" s="34"/>
      <c r="AK449" s="34"/>
      <c r="AU449" s="34"/>
      <c r="AV449" s="34"/>
    </row>
    <row r="450" spans="31:48" x14ac:dyDescent="0.35">
      <c r="AE450" s="48">
        <f t="shared" si="39"/>
        <v>0</v>
      </c>
      <c r="AH450" s="37">
        <f t="shared" si="38"/>
        <v>0</v>
      </c>
      <c r="AJ450" s="34"/>
      <c r="AK450" s="34"/>
      <c r="AU450" s="34"/>
      <c r="AV450" s="34"/>
    </row>
    <row r="451" spans="31:48" x14ac:dyDescent="0.35">
      <c r="AE451" s="48">
        <f t="shared" si="39"/>
        <v>0</v>
      </c>
      <c r="AH451" s="37">
        <f t="shared" si="38"/>
        <v>0</v>
      </c>
      <c r="AJ451" s="34"/>
      <c r="AK451" s="34"/>
      <c r="AU451" s="34"/>
      <c r="AV451" s="34"/>
    </row>
    <row r="452" spans="31:48" x14ac:dyDescent="0.35">
      <c r="AE452" s="48">
        <f t="shared" si="39"/>
        <v>0</v>
      </c>
      <c r="AH452" s="37">
        <f t="shared" si="38"/>
        <v>0</v>
      </c>
      <c r="AJ452" s="34"/>
      <c r="AK452" s="34"/>
      <c r="AU452" s="34"/>
      <c r="AV452" s="34"/>
    </row>
    <row r="453" spans="31:48" x14ac:dyDescent="0.35">
      <c r="AE453" s="48">
        <f t="shared" si="39"/>
        <v>0</v>
      </c>
      <c r="AH453" s="37">
        <f t="shared" si="38"/>
        <v>0</v>
      </c>
      <c r="AJ453" s="34"/>
      <c r="AK453" s="34"/>
      <c r="AU453" s="34"/>
      <c r="AV453" s="34"/>
    </row>
    <row r="454" spans="31:48" x14ac:dyDescent="0.35">
      <c r="AE454" s="48">
        <f t="shared" si="39"/>
        <v>0</v>
      </c>
      <c r="AH454" s="37">
        <f t="shared" ref="AH454:AH477" si="41">AE454*AG454/14</f>
        <v>0</v>
      </c>
      <c r="AJ454" s="34"/>
      <c r="AK454" s="34"/>
      <c r="AU454" s="34"/>
      <c r="AV454" s="34"/>
    </row>
    <row r="455" spans="31:48" x14ac:dyDescent="0.35">
      <c r="AE455" s="48">
        <f t="shared" si="39"/>
        <v>0</v>
      </c>
      <c r="AH455" s="37">
        <f t="shared" si="41"/>
        <v>0</v>
      </c>
      <c r="AJ455" s="34"/>
      <c r="AK455" s="34"/>
      <c r="AU455" s="34"/>
      <c r="AV455" s="34"/>
    </row>
    <row r="456" spans="31:48" x14ac:dyDescent="0.35">
      <c r="AE456" s="48">
        <f t="shared" si="39"/>
        <v>0</v>
      </c>
      <c r="AH456" s="37">
        <f t="shared" si="41"/>
        <v>0</v>
      </c>
      <c r="AJ456" s="34"/>
      <c r="AK456" s="34"/>
      <c r="AU456" s="34"/>
      <c r="AV456" s="34"/>
    </row>
    <row r="457" spans="31:48" x14ac:dyDescent="0.35">
      <c r="AE457" s="48">
        <f t="shared" si="39"/>
        <v>0</v>
      </c>
      <c r="AH457" s="37">
        <f t="shared" si="41"/>
        <v>0</v>
      </c>
      <c r="AJ457" s="34"/>
      <c r="AK457" s="34"/>
      <c r="AU457" s="34"/>
      <c r="AV457" s="34"/>
    </row>
    <row r="458" spans="31:48" x14ac:dyDescent="0.35">
      <c r="AE458" s="48">
        <f t="shared" si="39"/>
        <v>0</v>
      </c>
      <c r="AH458" s="37">
        <f t="shared" si="41"/>
        <v>0</v>
      </c>
      <c r="AJ458" s="34"/>
      <c r="AK458" s="34"/>
      <c r="AU458" s="34"/>
      <c r="AV458" s="34"/>
    </row>
    <row r="459" spans="31:48" x14ac:dyDescent="0.35">
      <c r="AE459" s="48">
        <f t="shared" si="39"/>
        <v>0</v>
      </c>
      <c r="AH459" s="37">
        <f t="shared" si="41"/>
        <v>0</v>
      </c>
      <c r="AJ459" s="34"/>
      <c r="AK459" s="34"/>
      <c r="AU459" s="34"/>
      <c r="AV459" s="34"/>
    </row>
    <row r="460" spans="31:48" x14ac:dyDescent="0.35">
      <c r="AE460" s="48">
        <f t="shared" si="39"/>
        <v>0</v>
      </c>
      <c r="AH460" s="37">
        <f t="shared" si="41"/>
        <v>0</v>
      </c>
      <c r="AJ460" s="34"/>
      <c r="AK460" s="34"/>
      <c r="AU460" s="34"/>
      <c r="AV460" s="34"/>
    </row>
    <row r="461" spans="31:48" x14ac:dyDescent="0.35">
      <c r="AE461" s="48">
        <f t="shared" si="39"/>
        <v>0</v>
      </c>
      <c r="AH461" s="37">
        <f t="shared" si="41"/>
        <v>0</v>
      </c>
      <c r="AJ461" s="34"/>
      <c r="AK461" s="34"/>
      <c r="AU461" s="34"/>
      <c r="AV461" s="34"/>
    </row>
    <row r="462" spans="31:48" x14ac:dyDescent="0.35">
      <c r="AE462" s="48">
        <f t="shared" si="39"/>
        <v>0</v>
      </c>
      <c r="AH462" s="37">
        <f t="shared" si="41"/>
        <v>0</v>
      </c>
      <c r="AJ462" s="34"/>
      <c r="AK462" s="34"/>
      <c r="AU462" s="34"/>
      <c r="AV462" s="34"/>
    </row>
    <row r="463" spans="31:48" x14ac:dyDescent="0.35">
      <c r="AE463" s="48">
        <f t="shared" si="39"/>
        <v>0</v>
      </c>
      <c r="AH463" s="37">
        <f t="shared" si="41"/>
        <v>0</v>
      </c>
      <c r="AJ463" s="34"/>
      <c r="AK463" s="34"/>
      <c r="AU463" s="34"/>
      <c r="AV463" s="34"/>
    </row>
    <row r="464" spans="31:48" x14ac:dyDescent="0.35">
      <c r="AE464" s="48">
        <f t="shared" si="39"/>
        <v>0</v>
      </c>
      <c r="AH464" s="37">
        <f t="shared" si="41"/>
        <v>0</v>
      </c>
      <c r="AJ464" s="34"/>
      <c r="AK464" s="34"/>
      <c r="AU464" s="34"/>
      <c r="AV464" s="34"/>
    </row>
    <row r="465" spans="31:48" x14ac:dyDescent="0.35">
      <c r="AE465" s="48">
        <f t="shared" si="39"/>
        <v>0</v>
      </c>
      <c r="AH465" s="37">
        <f t="shared" si="41"/>
        <v>0</v>
      </c>
      <c r="AJ465" s="34"/>
      <c r="AK465" s="34"/>
      <c r="AU465" s="34"/>
      <c r="AV465" s="34"/>
    </row>
    <row r="466" spans="31:48" x14ac:dyDescent="0.35">
      <c r="AE466" s="48">
        <f t="shared" si="39"/>
        <v>0</v>
      </c>
      <c r="AH466" s="37">
        <f t="shared" si="41"/>
        <v>0</v>
      </c>
      <c r="AJ466" s="34"/>
      <c r="AK466" s="34"/>
      <c r="AU466" s="34"/>
      <c r="AV466" s="34"/>
    </row>
    <row r="467" spans="31:48" x14ac:dyDescent="0.35">
      <c r="AE467" s="48">
        <f t="shared" si="39"/>
        <v>0</v>
      </c>
      <c r="AH467" s="37">
        <f t="shared" si="41"/>
        <v>0</v>
      </c>
      <c r="AJ467" s="34"/>
      <c r="AK467" s="34"/>
      <c r="AU467" s="34"/>
      <c r="AV467" s="34"/>
    </row>
    <row r="468" spans="31:48" x14ac:dyDescent="0.35">
      <c r="AE468" s="48">
        <f t="shared" si="39"/>
        <v>0</v>
      </c>
      <c r="AH468" s="37">
        <f t="shared" si="41"/>
        <v>0</v>
      </c>
      <c r="AJ468" s="34"/>
      <c r="AK468" s="34"/>
      <c r="AU468" s="34"/>
      <c r="AV468" s="34"/>
    </row>
    <row r="469" spans="31:48" x14ac:dyDescent="0.35">
      <c r="AE469" s="48">
        <f t="shared" si="39"/>
        <v>0</v>
      </c>
      <c r="AH469" s="37">
        <f t="shared" si="41"/>
        <v>0</v>
      </c>
      <c r="AJ469" s="34"/>
      <c r="AK469" s="34"/>
      <c r="AU469" s="34"/>
      <c r="AV469" s="34"/>
    </row>
    <row r="470" spans="31:48" x14ac:dyDescent="0.35">
      <c r="AE470" s="48">
        <f t="shared" si="39"/>
        <v>0</v>
      </c>
      <c r="AH470" s="37">
        <f t="shared" si="41"/>
        <v>0</v>
      </c>
      <c r="AJ470" s="34"/>
      <c r="AK470" s="34"/>
      <c r="AU470" s="34"/>
      <c r="AV470" s="34"/>
    </row>
    <row r="471" spans="31:48" x14ac:dyDescent="0.35">
      <c r="AE471" s="48">
        <f t="shared" si="39"/>
        <v>0</v>
      </c>
      <c r="AH471" s="37">
        <f t="shared" si="41"/>
        <v>0</v>
      </c>
      <c r="AJ471" s="34"/>
      <c r="AK471" s="34"/>
      <c r="AU471" s="34"/>
      <c r="AV471" s="34"/>
    </row>
    <row r="472" spans="31:48" x14ac:dyDescent="0.35">
      <c r="AE472" s="48">
        <f t="shared" si="39"/>
        <v>0</v>
      </c>
      <c r="AH472" s="37">
        <f t="shared" si="41"/>
        <v>0</v>
      </c>
      <c r="AJ472" s="34"/>
      <c r="AK472" s="34"/>
      <c r="AU472" s="34"/>
      <c r="AV472" s="34"/>
    </row>
    <row r="473" spans="31:48" x14ac:dyDescent="0.35">
      <c r="AH473" s="37">
        <f t="shared" si="41"/>
        <v>0</v>
      </c>
      <c r="AJ473" s="34"/>
      <c r="AK473" s="34"/>
      <c r="AU473" s="34"/>
      <c r="AV473" s="34"/>
    </row>
    <row r="474" spans="31:48" x14ac:dyDescent="0.35">
      <c r="AH474" s="37">
        <f t="shared" si="41"/>
        <v>0</v>
      </c>
      <c r="AJ474" s="34"/>
      <c r="AK474" s="34"/>
      <c r="AU474" s="34"/>
      <c r="AV474" s="34"/>
    </row>
    <row r="475" spans="31:48" x14ac:dyDescent="0.35">
      <c r="AH475" s="37">
        <f t="shared" si="41"/>
        <v>0</v>
      </c>
      <c r="AJ475" s="34"/>
      <c r="AK475" s="34"/>
      <c r="AU475" s="34"/>
      <c r="AV475" s="34"/>
    </row>
    <row r="476" spans="31:48" x14ac:dyDescent="0.35">
      <c r="AH476" s="37">
        <f t="shared" si="41"/>
        <v>0</v>
      </c>
      <c r="AJ476" s="34"/>
      <c r="AK476" s="34"/>
      <c r="AU476" s="34"/>
      <c r="AV476" s="34"/>
    </row>
    <row r="477" spans="31:48" x14ac:dyDescent="0.35">
      <c r="AH477" s="37">
        <f t="shared" si="41"/>
        <v>0</v>
      </c>
      <c r="AJ477" s="34"/>
      <c r="AK477" s="34"/>
      <c r="AU477" s="34"/>
      <c r="AV477" s="34"/>
    </row>
    <row r="478" spans="31:48" x14ac:dyDescent="0.35">
      <c r="AJ478" s="34"/>
      <c r="AK478" s="34"/>
      <c r="AU478" s="34"/>
      <c r="AV478" s="34"/>
    </row>
    <row r="479" spans="31:48" x14ac:dyDescent="0.35">
      <c r="AJ479" s="34"/>
      <c r="AK479" s="34"/>
      <c r="AU479" s="34"/>
      <c r="AV479" s="34"/>
    </row>
    <row r="480" spans="31:48" x14ac:dyDescent="0.35">
      <c r="AJ480" s="34"/>
      <c r="AK480" s="34"/>
      <c r="AU480" s="34"/>
      <c r="AV480" s="34"/>
    </row>
    <row r="481" spans="36:48" x14ac:dyDescent="0.35">
      <c r="AJ481" s="34"/>
      <c r="AK481" s="34"/>
      <c r="AU481" s="34"/>
      <c r="AV481" s="34"/>
    </row>
    <row r="482" spans="36:48" x14ac:dyDescent="0.35">
      <c r="AJ482" s="34"/>
      <c r="AK482" s="34"/>
      <c r="AU482" s="34"/>
      <c r="AV482" s="34"/>
    </row>
    <row r="483" spans="36:48" x14ac:dyDescent="0.35">
      <c r="AJ483" s="34"/>
      <c r="AK483" s="34"/>
      <c r="AU483" s="34"/>
      <c r="AV483" s="34"/>
    </row>
    <row r="484" spans="36:48" x14ac:dyDescent="0.35">
      <c r="AJ484" s="34"/>
      <c r="AK484" s="34"/>
      <c r="AU484" s="34"/>
      <c r="AV484" s="34"/>
    </row>
    <row r="485" spans="36:48" x14ac:dyDescent="0.35">
      <c r="AJ485" s="34"/>
      <c r="AK485" s="34"/>
      <c r="AU485" s="34"/>
      <c r="AV485" s="34"/>
    </row>
    <row r="486" spans="36:48" x14ac:dyDescent="0.35">
      <c r="AJ486" s="34"/>
      <c r="AK486" s="34"/>
      <c r="AU486" s="34"/>
      <c r="AV486" s="34"/>
    </row>
    <row r="487" spans="36:48" x14ac:dyDescent="0.35">
      <c r="AJ487" s="34"/>
      <c r="AK487" s="34"/>
      <c r="AU487" s="34"/>
      <c r="AV487" s="34"/>
    </row>
    <row r="488" spans="36:48" x14ac:dyDescent="0.35">
      <c r="AJ488" s="34"/>
      <c r="AK488" s="34"/>
      <c r="AU488" s="34"/>
      <c r="AV488" s="34"/>
    </row>
    <row r="489" spans="36:48" x14ac:dyDescent="0.35">
      <c r="AJ489" s="34"/>
      <c r="AK489" s="34"/>
      <c r="AU489" s="34"/>
      <c r="AV489" s="34"/>
    </row>
    <row r="490" spans="36:48" x14ac:dyDescent="0.35">
      <c r="AJ490" s="34"/>
      <c r="AK490" s="34"/>
      <c r="AU490" s="34"/>
      <c r="AV490" s="34"/>
    </row>
    <row r="491" spans="36:48" x14ac:dyDescent="0.35">
      <c r="AJ491" s="34"/>
      <c r="AK491" s="34"/>
      <c r="AU491" s="34"/>
      <c r="AV491" s="34"/>
    </row>
    <row r="492" spans="36:48" x14ac:dyDescent="0.35">
      <c r="AJ492" s="34"/>
      <c r="AK492" s="34"/>
      <c r="AU492" s="34"/>
      <c r="AV492" s="34"/>
    </row>
    <row r="493" spans="36:48" x14ac:dyDescent="0.35">
      <c r="AJ493" s="34"/>
      <c r="AK493" s="34"/>
      <c r="AU493" s="34"/>
      <c r="AV493" s="34"/>
    </row>
    <row r="494" spans="36:48" x14ac:dyDescent="0.35">
      <c r="AJ494" s="34"/>
      <c r="AK494" s="34"/>
      <c r="AU494" s="34"/>
      <c r="AV494" s="34"/>
    </row>
    <row r="495" spans="36:48" x14ac:dyDescent="0.35">
      <c r="AJ495" s="34"/>
      <c r="AK495" s="34"/>
      <c r="AU495" s="34"/>
      <c r="AV495" s="34"/>
    </row>
    <row r="496" spans="36:48" x14ac:dyDescent="0.35">
      <c r="AJ496" s="34"/>
      <c r="AK496" s="34"/>
      <c r="AU496" s="34"/>
      <c r="AV496" s="34"/>
    </row>
    <row r="497" spans="36:48" x14ac:dyDescent="0.35">
      <c r="AJ497" s="34"/>
      <c r="AK497" s="34"/>
      <c r="AU497" s="34"/>
      <c r="AV497" s="34"/>
    </row>
    <row r="498" spans="36:48" x14ac:dyDescent="0.35">
      <c r="AJ498" s="34"/>
      <c r="AK498" s="34"/>
      <c r="AU498" s="34"/>
      <c r="AV498" s="34"/>
    </row>
    <row r="499" spans="36:48" x14ac:dyDescent="0.35">
      <c r="AJ499" s="34"/>
      <c r="AK499" s="34"/>
      <c r="AU499" s="34"/>
      <c r="AV499" s="34"/>
    </row>
    <row r="500" spans="36:48" x14ac:dyDescent="0.35">
      <c r="AJ500" s="34"/>
      <c r="AK500" s="34"/>
      <c r="AU500" s="34"/>
      <c r="AV500" s="34"/>
    </row>
    <row r="501" spans="36:48" x14ac:dyDescent="0.35">
      <c r="AJ501" s="34"/>
      <c r="AK501" s="34"/>
      <c r="AU501" s="34"/>
      <c r="AV501" s="34"/>
    </row>
    <row r="502" spans="36:48" x14ac:dyDescent="0.35">
      <c r="AJ502" s="34"/>
      <c r="AK502" s="34"/>
      <c r="AU502" s="34"/>
      <c r="AV502" s="34"/>
    </row>
    <row r="503" spans="36:48" x14ac:dyDescent="0.35">
      <c r="AJ503" s="34"/>
      <c r="AK503" s="34"/>
      <c r="AU503" s="34"/>
      <c r="AV503" s="34"/>
    </row>
    <row r="504" spans="36:48" x14ac:dyDescent="0.35">
      <c r="AJ504" s="34"/>
      <c r="AK504" s="34"/>
      <c r="AU504" s="34"/>
      <c r="AV504" s="34"/>
    </row>
    <row r="505" spans="36:48" x14ac:dyDescent="0.35">
      <c r="AJ505" s="34"/>
      <c r="AK505" s="34"/>
      <c r="AU505" s="34"/>
      <c r="AV505" s="34"/>
    </row>
    <row r="506" spans="36:48" x14ac:dyDescent="0.35">
      <c r="AJ506" s="34"/>
      <c r="AK506" s="34"/>
      <c r="AU506" s="34"/>
      <c r="AV506" s="34"/>
    </row>
    <row r="507" spans="36:48" x14ac:dyDescent="0.35">
      <c r="AJ507" s="34"/>
      <c r="AK507" s="34"/>
      <c r="AU507" s="34"/>
      <c r="AV507" s="34"/>
    </row>
    <row r="508" spans="36:48" x14ac:dyDescent="0.35">
      <c r="AJ508" s="34"/>
      <c r="AK508" s="34"/>
      <c r="AU508" s="34"/>
      <c r="AV508" s="34"/>
    </row>
    <row r="509" spans="36:48" x14ac:dyDescent="0.35">
      <c r="AJ509" s="34"/>
      <c r="AK509" s="34"/>
      <c r="AU509" s="34"/>
      <c r="AV509" s="34"/>
    </row>
    <row r="510" spans="36:48" x14ac:dyDescent="0.35">
      <c r="AJ510" s="34"/>
      <c r="AK510" s="34"/>
      <c r="AU510" s="34"/>
      <c r="AV510" s="34"/>
    </row>
    <row r="511" spans="36:48" x14ac:dyDescent="0.35">
      <c r="AJ511" s="34"/>
      <c r="AK511" s="34"/>
      <c r="AU511" s="34"/>
      <c r="AV511" s="34"/>
    </row>
    <row r="512" spans="36:48" x14ac:dyDescent="0.35">
      <c r="AJ512" s="34"/>
      <c r="AK512" s="34"/>
      <c r="AU512" s="34"/>
      <c r="AV512" s="34"/>
    </row>
    <row r="513" spans="36:48" x14ac:dyDescent="0.35">
      <c r="AJ513" s="34"/>
      <c r="AK513" s="34"/>
      <c r="AU513" s="34"/>
      <c r="AV513" s="34"/>
    </row>
    <row r="514" spans="36:48" x14ac:dyDescent="0.35">
      <c r="AJ514" s="34"/>
      <c r="AK514" s="34"/>
      <c r="AU514" s="34"/>
      <c r="AV514" s="34"/>
    </row>
    <row r="515" spans="36:48" x14ac:dyDescent="0.35">
      <c r="AJ515" s="34"/>
      <c r="AK515" s="34"/>
      <c r="AU515" s="34"/>
      <c r="AV515" s="34"/>
    </row>
    <row r="516" spans="36:48" x14ac:dyDescent="0.35">
      <c r="AJ516" s="34"/>
      <c r="AK516" s="34"/>
      <c r="AU516" s="34"/>
      <c r="AV516" s="34"/>
    </row>
    <row r="517" spans="36:48" x14ac:dyDescent="0.35">
      <c r="AJ517" s="34"/>
      <c r="AK517" s="34"/>
      <c r="AU517" s="34"/>
      <c r="AV517" s="34"/>
    </row>
    <row r="518" spans="36:48" x14ac:dyDescent="0.35">
      <c r="AJ518" s="34"/>
      <c r="AK518" s="34"/>
      <c r="AU518" s="34"/>
      <c r="AV518" s="34"/>
    </row>
    <row r="519" spans="36:48" x14ac:dyDescent="0.35">
      <c r="AJ519" s="34"/>
      <c r="AK519" s="34"/>
      <c r="AU519" s="34"/>
      <c r="AV519" s="34"/>
    </row>
    <row r="520" spans="36:48" x14ac:dyDescent="0.35">
      <c r="AJ520" s="34"/>
      <c r="AK520" s="34"/>
      <c r="AU520" s="34"/>
      <c r="AV520" s="34"/>
    </row>
    <row r="521" spans="36:48" x14ac:dyDescent="0.35">
      <c r="AJ521" s="34"/>
      <c r="AK521" s="34"/>
      <c r="AU521" s="34"/>
      <c r="AV521" s="34"/>
    </row>
    <row r="522" spans="36:48" x14ac:dyDescent="0.35">
      <c r="AJ522" s="34"/>
      <c r="AK522" s="34"/>
      <c r="AU522" s="34"/>
      <c r="AV522" s="34"/>
    </row>
    <row r="523" spans="36:48" x14ac:dyDescent="0.35">
      <c r="AJ523" s="34"/>
      <c r="AK523" s="34"/>
      <c r="AU523" s="34"/>
      <c r="AV523" s="34"/>
    </row>
    <row r="524" spans="36:48" x14ac:dyDescent="0.35">
      <c r="AJ524" s="34"/>
      <c r="AK524" s="34"/>
      <c r="AU524" s="34"/>
      <c r="AV524" s="34"/>
    </row>
    <row r="525" spans="36:48" x14ac:dyDescent="0.35">
      <c r="AJ525" s="34"/>
      <c r="AK525" s="34"/>
      <c r="AU525" s="34"/>
      <c r="AV525" s="34"/>
    </row>
    <row r="526" spans="36:48" x14ac:dyDescent="0.35">
      <c r="AJ526" s="34"/>
      <c r="AK526" s="34"/>
      <c r="AU526" s="34"/>
      <c r="AV526" s="34"/>
    </row>
    <row r="527" spans="36:48" x14ac:dyDescent="0.35">
      <c r="AJ527" s="34"/>
      <c r="AK527" s="34"/>
      <c r="AU527" s="34"/>
      <c r="AV527" s="34"/>
    </row>
    <row r="528" spans="36:48" x14ac:dyDescent="0.35">
      <c r="AJ528" s="34"/>
      <c r="AK528" s="34"/>
      <c r="AU528" s="34"/>
      <c r="AV528" s="34"/>
    </row>
    <row r="529" spans="36:48" x14ac:dyDescent="0.35">
      <c r="AJ529" s="34"/>
      <c r="AK529" s="34"/>
      <c r="AU529" s="34"/>
      <c r="AV529" s="34"/>
    </row>
    <row r="530" spans="36:48" x14ac:dyDescent="0.35">
      <c r="AJ530" s="34"/>
      <c r="AK530" s="34"/>
      <c r="AU530" s="34"/>
      <c r="AV530" s="34"/>
    </row>
    <row r="531" spans="36:48" x14ac:dyDescent="0.35">
      <c r="AJ531" s="34"/>
      <c r="AK531" s="34"/>
      <c r="AU531" s="34"/>
      <c r="AV531" s="34"/>
    </row>
    <row r="532" spans="36:48" x14ac:dyDescent="0.35">
      <c r="AJ532" s="34"/>
      <c r="AK532" s="34"/>
      <c r="AU532" s="34"/>
      <c r="AV532" s="34"/>
    </row>
    <row r="533" spans="36:48" x14ac:dyDescent="0.35">
      <c r="AJ533" s="34"/>
      <c r="AK533" s="34"/>
      <c r="AU533" s="34"/>
      <c r="AV533" s="34"/>
    </row>
    <row r="534" spans="36:48" x14ac:dyDescent="0.35">
      <c r="AJ534" s="34"/>
      <c r="AK534" s="34"/>
      <c r="AU534" s="34"/>
      <c r="AV534" s="34"/>
    </row>
    <row r="535" spans="36:48" x14ac:dyDescent="0.35">
      <c r="AJ535" s="34"/>
      <c r="AK535" s="34"/>
      <c r="AU535" s="34"/>
      <c r="AV535" s="34"/>
    </row>
    <row r="536" spans="36:48" x14ac:dyDescent="0.35">
      <c r="AJ536" s="34"/>
      <c r="AK536" s="34"/>
      <c r="AU536" s="34"/>
      <c r="AV536" s="34"/>
    </row>
    <row r="537" spans="36:48" x14ac:dyDescent="0.35">
      <c r="AJ537" s="34"/>
      <c r="AK537" s="34"/>
      <c r="AU537" s="34"/>
      <c r="AV537" s="34"/>
    </row>
    <row r="538" spans="36:48" x14ac:dyDescent="0.35">
      <c r="AJ538" s="34"/>
      <c r="AK538" s="34"/>
      <c r="AU538" s="34"/>
      <c r="AV538" s="34"/>
    </row>
    <row r="539" spans="36:48" x14ac:dyDescent="0.35">
      <c r="AJ539" s="34"/>
      <c r="AK539" s="34"/>
      <c r="AU539" s="34"/>
      <c r="AV539" s="34"/>
    </row>
    <row r="540" spans="36:48" x14ac:dyDescent="0.35">
      <c r="AJ540" s="34"/>
      <c r="AK540" s="34"/>
      <c r="AU540" s="34"/>
      <c r="AV540" s="34"/>
    </row>
    <row r="541" spans="36:48" x14ac:dyDescent="0.35">
      <c r="AJ541" s="34"/>
      <c r="AK541" s="34"/>
      <c r="AU541" s="34"/>
      <c r="AV541" s="34"/>
    </row>
    <row r="542" spans="36:48" x14ac:dyDescent="0.35">
      <c r="AJ542" s="34"/>
      <c r="AK542" s="34"/>
      <c r="AU542" s="34"/>
      <c r="AV542" s="34"/>
    </row>
    <row r="543" spans="36:48" x14ac:dyDescent="0.35">
      <c r="AJ543" s="34"/>
      <c r="AK543" s="34"/>
      <c r="AU543" s="34"/>
      <c r="AV543" s="34"/>
    </row>
    <row r="544" spans="36:48" x14ac:dyDescent="0.35">
      <c r="AJ544" s="34"/>
      <c r="AK544" s="34"/>
      <c r="AU544" s="34"/>
      <c r="AV544" s="34"/>
    </row>
    <row r="545" spans="36:48" x14ac:dyDescent="0.35">
      <c r="AJ545" s="34"/>
      <c r="AK545" s="34"/>
      <c r="AU545" s="34"/>
      <c r="AV545" s="34"/>
    </row>
    <row r="546" spans="36:48" x14ac:dyDescent="0.35">
      <c r="AJ546" s="34"/>
      <c r="AK546" s="34"/>
      <c r="AU546" s="34"/>
      <c r="AV546" s="34"/>
    </row>
    <row r="547" spans="36:48" x14ac:dyDescent="0.35">
      <c r="AJ547" s="34"/>
      <c r="AK547" s="34"/>
      <c r="AU547" s="34"/>
      <c r="AV547" s="34"/>
    </row>
    <row r="548" spans="36:48" x14ac:dyDescent="0.35">
      <c r="AJ548" s="34"/>
      <c r="AK548" s="34"/>
      <c r="AU548" s="34"/>
      <c r="AV548" s="34"/>
    </row>
    <row r="549" spans="36:48" x14ac:dyDescent="0.35">
      <c r="AJ549" s="34"/>
      <c r="AK549" s="34"/>
      <c r="AU549" s="34"/>
      <c r="AV549" s="34"/>
    </row>
    <row r="550" spans="36:48" x14ac:dyDescent="0.35">
      <c r="AJ550" s="34"/>
      <c r="AK550" s="34"/>
      <c r="AU550" s="34"/>
      <c r="AV550" s="34"/>
    </row>
    <row r="551" spans="36:48" x14ac:dyDescent="0.35">
      <c r="AJ551" s="34"/>
      <c r="AK551" s="34"/>
      <c r="AU551" s="34"/>
      <c r="AV551" s="34"/>
    </row>
    <row r="552" spans="36:48" x14ac:dyDescent="0.35">
      <c r="AJ552" s="34"/>
      <c r="AK552" s="34"/>
      <c r="AU552" s="34"/>
      <c r="AV552" s="34"/>
    </row>
    <row r="553" spans="36:48" x14ac:dyDescent="0.35">
      <c r="AJ553" s="34"/>
      <c r="AK553" s="34"/>
      <c r="AU553" s="34"/>
      <c r="AV553" s="34"/>
    </row>
    <row r="554" spans="36:48" x14ac:dyDescent="0.35">
      <c r="AJ554" s="34"/>
      <c r="AK554" s="34"/>
      <c r="AU554" s="34"/>
      <c r="AV554" s="34"/>
    </row>
    <row r="555" spans="36:48" x14ac:dyDescent="0.35">
      <c r="AJ555" s="34"/>
      <c r="AK555" s="34"/>
      <c r="AU555" s="34"/>
      <c r="AV555" s="34"/>
    </row>
    <row r="556" spans="36:48" x14ac:dyDescent="0.35">
      <c r="AJ556" s="34"/>
      <c r="AK556" s="34"/>
      <c r="AU556" s="34"/>
      <c r="AV556" s="34"/>
    </row>
    <row r="557" spans="36:48" x14ac:dyDescent="0.35">
      <c r="AJ557" s="34"/>
      <c r="AK557" s="34"/>
      <c r="AU557" s="34"/>
      <c r="AV557" s="34"/>
    </row>
    <row r="558" spans="36:48" x14ac:dyDescent="0.35">
      <c r="AJ558" s="34"/>
      <c r="AK558" s="34"/>
      <c r="AU558" s="34"/>
      <c r="AV558" s="34"/>
    </row>
    <row r="559" spans="36:48" x14ac:dyDescent="0.35">
      <c r="AJ559" s="34"/>
      <c r="AK559" s="34"/>
      <c r="AU559" s="34"/>
      <c r="AV559" s="34"/>
    </row>
    <row r="560" spans="36:48" x14ac:dyDescent="0.35">
      <c r="AJ560" s="34"/>
      <c r="AK560" s="34"/>
      <c r="AU560" s="34"/>
      <c r="AV560" s="34"/>
    </row>
    <row r="561" spans="36:48" x14ac:dyDescent="0.35">
      <c r="AJ561" s="34"/>
      <c r="AK561" s="34"/>
      <c r="AU561" s="34"/>
      <c r="AV561" s="34"/>
    </row>
    <row r="562" spans="36:48" x14ac:dyDescent="0.35">
      <c r="AJ562" s="34"/>
      <c r="AK562" s="34"/>
      <c r="AU562" s="34"/>
      <c r="AV562" s="34"/>
    </row>
    <row r="563" spans="36:48" x14ac:dyDescent="0.35">
      <c r="AJ563" s="34"/>
      <c r="AK563" s="34"/>
      <c r="AU563" s="34"/>
      <c r="AV563" s="34"/>
    </row>
    <row r="564" spans="36:48" x14ac:dyDescent="0.35">
      <c r="AJ564" s="34"/>
      <c r="AK564" s="34"/>
      <c r="AU564" s="34"/>
      <c r="AV564" s="34"/>
    </row>
    <row r="565" spans="36:48" x14ac:dyDescent="0.35">
      <c r="AJ565" s="34"/>
      <c r="AK565" s="34"/>
      <c r="AU565" s="34"/>
      <c r="AV565" s="34"/>
    </row>
    <row r="566" spans="36:48" x14ac:dyDescent="0.35">
      <c r="AJ566" s="34"/>
      <c r="AK566" s="34"/>
      <c r="AU566" s="34"/>
      <c r="AV566" s="34"/>
    </row>
    <row r="567" spans="36:48" x14ac:dyDescent="0.35">
      <c r="AJ567" s="34"/>
      <c r="AK567" s="34"/>
      <c r="AU567" s="34"/>
      <c r="AV567" s="34"/>
    </row>
    <row r="568" spans="36:48" x14ac:dyDescent="0.35">
      <c r="AJ568" s="34"/>
      <c r="AK568" s="34"/>
      <c r="AU568" s="34"/>
      <c r="AV568" s="34"/>
    </row>
    <row r="569" spans="36:48" x14ac:dyDescent="0.35">
      <c r="AJ569" s="34"/>
      <c r="AK569" s="34"/>
      <c r="AU569" s="34"/>
      <c r="AV569" s="34"/>
    </row>
    <row r="570" spans="36:48" x14ac:dyDescent="0.35">
      <c r="AJ570" s="34"/>
      <c r="AK570" s="34"/>
      <c r="AU570" s="34"/>
      <c r="AV570" s="34"/>
    </row>
    <row r="571" spans="36:48" x14ac:dyDescent="0.35">
      <c r="AJ571" s="34"/>
      <c r="AK571" s="34"/>
      <c r="AU571" s="34"/>
      <c r="AV571" s="34"/>
    </row>
    <row r="572" spans="36:48" x14ac:dyDescent="0.35">
      <c r="AJ572" s="34"/>
      <c r="AK572" s="34"/>
      <c r="AU572" s="34"/>
      <c r="AV572" s="34"/>
    </row>
    <row r="573" spans="36:48" x14ac:dyDescent="0.35">
      <c r="AJ573" s="34"/>
      <c r="AK573" s="34"/>
      <c r="AU573" s="34"/>
      <c r="AV573" s="34"/>
    </row>
    <row r="574" spans="36:48" x14ac:dyDescent="0.35">
      <c r="AJ574" s="34"/>
      <c r="AK574" s="34"/>
      <c r="AU574" s="34"/>
      <c r="AV574" s="34"/>
    </row>
    <row r="575" spans="36:48" x14ac:dyDescent="0.35">
      <c r="AJ575" s="34"/>
      <c r="AK575" s="34"/>
      <c r="AU575" s="34"/>
      <c r="AV575" s="34"/>
    </row>
    <row r="576" spans="36:48" x14ac:dyDescent="0.35">
      <c r="AJ576" s="34"/>
      <c r="AK576" s="34"/>
      <c r="AU576" s="34"/>
      <c r="AV576" s="34"/>
    </row>
    <row r="577" spans="36:48" x14ac:dyDescent="0.35">
      <c r="AJ577" s="34"/>
      <c r="AK577" s="34"/>
      <c r="AU577" s="34"/>
      <c r="AV577" s="34"/>
    </row>
    <row r="578" spans="36:48" x14ac:dyDescent="0.35">
      <c r="AJ578" s="34"/>
      <c r="AK578" s="34"/>
      <c r="AU578" s="34"/>
      <c r="AV578" s="34"/>
    </row>
    <row r="579" spans="36:48" x14ac:dyDescent="0.35">
      <c r="AJ579" s="34"/>
      <c r="AK579" s="34"/>
      <c r="AU579" s="34"/>
      <c r="AV579" s="34"/>
    </row>
    <row r="580" spans="36:48" x14ac:dyDescent="0.35">
      <c r="AJ580" s="34"/>
      <c r="AK580" s="34"/>
      <c r="AU580" s="34"/>
      <c r="AV580" s="34"/>
    </row>
    <row r="581" spans="36:48" x14ac:dyDescent="0.35">
      <c r="AJ581" s="34"/>
      <c r="AK581" s="34"/>
      <c r="AU581" s="34"/>
      <c r="AV581" s="34"/>
    </row>
    <row r="582" spans="36:48" x14ac:dyDescent="0.35">
      <c r="AJ582" s="34"/>
      <c r="AK582" s="34"/>
      <c r="AU582" s="34"/>
      <c r="AV582" s="34"/>
    </row>
    <row r="583" spans="36:48" x14ac:dyDescent="0.35">
      <c r="AJ583" s="34"/>
      <c r="AK583" s="34"/>
      <c r="AU583" s="34"/>
      <c r="AV583" s="34"/>
    </row>
    <row r="584" spans="36:48" x14ac:dyDescent="0.35">
      <c r="AJ584" s="34"/>
      <c r="AK584" s="34"/>
      <c r="AU584" s="34"/>
      <c r="AV584" s="34"/>
    </row>
    <row r="585" spans="36:48" x14ac:dyDescent="0.35">
      <c r="AJ585" s="34"/>
      <c r="AK585" s="34"/>
      <c r="AU585" s="34"/>
      <c r="AV585" s="34"/>
    </row>
    <row r="586" spans="36:48" x14ac:dyDescent="0.35">
      <c r="AJ586" s="34"/>
      <c r="AK586" s="34"/>
      <c r="AU586" s="34"/>
      <c r="AV586" s="34"/>
    </row>
    <row r="587" spans="36:48" x14ac:dyDescent="0.35">
      <c r="AJ587" s="34"/>
      <c r="AK587" s="34"/>
      <c r="AU587" s="34"/>
      <c r="AV587" s="34"/>
    </row>
    <row r="588" spans="36:48" x14ac:dyDescent="0.35">
      <c r="AJ588" s="34"/>
      <c r="AK588" s="34"/>
      <c r="AU588" s="34"/>
      <c r="AV588" s="34"/>
    </row>
    <row r="589" spans="36:48" x14ac:dyDescent="0.35">
      <c r="AJ589" s="34"/>
      <c r="AK589" s="34"/>
      <c r="AU589" s="34"/>
      <c r="AV589" s="34"/>
    </row>
    <row r="590" spans="36:48" x14ac:dyDescent="0.35">
      <c r="AJ590" s="34"/>
      <c r="AK590" s="34"/>
      <c r="AU590" s="34"/>
      <c r="AV590" s="34"/>
    </row>
    <row r="591" spans="36:48" x14ac:dyDescent="0.35">
      <c r="AJ591" s="34"/>
      <c r="AK591" s="34"/>
      <c r="AU591" s="34"/>
      <c r="AV591" s="34"/>
    </row>
    <row r="592" spans="36:48" x14ac:dyDescent="0.35">
      <c r="AJ592" s="34"/>
      <c r="AK592" s="34"/>
      <c r="AU592" s="34"/>
      <c r="AV592" s="34"/>
    </row>
    <row r="593" spans="36:48" x14ac:dyDescent="0.35">
      <c r="AJ593" s="34"/>
      <c r="AK593" s="34"/>
      <c r="AU593" s="34"/>
      <c r="AV593" s="34"/>
    </row>
    <row r="594" spans="36:48" x14ac:dyDescent="0.35">
      <c r="AJ594" s="34"/>
      <c r="AK594" s="34"/>
      <c r="AU594" s="34"/>
      <c r="AV594" s="34"/>
    </row>
    <row r="595" spans="36:48" x14ac:dyDescent="0.35">
      <c r="AJ595" s="34"/>
      <c r="AK595" s="34"/>
      <c r="AU595" s="34"/>
      <c r="AV595" s="34"/>
    </row>
    <row r="596" spans="36:48" x14ac:dyDescent="0.35">
      <c r="AJ596" s="34"/>
      <c r="AK596" s="34"/>
      <c r="AU596" s="34"/>
      <c r="AV596" s="34"/>
    </row>
    <row r="597" spans="36:48" x14ac:dyDescent="0.35">
      <c r="AJ597" s="34"/>
      <c r="AK597" s="34"/>
      <c r="AU597" s="34"/>
      <c r="AV597" s="34"/>
    </row>
    <row r="598" spans="36:48" x14ac:dyDescent="0.35">
      <c r="AJ598" s="34"/>
      <c r="AK598" s="34"/>
      <c r="AU598" s="34"/>
      <c r="AV598" s="34"/>
    </row>
    <row r="599" spans="36:48" x14ac:dyDescent="0.35">
      <c r="AJ599" s="34"/>
      <c r="AK599" s="34"/>
      <c r="AU599" s="34"/>
      <c r="AV599" s="34"/>
    </row>
    <row r="600" spans="36:48" x14ac:dyDescent="0.35">
      <c r="AJ600" s="34"/>
      <c r="AK600" s="34"/>
      <c r="AU600" s="34"/>
      <c r="AV600" s="34"/>
    </row>
    <row r="601" spans="36:48" x14ac:dyDescent="0.35">
      <c r="AJ601" s="34"/>
      <c r="AK601" s="34"/>
      <c r="AU601" s="34"/>
      <c r="AV601" s="34"/>
    </row>
    <row r="602" spans="36:48" x14ac:dyDescent="0.35">
      <c r="AJ602" s="34"/>
      <c r="AK602" s="34"/>
      <c r="AU602" s="34"/>
      <c r="AV602" s="34"/>
    </row>
    <row r="603" spans="36:48" x14ac:dyDescent="0.35">
      <c r="AJ603" s="34"/>
      <c r="AK603" s="34"/>
      <c r="AU603" s="34"/>
      <c r="AV603" s="34"/>
    </row>
    <row r="604" spans="36:48" x14ac:dyDescent="0.35">
      <c r="AJ604" s="34"/>
      <c r="AK604" s="34"/>
      <c r="AU604" s="34"/>
      <c r="AV604" s="34"/>
    </row>
    <row r="605" spans="36:48" x14ac:dyDescent="0.35">
      <c r="AJ605" s="34"/>
      <c r="AK605" s="34"/>
      <c r="AU605" s="34"/>
      <c r="AV605" s="34"/>
    </row>
    <row r="606" spans="36:48" x14ac:dyDescent="0.35">
      <c r="AJ606" s="34"/>
      <c r="AK606" s="34"/>
      <c r="AU606" s="34"/>
      <c r="AV606" s="34"/>
    </row>
    <row r="607" spans="36:48" x14ac:dyDescent="0.35">
      <c r="AJ607" s="34"/>
      <c r="AK607" s="34"/>
      <c r="AU607" s="34"/>
      <c r="AV607" s="34"/>
    </row>
    <row r="608" spans="36:48" x14ac:dyDescent="0.35">
      <c r="AJ608" s="34"/>
      <c r="AK608" s="34"/>
      <c r="AU608" s="34"/>
      <c r="AV608" s="34"/>
    </row>
    <row r="609" spans="36:48" x14ac:dyDescent="0.35">
      <c r="AJ609" s="34"/>
      <c r="AK609" s="34"/>
      <c r="AU609" s="34"/>
      <c r="AV609" s="34"/>
    </row>
    <row r="610" spans="36:48" x14ac:dyDescent="0.35">
      <c r="AJ610" s="34"/>
      <c r="AK610" s="34"/>
      <c r="AU610" s="34"/>
      <c r="AV610" s="34"/>
    </row>
    <row r="611" spans="36:48" x14ac:dyDescent="0.35">
      <c r="AJ611" s="34"/>
      <c r="AK611" s="34"/>
      <c r="AU611" s="34"/>
      <c r="AV611" s="34"/>
    </row>
    <row r="612" spans="36:48" x14ac:dyDescent="0.35">
      <c r="AJ612" s="34"/>
      <c r="AK612" s="34"/>
      <c r="AU612" s="34"/>
      <c r="AV612" s="34"/>
    </row>
    <row r="613" spans="36:48" x14ac:dyDescent="0.35">
      <c r="AJ613" s="34"/>
      <c r="AK613" s="34"/>
      <c r="AU613" s="34"/>
      <c r="AV613" s="34"/>
    </row>
    <row r="614" spans="36:48" x14ac:dyDescent="0.35">
      <c r="AJ614" s="34"/>
      <c r="AK614" s="34"/>
      <c r="AU614" s="34"/>
      <c r="AV614" s="34"/>
    </row>
    <row r="615" spans="36:48" x14ac:dyDescent="0.35">
      <c r="AJ615" s="34"/>
      <c r="AK615" s="34"/>
      <c r="AU615" s="34"/>
      <c r="AV615" s="34"/>
    </row>
    <row r="616" spans="36:48" x14ac:dyDescent="0.35">
      <c r="AJ616" s="34"/>
      <c r="AK616" s="34"/>
      <c r="AU616" s="34"/>
      <c r="AV616" s="34"/>
    </row>
    <row r="617" spans="36:48" x14ac:dyDescent="0.35">
      <c r="AJ617" s="34"/>
      <c r="AK617" s="34"/>
      <c r="AU617" s="34"/>
      <c r="AV617" s="34"/>
    </row>
    <row r="618" spans="36:48" x14ac:dyDescent="0.35">
      <c r="AJ618" s="34"/>
      <c r="AK618" s="34"/>
      <c r="AU618" s="34"/>
      <c r="AV618" s="34"/>
    </row>
    <row r="619" spans="36:48" x14ac:dyDescent="0.35">
      <c r="AJ619" s="34"/>
      <c r="AK619" s="34"/>
      <c r="AU619" s="34"/>
      <c r="AV619" s="34"/>
    </row>
    <row r="620" spans="36:48" x14ac:dyDescent="0.35">
      <c r="AJ620" s="34"/>
      <c r="AK620" s="34"/>
      <c r="AU620" s="34"/>
      <c r="AV620" s="34"/>
    </row>
    <row r="621" spans="36:48" x14ac:dyDescent="0.35">
      <c r="AJ621" s="34"/>
      <c r="AK621" s="34"/>
      <c r="AU621" s="34"/>
      <c r="AV621" s="34"/>
    </row>
    <row r="622" spans="36:48" x14ac:dyDescent="0.35">
      <c r="AJ622" s="34"/>
      <c r="AK622" s="34"/>
      <c r="AU622" s="34"/>
      <c r="AV622" s="34"/>
    </row>
    <row r="623" spans="36:48" x14ac:dyDescent="0.35">
      <c r="AJ623" s="34"/>
      <c r="AK623" s="34"/>
      <c r="AU623" s="34"/>
      <c r="AV623" s="34"/>
    </row>
    <row r="624" spans="36:48" x14ac:dyDescent="0.35">
      <c r="AJ624" s="34"/>
      <c r="AK624" s="34"/>
      <c r="AU624" s="34"/>
      <c r="AV624" s="34"/>
    </row>
    <row r="625" spans="36:48" x14ac:dyDescent="0.35">
      <c r="AJ625" s="34"/>
      <c r="AK625" s="34"/>
      <c r="AU625" s="34"/>
      <c r="AV625" s="34"/>
    </row>
    <row r="626" spans="36:48" x14ac:dyDescent="0.35">
      <c r="AJ626" s="34"/>
      <c r="AK626" s="34"/>
      <c r="AU626" s="34"/>
      <c r="AV626" s="34"/>
    </row>
    <row r="627" spans="36:48" x14ac:dyDescent="0.35">
      <c r="AJ627" s="34"/>
      <c r="AK627" s="34"/>
      <c r="AU627" s="34"/>
      <c r="AV627" s="34"/>
    </row>
    <row r="628" spans="36:48" x14ac:dyDescent="0.35">
      <c r="AJ628" s="34"/>
      <c r="AK628" s="34"/>
      <c r="AU628" s="34"/>
      <c r="AV628" s="34"/>
    </row>
    <row r="629" spans="36:48" x14ac:dyDescent="0.35">
      <c r="AJ629" s="34"/>
      <c r="AK629" s="34"/>
      <c r="AU629" s="34"/>
      <c r="AV629" s="34"/>
    </row>
    <row r="630" spans="36:48" x14ac:dyDescent="0.35">
      <c r="AJ630" s="34"/>
      <c r="AK630" s="34"/>
      <c r="AU630" s="34"/>
      <c r="AV630" s="34"/>
    </row>
    <row r="631" spans="36:48" x14ac:dyDescent="0.35">
      <c r="AJ631" s="34"/>
      <c r="AK631" s="34"/>
      <c r="AU631" s="34"/>
      <c r="AV631" s="34"/>
    </row>
    <row r="632" spans="36:48" x14ac:dyDescent="0.35">
      <c r="AJ632" s="34"/>
      <c r="AK632" s="34"/>
      <c r="AU632" s="34"/>
      <c r="AV632" s="34"/>
    </row>
    <row r="633" spans="36:48" x14ac:dyDescent="0.35">
      <c r="AJ633" s="34"/>
      <c r="AK633" s="34"/>
      <c r="AU633" s="34"/>
      <c r="AV633" s="34"/>
    </row>
    <row r="634" spans="36:48" x14ac:dyDescent="0.35">
      <c r="AJ634" s="34"/>
      <c r="AK634" s="34"/>
      <c r="AU634" s="34"/>
      <c r="AV634" s="34"/>
    </row>
    <row r="635" spans="36:48" x14ac:dyDescent="0.35">
      <c r="AJ635" s="34"/>
      <c r="AK635" s="34"/>
      <c r="AU635" s="34"/>
      <c r="AV635" s="34"/>
    </row>
    <row r="636" spans="36:48" x14ac:dyDescent="0.35">
      <c r="AJ636" s="34"/>
      <c r="AK636" s="34"/>
      <c r="AU636" s="34"/>
      <c r="AV636" s="34"/>
    </row>
    <row r="637" spans="36:48" x14ac:dyDescent="0.35">
      <c r="AJ637" s="34"/>
      <c r="AK637" s="34"/>
      <c r="AU637" s="34"/>
      <c r="AV637" s="34"/>
    </row>
    <row r="638" spans="36:48" x14ac:dyDescent="0.35">
      <c r="AJ638" s="34"/>
      <c r="AK638" s="34"/>
      <c r="AU638" s="34"/>
      <c r="AV638" s="34"/>
    </row>
    <row r="639" spans="36:48" x14ac:dyDescent="0.35">
      <c r="AJ639" s="34"/>
      <c r="AK639" s="34"/>
      <c r="AU639" s="34"/>
      <c r="AV639" s="34"/>
    </row>
    <row r="640" spans="36:48" x14ac:dyDescent="0.35">
      <c r="AJ640" s="34"/>
      <c r="AK640" s="34"/>
      <c r="AU640" s="34"/>
      <c r="AV640" s="34"/>
    </row>
    <row r="641" spans="36:48" x14ac:dyDescent="0.35">
      <c r="AJ641" s="34"/>
      <c r="AK641" s="34"/>
      <c r="AU641" s="34"/>
      <c r="AV641" s="34"/>
    </row>
    <row r="642" spans="36:48" x14ac:dyDescent="0.35">
      <c r="AJ642" s="34"/>
      <c r="AK642" s="34"/>
      <c r="AU642" s="34"/>
      <c r="AV642" s="34"/>
    </row>
    <row r="643" spans="36:48" x14ac:dyDescent="0.35">
      <c r="AJ643" s="34"/>
      <c r="AK643" s="34"/>
      <c r="AU643" s="34"/>
      <c r="AV643" s="34"/>
    </row>
    <row r="644" spans="36:48" x14ac:dyDescent="0.35">
      <c r="AJ644" s="34"/>
      <c r="AK644" s="34"/>
      <c r="AU644" s="34"/>
      <c r="AV644" s="34"/>
    </row>
    <row r="645" spans="36:48" x14ac:dyDescent="0.35">
      <c r="AJ645" s="34"/>
      <c r="AK645" s="34"/>
      <c r="AU645" s="34"/>
      <c r="AV645" s="34"/>
    </row>
    <row r="646" spans="36:48" x14ac:dyDescent="0.35">
      <c r="AJ646" s="34"/>
      <c r="AK646" s="34"/>
      <c r="AU646" s="34"/>
      <c r="AV646" s="34"/>
    </row>
    <row r="647" spans="36:48" x14ac:dyDescent="0.35">
      <c r="AJ647" s="34"/>
      <c r="AK647" s="34"/>
      <c r="AU647" s="34"/>
      <c r="AV647" s="34"/>
    </row>
    <row r="648" spans="36:48" x14ac:dyDescent="0.35">
      <c r="AJ648" s="34"/>
      <c r="AK648" s="34"/>
      <c r="AU648" s="34"/>
      <c r="AV648" s="34"/>
    </row>
    <row r="649" spans="36:48" x14ac:dyDescent="0.35">
      <c r="AJ649" s="34"/>
      <c r="AK649" s="34"/>
      <c r="AU649" s="34"/>
      <c r="AV649" s="34"/>
    </row>
    <row r="650" spans="36:48" x14ac:dyDescent="0.35">
      <c r="AJ650" s="34"/>
      <c r="AK650" s="34"/>
      <c r="AU650" s="34"/>
      <c r="AV650" s="34"/>
    </row>
    <row r="651" spans="36:48" x14ac:dyDescent="0.35">
      <c r="AJ651" s="34"/>
      <c r="AK651" s="34"/>
      <c r="AU651" s="34"/>
      <c r="AV651" s="34"/>
    </row>
    <row r="652" spans="36:48" x14ac:dyDescent="0.35">
      <c r="AJ652" s="34"/>
      <c r="AK652" s="34"/>
      <c r="AU652" s="34"/>
      <c r="AV652" s="34"/>
    </row>
    <row r="653" spans="36:48" x14ac:dyDescent="0.35">
      <c r="AJ653" s="34"/>
      <c r="AK653" s="34"/>
      <c r="AU653" s="34"/>
      <c r="AV653" s="34"/>
    </row>
    <row r="654" spans="36:48" x14ac:dyDescent="0.35">
      <c r="AJ654" s="34"/>
      <c r="AK654" s="34"/>
      <c r="AU654" s="34"/>
      <c r="AV654" s="34"/>
    </row>
    <row r="655" spans="36:48" x14ac:dyDescent="0.35">
      <c r="AJ655" s="34"/>
      <c r="AK655" s="34"/>
      <c r="AU655" s="34"/>
      <c r="AV655" s="34"/>
    </row>
    <row r="656" spans="36:48" x14ac:dyDescent="0.35">
      <c r="AJ656" s="34"/>
      <c r="AK656" s="34"/>
      <c r="AU656" s="34"/>
      <c r="AV656" s="34"/>
    </row>
    <row r="657" spans="36:48" x14ac:dyDescent="0.35">
      <c r="AJ657" s="34"/>
      <c r="AK657" s="34"/>
      <c r="AU657" s="34"/>
      <c r="AV657" s="34"/>
    </row>
    <row r="658" spans="36:48" x14ac:dyDescent="0.35">
      <c r="AJ658" s="34"/>
      <c r="AK658" s="34"/>
      <c r="AU658" s="34"/>
      <c r="AV658" s="34"/>
    </row>
    <row r="659" spans="36:48" x14ac:dyDescent="0.35">
      <c r="AJ659" s="34"/>
      <c r="AK659" s="34"/>
      <c r="AU659" s="34"/>
      <c r="AV659" s="34"/>
    </row>
    <row r="660" spans="36:48" x14ac:dyDescent="0.35">
      <c r="AJ660" s="34"/>
      <c r="AK660" s="34"/>
      <c r="AU660" s="34"/>
      <c r="AV660" s="34"/>
    </row>
    <row r="661" spans="36:48" x14ac:dyDescent="0.35">
      <c r="AJ661" s="34"/>
      <c r="AK661" s="34"/>
      <c r="AU661" s="34"/>
      <c r="AV661" s="34"/>
    </row>
    <row r="662" spans="36:48" x14ac:dyDescent="0.35">
      <c r="AJ662" s="34"/>
      <c r="AK662" s="34"/>
      <c r="AU662" s="34"/>
      <c r="AV662" s="34"/>
    </row>
    <row r="663" spans="36:48" x14ac:dyDescent="0.35">
      <c r="AJ663" s="34"/>
      <c r="AK663" s="34"/>
      <c r="AU663" s="34"/>
      <c r="AV663" s="34"/>
    </row>
    <row r="664" spans="36:48" x14ac:dyDescent="0.35">
      <c r="AJ664" s="34"/>
      <c r="AK664" s="34"/>
      <c r="AU664" s="34"/>
      <c r="AV664" s="34"/>
    </row>
    <row r="665" spans="36:48" x14ac:dyDescent="0.35">
      <c r="AJ665" s="34"/>
      <c r="AK665" s="34"/>
      <c r="AU665" s="34"/>
      <c r="AV665" s="34"/>
    </row>
    <row r="666" spans="36:48" x14ac:dyDescent="0.35">
      <c r="AJ666" s="34"/>
      <c r="AK666" s="34"/>
      <c r="AU666" s="34"/>
      <c r="AV666" s="34"/>
    </row>
    <row r="667" spans="36:48" x14ac:dyDescent="0.35">
      <c r="AJ667" s="34"/>
      <c r="AK667" s="34"/>
      <c r="AU667" s="34"/>
      <c r="AV667" s="34"/>
    </row>
    <row r="668" spans="36:48" x14ac:dyDescent="0.35">
      <c r="AJ668" s="34"/>
      <c r="AK668" s="34"/>
      <c r="AU668" s="34"/>
      <c r="AV668" s="34"/>
    </row>
    <row r="669" spans="36:48" x14ac:dyDescent="0.35">
      <c r="AJ669" s="34"/>
      <c r="AK669" s="34"/>
      <c r="AU669" s="34"/>
      <c r="AV669" s="34"/>
    </row>
    <row r="670" spans="36:48" x14ac:dyDescent="0.35">
      <c r="AJ670" s="34"/>
      <c r="AK670" s="34"/>
      <c r="AU670" s="34"/>
      <c r="AV670" s="34"/>
    </row>
    <row r="671" spans="36:48" x14ac:dyDescent="0.35">
      <c r="AJ671" s="34"/>
      <c r="AK671" s="34"/>
      <c r="AU671" s="34"/>
      <c r="AV671" s="34"/>
    </row>
    <row r="672" spans="36:48" x14ac:dyDescent="0.35">
      <c r="AJ672" s="34"/>
      <c r="AK672" s="34"/>
      <c r="AU672" s="34"/>
      <c r="AV672" s="34"/>
    </row>
    <row r="673" spans="36:48" x14ac:dyDescent="0.35">
      <c r="AJ673" s="34"/>
      <c r="AK673" s="34"/>
      <c r="AU673" s="34"/>
      <c r="AV673" s="34"/>
    </row>
    <row r="674" spans="36:48" x14ac:dyDescent="0.35">
      <c r="AJ674" s="34"/>
      <c r="AK674" s="34"/>
      <c r="AU674" s="34"/>
      <c r="AV674" s="34"/>
    </row>
    <row r="675" spans="36:48" x14ac:dyDescent="0.35">
      <c r="AJ675" s="34"/>
      <c r="AK675" s="34"/>
      <c r="AU675" s="34"/>
      <c r="AV675" s="34"/>
    </row>
    <row r="676" spans="36:48" x14ac:dyDescent="0.35">
      <c r="AJ676" s="34"/>
      <c r="AK676" s="34"/>
      <c r="AU676" s="34"/>
      <c r="AV676" s="34"/>
    </row>
    <row r="677" spans="36:48" x14ac:dyDescent="0.35">
      <c r="AJ677" s="34"/>
      <c r="AK677" s="34"/>
      <c r="AU677" s="34"/>
      <c r="AV677" s="34"/>
    </row>
    <row r="678" spans="36:48" x14ac:dyDescent="0.35">
      <c r="AJ678" s="34"/>
      <c r="AK678" s="34"/>
      <c r="AU678" s="34"/>
      <c r="AV678" s="34"/>
    </row>
    <row r="679" spans="36:48" x14ac:dyDescent="0.35">
      <c r="AJ679" s="34"/>
      <c r="AK679" s="34"/>
      <c r="AU679" s="34"/>
      <c r="AV679" s="34"/>
    </row>
    <row r="680" spans="36:48" x14ac:dyDescent="0.35">
      <c r="AJ680" s="34"/>
      <c r="AK680" s="34"/>
      <c r="AU680" s="34"/>
      <c r="AV680" s="34"/>
    </row>
    <row r="681" spans="36:48" x14ac:dyDescent="0.35">
      <c r="AJ681" s="34"/>
      <c r="AK681" s="34"/>
      <c r="AU681" s="34"/>
      <c r="AV681" s="34"/>
    </row>
    <row r="682" spans="36:48" x14ac:dyDescent="0.35">
      <c r="AJ682" s="34"/>
      <c r="AK682" s="34"/>
      <c r="AU682" s="34"/>
      <c r="AV682" s="34"/>
    </row>
    <row r="683" spans="36:48" x14ac:dyDescent="0.35">
      <c r="AJ683" s="34"/>
      <c r="AK683" s="34"/>
      <c r="AU683" s="34"/>
      <c r="AV683" s="34"/>
    </row>
    <row r="684" spans="36:48" x14ac:dyDescent="0.35">
      <c r="AJ684" s="34"/>
      <c r="AK684" s="34"/>
      <c r="AU684" s="34"/>
      <c r="AV684" s="34"/>
    </row>
    <row r="685" spans="36:48" x14ac:dyDescent="0.35">
      <c r="AJ685" s="34"/>
      <c r="AK685" s="34"/>
      <c r="AU685" s="34"/>
      <c r="AV685" s="34"/>
    </row>
    <row r="686" spans="36:48" x14ac:dyDescent="0.35">
      <c r="AJ686" s="34"/>
      <c r="AK686" s="34"/>
      <c r="AU686" s="34"/>
      <c r="AV686" s="34"/>
    </row>
    <row r="687" spans="36:48" x14ac:dyDescent="0.35">
      <c r="AJ687" s="34"/>
      <c r="AK687" s="34"/>
      <c r="AU687" s="34"/>
      <c r="AV687" s="34"/>
    </row>
    <row r="688" spans="36:48" x14ac:dyDescent="0.35">
      <c r="AJ688" s="34"/>
      <c r="AK688" s="34"/>
      <c r="AU688" s="34"/>
      <c r="AV688" s="34"/>
    </row>
    <row r="689" spans="36:48" x14ac:dyDescent="0.35">
      <c r="AJ689" s="34"/>
      <c r="AK689" s="34"/>
      <c r="AU689" s="34"/>
      <c r="AV689" s="34"/>
    </row>
    <row r="690" spans="36:48" x14ac:dyDescent="0.35">
      <c r="AJ690" s="34"/>
      <c r="AK690" s="34"/>
      <c r="AU690" s="34"/>
      <c r="AV690" s="34"/>
    </row>
    <row r="691" spans="36:48" x14ac:dyDescent="0.35">
      <c r="AJ691" s="34"/>
      <c r="AK691" s="34"/>
      <c r="AU691" s="34"/>
      <c r="AV691" s="34"/>
    </row>
    <row r="692" spans="36:48" x14ac:dyDescent="0.35">
      <c r="AJ692" s="34"/>
      <c r="AK692" s="34"/>
      <c r="AU692" s="34"/>
      <c r="AV692" s="34"/>
    </row>
    <row r="693" spans="36:48" x14ac:dyDescent="0.35">
      <c r="AJ693" s="34"/>
      <c r="AK693" s="34"/>
      <c r="AU693" s="34"/>
      <c r="AV693" s="34"/>
    </row>
    <row r="694" spans="36:48" x14ac:dyDescent="0.35">
      <c r="AJ694" s="34"/>
      <c r="AK694" s="34"/>
      <c r="AU694" s="34"/>
      <c r="AV694" s="34"/>
    </row>
    <row r="695" spans="36:48" x14ac:dyDescent="0.35">
      <c r="AJ695" s="34"/>
      <c r="AK695" s="34"/>
      <c r="AU695" s="34"/>
      <c r="AV695" s="34"/>
    </row>
    <row r="696" spans="36:48" x14ac:dyDescent="0.35">
      <c r="AJ696" s="34"/>
      <c r="AK696" s="34"/>
      <c r="AU696" s="34"/>
      <c r="AV696" s="34"/>
    </row>
    <row r="697" spans="36:48" x14ac:dyDescent="0.35">
      <c r="AJ697" s="34"/>
      <c r="AK697" s="34"/>
      <c r="AU697" s="34"/>
      <c r="AV697" s="34"/>
    </row>
    <row r="698" spans="36:48" x14ac:dyDescent="0.35">
      <c r="AJ698" s="34"/>
      <c r="AK698" s="34"/>
      <c r="AU698" s="34"/>
      <c r="AV698" s="34"/>
    </row>
    <row r="699" spans="36:48" x14ac:dyDescent="0.35">
      <c r="AJ699" s="34"/>
      <c r="AK699" s="34"/>
      <c r="AU699" s="34"/>
      <c r="AV699" s="34"/>
    </row>
    <row r="700" spans="36:48" x14ac:dyDescent="0.35">
      <c r="AJ700" s="34"/>
      <c r="AK700" s="34"/>
      <c r="AU700" s="34"/>
      <c r="AV700" s="34"/>
    </row>
    <row r="701" spans="36:48" x14ac:dyDescent="0.35">
      <c r="AJ701" s="34"/>
      <c r="AK701" s="34"/>
      <c r="AU701" s="34"/>
      <c r="AV701" s="34"/>
    </row>
    <row r="702" spans="36:48" x14ac:dyDescent="0.35">
      <c r="AJ702" s="34"/>
      <c r="AK702" s="34"/>
      <c r="AU702" s="34"/>
      <c r="AV702" s="34"/>
    </row>
    <row r="703" spans="36:48" x14ac:dyDescent="0.35">
      <c r="AJ703" s="34"/>
      <c r="AK703" s="34"/>
      <c r="AU703" s="34"/>
      <c r="AV703" s="34"/>
    </row>
    <row r="704" spans="36:48" x14ac:dyDescent="0.35">
      <c r="AJ704" s="34"/>
      <c r="AK704" s="34"/>
      <c r="AU704" s="34"/>
      <c r="AV704" s="34"/>
    </row>
    <row r="705" spans="36:48" x14ac:dyDescent="0.35">
      <c r="AJ705" s="34"/>
      <c r="AK705" s="34"/>
      <c r="AU705" s="34"/>
      <c r="AV705" s="34"/>
    </row>
    <row r="706" spans="36:48" x14ac:dyDescent="0.35">
      <c r="AJ706" s="34"/>
      <c r="AK706" s="34"/>
      <c r="AU706" s="34"/>
      <c r="AV706" s="34"/>
    </row>
    <row r="707" spans="36:48" x14ac:dyDescent="0.35">
      <c r="AJ707" s="34"/>
      <c r="AK707" s="34"/>
      <c r="AU707" s="34"/>
      <c r="AV707" s="34"/>
    </row>
    <row r="708" spans="36:48" x14ac:dyDescent="0.35">
      <c r="AJ708" s="34"/>
      <c r="AK708" s="34"/>
      <c r="AU708" s="34"/>
      <c r="AV708" s="34"/>
    </row>
    <row r="709" spans="36:48" x14ac:dyDescent="0.35">
      <c r="AJ709" s="34"/>
      <c r="AK709" s="34"/>
      <c r="AU709" s="34"/>
      <c r="AV709" s="34"/>
    </row>
    <row r="710" spans="36:48" x14ac:dyDescent="0.35">
      <c r="AJ710" s="34"/>
      <c r="AK710" s="34"/>
      <c r="AU710" s="34"/>
      <c r="AV710" s="34"/>
    </row>
    <row r="711" spans="36:48" x14ac:dyDescent="0.35">
      <c r="AJ711" s="34"/>
      <c r="AK711" s="34"/>
      <c r="AU711" s="34"/>
      <c r="AV711" s="34"/>
    </row>
    <row r="712" spans="36:48" x14ac:dyDescent="0.35">
      <c r="AJ712" s="34"/>
      <c r="AK712" s="34"/>
      <c r="AU712" s="34"/>
      <c r="AV712" s="34"/>
    </row>
    <row r="713" spans="36:48" x14ac:dyDescent="0.35">
      <c r="AJ713" s="34"/>
      <c r="AK713" s="34"/>
      <c r="AU713" s="34"/>
      <c r="AV713" s="34"/>
    </row>
    <row r="714" spans="36:48" x14ac:dyDescent="0.35">
      <c r="AJ714" s="34"/>
      <c r="AK714" s="34"/>
      <c r="AU714" s="34"/>
      <c r="AV714" s="34"/>
    </row>
    <row r="715" spans="36:48" x14ac:dyDescent="0.35">
      <c r="AJ715" s="34"/>
      <c r="AK715" s="34"/>
      <c r="AU715" s="34"/>
      <c r="AV715" s="34"/>
    </row>
    <row r="716" spans="36:48" x14ac:dyDescent="0.35">
      <c r="AJ716" s="34"/>
      <c r="AK716" s="34"/>
      <c r="AU716" s="34"/>
      <c r="AV716" s="34"/>
    </row>
    <row r="717" spans="36:48" x14ac:dyDescent="0.35">
      <c r="AJ717" s="34"/>
      <c r="AK717" s="34"/>
      <c r="AU717" s="34"/>
      <c r="AV717" s="34"/>
    </row>
    <row r="718" spans="36:48" x14ac:dyDescent="0.35">
      <c r="AJ718" s="34"/>
      <c r="AK718" s="34"/>
      <c r="AU718" s="34"/>
      <c r="AV718" s="34"/>
    </row>
    <row r="719" spans="36:48" x14ac:dyDescent="0.35">
      <c r="AJ719" s="34"/>
      <c r="AK719" s="34"/>
      <c r="AU719" s="34"/>
      <c r="AV719" s="34"/>
    </row>
    <row r="720" spans="36:48" x14ac:dyDescent="0.35">
      <c r="AJ720" s="34"/>
      <c r="AK720" s="34"/>
      <c r="AU720" s="34"/>
      <c r="AV720" s="34"/>
    </row>
    <row r="721" spans="36:48" x14ac:dyDescent="0.35">
      <c r="AJ721" s="34"/>
      <c r="AK721" s="34"/>
      <c r="AU721" s="34"/>
      <c r="AV721" s="34"/>
    </row>
    <row r="722" spans="36:48" x14ac:dyDescent="0.35">
      <c r="AJ722" s="34"/>
      <c r="AK722" s="34"/>
      <c r="AU722" s="34"/>
      <c r="AV722" s="34"/>
    </row>
    <row r="723" spans="36:48" x14ac:dyDescent="0.35">
      <c r="AJ723" s="34"/>
      <c r="AK723" s="34"/>
      <c r="AU723" s="34"/>
      <c r="AV723" s="34"/>
    </row>
    <row r="724" spans="36:48" x14ac:dyDescent="0.35">
      <c r="AJ724" s="34"/>
      <c r="AK724" s="34"/>
      <c r="AU724" s="34"/>
      <c r="AV724" s="34"/>
    </row>
    <row r="725" spans="36:48" x14ac:dyDescent="0.35">
      <c r="AJ725" s="34"/>
      <c r="AK725" s="34"/>
      <c r="AU725" s="34"/>
      <c r="AV725" s="34"/>
    </row>
    <row r="726" spans="36:48" x14ac:dyDescent="0.35">
      <c r="AJ726" s="34"/>
      <c r="AK726" s="34"/>
      <c r="AU726" s="34"/>
      <c r="AV726" s="34"/>
    </row>
    <row r="727" spans="36:48" x14ac:dyDescent="0.35">
      <c r="AJ727" s="34"/>
      <c r="AK727" s="34"/>
      <c r="AU727" s="34"/>
      <c r="AV727" s="34"/>
    </row>
    <row r="728" spans="36:48" x14ac:dyDescent="0.35">
      <c r="AJ728" s="34"/>
      <c r="AK728" s="34"/>
      <c r="AU728" s="34"/>
      <c r="AV728" s="34"/>
    </row>
    <row r="729" spans="36:48" x14ac:dyDescent="0.35">
      <c r="AJ729" s="34"/>
      <c r="AK729" s="34"/>
      <c r="AU729" s="34"/>
      <c r="AV729" s="34"/>
    </row>
    <row r="730" spans="36:48" x14ac:dyDescent="0.35">
      <c r="AJ730" s="34"/>
      <c r="AK730" s="34"/>
      <c r="AU730" s="34"/>
      <c r="AV730" s="34"/>
    </row>
    <row r="731" spans="36:48" x14ac:dyDescent="0.35">
      <c r="AJ731" s="34"/>
      <c r="AK731" s="34"/>
      <c r="AU731" s="34"/>
      <c r="AV731" s="34"/>
    </row>
    <row r="732" spans="36:48" x14ac:dyDescent="0.35">
      <c r="AJ732" s="34"/>
      <c r="AK732" s="34"/>
      <c r="AU732" s="34"/>
      <c r="AV732" s="34"/>
    </row>
    <row r="733" spans="36:48" x14ac:dyDescent="0.35">
      <c r="AJ733" s="34"/>
      <c r="AK733" s="34"/>
      <c r="AU733" s="34"/>
      <c r="AV733" s="34"/>
    </row>
    <row r="734" spans="36:48" x14ac:dyDescent="0.35">
      <c r="AJ734" s="34"/>
      <c r="AK734" s="34"/>
      <c r="AU734" s="34"/>
      <c r="AV734" s="34"/>
    </row>
    <row r="735" spans="36:48" x14ac:dyDescent="0.35">
      <c r="AJ735" s="34"/>
      <c r="AK735" s="34"/>
      <c r="AU735" s="34"/>
      <c r="AV735" s="34"/>
    </row>
    <row r="736" spans="36:48" x14ac:dyDescent="0.35">
      <c r="AJ736" s="34"/>
      <c r="AK736" s="34"/>
      <c r="AU736" s="34"/>
      <c r="AV736" s="34"/>
    </row>
    <row r="737" spans="36:48" x14ac:dyDescent="0.35">
      <c r="AJ737" s="34"/>
      <c r="AK737" s="34"/>
      <c r="AU737" s="34"/>
      <c r="AV737" s="34"/>
    </row>
    <row r="738" spans="36:48" x14ac:dyDescent="0.35">
      <c r="AJ738" s="34"/>
      <c r="AK738" s="34"/>
      <c r="AU738" s="34"/>
      <c r="AV738" s="34"/>
    </row>
    <row r="739" spans="36:48" x14ac:dyDescent="0.35">
      <c r="AJ739" s="34"/>
      <c r="AK739" s="34"/>
      <c r="AU739" s="34"/>
      <c r="AV739" s="34"/>
    </row>
    <row r="740" spans="36:48" x14ac:dyDescent="0.35">
      <c r="AJ740" s="34"/>
      <c r="AK740" s="34"/>
      <c r="AU740" s="34"/>
      <c r="AV740" s="34"/>
    </row>
    <row r="741" spans="36:48" x14ac:dyDescent="0.35">
      <c r="AJ741" s="34"/>
      <c r="AK741" s="34"/>
      <c r="AU741" s="34"/>
      <c r="AV741" s="34"/>
    </row>
    <row r="742" spans="36:48" x14ac:dyDescent="0.35">
      <c r="AJ742" s="34"/>
      <c r="AK742" s="34"/>
      <c r="AU742" s="34"/>
      <c r="AV742" s="34"/>
    </row>
    <row r="743" spans="36:48" x14ac:dyDescent="0.35">
      <c r="AJ743" s="34"/>
      <c r="AK743" s="34"/>
      <c r="AU743" s="34"/>
      <c r="AV743" s="34"/>
    </row>
    <row r="744" spans="36:48" x14ac:dyDescent="0.35">
      <c r="AJ744" s="34"/>
      <c r="AK744" s="34"/>
      <c r="AU744" s="34"/>
      <c r="AV744" s="34"/>
    </row>
    <row r="745" spans="36:48" x14ac:dyDescent="0.35">
      <c r="AJ745" s="34"/>
      <c r="AK745" s="34"/>
      <c r="AU745" s="34"/>
      <c r="AV745" s="34"/>
    </row>
    <row r="746" spans="36:48" x14ac:dyDescent="0.35">
      <c r="AJ746" s="34"/>
      <c r="AK746" s="34"/>
      <c r="AU746" s="34"/>
      <c r="AV746" s="34"/>
    </row>
    <row r="747" spans="36:48" x14ac:dyDescent="0.35">
      <c r="AJ747" s="34"/>
      <c r="AK747" s="34"/>
      <c r="AU747" s="34"/>
      <c r="AV747" s="34"/>
    </row>
    <row r="748" spans="36:48" x14ac:dyDescent="0.35">
      <c r="AJ748" s="34"/>
      <c r="AK748" s="34"/>
      <c r="AU748" s="34"/>
      <c r="AV748" s="34"/>
    </row>
    <row r="749" spans="36:48" x14ac:dyDescent="0.35">
      <c r="AJ749" s="34"/>
      <c r="AK749" s="34"/>
      <c r="AU749" s="34"/>
      <c r="AV749" s="34"/>
    </row>
    <row r="750" spans="36:48" x14ac:dyDescent="0.35">
      <c r="AJ750" s="34"/>
      <c r="AK750" s="34"/>
      <c r="AU750" s="34"/>
      <c r="AV750" s="34"/>
    </row>
    <row r="751" spans="36:48" x14ac:dyDescent="0.35">
      <c r="AJ751" s="34"/>
      <c r="AK751" s="34"/>
      <c r="AU751" s="34"/>
      <c r="AV751" s="34"/>
    </row>
    <row r="752" spans="36:48" x14ac:dyDescent="0.35">
      <c r="AJ752" s="34"/>
      <c r="AK752" s="34"/>
      <c r="AU752" s="34"/>
      <c r="AV752" s="34"/>
    </row>
    <row r="753" spans="36:48" x14ac:dyDescent="0.35">
      <c r="AJ753" s="34"/>
      <c r="AK753" s="34"/>
      <c r="AU753" s="34"/>
      <c r="AV753" s="34"/>
    </row>
    <row r="754" spans="36:48" x14ac:dyDescent="0.35">
      <c r="AJ754" s="34"/>
      <c r="AK754" s="34"/>
      <c r="AU754" s="34"/>
      <c r="AV754" s="34"/>
    </row>
    <row r="755" spans="36:48" x14ac:dyDescent="0.35">
      <c r="AJ755" s="34"/>
      <c r="AK755" s="34"/>
      <c r="AU755" s="34"/>
      <c r="AV755" s="34"/>
    </row>
    <row r="756" spans="36:48" x14ac:dyDescent="0.35">
      <c r="AJ756" s="34"/>
      <c r="AK756" s="34"/>
      <c r="AU756" s="34"/>
      <c r="AV756" s="34"/>
    </row>
    <row r="757" spans="36:48" x14ac:dyDescent="0.35">
      <c r="AJ757" s="34"/>
      <c r="AK757" s="34"/>
      <c r="AU757" s="34"/>
      <c r="AV757" s="34"/>
    </row>
    <row r="758" spans="36:48" x14ac:dyDescent="0.35">
      <c r="AJ758" s="34"/>
      <c r="AK758" s="34"/>
      <c r="AU758" s="34"/>
      <c r="AV758" s="34"/>
    </row>
    <row r="759" spans="36:48" x14ac:dyDescent="0.35">
      <c r="AJ759" s="34"/>
      <c r="AK759" s="34"/>
      <c r="AU759" s="34"/>
      <c r="AV759" s="34"/>
    </row>
    <row r="760" spans="36:48" x14ac:dyDescent="0.35">
      <c r="AJ760" s="34"/>
      <c r="AK760" s="34"/>
      <c r="AU760" s="34"/>
      <c r="AV760" s="34"/>
    </row>
    <row r="761" spans="36:48" x14ac:dyDescent="0.35">
      <c r="AJ761" s="34"/>
      <c r="AK761" s="34"/>
      <c r="AU761" s="34"/>
      <c r="AV761" s="34"/>
    </row>
    <row r="762" spans="36:48" x14ac:dyDescent="0.35">
      <c r="AJ762" s="34"/>
      <c r="AK762" s="34"/>
      <c r="AU762" s="34"/>
      <c r="AV762" s="34"/>
    </row>
    <row r="763" spans="36:48" x14ac:dyDescent="0.35">
      <c r="AJ763" s="34"/>
      <c r="AK763" s="34"/>
      <c r="AU763" s="34"/>
      <c r="AV763" s="34"/>
    </row>
    <row r="764" spans="36:48" x14ac:dyDescent="0.35">
      <c r="AJ764" s="34"/>
      <c r="AK764" s="34"/>
      <c r="AU764" s="34"/>
      <c r="AV764" s="34"/>
    </row>
    <row r="765" spans="36:48" x14ac:dyDescent="0.35">
      <c r="AJ765" s="34"/>
      <c r="AK765" s="34"/>
      <c r="AU765" s="34"/>
      <c r="AV765" s="34"/>
    </row>
    <row r="766" spans="36:48" x14ac:dyDescent="0.35">
      <c r="AJ766" s="34"/>
      <c r="AK766" s="34"/>
      <c r="AU766" s="34"/>
      <c r="AV766" s="34"/>
    </row>
    <row r="767" spans="36:48" x14ac:dyDescent="0.35">
      <c r="AJ767" s="34"/>
      <c r="AK767" s="34"/>
      <c r="AU767" s="34"/>
      <c r="AV767" s="34"/>
    </row>
    <row r="768" spans="36:48" x14ac:dyDescent="0.35">
      <c r="AJ768" s="34"/>
      <c r="AK768" s="34"/>
      <c r="AU768" s="34"/>
      <c r="AV768" s="34"/>
    </row>
    <row r="769" spans="36:48" x14ac:dyDescent="0.35">
      <c r="AJ769" s="34"/>
      <c r="AK769" s="34"/>
      <c r="AU769" s="34"/>
      <c r="AV769" s="34"/>
    </row>
    <row r="770" spans="36:48" x14ac:dyDescent="0.35">
      <c r="AJ770" s="34"/>
      <c r="AK770" s="34"/>
      <c r="AU770" s="34"/>
      <c r="AV770" s="34"/>
    </row>
    <row r="771" spans="36:48" x14ac:dyDescent="0.35">
      <c r="AJ771" s="34"/>
      <c r="AK771" s="34"/>
      <c r="AU771" s="34"/>
      <c r="AV771" s="34"/>
    </row>
    <row r="772" spans="36:48" x14ac:dyDescent="0.35">
      <c r="AJ772" s="34"/>
      <c r="AK772" s="34"/>
      <c r="AU772" s="34"/>
      <c r="AV772" s="34"/>
    </row>
    <row r="773" spans="36:48" x14ac:dyDescent="0.35">
      <c r="AJ773" s="34"/>
      <c r="AK773" s="34"/>
      <c r="AU773" s="34"/>
      <c r="AV773" s="34"/>
    </row>
    <row r="774" spans="36:48" x14ac:dyDescent="0.35">
      <c r="AJ774" s="34"/>
      <c r="AK774" s="34"/>
      <c r="AU774" s="34"/>
      <c r="AV774" s="34"/>
    </row>
  </sheetData>
  <autoFilter ref="V4:AT4" xr:uid="{F679762A-47DC-4E46-BA92-6E91B14CCD94}"/>
  <mergeCells count="16">
    <mergeCell ref="K8:K9"/>
    <mergeCell ref="B3:L4"/>
    <mergeCell ref="B5:L5"/>
    <mergeCell ref="B6:B9"/>
    <mergeCell ref="C6:F6"/>
    <mergeCell ref="G6:G9"/>
    <mergeCell ref="H6:I6"/>
    <mergeCell ref="J6:K7"/>
    <mergeCell ref="L6:L9"/>
    <mergeCell ref="C7:C9"/>
    <mergeCell ref="D7:D9"/>
    <mergeCell ref="E7:E9"/>
    <mergeCell ref="F7:F9"/>
    <mergeCell ref="H7:H9"/>
    <mergeCell ref="I7:I9"/>
    <mergeCell ref="J8:J9"/>
  </mergeCells>
  <conditionalFormatting sqref="W5:W94">
    <cfRule type="duplicateValues" dxfId="27" priority="125"/>
  </conditionalFormatting>
  <conditionalFormatting sqref="W95:W154">
    <cfRule type="duplicateValues" dxfId="26" priority="147"/>
  </conditionalFormatting>
  <conditionalFormatting sqref="W155:W185">
    <cfRule type="duplicateValues" dxfId="25" priority="20"/>
  </conditionalFormatting>
  <conditionalFormatting sqref="W186:W233">
    <cfRule type="duplicateValues" dxfId="24" priority="169"/>
  </conditionalFormatting>
  <conditionalFormatting sqref="W234:W289">
    <cfRule type="duplicateValues" dxfId="23" priority="171"/>
  </conditionalFormatting>
  <conditionalFormatting sqref="W290:W336">
    <cfRule type="duplicateValues" dxfId="22" priority="18"/>
  </conditionalFormatting>
  <conditionalFormatting sqref="W337:W385">
    <cfRule type="duplicateValues" dxfId="21" priority="22"/>
  </conditionalFormatting>
  <conditionalFormatting sqref="W386:W443">
    <cfRule type="duplicateValues" dxfId="20" priority="21"/>
  </conditionalFormatting>
  <conditionalFormatting sqref="W444">
    <cfRule type="duplicateValues" dxfId="19" priority="23"/>
  </conditionalFormatting>
  <conditionalFormatting sqref="W445:W1048576 W1:W4">
    <cfRule type="duplicateValues" dxfId="18" priority="24"/>
  </conditionalFormatting>
  <conditionalFormatting sqref="AK5:AK183">
    <cfRule type="duplicateValues" dxfId="17" priority="1"/>
  </conditionalFormatting>
  <conditionalFormatting sqref="AK193:AK196 AK1:AK4 AK254:AK1048576">
    <cfRule type="duplicateValues" dxfId="16" priority="25"/>
  </conditionalFormatting>
  <conditionalFormatting sqref="AK193:AK196 AK25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330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K1048576 AK1:AK4 AK193:AK196 AK254">
    <cfRule type="duplicateValues" dxfId="15" priority="61"/>
  </conditionalFormatting>
  <conditionalFormatting sqref="AK331:AK397 AK407:AK680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K402">
    <cfRule type="duplicateValues" dxfId="14" priority="54"/>
  </conditionalFormatting>
  <conditionalFormatting sqref="AK681:AK77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98:AL402">
    <cfRule type="expression" dxfId="13" priority="52">
      <formula>MOD(ROW(),2)=0</formula>
    </cfRule>
  </conditionalFormatting>
  <conditionalFormatting sqref="AP184:AP229 AP254:AP330 AP237:AP251">
    <cfRule type="duplicateValues" dxfId="12" priority="63"/>
  </conditionalFormatting>
  <conditionalFormatting sqref="AP331:AP397">
    <cfRule type="duplicateValues" dxfId="11" priority="56"/>
  </conditionalFormatting>
  <conditionalFormatting sqref="AP398:AP402">
    <cfRule type="expression" dxfId="10" priority="53">
      <formula>MOD(ROW(),2)=0</formula>
    </cfRule>
  </conditionalFormatting>
  <conditionalFormatting sqref="AV193:AV196 AV28:AV38 AV14 AV1:AV4 AV61:AV106 AV254:AV1048576">
    <cfRule type="duplicateValues" dxfId="9" priority="2"/>
  </conditionalFormatting>
  <conditionalFormatting sqref="AV14 AV254 AV193:AV19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3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03:AV1048576 AV14 AV1:AV4 AV193:AV196 AV254">
    <cfRule type="duplicateValues" dxfId="8" priority="11"/>
  </conditionalFormatting>
  <conditionalFormatting sqref="AV331:AV397 AV407:AV68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V402">
    <cfRule type="duplicateValues" dxfId="7" priority="5"/>
  </conditionalFormatting>
  <conditionalFormatting sqref="AV681:AV77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98:AW402">
    <cfRule type="expression" dxfId="6" priority="3">
      <formula>MOD(ROW(),2)=0</formula>
    </cfRule>
  </conditionalFormatting>
  <conditionalFormatting sqref="AY16">
    <cfRule type="duplicateValues" dxfId="5" priority="6"/>
  </conditionalFormatting>
  <conditionalFormatting sqref="BA5:BA6 BA9:BA15">
    <cfRule type="duplicateValues" dxfId="4" priority="14"/>
  </conditionalFormatting>
  <conditionalFormatting sqref="BA149:BA229 BA68:BA142 BA5:BA6 BA17:BA21 BA23:BA63 BA65:BA66 BA145:BA147 BA254:BA330 BA237:BA251 BA9:BA15">
    <cfRule type="duplicateValues" dxfId="3" priority="13"/>
  </conditionalFormatting>
  <conditionalFormatting sqref="BA331:BA397">
    <cfRule type="duplicateValues" dxfId="2" priority="7"/>
  </conditionalFormatting>
  <conditionalFormatting sqref="BA398:BA402">
    <cfRule type="expression" dxfId="1" priority="4">
      <formula>MOD(ROW(),2)=0</formula>
    </cfRule>
  </conditionalFormatting>
  <dataValidations count="1">
    <dataValidation type="list" allowBlank="1" showInputMessage="1" showErrorMessage="1" sqref="AC334:AC335 AC75:AC85 AC88:AC332" xr:uid="{53B24CF8-1AEE-4F9F-9A5E-ECCE67F8A7DF}">
      <formula1>"N/A,CLEAN UP"</formula1>
    </dataValidation>
  </dataValidations>
  <pageMargins left="0.78740157480314965" right="0" top="0.15748031496062992" bottom="0" header="0.31496062992125984" footer="0.31496062992125984"/>
  <pageSetup paperSize="9" fitToHeight="0" orientation="portrait" horizontalDpi="0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0428-CC90-4B6D-ABD7-5C3996959C17}">
  <dimension ref="A1:M2"/>
  <sheetViews>
    <sheetView workbookViewId="0">
      <selection activeCell="E27" sqref="E27"/>
    </sheetView>
  </sheetViews>
  <sheetFormatPr defaultRowHeight="14.5" x14ac:dyDescent="0.35"/>
  <cols>
    <col min="1" max="1" width="10.08984375" style="104" bestFit="1" customWidth="1"/>
  </cols>
  <sheetData>
    <row r="1" spans="1:13" x14ac:dyDescent="0.35">
      <c r="A1" s="29" t="s">
        <v>0</v>
      </c>
      <c r="B1" s="29" t="s">
        <v>15</v>
      </c>
      <c r="C1" s="29" t="s">
        <v>16</v>
      </c>
      <c r="D1" s="29" t="s">
        <v>16</v>
      </c>
      <c r="E1" s="29" t="s">
        <v>17</v>
      </c>
      <c r="F1" s="29" t="s">
        <v>18</v>
      </c>
      <c r="G1" s="29" t="s">
        <v>20</v>
      </c>
      <c r="H1" s="29" t="s">
        <v>21</v>
      </c>
      <c r="I1" s="29" t="s">
        <v>19</v>
      </c>
      <c r="J1" s="29" t="s">
        <v>44</v>
      </c>
      <c r="K1" s="53" t="s">
        <v>43</v>
      </c>
      <c r="L1" s="53" t="s">
        <v>46</v>
      </c>
      <c r="M1" s="53" t="s">
        <v>41</v>
      </c>
    </row>
    <row r="2" spans="1:13" x14ac:dyDescent="0.35">
      <c r="A2" s="104">
        <v>45753</v>
      </c>
      <c r="B2">
        <v>131979</v>
      </c>
      <c r="C2" t="s">
        <v>36</v>
      </c>
      <c r="E2" s="91">
        <v>0.12449074074074074</v>
      </c>
      <c r="F2" s="91">
        <v>0.15177083333333333</v>
      </c>
      <c r="G2">
        <v>104</v>
      </c>
      <c r="H2" t="s">
        <v>56</v>
      </c>
      <c r="I2">
        <v>20736</v>
      </c>
      <c r="J2">
        <v>20.736000000000001</v>
      </c>
      <c r="K2">
        <v>14.37</v>
      </c>
      <c r="L2">
        <v>14</v>
      </c>
      <c r="M2">
        <v>19.353600000000004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FB717ED2C6F47B3F53CA4212D3DBF" ma:contentTypeVersion="26" ma:contentTypeDescription="Create a new document." ma:contentTypeScope="" ma:versionID="97bb429dac995270d43482fe8af3f03b">
  <xsd:schema xmlns:xsd="http://www.w3.org/2001/XMLSchema" xmlns:xs="http://www.w3.org/2001/XMLSchema" xmlns:p="http://schemas.microsoft.com/office/2006/metadata/properties" xmlns:ns2="745eb793-e3c8-4796-a60e-7c80e11f57f5" xmlns:ns3="33399894-2864-40ab-a8d8-245a5ff1a870" targetNamespace="http://schemas.microsoft.com/office/2006/metadata/properties" ma:root="true" ma:fieldsID="96d347b72b1a969bfda23a183ab2ca2d" ns2:_="" ns3:_="">
    <xsd:import namespace="745eb793-e3c8-4796-a60e-7c80e11f57f5"/>
    <xsd:import namespace="33399894-2864-40ab-a8d8-245a5ff1a8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Status"/>
                <xsd:element ref="ns2:Duedate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eb793-e3c8-4796-a60e-7c80e11f57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092d835-7a44-4ae7-921a-15a2b649f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ma:displayName="Status" ma:default="Submitted" ma:format="RadioButtons" ma:internalName="Status">
      <xsd:simpleType>
        <xsd:restriction base="dms:Choice">
          <xsd:enumeration value="Submitted"/>
          <xsd:enumeration value="Requested"/>
        </xsd:restriction>
      </xsd:simpleType>
    </xsd:element>
    <xsd:element name="Duedate" ma:index="25" ma:displayName="Due date" ma:default="[today]" ma:format="DateOnly" ma:indexed="true" ma:internalName="Duedate">
      <xsd:simpleType>
        <xsd:restriction base="dms:DateTim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99894-2864-40ab-a8d8-245a5ff1a87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a98746c-d62a-4f18-8263-fa20a138df25}" ma:internalName="TaxCatchAll" ma:showField="CatchAllData" ma:web="33399894-2864-40ab-a8d8-245a5ff1a8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5eb793-e3c8-4796-a60e-7c80e11f57f5">
      <Terms xmlns="http://schemas.microsoft.com/office/infopath/2007/PartnerControls"/>
    </lcf76f155ced4ddcb4097134ff3c332f>
    <TaxCatchAll xmlns="33399894-2864-40ab-a8d8-245a5ff1a870" xsi:nil="true"/>
    <Duedate xmlns="745eb793-e3c8-4796-a60e-7c80e11f57f5">2025-11-25T01:23:14+00:00</Duedate>
    <Status xmlns="745eb793-e3c8-4796-a60e-7c80e11f57f5">Submitted</Status>
  </documentManagement>
</p:properties>
</file>

<file path=customXml/itemProps1.xml><?xml version="1.0" encoding="utf-8"?>
<ds:datastoreItem xmlns:ds="http://schemas.openxmlformats.org/officeDocument/2006/customXml" ds:itemID="{312AC524-391D-4105-BD09-BBC9AB0F2319}"/>
</file>

<file path=customXml/itemProps2.xml><?xml version="1.0" encoding="utf-8"?>
<ds:datastoreItem xmlns:ds="http://schemas.openxmlformats.org/officeDocument/2006/customXml" ds:itemID="{F73644DA-2F85-4E97-9DD6-7C019BC751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D135F5-AC7C-48AC-A371-A0B696C78D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NOV SUMMARY 2025</vt:lpstr>
      <vt:lpstr>OCT SUMMARY 2025</vt:lpstr>
      <vt:lpstr>COMPOSTING</vt:lpstr>
      <vt:lpstr>SEP SUMMARY 2025</vt:lpstr>
      <vt:lpstr>OUTAGE</vt:lpstr>
      <vt:lpstr>AUG SUMMARY 2025</vt:lpstr>
      <vt:lpstr>JUL SUMMARY 2025</vt:lpstr>
      <vt:lpstr>JUN SUMMARY 2025</vt:lpstr>
      <vt:lpstr>MAY SUMMARY 2025</vt:lpstr>
      <vt:lpstr>APR SUMMARY 2025</vt:lpstr>
      <vt:lpstr>DUE TO DOLE</vt:lpstr>
      <vt:lpstr>'APR SUMMARY 2025'!Print_Area</vt:lpstr>
      <vt:lpstr>'AUG SUMMARY 2025'!Print_Area</vt:lpstr>
      <vt:lpstr>'JUL SUMMARY 2025'!Print_Area</vt:lpstr>
      <vt:lpstr>'JUN SUMMARY 2025'!Print_Area</vt:lpstr>
      <vt:lpstr>'MAY SUMMARY 2025'!Print_Area</vt:lpstr>
      <vt:lpstr>'NOV SUMMARY 2025'!Print_Area</vt:lpstr>
      <vt:lpstr>'OCT SUMMARY 2025'!Print_Area</vt:lpstr>
      <vt:lpstr>'SEP SUMMARY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David A. Requillo</dc:creator>
  <cp:lastModifiedBy>Francis David A. Requillo</cp:lastModifiedBy>
  <cp:lastPrinted>2024-09-17T01:14:40Z</cp:lastPrinted>
  <dcterms:created xsi:type="dcterms:W3CDTF">2024-05-17T03:04:12Z</dcterms:created>
  <dcterms:modified xsi:type="dcterms:W3CDTF">2025-11-25T01:21:47Z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d06dff-deaf-4417-97ca-837e46d1737c_Enabled">
    <vt:lpwstr>true</vt:lpwstr>
  </property>
  <property fmtid="{D5CDD505-2E9C-101B-9397-08002B2CF9AE}" pid="3" name="MSIP_Label_d0d06dff-deaf-4417-97ca-837e46d1737c_SetDate">
    <vt:lpwstr>2024-08-30T05:33:01Z</vt:lpwstr>
  </property>
  <property fmtid="{D5CDD505-2E9C-101B-9397-08002B2CF9AE}" pid="4" name="MSIP_Label_d0d06dff-deaf-4417-97ca-837e46d1737c_Method">
    <vt:lpwstr>Standard</vt:lpwstr>
  </property>
  <property fmtid="{D5CDD505-2E9C-101B-9397-08002B2CF9AE}" pid="5" name="MSIP_Label_d0d06dff-deaf-4417-97ca-837e46d1737c_Name">
    <vt:lpwstr>General</vt:lpwstr>
  </property>
  <property fmtid="{D5CDD505-2E9C-101B-9397-08002B2CF9AE}" pid="6" name="MSIP_Label_d0d06dff-deaf-4417-97ca-837e46d1737c_SiteId">
    <vt:lpwstr>357ede74-f5c2-42d3-8541-b109a2049c3d</vt:lpwstr>
  </property>
  <property fmtid="{D5CDD505-2E9C-101B-9397-08002B2CF9AE}" pid="7" name="MSIP_Label_d0d06dff-deaf-4417-97ca-837e46d1737c_ActionId">
    <vt:lpwstr>ab78090e-dbe3-45ea-b132-53f26f7ccc7d</vt:lpwstr>
  </property>
  <property fmtid="{D5CDD505-2E9C-101B-9397-08002B2CF9AE}" pid="8" name="MSIP_Label_d0d06dff-deaf-4417-97ca-837e46d1737c_ContentBits">
    <vt:lpwstr>0</vt:lpwstr>
  </property>
  <property fmtid="{D5CDD505-2E9C-101B-9397-08002B2CF9AE}" pid="9" name="ContentTypeId">
    <vt:lpwstr>0x010100784FB717ED2C6F47B3F53CA4212D3DBF</vt:lpwstr>
  </property>
</Properties>
</file>