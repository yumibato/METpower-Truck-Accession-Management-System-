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XeniaBaring\OneDrive - MetPower Venture Partners\Documents\LABORATORY DOCUMENTS\"/>
    </mc:Choice>
  </mc:AlternateContent>
  <xr:revisionPtr revIDLastSave="0" documentId="13_ncr:1_{8F37A58D-9321-428C-A459-EB7045AC6AA0}" xr6:coauthVersionLast="47" xr6:coauthVersionMax="47" xr10:uidLastSave="{00000000-0000-0000-0000-000000000000}"/>
  <bookViews>
    <workbookView xWindow="-110" yWindow="-110" windowWidth="19420" windowHeight="11500" xr2:uid="{1DA541BC-1912-45ED-9C31-2896646ABA7E}"/>
  </bookViews>
  <sheets>
    <sheet name="SUMMARY" sheetId="4" r:id="rId1"/>
    <sheet name="Total Suspended Solid-Digestate" sheetId="3" r:id="rId2"/>
    <sheet name="Total Solids-Digestate" sheetId="1" r:id="rId3"/>
    <sheet name="Volatile Solids- Digestate" sheetId="2" r:id="rId4"/>
    <sheet name="%Total Solids-Substrate" sheetId="5" r:id="rId5"/>
    <sheet name="%Volatile Solids-Substrate" sheetId="6" r:id="rId6"/>
    <sheet name="Nitrate-N" sheetId="7" r:id="rId7"/>
    <sheet name="Phosphate (Total &amp; Reactive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3" l="1"/>
  <c r="G78" i="3"/>
  <c r="H30" i="8"/>
  <c r="H29" i="8"/>
  <c r="H28" i="8"/>
  <c r="H27" i="8"/>
  <c r="H26" i="8"/>
  <c r="D30" i="8"/>
  <c r="D29" i="8"/>
  <c r="D28" i="8"/>
  <c r="D27" i="8"/>
  <c r="D26" i="8"/>
  <c r="D32" i="7"/>
  <c r="D31" i="7"/>
  <c r="D30" i="7"/>
  <c r="D29" i="7"/>
  <c r="D28" i="7"/>
  <c r="F27" i="6"/>
  <c r="F26" i="6"/>
  <c r="F25" i="6"/>
  <c r="E27" i="5"/>
  <c r="G27" i="5" s="1"/>
  <c r="E26" i="5"/>
  <c r="G26" i="5" s="1"/>
  <c r="E25" i="5"/>
  <c r="G25" i="5" s="1"/>
  <c r="E78" i="2"/>
  <c r="E77" i="2"/>
  <c r="E76" i="2"/>
  <c r="F76" i="2" s="1"/>
  <c r="E75" i="2"/>
  <c r="E74" i="2"/>
  <c r="E73" i="2"/>
  <c r="E72" i="2"/>
  <c r="E71" i="2"/>
  <c r="E70" i="2"/>
  <c r="E69" i="2"/>
  <c r="E68" i="2"/>
  <c r="E67" i="2"/>
  <c r="E78" i="1"/>
  <c r="E77" i="1"/>
  <c r="E76" i="1"/>
  <c r="E75" i="1"/>
  <c r="E74" i="1"/>
  <c r="E73" i="1"/>
  <c r="E72" i="1"/>
  <c r="E71" i="1"/>
  <c r="E70" i="1"/>
  <c r="E69" i="1"/>
  <c r="E68" i="1"/>
  <c r="E67" i="1"/>
  <c r="F70" i="3"/>
  <c r="F71" i="3"/>
  <c r="F72" i="3"/>
  <c r="F73" i="3"/>
  <c r="F74" i="3"/>
  <c r="F75" i="3"/>
  <c r="F76" i="3"/>
  <c r="F77" i="3"/>
  <c r="F78" i="3"/>
  <c r="F79" i="3"/>
  <c r="F80" i="3"/>
  <c r="F81" i="3"/>
  <c r="F69" i="3"/>
  <c r="D24" i="7"/>
  <c r="D25" i="7"/>
  <c r="D26" i="7"/>
  <c r="D27" i="7"/>
  <c r="H25" i="8"/>
  <c r="D25" i="8"/>
  <c r="H21" i="8"/>
  <c r="H22" i="8"/>
  <c r="H23" i="8"/>
  <c r="H24" i="8"/>
  <c r="D24" i="8"/>
  <c r="D23" i="8"/>
  <c r="D22" i="8"/>
  <c r="D21" i="8"/>
  <c r="D23" i="7"/>
  <c r="F24" i="6"/>
  <c r="F23" i="6"/>
  <c r="F22" i="6"/>
  <c r="E24" i="5"/>
  <c r="G24" i="5" s="1"/>
  <c r="E23" i="5"/>
  <c r="G23" i="5" s="1"/>
  <c r="E22" i="5"/>
  <c r="G22" i="5" s="1"/>
  <c r="E66" i="2"/>
  <c r="E65" i="2"/>
  <c r="E64" i="2"/>
  <c r="E63" i="2"/>
  <c r="E62" i="2"/>
  <c r="E61" i="2"/>
  <c r="E60" i="2"/>
  <c r="E59" i="2"/>
  <c r="E58" i="2"/>
  <c r="E57" i="2"/>
  <c r="E56" i="2"/>
  <c r="E55" i="2"/>
  <c r="F55" i="2" s="1"/>
  <c r="E66" i="1"/>
  <c r="E65" i="1"/>
  <c r="E64" i="1"/>
  <c r="F64" i="1" s="1"/>
  <c r="I64" i="1" s="1"/>
  <c r="E63" i="1"/>
  <c r="E62" i="1"/>
  <c r="E61" i="1"/>
  <c r="E60" i="1"/>
  <c r="E59" i="1"/>
  <c r="E58" i="1"/>
  <c r="E57" i="1"/>
  <c r="E56" i="1"/>
  <c r="E55" i="1"/>
  <c r="F55" i="1" s="1"/>
  <c r="I55" i="1" s="1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54" i="3"/>
  <c r="V12" i="8"/>
  <c r="V11" i="8"/>
  <c r="V10" i="8"/>
  <c r="V9" i="8"/>
  <c r="V8" i="8"/>
  <c r="V7" i="8"/>
  <c r="V6" i="8"/>
  <c r="V5" i="8"/>
  <c r="R8" i="8"/>
  <c r="R9" i="8"/>
  <c r="R10" i="8"/>
  <c r="R11" i="8"/>
  <c r="R12" i="8"/>
  <c r="M10" i="7"/>
  <c r="M11" i="7"/>
  <c r="M12" i="7"/>
  <c r="M13" i="7"/>
  <c r="M14" i="7"/>
  <c r="R10" i="6"/>
  <c r="R11" i="6"/>
  <c r="R12" i="6"/>
  <c r="O16" i="2"/>
  <c r="O17" i="2"/>
  <c r="O18" i="2"/>
  <c r="O19" i="2"/>
  <c r="O20" i="2"/>
  <c r="O21" i="2"/>
  <c r="O22" i="2"/>
  <c r="O23" i="2"/>
  <c r="O24" i="2"/>
  <c r="O25" i="2"/>
  <c r="O26" i="2"/>
  <c r="O27" i="2"/>
  <c r="O15" i="2"/>
  <c r="S12" i="5"/>
  <c r="U12" i="5" s="1"/>
  <c r="S11" i="5"/>
  <c r="U11" i="5" s="1"/>
  <c r="S10" i="5"/>
  <c r="U10" i="5" s="1"/>
  <c r="P16" i="1"/>
  <c r="P17" i="1"/>
  <c r="P18" i="1"/>
  <c r="P19" i="1"/>
  <c r="P20" i="1"/>
  <c r="P21" i="1"/>
  <c r="P22" i="1"/>
  <c r="P23" i="1"/>
  <c r="P24" i="1"/>
  <c r="P25" i="1"/>
  <c r="P26" i="1"/>
  <c r="P27" i="1"/>
  <c r="S24" i="3"/>
  <c r="S25" i="3"/>
  <c r="S26" i="3"/>
  <c r="S27" i="3"/>
  <c r="S28" i="3"/>
  <c r="S29" i="3"/>
  <c r="S23" i="3"/>
  <c r="S22" i="3"/>
  <c r="S21" i="3"/>
  <c r="S20" i="3"/>
  <c r="S19" i="3"/>
  <c r="S18" i="3"/>
  <c r="S17" i="3"/>
  <c r="S16" i="3"/>
  <c r="S15" i="3"/>
  <c r="R9" i="6"/>
  <c r="R8" i="6"/>
  <c r="R7" i="6"/>
  <c r="S9" i="5"/>
  <c r="U9" i="5" s="1"/>
  <c r="S8" i="5"/>
  <c r="U8" i="5" s="1"/>
  <c r="S7" i="5"/>
  <c r="U7" i="5" s="1"/>
  <c r="S7" i="3"/>
  <c r="S8" i="3"/>
  <c r="S9" i="3"/>
  <c r="S10" i="3"/>
  <c r="S11" i="3"/>
  <c r="S12" i="3"/>
  <c r="S13" i="3"/>
  <c r="S14" i="3"/>
  <c r="S6" i="3"/>
  <c r="M9" i="7"/>
  <c r="M8" i="7"/>
  <c r="M7" i="7"/>
  <c r="O14" i="2"/>
  <c r="O13" i="2"/>
  <c r="O12" i="2"/>
  <c r="O11" i="2"/>
  <c r="O10" i="2"/>
  <c r="P10" i="2" s="1"/>
  <c r="O9" i="2"/>
  <c r="O8" i="2"/>
  <c r="O7" i="2"/>
  <c r="P15" i="1"/>
  <c r="P14" i="1"/>
  <c r="P13" i="1"/>
  <c r="P12" i="1"/>
  <c r="P11" i="1"/>
  <c r="P10" i="1"/>
  <c r="P9" i="1"/>
  <c r="P8" i="1"/>
  <c r="P7" i="1"/>
  <c r="R7" i="8"/>
  <c r="R6" i="8"/>
  <c r="R5" i="8"/>
  <c r="E21" i="5"/>
  <c r="G21" i="5" s="1"/>
  <c r="E20" i="5"/>
  <c r="E19" i="5"/>
  <c r="G19" i="5" s="1"/>
  <c r="G20" i="5"/>
  <c r="F21" i="6"/>
  <c r="F20" i="6"/>
  <c r="F19" i="6"/>
  <c r="D20" i="8"/>
  <c r="D19" i="8"/>
  <c r="D18" i="8"/>
  <c r="D17" i="8"/>
  <c r="D22" i="7"/>
  <c r="D21" i="7"/>
  <c r="D20" i="7"/>
  <c r="D19" i="7"/>
  <c r="E54" i="2"/>
  <c r="E53" i="2"/>
  <c r="E52" i="2"/>
  <c r="E51" i="2"/>
  <c r="E50" i="2"/>
  <c r="E49" i="2"/>
  <c r="E48" i="2"/>
  <c r="E47" i="2"/>
  <c r="E46" i="2"/>
  <c r="E45" i="2"/>
  <c r="E44" i="2"/>
  <c r="E43" i="2"/>
  <c r="E54" i="1"/>
  <c r="E53" i="1"/>
  <c r="E52" i="1"/>
  <c r="E51" i="1"/>
  <c r="E50" i="1"/>
  <c r="E49" i="1"/>
  <c r="E48" i="1"/>
  <c r="E47" i="1"/>
  <c r="E46" i="1"/>
  <c r="E45" i="1"/>
  <c r="E44" i="1"/>
  <c r="E43" i="1"/>
  <c r="F53" i="3"/>
  <c r="F52" i="3"/>
  <c r="F51" i="3"/>
  <c r="F50" i="3"/>
  <c r="F49" i="3"/>
  <c r="F48" i="3"/>
  <c r="F47" i="3"/>
  <c r="F46" i="3"/>
  <c r="F45" i="3"/>
  <c r="F44" i="3"/>
  <c r="F43" i="3"/>
  <c r="F42" i="3"/>
  <c r="D16" i="8"/>
  <c r="D15" i="8"/>
  <c r="D14" i="8"/>
  <c r="D13" i="8"/>
  <c r="D12" i="8"/>
  <c r="D11" i="8"/>
  <c r="D10" i="8"/>
  <c r="D9" i="8"/>
  <c r="D8" i="8"/>
  <c r="D7" i="8"/>
  <c r="D6" i="8"/>
  <c r="D5" i="8"/>
  <c r="D18" i="7"/>
  <c r="D17" i="7"/>
  <c r="D16" i="7"/>
  <c r="D15" i="7"/>
  <c r="D14" i="7"/>
  <c r="D13" i="7"/>
  <c r="D12" i="7"/>
  <c r="D11" i="7"/>
  <c r="D10" i="7"/>
  <c r="D9" i="7"/>
  <c r="D8" i="7"/>
  <c r="D7" i="7"/>
  <c r="F18" i="6"/>
  <c r="F17" i="6"/>
  <c r="F16" i="6"/>
  <c r="F15" i="6"/>
  <c r="F14" i="6"/>
  <c r="F13" i="6"/>
  <c r="F12" i="6"/>
  <c r="F11" i="6"/>
  <c r="F10" i="6"/>
  <c r="F9" i="6"/>
  <c r="F8" i="6"/>
  <c r="F7" i="6"/>
  <c r="G7" i="6" s="1"/>
  <c r="E18" i="5"/>
  <c r="G18" i="5" s="1"/>
  <c r="E17" i="5"/>
  <c r="G17" i="5" s="1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H10" i="5" s="1"/>
  <c r="E9" i="5"/>
  <c r="G9" i="5" s="1"/>
  <c r="E8" i="5"/>
  <c r="G8" i="5" s="1"/>
  <c r="E7" i="5"/>
  <c r="G7" i="5" s="1"/>
  <c r="G25" i="6" l="1"/>
  <c r="H25" i="5"/>
  <c r="F73" i="2"/>
  <c r="F67" i="2"/>
  <c r="F70" i="2"/>
  <c r="F70" i="1"/>
  <c r="I70" i="1" s="1"/>
  <c r="F76" i="1"/>
  <c r="I76" i="1" s="1"/>
  <c r="F73" i="1"/>
  <c r="I73" i="1" s="1"/>
  <c r="F67" i="1"/>
  <c r="I67" i="1" s="1"/>
  <c r="J80" i="3"/>
  <c r="J78" i="3"/>
  <c r="G75" i="3"/>
  <c r="J75" i="3" s="1"/>
  <c r="G72" i="3"/>
  <c r="J72" i="3" s="1"/>
  <c r="P13" i="2"/>
  <c r="F58" i="2"/>
  <c r="F58" i="1"/>
  <c r="I58" i="1" s="1"/>
  <c r="G69" i="3"/>
  <c r="J69" i="3" s="1"/>
  <c r="G22" i="6"/>
  <c r="S10" i="6"/>
  <c r="G10" i="6"/>
  <c r="G13" i="6"/>
  <c r="F64" i="2"/>
  <c r="H22" i="5"/>
  <c r="H7" i="5"/>
  <c r="F61" i="2"/>
  <c r="P7" i="2"/>
  <c r="F61" i="1"/>
  <c r="I61" i="1" s="1"/>
  <c r="G60" i="3"/>
  <c r="J60" i="3" s="1"/>
  <c r="G66" i="3"/>
  <c r="J66" i="3" s="1"/>
  <c r="G63" i="3"/>
  <c r="J63" i="3" s="1"/>
  <c r="G57" i="3"/>
  <c r="J57" i="3" s="1"/>
  <c r="G54" i="3"/>
  <c r="J54" i="3" s="1"/>
  <c r="P25" i="2"/>
  <c r="P22" i="2"/>
  <c r="P19" i="2"/>
  <c r="P16" i="2"/>
  <c r="V10" i="5"/>
  <c r="Q25" i="1"/>
  <c r="T25" i="1" s="1"/>
  <c r="Q22" i="1"/>
  <c r="T22" i="1" s="1"/>
  <c r="Q19" i="1"/>
  <c r="T19" i="1" s="1"/>
  <c r="Q16" i="1"/>
  <c r="T16" i="1" s="1"/>
  <c r="T24" i="3"/>
  <c r="W24" i="3" s="1"/>
  <c r="T27" i="3"/>
  <c r="W27" i="3" s="1"/>
  <c r="T21" i="3"/>
  <c r="W21" i="3" s="1"/>
  <c r="T18" i="3"/>
  <c r="W18" i="3" s="1"/>
  <c r="T15" i="3"/>
  <c r="W15" i="3" s="1"/>
  <c r="S7" i="6"/>
  <c r="H13" i="5"/>
  <c r="V7" i="5"/>
  <c r="T6" i="3"/>
  <c r="W6" i="3" s="1"/>
  <c r="T12" i="3"/>
  <c r="W12" i="3" s="1"/>
  <c r="T9" i="3"/>
  <c r="W9" i="3" s="1"/>
  <c r="Q7" i="1"/>
  <c r="T7" i="1" s="1"/>
  <c r="Q10" i="1"/>
  <c r="T10" i="1" s="1"/>
  <c r="Q13" i="1"/>
  <c r="T13" i="1" s="1"/>
  <c r="G19" i="6"/>
  <c r="H19" i="5"/>
  <c r="H16" i="5"/>
  <c r="G16" i="6"/>
  <c r="F49" i="2"/>
  <c r="F46" i="2"/>
  <c r="F43" i="2"/>
  <c r="F52" i="2"/>
  <c r="F49" i="1"/>
  <c r="I49" i="1" s="1"/>
  <c r="F46" i="1"/>
  <c r="I46" i="1" s="1"/>
  <c r="F43" i="1"/>
  <c r="I43" i="1" s="1"/>
  <c r="F52" i="1"/>
  <c r="I52" i="1" s="1"/>
  <c r="G45" i="3"/>
  <c r="J45" i="3" s="1"/>
  <c r="G42" i="3"/>
  <c r="J42" i="3" s="1"/>
  <c r="G51" i="3"/>
  <c r="J51" i="3" s="1"/>
  <c r="G48" i="3"/>
  <c r="J48" i="3" s="1"/>
  <c r="E42" i="2"/>
  <c r="E41" i="2"/>
  <c r="E40" i="2"/>
  <c r="E39" i="2"/>
  <c r="E38" i="2"/>
  <c r="E37" i="2"/>
  <c r="E36" i="2"/>
  <c r="E35" i="2"/>
  <c r="E34" i="2"/>
  <c r="E33" i="2"/>
  <c r="E32" i="2"/>
  <c r="E31" i="2"/>
  <c r="E42" i="1"/>
  <c r="E41" i="1"/>
  <c r="E40" i="1"/>
  <c r="E39" i="1"/>
  <c r="E38" i="1"/>
  <c r="E37" i="1"/>
  <c r="E36" i="1"/>
  <c r="E35" i="1"/>
  <c r="E34" i="1"/>
  <c r="E33" i="1"/>
  <c r="E32" i="1"/>
  <c r="E31" i="1"/>
  <c r="F41" i="3"/>
  <c r="F40" i="3"/>
  <c r="F39" i="3"/>
  <c r="F38" i="3"/>
  <c r="F37" i="3"/>
  <c r="F36" i="3"/>
  <c r="F35" i="3"/>
  <c r="F34" i="3"/>
  <c r="F33" i="3"/>
  <c r="F32" i="3"/>
  <c r="F31" i="3"/>
  <c r="F30" i="3"/>
  <c r="E30" i="2"/>
  <c r="E29" i="2"/>
  <c r="E28" i="2"/>
  <c r="E27" i="2"/>
  <c r="E26" i="2"/>
  <c r="E25" i="2"/>
  <c r="E24" i="2"/>
  <c r="E23" i="2"/>
  <c r="E22" i="2"/>
  <c r="E21" i="2"/>
  <c r="E20" i="2"/>
  <c r="E19" i="2"/>
  <c r="E30" i="1"/>
  <c r="E29" i="1"/>
  <c r="E28" i="1"/>
  <c r="E27" i="1"/>
  <c r="E26" i="1"/>
  <c r="E25" i="1"/>
  <c r="E24" i="1"/>
  <c r="E23" i="1"/>
  <c r="E22" i="1"/>
  <c r="E21" i="1"/>
  <c r="E20" i="1"/>
  <c r="E19" i="1"/>
  <c r="F29" i="3"/>
  <c r="F28" i="3"/>
  <c r="F27" i="3"/>
  <c r="F26" i="3"/>
  <c r="F25" i="3"/>
  <c r="F24" i="3"/>
  <c r="F23" i="3"/>
  <c r="F22" i="3"/>
  <c r="F21" i="3"/>
  <c r="F20" i="3"/>
  <c r="F19" i="3"/>
  <c r="F18" i="3"/>
  <c r="E8" i="2"/>
  <c r="E9" i="2"/>
  <c r="E10" i="2"/>
  <c r="E11" i="2"/>
  <c r="E12" i="2"/>
  <c r="E13" i="2"/>
  <c r="E14" i="2"/>
  <c r="E15" i="2"/>
  <c r="E16" i="2"/>
  <c r="E17" i="2"/>
  <c r="E18" i="2"/>
  <c r="E7" i="2"/>
  <c r="E8" i="1"/>
  <c r="E9" i="1"/>
  <c r="E10" i="1"/>
  <c r="E11" i="1"/>
  <c r="E12" i="1"/>
  <c r="E13" i="1"/>
  <c r="E14" i="1"/>
  <c r="E15" i="1"/>
  <c r="E16" i="1"/>
  <c r="E17" i="1"/>
  <c r="E18" i="1"/>
  <c r="E7" i="1"/>
  <c r="F14" i="3"/>
  <c r="F7" i="3"/>
  <c r="F8" i="3"/>
  <c r="F9" i="3"/>
  <c r="F10" i="3"/>
  <c r="F11" i="3"/>
  <c r="F12" i="3"/>
  <c r="F13" i="3"/>
  <c r="F15" i="3"/>
  <c r="F16" i="3"/>
  <c r="F17" i="3"/>
  <c r="F6" i="3"/>
  <c r="F40" i="1" l="1"/>
  <c r="I40" i="1" s="1"/>
  <c r="F19" i="2"/>
  <c r="F40" i="2"/>
  <c r="F37" i="2"/>
  <c r="F37" i="1"/>
  <c r="I37" i="1" s="1"/>
  <c r="F34" i="2"/>
  <c r="F31" i="2"/>
  <c r="F34" i="1"/>
  <c r="I34" i="1" s="1"/>
  <c r="F31" i="1"/>
  <c r="I31" i="1" s="1"/>
  <c r="G36" i="3"/>
  <c r="J36" i="3" s="1"/>
  <c r="G33" i="3"/>
  <c r="J33" i="3" s="1"/>
  <c r="G30" i="3"/>
  <c r="J30" i="3" s="1"/>
  <c r="G39" i="3"/>
  <c r="J39" i="3" s="1"/>
  <c r="F22" i="2"/>
  <c r="F28" i="2"/>
  <c r="F25" i="2"/>
  <c r="F19" i="1"/>
  <c r="I19" i="1" s="1"/>
  <c r="F25" i="1"/>
  <c r="I25" i="1" s="1"/>
  <c r="F28" i="1"/>
  <c r="I28" i="1" s="1"/>
  <c r="F22" i="1"/>
  <c r="I22" i="1" s="1"/>
  <c r="F10" i="1"/>
  <c r="I10" i="1" s="1"/>
  <c r="G21" i="3"/>
  <c r="J21" i="3" s="1"/>
  <c r="G24" i="3"/>
  <c r="J24" i="3" s="1"/>
  <c r="G27" i="3"/>
  <c r="J27" i="3" s="1"/>
  <c r="G18" i="3"/>
  <c r="J18" i="3" s="1"/>
  <c r="F13" i="2"/>
  <c r="F16" i="2"/>
  <c r="F10" i="2"/>
  <c r="F7" i="2"/>
  <c r="F16" i="1"/>
  <c r="I16" i="1" s="1"/>
  <c r="F13" i="1"/>
  <c r="I13" i="1" s="1"/>
  <c r="G6" i="3"/>
  <c r="J6" i="3" s="1"/>
  <c r="G9" i="3"/>
  <c r="J9" i="3" s="1"/>
  <c r="G12" i="3"/>
  <c r="J12" i="3" s="1"/>
  <c r="G15" i="3"/>
  <c r="J15" i="3" s="1"/>
  <c r="F7" i="1"/>
  <c r="I7" i="1" s="1"/>
</calcChain>
</file>

<file path=xl/sharedStrings.xml><?xml version="1.0" encoding="utf-8"?>
<sst xmlns="http://schemas.openxmlformats.org/spreadsheetml/2006/main" count="860" uniqueCount="109">
  <si>
    <t>Date</t>
  </si>
  <si>
    <t>Replicate #:</t>
  </si>
  <si>
    <t>R1</t>
  </si>
  <si>
    <t>R2</t>
  </si>
  <si>
    <t>R3</t>
  </si>
  <si>
    <t>Total Suspended Solids</t>
  </si>
  <si>
    <t>Fermenter</t>
  </si>
  <si>
    <t>F1</t>
  </si>
  <si>
    <t>F2</t>
  </si>
  <si>
    <t>F3</t>
  </si>
  <si>
    <t>IST</t>
  </si>
  <si>
    <t>Filter disc, Weight (mg)</t>
  </si>
  <si>
    <t>TSS,ppm</t>
  </si>
  <si>
    <t>Average TSS,ppm</t>
  </si>
  <si>
    <t>Contant Weight (mg)</t>
  </si>
  <si>
    <t>Total Solids</t>
  </si>
  <si>
    <t>Dish, Weight (mg)</t>
  </si>
  <si>
    <t>Sample + Dish, Weight (mg)</t>
  </si>
  <si>
    <t>TS,ppm</t>
  </si>
  <si>
    <t>Average TS,ppm</t>
  </si>
  <si>
    <t>Volatile Solids</t>
  </si>
  <si>
    <t>Dried Sample + Dish before ignition (mg)</t>
  </si>
  <si>
    <t>Weight of residue + dish after ignition (mg)</t>
  </si>
  <si>
    <t>ppm,VS</t>
  </si>
  <si>
    <t>25mL sample</t>
  </si>
  <si>
    <t>Target Range</t>
  </si>
  <si>
    <t>Remarks</t>
  </si>
  <si>
    <t>15,000-60,000ppm</t>
  </si>
  <si>
    <t>Stable</t>
  </si>
  <si>
    <t>Below required level</t>
  </si>
  <si>
    <t>Interpretation:</t>
  </si>
  <si>
    <r>
      <t>Stable:</t>
    </r>
    <r>
      <rPr>
        <sz val="12"/>
        <color theme="1"/>
        <rFont val="Aptos Narrow"/>
        <family val="2"/>
        <scheme val="minor"/>
      </rPr>
      <t xml:space="preserve"> “TSS is typical for digestate, indicating within range separation/settling.”</t>
    </r>
  </si>
  <si>
    <r>
      <t>Above range:</t>
    </r>
    <r>
      <rPr>
        <sz val="12"/>
        <color theme="1"/>
        <rFont val="Aptos Narrow"/>
        <family val="2"/>
        <scheme val="minor"/>
      </rPr>
      <t xml:space="preserve"> “TSS too high, poor solid–liquid separation; risk for handling.”</t>
    </r>
  </si>
  <si>
    <r>
      <t>Below range:</t>
    </r>
    <r>
      <rPr>
        <sz val="12"/>
        <color theme="1"/>
        <rFont val="Aptos Narrow"/>
        <family val="2"/>
        <scheme val="minor"/>
      </rPr>
      <t xml:space="preserve"> “TSS too low, may indicate over-dilution or sampling from supernatant.”</t>
    </r>
  </si>
  <si>
    <t>20,000-100,000ppm</t>
  </si>
  <si>
    <r>
      <t>Stable:</t>
    </r>
    <r>
      <rPr>
        <sz val="12"/>
        <color theme="1"/>
        <rFont val="Aptos Narrow"/>
        <family val="2"/>
        <scheme val="minor"/>
      </rPr>
      <t xml:space="preserve"> “TS is normal, indicating typical digestate consistency.”</t>
    </r>
  </si>
  <si>
    <r>
      <t>Above range:</t>
    </r>
    <r>
      <rPr>
        <sz val="12"/>
        <color theme="1"/>
        <rFont val="Aptos Narrow"/>
        <family val="2"/>
        <scheme val="minor"/>
      </rPr>
      <t xml:space="preserve"> “TS is high, suggesting thick digestate;may hinder pumping/spreading.”</t>
    </r>
  </si>
  <si>
    <r>
      <t>Below range:</t>
    </r>
    <r>
      <rPr>
        <sz val="12"/>
        <color theme="1"/>
        <rFont val="Aptos Narrow"/>
        <family val="2"/>
        <scheme val="minor"/>
      </rPr>
      <t xml:space="preserve"> “TS is too low, possibly due to dilution or water ingress.”</t>
    </r>
  </si>
  <si>
    <t>12,000-65,000ppm</t>
  </si>
  <si>
    <r>
      <t>Stable:</t>
    </r>
    <r>
      <rPr>
        <sz val="12"/>
        <color theme="1"/>
        <rFont val="Aptos Narrow"/>
        <family val="2"/>
        <scheme val="minor"/>
      </rPr>
      <t xml:space="preserve"> “Indicates a healthy digestion process.”</t>
    </r>
  </si>
  <si>
    <r>
      <t>Above range:</t>
    </r>
    <r>
      <rPr>
        <sz val="12"/>
        <color theme="1"/>
        <rFont val="Aptos Narrow"/>
        <family val="2"/>
        <scheme val="minor"/>
      </rPr>
      <t xml:space="preserve"> “Digestion was incomplete possible overloading, poor mixing, low microbial activity.”</t>
    </r>
  </si>
  <si>
    <r>
      <t>Below range:</t>
    </r>
    <r>
      <rPr>
        <sz val="12"/>
        <color theme="1"/>
        <rFont val="Aptos Narrow"/>
        <family val="2"/>
        <scheme val="minor"/>
      </rPr>
      <t xml:space="preserve"> “Indicated high digestion efficiency/feedstock had low biodegrable content.”</t>
    </r>
  </si>
  <si>
    <t>Percentage Total Solids</t>
  </si>
  <si>
    <t>Dish, Weight (g)</t>
  </si>
  <si>
    <t>Sample, Weight (g)</t>
  </si>
  <si>
    <t>Sample + Dish, Weight (g)</t>
  </si>
  <si>
    <t>Contant Weight (g)</t>
  </si>
  <si>
    <t xml:space="preserve">%TS </t>
  </si>
  <si>
    <t>Average %TS</t>
  </si>
  <si>
    <t>2.5-12%</t>
  </si>
  <si>
    <r>
      <t>Stable:</t>
    </r>
    <r>
      <rPr>
        <sz val="12"/>
        <color theme="1"/>
        <rFont val="Aptos Narrow"/>
        <family val="2"/>
        <scheme val="minor"/>
      </rPr>
      <t xml:space="preserve"> “Balanced solids concentration, good microbial activity with optimal biogas yield.”</t>
    </r>
  </si>
  <si>
    <r>
      <t>Above range:</t>
    </r>
    <r>
      <rPr>
        <sz val="12"/>
        <color theme="1"/>
        <rFont val="Aptos Narrow"/>
        <family val="2"/>
        <scheme val="minor"/>
      </rPr>
      <t xml:space="preserve"> “Poor mixing and pumping difficulties with risk of localized acidification.”</t>
    </r>
  </si>
  <si>
    <r>
      <t>Below range:</t>
    </r>
    <r>
      <rPr>
        <sz val="12"/>
        <color theme="1"/>
        <rFont val="Aptos Narrow"/>
        <family val="2"/>
        <scheme val="minor"/>
      </rPr>
      <t xml:space="preserve"> “Too dilute, possibly due to dilution or water”</t>
    </r>
  </si>
  <si>
    <t>Percentage Volatile Solids</t>
  </si>
  <si>
    <t>Dried Sample + Dish before ignition (g)</t>
  </si>
  <si>
    <t>Weight of residue + dish after ignition (g)</t>
  </si>
  <si>
    <t>%VS</t>
  </si>
  <si>
    <t>Average %VS</t>
  </si>
  <si>
    <t>70%-90%</t>
  </si>
  <si>
    <t>Above Range</t>
  </si>
  <si>
    <r>
      <t>Stable:</t>
    </r>
    <r>
      <rPr>
        <sz val="12"/>
        <color theme="1"/>
        <rFont val="Aptos Narrow"/>
        <family val="2"/>
        <scheme val="minor"/>
      </rPr>
      <t xml:space="preserve"> “Shows healthy biodegradation and good methane yield.”</t>
    </r>
  </si>
  <si>
    <r>
      <t>Above range:</t>
    </r>
    <r>
      <rPr>
        <sz val="12"/>
        <color theme="1"/>
        <rFont val="Aptos Narrow"/>
        <family val="2"/>
        <scheme val="minor"/>
      </rPr>
      <t xml:space="preserve"> “Excellent methane potential, but may need dilution/mixing to avoid process upset.”</t>
    </r>
  </si>
  <si>
    <r>
      <t>Below range:</t>
    </r>
    <r>
      <rPr>
        <sz val="12"/>
        <color theme="1"/>
        <rFont val="Aptos Narrow"/>
        <family val="2"/>
        <scheme val="minor"/>
      </rPr>
      <t xml:space="preserve"> “Low residual biogas potential.”</t>
    </r>
  </si>
  <si>
    <t>%TS</t>
  </si>
  <si>
    <t>%TSS</t>
  </si>
  <si>
    <t>MP</t>
  </si>
  <si>
    <t>VS,ppm</t>
  </si>
  <si>
    <t>Nitrate-N,ppm</t>
  </si>
  <si>
    <t>Phosphorus(Reactive),ppm</t>
  </si>
  <si>
    <t>3rd Week September</t>
  </si>
  <si>
    <t>4th Week September</t>
  </si>
  <si>
    <t>1st Week October</t>
  </si>
  <si>
    <t>TS,%</t>
  </si>
  <si>
    <t>VS, %</t>
  </si>
  <si>
    <t>Nitrate-Nitrogen</t>
  </si>
  <si>
    <t xml:space="preserve">ppm, </t>
  </si>
  <si>
    <t>ppm,</t>
  </si>
  <si>
    <t xml:space="preserve">&lt;50mg/L </t>
  </si>
  <si>
    <t>Beneficial</t>
  </si>
  <si>
    <r>
      <t>Beneficial (&lt;50mg/L):</t>
    </r>
    <r>
      <rPr>
        <sz val="12"/>
        <color theme="1"/>
        <rFont val="Aptos Narrow"/>
        <family val="2"/>
        <scheme val="minor"/>
      </rPr>
      <t xml:space="preserve"> “Safe, may be assimiliated by microbes, small amounts can be tolerated and used as nutrient.”</t>
    </r>
  </si>
  <si>
    <r>
      <t>Above range(200-500mg/L):</t>
    </r>
    <r>
      <rPr>
        <sz val="12"/>
        <color theme="1"/>
        <rFont val="Aptos Narrow"/>
        <family val="2"/>
        <scheme val="minor"/>
      </rPr>
      <t xml:space="preserve"> “Strong inhibition of methane production, as nitrate and nitrite toxicity affect methanogenic archaea.”</t>
    </r>
  </si>
  <si>
    <r>
      <t>Moderate range (50-200mg/L):</t>
    </r>
    <r>
      <rPr>
        <sz val="12"/>
        <color theme="1"/>
        <rFont val="Aptos Narrow"/>
        <family val="2"/>
        <scheme val="minor"/>
      </rPr>
      <t xml:space="preserve"> “Can start competing with methanogenesis and reducing methane yield.”</t>
    </r>
  </si>
  <si>
    <t xml:space="preserve">                  ppm, </t>
  </si>
  <si>
    <t xml:space="preserve">       ppm,</t>
  </si>
  <si>
    <t xml:space="preserve">10-200 mg/L </t>
  </si>
  <si>
    <r>
      <t>Beneficial:</t>
    </r>
    <r>
      <rPr>
        <sz val="12"/>
        <color theme="1"/>
        <rFont val="Aptos Narrow"/>
        <family val="2"/>
        <scheme val="minor"/>
      </rPr>
      <t xml:space="preserve"> “Supports healthy microbial activity and stable biogas production.”</t>
    </r>
  </si>
  <si>
    <r>
      <t>Above range:</t>
    </r>
    <r>
      <rPr>
        <sz val="12"/>
        <color theme="1"/>
        <rFont val="Aptos Narrow"/>
        <family val="2"/>
        <scheme val="minor"/>
      </rPr>
      <t xml:space="preserve"> “Can precipitate with magnesium and ammonium, causing scaling in pipes and reactors.”</t>
    </r>
  </si>
  <si>
    <r>
      <t>Below range:</t>
    </r>
    <r>
      <rPr>
        <sz val="12"/>
        <color theme="1"/>
        <rFont val="Aptos Narrow"/>
        <family val="2"/>
        <scheme val="minor"/>
      </rPr>
      <t xml:space="preserve"> “Can limit microbial growth, leading to reduced methane yield.”</t>
    </r>
  </si>
  <si>
    <t>POLOMOLOK PLANT</t>
  </si>
  <si>
    <t>2nd Week October</t>
  </si>
  <si>
    <t>SURALLAH PLANT</t>
  </si>
  <si>
    <t xml:space="preserve">            ppm, </t>
  </si>
  <si>
    <t>POLOMOLOK</t>
  </si>
  <si>
    <t>SURALLAH</t>
  </si>
  <si>
    <t>Liquid Digestate</t>
  </si>
  <si>
    <t>-</t>
  </si>
  <si>
    <t>3rd Week October</t>
  </si>
  <si>
    <t>Mixing Pit</t>
  </si>
  <si>
    <t>Phosphate</t>
  </si>
  <si>
    <t>Phosphate as Phosphorus (Reactive)</t>
  </si>
  <si>
    <t>Phosphate as Phosphorus (Total)</t>
  </si>
  <si>
    <t xml:space="preserve">100-1000 mg/L </t>
  </si>
  <si>
    <t>Below Range</t>
  </si>
  <si>
    <t>Phosphorus(Total),ppm</t>
  </si>
  <si>
    <t>4th Week October</t>
  </si>
  <si>
    <t xml:space="preserve">       ppm, </t>
  </si>
  <si>
    <t>MIXING PIT</t>
  </si>
  <si>
    <r>
      <t xml:space="preserve">DF=20 </t>
    </r>
    <r>
      <rPr>
        <i/>
        <sz val="9"/>
        <color theme="1"/>
        <rFont val="Aptos Narrow"/>
        <family val="2"/>
        <scheme val="minor"/>
      </rPr>
      <t>(5mL sample in 100mL Vol.flask)</t>
    </r>
    <r>
      <rPr>
        <sz val="11"/>
        <color theme="1"/>
        <rFont val="Aptos Narrow"/>
        <family val="2"/>
        <scheme val="minor"/>
      </rPr>
      <t xml:space="preserve"> TNT 835</t>
    </r>
  </si>
  <si>
    <t>1st Week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</si>
</sst>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2"/>
      <color rgb="FFFF0000"/>
      <name val="Aptos Narrow"/>
      <family val="2"/>
      <scheme val="minor"/>
    </font>
    <font>
      <b/>
      <sz val="20"/>
      <name val="Aptos Narrow"/>
      <family val="2"/>
      <scheme val="minor"/>
    </font>
    <font>
      <b/>
      <sz val="22"/>
      <color theme="1"/>
      <name val="Amasis MT Pro Black"/>
      <family val="1"/>
    </font>
    <font>
      <b/>
      <sz val="16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5F7FB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5" xfId="0" applyFont="1" applyBorder="1" applyAlignment="1">
      <alignment horizontal="center" vertical="center"/>
    </xf>
    <xf numFmtId="0" fontId="1" fillId="3" borderId="11" xfId="0" applyFont="1" applyFill="1" applyBorder="1"/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0" fillId="0" borderId="5" xfId="0" applyBorder="1" applyAlignment="1">
      <alignment horizont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3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0" xfId="0" applyBorder="1" applyAlignment="1">
      <alignment horizontal="center"/>
    </xf>
    <xf numFmtId="0" fontId="0" fillId="0" borderId="18" xfId="0" applyBorder="1"/>
    <xf numFmtId="0" fontId="0" fillId="0" borderId="31" xfId="0" applyBorder="1" applyAlignment="1">
      <alignment horizontal="center"/>
    </xf>
    <xf numFmtId="0" fontId="0" fillId="0" borderId="23" xfId="0" applyBorder="1"/>
    <xf numFmtId="0" fontId="0" fillId="0" borderId="32" xfId="0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25" xfId="0" applyFont="1" applyBorder="1"/>
    <xf numFmtId="0" fontId="8" fillId="0" borderId="16" xfId="0" applyFont="1" applyBorder="1"/>
    <xf numFmtId="0" fontId="9" fillId="4" borderId="16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2" borderId="2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2" fontId="5" fillId="2" borderId="24" xfId="0" applyNumberFormat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5" fillId="2" borderId="19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2" fillId="0" borderId="0" xfId="0" applyFont="1"/>
    <xf numFmtId="0" fontId="8" fillId="4" borderId="16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0" xfId="0" applyFont="1"/>
    <xf numFmtId="0" fontId="1" fillId="0" borderId="16" xfId="0" applyFont="1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2" fontId="5" fillId="2" borderId="36" xfId="0" applyNumberFormat="1" applyFont="1" applyFill="1" applyBorder="1" applyAlignment="1">
      <alignment horizontal="center" vertical="center"/>
    </xf>
    <xf numFmtId="2" fontId="5" fillId="2" borderId="37" xfId="0" applyNumberFormat="1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47" xfId="0" applyFont="1" applyBorder="1" applyAlignment="1">
      <alignment horizontal="left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" fillId="3" borderId="16" xfId="0" applyFont="1" applyFill="1" applyBorder="1"/>
    <xf numFmtId="0" fontId="6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11" xfId="0" applyBorder="1"/>
    <xf numFmtId="0" fontId="0" fillId="0" borderId="54" xfId="0" applyBorder="1"/>
    <xf numFmtId="0" fontId="0" fillId="0" borderId="55" xfId="0" applyBorder="1"/>
    <xf numFmtId="0" fontId="0" fillId="0" borderId="56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2" fontId="5" fillId="2" borderId="6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0" fillId="0" borderId="3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2" fontId="5" fillId="2" borderId="66" xfId="0" applyNumberFormat="1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5" fillId="0" borderId="6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0" fillId="0" borderId="12" xfId="0" applyBorder="1"/>
    <xf numFmtId="0" fontId="1" fillId="0" borderId="67" xfId="0" applyFont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11" fillId="0" borderId="60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0" fillId="0" borderId="58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10" fillId="6" borderId="29" xfId="0" applyFont="1" applyFill="1" applyBorder="1" applyAlignment="1">
      <alignment horizontal="center"/>
    </xf>
    <xf numFmtId="0" fontId="10" fillId="6" borderId="40" xfId="0" applyFont="1" applyFill="1" applyBorder="1" applyAlignment="1">
      <alignment horizontal="center"/>
    </xf>
    <xf numFmtId="0" fontId="10" fillId="6" borderId="41" xfId="0" applyFont="1" applyFill="1" applyBorder="1" applyAlignment="1">
      <alignment horizontal="center"/>
    </xf>
    <xf numFmtId="0" fontId="10" fillId="7" borderId="29" xfId="0" applyFont="1" applyFill="1" applyBorder="1" applyAlignment="1">
      <alignment horizontal="center"/>
    </xf>
    <xf numFmtId="0" fontId="10" fillId="7" borderId="40" xfId="0" applyFont="1" applyFill="1" applyBorder="1" applyAlignment="1">
      <alignment horizontal="center"/>
    </xf>
    <xf numFmtId="0" fontId="10" fillId="7" borderId="41" xfId="0" applyFont="1" applyFill="1" applyBorder="1" applyAlignment="1">
      <alignment horizontal="center"/>
    </xf>
    <xf numFmtId="0" fontId="10" fillId="9" borderId="29" xfId="0" applyFont="1" applyFill="1" applyBorder="1" applyAlignment="1">
      <alignment horizontal="center"/>
    </xf>
    <xf numFmtId="0" fontId="10" fillId="9" borderId="40" xfId="0" applyFont="1" applyFill="1" applyBorder="1" applyAlignment="1">
      <alignment horizontal="center"/>
    </xf>
    <xf numFmtId="0" fontId="10" fillId="9" borderId="41" xfId="0" applyFont="1" applyFill="1" applyBorder="1" applyAlignment="1">
      <alignment horizontal="center"/>
    </xf>
    <xf numFmtId="0" fontId="10" fillId="8" borderId="29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4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3" borderId="66" xfId="0" applyNumberFormat="1" applyFill="1" applyBorder="1" applyAlignment="1">
      <alignment horizontal="center" vertical="center"/>
    </xf>
    <xf numFmtId="1" fontId="0" fillId="3" borderId="26" xfId="0" applyNumberFormat="1" applyFill="1" applyBorder="1" applyAlignment="1">
      <alignment horizontal="center" vertical="center"/>
    </xf>
    <xf numFmtId="1" fontId="0" fillId="3" borderId="68" xfId="0" applyNumberForma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7" fillId="0" borderId="25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" fontId="0" fillId="3" borderId="64" xfId="0" applyNumberFormat="1" applyFill="1" applyBorder="1" applyAlignment="1">
      <alignment horizontal="center" vertical="center"/>
    </xf>
    <xf numFmtId="1" fontId="0" fillId="3" borderId="42" xfId="0" applyNumberFormat="1" applyFill="1" applyBorder="1" applyAlignment="1">
      <alignment horizontal="center" vertical="center"/>
    </xf>
    <xf numFmtId="1" fontId="0" fillId="3" borderId="52" xfId="0" applyNumberForma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7" fillId="0" borderId="36" xfId="0" applyNumberFormat="1" applyFont="1" applyBorder="1" applyAlignment="1">
      <alignment horizontal="center" vertical="center"/>
    </xf>
    <xf numFmtId="1" fontId="0" fillId="3" borderId="59" xfId="0" applyNumberFormat="1" applyFill="1" applyBorder="1" applyAlignment="1">
      <alignment horizontal="center" vertical="center"/>
    </xf>
    <xf numFmtId="15" fontId="0" fillId="0" borderId="33" xfId="0" applyNumberFormat="1" applyBorder="1" applyAlignment="1">
      <alignment horizontal="center" vertical="center"/>
    </xf>
    <xf numFmtId="15" fontId="0" fillId="0" borderId="34" xfId="0" applyNumberFormat="1" applyBorder="1" applyAlignment="1">
      <alignment horizontal="center" vertical="center"/>
    </xf>
    <xf numFmtId="15" fontId="0" fillId="0" borderId="44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 vertical="center"/>
    </xf>
    <xf numFmtId="2" fontId="7" fillId="0" borderId="37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" fontId="0" fillId="3" borderId="46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/>
    </xf>
    <xf numFmtId="15" fontId="0" fillId="0" borderId="2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0" fillId="3" borderId="25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/>
    </xf>
    <xf numFmtId="15" fontId="0" fillId="0" borderId="22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15" fontId="0" fillId="0" borderId="36" xfId="0" applyNumberFormat="1" applyBorder="1" applyAlignment="1">
      <alignment horizontal="center" vertical="center"/>
    </xf>
    <xf numFmtId="15" fontId="0" fillId="0" borderId="37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5" fontId="0" fillId="0" borderId="25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38" xfId="0" applyNumberFormat="1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0" fillId="2" borderId="19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" fontId="0" fillId="2" borderId="24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0" fillId="2" borderId="36" xfId="0" applyNumberFormat="1" applyFill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0" fillId="2" borderId="37" xfId="0" applyNumberForma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1" fontId="0" fillId="2" borderId="26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" fontId="0" fillId="2" borderId="58" xfId="0" applyNumberFormat="1" applyFill="1" applyBorder="1" applyAlignment="1">
      <alignment horizontal="center" vertical="center"/>
    </xf>
    <xf numFmtId="1" fontId="0" fillId="2" borderId="60" xfId="0" applyNumberForma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0" fillId="2" borderId="19" xfId="0" applyNumberFormat="1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2" fontId="0" fillId="2" borderId="24" xfId="0" applyNumberForma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15" fontId="5" fillId="0" borderId="25" xfId="0" applyNumberFormat="1" applyFont="1" applyBorder="1" applyAlignment="1">
      <alignment horizontal="center" vertical="center"/>
    </xf>
    <xf numFmtId="15" fontId="5" fillId="0" borderId="8" xfId="0" applyNumberFormat="1" applyFont="1" applyBorder="1" applyAlignment="1">
      <alignment horizontal="center" vertical="center"/>
    </xf>
    <xf numFmtId="15" fontId="5" fillId="0" borderId="1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5" fontId="5" fillId="0" borderId="43" xfId="0" applyNumberFormat="1" applyFont="1" applyBorder="1" applyAlignment="1">
      <alignment horizontal="center" vertical="center"/>
    </xf>
    <xf numFmtId="15" fontId="5" fillId="0" borderId="34" xfId="0" applyNumberFormat="1" applyFont="1" applyBorder="1" applyAlignment="1">
      <alignment horizontal="center" vertical="center"/>
    </xf>
    <xf numFmtId="15" fontId="5" fillId="0" borderId="35" xfId="0" applyNumberFormat="1" applyFont="1" applyBorder="1" applyAlignment="1">
      <alignment horizontal="center" vertical="center"/>
    </xf>
    <xf numFmtId="15" fontId="5" fillId="0" borderId="3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0" fillId="6" borderId="13" xfId="0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15" fontId="5" fillId="0" borderId="44" xfId="0" applyNumberFormat="1" applyFont="1" applyBorder="1" applyAlignment="1">
      <alignment horizontal="center" vertical="center"/>
    </xf>
    <xf numFmtId="15" fontId="5" fillId="0" borderId="11" xfId="0" applyNumberFormat="1" applyFont="1" applyBorder="1" applyAlignment="1">
      <alignment horizontal="center" vertical="center"/>
    </xf>
    <xf numFmtId="15" fontId="5" fillId="0" borderId="54" xfId="0" applyNumberFormat="1" applyFont="1" applyBorder="1" applyAlignment="1">
      <alignment horizontal="center" vertical="center"/>
    </xf>
    <xf numFmtId="15" fontId="5" fillId="0" borderId="55" xfId="0" applyNumberFormat="1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F7FB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798689</xdr:colOff>
      <xdr:row>5</xdr:row>
      <xdr:rowOff>11994</xdr:rowOff>
    </xdr:from>
    <xdr:ext cx="30925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09C0F2C-C4E6-4588-854A-D706BB9B145F}"/>
                </a:ext>
              </a:extLst>
            </xdr:cNvPr>
            <xdr:cNvSpPr txBox="1"/>
          </xdr:nvSpPr>
          <xdr:spPr>
            <a:xfrm>
              <a:off x="3160889" y="805744"/>
              <a:ext cx="3092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09C0F2C-C4E6-4588-854A-D706BB9B145F}"/>
                </a:ext>
              </a:extLst>
            </xdr:cNvPr>
            <xdr:cNvSpPr txBox="1"/>
          </xdr:nvSpPr>
          <xdr:spPr>
            <a:xfrm>
              <a:off x="3160889" y="805744"/>
              <a:ext cx="3092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𝑁𝑂〗_3^−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960967</xdr:colOff>
      <xdr:row>5</xdr:row>
      <xdr:rowOff>4939</xdr:rowOff>
    </xdr:from>
    <xdr:ext cx="39203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A82098-5BBD-47CD-8D66-9BD5834BE17A}"/>
                </a:ext>
              </a:extLst>
            </xdr:cNvPr>
            <xdr:cNvSpPr txBox="1"/>
          </xdr:nvSpPr>
          <xdr:spPr>
            <a:xfrm>
              <a:off x="4555067" y="798689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𝑁𝑂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</m:oMath>
              </a14:m>
              <a:r>
                <a:rPr lang="en-US" sz="1100"/>
                <a:t>-N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A82098-5BBD-47CD-8D66-9BD5834BE17A}"/>
                </a:ext>
              </a:extLst>
            </xdr:cNvPr>
            <xdr:cNvSpPr txBox="1"/>
          </xdr:nvSpPr>
          <xdr:spPr>
            <a:xfrm>
              <a:off x="4555067" y="798689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𝑁𝑂〗_3</a:t>
              </a:r>
              <a:r>
                <a:rPr lang="en-US" sz="1100"/>
                <a:t>-N</a:t>
              </a:r>
            </a:p>
          </xdr:txBody>
        </xdr:sp>
      </mc:Fallback>
    </mc:AlternateContent>
    <xdr:clientData/>
  </xdr:oneCellAnchor>
  <xdr:oneCellAnchor>
    <xdr:from>
      <xdr:col>4</xdr:col>
      <xdr:colOff>349350</xdr:colOff>
      <xdr:row>12</xdr:row>
      <xdr:rowOff>103918</xdr:rowOff>
    </xdr:from>
    <xdr:ext cx="39203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4E2987E-8DBC-40EF-9F39-36633FCCF979}"/>
                </a:ext>
              </a:extLst>
            </xdr:cNvPr>
            <xdr:cNvSpPr txBox="1"/>
          </xdr:nvSpPr>
          <xdr:spPr>
            <a:xfrm>
              <a:off x="5492850" y="2313718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𝑁𝑂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</m:oMath>
              </a14:m>
              <a:r>
                <a:rPr lang="en-US" sz="1100"/>
                <a:t>-N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4E2987E-8DBC-40EF-9F39-36633FCCF979}"/>
                </a:ext>
              </a:extLst>
            </xdr:cNvPr>
            <xdr:cNvSpPr txBox="1"/>
          </xdr:nvSpPr>
          <xdr:spPr>
            <a:xfrm>
              <a:off x="5492850" y="2313718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𝑁𝑂〗_3</a:t>
              </a:r>
              <a:r>
                <a:rPr lang="en-US" sz="1100"/>
                <a:t>-N</a:t>
              </a:r>
            </a:p>
          </xdr:txBody>
        </xdr:sp>
      </mc:Fallback>
    </mc:AlternateContent>
    <xdr:clientData/>
  </xdr:oneCellAnchor>
  <xdr:oneCellAnchor>
    <xdr:from>
      <xdr:col>11</xdr:col>
      <xdr:colOff>798689</xdr:colOff>
      <xdr:row>5</xdr:row>
      <xdr:rowOff>11994</xdr:rowOff>
    </xdr:from>
    <xdr:ext cx="30925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E98AA1-20DE-4F7B-A591-D7CEEA6D7206}"/>
                </a:ext>
              </a:extLst>
            </xdr:cNvPr>
            <xdr:cNvSpPr txBox="1"/>
          </xdr:nvSpPr>
          <xdr:spPr>
            <a:xfrm>
              <a:off x="2721832" y="1173137"/>
              <a:ext cx="3092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E98AA1-20DE-4F7B-A591-D7CEEA6D7206}"/>
                </a:ext>
              </a:extLst>
            </xdr:cNvPr>
            <xdr:cNvSpPr txBox="1"/>
          </xdr:nvSpPr>
          <xdr:spPr>
            <a:xfrm>
              <a:off x="2721832" y="1173137"/>
              <a:ext cx="3092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𝑁𝑂〗_3^−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960967</xdr:colOff>
      <xdr:row>5</xdr:row>
      <xdr:rowOff>4939</xdr:rowOff>
    </xdr:from>
    <xdr:ext cx="39203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FD87B4B-9448-4AFC-A2FE-D27A3A893F72}"/>
                </a:ext>
              </a:extLst>
            </xdr:cNvPr>
            <xdr:cNvSpPr txBox="1"/>
          </xdr:nvSpPr>
          <xdr:spPr>
            <a:xfrm>
              <a:off x="4081538" y="1166082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𝑁𝑂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</m:oMath>
              </a14:m>
              <a:r>
                <a:rPr lang="en-US" sz="1100"/>
                <a:t>-N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FD87B4B-9448-4AFC-A2FE-D27A3A893F72}"/>
                </a:ext>
              </a:extLst>
            </xdr:cNvPr>
            <xdr:cNvSpPr txBox="1"/>
          </xdr:nvSpPr>
          <xdr:spPr>
            <a:xfrm>
              <a:off x="4081538" y="1166082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𝑁𝑂〗_3</a:t>
              </a:r>
              <a:r>
                <a:rPr lang="en-US" sz="1100"/>
                <a:t>-N</a:t>
              </a:r>
            </a:p>
          </xdr:txBody>
        </xdr:sp>
      </mc:Fallback>
    </mc:AlternateContent>
    <xdr:clientData/>
  </xdr:oneCellAnchor>
  <xdr:oneCellAnchor>
    <xdr:from>
      <xdr:col>13</xdr:col>
      <xdr:colOff>467278</xdr:colOff>
      <xdr:row>7</xdr:row>
      <xdr:rowOff>176489</xdr:rowOff>
    </xdr:from>
    <xdr:ext cx="39203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7A7DB86-08DE-4CB9-A1B0-B32FA668D387}"/>
                </a:ext>
              </a:extLst>
            </xdr:cNvPr>
            <xdr:cNvSpPr txBox="1"/>
          </xdr:nvSpPr>
          <xdr:spPr>
            <a:xfrm>
              <a:off x="14156064" y="1727703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𝑁𝑂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</m:oMath>
              </a14:m>
              <a:r>
                <a:rPr lang="en-US" sz="1100"/>
                <a:t>-N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7A7DB86-08DE-4CB9-A1B0-B32FA668D387}"/>
                </a:ext>
              </a:extLst>
            </xdr:cNvPr>
            <xdr:cNvSpPr txBox="1"/>
          </xdr:nvSpPr>
          <xdr:spPr>
            <a:xfrm>
              <a:off x="14156064" y="1727703"/>
              <a:ext cx="39203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𝑁𝑂〗_3</a:t>
              </a:r>
              <a:r>
                <a:rPr lang="en-US" sz="1100"/>
                <a:t>-N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224719</xdr:colOff>
      <xdr:row>12</xdr:row>
      <xdr:rowOff>184150</xdr:rowOff>
    </xdr:from>
    <xdr:ext cx="601190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47EBC6-C905-4B9C-BBAB-DE9B2FF1CB32}"/>
                </a:ext>
              </a:extLst>
            </xdr:cNvPr>
            <xdr:cNvSpPr txBox="1"/>
          </xdr:nvSpPr>
          <xdr:spPr>
            <a:xfrm>
              <a:off x="4789663" y="2632428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47EBC6-C905-4B9C-BBAB-DE9B2FF1CB32}"/>
                </a:ext>
              </a:extLst>
            </xdr:cNvPr>
            <xdr:cNvSpPr txBox="1"/>
          </xdr:nvSpPr>
          <xdr:spPr>
            <a:xfrm>
              <a:off x="4789663" y="2632428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𝑃𝑂〗_4^(3−)−P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881062</xdr:colOff>
      <xdr:row>3</xdr:row>
      <xdr:rowOff>23812</xdr:rowOff>
    </xdr:from>
    <xdr:ext cx="601190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3BBA0C-1EAE-43AD-A50F-2140D0B1551E}"/>
                </a:ext>
              </a:extLst>
            </xdr:cNvPr>
            <xdr:cNvSpPr txBox="1"/>
          </xdr:nvSpPr>
          <xdr:spPr>
            <a:xfrm>
              <a:off x="4792662" y="912812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3BBA0C-1EAE-43AD-A50F-2140D0B1551E}"/>
                </a:ext>
              </a:extLst>
            </xdr:cNvPr>
            <xdr:cNvSpPr txBox="1"/>
          </xdr:nvSpPr>
          <xdr:spPr>
            <a:xfrm>
              <a:off x="4792662" y="912812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𝑃𝑂〗_4^(3−)−P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524076</xdr:colOff>
      <xdr:row>6</xdr:row>
      <xdr:rowOff>11793</xdr:rowOff>
    </xdr:from>
    <xdr:ext cx="601190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FFE9FB-1639-48E0-9FD9-C321FD0A58FE}"/>
                </a:ext>
              </a:extLst>
            </xdr:cNvPr>
            <xdr:cNvSpPr txBox="1"/>
          </xdr:nvSpPr>
          <xdr:spPr>
            <a:xfrm>
              <a:off x="15328647" y="1399722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FFE9FB-1639-48E0-9FD9-C321FD0A58FE}"/>
                </a:ext>
              </a:extLst>
            </xdr:cNvPr>
            <xdr:cNvSpPr txBox="1"/>
          </xdr:nvSpPr>
          <xdr:spPr>
            <a:xfrm>
              <a:off x="15328647" y="1399722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𝑃𝑂〗_4^(3−)−P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1222374</xdr:colOff>
      <xdr:row>2</xdr:row>
      <xdr:rowOff>273276</xdr:rowOff>
    </xdr:from>
    <xdr:ext cx="601190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B205534-1506-4CC0-996B-157294C4BCFD}"/>
                </a:ext>
              </a:extLst>
            </xdr:cNvPr>
            <xdr:cNvSpPr txBox="1"/>
          </xdr:nvSpPr>
          <xdr:spPr>
            <a:xfrm>
              <a:off x="12588874" y="882876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B205534-1506-4CC0-996B-157294C4BCFD}"/>
                </a:ext>
              </a:extLst>
            </xdr:cNvPr>
            <xdr:cNvSpPr txBox="1"/>
          </xdr:nvSpPr>
          <xdr:spPr>
            <a:xfrm>
              <a:off x="12588874" y="882876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𝑃𝑂〗_4^(3−)−P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855662</xdr:colOff>
      <xdr:row>2</xdr:row>
      <xdr:rowOff>277812</xdr:rowOff>
    </xdr:from>
    <xdr:ext cx="601190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372528F-F00B-4157-9A2C-7D39E727219B}"/>
                </a:ext>
              </a:extLst>
            </xdr:cNvPr>
            <xdr:cNvSpPr txBox="1"/>
          </xdr:nvSpPr>
          <xdr:spPr>
            <a:xfrm>
              <a:off x="14114462" y="887412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372528F-F00B-4157-9A2C-7D39E727219B}"/>
                </a:ext>
              </a:extLst>
            </xdr:cNvPr>
            <xdr:cNvSpPr txBox="1"/>
          </xdr:nvSpPr>
          <xdr:spPr>
            <a:xfrm>
              <a:off x="14114462" y="887412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𝑃𝑂〗_4^(3−)−P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1196974</xdr:colOff>
      <xdr:row>3</xdr:row>
      <xdr:rowOff>6576</xdr:rowOff>
    </xdr:from>
    <xdr:ext cx="352982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301DAD8-6E9C-4E84-B2D7-B232A9B4E1EE}"/>
                </a:ext>
              </a:extLst>
            </xdr:cNvPr>
            <xdr:cNvSpPr txBox="1"/>
          </xdr:nvSpPr>
          <xdr:spPr>
            <a:xfrm>
              <a:off x="18799174" y="895576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301DAD8-6E9C-4E84-B2D7-B232A9B4E1EE}"/>
                </a:ext>
              </a:extLst>
            </xdr:cNvPr>
            <xdr:cNvSpPr txBox="1"/>
          </xdr:nvSpPr>
          <xdr:spPr>
            <a:xfrm>
              <a:off x="18799174" y="895576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21</xdr:col>
      <xdr:colOff>893762</xdr:colOff>
      <xdr:row>2</xdr:row>
      <xdr:rowOff>265112</xdr:rowOff>
    </xdr:from>
    <xdr:ext cx="352982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40911F1-4D17-4C76-A9D0-8262BECEF4ED}"/>
                </a:ext>
              </a:extLst>
            </xdr:cNvPr>
            <xdr:cNvSpPr txBox="1"/>
          </xdr:nvSpPr>
          <xdr:spPr>
            <a:xfrm>
              <a:off x="20362862" y="874712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40911F1-4D17-4C76-A9D0-8262BECEF4ED}"/>
                </a:ext>
              </a:extLst>
            </xdr:cNvPr>
            <xdr:cNvSpPr txBox="1"/>
          </xdr:nvSpPr>
          <xdr:spPr>
            <a:xfrm>
              <a:off x="20362862" y="874712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651076</xdr:colOff>
      <xdr:row>9</xdr:row>
      <xdr:rowOff>37193</xdr:rowOff>
    </xdr:from>
    <xdr:ext cx="20120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F3A6814-CDA3-460C-9336-B8809FF7E07F}"/>
                </a:ext>
              </a:extLst>
            </xdr:cNvPr>
            <xdr:cNvSpPr txBox="1"/>
          </xdr:nvSpPr>
          <xdr:spPr>
            <a:xfrm>
              <a:off x="21580676" y="2081893"/>
              <a:ext cx="2012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F3A6814-CDA3-460C-9336-B8809FF7E07F}"/>
                </a:ext>
              </a:extLst>
            </xdr:cNvPr>
            <xdr:cNvSpPr txBox="1"/>
          </xdr:nvSpPr>
          <xdr:spPr>
            <a:xfrm>
              <a:off x="21580676" y="2081893"/>
              <a:ext cx="2012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r>
                <a:rPr lang="en-US" sz="1100" b="0" i="0">
                  <a:latin typeface="Cambria Math" panose="02040503050406030204" pitchFamily="18" charset="0"/>
                </a:rPr>
                <a:t>𝑃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1438274</xdr:colOff>
      <xdr:row>3</xdr:row>
      <xdr:rowOff>6576</xdr:rowOff>
    </xdr:from>
    <xdr:ext cx="601190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89ADDF3-59F2-4A2E-9DB2-731B3EDBA740}"/>
                </a:ext>
              </a:extLst>
            </xdr:cNvPr>
            <xdr:cNvSpPr txBox="1"/>
          </xdr:nvSpPr>
          <xdr:spPr>
            <a:xfrm>
              <a:off x="3254374" y="895576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89ADDF3-59F2-4A2E-9DB2-731B3EDBA740}"/>
                </a:ext>
              </a:extLst>
            </xdr:cNvPr>
            <xdr:cNvSpPr txBox="1"/>
          </xdr:nvSpPr>
          <xdr:spPr>
            <a:xfrm>
              <a:off x="3254374" y="895576"/>
              <a:ext cx="601190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𝑃𝑂〗_4^(3−)−P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917574</xdr:colOff>
      <xdr:row>2</xdr:row>
      <xdr:rowOff>273276</xdr:rowOff>
    </xdr:from>
    <xdr:ext cx="352982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89DB035-F5CA-4899-8643-44C180A35CF7}"/>
                </a:ext>
              </a:extLst>
            </xdr:cNvPr>
            <xdr:cNvSpPr txBox="1"/>
          </xdr:nvSpPr>
          <xdr:spPr>
            <a:xfrm>
              <a:off x="9159874" y="882876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89DB035-F5CA-4899-8643-44C180A35CF7}"/>
                </a:ext>
              </a:extLst>
            </xdr:cNvPr>
            <xdr:cNvSpPr txBox="1"/>
          </xdr:nvSpPr>
          <xdr:spPr>
            <a:xfrm>
              <a:off x="9159874" y="882876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7</xdr:col>
      <xdr:colOff>893762</xdr:colOff>
      <xdr:row>2</xdr:row>
      <xdr:rowOff>265112</xdr:rowOff>
    </xdr:from>
    <xdr:ext cx="352982" cy="1799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4FEB7D1-084F-495F-910D-30009D0632FD}"/>
                </a:ext>
              </a:extLst>
            </xdr:cNvPr>
            <xdr:cNvSpPr txBox="1"/>
          </xdr:nvSpPr>
          <xdr:spPr>
            <a:xfrm>
              <a:off x="24579262" y="874712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3−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4FEB7D1-084F-495F-910D-30009D0632FD}"/>
                </a:ext>
              </a:extLst>
            </xdr:cNvPr>
            <xdr:cNvSpPr txBox="1"/>
          </xdr:nvSpPr>
          <xdr:spPr>
            <a:xfrm>
              <a:off x="24579262" y="874712"/>
              <a:ext cx="352982" cy="1799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𝑃𝑂〗_4^(3−)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308176</xdr:colOff>
      <xdr:row>12</xdr:row>
      <xdr:rowOff>11793</xdr:rowOff>
    </xdr:from>
    <xdr:ext cx="1373068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736873F-D751-47B3-8884-0E128889AA31}"/>
                </a:ext>
              </a:extLst>
            </xdr:cNvPr>
            <xdr:cNvSpPr txBox="1"/>
          </xdr:nvSpPr>
          <xdr:spPr>
            <a:xfrm>
              <a:off x="11738176" y="2793093"/>
              <a:ext cx="1373068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𝑻𝒐𝒕𝒂𝒍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𝑷𝒉𝒐𝒔𝒑𝒉𝒐𝒓𝒖𝒔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736873F-D751-47B3-8884-0E128889AA31}"/>
                </a:ext>
              </a:extLst>
            </xdr:cNvPr>
            <xdr:cNvSpPr txBox="1"/>
          </xdr:nvSpPr>
          <xdr:spPr>
            <a:xfrm>
              <a:off x="11738176" y="2793093"/>
              <a:ext cx="1373068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𝑻𝒐𝒕𝒂𝒍 𝑷𝒉𝒐𝒔𝒑𝒉𝒐𝒓𝒖𝒔</a:t>
              </a:r>
              <a:endParaRPr lang="en-US" sz="12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3481-8234-4C32-AADD-29E30EBCA2E9}">
  <sheetPr>
    <tabColor rgb="FFFF0000"/>
  </sheetPr>
  <dimension ref="B2:AH22"/>
  <sheetViews>
    <sheetView tabSelected="1" topLeftCell="U1" zoomScale="80" zoomScaleNormal="80" workbookViewId="0">
      <selection activeCell="B11" sqref="B11:AF11"/>
    </sheetView>
  </sheetViews>
  <sheetFormatPr defaultRowHeight="14.5" x14ac:dyDescent="0.35"/>
  <cols>
    <col min="1" max="1" width="3.1796875" customWidth="1"/>
    <col min="2" max="2" width="23.08984375" customWidth="1"/>
    <col min="3" max="3" width="9.54296875" customWidth="1"/>
    <col min="4" max="4" width="9.81640625" customWidth="1"/>
    <col min="5" max="5" width="9.90625" customWidth="1"/>
    <col min="6" max="6" width="14.6328125" customWidth="1"/>
    <col min="7" max="7" width="26.90625" customWidth="1"/>
    <col min="8" max="8" width="24.1796875" customWidth="1"/>
    <col min="9" max="9" width="10.36328125" customWidth="1"/>
    <col min="10" max="10" width="10.81640625" customWidth="1"/>
    <col min="11" max="11" width="10.1796875" customWidth="1"/>
    <col min="12" max="12" width="16.36328125" customWidth="1"/>
    <col min="13" max="14" width="27.6328125" customWidth="1"/>
    <col min="15" max="15" width="10.81640625" customWidth="1"/>
    <col min="17" max="17" width="10" customWidth="1"/>
    <col min="18" max="18" width="15.08984375" customWidth="1"/>
    <col min="19" max="20" width="28.1796875" customWidth="1"/>
    <col min="21" max="21" width="9.7265625" customWidth="1"/>
    <col min="22" max="23" width="10.6328125" customWidth="1"/>
    <col min="24" max="24" width="15" customWidth="1"/>
    <col min="25" max="26" width="27.6328125" customWidth="1"/>
    <col min="29" max="29" width="10" customWidth="1"/>
    <col min="30" max="30" width="16.81640625" customWidth="1"/>
    <col min="31" max="31" width="27.81640625" customWidth="1"/>
    <col min="32" max="32" width="26.1796875" customWidth="1"/>
  </cols>
  <sheetData>
    <row r="2" spans="2:34" ht="26" x14ac:dyDescent="0.6">
      <c r="B2" s="69" t="s">
        <v>88</v>
      </c>
    </row>
    <row r="3" spans="2:34" ht="15" thickBot="1" x14ac:dyDescent="0.4"/>
    <row r="4" spans="2:34" ht="19" thickBot="1" x14ac:dyDescent="0.5">
      <c r="B4" s="192" t="s">
        <v>0</v>
      </c>
      <c r="C4" s="194" t="s">
        <v>7</v>
      </c>
      <c r="D4" s="195"/>
      <c r="E4" s="195"/>
      <c r="F4" s="195"/>
      <c r="G4" s="195"/>
      <c r="H4" s="196"/>
      <c r="I4" s="197" t="s">
        <v>8</v>
      </c>
      <c r="J4" s="198"/>
      <c r="K4" s="198"/>
      <c r="L4" s="198"/>
      <c r="M4" s="198"/>
      <c r="N4" s="199"/>
      <c r="O4" s="180" t="s">
        <v>9</v>
      </c>
      <c r="P4" s="181"/>
      <c r="Q4" s="181"/>
      <c r="R4" s="181"/>
      <c r="S4" s="181"/>
      <c r="T4" s="182"/>
      <c r="U4" s="183" t="s">
        <v>10</v>
      </c>
      <c r="V4" s="184"/>
      <c r="W4" s="184"/>
      <c r="X4" s="184"/>
      <c r="Y4" s="184"/>
      <c r="Z4" s="185"/>
      <c r="AA4" s="189" t="s">
        <v>65</v>
      </c>
      <c r="AB4" s="190"/>
      <c r="AC4" s="190"/>
      <c r="AD4" s="190"/>
      <c r="AE4" s="190"/>
      <c r="AF4" s="191"/>
    </row>
    <row r="5" spans="2:34" ht="16.5" thickBot="1" x14ac:dyDescent="0.4">
      <c r="B5" s="193"/>
      <c r="C5" s="40" t="s">
        <v>12</v>
      </c>
      <c r="D5" s="40" t="s">
        <v>18</v>
      </c>
      <c r="E5" s="40" t="s">
        <v>66</v>
      </c>
      <c r="F5" s="40" t="s">
        <v>67</v>
      </c>
      <c r="G5" s="41" t="s">
        <v>68</v>
      </c>
      <c r="H5" s="41" t="s">
        <v>103</v>
      </c>
      <c r="I5" s="42" t="s">
        <v>12</v>
      </c>
      <c r="J5" s="42" t="s">
        <v>18</v>
      </c>
      <c r="K5" s="42" t="s">
        <v>66</v>
      </c>
      <c r="L5" s="42" t="s">
        <v>67</v>
      </c>
      <c r="M5" s="42" t="s">
        <v>68</v>
      </c>
      <c r="N5" s="42" t="s">
        <v>103</v>
      </c>
      <c r="O5" s="43" t="s">
        <v>12</v>
      </c>
      <c r="P5" s="43" t="s">
        <v>18</v>
      </c>
      <c r="Q5" s="43" t="s">
        <v>66</v>
      </c>
      <c r="R5" s="43" t="s">
        <v>67</v>
      </c>
      <c r="S5" s="43" t="s">
        <v>68</v>
      </c>
      <c r="T5" s="43" t="s">
        <v>103</v>
      </c>
      <c r="U5" s="44" t="s">
        <v>12</v>
      </c>
      <c r="V5" s="44" t="s">
        <v>18</v>
      </c>
      <c r="W5" s="44" t="s">
        <v>66</v>
      </c>
      <c r="X5" s="44" t="s">
        <v>67</v>
      </c>
      <c r="Y5" s="44" t="s">
        <v>68</v>
      </c>
      <c r="Z5" s="44" t="s">
        <v>103</v>
      </c>
      <c r="AA5" s="80" t="s">
        <v>72</v>
      </c>
      <c r="AB5" s="81" t="s">
        <v>73</v>
      </c>
      <c r="AC5" s="80" t="s">
        <v>12</v>
      </c>
      <c r="AD5" s="80" t="s">
        <v>67</v>
      </c>
      <c r="AE5" s="80" t="s">
        <v>68</v>
      </c>
      <c r="AF5" s="80" t="s">
        <v>103</v>
      </c>
      <c r="AG5" s="115"/>
      <c r="AH5" s="115"/>
    </row>
    <row r="6" spans="2:34" ht="16.5" thickBot="1" x14ac:dyDescent="0.45">
      <c r="B6" s="39" t="s">
        <v>69</v>
      </c>
      <c r="C6" s="70">
        <v>22667</v>
      </c>
      <c r="D6" s="70">
        <v>31492</v>
      </c>
      <c r="E6" s="70">
        <v>26300</v>
      </c>
      <c r="F6" s="70">
        <v>18.649999999999999</v>
      </c>
      <c r="G6" s="71">
        <v>132</v>
      </c>
      <c r="H6" s="71" t="s">
        <v>95</v>
      </c>
      <c r="I6" s="72">
        <v>15733</v>
      </c>
      <c r="J6" s="72">
        <v>27225</v>
      </c>
      <c r="K6" s="72">
        <v>21920</v>
      </c>
      <c r="L6" s="72">
        <v>17.36</v>
      </c>
      <c r="M6" s="72">
        <v>124</v>
      </c>
      <c r="N6" s="72" t="s">
        <v>95</v>
      </c>
      <c r="O6" s="76">
        <v>18667</v>
      </c>
      <c r="P6" s="76">
        <v>20124</v>
      </c>
      <c r="Q6" s="76">
        <v>15313</v>
      </c>
      <c r="R6" s="76">
        <v>22.33</v>
      </c>
      <c r="S6" s="76">
        <v>376</v>
      </c>
      <c r="T6" s="76" t="s">
        <v>95</v>
      </c>
      <c r="U6" s="77">
        <v>8133</v>
      </c>
      <c r="V6" s="77">
        <v>17703</v>
      </c>
      <c r="W6" s="77">
        <v>12752</v>
      </c>
      <c r="X6" s="77">
        <v>18.71</v>
      </c>
      <c r="Y6" s="77">
        <v>170</v>
      </c>
      <c r="Z6" s="77" t="s">
        <v>95</v>
      </c>
      <c r="AA6" s="82">
        <v>5.5</v>
      </c>
      <c r="AB6" s="83">
        <v>90.43</v>
      </c>
      <c r="AC6" s="82" t="s">
        <v>95</v>
      </c>
      <c r="AD6" s="82" t="s">
        <v>95</v>
      </c>
      <c r="AE6" s="82" t="s">
        <v>95</v>
      </c>
      <c r="AF6" s="82" t="s">
        <v>95</v>
      </c>
      <c r="AG6" s="108"/>
      <c r="AH6" s="108"/>
    </row>
    <row r="7" spans="2:34" ht="16.5" thickBot="1" x14ac:dyDescent="0.45">
      <c r="B7" s="38" t="s">
        <v>70</v>
      </c>
      <c r="C7" s="73">
        <v>29200</v>
      </c>
      <c r="D7" s="73">
        <v>27937</v>
      </c>
      <c r="E7" s="73">
        <v>22331</v>
      </c>
      <c r="F7" s="73">
        <v>14.46</v>
      </c>
      <c r="G7" s="74">
        <v>152</v>
      </c>
      <c r="H7" s="71" t="s">
        <v>95</v>
      </c>
      <c r="I7" s="75">
        <v>23333</v>
      </c>
      <c r="J7" s="75">
        <v>25025</v>
      </c>
      <c r="K7" s="75">
        <v>20895</v>
      </c>
      <c r="L7" s="75">
        <v>15.01</v>
      </c>
      <c r="M7" s="75">
        <v>136</v>
      </c>
      <c r="N7" s="72" t="s">
        <v>95</v>
      </c>
      <c r="O7" s="78">
        <v>27733</v>
      </c>
      <c r="P7" s="78">
        <v>20404</v>
      </c>
      <c r="Q7" s="78">
        <v>15256</v>
      </c>
      <c r="R7" s="78">
        <v>16.05</v>
      </c>
      <c r="S7" s="78">
        <v>154</v>
      </c>
      <c r="T7" s="76" t="s">
        <v>95</v>
      </c>
      <c r="U7" s="79">
        <v>11467</v>
      </c>
      <c r="V7" s="79">
        <v>17761</v>
      </c>
      <c r="W7" s="79">
        <v>13220</v>
      </c>
      <c r="X7" s="79">
        <v>13.02</v>
      </c>
      <c r="Y7" s="79">
        <v>146</v>
      </c>
      <c r="Z7" s="77" t="s">
        <v>95</v>
      </c>
      <c r="AA7" s="84">
        <v>5.69</v>
      </c>
      <c r="AB7" s="85">
        <v>90.24</v>
      </c>
      <c r="AC7" s="84" t="s">
        <v>95</v>
      </c>
      <c r="AD7" s="82" t="s">
        <v>95</v>
      </c>
      <c r="AE7" s="82" t="s">
        <v>95</v>
      </c>
      <c r="AF7" s="82" t="s">
        <v>95</v>
      </c>
      <c r="AG7" s="108"/>
      <c r="AH7" s="108"/>
    </row>
    <row r="8" spans="2:34" ht="16.5" thickBot="1" x14ac:dyDescent="0.45">
      <c r="B8" s="39" t="s">
        <v>71</v>
      </c>
      <c r="C8" s="70">
        <v>32133</v>
      </c>
      <c r="D8" s="70">
        <v>23512</v>
      </c>
      <c r="E8" s="70">
        <v>18911</v>
      </c>
      <c r="F8" s="70">
        <v>15.71</v>
      </c>
      <c r="G8" s="71">
        <v>146</v>
      </c>
      <c r="H8" s="71" t="s">
        <v>95</v>
      </c>
      <c r="I8" s="72">
        <v>27600</v>
      </c>
      <c r="J8" s="72">
        <v>23613</v>
      </c>
      <c r="K8" s="72">
        <v>18903</v>
      </c>
      <c r="L8" s="72">
        <v>16.36</v>
      </c>
      <c r="M8" s="72">
        <v>160</v>
      </c>
      <c r="N8" s="72" t="s">
        <v>95</v>
      </c>
      <c r="O8" s="76">
        <v>29867</v>
      </c>
      <c r="P8" s="76">
        <v>19372</v>
      </c>
      <c r="Q8" s="76">
        <v>14037</v>
      </c>
      <c r="R8" s="76">
        <v>19.55</v>
      </c>
      <c r="S8" s="76">
        <v>160</v>
      </c>
      <c r="T8" s="76" t="s">
        <v>95</v>
      </c>
      <c r="U8" s="77">
        <v>25333</v>
      </c>
      <c r="V8" s="77">
        <v>22476</v>
      </c>
      <c r="W8" s="77">
        <v>17085</v>
      </c>
      <c r="X8" s="77">
        <v>12.79</v>
      </c>
      <c r="Y8" s="77">
        <v>390</v>
      </c>
      <c r="Z8" s="77" t="s">
        <v>95</v>
      </c>
      <c r="AA8" s="82">
        <v>6.18</v>
      </c>
      <c r="AB8" s="83">
        <v>90.27</v>
      </c>
      <c r="AC8" s="82" t="s">
        <v>95</v>
      </c>
      <c r="AD8" s="82" t="s">
        <v>95</v>
      </c>
      <c r="AE8" s="82" t="s">
        <v>95</v>
      </c>
      <c r="AF8" s="82" t="s">
        <v>95</v>
      </c>
      <c r="AG8" s="108"/>
      <c r="AH8" s="108"/>
    </row>
    <row r="9" spans="2:34" ht="16.5" thickBot="1" x14ac:dyDescent="0.45">
      <c r="B9" s="39" t="s">
        <v>89</v>
      </c>
      <c r="C9" s="70">
        <v>26267</v>
      </c>
      <c r="D9" s="70">
        <v>25768</v>
      </c>
      <c r="E9" s="70">
        <v>20229</v>
      </c>
      <c r="F9" s="70">
        <v>15.82</v>
      </c>
      <c r="G9" s="71">
        <v>118</v>
      </c>
      <c r="H9" s="71" t="s">
        <v>95</v>
      </c>
      <c r="I9" s="72">
        <v>26133</v>
      </c>
      <c r="J9" s="72">
        <v>27637</v>
      </c>
      <c r="K9" s="72">
        <v>22437</v>
      </c>
      <c r="L9" s="72">
        <v>16.32</v>
      </c>
      <c r="M9" s="72">
        <v>150</v>
      </c>
      <c r="N9" s="72" t="s">
        <v>95</v>
      </c>
      <c r="O9" s="76">
        <v>38933</v>
      </c>
      <c r="P9" s="76">
        <v>22465</v>
      </c>
      <c r="Q9" s="76">
        <v>16857</v>
      </c>
      <c r="R9" s="76">
        <v>16.41</v>
      </c>
      <c r="S9" s="76">
        <v>184</v>
      </c>
      <c r="T9" s="76" t="s">
        <v>95</v>
      </c>
      <c r="U9" s="77">
        <v>28933</v>
      </c>
      <c r="V9" s="77">
        <v>18981</v>
      </c>
      <c r="W9" s="77">
        <v>13864</v>
      </c>
      <c r="X9" s="77">
        <v>15.14</v>
      </c>
      <c r="Y9" s="77">
        <v>166</v>
      </c>
      <c r="Z9" s="77" t="s">
        <v>95</v>
      </c>
      <c r="AA9" s="82">
        <v>7.37</v>
      </c>
      <c r="AB9" s="83">
        <v>92.05</v>
      </c>
      <c r="AC9" s="82" t="s">
        <v>95</v>
      </c>
      <c r="AD9" s="82" t="s">
        <v>95</v>
      </c>
      <c r="AE9" s="82" t="s">
        <v>95</v>
      </c>
      <c r="AF9" s="82" t="s">
        <v>95</v>
      </c>
      <c r="AG9" s="108"/>
      <c r="AH9" s="108"/>
    </row>
    <row r="10" spans="2:34" ht="16.5" thickBot="1" x14ac:dyDescent="0.45">
      <c r="B10" s="39" t="s">
        <v>104</v>
      </c>
      <c r="C10" s="70">
        <v>15000</v>
      </c>
      <c r="D10" s="70">
        <v>24071</v>
      </c>
      <c r="E10" s="70">
        <v>18655</v>
      </c>
      <c r="F10" s="70">
        <v>22.33</v>
      </c>
      <c r="G10" s="71">
        <v>116</v>
      </c>
      <c r="H10" s="71">
        <v>182</v>
      </c>
      <c r="I10" s="72">
        <v>13167</v>
      </c>
      <c r="J10" s="72">
        <v>25483</v>
      </c>
      <c r="K10" s="72">
        <v>19853</v>
      </c>
      <c r="L10" s="72">
        <v>22.55</v>
      </c>
      <c r="M10" s="72">
        <v>114</v>
      </c>
      <c r="N10" s="72">
        <v>190</v>
      </c>
      <c r="O10" s="76">
        <v>12500</v>
      </c>
      <c r="P10" s="76">
        <v>25421</v>
      </c>
      <c r="Q10" s="76">
        <v>19629</v>
      </c>
      <c r="R10" s="76">
        <v>21.38</v>
      </c>
      <c r="S10" s="76">
        <v>132</v>
      </c>
      <c r="T10" s="76">
        <v>170</v>
      </c>
      <c r="U10" s="77">
        <v>10333</v>
      </c>
      <c r="V10" s="77">
        <v>21128</v>
      </c>
      <c r="W10" s="77">
        <v>15295</v>
      </c>
      <c r="X10" s="77">
        <v>22.87</v>
      </c>
      <c r="Y10" s="77">
        <v>84</v>
      </c>
      <c r="Z10" s="77">
        <v>118</v>
      </c>
      <c r="AA10" s="82">
        <v>5.69</v>
      </c>
      <c r="AB10" s="83">
        <v>90.32</v>
      </c>
      <c r="AC10" s="82">
        <v>15833</v>
      </c>
      <c r="AD10" s="82">
        <v>12.52</v>
      </c>
      <c r="AE10" s="82">
        <v>240</v>
      </c>
      <c r="AF10" s="82">
        <v>312</v>
      </c>
    </row>
    <row r="11" spans="2:34" ht="16.5" thickBot="1" x14ac:dyDescent="0.45">
      <c r="B11" s="39" t="s">
        <v>108</v>
      </c>
      <c r="C11" s="70">
        <v>14333</v>
      </c>
      <c r="D11" s="70">
        <v>24996</v>
      </c>
      <c r="E11" s="70">
        <v>19652</v>
      </c>
      <c r="F11" s="70">
        <v>20.29</v>
      </c>
      <c r="G11" s="71">
        <v>120</v>
      </c>
      <c r="H11" s="71">
        <v>150</v>
      </c>
      <c r="I11" s="72">
        <v>13417</v>
      </c>
      <c r="J11" s="72">
        <v>23680</v>
      </c>
      <c r="K11" s="72">
        <v>18412</v>
      </c>
      <c r="L11" s="72">
        <v>18.53</v>
      </c>
      <c r="M11" s="72">
        <v>136</v>
      </c>
      <c r="N11" s="72">
        <v>180</v>
      </c>
      <c r="O11" s="76">
        <v>12417</v>
      </c>
      <c r="P11" s="76">
        <v>22327</v>
      </c>
      <c r="Q11" s="76">
        <v>16895</v>
      </c>
      <c r="R11" s="76">
        <v>17.940000000000001</v>
      </c>
      <c r="S11" s="76">
        <v>138</v>
      </c>
      <c r="T11" s="76">
        <v>166</v>
      </c>
      <c r="U11" s="77">
        <v>12000</v>
      </c>
      <c r="V11" s="77">
        <v>22357</v>
      </c>
      <c r="W11" s="77">
        <v>16724</v>
      </c>
      <c r="X11" s="77">
        <v>20.43</v>
      </c>
      <c r="Y11" s="77">
        <v>124</v>
      </c>
      <c r="Z11" s="77">
        <v>154</v>
      </c>
      <c r="AA11" s="82">
        <v>4.84</v>
      </c>
      <c r="AB11" s="83">
        <v>88.16</v>
      </c>
      <c r="AC11" s="82">
        <v>11125</v>
      </c>
      <c r="AD11" s="82">
        <v>11.39</v>
      </c>
      <c r="AE11" s="82">
        <v>172</v>
      </c>
      <c r="AF11" s="82">
        <v>384</v>
      </c>
    </row>
    <row r="13" spans="2:34" ht="26" x14ac:dyDescent="0.6">
      <c r="B13" s="69"/>
    </row>
    <row r="15" spans="2:34" ht="26" x14ac:dyDescent="0.6">
      <c r="B15" s="69" t="s">
        <v>90</v>
      </c>
    </row>
    <row r="16" spans="2:34" ht="15" thickBot="1" x14ac:dyDescent="0.4"/>
    <row r="17" spans="2:32" ht="19" thickBot="1" x14ac:dyDescent="0.5">
      <c r="B17" s="192" t="s">
        <v>0</v>
      </c>
      <c r="C17" s="194" t="s">
        <v>7</v>
      </c>
      <c r="D17" s="195"/>
      <c r="E17" s="195"/>
      <c r="F17" s="195"/>
      <c r="G17" s="195"/>
      <c r="H17" s="196"/>
      <c r="I17" s="197" t="s">
        <v>8</v>
      </c>
      <c r="J17" s="198"/>
      <c r="K17" s="198"/>
      <c r="L17" s="198"/>
      <c r="M17" s="198"/>
      <c r="N17" s="199"/>
      <c r="O17" s="183" t="s">
        <v>10</v>
      </c>
      <c r="P17" s="184"/>
      <c r="Q17" s="184"/>
      <c r="R17" s="184"/>
      <c r="S17" s="184"/>
      <c r="T17" s="185"/>
      <c r="U17" s="186" t="s">
        <v>94</v>
      </c>
      <c r="V17" s="187"/>
      <c r="W17" s="187"/>
      <c r="X17" s="187"/>
      <c r="Y17" s="187"/>
      <c r="Z17" s="188"/>
      <c r="AA17" s="189" t="s">
        <v>65</v>
      </c>
      <c r="AB17" s="190"/>
      <c r="AC17" s="190"/>
      <c r="AD17" s="190"/>
      <c r="AE17" s="190"/>
      <c r="AF17" s="191"/>
    </row>
    <row r="18" spans="2:32" ht="16.5" thickBot="1" x14ac:dyDescent="0.4">
      <c r="B18" s="193"/>
      <c r="C18" s="40" t="s">
        <v>12</v>
      </c>
      <c r="D18" s="40" t="s">
        <v>18</v>
      </c>
      <c r="E18" s="40" t="s">
        <v>66</v>
      </c>
      <c r="F18" s="40" t="s">
        <v>67</v>
      </c>
      <c r="G18" s="41" t="s">
        <v>68</v>
      </c>
      <c r="H18" s="41" t="s">
        <v>103</v>
      </c>
      <c r="I18" s="42" t="s">
        <v>12</v>
      </c>
      <c r="J18" s="42" t="s">
        <v>18</v>
      </c>
      <c r="K18" s="42" t="s">
        <v>66</v>
      </c>
      <c r="L18" s="42" t="s">
        <v>67</v>
      </c>
      <c r="M18" s="42" t="s">
        <v>68</v>
      </c>
      <c r="N18" s="42" t="s">
        <v>103</v>
      </c>
      <c r="O18" s="44" t="s">
        <v>12</v>
      </c>
      <c r="P18" s="44" t="s">
        <v>18</v>
      </c>
      <c r="Q18" s="44" t="s">
        <v>66</v>
      </c>
      <c r="R18" s="44" t="s">
        <v>67</v>
      </c>
      <c r="S18" s="44" t="s">
        <v>68</v>
      </c>
      <c r="T18" s="44" t="s">
        <v>103</v>
      </c>
      <c r="U18" s="113" t="s">
        <v>12</v>
      </c>
      <c r="V18" s="113" t="s">
        <v>18</v>
      </c>
      <c r="W18" s="113" t="s">
        <v>66</v>
      </c>
      <c r="X18" s="113" t="s">
        <v>67</v>
      </c>
      <c r="Y18" s="113" t="s">
        <v>68</v>
      </c>
      <c r="Z18" s="113" t="s">
        <v>103</v>
      </c>
      <c r="AA18" s="80" t="s">
        <v>72</v>
      </c>
      <c r="AB18" s="81" t="s">
        <v>73</v>
      </c>
      <c r="AC18" s="80" t="s">
        <v>12</v>
      </c>
      <c r="AD18" s="80" t="s">
        <v>67</v>
      </c>
      <c r="AE18" s="80" t="s">
        <v>68</v>
      </c>
      <c r="AF18" s="80" t="s">
        <v>103</v>
      </c>
    </row>
    <row r="19" spans="2:32" ht="16.5" thickBot="1" x14ac:dyDescent="0.45">
      <c r="B19" s="39" t="s">
        <v>89</v>
      </c>
      <c r="C19" s="70">
        <v>11000</v>
      </c>
      <c r="D19" s="70">
        <v>25504</v>
      </c>
      <c r="E19" s="70">
        <v>17469</v>
      </c>
      <c r="F19" s="70">
        <v>12.72</v>
      </c>
      <c r="G19" s="71">
        <v>110</v>
      </c>
      <c r="H19" s="71"/>
      <c r="I19" s="72">
        <v>5833</v>
      </c>
      <c r="J19" s="72">
        <v>17153</v>
      </c>
      <c r="K19" s="72">
        <v>11369</v>
      </c>
      <c r="L19" s="72">
        <v>11.25</v>
      </c>
      <c r="M19" s="72">
        <v>120</v>
      </c>
      <c r="N19" s="72"/>
      <c r="O19" s="77">
        <v>13833</v>
      </c>
      <c r="P19" s="77">
        <v>20883</v>
      </c>
      <c r="Q19" s="77">
        <v>14464</v>
      </c>
      <c r="R19" s="77">
        <v>11.55</v>
      </c>
      <c r="S19" s="77">
        <v>62</v>
      </c>
      <c r="T19" s="77"/>
      <c r="U19" s="114" t="s">
        <v>95</v>
      </c>
      <c r="V19" s="114" t="s">
        <v>95</v>
      </c>
      <c r="W19" s="114" t="s">
        <v>95</v>
      </c>
      <c r="X19" s="114" t="s">
        <v>95</v>
      </c>
      <c r="Y19" s="114" t="s">
        <v>95</v>
      </c>
      <c r="Z19" s="114" t="s">
        <v>95</v>
      </c>
      <c r="AA19" s="82">
        <v>4.09</v>
      </c>
      <c r="AB19" s="83">
        <v>86.66</v>
      </c>
      <c r="AC19" s="82" t="s">
        <v>95</v>
      </c>
      <c r="AD19" s="82" t="s">
        <v>95</v>
      </c>
      <c r="AE19" s="82" t="s">
        <v>95</v>
      </c>
      <c r="AF19" s="82" t="s">
        <v>95</v>
      </c>
    </row>
    <row r="20" spans="2:32" ht="16.5" thickBot="1" x14ac:dyDescent="0.45">
      <c r="B20" s="39" t="s">
        <v>96</v>
      </c>
      <c r="C20" s="70">
        <v>19000</v>
      </c>
      <c r="D20" s="70">
        <v>27513</v>
      </c>
      <c r="E20" s="70">
        <v>19768</v>
      </c>
      <c r="F20" s="70">
        <v>11.5</v>
      </c>
      <c r="G20" s="71">
        <v>106</v>
      </c>
      <c r="H20" s="71">
        <v>124</v>
      </c>
      <c r="I20" s="72">
        <v>13000</v>
      </c>
      <c r="J20" s="72">
        <v>21369</v>
      </c>
      <c r="K20" s="72">
        <v>16087</v>
      </c>
      <c r="L20" s="72">
        <v>11.1</v>
      </c>
      <c r="M20" s="72">
        <v>146</v>
      </c>
      <c r="N20" s="72">
        <v>212</v>
      </c>
      <c r="O20" s="77">
        <v>12667</v>
      </c>
      <c r="P20" s="77">
        <v>20107</v>
      </c>
      <c r="Q20" s="77">
        <v>14437</v>
      </c>
      <c r="R20" s="77">
        <v>11.3</v>
      </c>
      <c r="S20" s="77">
        <v>116</v>
      </c>
      <c r="T20" s="77">
        <v>156</v>
      </c>
      <c r="U20" s="114">
        <v>2167</v>
      </c>
      <c r="V20" s="114">
        <v>2036</v>
      </c>
      <c r="W20" s="114">
        <v>1024</v>
      </c>
      <c r="X20" s="114">
        <v>4.54</v>
      </c>
      <c r="Y20" s="114">
        <v>60</v>
      </c>
      <c r="Z20" s="114">
        <v>86</v>
      </c>
      <c r="AA20" s="82">
        <v>5.53</v>
      </c>
      <c r="AB20" s="83">
        <v>90.39</v>
      </c>
      <c r="AC20" s="82">
        <v>18000</v>
      </c>
      <c r="AD20" s="82">
        <v>8.16</v>
      </c>
      <c r="AE20" s="82">
        <v>68</v>
      </c>
      <c r="AF20" s="82">
        <v>188</v>
      </c>
    </row>
    <row r="21" spans="2:32" ht="16" x14ac:dyDescent="0.4">
      <c r="B21" s="109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</row>
    <row r="22" spans="2:32" ht="16" x14ac:dyDescent="0.4">
      <c r="B22" s="109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</row>
  </sheetData>
  <mergeCells count="12">
    <mergeCell ref="B4:B5"/>
    <mergeCell ref="B17:B18"/>
    <mergeCell ref="C4:H4"/>
    <mergeCell ref="C17:H17"/>
    <mergeCell ref="I4:N4"/>
    <mergeCell ref="I17:N17"/>
    <mergeCell ref="O4:T4"/>
    <mergeCell ref="O17:T17"/>
    <mergeCell ref="U4:Z4"/>
    <mergeCell ref="U17:Z17"/>
    <mergeCell ref="AA4:AF4"/>
    <mergeCell ref="AA17:A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93F0-8921-4EFA-AA76-B32E07E9D6DC}">
  <dimension ref="A2:Z88"/>
  <sheetViews>
    <sheetView topLeftCell="F56" zoomScale="70" zoomScaleNormal="70" workbookViewId="0">
      <selection activeCell="A69" sqref="A69:J81"/>
    </sheetView>
  </sheetViews>
  <sheetFormatPr defaultRowHeight="14.5" x14ac:dyDescent="0.35"/>
  <cols>
    <col min="1" max="1" width="12.81640625" customWidth="1"/>
    <col min="2" max="2" width="17.26953125" customWidth="1"/>
    <col min="3" max="3" width="18.36328125" customWidth="1"/>
    <col min="4" max="4" width="31.26953125" customWidth="1"/>
    <col min="5" max="5" width="26.26953125" customWidth="1"/>
    <col min="6" max="6" width="19" customWidth="1"/>
    <col min="7" max="7" width="26.54296875" customWidth="1"/>
    <col min="8" max="8" width="23.7265625" customWidth="1"/>
    <col min="9" max="9" width="23.08984375" customWidth="1"/>
    <col min="10" max="12" width="19.08984375" customWidth="1"/>
    <col min="14" max="14" width="11.81640625" customWidth="1"/>
    <col min="15" max="15" width="14.453125" customWidth="1"/>
    <col min="16" max="16" width="11.90625" customWidth="1"/>
    <col min="17" max="17" width="21.54296875" customWidth="1"/>
    <col min="18" max="18" width="20.54296875" customWidth="1"/>
    <col min="19" max="19" width="14.1796875" customWidth="1"/>
    <col min="20" max="20" width="17.1796875" customWidth="1"/>
    <col min="21" max="21" width="16.1796875" customWidth="1"/>
    <col min="22" max="22" width="23" customWidth="1"/>
    <col min="23" max="23" width="12.6328125" customWidth="1"/>
  </cols>
  <sheetData>
    <row r="2" spans="1:26" ht="29" x14ac:dyDescent="0.7">
      <c r="A2" s="88" t="s">
        <v>92</v>
      </c>
      <c r="N2" s="88" t="s">
        <v>93</v>
      </c>
    </row>
    <row r="3" spans="1:26" ht="18.5" x14ac:dyDescent="0.45">
      <c r="A3" s="5" t="s">
        <v>5</v>
      </c>
      <c r="N3" s="5" t="s">
        <v>5</v>
      </c>
    </row>
    <row r="4" spans="1:26" ht="15" thickBot="1" x14ac:dyDescent="0.4"/>
    <row r="5" spans="1:26" ht="15" thickBot="1" x14ac:dyDescent="0.4">
      <c r="A5" s="3" t="s">
        <v>0</v>
      </c>
      <c r="B5" s="4" t="s">
        <v>6</v>
      </c>
      <c r="C5" s="3" t="s">
        <v>1</v>
      </c>
      <c r="D5" s="3" t="s">
        <v>11</v>
      </c>
      <c r="E5" s="3" t="s">
        <v>14</v>
      </c>
      <c r="F5" s="6" t="s">
        <v>12</v>
      </c>
      <c r="G5" s="7" t="s">
        <v>13</v>
      </c>
      <c r="H5" s="8" t="s">
        <v>25</v>
      </c>
      <c r="I5" s="8" t="s">
        <v>26</v>
      </c>
      <c r="J5" s="9" t="s">
        <v>64</v>
      </c>
      <c r="K5" s="10"/>
      <c r="L5" s="10"/>
      <c r="N5" s="89" t="s">
        <v>0</v>
      </c>
      <c r="O5" s="24" t="s">
        <v>6</v>
      </c>
      <c r="P5" s="89" t="s">
        <v>1</v>
      </c>
      <c r="Q5" s="89" t="s">
        <v>11</v>
      </c>
      <c r="R5" s="89" t="s">
        <v>14</v>
      </c>
      <c r="S5" s="24" t="s">
        <v>12</v>
      </c>
      <c r="T5" s="110" t="s">
        <v>13</v>
      </c>
      <c r="U5" s="24" t="s">
        <v>25</v>
      </c>
      <c r="V5" s="24" t="s">
        <v>26</v>
      </c>
      <c r="W5" s="24" t="s">
        <v>64</v>
      </c>
      <c r="X5" s="10"/>
      <c r="Y5" s="10"/>
      <c r="Z5" s="10"/>
    </row>
    <row r="6" spans="1:26" x14ac:dyDescent="0.35">
      <c r="A6" s="257">
        <v>45916</v>
      </c>
      <c r="B6" s="237" t="s">
        <v>7</v>
      </c>
      <c r="C6" s="1" t="s">
        <v>2</v>
      </c>
      <c r="D6" s="2">
        <v>104.8</v>
      </c>
      <c r="E6" s="2">
        <v>108.2</v>
      </c>
      <c r="F6" s="14">
        <f>(((E6-D6)*1000)/100)*400</f>
        <v>13600.000000000022</v>
      </c>
      <c r="G6" s="260">
        <f>SUM(F6:F8)/3</f>
        <v>22666.666666666686</v>
      </c>
      <c r="H6" s="256" t="s">
        <v>27</v>
      </c>
      <c r="I6" s="241" t="s">
        <v>28</v>
      </c>
      <c r="J6" s="271">
        <f>(G6/10000)</f>
        <v>2.2666666666666688</v>
      </c>
      <c r="K6" s="11"/>
      <c r="L6" s="11"/>
      <c r="N6" s="266">
        <v>45945</v>
      </c>
      <c r="O6" s="216" t="s">
        <v>7</v>
      </c>
      <c r="P6" s="125" t="s">
        <v>2</v>
      </c>
      <c r="Q6" s="87">
        <v>104.2</v>
      </c>
      <c r="R6" s="87">
        <v>106.5</v>
      </c>
      <c r="S6" s="126">
        <f>(((R6-Q6)*1000)/100)*500</f>
        <v>11499.999999999985</v>
      </c>
      <c r="T6" s="239">
        <f>SUM(S6:S8)/3</f>
        <v>11000.000000000015</v>
      </c>
      <c r="U6" s="206" t="s">
        <v>27</v>
      </c>
      <c r="V6" s="221" t="s">
        <v>29</v>
      </c>
      <c r="W6" s="277">
        <f>(T6/10000)</f>
        <v>1.1000000000000014</v>
      </c>
      <c r="X6" s="86"/>
      <c r="Y6" s="86"/>
      <c r="Z6" s="86"/>
    </row>
    <row r="7" spans="1:26" x14ac:dyDescent="0.35">
      <c r="A7" s="258"/>
      <c r="B7" s="237"/>
      <c r="C7" s="1" t="s">
        <v>3</v>
      </c>
      <c r="D7" s="2">
        <v>105.9</v>
      </c>
      <c r="E7" s="2">
        <v>112.9</v>
      </c>
      <c r="F7" s="14">
        <f t="shared" ref="F7:F17" si="0">(((E7-D7)*1000)/100)*400</f>
        <v>28000</v>
      </c>
      <c r="G7" s="261"/>
      <c r="H7" s="242"/>
      <c r="I7" s="242"/>
      <c r="J7" s="271"/>
      <c r="K7" s="11"/>
      <c r="L7" s="11"/>
      <c r="N7" s="267"/>
      <c r="O7" s="217"/>
      <c r="P7" s="119" t="s">
        <v>3</v>
      </c>
      <c r="Q7" s="90">
        <v>103.6</v>
      </c>
      <c r="R7" s="90">
        <v>106</v>
      </c>
      <c r="S7" s="126">
        <f t="shared" ref="S7:S14" si="1">(((R7-Q7)*1000)/100)*500</f>
        <v>12000.000000000027</v>
      </c>
      <c r="T7" s="239"/>
      <c r="U7" s="206"/>
      <c r="V7" s="222"/>
      <c r="W7" s="271"/>
      <c r="X7" s="86"/>
      <c r="Y7" s="86"/>
      <c r="Z7" s="86"/>
    </row>
    <row r="8" spans="1:26" ht="15" thickBot="1" x14ac:dyDescent="0.4">
      <c r="A8" s="258"/>
      <c r="B8" s="237"/>
      <c r="C8" s="1" t="s">
        <v>4</v>
      </c>
      <c r="D8" s="2">
        <v>105.6</v>
      </c>
      <c r="E8" s="2">
        <v>112.2</v>
      </c>
      <c r="F8" s="14">
        <f t="shared" si="0"/>
        <v>26400.000000000033</v>
      </c>
      <c r="G8" s="262"/>
      <c r="H8" s="242"/>
      <c r="I8" s="246"/>
      <c r="J8" s="271"/>
      <c r="K8" s="11"/>
      <c r="L8" s="11"/>
      <c r="N8" s="267"/>
      <c r="O8" s="217"/>
      <c r="P8" s="119" t="s">
        <v>4</v>
      </c>
      <c r="Q8" s="90">
        <v>104.5</v>
      </c>
      <c r="R8" s="90">
        <v>106.4</v>
      </c>
      <c r="S8" s="126">
        <f t="shared" si="1"/>
        <v>9500.0000000000291</v>
      </c>
      <c r="T8" s="240"/>
      <c r="U8" s="206"/>
      <c r="V8" s="223"/>
      <c r="W8" s="271"/>
      <c r="X8" s="86"/>
      <c r="Y8" s="86"/>
      <c r="Z8" s="86"/>
    </row>
    <row r="9" spans="1:26" x14ac:dyDescent="0.35">
      <c r="A9" s="258"/>
      <c r="B9" s="237" t="s">
        <v>8</v>
      </c>
      <c r="C9" s="1" t="s">
        <v>2</v>
      </c>
      <c r="D9" s="2">
        <v>104.1</v>
      </c>
      <c r="E9" s="2">
        <v>107.3</v>
      </c>
      <c r="F9" s="14">
        <f t="shared" si="0"/>
        <v>12800.000000000011</v>
      </c>
      <c r="G9" s="260">
        <f>SUM(F9:F11)/3</f>
        <v>15733.333333333348</v>
      </c>
      <c r="H9" s="242"/>
      <c r="I9" s="241" t="s">
        <v>28</v>
      </c>
      <c r="J9" s="271">
        <f t="shared" ref="J9" si="2">(G9/10000)</f>
        <v>1.5733333333333348</v>
      </c>
      <c r="K9" s="11"/>
      <c r="L9" s="11"/>
      <c r="N9" s="267"/>
      <c r="O9" s="217" t="s">
        <v>8</v>
      </c>
      <c r="P9" s="119" t="s">
        <v>2</v>
      </c>
      <c r="Q9" s="90">
        <v>104.4</v>
      </c>
      <c r="R9" s="90">
        <v>105.7</v>
      </c>
      <c r="S9" s="126">
        <f t="shared" si="1"/>
        <v>6499.9999999999864</v>
      </c>
      <c r="T9" s="238">
        <f>SUM(S9:S11)/3</f>
        <v>5833.333333333333</v>
      </c>
      <c r="U9" s="206"/>
      <c r="V9" s="221" t="s">
        <v>29</v>
      </c>
      <c r="W9" s="271">
        <f t="shared" ref="W9" si="3">(T9/10000)</f>
        <v>0.58333333333333326</v>
      </c>
      <c r="X9" s="86"/>
      <c r="Y9" s="86"/>
      <c r="Z9" s="86"/>
    </row>
    <row r="10" spans="1:26" x14ac:dyDescent="0.35">
      <c r="A10" s="258"/>
      <c r="B10" s="237"/>
      <c r="C10" s="1" t="s">
        <v>3</v>
      </c>
      <c r="D10" s="2">
        <v>104.8</v>
      </c>
      <c r="E10" s="2">
        <v>111.4</v>
      </c>
      <c r="F10" s="14">
        <f t="shared" si="0"/>
        <v>26400.000000000033</v>
      </c>
      <c r="G10" s="261"/>
      <c r="H10" s="242"/>
      <c r="I10" s="242"/>
      <c r="J10" s="271"/>
      <c r="K10" s="11"/>
      <c r="L10" s="11"/>
      <c r="N10" s="267"/>
      <c r="O10" s="217"/>
      <c r="P10" s="119" t="s">
        <v>3</v>
      </c>
      <c r="Q10" s="90">
        <v>105.2</v>
      </c>
      <c r="R10" s="90">
        <v>106.2</v>
      </c>
      <c r="S10" s="126">
        <f t="shared" si="1"/>
        <v>5000</v>
      </c>
      <c r="T10" s="239"/>
      <c r="U10" s="206"/>
      <c r="V10" s="222"/>
      <c r="W10" s="271"/>
      <c r="X10" s="86"/>
      <c r="Y10" s="86"/>
      <c r="Z10" s="86"/>
    </row>
    <row r="11" spans="1:26" ht="15" thickBot="1" x14ac:dyDescent="0.4">
      <c r="A11" s="258"/>
      <c r="B11" s="237"/>
      <c r="C11" s="1" t="s">
        <v>4</v>
      </c>
      <c r="D11" s="2">
        <v>104.8</v>
      </c>
      <c r="E11" s="2">
        <v>106.8</v>
      </c>
      <c r="F11" s="14">
        <f t="shared" si="0"/>
        <v>8000</v>
      </c>
      <c r="G11" s="262"/>
      <c r="H11" s="242"/>
      <c r="I11" s="246"/>
      <c r="J11" s="271"/>
      <c r="K11" s="11"/>
      <c r="L11" s="11"/>
      <c r="N11" s="267"/>
      <c r="O11" s="217"/>
      <c r="P11" s="119" t="s">
        <v>4</v>
      </c>
      <c r="Q11" s="90">
        <v>104.8</v>
      </c>
      <c r="R11" s="90">
        <v>106</v>
      </c>
      <c r="S11" s="126">
        <f t="shared" si="1"/>
        <v>6000.0000000000136</v>
      </c>
      <c r="T11" s="240"/>
      <c r="U11" s="206"/>
      <c r="V11" s="223"/>
      <c r="W11" s="271"/>
      <c r="X11" s="86"/>
      <c r="Y11" s="86"/>
      <c r="Z11" s="86"/>
    </row>
    <row r="12" spans="1:26" x14ac:dyDescent="0.35">
      <c r="A12" s="258"/>
      <c r="B12" s="237" t="s">
        <v>9</v>
      </c>
      <c r="C12" s="1" t="s">
        <v>2</v>
      </c>
      <c r="D12" s="2">
        <v>103.8</v>
      </c>
      <c r="E12" s="2">
        <v>109</v>
      </c>
      <c r="F12" s="14">
        <f t="shared" si="0"/>
        <v>20800.000000000011</v>
      </c>
      <c r="G12" s="260">
        <f>SUM(F12:F14)/3</f>
        <v>18666.666666666686</v>
      </c>
      <c r="H12" s="242"/>
      <c r="I12" s="241" t="s">
        <v>28</v>
      </c>
      <c r="J12" s="271">
        <f t="shared" ref="J12" si="4">(G12/10000)</f>
        <v>1.8666666666666687</v>
      </c>
      <c r="K12" s="11"/>
      <c r="L12" s="11"/>
      <c r="N12" s="267"/>
      <c r="O12" s="217" t="s">
        <v>10</v>
      </c>
      <c r="P12" s="119" t="s">
        <v>2</v>
      </c>
      <c r="Q12" s="90">
        <v>104.8</v>
      </c>
      <c r="R12" s="90">
        <v>107.4</v>
      </c>
      <c r="S12" s="126">
        <f t="shared" si="1"/>
        <v>13000.000000000042</v>
      </c>
      <c r="T12" s="238">
        <f>SUM(S12:S14)/3</f>
        <v>13833.333333333328</v>
      </c>
      <c r="U12" s="206"/>
      <c r="V12" s="221" t="s">
        <v>29</v>
      </c>
      <c r="W12" s="271">
        <f t="shared" ref="W12" si="5">(T12/10000)</f>
        <v>1.3833333333333329</v>
      </c>
      <c r="X12" s="86"/>
      <c r="Y12" s="86"/>
      <c r="Z12" s="86"/>
    </row>
    <row r="13" spans="1:26" x14ac:dyDescent="0.35">
      <c r="A13" s="258"/>
      <c r="B13" s="237"/>
      <c r="C13" s="1" t="s">
        <v>3</v>
      </c>
      <c r="D13" s="2">
        <v>105</v>
      </c>
      <c r="E13" s="2">
        <v>109.7</v>
      </c>
      <c r="F13" s="14">
        <f t="shared" si="0"/>
        <v>18800.000000000011</v>
      </c>
      <c r="G13" s="261"/>
      <c r="H13" s="242"/>
      <c r="I13" s="242"/>
      <c r="J13" s="271"/>
      <c r="K13" s="11"/>
      <c r="L13" s="11"/>
      <c r="N13" s="267"/>
      <c r="O13" s="217"/>
      <c r="P13" s="119" t="s">
        <v>3</v>
      </c>
      <c r="Q13" s="90">
        <v>104.8</v>
      </c>
      <c r="R13" s="90">
        <v>107.6</v>
      </c>
      <c r="S13" s="126">
        <f t="shared" si="1"/>
        <v>13999.999999999985</v>
      </c>
      <c r="T13" s="239"/>
      <c r="U13" s="206"/>
      <c r="V13" s="222"/>
      <c r="W13" s="271"/>
      <c r="X13" s="86"/>
      <c r="Y13" s="86"/>
      <c r="Z13" s="86"/>
    </row>
    <row r="14" spans="1:26" ht="15" thickBot="1" x14ac:dyDescent="0.4">
      <c r="A14" s="258"/>
      <c r="B14" s="237"/>
      <c r="C14" s="1" t="s">
        <v>4</v>
      </c>
      <c r="D14" s="2">
        <v>105.1</v>
      </c>
      <c r="E14" s="2">
        <v>109.2</v>
      </c>
      <c r="F14" s="14">
        <f t="shared" si="0"/>
        <v>16400.000000000033</v>
      </c>
      <c r="G14" s="262"/>
      <c r="H14" s="242"/>
      <c r="I14" s="246"/>
      <c r="J14" s="271"/>
      <c r="K14" s="11"/>
      <c r="L14" s="11"/>
      <c r="N14" s="268"/>
      <c r="O14" s="275"/>
      <c r="P14" s="120" t="s">
        <v>4</v>
      </c>
      <c r="Q14" s="91">
        <v>104.7</v>
      </c>
      <c r="R14" s="91">
        <v>107.6</v>
      </c>
      <c r="S14" s="127">
        <f t="shared" si="1"/>
        <v>14499.999999999958</v>
      </c>
      <c r="T14" s="248"/>
      <c r="U14" s="207"/>
      <c r="V14" s="223"/>
      <c r="W14" s="276"/>
      <c r="X14" s="86"/>
      <c r="Y14" s="86"/>
      <c r="Z14" s="86"/>
    </row>
    <row r="15" spans="1:26" x14ac:dyDescent="0.35">
      <c r="A15" s="258"/>
      <c r="B15" s="237" t="s">
        <v>10</v>
      </c>
      <c r="C15" s="1" t="s">
        <v>2</v>
      </c>
      <c r="D15" s="2">
        <v>104.9</v>
      </c>
      <c r="E15" s="2">
        <v>106.4</v>
      </c>
      <c r="F15" s="14">
        <f t="shared" si="0"/>
        <v>6000</v>
      </c>
      <c r="G15" s="260">
        <f>SUM(F15:F17)/3</f>
        <v>8133.3333333333258</v>
      </c>
      <c r="H15" s="242"/>
      <c r="I15" s="221" t="s">
        <v>29</v>
      </c>
      <c r="J15" s="271">
        <f t="shared" ref="J15" si="6">(G15/10000)</f>
        <v>0.81333333333333258</v>
      </c>
      <c r="K15" s="12"/>
      <c r="L15" s="12"/>
      <c r="N15" s="282">
        <v>45952</v>
      </c>
      <c r="O15" s="269" t="s">
        <v>7</v>
      </c>
      <c r="P15" s="121" t="s">
        <v>2</v>
      </c>
      <c r="Q15" s="116">
        <v>104.5</v>
      </c>
      <c r="R15" s="92">
        <v>107.2</v>
      </c>
      <c r="S15" s="124">
        <f>(((R15-Q15)*1000)/100)*500</f>
        <v>13500.000000000015</v>
      </c>
      <c r="T15" s="239">
        <f>SUM(S15:S17)/3</f>
        <v>19000.000000000011</v>
      </c>
      <c r="U15" s="205" t="s">
        <v>27</v>
      </c>
      <c r="V15" s="230" t="s">
        <v>28</v>
      </c>
      <c r="W15" s="277">
        <f>(T15/10000)</f>
        <v>1.900000000000001</v>
      </c>
      <c r="X15" s="86"/>
      <c r="Y15" s="86"/>
      <c r="Z15" s="86"/>
    </row>
    <row r="16" spans="1:26" x14ac:dyDescent="0.35">
      <c r="A16" s="258"/>
      <c r="B16" s="237"/>
      <c r="C16" s="1" t="s">
        <v>3</v>
      </c>
      <c r="D16" s="2">
        <v>104.9</v>
      </c>
      <c r="E16" s="2">
        <v>106.5</v>
      </c>
      <c r="F16" s="14">
        <f t="shared" si="0"/>
        <v>6399.9999999999773</v>
      </c>
      <c r="G16" s="261"/>
      <c r="H16" s="242"/>
      <c r="I16" s="222"/>
      <c r="J16" s="271"/>
      <c r="K16" s="12"/>
      <c r="L16" s="12"/>
      <c r="N16" s="283"/>
      <c r="O16" s="270"/>
      <c r="P16" s="122" t="s">
        <v>3</v>
      </c>
      <c r="Q16" s="117">
        <v>104.2</v>
      </c>
      <c r="R16" s="90">
        <v>108.7</v>
      </c>
      <c r="S16" s="124">
        <f t="shared" ref="S16:S29" si="7">(((R16-Q16)*1000)/100)*500</f>
        <v>22500</v>
      </c>
      <c r="T16" s="239"/>
      <c r="U16" s="206"/>
      <c r="V16" s="231"/>
      <c r="W16" s="271"/>
      <c r="X16" s="86"/>
      <c r="Y16" s="86"/>
      <c r="Z16" s="86"/>
    </row>
    <row r="17" spans="1:26" ht="15" thickBot="1" x14ac:dyDescent="0.4">
      <c r="A17" s="259"/>
      <c r="B17" s="237"/>
      <c r="C17" s="1" t="s">
        <v>4</v>
      </c>
      <c r="D17" s="2">
        <v>104.5</v>
      </c>
      <c r="E17" s="2">
        <v>107.5</v>
      </c>
      <c r="F17" s="14">
        <f t="shared" si="0"/>
        <v>12000</v>
      </c>
      <c r="G17" s="263"/>
      <c r="H17" s="243"/>
      <c r="I17" s="223"/>
      <c r="J17" s="274"/>
      <c r="K17" s="12"/>
      <c r="L17" s="12"/>
      <c r="N17" s="283"/>
      <c r="O17" s="270"/>
      <c r="P17" s="122" t="s">
        <v>4</v>
      </c>
      <c r="Q17" s="117">
        <v>104.5</v>
      </c>
      <c r="R17" s="90">
        <v>108.7</v>
      </c>
      <c r="S17" s="124">
        <f t="shared" si="7"/>
        <v>21000.000000000015</v>
      </c>
      <c r="T17" s="240"/>
      <c r="U17" s="206"/>
      <c r="V17" s="232"/>
      <c r="W17" s="271"/>
      <c r="X17" s="86"/>
      <c r="Y17" s="86"/>
      <c r="Z17" s="86"/>
    </row>
    <row r="18" spans="1:26" x14ac:dyDescent="0.35">
      <c r="A18" s="257">
        <v>45923</v>
      </c>
      <c r="B18" s="237" t="s">
        <v>7</v>
      </c>
      <c r="C18" s="1" t="s">
        <v>2</v>
      </c>
      <c r="D18" s="2">
        <v>105.1</v>
      </c>
      <c r="E18" s="2">
        <v>110.5</v>
      </c>
      <c r="F18" s="14">
        <f>(((E18-D18)*1000)/100)*400</f>
        <v>21600.000000000022</v>
      </c>
      <c r="G18" s="260">
        <f>SUM(F18:F20)/3</f>
        <v>29200.000000000011</v>
      </c>
      <c r="H18" s="256" t="s">
        <v>27</v>
      </c>
      <c r="I18" s="241" t="s">
        <v>28</v>
      </c>
      <c r="J18" s="272">
        <f>G18/10000</f>
        <v>2.9200000000000013</v>
      </c>
      <c r="K18" s="12"/>
      <c r="L18" s="12"/>
      <c r="N18" s="283"/>
      <c r="O18" s="270" t="s">
        <v>8</v>
      </c>
      <c r="P18" s="122" t="s">
        <v>2</v>
      </c>
      <c r="Q18" s="117">
        <v>104.5</v>
      </c>
      <c r="R18" s="90">
        <v>107.1</v>
      </c>
      <c r="S18" s="124">
        <f t="shared" si="7"/>
        <v>12999.999999999973</v>
      </c>
      <c r="T18" s="238">
        <f>SUM(S18:S20)/3</f>
        <v>12999.999999999995</v>
      </c>
      <c r="U18" s="206"/>
      <c r="V18" s="221" t="s">
        <v>29</v>
      </c>
      <c r="W18" s="271">
        <f t="shared" ref="W18" si="8">(T18/10000)</f>
        <v>1.2999999999999994</v>
      </c>
    </row>
    <row r="19" spans="1:26" x14ac:dyDescent="0.35">
      <c r="A19" s="258"/>
      <c r="B19" s="237"/>
      <c r="C19" s="1" t="s">
        <v>3</v>
      </c>
      <c r="D19" s="2">
        <v>105.6</v>
      </c>
      <c r="E19" s="2">
        <v>114.8</v>
      </c>
      <c r="F19" s="14">
        <f t="shared" ref="F19:F29" si="9">(((E19-D19)*1000)/100)*400</f>
        <v>36800.000000000015</v>
      </c>
      <c r="G19" s="261"/>
      <c r="H19" s="242"/>
      <c r="I19" s="242"/>
      <c r="J19" s="273"/>
      <c r="K19" s="12"/>
      <c r="L19" s="12"/>
      <c r="N19" s="283"/>
      <c r="O19" s="270"/>
      <c r="P19" s="122" t="s">
        <v>3</v>
      </c>
      <c r="Q19" s="117">
        <v>104.1</v>
      </c>
      <c r="R19" s="90">
        <v>106.6</v>
      </c>
      <c r="S19" s="124">
        <f t="shared" si="7"/>
        <v>12500</v>
      </c>
      <c r="T19" s="239"/>
      <c r="U19" s="206"/>
      <c r="V19" s="222"/>
      <c r="W19" s="271"/>
    </row>
    <row r="20" spans="1:26" ht="15" thickBot="1" x14ac:dyDescent="0.4">
      <c r="A20" s="258"/>
      <c r="B20" s="237"/>
      <c r="C20" s="1" t="s">
        <v>4</v>
      </c>
      <c r="D20" s="2">
        <v>105.4</v>
      </c>
      <c r="E20" s="2">
        <v>112.7</v>
      </c>
      <c r="F20" s="14">
        <f t="shared" si="9"/>
        <v>29199.999999999989</v>
      </c>
      <c r="G20" s="262"/>
      <c r="H20" s="242"/>
      <c r="I20" s="246"/>
      <c r="J20" s="273"/>
      <c r="K20" s="12"/>
      <c r="L20" s="12"/>
      <c r="N20" s="283"/>
      <c r="O20" s="270"/>
      <c r="P20" s="122" t="s">
        <v>4</v>
      </c>
      <c r="Q20" s="117">
        <v>103.6</v>
      </c>
      <c r="R20" s="90">
        <v>106.3</v>
      </c>
      <c r="S20" s="124">
        <f t="shared" si="7"/>
        <v>13500.000000000015</v>
      </c>
      <c r="T20" s="240"/>
      <c r="U20" s="206"/>
      <c r="V20" s="223"/>
      <c r="W20" s="271"/>
    </row>
    <row r="21" spans="1:26" x14ac:dyDescent="0.35">
      <c r="A21" s="258"/>
      <c r="B21" s="237" t="s">
        <v>8</v>
      </c>
      <c r="C21" s="1" t="s">
        <v>2</v>
      </c>
      <c r="D21" s="2">
        <v>104.9</v>
      </c>
      <c r="E21" s="2">
        <v>112</v>
      </c>
      <c r="F21" s="14">
        <f t="shared" si="9"/>
        <v>28399.999999999978</v>
      </c>
      <c r="G21" s="260">
        <f>SUM(F21:F23)/3</f>
        <v>23333.333333333314</v>
      </c>
      <c r="H21" s="242"/>
      <c r="I21" s="241" t="s">
        <v>28</v>
      </c>
      <c r="J21" s="224">
        <f t="shared" ref="J21" si="10">G21/10000</f>
        <v>2.3333333333333313</v>
      </c>
      <c r="K21" s="12"/>
      <c r="L21" s="12"/>
      <c r="N21" s="283"/>
      <c r="O21" s="270" t="s">
        <v>10</v>
      </c>
      <c r="P21" s="122" t="s">
        <v>2</v>
      </c>
      <c r="Q21" s="117">
        <v>104.5</v>
      </c>
      <c r="R21" s="90">
        <v>107.3</v>
      </c>
      <c r="S21" s="124">
        <f t="shared" si="7"/>
        <v>13999.999999999985</v>
      </c>
      <c r="T21" s="238">
        <f>SUM(S21:S23)/3</f>
        <v>12666.666666666657</v>
      </c>
      <c r="U21" s="206"/>
      <c r="V21" s="221" t="s">
        <v>29</v>
      </c>
      <c r="W21" s="271">
        <f t="shared" ref="W21" si="11">(T21/10000)</f>
        <v>1.2666666666666657</v>
      </c>
    </row>
    <row r="22" spans="1:26" x14ac:dyDescent="0.35">
      <c r="A22" s="258"/>
      <c r="B22" s="237"/>
      <c r="C22" s="1" t="s">
        <v>3</v>
      </c>
      <c r="D22" s="2">
        <v>105.9</v>
      </c>
      <c r="E22" s="2">
        <v>110.2</v>
      </c>
      <c r="F22" s="14">
        <f t="shared" si="9"/>
        <v>17199.999999999989</v>
      </c>
      <c r="G22" s="261"/>
      <c r="H22" s="242"/>
      <c r="I22" s="242"/>
      <c r="J22" s="225"/>
      <c r="K22" s="12"/>
      <c r="L22" s="12"/>
      <c r="N22" s="283"/>
      <c r="O22" s="270"/>
      <c r="P22" s="122" t="s">
        <v>3</v>
      </c>
      <c r="Q22" s="117">
        <v>104</v>
      </c>
      <c r="R22" s="90">
        <v>106.5</v>
      </c>
      <c r="S22" s="124">
        <f t="shared" si="7"/>
        <v>12500</v>
      </c>
      <c r="T22" s="239"/>
      <c r="U22" s="206"/>
      <c r="V22" s="222"/>
      <c r="W22" s="271"/>
    </row>
    <row r="23" spans="1:26" ht="15" thickBot="1" x14ac:dyDescent="0.4">
      <c r="A23" s="258"/>
      <c r="B23" s="237"/>
      <c r="C23" s="1" t="s">
        <v>4</v>
      </c>
      <c r="D23" s="2">
        <v>105.9</v>
      </c>
      <c r="E23" s="2">
        <v>112</v>
      </c>
      <c r="F23" s="14">
        <f t="shared" si="9"/>
        <v>24399.999999999978</v>
      </c>
      <c r="G23" s="262"/>
      <c r="H23" s="242"/>
      <c r="I23" s="246"/>
      <c r="J23" s="225"/>
      <c r="K23" s="12"/>
      <c r="L23" s="12"/>
      <c r="N23" s="283"/>
      <c r="O23" s="270"/>
      <c r="P23" s="122" t="s">
        <v>4</v>
      </c>
      <c r="Q23" s="117">
        <v>104.4</v>
      </c>
      <c r="R23" s="90">
        <v>106.7</v>
      </c>
      <c r="S23" s="124">
        <f t="shared" si="7"/>
        <v>11499.999999999985</v>
      </c>
      <c r="T23" s="248"/>
      <c r="U23" s="206"/>
      <c r="V23" s="223"/>
      <c r="W23" s="276"/>
    </row>
    <row r="24" spans="1:26" x14ac:dyDescent="0.35">
      <c r="A24" s="258"/>
      <c r="B24" s="237" t="s">
        <v>9</v>
      </c>
      <c r="C24" s="1" t="s">
        <v>2</v>
      </c>
      <c r="D24" s="2">
        <v>105.6</v>
      </c>
      <c r="E24" s="2">
        <v>112.6</v>
      </c>
      <c r="F24" s="14">
        <f t="shared" si="9"/>
        <v>28000</v>
      </c>
      <c r="G24" s="260">
        <f>SUM(F24:F26)/3</f>
        <v>27733.333333333332</v>
      </c>
      <c r="H24" s="242"/>
      <c r="I24" s="241" t="s">
        <v>28</v>
      </c>
      <c r="J24" s="224">
        <f t="shared" ref="J24" si="12">G24/10000</f>
        <v>2.7733333333333334</v>
      </c>
      <c r="K24" s="12"/>
      <c r="L24" s="12"/>
      <c r="N24" s="283"/>
      <c r="O24" s="270" t="s">
        <v>94</v>
      </c>
      <c r="P24" s="122" t="s">
        <v>2</v>
      </c>
      <c r="Q24" s="90">
        <v>104.8</v>
      </c>
      <c r="R24" s="90">
        <v>105.3</v>
      </c>
      <c r="S24" s="124">
        <f t="shared" si="7"/>
        <v>2500</v>
      </c>
      <c r="T24" s="238">
        <f t="shared" ref="T24" si="13">SUM(S24:S26)/3</f>
        <v>2166.6666666666856</v>
      </c>
      <c r="U24" s="206"/>
      <c r="V24" s="221" t="s">
        <v>29</v>
      </c>
      <c r="W24" s="271">
        <f t="shared" ref="W24" si="14">(T24/10000)</f>
        <v>0.21666666666666856</v>
      </c>
    </row>
    <row r="25" spans="1:26" x14ac:dyDescent="0.35">
      <c r="A25" s="258"/>
      <c r="B25" s="237"/>
      <c r="C25" s="1" t="s">
        <v>3</v>
      </c>
      <c r="D25" s="2">
        <v>105</v>
      </c>
      <c r="E25" s="2">
        <v>112.7</v>
      </c>
      <c r="F25" s="14">
        <f t="shared" si="9"/>
        <v>30800.000000000011</v>
      </c>
      <c r="G25" s="261"/>
      <c r="H25" s="242"/>
      <c r="I25" s="242"/>
      <c r="J25" s="225"/>
      <c r="K25" s="12"/>
      <c r="L25" s="12"/>
      <c r="N25" s="283"/>
      <c r="O25" s="270"/>
      <c r="P25" s="122" t="s">
        <v>3</v>
      </c>
      <c r="Q25" s="90">
        <v>104.6</v>
      </c>
      <c r="R25" s="90">
        <v>105</v>
      </c>
      <c r="S25" s="124">
        <f t="shared" si="7"/>
        <v>2000.0000000000284</v>
      </c>
      <c r="T25" s="239"/>
      <c r="U25" s="206"/>
      <c r="V25" s="222"/>
      <c r="W25" s="271"/>
    </row>
    <row r="26" spans="1:26" ht="15" thickBot="1" x14ac:dyDescent="0.4">
      <c r="A26" s="258"/>
      <c r="B26" s="237"/>
      <c r="C26" s="1" t="s">
        <v>4</v>
      </c>
      <c r="D26" s="2">
        <v>105.7</v>
      </c>
      <c r="E26" s="2">
        <v>111.8</v>
      </c>
      <c r="F26" s="14">
        <f t="shared" si="9"/>
        <v>24399.999999999978</v>
      </c>
      <c r="G26" s="262"/>
      <c r="H26" s="242"/>
      <c r="I26" s="246"/>
      <c r="J26" s="225"/>
      <c r="K26" s="12"/>
      <c r="L26" s="12"/>
      <c r="N26" s="283"/>
      <c r="O26" s="270"/>
      <c r="P26" s="122" t="s">
        <v>4</v>
      </c>
      <c r="Q26" s="90">
        <v>104.1</v>
      </c>
      <c r="R26" s="90">
        <v>104.5</v>
      </c>
      <c r="S26" s="124">
        <f t="shared" si="7"/>
        <v>2000.0000000000284</v>
      </c>
      <c r="T26" s="248"/>
      <c r="U26" s="206"/>
      <c r="V26" s="223"/>
      <c r="W26" s="276"/>
    </row>
    <row r="27" spans="1:26" x14ac:dyDescent="0.35">
      <c r="A27" s="258"/>
      <c r="B27" s="237" t="s">
        <v>10</v>
      </c>
      <c r="C27" s="1" t="s">
        <v>2</v>
      </c>
      <c r="D27" s="2">
        <v>105.1</v>
      </c>
      <c r="E27" s="2">
        <v>107.9</v>
      </c>
      <c r="F27" s="14">
        <f t="shared" si="9"/>
        <v>11200.000000000045</v>
      </c>
      <c r="G27" s="260">
        <f>SUM(F27:F29)/3</f>
        <v>11466.666666666677</v>
      </c>
      <c r="H27" s="242"/>
      <c r="I27" s="221" t="s">
        <v>29</v>
      </c>
      <c r="J27" s="224">
        <f t="shared" ref="J27" si="15">G27/10000</f>
        <v>1.1466666666666676</v>
      </c>
      <c r="K27" s="12"/>
      <c r="L27" s="12"/>
      <c r="N27" s="283"/>
      <c r="O27" s="270" t="s">
        <v>97</v>
      </c>
      <c r="P27" s="122" t="s">
        <v>2</v>
      </c>
      <c r="Q27" s="117">
        <v>104.2</v>
      </c>
      <c r="R27" s="90">
        <v>106.3</v>
      </c>
      <c r="S27" s="124">
        <f t="shared" si="7"/>
        <v>10499.999999999973</v>
      </c>
      <c r="T27" s="238">
        <f t="shared" ref="T27" si="16">SUM(S27:S29)/3</f>
        <v>17999.999999999996</v>
      </c>
      <c r="U27" s="206"/>
      <c r="V27" s="230" t="s">
        <v>28</v>
      </c>
      <c r="W27" s="271">
        <f t="shared" ref="W27" si="17">(T27/10000)</f>
        <v>1.7999999999999996</v>
      </c>
    </row>
    <row r="28" spans="1:26" x14ac:dyDescent="0.35">
      <c r="A28" s="258"/>
      <c r="B28" s="237"/>
      <c r="C28" s="1" t="s">
        <v>3</v>
      </c>
      <c r="D28" s="2">
        <v>106.2</v>
      </c>
      <c r="E28" s="2">
        <v>107.3</v>
      </c>
      <c r="F28" s="14">
        <f t="shared" si="9"/>
        <v>4399.9999999999773</v>
      </c>
      <c r="G28" s="261"/>
      <c r="H28" s="242"/>
      <c r="I28" s="222"/>
      <c r="J28" s="225"/>
      <c r="K28" s="12"/>
      <c r="L28" s="12"/>
      <c r="N28" s="283"/>
      <c r="O28" s="270"/>
      <c r="P28" s="122" t="s">
        <v>3</v>
      </c>
      <c r="Q28" s="117">
        <v>104.2</v>
      </c>
      <c r="R28" s="90">
        <v>108.7</v>
      </c>
      <c r="S28" s="124">
        <f t="shared" si="7"/>
        <v>22500</v>
      </c>
      <c r="T28" s="239"/>
      <c r="U28" s="206"/>
      <c r="V28" s="231"/>
      <c r="W28" s="271"/>
    </row>
    <row r="29" spans="1:26" ht="15" thickBot="1" x14ac:dyDescent="0.4">
      <c r="A29" s="258"/>
      <c r="B29" s="244"/>
      <c r="C29" s="30" t="s">
        <v>4</v>
      </c>
      <c r="D29" s="29">
        <v>105.7</v>
      </c>
      <c r="E29" s="29">
        <v>110.4</v>
      </c>
      <c r="F29" s="31">
        <f t="shared" si="9"/>
        <v>18800.000000000011</v>
      </c>
      <c r="G29" s="261"/>
      <c r="H29" s="243"/>
      <c r="I29" s="223"/>
      <c r="J29" s="225"/>
      <c r="K29" s="12"/>
      <c r="L29" s="12"/>
      <c r="N29" s="284"/>
      <c r="O29" s="285"/>
      <c r="P29" s="123" t="s">
        <v>4</v>
      </c>
      <c r="Q29" s="118">
        <v>104.3</v>
      </c>
      <c r="R29" s="91">
        <v>108.5</v>
      </c>
      <c r="S29" s="124">
        <f t="shared" si="7"/>
        <v>21000.000000000015</v>
      </c>
      <c r="T29" s="248"/>
      <c r="U29" s="207"/>
      <c r="V29" s="232"/>
      <c r="W29" s="276"/>
    </row>
    <row r="30" spans="1:26" x14ac:dyDescent="0.35">
      <c r="A30" s="249">
        <v>45930</v>
      </c>
      <c r="B30" s="251" t="s">
        <v>7</v>
      </c>
      <c r="C30" s="32" t="s">
        <v>2</v>
      </c>
      <c r="D30" s="17">
        <v>103.3</v>
      </c>
      <c r="E30" s="17">
        <v>109.4</v>
      </c>
      <c r="F30" s="33">
        <f>(((E30-D30)*1000)/100)*400</f>
        <v>24400.000000000033</v>
      </c>
      <c r="G30" s="252">
        <f>SUM(F30:F32)/3</f>
        <v>32133.333333333325</v>
      </c>
      <c r="H30" s="205" t="s">
        <v>27</v>
      </c>
      <c r="I30" s="265" t="s">
        <v>28</v>
      </c>
      <c r="J30" s="224">
        <f>G30/10000</f>
        <v>3.2133333333333325</v>
      </c>
      <c r="K30" s="12"/>
      <c r="L30" s="12"/>
    </row>
    <row r="31" spans="1:26" x14ac:dyDescent="0.35">
      <c r="A31" s="250"/>
      <c r="B31" s="237"/>
      <c r="C31" s="1" t="s">
        <v>3</v>
      </c>
      <c r="D31" s="2">
        <v>104.7</v>
      </c>
      <c r="E31" s="2">
        <v>112.5</v>
      </c>
      <c r="F31" s="14">
        <f t="shared" ref="F31:F41" si="18">(((E31-D31)*1000)/100)*400</f>
        <v>31199.999999999989</v>
      </c>
      <c r="G31" s="239"/>
      <c r="H31" s="253"/>
      <c r="I31" s="242"/>
      <c r="J31" s="225"/>
      <c r="K31" s="12"/>
      <c r="L31" s="12"/>
    </row>
    <row r="32" spans="1:26" ht="15" thickBot="1" x14ac:dyDescent="0.4">
      <c r="A32" s="250"/>
      <c r="B32" s="237"/>
      <c r="C32" s="1" t="s">
        <v>4</v>
      </c>
      <c r="D32" s="2">
        <v>106.4</v>
      </c>
      <c r="E32" s="2">
        <v>116.6</v>
      </c>
      <c r="F32" s="14">
        <f t="shared" si="18"/>
        <v>40799.999999999956</v>
      </c>
      <c r="G32" s="240"/>
      <c r="H32" s="253"/>
      <c r="I32" s="246"/>
      <c r="J32" s="225"/>
      <c r="K32" s="12"/>
      <c r="L32" s="12"/>
    </row>
    <row r="33" spans="1:12" x14ac:dyDescent="0.35">
      <c r="A33" s="250"/>
      <c r="B33" s="237" t="s">
        <v>8</v>
      </c>
      <c r="C33" s="1" t="s">
        <v>2</v>
      </c>
      <c r="D33" s="2">
        <v>105.1</v>
      </c>
      <c r="E33" s="2">
        <v>110.8</v>
      </c>
      <c r="F33" s="14">
        <f t="shared" si="18"/>
        <v>22800.000000000011</v>
      </c>
      <c r="G33" s="238">
        <f>SUM(F33:F35)/3</f>
        <v>27600</v>
      </c>
      <c r="H33" s="253"/>
      <c r="I33" s="241" t="s">
        <v>28</v>
      </c>
      <c r="J33" s="224">
        <f t="shared" ref="J33" si="19">G33/10000</f>
        <v>2.76</v>
      </c>
      <c r="K33" s="12"/>
      <c r="L33" s="12"/>
    </row>
    <row r="34" spans="1:12" x14ac:dyDescent="0.35">
      <c r="A34" s="250"/>
      <c r="B34" s="237"/>
      <c r="C34" s="1" t="s">
        <v>3</v>
      </c>
      <c r="D34" s="2">
        <v>105.9</v>
      </c>
      <c r="E34" s="2">
        <v>115.5</v>
      </c>
      <c r="F34" s="14">
        <f t="shared" si="18"/>
        <v>38399.999999999978</v>
      </c>
      <c r="G34" s="239"/>
      <c r="H34" s="253"/>
      <c r="I34" s="242"/>
      <c r="J34" s="225"/>
      <c r="K34" s="12"/>
      <c r="L34" s="12"/>
    </row>
    <row r="35" spans="1:12" ht="15" thickBot="1" x14ac:dyDescent="0.4">
      <c r="A35" s="250"/>
      <c r="B35" s="237"/>
      <c r="C35" s="1" t="s">
        <v>4</v>
      </c>
      <c r="D35" s="2">
        <v>107</v>
      </c>
      <c r="E35" s="2">
        <v>112.4</v>
      </c>
      <c r="F35" s="14">
        <f t="shared" si="18"/>
        <v>21600.000000000022</v>
      </c>
      <c r="G35" s="240"/>
      <c r="H35" s="253"/>
      <c r="I35" s="246"/>
      <c r="J35" s="225"/>
      <c r="K35" s="12"/>
      <c r="L35" s="12"/>
    </row>
    <row r="36" spans="1:12" x14ac:dyDescent="0.35">
      <c r="A36" s="250"/>
      <c r="B36" s="237" t="s">
        <v>9</v>
      </c>
      <c r="C36" s="1" t="s">
        <v>2</v>
      </c>
      <c r="D36" s="2">
        <v>105.9</v>
      </c>
      <c r="E36" s="2">
        <v>108.6</v>
      </c>
      <c r="F36" s="14">
        <f t="shared" si="18"/>
        <v>10799.999999999955</v>
      </c>
      <c r="G36" s="238">
        <f>SUM(F36:F38)/3</f>
        <v>29866.666666666657</v>
      </c>
      <c r="H36" s="253"/>
      <c r="I36" s="241" t="s">
        <v>28</v>
      </c>
      <c r="J36" s="224">
        <f t="shared" ref="J36" si="20">G36/10000</f>
        <v>2.9866666666666659</v>
      </c>
      <c r="K36" s="12"/>
      <c r="L36" s="12"/>
    </row>
    <row r="37" spans="1:12" x14ac:dyDescent="0.35">
      <c r="A37" s="250"/>
      <c r="B37" s="237"/>
      <c r="C37" s="1" t="s">
        <v>3</v>
      </c>
      <c r="D37" s="2">
        <v>105.6</v>
      </c>
      <c r="E37" s="2">
        <v>110.2</v>
      </c>
      <c r="F37" s="14">
        <f t="shared" si="18"/>
        <v>18400.000000000033</v>
      </c>
      <c r="G37" s="239"/>
      <c r="H37" s="253"/>
      <c r="I37" s="242"/>
      <c r="J37" s="225"/>
      <c r="K37" s="12"/>
      <c r="L37" s="12"/>
    </row>
    <row r="38" spans="1:12" ht="15" thickBot="1" x14ac:dyDescent="0.4">
      <c r="A38" s="250"/>
      <c r="B38" s="237"/>
      <c r="C38" s="1" t="s">
        <v>4</v>
      </c>
      <c r="D38" s="2">
        <v>101.4</v>
      </c>
      <c r="E38" s="2">
        <v>116.5</v>
      </c>
      <c r="F38" s="14">
        <f t="shared" si="18"/>
        <v>60399.999999999978</v>
      </c>
      <c r="G38" s="240"/>
      <c r="H38" s="253"/>
      <c r="I38" s="246"/>
      <c r="J38" s="225"/>
      <c r="K38" s="12"/>
      <c r="L38" s="12"/>
    </row>
    <row r="39" spans="1:12" x14ac:dyDescent="0.35">
      <c r="A39" s="250"/>
      <c r="B39" s="237" t="s">
        <v>10</v>
      </c>
      <c r="C39" s="1" t="s">
        <v>2</v>
      </c>
      <c r="D39" s="2">
        <v>104.8</v>
      </c>
      <c r="E39" s="2">
        <v>107.3</v>
      </c>
      <c r="F39" s="14">
        <f t="shared" si="18"/>
        <v>10000</v>
      </c>
      <c r="G39" s="238">
        <f>SUM(F39:F41)/3</f>
        <v>25333.333333333332</v>
      </c>
      <c r="H39" s="253"/>
      <c r="I39" s="241" t="s">
        <v>28</v>
      </c>
      <c r="J39" s="224">
        <f t="shared" ref="J39" si="21">G39/10000</f>
        <v>2.5333333333333332</v>
      </c>
      <c r="K39" s="12"/>
      <c r="L39" s="12"/>
    </row>
    <row r="40" spans="1:12" x14ac:dyDescent="0.35">
      <c r="A40" s="250"/>
      <c r="B40" s="237"/>
      <c r="C40" s="1" t="s">
        <v>3</v>
      </c>
      <c r="D40" s="2">
        <v>106</v>
      </c>
      <c r="E40" s="2">
        <v>115.2</v>
      </c>
      <c r="F40" s="14">
        <f t="shared" si="18"/>
        <v>36800.000000000015</v>
      </c>
      <c r="G40" s="239"/>
      <c r="H40" s="253"/>
      <c r="I40" s="242"/>
      <c r="J40" s="225"/>
      <c r="K40" s="12"/>
      <c r="L40" s="12"/>
    </row>
    <row r="41" spans="1:12" ht="15" thickBot="1" x14ac:dyDescent="0.4">
      <c r="A41" s="264"/>
      <c r="B41" s="247"/>
      <c r="C41" s="34" t="s">
        <v>4</v>
      </c>
      <c r="D41" s="18">
        <v>106.4</v>
      </c>
      <c r="E41" s="18">
        <v>113.7</v>
      </c>
      <c r="F41" s="35">
        <f t="shared" si="18"/>
        <v>29199.999999999989</v>
      </c>
      <c r="G41" s="248"/>
      <c r="H41" s="201"/>
      <c r="I41" s="243"/>
      <c r="J41" s="233"/>
      <c r="K41" s="12"/>
      <c r="L41" s="12"/>
    </row>
    <row r="42" spans="1:12" x14ac:dyDescent="0.35">
      <c r="A42" s="249">
        <v>45937</v>
      </c>
      <c r="B42" s="251" t="s">
        <v>7</v>
      </c>
      <c r="C42" s="32" t="s">
        <v>2</v>
      </c>
      <c r="D42" s="17">
        <v>105.6</v>
      </c>
      <c r="E42" s="17">
        <v>110.4</v>
      </c>
      <c r="F42" s="33">
        <f>(((E42-D42)*1000)/100)*400</f>
        <v>19200.000000000044</v>
      </c>
      <c r="G42" s="252">
        <f>SUM(F42:F44)/3</f>
        <v>26266.666666666686</v>
      </c>
      <c r="H42" s="205" t="s">
        <v>27</v>
      </c>
      <c r="I42" s="241" t="s">
        <v>28</v>
      </c>
      <c r="J42" s="224">
        <f>G42/10000</f>
        <v>2.6266666666666687</v>
      </c>
      <c r="K42" s="12"/>
      <c r="L42" s="12"/>
    </row>
    <row r="43" spans="1:12" x14ac:dyDescent="0.35">
      <c r="A43" s="250"/>
      <c r="B43" s="237"/>
      <c r="C43" s="1" t="s">
        <v>3</v>
      </c>
      <c r="D43" s="2">
        <v>106</v>
      </c>
      <c r="E43" s="2">
        <v>114.9</v>
      </c>
      <c r="F43" s="14">
        <f t="shared" ref="F43:F53" si="22">(((E43-D43)*1000)/100)*400</f>
        <v>35600.000000000022</v>
      </c>
      <c r="G43" s="239"/>
      <c r="H43" s="253"/>
      <c r="I43" s="242"/>
      <c r="J43" s="225"/>
      <c r="K43" s="12"/>
      <c r="L43" s="12"/>
    </row>
    <row r="44" spans="1:12" ht="15" thickBot="1" x14ac:dyDescent="0.4">
      <c r="A44" s="250"/>
      <c r="B44" s="237"/>
      <c r="C44" s="1" t="s">
        <v>4</v>
      </c>
      <c r="D44" s="2">
        <v>106.4</v>
      </c>
      <c r="E44" s="2">
        <v>112.4</v>
      </c>
      <c r="F44" s="14">
        <f t="shared" si="22"/>
        <v>24000</v>
      </c>
      <c r="G44" s="240"/>
      <c r="H44" s="253"/>
      <c r="I44" s="243"/>
      <c r="J44" s="225"/>
      <c r="K44" s="12"/>
      <c r="L44" s="12"/>
    </row>
    <row r="45" spans="1:12" x14ac:dyDescent="0.35">
      <c r="A45" s="250"/>
      <c r="B45" s="237" t="s">
        <v>8</v>
      </c>
      <c r="C45" s="1" t="s">
        <v>2</v>
      </c>
      <c r="D45" s="2">
        <v>105.8</v>
      </c>
      <c r="E45" s="2">
        <v>111</v>
      </c>
      <c r="F45" s="14">
        <f t="shared" si="22"/>
        <v>20800.000000000011</v>
      </c>
      <c r="G45" s="238">
        <f>SUM(F45:F47)/3</f>
        <v>26133.333333333343</v>
      </c>
      <c r="H45" s="253"/>
      <c r="I45" s="241" t="s">
        <v>28</v>
      </c>
      <c r="J45" s="224">
        <f t="shared" ref="J45" si="23">G45/10000</f>
        <v>2.6133333333333342</v>
      </c>
      <c r="K45" s="12"/>
      <c r="L45" s="12"/>
    </row>
    <row r="46" spans="1:12" x14ac:dyDescent="0.35">
      <c r="A46" s="250"/>
      <c r="B46" s="237"/>
      <c r="C46" s="1" t="s">
        <v>3</v>
      </c>
      <c r="D46" s="2">
        <v>104.5</v>
      </c>
      <c r="E46" s="2">
        <v>112</v>
      </c>
      <c r="F46" s="14">
        <f t="shared" si="22"/>
        <v>30000</v>
      </c>
      <c r="G46" s="239"/>
      <c r="H46" s="253"/>
      <c r="I46" s="242"/>
      <c r="J46" s="225"/>
      <c r="K46" s="12"/>
      <c r="L46" s="12"/>
    </row>
    <row r="47" spans="1:12" ht="15" thickBot="1" x14ac:dyDescent="0.4">
      <c r="A47" s="250"/>
      <c r="B47" s="237"/>
      <c r="C47" s="1" t="s">
        <v>4</v>
      </c>
      <c r="D47" s="2">
        <v>104.5</v>
      </c>
      <c r="E47" s="2">
        <v>111.4</v>
      </c>
      <c r="F47" s="14">
        <f t="shared" si="22"/>
        <v>27600.000000000022</v>
      </c>
      <c r="G47" s="240"/>
      <c r="H47" s="253"/>
      <c r="I47" s="243"/>
      <c r="J47" s="225"/>
      <c r="K47" s="12"/>
      <c r="L47" s="12"/>
    </row>
    <row r="48" spans="1:12" x14ac:dyDescent="0.35">
      <c r="A48" s="250"/>
      <c r="B48" s="237" t="s">
        <v>9</v>
      </c>
      <c r="C48" s="1" t="s">
        <v>2</v>
      </c>
      <c r="D48" s="2">
        <v>104.3</v>
      </c>
      <c r="E48" s="2">
        <v>114.5</v>
      </c>
      <c r="F48" s="14">
        <f t="shared" si="22"/>
        <v>40800.000000000015</v>
      </c>
      <c r="G48" s="238">
        <f>SUM(F48:F50)/3</f>
        <v>38933.333333333365</v>
      </c>
      <c r="H48" s="253"/>
      <c r="I48" s="241" t="s">
        <v>28</v>
      </c>
      <c r="J48" s="224">
        <f t="shared" ref="J48" si="24">G48/10000</f>
        <v>3.8933333333333366</v>
      </c>
      <c r="K48" s="12"/>
      <c r="L48" s="12"/>
    </row>
    <row r="49" spans="1:12" ht="15.5" customHeight="1" x14ac:dyDescent="0.35">
      <c r="A49" s="250"/>
      <c r="B49" s="237"/>
      <c r="C49" s="1" t="s">
        <v>3</v>
      </c>
      <c r="D49" s="2">
        <v>104.3</v>
      </c>
      <c r="E49" s="2">
        <v>115.4</v>
      </c>
      <c r="F49" s="14">
        <f t="shared" si="22"/>
        <v>44400.000000000036</v>
      </c>
      <c r="G49" s="239"/>
      <c r="H49" s="253"/>
      <c r="I49" s="242"/>
      <c r="J49" s="225"/>
      <c r="K49" s="12"/>
      <c r="L49" s="12"/>
    </row>
    <row r="50" spans="1:12" ht="15.5" customHeight="1" thickBot="1" x14ac:dyDescent="0.4">
      <c r="A50" s="250"/>
      <c r="B50" s="237"/>
      <c r="C50" s="1" t="s">
        <v>4</v>
      </c>
      <c r="D50" s="2">
        <v>104.6</v>
      </c>
      <c r="E50" s="2">
        <v>112.5</v>
      </c>
      <c r="F50" s="14">
        <f t="shared" si="22"/>
        <v>31600.000000000022</v>
      </c>
      <c r="G50" s="240"/>
      <c r="H50" s="253"/>
      <c r="I50" s="243"/>
      <c r="J50" s="225"/>
      <c r="K50" s="12"/>
      <c r="L50" s="12"/>
    </row>
    <row r="51" spans="1:12" ht="15.5" customHeight="1" x14ac:dyDescent="0.35">
      <c r="A51" s="250"/>
      <c r="B51" s="237" t="s">
        <v>10</v>
      </c>
      <c r="C51" s="1" t="s">
        <v>2</v>
      </c>
      <c r="D51" s="2">
        <v>104.5</v>
      </c>
      <c r="E51" s="2">
        <v>112.1</v>
      </c>
      <c r="F51" s="14">
        <f t="shared" si="22"/>
        <v>30399.999999999978</v>
      </c>
      <c r="G51" s="238">
        <f>SUM(F51:F53)/3</f>
        <v>28933.333333333318</v>
      </c>
      <c r="H51" s="253"/>
      <c r="I51" s="241" t="s">
        <v>28</v>
      </c>
      <c r="J51" s="224">
        <f t="shared" ref="J51" si="25">G51/10000</f>
        <v>2.8933333333333318</v>
      </c>
      <c r="K51" s="12"/>
      <c r="L51" s="12"/>
    </row>
    <row r="52" spans="1:12" ht="15.5" customHeight="1" x14ac:dyDescent="0.35">
      <c r="A52" s="250"/>
      <c r="B52" s="237"/>
      <c r="C52" s="1" t="s">
        <v>3</v>
      </c>
      <c r="D52" s="2">
        <v>105.7</v>
      </c>
      <c r="E52" s="2">
        <v>113.6</v>
      </c>
      <c r="F52" s="14">
        <f t="shared" si="22"/>
        <v>31599.999999999967</v>
      </c>
      <c r="G52" s="239"/>
      <c r="H52" s="253"/>
      <c r="I52" s="242"/>
      <c r="J52" s="225"/>
      <c r="K52" s="12"/>
      <c r="L52" s="12"/>
    </row>
    <row r="53" spans="1:12" ht="15" thickBot="1" x14ac:dyDescent="0.4">
      <c r="A53" s="250"/>
      <c r="B53" s="244"/>
      <c r="C53" s="30" t="s">
        <v>4</v>
      </c>
      <c r="D53" s="29">
        <v>104.5</v>
      </c>
      <c r="E53" s="29">
        <v>110.7</v>
      </c>
      <c r="F53" s="31">
        <f t="shared" si="22"/>
        <v>24800.000000000011</v>
      </c>
      <c r="G53" s="239"/>
      <c r="H53" s="253"/>
      <c r="I53" s="242"/>
      <c r="J53" s="245"/>
      <c r="K53" s="12"/>
      <c r="L53" s="12"/>
    </row>
    <row r="54" spans="1:12" x14ac:dyDescent="0.35">
      <c r="A54" s="227">
        <v>45957</v>
      </c>
      <c r="B54" s="234" t="s">
        <v>7</v>
      </c>
      <c r="C54" s="32" t="s">
        <v>2</v>
      </c>
      <c r="D54" s="17">
        <v>105.2</v>
      </c>
      <c r="E54" s="137">
        <v>108.1</v>
      </c>
      <c r="F54" s="131">
        <f>(((E54-D54)*1000)/100)*500</f>
        <v>14499.999999999958</v>
      </c>
      <c r="G54" s="218">
        <f>SUM(F54:F56)/3</f>
        <v>15000</v>
      </c>
      <c r="H54" s="205" t="s">
        <v>27</v>
      </c>
      <c r="I54" s="235" t="s">
        <v>28</v>
      </c>
      <c r="J54" s="224">
        <f>G54/10000</f>
        <v>1.5</v>
      </c>
      <c r="K54" s="12"/>
      <c r="L54" s="12"/>
    </row>
    <row r="55" spans="1:12" x14ac:dyDescent="0.35">
      <c r="A55" s="228"/>
      <c r="B55" s="214"/>
      <c r="C55" s="1" t="s">
        <v>3</v>
      </c>
      <c r="D55" s="2">
        <v>106.6</v>
      </c>
      <c r="E55" s="138">
        <v>109.8</v>
      </c>
      <c r="F55" s="128">
        <f t="shared" ref="F55:F68" si="26">(((E55-D55)*1000)/100)*500</f>
        <v>16000.000000000015</v>
      </c>
      <c r="G55" s="219"/>
      <c r="H55" s="206"/>
      <c r="I55" s="231"/>
      <c r="J55" s="225"/>
      <c r="K55" s="12"/>
      <c r="L55" s="12"/>
    </row>
    <row r="56" spans="1:12" ht="15" thickBot="1" x14ac:dyDescent="0.4">
      <c r="A56" s="228"/>
      <c r="B56" s="214"/>
      <c r="C56" s="1" t="s">
        <v>4</v>
      </c>
      <c r="D56" s="2">
        <v>105.5</v>
      </c>
      <c r="E56" s="138">
        <v>108.4</v>
      </c>
      <c r="F56" s="128">
        <f t="shared" si="26"/>
        <v>14500.000000000027</v>
      </c>
      <c r="G56" s="220"/>
      <c r="H56" s="206"/>
      <c r="I56" s="232"/>
      <c r="J56" s="225"/>
      <c r="K56" s="12"/>
      <c r="L56" s="12"/>
    </row>
    <row r="57" spans="1:12" x14ac:dyDescent="0.35">
      <c r="A57" s="228"/>
      <c r="B57" s="214" t="s">
        <v>8</v>
      </c>
      <c r="C57" s="1" t="s">
        <v>2</v>
      </c>
      <c r="D57" s="2">
        <v>105.5</v>
      </c>
      <c r="E57" s="138">
        <v>108.3</v>
      </c>
      <c r="F57" s="128">
        <f t="shared" si="26"/>
        <v>13999.999999999985</v>
      </c>
      <c r="G57" s="226">
        <f>SUM(F57:F59)/3</f>
        <v>13166.666666666652</v>
      </c>
      <c r="H57" s="206"/>
      <c r="I57" s="221" t="s">
        <v>29</v>
      </c>
      <c r="J57" s="224">
        <f t="shared" ref="J57" si="27">G57/10000</f>
        <v>1.3166666666666651</v>
      </c>
      <c r="K57" s="12"/>
      <c r="L57" s="12"/>
    </row>
    <row r="58" spans="1:12" x14ac:dyDescent="0.35">
      <c r="A58" s="228"/>
      <c r="B58" s="214"/>
      <c r="C58" s="1" t="s">
        <v>3</v>
      </c>
      <c r="D58" s="2">
        <v>106.3</v>
      </c>
      <c r="E58" s="138">
        <v>108.2</v>
      </c>
      <c r="F58" s="128">
        <f t="shared" si="26"/>
        <v>9500.0000000000291</v>
      </c>
      <c r="G58" s="219"/>
      <c r="H58" s="206"/>
      <c r="I58" s="222"/>
      <c r="J58" s="225"/>
      <c r="K58" s="12"/>
      <c r="L58" s="12"/>
    </row>
    <row r="59" spans="1:12" ht="15" thickBot="1" x14ac:dyDescent="0.4">
      <c r="A59" s="228"/>
      <c r="B59" s="214"/>
      <c r="C59" s="1" t="s">
        <v>4</v>
      </c>
      <c r="D59" s="2">
        <v>106.4</v>
      </c>
      <c r="E59" s="138">
        <v>109.6</v>
      </c>
      <c r="F59" s="128">
        <f t="shared" si="26"/>
        <v>15999.999999999944</v>
      </c>
      <c r="G59" s="220"/>
      <c r="H59" s="206"/>
      <c r="I59" s="223"/>
      <c r="J59" s="225"/>
      <c r="K59" s="12"/>
      <c r="L59" s="12"/>
    </row>
    <row r="60" spans="1:12" x14ac:dyDescent="0.35">
      <c r="A60" s="228"/>
      <c r="B60" s="214" t="s">
        <v>9</v>
      </c>
      <c r="C60" s="1" t="s">
        <v>2</v>
      </c>
      <c r="D60" s="2">
        <v>106</v>
      </c>
      <c r="E60" s="138">
        <v>108.5</v>
      </c>
      <c r="F60" s="128">
        <f t="shared" si="26"/>
        <v>12500</v>
      </c>
      <c r="G60" s="226">
        <f>SUM(F60:F62)/3</f>
        <v>12500</v>
      </c>
      <c r="H60" s="206"/>
      <c r="I60" s="221" t="s">
        <v>29</v>
      </c>
      <c r="J60" s="224">
        <f t="shared" ref="J60" si="28">G60/10000</f>
        <v>1.25</v>
      </c>
      <c r="K60" s="12"/>
      <c r="L60" s="12"/>
    </row>
    <row r="61" spans="1:12" x14ac:dyDescent="0.35">
      <c r="A61" s="228"/>
      <c r="B61" s="214"/>
      <c r="C61" s="1" t="s">
        <v>3</v>
      </c>
      <c r="D61" s="2">
        <v>106</v>
      </c>
      <c r="E61" s="138">
        <v>107.5</v>
      </c>
      <c r="F61" s="128">
        <f t="shared" si="26"/>
        <v>7500</v>
      </c>
      <c r="G61" s="219"/>
      <c r="H61" s="206"/>
      <c r="I61" s="222"/>
      <c r="J61" s="225"/>
      <c r="K61" s="12"/>
      <c r="L61" s="12"/>
    </row>
    <row r="62" spans="1:12" ht="15" thickBot="1" x14ac:dyDescent="0.4">
      <c r="A62" s="228"/>
      <c r="B62" s="214"/>
      <c r="C62" s="1" t="s">
        <v>4</v>
      </c>
      <c r="D62" s="2">
        <v>106.7</v>
      </c>
      <c r="E62" s="138">
        <v>110.2</v>
      </c>
      <c r="F62" s="128">
        <f t="shared" si="26"/>
        <v>17500</v>
      </c>
      <c r="G62" s="220"/>
      <c r="H62" s="206"/>
      <c r="I62" s="223"/>
      <c r="J62" s="225"/>
      <c r="K62" s="12"/>
      <c r="L62" s="12"/>
    </row>
    <row r="63" spans="1:12" x14ac:dyDescent="0.35">
      <c r="A63" s="228"/>
      <c r="B63" s="214" t="s">
        <v>10</v>
      </c>
      <c r="C63" s="1" t="s">
        <v>2</v>
      </c>
      <c r="D63" s="2">
        <v>105.7</v>
      </c>
      <c r="E63" s="138">
        <v>107.8</v>
      </c>
      <c r="F63" s="128">
        <f t="shared" si="26"/>
        <v>10499.999999999973</v>
      </c>
      <c r="G63" s="226">
        <f>SUM(F63:F65)/3</f>
        <v>10333.333333333338</v>
      </c>
      <c r="H63" s="206"/>
      <c r="I63" s="221" t="s">
        <v>29</v>
      </c>
      <c r="J63" s="224">
        <f t="shared" ref="J63" si="29">G63/10000</f>
        <v>1.0333333333333337</v>
      </c>
      <c r="K63" s="12"/>
      <c r="L63" s="12"/>
    </row>
    <row r="64" spans="1:12" x14ac:dyDescent="0.35">
      <c r="A64" s="228"/>
      <c r="B64" s="214"/>
      <c r="C64" s="1" t="s">
        <v>3</v>
      </c>
      <c r="D64" s="2">
        <v>106.1</v>
      </c>
      <c r="E64" s="138">
        <v>108.3</v>
      </c>
      <c r="F64" s="128">
        <f t="shared" si="26"/>
        <v>11000.000000000015</v>
      </c>
      <c r="G64" s="219"/>
      <c r="H64" s="206"/>
      <c r="I64" s="222"/>
      <c r="J64" s="225"/>
      <c r="K64" s="12"/>
      <c r="L64" s="12"/>
    </row>
    <row r="65" spans="1:12" ht="15" thickBot="1" x14ac:dyDescent="0.4">
      <c r="A65" s="228"/>
      <c r="B65" s="215"/>
      <c r="C65" s="30" t="s">
        <v>4</v>
      </c>
      <c r="D65" s="2">
        <v>106.5</v>
      </c>
      <c r="E65" s="140">
        <v>108.4</v>
      </c>
      <c r="F65" s="128">
        <f t="shared" si="26"/>
        <v>9500.0000000000291</v>
      </c>
      <c r="G65" s="236"/>
      <c r="H65" s="206"/>
      <c r="I65" s="223"/>
      <c r="J65" s="233"/>
      <c r="K65" s="12"/>
      <c r="L65" s="12"/>
    </row>
    <row r="66" spans="1:12" x14ac:dyDescent="0.35">
      <c r="A66" s="228"/>
      <c r="B66" s="214" t="s">
        <v>97</v>
      </c>
      <c r="C66" s="1" t="s">
        <v>2</v>
      </c>
      <c r="D66" s="29">
        <v>105.9</v>
      </c>
      <c r="E66" s="2">
        <v>109.5</v>
      </c>
      <c r="F66" s="139">
        <f t="shared" si="26"/>
        <v>17999.999999999971</v>
      </c>
      <c r="G66" s="226">
        <f>SUM(F66:F68)/3</f>
        <v>15833.333333333334</v>
      </c>
      <c r="H66" s="206"/>
      <c r="I66" s="230" t="s">
        <v>28</v>
      </c>
      <c r="J66" s="224">
        <f t="shared" ref="J66" si="30">G66/10000</f>
        <v>1.5833333333333335</v>
      </c>
      <c r="K66" s="12"/>
      <c r="L66" s="12"/>
    </row>
    <row r="67" spans="1:12" x14ac:dyDescent="0.35">
      <c r="A67" s="228"/>
      <c r="B67" s="214"/>
      <c r="C67" s="1" t="s">
        <v>3</v>
      </c>
      <c r="D67" s="2">
        <v>106.2</v>
      </c>
      <c r="E67" s="2">
        <v>109.5</v>
      </c>
      <c r="F67" s="139">
        <f t="shared" si="26"/>
        <v>16499.999999999985</v>
      </c>
      <c r="G67" s="219"/>
      <c r="H67" s="206"/>
      <c r="I67" s="231"/>
      <c r="J67" s="225"/>
      <c r="K67" s="12"/>
      <c r="L67" s="12"/>
    </row>
    <row r="68" spans="1:12" ht="15" thickBot="1" x14ac:dyDescent="0.4">
      <c r="A68" s="229"/>
      <c r="B68" s="215"/>
      <c r="C68" s="30" t="s">
        <v>4</v>
      </c>
      <c r="D68" s="29">
        <v>106.1</v>
      </c>
      <c r="E68" s="29">
        <v>108.7</v>
      </c>
      <c r="F68" s="169">
        <f t="shared" si="26"/>
        <v>13000.000000000042</v>
      </c>
      <c r="G68" s="219"/>
      <c r="H68" s="207"/>
      <c r="I68" s="232"/>
      <c r="J68" s="233"/>
      <c r="K68" s="12"/>
      <c r="L68" s="12"/>
    </row>
    <row r="69" spans="1:12" x14ac:dyDescent="0.35">
      <c r="A69" s="278">
        <v>45964</v>
      </c>
      <c r="B69" s="216" t="s">
        <v>7</v>
      </c>
      <c r="C69" s="177" t="s">
        <v>2</v>
      </c>
      <c r="D69" s="17">
        <v>106</v>
      </c>
      <c r="E69" s="137">
        <v>111.7</v>
      </c>
      <c r="F69" s="171">
        <f>(((E69-D69)*1000)/100)*250</f>
        <v>14250.000000000007</v>
      </c>
      <c r="G69" s="218">
        <f>SUM(F69:F71)/3</f>
        <v>14333.333333333336</v>
      </c>
      <c r="H69" s="205" t="s">
        <v>27</v>
      </c>
      <c r="I69" s="221" t="s">
        <v>29</v>
      </c>
      <c r="J69" s="224">
        <f>G69/10000</f>
        <v>1.4333333333333336</v>
      </c>
      <c r="K69" s="12"/>
      <c r="L69" s="12"/>
    </row>
    <row r="70" spans="1:12" x14ac:dyDescent="0.35">
      <c r="A70" s="279"/>
      <c r="B70" s="217"/>
      <c r="C70" s="178" t="s">
        <v>3</v>
      </c>
      <c r="D70" s="2">
        <v>106.3</v>
      </c>
      <c r="E70" s="138">
        <v>111.3</v>
      </c>
      <c r="F70" s="170">
        <f t="shared" ref="F70:F81" si="31">(((E70-D70)*1000)/100)*250</f>
        <v>12500</v>
      </c>
      <c r="G70" s="219"/>
      <c r="H70" s="206"/>
      <c r="I70" s="222"/>
      <c r="J70" s="225"/>
      <c r="K70" s="12"/>
      <c r="L70" s="12"/>
    </row>
    <row r="71" spans="1:12" ht="15" thickBot="1" x14ac:dyDescent="0.4">
      <c r="A71" s="279"/>
      <c r="B71" s="217"/>
      <c r="C71" s="178" t="s">
        <v>4</v>
      </c>
      <c r="D71" s="2">
        <v>107.3</v>
      </c>
      <c r="E71" s="138">
        <v>113.8</v>
      </c>
      <c r="F71" s="170">
        <f t="shared" si="31"/>
        <v>16250</v>
      </c>
      <c r="G71" s="220"/>
      <c r="H71" s="206"/>
      <c r="I71" s="223"/>
      <c r="J71" s="225"/>
      <c r="K71" s="12"/>
      <c r="L71" s="12"/>
    </row>
    <row r="72" spans="1:12" x14ac:dyDescent="0.35">
      <c r="A72" s="279"/>
      <c r="B72" s="217" t="s">
        <v>8</v>
      </c>
      <c r="C72" s="178" t="s">
        <v>2</v>
      </c>
      <c r="D72" s="2">
        <v>106.6</v>
      </c>
      <c r="E72" s="138">
        <v>111.3</v>
      </c>
      <c r="F72" s="170">
        <f t="shared" si="31"/>
        <v>11750.000000000007</v>
      </c>
      <c r="G72" s="226">
        <f>SUM(F72:F74)/3</f>
        <v>13416.666666666673</v>
      </c>
      <c r="H72" s="206"/>
      <c r="I72" s="221" t="s">
        <v>29</v>
      </c>
      <c r="J72" s="224">
        <f t="shared" ref="J72" si="32">G72/10000</f>
        <v>1.3416666666666672</v>
      </c>
      <c r="K72" s="12"/>
      <c r="L72" s="12"/>
    </row>
    <row r="73" spans="1:12" x14ac:dyDescent="0.35">
      <c r="A73" s="279"/>
      <c r="B73" s="217"/>
      <c r="C73" s="178" t="s">
        <v>3</v>
      </c>
      <c r="D73" s="2">
        <v>106.3</v>
      </c>
      <c r="E73" s="138">
        <v>112</v>
      </c>
      <c r="F73" s="170">
        <f t="shared" si="31"/>
        <v>14250.000000000007</v>
      </c>
      <c r="G73" s="219"/>
      <c r="H73" s="206"/>
      <c r="I73" s="222"/>
      <c r="J73" s="225"/>
      <c r="K73" s="12"/>
      <c r="L73" s="12"/>
    </row>
    <row r="74" spans="1:12" ht="15" thickBot="1" x14ac:dyDescent="0.4">
      <c r="A74" s="279"/>
      <c r="B74" s="217"/>
      <c r="C74" s="178" t="s">
        <v>4</v>
      </c>
      <c r="D74" s="2">
        <v>106.7</v>
      </c>
      <c r="E74" s="138">
        <v>112.4</v>
      </c>
      <c r="F74" s="170">
        <f t="shared" si="31"/>
        <v>14250.000000000007</v>
      </c>
      <c r="G74" s="220"/>
      <c r="H74" s="206"/>
      <c r="I74" s="223"/>
      <c r="J74" s="225"/>
      <c r="K74" s="12"/>
      <c r="L74" s="12"/>
    </row>
    <row r="75" spans="1:12" x14ac:dyDescent="0.35">
      <c r="A75" s="279"/>
      <c r="B75" s="217" t="s">
        <v>9</v>
      </c>
      <c r="C75" s="178" t="s">
        <v>2</v>
      </c>
      <c r="D75" s="2">
        <v>105.9</v>
      </c>
      <c r="E75" s="138">
        <v>111.6</v>
      </c>
      <c r="F75" s="170">
        <f t="shared" si="31"/>
        <v>14249.999999999973</v>
      </c>
      <c r="G75" s="226">
        <f>SUM(F75:F77)/3</f>
        <v>12416.666666666659</v>
      </c>
      <c r="H75" s="206"/>
      <c r="I75" s="221" t="s">
        <v>29</v>
      </c>
      <c r="J75" s="224">
        <f t="shared" ref="J75" si="33">G75/10000</f>
        <v>1.2416666666666658</v>
      </c>
      <c r="K75" s="12"/>
      <c r="L75" s="12"/>
    </row>
    <row r="76" spans="1:12" x14ac:dyDescent="0.35">
      <c r="A76" s="279"/>
      <c r="B76" s="217"/>
      <c r="C76" s="178" t="s">
        <v>3</v>
      </c>
      <c r="D76" s="2">
        <v>106.7</v>
      </c>
      <c r="E76" s="138">
        <v>111</v>
      </c>
      <c r="F76" s="170">
        <f t="shared" si="31"/>
        <v>10749.999999999993</v>
      </c>
      <c r="G76" s="219"/>
      <c r="H76" s="206"/>
      <c r="I76" s="222"/>
      <c r="J76" s="225"/>
      <c r="K76" s="12"/>
      <c r="L76" s="12"/>
    </row>
    <row r="77" spans="1:12" ht="15" thickBot="1" x14ac:dyDescent="0.4">
      <c r="A77" s="279"/>
      <c r="B77" s="217"/>
      <c r="C77" s="178" t="s">
        <v>4</v>
      </c>
      <c r="D77" s="2">
        <v>106.5</v>
      </c>
      <c r="E77" s="138">
        <v>111.4</v>
      </c>
      <c r="F77" s="170">
        <f t="shared" si="31"/>
        <v>12250.000000000015</v>
      </c>
      <c r="G77" s="220"/>
      <c r="H77" s="206"/>
      <c r="I77" s="223"/>
      <c r="J77" s="225"/>
      <c r="K77" s="12"/>
      <c r="L77" s="12"/>
    </row>
    <row r="78" spans="1:12" x14ac:dyDescent="0.35">
      <c r="A78" s="279"/>
      <c r="B78" s="200" t="s">
        <v>10</v>
      </c>
      <c r="C78" s="178" t="s">
        <v>2</v>
      </c>
      <c r="D78" s="2">
        <v>106</v>
      </c>
      <c r="E78" s="138">
        <v>110</v>
      </c>
      <c r="F78" s="170">
        <f t="shared" si="31"/>
        <v>10000</v>
      </c>
      <c r="G78" s="202">
        <f>SUM(F78:F79)/2</f>
        <v>11999.999999999993</v>
      </c>
      <c r="H78" s="206"/>
      <c r="I78" s="208" t="s">
        <v>29</v>
      </c>
      <c r="J78" s="212">
        <f t="shared" ref="J78" si="34">G78/10000</f>
        <v>1.1999999999999993</v>
      </c>
      <c r="K78" s="12"/>
      <c r="L78" s="12"/>
    </row>
    <row r="79" spans="1:12" ht="15" thickBot="1" x14ac:dyDescent="0.4">
      <c r="A79" s="279"/>
      <c r="B79" s="281"/>
      <c r="C79" s="178" t="s">
        <v>3</v>
      </c>
      <c r="D79" s="2">
        <v>105.5</v>
      </c>
      <c r="E79" s="138">
        <v>111.1</v>
      </c>
      <c r="F79" s="170">
        <f t="shared" si="31"/>
        <v>13999.999999999985</v>
      </c>
      <c r="G79" s="203"/>
      <c r="H79" s="206"/>
      <c r="I79" s="209"/>
      <c r="J79" s="213"/>
      <c r="K79" s="12"/>
      <c r="L79" s="12"/>
    </row>
    <row r="80" spans="1:12" x14ac:dyDescent="0.35">
      <c r="A80" s="279"/>
      <c r="B80" s="200" t="s">
        <v>97</v>
      </c>
      <c r="C80" s="178" t="s">
        <v>2</v>
      </c>
      <c r="D80" s="29">
        <v>106.9</v>
      </c>
      <c r="E80" s="138">
        <v>111.5</v>
      </c>
      <c r="F80" s="170">
        <f t="shared" si="31"/>
        <v>11499.999999999985</v>
      </c>
      <c r="G80" s="202">
        <f>SUM(F80:F81)/2</f>
        <v>11124.999999999989</v>
      </c>
      <c r="H80" s="206"/>
      <c r="I80" s="210" t="s">
        <v>29</v>
      </c>
      <c r="J80" s="212">
        <f t="shared" ref="J80" si="35">G80/10000</f>
        <v>1.1124999999999989</v>
      </c>
      <c r="K80" s="12"/>
      <c r="L80" s="12"/>
    </row>
    <row r="81" spans="1:12" ht="15" thickBot="1" x14ac:dyDescent="0.4">
      <c r="A81" s="280"/>
      <c r="B81" s="201"/>
      <c r="C81" s="179" t="s">
        <v>3</v>
      </c>
      <c r="D81" s="18">
        <v>106.3</v>
      </c>
      <c r="E81" s="168">
        <v>110.6</v>
      </c>
      <c r="F81" s="172">
        <f t="shared" si="31"/>
        <v>10749.999999999993</v>
      </c>
      <c r="G81" s="204"/>
      <c r="H81" s="207"/>
      <c r="I81" s="211"/>
      <c r="J81" s="213"/>
      <c r="K81" s="12"/>
      <c r="L81" s="12"/>
    </row>
    <row r="82" spans="1:12" x14ac:dyDescent="0.35">
      <c r="A82" s="15"/>
      <c r="B82" s="11"/>
      <c r="D82" s="11"/>
      <c r="F82" s="27"/>
      <c r="G82" s="28"/>
      <c r="H82" s="11"/>
      <c r="I82" s="12"/>
      <c r="J82" s="12"/>
      <c r="K82" s="12"/>
      <c r="L82" s="12"/>
    </row>
    <row r="83" spans="1:12" ht="18.5" x14ac:dyDescent="0.45">
      <c r="A83" s="5" t="s">
        <v>30</v>
      </c>
    </row>
    <row r="84" spans="1:12" ht="16" x14ac:dyDescent="0.4">
      <c r="A84" s="13"/>
      <c r="B84" s="254" t="s">
        <v>31</v>
      </c>
      <c r="C84" s="254"/>
      <c r="D84" s="254"/>
      <c r="E84" s="254"/>
      <c r="F84" s="254"/>
    </row>
    <row r="85" spans="1:12" ht="16" x14ac:dyDescent="0.35">
      <c r="B85" s="255" t="s">
        <v>32</v>
      </c>
      <c r="C85" s="255"/>
      <c r="D85" s="255"/>
      <c r="E85" s="255"/>
      <c r="F85" s="255"/>
    </row>
    <row r="86" spans="1:12" ht="16" x14ac:dyDescent="0.4">
      <c r="A86" s="13"/>
      <c r="B86" s="254" t="s">
        <v>33</v>
      </c>
      <c r="C86" s="254"/>
      <c r="D86" s="254"/>
      <c r="E86" s="254"/>
      <c r="F86" s="254"/>
    </row>
    <row r="88" spans="1:12" x14ac:dyDescent="0.35">
      <c r="A88" s="13"/>
    </row>
  </sheetData>
  <mergeCells count="155">
    <mergeCell ref="V15:V17"/>
    <mergeCell ref="W15:W17"/>
    <mergeCell ref="A18:A29"/>
    <mergeCell ref="B18:B20"/>
    <mergeCell ref="G18:G20"/>
    <mergeCell ref="V9:V11"/>
    <mergeCell ref="W9:W11"/>
    <mergeCell ref="O6:O8"/>
    <mergeCell ref="T6:T8"/>
    <mergeCell ref="V6:V8"/>
    <mergeCell ref="A69:A81"/>
    <mergeCell ref="B78:B79"/>
    <mergeCell ref="O21:O23"/>
    <mergeCell ref="T21:T23"/>
    <mergeCell ref="V21:V23"/>
    <mergeCell ref="W21:W23"/>
    <mergeCell ref="U15:U29"/>
    <mergeCell ref="W24:W26"/>
    <mergeCell ref="W27:W29"/>
    <mergeCell ref="V24:V26"/>
    <mergeCell ref="V27:V29"/>
    <mergeCell ref="O18:O20"/>
    <mergeCell ref="T18:T20"/>
    <mergeCell ref="V18:V20"/>
    <mergeCell ref="N15:N29"/>
    <mergeCell ref="O24:O26"/>
    <mergeCell ref="O27:O29"/>
    <mergeCell ref="T24:T26"/>
    <mergeCell ref="T27:T29"/>
    <mergeCell ref="N6:N14"/>
    <mergeCell ref="O15:O17"/>
    <mergeCell ref="T15:T17"/>
    <mergeCell ref="W18:W20"/>
    <mergeCell ref="J33:J35"/>
    <mergeCell ref="J36:J38"/>
    <mergeCell ref="J39:J41"/>
    <mergeCell ref="J18:J20"/>
    <mergeCell ref="J21:J23"/>
    <mergeCell ref="J24:J26"/>
    <mergeCell ref="J27:J29"/>
    <mergeCell ref="J30:J32"/>
    <mergeCell ref="J6:J8"/>
    <mergeCell ref="J9:J11"/>
    <mergeCell ref="J12:J14"/>
    <mergeCell ref="J15:J17"/>
    <mergeCell ref="O12:O14"/>
    <mergeCell ref="T12:T14"/>
    <mergeCell ref="V12:V14"/>
    <mergeCell ref="U6:U14"/>
    <mergeCell ref="W12:W14"/>
    <mergeCell ref="W6:W8"/>
    <mergeCell ref="O9:O11"/>
    <mergeCell ref="T9:T11"/>
    <mergeCell ref="H18:H29"/>
    <mergeCell ref="I18:I20"/>
    <mergeCell ref="B21:B23"/>
    <mergeCell ref="G21:G23"/>
    <mergeCell ref="I21:I23"/>
    <mergeCell ref="B24:B26"/>
    <mergeCell ref="G24:G26"/>
    <mergeCell ref="I24:I26"/>
    <mergeCell ref="B27:B29"/>
    <mergeCell ref="G27:G29"/>
    <mergeCell ref="I27:I29"/>
    <mergeCell ref="B84:F84"/>
    <mergeCell ref="B85:F85"/>
    <mergeCell ref="B86:F86"/>
    <mergeCell ref="I6:I8"/>
    <mergeCell ref="I9:I11"/>
    <mergeCell ref="I12:I14"/>
    <mergeCell ref="I15:I17"/>
    <mergeCell ref="H6:H17"/>
    <mergeCell ref="A6:A17"/>
    <mergeCell ref="G6:G8"/>
    <mergeCell ref="G9:G11"/>
    <mergeCell ref="G12:G14"/>
    <mergeCell ref="G15:G17"/>
    <mergeCell ref="B6:B8"/>
    <mergeCell ref="B9:B11"/>
    <mergeCell ref="B12:B14"/>
    <mergeCell ref="B15:B17"/>
    <mergeCell ref="A30:A41"/>
    <mergeCell ref="B30:B32"/>
    <mergeCell ref="G30:G32"/>
    <mergeCell ref="H30:H41"/>
    <mergeCell ref="I30:I32"/>
    <mergeCell ref="B33:B35"/>
    <mergeCell ref="G33:G35"/>
    <mergeCell ref="I33:I35"/>
    <mergeCell ref="B36:B38"/>
    <mergeCell ref="G36:G38"/>
    <mergeCell ref="I36:I38"/>
    <mergeCell ref="B39:B41"/>
    <mergeCell ref="G39:G41"/>
    <mergeCell ref="I39:I41"/>
    <mergeCell ref="A42:A53"/>
    <mergeCell ref="B42:B44"/>
    <mergeCell ref="G42:G44"/>
    <mergeCell ref="H42:H53"/>
    <mergeCell ref="I42:I44"/>
    <mergeCell ref="B48:B50"/>
    <mergeCell ref="G48:G50"/>
    <mergeCell ref="I48:I50"/>
    <mergeCell ref="J42:J44"/>
    <mergeCell ref="B45:B47"/>
    <mergeCell ref="G45:G47"/>
    <mergeCell ref="I45:I47"/>
    <mergeCell ref="J45:J47"/>
    <mergeCell ref="J48:J50"/>
    <mergeCell ref="B51:B53"/>
    <mergeCell ref="G51:G53"/>
    <mergeCell ref="I51:I53"/>
    <mergeCell ref="J51:J53"/>
    <mergeCell ref="A54:A68"/>
    <mergeCell ref="G66:G68"/>
    <mergeCell ref="H54:H68"/>
    <mergeCell ref="I66:I68"/>
    <mergeCell ref="J66:J68"/>
    <mergeCell ref="B54:B56"/>
    <mergeCell ref="G54:G56"/>
    <mergeCell ref="I54:I56"/>
    <mergeCell ref="J54:J56"/>
    <mergeCell ref="B57:B59"/>
    <mergeCell ref="G57:G59"/>
    <mergeCell ref="I57:I59"/>
    <mergeCell ref="J57:J59"/>
    <mergeCell ref="B60:B62"/>
    <mergeCell ref="G60:G62"/>
    <mergeCell ref="I60:I62"/>
    <mergeCell ref="J60:J62"/>
    <mergeCell ref="B63:B65"/>
    <mergeCell ref="G63:G65"/>
    <mergeCell ref="I63:I65"/>
    <mergeCell ref="J63:J65"/>
    <mergeCell ref="B80:B81"/>
    <mergeCell ref="G78:G79"/>
    <mergeCell ref="G80:G81"/>
    <mergeCell ref="H69:H81"/>
    <mergeCell ref="I78:I79"/>
    <mergeCell ref="I80:I81"/>
    <mergeCell ref="J78:J79"/>
    <mergeCell ref="J80:J81"/>
    <mergeCell ref="B66:B68"/>
    <mergeCell ref="B69:B71"/>
    <mergeCell ref="G69:G71"/>
    <mergeCell ref="I69:I71"/>
    <mergeCell ref="J69:J71"/>
    <mergeCell ref="B72:B74"/>
    <mergeCell ref="G72:G74"/>
    <mergeCell ref="I72:I74"/>
    <mergeCell ref="J72:J74"/>
    <mergeCell ref="B75:B77"/>
    <mergeCell ref="G75:G77"/>
    <mergeCell ref="I75:I77"/>
    <mergeCell ref="J75:J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9E0A-1D9E-4DCD-B7A9-56FAFF88B79F}">
  <dimension ref="A2:W86"/>
  <sheetViews>
    <sheetView topLeftCell="F59" zoomScaleNormal="100" workbookViewId="0">
      <selection activeCell="A67" sqref="A67:I78"/>
    </sheetView>
  </sheetViews>
  <sheetFormatPr defaultRowHeight="14.5" x14ac:dyDescent="0.35"/>
  <cols>
    <col min="1" max="1" width="12.7265625" customWidth="1"/>
    <col min="2" max="2" width="11.36328125" customWidth="1"/>
    <col min="3" max="3" width="15.36328125" customWidth="1"/>
    <col min="4" max="4" width="26.81640625" customWidth="1"/>
    <col min="5" max="5" width="14.54296875" customWidth="1"/>
    <col min="6" max="6" width="16" customWidth="1"/>
    <col min="7" max="7" width="21.54296875" customWidth="1"/>
    <col min="8" max="8" width="19.81640625" customWidth="1"/>
    <col min="9" max="9" width="17.7265625" customWidth="1"/>
    <col min="12" max="12" width="10.36328125" customWidth="1"/>
    <col min="13" max="13" width="17.08984375" customWidth="1"/>
    <col min="14" max="14" width="24.36328125" customWidth="1"/>
    <col min="15" max="15" width="36.08984375" customWidth="1"/>
    <col min="16" max="16" width="12.81640625" customWidth="1"/>
    <col min="17" max="17" width="21.54296875" customWidth="1"/>
    <col min="18" max="18" width="29.1796875" customWidth="1"/>
    <col min="19" max="19" width="22.1796875" customWidth="1"/>
  </cols>
  <sheetData>
    <row r="2" spans="1:23" ht="29" x14ac:dyDescent="0.7">
      <c r="A2" s="88" t="s">
        <v>92</v>
      </c>
      <c r="L2" s="88" t="s">
        <v>93</v>
      </c>
    </row>
    <row r="3" spans="1:23" ht="18.5" x14ac:dyDescent="0.45">
      <c r="A3" s="5" t="s">
        <v>15</v>
      </c>
      <c r="L3" s="5" t="s">
        <v>15</v>
      </c>
    </row>
    <row r="5" spans="1:23" ht="15" thickBot="1" x14ac:dyDescent="0.4">
      <c r="A5" t="s">
        <v>24</v>
      </c>
      <c r="L5" t="s">
        <v>24</v>
      </c>
    </row>
    <row r="6" spans="1:23" ht="15" thickBot="1" x14ac:dyDescent="0.4">
      <c r="A6" s="20" t="s">
        <v>0</v>
      </c>
      <c r="B6" s="21" t="s">
        <v>6</v>
      </c>
      <c r="C6" s="22" t="s">
        <v>16</v>
      </c>
      <c r="D6" s="22" t="s">
        <v>17</v>
      </c>
      <c r="E6" s="21" t="s">
        <v>18</v>
      </c>
      <c r="F6" s="22" t="s">
        <v>19</v>
      </c>
      <c r="G6" s="23" t="s">
        <v>25</v>
      </c>
      <c r="H6" s="24" t="s">
        <v>26</v>
      </c>
      <c r="I6" s="36" t="s">
        <v>63</v>
      </c>
      <c r="L6" s="89" t="s">
        <v>0</v>
      </c>
      <c r="M6" s="24" t="s">
        <v>6</v>
      </c>
      <c r="N6" s="89" t="s">
        <v>16</v>
      </c>
      <c r="O6" s="89" t="s">
        <v>17</v>
      </c>
      <c r="P6" s="24" t="s">
        <v>18</v>
      </c>
      <c r="Q6" s="89" t="s">
        <v>19</v>
      </c>
      <c r="R6" s="24" t="s">
        <v>25</v>
      </c>
      <c r="S6" s="24" t="s">
        <v>26</v>
      </c>
      <c r="T6" s="24" t="s">
        <v>63</v>
      </c>
      <c r="U6" s="10"/>
      <c r="V6" s="10"/>
      <c r="W6" s="10"/>
    </row>
    <row r="7" spans="1:23" x14ac:dyDescent="0.35">
      <c r="A7" s="250">
        <v>45916</v>
      </c>
      <c r="B7" s="308" t="s">
        <v>7</v>
      </c>
      <c r="C7" s="19">
        <v>47634.6</v>
      </c>
      <c r="D7" s="19">
        <v>48533.3</v>
      </c>
      <c r="E7" s="19">
        <f>((D7-C7)*1000)/25</f>
        <v>35948.000000000175</v>
      </c>
      <c r="F7" s="307">
        <f>SUM((E7:E9))/3</f>
        <v>31492.000000000116</v>
      </c>
      <c r="G7" s="206" t="s">
        <v>34</v>
      </c>
      <c r="H7" s="242" t="s">
        <v>28</v>
      </c>
      <c r="I7" s="292">
        <f>F7/10000</f>
        <v>3.1492000000000115</v>
      </c>
      <c r="L7" s="295">
        <v>45945</v>
      </c>
      <c r="M7" s="281" t="s">
        <v>7</v>
      </c>
      <c r="N7" s="87">
        <v>54078.6</v>
      </c>
      <c r="O7" s="87">
        <v>54765.4</v>
      </c>
      <c r="P7" s="87">
        <f>((O7-N7)*1000)/25</f>
        <v>27472.000000000116</v>
      </c>
      <c r="Q7" s="301">
        <f>SUM((P7:P9))/3</f>
        <v>25504.00000000004</v>
      </c>
      <c r="R7" s="205" t="s">
        <v>34</v>
      </c>
      <c r="S7" s="302" t="s">
        <v>28</v>
      </c>
      <c r="T7" s="277">
        <f>Q7/10000</f>
        <v>2.5504000000000042</v>
      </c>
      <c r="U7" s="86"/>
      <c r="V7" s="86"/>
      <c r="W7" s="86"/>
    </row>
    <row r="8" spans="1:23" x14ac:dyDescent="0.35">
      <c r="A8" s="250"/>
      <c r="B8" s="237"/>
      <c r="C8" s="2">
        <v>47861.2</v>
      </c>
      <c r="D8" s="2">
        <v>48599.7</v>
      </c>
      <c r="E8" s="2">
        <f t="shared" ref="E8:E18" si="0">((D8-C8)*1000)/25</f>
        <v>29540</v>
      </c>
      <c r="F8" s="287"/>
      <c r="G8" s="206"/>
      <c r="H8" s="242"/>
      <c r="I8" s="271"/>
      <c r="L8" s="267"/>
      <c r="M8" s="217"/>
      <c r="N8" s="90">
        <v>63308</v>
      </c>
      <c r="O8" s="90">
        <v>63951</v>
      </c>
      <c r="P8" s="90">
        <f t="shared" ref="P8:P27" si="1">((O8-N8)*1000)/25</f>
        <v>25720</v>
      </c>
      <c r="Q8" s="297"/>
      <c r="R8" s="206"/>
      <c r="S8" s="303"/>
      <c r="T8" s="271"/>
      <c r="U8" s="86"/>
      <c r="V8" s="86"/>
      <c r="W8" s="86"/>
    </row>
    <row r="9" spans="1:23" ht="15" thickBot="1" x14ac:dyDescent="0.4">
      <c r="A9" s="250"/>
      <c r="B9" s="237"/>
      <c r="C9" s="2">
        <v>47041.1</v>
      </c>
      <c r="D9" s="2">
        <v>47765.8</v>
      </c>
      <c r="E9" s="2">
        <f t="shared" si="0"/>
        <v>28988.000000000178</v>
      </c>
      <c r="F9" s="287"/>
      <c r="G9" s="206"/>
      <c r="H9" s="246"/>
      <c r="I9" s="271"/>
      <c r="L9" s="267"/>
      <c r="M9" s="217"/>
      <c r="N9" s="90">
        <v>60255</v>
      </c>
      <c r="O9" s="90">
        <v>60838</v>
      </c>
      <c r="P9" s="90">
        <f t="shared" si="1"/>
        <v>23320</v>
      </c>
      <c r="Q9" s="297"/>
      <c r="R9" s="206"/>
      <c r="S9" s="303"/>
      <c r="T9" s="271"/>
      <c r="U9" s="86"/>
      <c r="V9" s="86"/>
      <c r="W9" s="86"/>
    </row>
    <row r="10" spans="1:23" x14ac:dyDescent="0.35">
      <c r="A10" s="250"/>
      <c r="B10" s="237" t="s">
        <v>8</v>
      </c>
      <c r="C10" s="2">
        <v>58929.4</v>
      </c>
      <c r="D10" s="2">
        <v>59552.2</v>
      </c>
      <c r="E10" s="2">
        <f t="shared" si="0"/>
        <v>24911.999999999822</v>
      </c>
      <c r="F10" s="287">
        <f t="shared" ref="F10" si="2">SUM((E10:E12))/3</f>
        <v>27225.333333333256</v>
      </c>
      <c r="G10" s="206"/>
      <c r="H10" s="241" t="s">
        <v>28</v>
      </c>
      <c r="I10" s="292">
        <f t="shared" ref="I10" si="3">F10/10000</f>
        <v>2.7225333333333257</v>
      </c>
      <c r="L10" s="267"/>
      <c r="M10" s="217" t="s">
        <v>8</v>
      </c>
      <c r="N10" s="90">
        <v>60944.4</v>
      </c>
      <c r="O10" s="90">
        <v>61369.3</v>
      </c>
      <c r="P10" s="90">
        <f t="shared" si="1"/>
        <v>16996.000000000058</v>
      </c>
      <c r="Q10" s="297">
        <f t="shared" ref="Q10" si="4">SUM((P10:P12))/3</f>
        <v>17153.33333333343</v>
      </c>
      <c r="R10" s="206"/>
      <c r="S10" s="298" t="s">
        <v>29</v>
      </c>
      <c r="T10" s="271">
        <f t="shared" ref="T10" si="5">Q10/10000</f>
        <v>1.7153333333333429</v>
      </c>
      <c r="U10" s="86"/>
      <c r="V10" s="86"/>
      <c r="W10" s="86"/>
    </row>
    <row r="11" spans="1:23" x14ac:dyDescent="0.35">
      <c r="A11" s="250"/>
      <c r="B11" s="237"/>
      <c r="C11" s="2">
        <v>58750.2</v>
      </c>
      <c r="D11" s="2">
        <v>59505</v>
      </c>
      <c r="E11" s="2">
        <f t="shared" si="0"/>
        <v>30192.000000000116</v>
      </c>
      <c r="F11" s="287"/>
      <c r="G11" s="206"/>
      <c r="H11" s="242"/>
      <c r="I11" s="271"/>
      <c r="L11" s="267"/>
      <c r="M11" s="217"/>
      <c r="N11" s="90">
        <v>54315.199999999997</v>
      </c>
      <c r="O11" s="90">
        <v>54741.4</v>
      </c>
      <c r="P11" s="90">
        <f t="shared" si="1"/>
        <v>17048.000000000175</v>
      </c>
      <c r="Q11" s="297"/>
      <c r="R11" s="206"/>
      <c r="S11" s="299"/>
      <c r="T11" s="271"/>
      <c r="U11" s="86"/>
      <c r="V11" s="86"/>
      <c r="W11" s="86"/>
    </row>
    <row r="12" spans="1:23" ht="15" thickBot="1" x14ac:dyDescent="0.4">
      <c r="A12" s="250"/>
      <c r="B12" s="237"/>
      <c r="C12" s="2">
        <v>60870.9</v>
      </c>
      <c r="D12" s="2">
        <v>61535.199999999997</v>
      </c>
      <c r="E12" s="2">
        <f t="shared" si="0"/>
        <v>26571.999999999822</v>
      </c>
      <c r="F12" s="287"/>
      <c r="G12" s="206"/>
      <c r="H12" s="246"/>
      <c r="I12" s="271"/>
      <c r="L12" s="267"/>
      <c r="M12" s="217"/>
      <c r="N12" s="90">
        <v>58670.1</v>
      </c>
      <c r="O12" s="90">
        <v>59105.5</v>
      </c>
      <c r="P12" s="90">
        <f t="shared" si="1"/>
        <v>17416.000000000058</v>
      </c>
      <c r="Q12" s="297"/>
      <c r="R12" s="206"/>
      <c r="S12" s="300"/>
      <c r="T12" s="271"/>
      <c r="U12" s="86"/>
      <c r="V12" s="86"/>
      <c r="W12" s="86"/>
    </row>
    <row r="13" spans="1:23" x14ac:dyDescent="0.35">
      <c r="A13" s="250"/>
      <c r="B13" s="237" t="s">
        <v>9</v>
      </c>
      <c r="C13" s="2">
        <v>57422.9</v>
      </c>
      <c r="D13" s="2">
        <v>57941.599999999999</v>
      </c>
      <c r="E13" s="2">
        <f t="shared" si="0"/>
        <v>20747.999999999884</v>
      </c>
      <c r="F13" s="287">
        <f t="shared" ref="F13" si="6">SUM((E13:E15))/3</f>
        <v>20123.999999999942</v>
      </c>
      <c r="G13" s="206"/>
      <c r="H13" s="241" t="s">
        <v>28</v>
      </c>
      <c r="I13" s="292">
        <f t="shared" ref="I13" si="7">F13/10000</f>
        <v>2.0123999999999942</v>
      </c>
      <c r="L13" s="267"/>
      <c r="M13" s="217" t="s">
        <v>10</v>
      </c>
      <c r="N13" s="90">
        <v>54764.1</v>
      </c>
      <c r="O13" s="90">
        <v>55301.8</v>
      </c>
      <c r="P13" s="90">
        <f t="shared" si="1"/>
        <v>21508.000000000178</v>
      </c>
      <c r="Q13" s="297">
        <f t="shared" ref="Q13" si="8">SUM((P13:P15))/3</f>
        <v>20882.666666666726</v>
      </c>
      <c r="R13" s="206"/>
      <c r="S13" s="303" t="s">
        <v>28</v>
      </c>
      <c r="T13" s="271">
        <f t="shared" ref="T13" si="9">Q13/10000</f>
        <v>2.0882666666666725</v>
      </c>
      <c r="U13" s="86"/>
      <c r="V13" s="86"/>
      <c r="W13" s="86"/>
    </row>
    <row r="14" spans="1:23" x14ac:dyDescent="0.35">
      <c r="A14" s="250"/>
      <c r="B14" s="237"/>
      <c r="C14" s="2">
        <v>60914</v>
      </c>
      <c r="D14" s="2">
        <v>61428</v>
      </c>
      <c r="E14" s="2">
        <f t="shared" si="0"/>
        <v>20560</v>
      </c>
      <c r="F14" s="287"/>
      <c r="G14" s="206"/>
      <c r="H14" s="242"/>
      <c r="I14" s="271"/>
      <c r="L14" s="267"/>
      <c r="M14" s="217"/>
      <c r="N14" s="90">
        <v>58959.5</v>
      </c>
      <c r="O14" s="90">
        <v>59495.6</v>
      </c>
      <c r="P14" s="90">
        <f t="shared" si="1"/>
        <v>21443.999999999945</v>
      </c>
      <c r="Q14" s="297"/>
      <c r="R14" s="206"/>
      <c r="S14" s="303"/>
      <c r="T14" s="271"/>
      <c r="U14" s="86"/>
      <c r="V14" s="86"/>
      <c r="W14" s="86"/>
    </row>
    <row r="15" spans="1:23" ht="15" thickBot="1" x14ac:dyDescent="0.4">
      <c r="A15" s="250"/>
      <c r="B15" s="237"/>
      <c r="C15" s="2">
        <v>59216.800000000003</v>
      </c>
      <c r="D15" s="2">
        <v>59693.4</v>
      </c>
      <c r="E15" s="2">
        <f t="shared" si="0"/>
        <v>19063.999999999942</v>
      </c>
      <c r="F15" s="287"/>
      <c r="G15" s="206"/>
      <c r="H15" s="246"/>
      <c r="I15" s="271"/>
      <c r="L15" s="268"/>
      <c r="M15" s="275"/>
      <c r="N15" s="112">
        <v>58779.9</v>
      </c>
      <c r="O15" s="112">
        <v>59272.3</v>
      </c>
      <c r="P15" s="91">
        <f t="shared" si="1"/>
        <v>19696.000000000058</v>
      </c>
      <c r="Q15" s="304"/>
      <c r="R15" s="206"/>
      <c r="S15" s="305"/>
      <c r="T15" s="276"/>
      <c r="U15" s="86"/>
      <c r="V15" s="86"/>
      <c r="W15" s="86"/>
    </row>
    <row r="16" spans="1:23" ht="15" thickBot="1" x14ac:dyDescent="0.4">
      <c r="A16" s="250"/>
      <c r="B16" s="237" t="s">
        <v>10</v>
      </c>
      <c r="C16" s="2">
        <v>61627.3</v>
      </c>
      <c r="D16" s="2">
        <v>62067.1</v>
      </c>
      <c r="E16" s="2">
        <f t="shared" si="0"/>
        <v>17591.999999999825</v>
      </c>
      <c r="F16" s="287">
        <f t="shared" ref="F16" si="10">SUM((E16:E18))/3</f>
        <v>17702.666666666726</v>
      </c>
      <c r="G16" s="206"/>
      <c r="H16" s="221" t="s">
        <v>29</v>
      </c>
      <c r="I16" s="292">
        <f t="shared" ref="I16:I28" si="11">F16/10000</f>
        <v>1.7702666666666727</v>
      </c>
      <c r="L16" s="278">
        <v>45952</v>
      </c>
      <c r="M16" s="216" t="s">
        <v>7</v>
      </c>
      <c r="N16" s="92">
        <v>60945.2</v>
      </c>
      <c r="O16" s="92">
        <v>61655.3</v>
      </c>
      <c r="P16" s="129">
        <f t="shared" si="1"/>
        <v>28404.000000000233</v>
      </c>
      <c r="Q16" s="306">
        <f t="shared" ref="Q16:Q25" si="12">SUM((P16:P18))/3</f>
        <v>27513.33333333343</v>
      </c>
      <c r="R16" s="206"/>
      <c r="S16" s="216" t="s">
        <v>28</v>
      </c>
      <c r="T16" s="292">
        <f t="shared" ref="T16" si="13">Q16/10000</f>
        <v>2.751333333333343</v>
      </c>
      <c r="U16" s="86"/>
      <c r="V16" s="86"/>
      <c r="W16" s="86"/>
    </row>
    <row r="17" spans="1:23" ht="15" thickBot="1" x14ac:dyDescent="0.4">
      <c r="A17" s="250"/>
      <c r="B17" s="237"/>
      <c r="C17" s="2">
        <v>60589.1</v>
      </c>
      <c r="D17" s="2">
        <v>61020.3</v>
      </c>
      <c r="E17" s="2">
        <f t="shared" si="0"/>
        <v>17248.000000000175</v>
      </c>
      <c r="F17" s="287"/>
      <c r="G17" s="206"/>
      <c r="H17" s="222"/>
      <c r="I17" s="271"/>
      <c r="L17" s="279"/>
      <c r="M17" s="217"/>
      <c r="N17" s="90">
        <v>54315.7</v>
      </c>
      <c r="O17" s="90">
        <v>54915.9</v>
      </c>
      <c r="P17" s="91">
        <f t="shared" si="1"/>
        <v>24008.000000000178</v>
      </c>
      <c r="Q17" s="297"/>
      <c r="R17" s="206"/>
      <c r="S17" s="217"/>
      <c r="T17" s="271"/>
      <c r="U17" s="86"/>
      <c r="V17" s="86"/>
      <c r="W17" s="86"/>
    </row>
    <row r="18" spans="1:23" ht="15" thickBot="1" x14ac:dyDescent="0.4">
      <c r="A18" s="264"/>
      <c r="B18" s="247"/>
      <c r="C18" s="18">
        <v>58641.1</v>
      </c>
      <c r="D18" s="18">
        <v>59097.8</v>
      </c>
      <c r="E18" s="18">
        <f t="shared" si="0"/>
        <v>18268.000000000175</v>
      </c>
      <c r="F18" s="293"/>
      <c r="G18" s="207"/>
      <c r="H18" s="223"/>
      <c r="I18" s="271"/>
      <c r="L18" s="279"/>
      <c r="M18" s="217"/>
      <c r="N18" s="90">
        <v>60256</v>
      </c>
      <c r="O18" s="90">
        <v>61009.2</v>
      </c>
      <c r="P18" s="91">
        <f t="shared" si="1"/>
        <v>30127.999999999884</v>
      </c>
      <c r="Q18" s="304"/>
      <c r="R18" s="206"/>
      <c r="S18" s="275"/>
      <c r="T18" s="276"/>
      <c r="U18" s="86"/>
      <c r="V18" s="86"/>
      <c r="W18" s="86"/>
    </row>
    <row r="19" spans="1:23" ht="15" thickBot="1" x14ac:dyDescent="0.4">
      <c r="A19" s="249">
        <v>45923</v>
      </c>
      <c r="B19" s="251" t="s">
        <v>7</v>
      </c>
      <c r="C19" s="17">
        <v>47642.5</v>
      </c>
      <c r="D19" s="17">
        <v>48329.3</v>
      </c>
      <c r="E19" s="17">
        <f>((D19-C19)*1000)/25</f>
        <v>27472.000000000116</v>
      </c>
      <c r="F19" s="286">
        <f>SUM((E19:E21))/3</f>
        <v>27937.333333333274</v>
      </c>
      <c r="G19" s="309" t="s">
        <v>34</v>
      </c>
      <c r="H19" s="265" t="s">
        <v>28</v>
      </c>
      <c r="I19" s="292">
        <f t="shared" si="11"/>
        <v>2.7937333333333272</v>
      </c>
      <c r="L19" s="279"/>
      <c r="M19" s="281" t="s">
        <v>8</v>
      </c>
      <c r="N19" s="90">
        <v>58671</v>
      </c>
      <c r="O19" s="128">
        <v>59186.5</v>
      </c>
      <c r="P19" s="91">
        <f t="shared" si="1"/>
        <v>20620</v>
      </c>
      <c r="Q19" s="297">
        <f t="shared" si="12"/>
        <v>21369.333333333296</v>
      </c>
      <c r="R19" s="206"/>
      <c r="S19" s="217" t="s">
        <v>28</v>
      </c>
      <c r="T19" s="271">
        <f t="shared" ref="T19" si="14">Q19/10000</f>
        <v>2.1369333333333294</v>
      </c>
    </row>
    <row r="20" spans="1:23" ht="15" thickBot="1" x14ac:dyDescent="0.4">
      <c r="A20" s="250"/>
      <c r="B20" s="237"/>
      <c r="C20" s="2">
        <v>47870.6</v>
      </c>
      <c r="D20" s="2">
        <v>48588.2</v>
      </c>
      <c r="E20" s="2">
        <f t="shared" ref="E20:E30" si="15">((D20-C20)*1000)/25</f>
        <v>28703.999999999945</v>
      </c>
      <c r="F20" s="287"/>
      <c r="G20" s="206"/>
      <c r="H20" s="242"/>
      <c r="I20" s="271"/>
      <c r="L20" s="279"/>
      <c r="M20" s="217"/>
      <c r="N20" s="90">
        <v>63309.599999999999</v>
      </c>
      <c r="O20" s="128">
        <v>63848.5</v>
      </c>
      <c r="P20" s="91">
        <f t="shared" si="1"/>
        <v>21556.000000000055</v>
      </c>
      <c r="Q20" s="297"/>
      <c r="R20" s="206"/>
      <c r="S20" s="217"/>
      <c r="T20" s="271"/>
    </row>
    <row r="21" spans="1:23" ht="15" thickBot="1" x14ac:dyDescent="0.4">
      <c r="A21" s="250"/>
      <c r="B21" s="237"/>
      <c r="C21" s="2">
        <v>47049.8</v>
      </c>
      <c r="D21" s="2">
        <v>47740.7</v>
      </c>
      <c r="E21" s="2">
        <f t="shared" si="15"/>
        <v>27635.999999999767</v>
      </c>
      <c r="F21" s="287"/>
      <c r="G21" s="206"/>
      <c r="H21" s="246"/>
      <c r="I21" s="271"/>
      <c r="L21" s="279"/>
      <c r="M21" s="217"/>
      <c r="N21" s="90">
        <v>54079.8</v>
      </c>
      <c r="O21" s="128">
        <v>54628.1</v>
      </c>
      <c r="P21" s="91">
        <f t="shared" si="1"/>
        <v>21931.999999999822</v>
      </c>
      <c r="Q21" s="304"/>
      <c r="R21" s="206"/>
      <c r="S21" s="275"/>
      <c r="T21" s="276"/>
    </row>
    <row r="22" spans="1:23" ht="15" thickBot="1" x14ac:dyDescent="0.4">
      <c r="A22" s="250"/>
      <c r="B22" s="237" t="s">
        <v>8</v>
      </c>
      <c r="C22" s="2">
        <v>60602.5</v>
      </c>
      <c r="D22" s="2">
        <v>61260</v>
      </c>
      <c r="E22" s="2">
        <f t="shared" si="15"/>
        <v>26300</v>
      </c>
      <c r="F22" s="287">
        <f t="shared" ref="F22" si="16">SUM((E22:E24))/3</f>
        <v>25025.333333333256</v>
      </c>
      <c r="G22" s="206"/>
      <c r="H22" s="241" t="s">
        <v>28</v>
      </c>
      <c r="I22" s="292">
        <f t="shared" si="11"/>
        <v>2.5025333333333255</v>
      </c>
      <c r="L22" s="279"/>
      <c r="M22" s="281" t="s">
        <v>10</v>
      </c>
      <c r="N22" s="90">
        <v>58776.9</v>
      </c>
      <c r="O22" s="90">
        <v>59315</v>
      </c>
      <c r="P22" s="91">
        <f t="shared" si="1"/>
        <v>21523.999999999945</v>
      </c>
      <c r="Q22" s="297">
        <f t="shared" si="12"/>
        <v>20106.66666666657</v>
      </c>
      <c r="R22" s="206"/>
      <c r="S22" s="217" t="s">
        <v>28</v>
      </c>
      <c r="T22" s="271">
        <f t="shared" ref="T22" si="17">Q22/10000</f>
        <v>2.0106666666666571</v>
      </c>
    </row>
    <row r="23" spans="1:23" ht="15" thickBot="1" x14ac:dyDescent="0.4">
      <c r="A23" s="250"/>
      <c r="B23" s="237"/>
      <c r="C23" s="2">
        <v>61640.800000000003</v>
      </c>
      <c r="D23" s="2">
        <v>62266.7</v>
      </c>
      <c r="E23" s="2">
        <f t="shared" si="15"/>
        <v>25035.999999999767</v>
      </c>
      <c r="F23" s="287"/>
      <c r="G23" s="206"/>
      <c r="H23" s="242"/>
      <c r="I23" s="271"/>
      <c r="L23" s="279"/>
      <c r="M23" s="217"/>
      <c r="N23" s="90">
        <v>58957.5</v>
      </c>
      <c r="O23" s="90">
        <v>59430.6</v>
      </c>
      <c r="P23" s="91">
        <f t="shared" si="1"/>
        <v>18923.999999999942</v>
      </c>
      <c r="Q23" s="297"/>
      <c r="R23" s="206"/>
      <c r="S23" s="217"/>
      <c r="T23" s="271"/>
    </row>
    <row r="24" spans="1:23" ht="15" thickBot="1" x14ac:dyDescent="0.4">
      <c r="A24" s="250"/>
      <c r="B24" s="237"/>
      <c r="C24" s="2">
        <v>57435.8</v>
      </c>
      <c r="D24" s="2">
        <v>58029.3</v>
      </c>
      <c r="E24" s="2">
        <f t="shared" si="15"/>
        <v>23740</v>
      </c>
      <c r="F24" s="287"/>
      <c r="G24" s="206"/>
      <c r="H24" s="246"/>
      <c r="I24" s="271"/>
      <c r="L24" s="279"/>
      <c r="M24" s="217"/>
      <c r="N24" s="90">
        <v>54763.3</v>
      </c>
      <c r="O24" s="90">
        <v>55260.1</v>
      </c>
      <c r="P24" s="91">
        <f t="shared" si="1"/>
        <v>19871.999999999825</v>
      </c>
      <c r="Q24" s="304"/>
      <c r="R24" s="206"/>
      <c r="S24" s="275"/>
      <c r="T24" s="276"/>
    </row>
    <row r="25" spans="1:23" ht="15" thickBot="1" x14ac:dyDescent="0.4">
      <c r="A25" s="250"/>
      <c r="B25" s="237" t="s">
        <v>9</v>
      </c>
      <c r="C25" s="2">
        <v>58942.3</v>
      </c>
      <c r="D25" s="2">
        <v>59440.5</v>
      </c>
      <c r="E25" s="2">
        <f t="shared" si="15"/>
        <v>19927.999999999884</v>
      </c>
      <c r="F25" s="287">
        <f t="shared" ref="F25" si="18">SUM((E25:E27))/3</f>
        <v>20403.999999999942</v>
      </c>
      <c r="G25" s="206"/>
      <c r="H25" s="241" t="s">
        <v>28</v>
      </c>
      <c r="I25" s="292">
        <f t="shared" si="11"/>
        <v>2.0403999999999942</v>
      </c>
      <c r="L25" s="279"/>
      <c r="M25" s="281" t="s">
        <v>94</v>
      </c>
      <c r="N25" s="90">
        <v>54082.3</v>
      </c>
      <c r="O25" s="90">
        <v>54139.9</v>
      </c>
      <c r="P25" s="91">
        <f t="shared" si="1"/>
        <v>2303.9999999999418</v>
      </c>
      <c r="Q25" s="297">
        <f t="shared" si="12"/>
        <v>2036.0000000000582</v>
      </c>
      <c r="R25" s="206"/>
      <c r="S25" s="210" t="s">
        <v>29</v>
      </c>
      <c r="T25" s="271">
        <f t="shared" ref="T25" si="19">Q25/10000</f>
        <v>0.20360000000000583</v>
      </c>
    </row>
    <row r="26" spans="1:23" ht="15" thickBot="1" x14ac:dyDescent="0.4">
      <c r="A26" s="250"/>
      <c r="B26" s="237"/>
      <c r="C26" s="2">
        <v>60884.4</v>
      </c>
      <c r="D26" s="2">
        <v>61390</v>
      </c>
      <c r="E26" s="2">
        <f t="shared" si="15"/>
        <v>20223.999999999942</v>
      </c>
      <c r="F26" s="287"/>
      <c r="G26" s="206"/>
      <c r="H26" s="242"/>
      <c r="I26" s="271"/>
      <c r="L26" s="279"/>
      <c r="M26" s="217"/>
      <c r="N26" s="90">
        <v>63312.4</v>
      </c>
      <c r="O26" s="90">
        <v>63361.3</v>
      </c>
      <c r="P26" s="91">
        <f t="shared" si="1"/>
        <v>1956.0000000000582</v>
      </c>
      <c r="Q26" s="297"/>
      <c r="R26" s="206"/>
      <c r="S26" s="296"/>
      <c r="T26" s="271"/>
    </row>
    <row r="27" spans="1:23" ht="15" thickBot="1" x14ac:dyDescent="0.4">
      <c r="A27" s="250"/>
      <c r="B27" s="237"/>
      <c r="C27" s="2">
        <v>58764.4</v>
      </c>
      <c r="D27" s="2">
        <v>59290.9</v>
      </c>
      <c r="E27" s="2">
        <f t="shared" si="15"/>
        <v>21060</v>
      </c>
      <c r="F27" s="287"/>
      <c r="G27" s="206"/>
      <c r="H27" s="246"/>
      <c r="I27" s="271"/>
      <c r="L27" s="280"/>
      <c r="M27" s="275"/>
      <c r="N27" s="91">
        <v>58673.599999999999</v>
      </c>
      <c r="O27" s="91">
        <v>58719.8</v>
      </c>
      <c r="P27" s="91">
        <f t="shared" si="1"/>
        <v>1848.0000000001746</v>
      </c>
      <c r="Q27" s="304"/>
      <c r="R27" s="207"/>
      <c r="S27" s="211"/>
      <c r="T27" s="276"/>
    </row>
    <row r="28" spans="1:23" x14ac:dyDescent="0.35">
      <c r="A28" s="250"/>
      <c r="B28" s="237" t="s">
        <v>10</v>
      </c>
      <c r="C28" s="2">
        <v>60925.9</v>
      </c>
      <c r="D28" s="2">
        <v>61363.9</v>
      </c>
      <c r="E28" s="2">
        <f t="shared" si="15"/>
        <v>17520</v>
      </c>
      <c r="F28" s="287">
        <f t="shared" ref="F28" si="20">SUM((E28:E30))/3</f>
        <v>17761.333333333216</v>
      </c>
      <c r="G28" s="206"/>
      <c r="H28" s="221" t="s">
        <v>29</v>
      </c>
      <c r="I28" s="292">
        <f t="shared" si="11"/>
        <v>1.7761333333333216</v>
      </c>
      <c r="L28" s="58"/>
      <c r="M28" s="231"/>
      <c r="P28" s="11"/>
      <c r="Q28" s="294"/>
      <c r="R28" s="60"/>
    </row>
    <row r="29" spans="1:23" x14ac:dyDescent="0.35">
      <c r="A29" s="250"/>
      <c r="B29" s="237"/>
      <c r="C29" s="2">
        <v>58655.3</v>
      </c>
      <c r="D29" s="2">
        <v>59100.7</v>
      </c>
      <c r="E29" s="2">
        <f t="shared" si="15"/>
        <v>17815.999999999767</v>
      </c>
      <c r="F29" s="287"/>
      <c r="G29" s="206"/>
      <c r="H29" s="222"/>
      <c r="I29" s="271"/>
      <c r="L29" s="58"/>
      <c r="M29" s="231"/>
      <c r="P29" s="11"/>
      <c r="Q29" s="294"/>
      <c r="R29" s="60"/>
    </row>
    <row r="30" spans="1:23" ht="15" thickBot="1" x14ac:dyDescent="0.4">
      <c r="A30" s="264"/>
      <c r="B30" s="247"/>
      <c r="C30" s="18">
        <v>59229.9</v>
      </c>
      <c r="D30" s="18">
        <v>59678.6</v>
      </c>
      <c r="E30" s="18">
        <f t="shared" si="15"/>
        <v>17947.999999999884</v>
      </c>
      <c r="F30" s="293"/>
      <c r="G30" s="207"/>
      <c r="H30" s="223"/>
      <c r="I30" s="271"/>
      <c r="L30" s="58"/>
      <c r="M30" s="231"/>
      <c r="P30" s="11"/>
      <c r="Q30" s="294"/>
      <c r="R30" s="60"/>
    </row>
    <row r="31" spans="1:23" x14ac:dyDescent="0.35">
      <c r="A31" s="249">
        <v>45930</v>
      </c>
      <c r="B31" s="251" t="s">
        <v>7</v>
      </c>
      <c r="C31" s="17">
        <v>60918.7</v>
      </c>
      <c r="D31" s="17">
        <v>61507</v>
      </c>
      <c r="E31" s="17">
        <f>((D31-C31)*1000)/25</f>
        <v>23532.000000000116</v>
      </c>
      <c r="F31" s="286">
        <f>SUM((E31:E33))/3</f>
        <v>23512.000000000018</v>
      </c>
      <c r="G31" s="256" t="s">
        <v>34</v>
      </c>
      <c r="H31" s="291" t="s">
        <v>28</v>
      </c>
      <c r="I31" s="292">
        <f t="shared" ref="I31:I40" si="21">F31/10000</f>
        <v>2.3512000000000017</v>
      </c>
    </row>
    <row r="32" spans="1:23" x14ac:dyDescent="0.35">
      <c r="A32" s="250"/>
      <c r="B32" s="237"/>
      <c r="C32" s="2">
        <v>58933</v>
      </c>
      <c r="D32" s="2">
        <v>59492.3</v>
      </c>
      <c r="E32" s="2">
        <f t="shared" ref="E32:E42" si="22">((D32-C32)*1000)/25</f>
        <v>22372.000000000116</v>
      </c>
      <c r="F32" s="287"/>
      <c r="G32" s="289"/>
      <c r="H32" s="253"/>
      <c r="I32" s="271"/>
    </row>
    <row r="33" spans="1:9" ht="15" thickBot="1" x14ac:dyDescent="0.4">
      <c r="A33" s="250"/>
      <c r="B33" s="237"/>
      <c r="C33" s="2">
        <v>58753.8</v>
      </c>
      <c r="D33" s="2">
        <v>59369.599999999999</v>
      </c>
      <c r="E33" s="2">
        <f t="shared" si="22"/>
        <v>24631.999999999822</v>
      </c>
      <c r="F33" s="287"/>
      <c r="G33" s="289"/>
      <c r="H33" s="281"/>
      <c r="I33" s="271"/>
    </row>
    <row r="34" spans="1:9" x14ac:dyDescent="0.35">
      <c r="A34" s="250"/>
      <c r="B34" s="237" t="s">
        <v>8</v>
      </c>
      <c r="C34" s="2">
        <v>58646.8</v>
      </c>
      <c r="D34" s="2">
        <v>59304.6</v>
      </c>
      <c r="E34" s="2">
        <f t="shared" si="22"/>
        <v>26311.999999999822</v>
      </c>
      <c r="F34" s="287">
        <f t="shared" ref="F34" si="23">SUM((E34:E36))/3</f>
        <v>23613.333333333238</v>
      </c>
      <c r="G34" s="289"/>
      <c r="H34" s="200" t="s">
        <v>28</v>
      </c>
      <c r="I34" s="292">
        <f t="shared" si="21"/>
        <v>2.3613333333333237</v>
      </c>
    </row>
    <row r="35" spans="1:9" x14ac:dyDescent="0.35">
      <c r="A35" s="250"/>
      <c r="B35" s="237"/>
      <c r="C35" s="2">
        <v>59224.1</v>
      </c>
      <c r="D35" s="2">
        <v>59771.1</v>
      </c>
      <c r="E35" s="2">
        <f t="shared" si="22"/>
        <v>21880</v>
      </c>
      <c r="F35" s="287"/>
      <c r="G35" s="289"/>
      <c r="H35" s="253"/>
      <c r="I35" s="271"/>
    </row>
    <row r="36" spans="1:9" ht="15" thickBot="1" x14ac:dyDescent="0.4">
      <c r="A36" s="250"/>
      <c r="B36" s="237"/>
      <c r="C36" s="2">
        <v>60873.5</v>
      </c>
      <c r="D36" s="2">
        <v>61439.7</v>
      </c>
      <c r="E36" s="2">
        <f t="shared" si="22"/>
        <v>22647.999999999884</v>
      </c>
      <c r="F36" s="287"/>
      <c r="G36" s="289"/>
      <c r="H36" s="281"/>
      <c r="I36" s="271"/>
    </row>
    <row r="37" spans="1:9" x14ac:dyDescent="0.35">
      <c r="A37" s="250"/>
      <c r="B37" s="237" t="s">
        <v>9</v>
      </c>
      <c r="C37" s="2">
        <v>54285.2</v>
      </c>
      <c r="D37" s="2">
        <v>54802.7</v>
      </c>
      <c r="E37" s="2">
        <f t="shared" si="22"/>
        <v>20700</v>
      </c>
      <c r="F37" s="287">
        <f t="shared" ref="F37" si="24">SUM((E37:E39))/3</f>
        <v>19372.000000000018</v>
      </c>
      <c r="G37" s="289"/>
      <c r="H37" s="310" t="s">
        <v>29</v>
      </c>
      <c r="I37" s="292">
        <f t="shared" si="21"/>
        <v>1.9372000000000018</v>
      </c>
    </row>
    <row r="38" spans="1:9" x14ac:dyDescent="0.35">
      <c r="A38" s="250"/>
      <c r="B38" s="237"/>
      <c r="C38" s="2">
        <v>58439.6</v>
      </c>
      <c r="D38" s="2">
        <v>58938.5</v>
      </c>
      <c r="E38" s="2">
        <f t="shared" si="22"/>
        <v>19956.000000000058</v>
      </c>
      <c r="F38" s="287"/>
      <c r="G38" s="289"/>
      <c r="H38" s="310"/>
      <c r="I38" s="271"/>
    </row>
    <row r="39" spans="1:9" ht="15" thickBot="1" x14ac:dyDescent="0.4">
      <c r="A39" s="250"/>
      <c r="B39" s="237"/>
      <c r="C39" s="2">
        <v>60248.7</v>
      </c>
      <c r="D39" s="2">
        <v>60685.2</v>
      </c>
      <c r="E39" s="2">
        <f t="shared" si="22"/>
        <v>17460</v>
      </c>
      <c r="F39" s="287"/>
      <c r="G39" s="289"/>
      <c r="H39" s="310"/>
      <c r="I39" s="271"/>
    </row>
    <row r="40" spans="1:9" x14ac:dyDescent="0.35">
      <c r="A40" s="250"/>
      <c r="B40" s="237" t="s">
        <v>10</v>
      </c>
      <c r="C40" s="2">
        <v>54051.8</v>
      </c>
      <c r="D40" s="2">
        <v>54663.9</v>
      </c>
      <c r="E40" s="2">
        <f t="shared" si="22"/>
        <v>24483.999999999945</v>
      </c>
      <c r="F40" s="287">
        <f t="shared" ref="F40" si="25">SUM((E40:E42))/3</f>
        <v>22476.000000000058</v>
      </c>
      <c r="G40" s="289"/>
      <c r="H40" s="253" t="s">
        <v>28</v>
      </c>
      <c r="I40" s="292">
        <f t="shared" si="21"/>
        <v>2.247600000000006</v>
      </c>
    </row>
    <row r="41" spans="1:9" x14ac:dyDescent="0.35">
      <c r="A41" s="250"/>
      <c r="B41" s="237"/>
      <c r="C41" s="2">
        <v>63259.4</v>
      </c>
      <c r="D41" s="2">
        <v>63776.3</v>
      </c>
      <c r="E41" s="2">
        <f t="shared" si="22"/>
        <v>20676.000000000058</v>
      </c>
      <c r="F41" s="287"/>
      <c r="G41" s="289"/>
      <c r="H41" s="253"/>
      <c r="I41" s="271"/>
    </row>
    <row r="42" spans="1:9" ht="15" thickBot="1" x14ac:dyDescent="0.4">
      <c r="A42" s="264"/>
      <c r="B42" s="247"/>
      <c r="C42" s="18">
        <v>54745.2</v>
      </c>
      <c r="D42" s="18">
        <v>55301.9</v>
      </c>
      <c r="E42" s="18">
        <f t="shared" si="22"/>
        <v>22268.000000000178</v>
      </c>
      <c r="F42" s="293"/>
      <c r="G42" s="290"/>
      <c r="H42" s="201"/>
      <c r="I42" s="276"/>
    </row>
    <row r="43" spans="1:9" x14ac:dyDescent="0.35">
      <c r="A43" s="249">
        <v>45937</v>
      </c>
      <c r="B43" s="251" t="s">
        <v>7</v>
      </c>
      <c r="C43" s="17">
        <v>54076.800000000003</v>
      </c>
      <c r="D43" s="17">
        <v>54710.9</v>
      </c>
      <c r="E43" s="17">
        <f>((D43-C43)*1000)/25</f>
        <v>25363.999999999945</v>
      </c>
      <c r="F43" s="286">
        <f>SUM((E43:E45))/3</f>
        <v>25767.999999999982</v>
      </c>
      <c r="G43" s="288" t="s">
        <v>34</v>
      </c>
      <c r="H43" s="291" t="s">
        <v>28</v>
      </c>
      <c r="I43" s="292">
        <f t="shared" ref="I43" si="26">F43/10000</f>
        <v>2.5767999999999982</v>
      </c>
    </row>
    <row r="44" spans="1:9" x14ac:dyDescent="0.35">
      <c r="A44" s="250"/>
      <c r="B44" s="237"/>
      <c r="C44" s="2">
        <v>54761.5</v>
      </c>
      <c r="D44" s="2">
        <v>55412.7</v>
      </c>
      <c r="E44" s="2">
        <f t="shared" ref="E44:E54" si="27">((D44-C44)*1000)/25</f>
        <v>26047.999999999884</v>
      </c>
      <c r="F44" s="287"/>
      <c r="G44" s="289"/>
      <c r="H44" s="253"/>
      <c r="I44" s="271"/>
    </row>
    <row r="45" spans="1:9" ht="15" thickBot="1" x14ac:dyDescent="0.4">
      <c r="A45" s="250"/>
      <c r="B45" s="237"/>
      <c r="C45" s="2">
        <v>60253.1</v>
      </c>
      <c r="D45" s="2">
        <v>60900.4</v>
      </c>
      <c r="E45" s="2">
        <f t="shared" si="27"/>
        <v>25892.000000000116</v>
      </c>
      <c r="F45" s="287"/>
      <c r="G45" s="289"/>
      <c r="H45" s="281"/>
      <c r="I45" s="271"/>
    </row>
    <row r="46" spans="1:9" x14ac:dyDescent="0.35">
      <c r="A46" s="250"/>
      <c r="B46" s="237" t="s">
        <v>8</v>
      </c>
      <c r="C46" s="2">
        <v>58962.5</v>
      </c>
      <c r="D46" s="2">
        <v>59642.9</v>
      </c>
      <c r="E46" s="2">
        <f t="shared" si="27"/>
        <v>27216.000000000055</v>
      </c>
      <c r="F46" s="287">
        <f t="shared" ref="F46" si="28">SUM((E46:E48))/3</f>
        <v>27637.333333333274</v>
      </c>
      <c r="G46" s="289"/>
      <c r="H46" s="200" t="s">
        <v>28</v>
      </c>
      <c r="I46" s="292">
        <f t="shared" ref="I46" si="29">F46/10000</f>
        <v>2.7637333333333274</v>
      </c>
    </row>
    <row r="47" spans="1:9" x14ac:dyDescent="0.35">
      <c r="A47" s="250"/>
      <c r="B47" s="237"/>
      <c r="C47" s="2">
        <v>58670.3</v>
      </c>
      <c r="D47" s="2">
        <v>59332.1</v>
      </c>
      <c r="E47" s="2">
        <f t="shared" si="27"/>
        <v>26471.999999999822</v>
      </c>
      <c r="F47" s="287"/>
      <c r="G47" s="289"/>
      <c r="H47" s="253"/>
      <c r="I47" s="271"/>
    </row>
    <row r="48" spans="1:9" ht="15" thickBot="1" x14ac:dyDescent="0.4">
      <c r="A48" s="250"/>
      <c r="B48" s="237"/>
      <c r="C48" s="2">
        <v>59247.5</v>
      </c>
      <c r="D48" s="2">
        <v>59978.1</v>
      </c>
      <c r="E48" s="2">
        <f t="shared" si="27"/>
        <v>29223.999999999945</v>
      </c>
      <c r="F48" s="287"/>
      <c r="G48" s="289"/>
      <c r="H48" s="281"/>
      <c r="I48" s="271"/>
    </row>
    <row r="49" spans="1:9" x14ac:dyDescent="0.35">
      <c r="A49" s="250"/>
      <c r="B49" s="237" t="s">
        <v>9</v>
      </c>
      <c r="C49" s="2">
        <v>60900.6</v>
      </c>
      <c r="D49" s="2">
        <v>61436.6</v>
      </c>
      <c r="E49" s="2">
        <f t="shared" si="27"/>
        <v>21440</v>
      </c>
      <c r="F49" s="287">
        <f t="shared" ref="F49" si="30">SUM((E49:E51))/3</f>
        <v>22465.333333333256</v>
      </c>
      <c r="G49" s="289"/>
      <c r="H49" s="200" t="s">
        <v>28</v>
      </c>
      <c r="I49" s="292">
        <f t="shared" ref="I49" si="31">F49/10000</f>
        <v>2.2465333333333257</v>
      </c>
    </row>
    <row r="50" spans="1:9" x14ac:dyDescent="0.35">
      <c r="A50" s="250"/>
      <c r="B50" s="237"/>
      <c r="C50" s="2">
        <v>60946.1</v>
      </c>
      <c r="D50" s="2">
        <v>61525.599999999999</v>
      </c>
      <c r="E50" s="2">
        <f t="shared" si="27"/>
        <v>23180</v>
      </c>
      <c r="F50" s="287"/>
      <c r="G50" s="289"/>
      <c r="H50" s="253"/>
      <c r="I50" s="271"/>
    </row>
    <row r="51" spans="1:9" ht="15" thickBot="1" x14ac:dyDescent="0.4">
      <c r="A51" s="250"/>
      <c r="B51" s="237"/>
      <c r="C51" s="2">
        <v>58781.3</v>
      </c>
      <c r="D51" s="2">
        <v>59350.7</v>
      </c>
      <c r="E51" s="2">
        <f t="shared" si="27"/>
        <v>22775.999999999767</v>
      </c>
      <c r="F51" s="287"/>
      <c r="G51" s="289"/>
      <c r="H51" s="281"/>
      <c r="I51" s="271"/>
    </row>
    <row r="52" spans="1:9" x14ac:dyDescent="0.35">
      <c r="A52" s="250"/>
      <c r="B52" s="237" t="s">
        <v>10</v>
      </c>
      <c r="C52" s="2">
        <v>63307.5</v>
      </c>
      <c r="D52" s="2">
        <v>63796.5</v>
      </c>
      <c r="E52" s="2">
        <f t="shared" si="27"/>
        <v>19560</v>
      </c>
      <c r="F52" s="287">
        <f t="shared" ref="F52" si="32">SUM((E52:E54))/3</f>
        <v>18981.333333333314</v>
      </c>
      <c r="G52" s="289"/>
      <c r="H52" s="310" t="s">
        <v>29</v>
      </c>
      <c r="I52" s="292">
        <f t="shared" ref="I52" si="33">F52/10000</f>
        <v>1.8981333333333315</v>
      </c>
    </row>
    <row r="53" spans="1:9" x14ac:dyDescent="0.35">
      <c r="A53" s="250"/>
      <c r="B53" s="237"/>
      <c r="C53" s="2">
        <v>54312</v>
      </c>
      <c r="D53" s="2">
        <v>54799.6</v>
      </c>
      <c r="E53" s="2">
        <f t="shared" si="27"/>
        <v>19503.999999999942</v>
      </c>
      <c r="F53" s="287"/>
      <c r="G53" s="289"/>
      <c r="H53" s="310"/>
      <c r="I53" s="271"/>
    </row>
    <row r="54" spans="1:9" ht="15" thickBot="1" x14ac:dyDescent="0.4">
      <c r="A54" s="264"/>
      <c r="B54" s="247"/>
      <c r="C54" s="18">
        <v>58493.599999999999</v>
      </c>
      <c r="D54" s="18">
        <v>58940.6</v>
      </c>
      <c r="E54" s="18">
        <f t="shared" si="27"/>
        <v>17880</v>
      </c>
      <c r="F54" s="293"/>
      <c r="G54" s="290"/>
      <c r="H54" s="311"/>
      <c r="I54" s="276"/>
    </row>
    <row r="55" spans="1:9" x14ac:dyDescent="0.35">
      <c r="A55" s="249">
        <v>45957</v>
      </c>
      <c r="B55" s="251" t="s">
        <v>7</v>
      </c>
      <c r="C55" s="17">
        <v>60944</v>
      </c>
      <c r="D55" s="17">
        <v>61549.4</v>
      </c>
      <c r="E55" s="17">
        <f>((D55-C55)*1000)/25</f>
        <v>24216.000000000055</v>
      </c>
      <c r="F55" s="286">
        <f>SUM((E55:E57))/3</f>
        <v>24070.666666666704</v>
      </c>
      <c r="G55" s="288" t="s">
        <v>34</v>
      </c>
      <c r="H55" s="291" t="s">
        <v>28</v>
      </c>
      <c r="I55" s="292">
        <f t="shared" ref="I55" si="34">F55/10000</f>
        <v>2.4070666666666702</v>
      </c>
    </row>
    <row r="56" spans="1:9" x14ac:dyDescent="0.35">
      <c r="A56" s="250"/>
      <c r="B56" s="237"/>
      <c r="C56" s="2">
        <v>60255.8</v>
      </c>
      <c r="D56" s="2">
        <v>60858.8</v>
      </c>
      <c r="E56" s="2">
        <f t="shared" ref="E56:E66" si="35">((D56-C56)*1000)/25</f>
        <v>24120</v>
      </c>
      <c r="F56" s="287"/>
      <c r="G56" s="289"/>
      <c r="H56" s="253"/>
      <c r="I56" s="271"/>
    </row>
    <row r="57" spans="1:9" ht="15" thickBot="1" x14ac:dyDescent="0.4">
      <c r="A57" s="250"/>
      <c r="B57" s="237"/>
      <c r="C57" s="2">
        <v>54316.2</v>
      </c>
      <c r="D57" s="2">
        <v>54913.1</v>
      </c>
      <c r="E57" s="2">
        <f t="shared" si="35"/>
        <v>23876.000000000055</v>
      </c>
      <c r="F57" s="287"/>
      <c r="G57" s="289"/>
      <c r="H57" s="281"/>
      <c r="I57" s="271"/>
    </row>
    <row r="58" spans="1:9" x14ac:dyDescent="0.35">
      <c r="A58" s="250"/>
      <c r="B58" s="237" t="s">
        <v>8</v>
      </c>
      <c r="C58" s="2">
        <v>58779.9</v>
      </c>
      <c r="D58" s="2">
        <v>59419.9</v>
      </c>
      <c r="E58" s="2">
        <f t="shared" si="35"/>
        <v>25600</v>
      </c>
      <c r="F58" s="287">
        <f t="shared" ref="F58" si="36">SUM((E58:E60))/3</f>
        <v>25482.666666666726</v>
      </c>
      <c r="G58" s="289"/>
      <c r="H58" s="200" t="s">
        <v>28</v>
      </c>
      <c r="I58" s="292">
        <f t="shared" ref="I58" si="37">F58/10000</f>
        <v>2.5482666666666725</v>
      </c>
    </row>
    <row r="59" spans="1:9" x14ac:dyDescent="0.35">
      <c r="A59" s="250"/>
      <c r="B59" s="237"/>
      <c r="C59" s="2">
        <v>54766.7</v>
      </c>
      <c r="D59" s="2">
        <v>55411.8</v>
      </c>
      <c r="E59" s="2">
        <f t="shared" si="35"/>
        <v>25804.000000000233</v>
      </c>
      <c r="F59" s="287"/>
      <c r="G59" s="289"/>
      <c r="H59" s="253"/>
      <c r="I59" s="271"/>
    </row>
    <row r="60" spans="1:9" ht="15" thickBot="1" x14ac:dyDescent="0.4">
      <c r="A60" s="250"/>
      <c r="B60" s="237"/>
      <c r="C60" s="2">
        <v>58960.800000000003</v>
      </c>
      <c r="D60" s="2">
        <v>59586.9</v>
      </c>
      <c r="E60" s="2">
        <f t="shared" si="35"/>
        <v>25043.999999999945</v>
      </c>
      <c r="F60" s="287"/>
      <c r="G60" s="289"/>
      <c r="H60" s="281"/>
      <c r="I60" s="271"/>
    </row>
    <row r="61" spans="1:9" x14ac:dyDescent="0.35">
      <c r="A61" s="250"/>
      <c r="B61" s="237" t="s">
        <v>9</v>
      </c>
      <c r="C61" s="2">
        <v>58497.7</v>
      </c>
      <c r="D61" s="2">
        <v>59131.4</v>
      </c>
      <c r="E61" s="2">
        <f t="shared" si="35"/>
        <v>25348.000000000178</v>
      </c>
      <c r="F61" s="287">
        <f t="shared" ref="F61" si="38">SUM((E61:E63))/3</f>
        <v>25421.333333333314</v>
      </c>
      <c r="G61" s="289"/>
      <c r="H61" s="200" t="s">
        <v>28</v>
      </c>
      <c r="I61" s="292">
        <f t="shared" ref="I61" si="39">F61/10000</f>
        <v>2.5421333333333314</v>
      </c>
    </row>
    <row r="62" spans="1:9" x14ac:dyDescent="0.35">
      <c r="A62" s="250"/>
      <c r="B62" s="237"/>
      <c r="C62" s="2">
        <v>60899.9</v>
      </c>
      <c r="D62" s="2">
        <v>61494.2</v>
      </c>
      <c r="E62" s="2">
        <f t="shared" si="35"/>
        <v>23771.999999999822</v>
      </c>
      <c r="F62" s="287"/>
      <c r="G62" s="289"/>
      <c r="H62" s="253"/>
      <c r="I62" s="271"/>
    </row>
    <row r="63" spans="1:9" ht="15" thickBot="1" x14ac:dyDescent="0.4">
      <c r="A63" s="250"/>
      <c r="B63" s="237"/>
      <c r="C63" s="2">
        <v>59248.3</v>
      </c>
      <c r="D63" s="2">
        <v>59926.9</v>
      </c>
      <c r="E63" s="2">
        <f t="shared" si="35"/>
        <v>27143.999999999945</v>
      </c>
      <c r="F63" s="287"/>
      <c r="G63" s="289"/>
      <c r="H63" s="281"/>
      <c r="I63" s="271"/>
    </row>
    <row r="64" spans="1:9" x14ac:dyDescent="0.35">
      <c r="A64" s="250"/>
      <c r="B64" s="237" t="s">
        <v>10</v>
      </c>
      <c r="C64" s="2">
        <v>47656.9</v>
      </c>
      <c r="D64" s="2">
        <v>48204.5</v>
      </c>
      <c r="E64" s="2">
        <f t="shared" si="35"/>
        <v>21903.999999999945</v>
      </c>
      <c r="F64" s="287">
        <f t="shared" ref="F64" si="40">SUM((E64:E66))/3</f>
        <v>21127.999999999982</v>
      </c>
      <c r="G64" s="289"/>
      <c r="H64" s="200" t="s">
        <v>28</v>
      </c>
      <c r="I64" s="292">
        <f t="shared" ref="I64" si="41">F64/10000</f>
        <v>2.1127999999999982</v>
      </c>
    </row>
    <row r="65" spans="1:9" x14ac:dyDescent="0.35">
      <c r="A65" s="250"/>
      <c r="B65" s="237"/>
      <c r="C65" s="2">
        <v>47884.6</v>
      </c>
      <c r="D65" s="2">
        <v>48390.400000000001</v>
      </c>
      <c r="E65" s="2">
        <f t="shared" si="35"/>
        <v>20232.000000000116</v>
      </c>
      <c r="F65" s="287"/>
      <c r="G65" s="289"/>
      <c r="H65" s="253"/>
      <c r="I65" s="271"/>
    </row>
    <row r="66" spans="1:9" ht="15" thickBot="1" x14ac:dyDescent="0.4">
      <c r="A66" s="264"/>
      <c r="B66" s="247"/>
      <c r="C66" s="18">
        <v>47064.800000000003</v>
      </c>
      <c r="D66" s="18">
        <v>47596</v>
      </c>
      <c r="E66" s="18">
        <f t="shared" si="35"/>
        <v>21247.999999999884</v>
      </c>
      <c r="F66" s="293"/>
      <c r="G66" s="290"/>
      <c r="H66" s="281"/>
      <c r="I66" s="276"/>
    </row>
    <row r="67" spans="1:9" x14ac:dyDescent="0.35">
      <c r="A67" s="249">
        <v>45964</v>
      </c>
      <c r="B67" s="251" t="s">
        <v>7</v>
      </c>
      <c r="C67" s="17">
        <v>54084.9</v>
      </c>
      <c r="D67" s="17">
        <v>54713.4</v>
      </c>
      <c r="E67" s="17">
        <f>((D67-C67)*1000)/25</f>
        <v>25140</v>
      </c>
      <c r="F67" s="286">
        <f>SUM((E67:E69))/3</f>
        <v>24995.99999999996</v>
      </c>
      <c r="G67" s="288" t="s">
        <v>34</v>
      </c>
      <c r="H67" s="291" t="s">
        <v>28</v>
      </c>
      <c r="I67" s="292">
        <f t="shared" ref="I67" si="42">F67/10000</f>
        <v>2.499599999999996</v>
      </c>
    </row>
    <row r="68" spans="1:9" x14ac:dyDescent="0.35">
      <c r="A68" s="250"/>
      <c r="B68" s="237"/>
      <c r="C68" s="2">
        <v>60948.3</v>
      </c>
      <c r="D68" s="2">
        <v>61540</v>
      </c>
      <c r="E68" s="2">
        <f t="shared" ref="E68:E78" si="43">((D68-C68)*1000)/25</f>
        <v>23667.999999999884</v>
      </c>
      <c r="F68" s="287"/>
      <c r="G68" s="289"/>
      <c r="H68" s="253"/>
      <c r="I68" s="271"/>
    </row>
    <row r="69" spans="1:9" ht="15" thickBot="1" x14ac:dyDescent="0.4">
      <c r="A69" s="250"/>
      <c r="B69" s="237"/>
      <c r="C69" s="2">
        <v>54769.8</v>
      </c>
      <c r="D69" s="2">
        <v>55424.3</v>
      </c>
      <c r="E69" s="2">
        <f t="shared" si="43"/>
        <v>26180</v>
      </c>
      <c r="F69" s="287"/>
      <c r="G69" s="289"/>
      <c r="H69" s="281"/>
      <c r="I69" s="271"/>
    </row>
    <row r="70" spans="1:9" x14ac:dyDescent="0.35">
      <c r="A70" s="250"/>
      <c r="B70" s="237" t="s">
        <v>8</v>
      </c>
      <c r="C70" s="2">
        <v>54319.6</v>
      </c>
      <c r="D70" s="2">
        <v>54881.599999999999</v>
      </c>
      <c r="E70" s="2">
        <f t="shared" si="43"/>
        <v>22480</v>
      </c>
      <c r="F70" s="287">
        <f t="shared" ref="F70" si="44">SUM((E70:E72))/3</f>
        <v>23680</v>
      </c>
      <c r="G70" s="289"/>
      <c r="H70" s="200" t="s">
        <v>28</v>
      </c>
      <c r="I70" s="292">
        <f t="shared" ref="I70" si="45">F70/10000</f>
        <v>2.3679999999999999</v>
      </c>
    </row>
    <row r="71" spans="1:9" x14ac:dyDescent="0.35">
      <c r="A71" s="250"/>
      <c r="B71" s="237"/>
      <c r="C71" s="2">
        <v>60261.2</v>
      </c>
      <c r="D71" s="2">
        <v>60868.6</v>
      </c>
      <c r="E71" s="2">
        <f t="shared" si="43"/>
        <v>24296.000000000055</v>
      </c>
      <c r="F71" s="287"/>
      <c r="G71" s="289"/>
      <c r="H71" s="253"/>
      <c r="I71" s="271"/>
    </row>
    <row r="72" spans="1:9" ht="15" thickBot="1" x14ac:dyDescent="0.4">
      <c r="A72" s="250"/>
      <c r="B72" s="237"/>
      <c r="C72" s="2">
        <v>58962.8</v>
      </c>
      <c r="D72" s="2">
        <v>59569.4</v>
      </c>
      <c r="E72" s="2">
        <f t="shared" si="43"/>
        <v>24263.999999999945</v>
      </c>
      <c r="F72" s="287"/>
      <c r="G72" s="289"/>
      <c r="H72" s="281"/>
      <c r="I72" s="271"/>
    </row>
    <row r="73" spans="1:9" x14ac:dyDescent="0.35">
      <c r="A73" s="250"/>
      <c r="B73" s="237" t="s">
        <v>9</v>
      </c>
      <c r="C73" s="2">
        <v>60901.1</v>
      </c>
      <c r="D73" s="2">
        <v>61514.2</v>
      </c>
      <c r="E73" s="2">
        <f t="shared" si="43"/>
        <v>24523.999999999945</v>
      </c>
      <c r="F73" s="287">
        <f t="shared" ref="F73" si="46">SUM((E73:E75))/3</f>
        <v>22326.666666666668</v>
      </c>
      <c r="G73" s="289"/>
      <c r="H73" s="200" t="s">
        <v>28</v>
      </c>
      <c r="I73" s="292">
        <f t="shared" ref="I73" si="47">F73/10000</f>
        <v>2.2326666666666668</v>
      </c>
    </row>
    <row r="74" spans="1:9" x14ac:dyDescent="0.35">
      <c r="A74" s="250"/>
      <c r="B74" s="237"/>
      <c r="C74" s="2">
        <v>58497.9</v>
      </c>
      <c r="D74" s="2">
        <v>59033.5</v>
      </c>
      <c r="E74" s="2">
        <f t="shared" si="43"/>
        <v>21423.999999999945</v>
      </c>
      <c r="F74" s="287"/>
      <c r="G74" s="289"/>
      <c r="H74" s="253"/>
      <c r="I74" s="271"/>
    </row>
    <row r="75" spans="1:9" ht="15" thickBot="1" x14ac:dyDescent="0.4">
      <c r="A75" s="250"/>
      <c r="B75" s="237"/>
      <c r="C75" s="2">
        <v>59249.2</v>
      </c>
      <c r="D75" s="2">
        <v>59775</v>
      </c>
      <c r="E75" s="2">
        <f t="shared" si="43"/>
        <v>21032.000000000116</v>
      </c>
      <c r="F75" s="287"/>
      <c r="G75" s="289"/>
      <c r="H75" s="281"/>
      <c r="I75" s="271"/>
    </row>
    <row r="76" spans="1:9" x14ac:dyDescent="0.35">
      <c r="A76" s="250"/>
      <c r="B76" s="237" t="s">
        <v>10</v>
      </c>
      <c r="C76" s="2">
        <v>58781.599999999999</v>
      </c>
      <c r="D76" s="2">
        <v>59374.2</v>
      </c>
      <c r="E76" s="2">
        <f t="shared" si="43"/>
        <v>23703.999999999945</v>
      </c>
      <c r="F76" s="287">
        <f t="shared" ref="F76" si="48">SUM((E76:E78))/3</f>
        <v>22357.333333333274</v>
      </c>
      <c r="G76" s="289"/>
      <c r="H76" s="200" t="s">
        <v>28</v>
      </c>
      <c r="I76" s="292">
        <f t="shared" ref="I76" si="49">F76/10000</f>
        <v>2.2357333333333274</v>
      </c>
    </row>
    <row r="77" spans="1:9" x14ac:dyDescent="0.35">
      <c r="A77" s="250"/>
      <c r="B77" s="237"/>
      <c r="C77" s="2">
        <v>58673.1</v>
      </c>
      <c r="D77" s="2">
        <v>59180.7</v>
      </c>
      <c r="E77" s="2">
        <f t="shared" si="43"/>
        <v>20303.999999999942</v>
      </c>
      <c r="F77" s="287"/>
      <c r="G77" s="289"/>
      <c r="H77" s="253"/>
      <c r="I77" s="271"/>
    </row>
    <row r="78" spans="1:9" ht="15" thickBot="1" x14ac:dyDescent="0.4">
      <c r="A78" s="264"/>
      <c r="B78" s="247"/>
      <c r="C78" s="18">
        <v>63314.5</v>
      </c>
      <c r="D78" s="18">
        <v>63891.1</v>
      </c>
      <c r="E78" s="18">
        <f t="shared" si="43"/>
        <v>23063.999999999945</v>
      </c>
      <c r="F78" s="293"/>
      <c r="G78" s="290"/>
      <c r="H78" s="281"/>
      <c r="I78" s="276"/>
    </row>
    <row r="79" spans="1:9" x14ac:dyDescent="0.35">
      <c r="A79" s="15"/>
      <c r="B79" s="11"/>
      <c r="C79" s="11"/>
      <c r="D79" s="11"/>
      <c r="E79" s="11"/>
      <c r="F79" s="16"/>
      <c r="G79" s="10"/>
      <c r="H79" s="11"/>
      <c r="I79" s="86"/>
    </row>
    <row r="80" spans="1:9" x14ac:dyDescent="0.35">
      <c r="A80" s="15"/>
      <c r="B80" s="11"/>
      <c r="C80" s="11"/>
      <c r="D80" s="11"/>
      <c r="E80" s="11"/>
      <c r="F80" s="16"/>
      <c r="G80" s="10"/>
      <c r="H80" s="11"/>
      <c r="I80" s="86"/>
    </row>
    <row r="81" spans="1:9" x14ac:dyDescent="0.35">
      <c r="A81" s="15"/>
      <c r="B81" s="11"/>
      <c r="C81" s="11"/>
      <c r="D81" s="11"/>
      <c r="E81" s="11"/>
      <c r="F81" s="16"/>
      <c r="G81" s="10"/>
      <c r="H81" s="11"/>
      <c r="I81" s="86"/>
    </row>
    <row r="82" spans="1:9" x14ac:dyDescent="0.35">
      <c r="A82" s="15"/>
      <c r="B82" s="11"/>
      <c r="C82" s="11"/>
      <c r="D82" s="11"/>
      <c r="E82" s="11"/>
      <c r="F82" s="16"/>
      <c r="G82" s="10"/>
      <c r="H82" s="11"/>
      <c r="I82" s="86"/>
    </row>
    <row r="83" spans="1:9" ht="18.5" x14ac:dyDescent="0.45">
      <c r="A83" s="5" t="s">
        <v>30</v>
      </c>
    </row>
    <row r="84" spans="1:9" ht="16" x14ac:dyDescent="0.4">
      <c r="A84" s="13"/>
      <c r="B84" s="254" t="s">
        <v>35</v>
      </c>
      <c r="C84" s="254"/>
      <c r="D84" s="254"/>
      <c r="E84" s="254"/>
      <c r="F84" s="254"/>
    </row>
    <row r="85" spans="1:9" ht="16" x14ac:dyDescent="0.35">
      <c r="B85" s="255" t="s">
        <v>36</v>
      </c>
      <c r="C85" s="255"/>
      <c r="D85" s="255"/>
      <c r="E85" s="255"/>
      <c r="F85" s="255"/>
    </row>
    <row r="86" spans="1:9" ht="16" x14ac:dyDescent="0.4">
      <c r="A86" s="13"/>
      <c r="B86" s="254" t="s">
        <v>37</v>
      </c>
      <c r="C86" s="254"/>
      <c r="D86" s="254"/>
      <c r="E86" s="254"/>
      <c r="F86" s="254"/>
    </row>
  </sheetData>
  <mergeCells count="144">
    <mergeCell ref="A67:A78"/>
    <mergeCell ref="B67:B69"/>
    <mergeCell ref="F67:F69"/>
    <mergeCell ref="G67:G78"/>
    <mergeCell ref="H67:H69"/>
    <mergeCell ref="I67:I69"/>
    <mergeCell ref="B70:B72"/>
    <mergeCell ref="F70:F72"/>
    <mergeCell ref="H70:H72"/>
    <mergeCell ref="I70:I72"/>
    <mergeCell ref="B73:B75"/>
    <mergeCell ref="F73:F75"/>
    <mergeCell ref="H73:H75"/>
    <mergeCell ref="I73:I75"/>
    <mergeCell ref="B76:B78"/>
    <mergeCell ref="F76:F78"/>
    <mergeCell ref="H76:H78"/>
    <mergeCell ref="I76:I78"/>
    <mergeCell ref="I7:I9"/>
    <mergeCell ref="I10:I12"/>
    <mergeCell ref="I13:I15"/>
    <mergeCell ref="I16:I18"/>
    <mergeCell ref="I19:I21"/>
    <mergeCell ref="A43:A54"/>
    <mergeCell ref="B43:B45"/>
    <mergeCell ref="F43:F45"/>
    <mergeCell ref="G43:G54"/>
    <mergeCell ref="H43:H45"/>
    <mergeCell ref="B49:B51"/>
    <mergeCell ref="F49:F51"/>
    <mergeCell ref="H49:H51"/>
    <mergeCell ref="I43:I45"/>
    <mergeCell ref="B46:B48"/>
    <mergeCell ref="F46:F48"/>
    <mergeCell ref="H46:H48"/>
    <mergeCell ref="I46:I48"/>
    <mergeCell ref="I49:I51"/>
    <mergeCell ref="B52:B54"/>
    <mergeCell ref="F52:F54"/>
    <mergeCell ref="H52:H54"/>
    <mergeCell ref="I52:I54"/>
    <mergeCell ref="I37:I39"/>
    <mergeCell ref="I40:I42"/>
    <mergeCell ref="A19:A30"/>
    <mergeCell ref="B19:B21"/>
    <mergeCell ref="F19:F21"/>
    <mergeCell ref="G19:G30"/>
    <mergeCell ref="H19:H21"/>
    <mergeCell ref="B22:B24"/>
    <mergeCell ref="F22:F24"/>
    <mergeCell ref="H22:H24"/>
    <mergeCell ref="B25:B27"/>
    <mergeCell ref="F25:F27"/>
    <mergeCell ref="H25:H27"/>
    <mergeCell ref="B28:B30"/>
    <mergeCell ref="F28:F30"/>
    <mergeCell ref="H28:H30"/>
    <mergeCell ref="I22:I24"/>
    <mergeCell ref="I25:I27"/>
    <mergeCell ref="I28:I30"/>
    <mergeCell ref="I31:I33"/>
    <mergeCell ref="I34:I36"/>
    <mergeCell ref="H34:H36"/>
    <mergeCell ref="B37:B39"/>
    <mergeCell ref="F37:F39"/>
    <mergeCell ref="H37:H39"/>
    <mergeCell ref="A7:A18"/>
    <mergeCell ref="B85:F85"/>
    <mergeCell ref="B86:F86"/>
    <mergeCell ref="G7:G18"/>
    <mergeCell ref="H7:H9"/>
    <mergeCell ref="H10:H12"/>
    <mergeCell ref="H13:H15"/>
    <mergeCell ref="H16:H18"/>
    <mergeCell ref="F16:F18"/>
    <mergeCell ref="F7:F9"/>
    <mergeCell ref="F10:F12"/>
    <mergeCell ref="F13:F15"/>
    <mergeCell ref="B7:B9"/>
    <mergeCell ref="B10:B12"/>
    <mergeCell ref="B13:B15"/>
    <mergeCell ref="B16:B18"/>
    <mergeCell ref="B84:F84"/>
    <mergeCell ref="A31:A42"/>
    <mergeCell ref="B31:B33"/>
    <mergeCell ref="F31:F33"/>
    <mergeCell ref="G31:G42"/>
    <mergeCell ref="H31:H33"/>
    <mergeCell ref="B34:B36"/>
    <mergeCell ref="F34:F36"/>
    <mergeCell ref="B40:B42"/>
    <mergeCell ref="F40:F42"/>
    <mergeCell ref="H40:H42"/>
    <mergeCell ref="T13:T15"/>
    <mergeCell ref="M16:M18"/>
    <mergeCell ref="S16:S18"/>
    <mergeCell ref="T16:T18"/>
    <mergeCell ref="T7:T9"/>
    <mergeCell ref="M10:M12"/>
    <mergeCell ref="Q10:Q12"/>
    <mergeCell ref="S10:S12"/>
    <mergeCell ref="T10:T12"/>
    <mergeCell ref="M7:M9"/>
    <mergeCell ref="Q7:Q9"/>
    <mergeCell ref="S7:S9"/>
    <mergeCell ref="M13:M15"/>
    <mergeCell ref="Q13:Q15"/>
    <mergeCell ref="S13:S15"/>
    <mergeCell ref="L16:L27"/>
    <mergeCell ref="R7:R27"/>
    <mergeCell ref="Q16:Q18"/>
    <mergeCell ref="Q19:Q21"/>
    <mergeCell ref="Q22:Q24"/>
    <mergeCell ref="Q25:Q27"/>
    <mergeCell ref="T19:T21"/>
    <mergeCell ref="T22:T24"/>
    <mergeCell ref="T25:T27"/>
    <mergeCell ref="Q28:Q30"/>
    <mergeCell ref="M19:M21"/>
    <mergeCell ref="M22:M24"/>
    <mergeCell ref="M25:M27"/>
    <mergeCell ref="M28:M30"/>
    <mergeCell ref="L7:L15"/>
    <mergeCell ref="S19:S21"/>
    <mergeCell ref="S22:S24"/>
    <mergeCell ref="S25:S27"/>
    <mergeCell ref="A55:A66"/>
    <mergeCell ref="B55:B57"/>
    <mergeCell ref="F55:F57"/>
    <mergeCell ref="G55:G66"/>
    <mergeCell ref="H55:H57"/>
    <mergeCell ref="I55:I57"/>
    <mergeCell ref="B58:B60"/>
    <mergeCell ref="F58:F60"/>
    <mergeCell ref="H58:H60"/>
    <mergeCell ref="I58:I60"/>
    <mergeCell ref="B61:B63"/>
    <mergeCell ref="F61:F63"/>
    <mergeCell ref="H61:H63"/>
    <mergeCell ref="I61:I63"/>
    <mergeCell ref="B64:B66"/>
    <mergeCell ref="F64:F66"/>
    <mergeCell ref="H64:H66"/>
    <mergeCell ref="I64:I66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4FAF-B821-43BA-8FA8-47C1D7026F2D}">
  <dimension ref="A2:U84"/>
  <sheetViews>
    <sheetView topLeftCell="A60" zoomScale="90" zoomScaleNormal="90" workbookViewId="0">
      <selection activeCell="L70" sqref="L70"/>
    </sheetView>
  </sheetViews>
  <sheetFormatPr defaultRowHeight="14.5" x14ac:dyDescent="0.35"/>
  <cols>
    <col min="1" max="1" width="12.08984375" customWidth="1"/>
    <col min="2" max="2" width="11.36328125" customWidth="1"/>
    <col min="3" max="3" width="18.90625" customWidth="1"/>
    <col min="4" max="4" width="20.08984375" customWidth="1"/>
    <col min="5" max="5" width="14.54296875" customWidth="1"/>
    <col min="6" max="6" width="11.7265625" customWidth="1"/>
    <col min="7" max="7" width="18.54296875" customWidth="1"/>
    <col min="8" max="8" width="17.6328125" customWidth="1"/>
    <col min="11" max="11" width="11.7265625" customWidth="1"/>
    <col min="12" max="12" width="14.90625" customWidth="1"/>
    <col min="13" max="13" width="18.26953125" customWidth="1"/>
    <col min="14" max="14" width="20.453125" customWidth="1"/>
    <col min="15" max="15" width="13.453125" customWidth="1"/>
    <col min="16" max="16" width="12" customWidth="1"/>
    <col min="17" max="17" width="18.453125" customWidth="1"/>
    <col min="18" max="18" width="21.1796875" customWidth="1"/>
  </cols>
  <sheetData>
    <row r="2" spans="1:21" ht="29" x14ac:dyDescent="0.7">
      <c r="A2" s="88" t="s">
        <v>92</v>
      </c>
      <c r="K2" s="88" t="s">
        <v>93</v>
      </c>
    </row>
    <row r="3" spans="1:21" ht="18.5" x14ac:dyDescent="0.45">
      <c r="A3" s="5" t="s">
        <v>20</v>
      </c>
      <c r="K3" s="5" t="s">
        <v>20</v>
      </c>
    </row>
    <row r="5" spans="1:21" ht="15" thickBot="1" x14ac:dyDescent="0.4">
      <c r="A5" t="s">
        <v>24</v>
      </c>
      <c r="K5" t="s">
        <v>24</v>
      </c>
    </row>
    <row r="6" spans="1:21" ht="44" customHeight="1" thickBot="1" x14ac:dyDescent="0.4">
      <c r="A6" s="45" t="s">
        <v>0</v>
      </c>
      <c r="B6" s="21" t="s">
        <v>6</v>
      </c>
      <c r="C6" s="25" t="s">
        <v>21</v>
      </c>
      <c r="D6" s="26" t="s">
        <v>22</v>
      </c>
      <c r="E6" s="21" t="s">
        <v>23</v>
      </c>
      <c r="F6" s="21" t="s">
        <v>23</v>
      </c>
      <c r="G6" s="23" t="s">
        <v>25</v>
      </c>
      <c r="H6" s="24" t="s">
        <v>26</v>
      </c>
      <c r="K6" s="24" t="s">
        <v>0</v>
      </c>
      <c r="L6" s="24" t="s">
        <v>6</v>
      </c>
      <c r="M6" s="93" t="s">
        <v>21</v>
      </c>
      <c r="N6" s="94" t="s">
        <v>22</v>
      </c>
      <c r="O6" s="24" t="s">
        <v>23</v>
      </c>
      <c r="P6" s="24" t="s">
        <v>23</v>
      </c>
      <c r="Q6" s="23" t="s">
        <v>25</v>
      </c>
      <c r="R6" s="24" t="s">
        <v>26</v>
      </c>
      <c r="S6" s="10"/>
      <c r="T6" s="10"/>
      <c r="U6" s="10"/>
    </row>
    <row r="7" spans="1:21" x14ac:dyDescent="0.35">
      <c r="A7" s="249">
        <v>45917</v>
      </c>
      <c r="B7" s="251" t="s">
        <v>7</v>
      </c>
      <c r="C7" s="17">
        <v>48533.3</v>
      </c>
      <c r="D7" s="17">
        <v>47991.9</v>
      </c>
      <c r="E7" s="17">
        <f>((C7-D7)*1000)/25</f>
        <v>21656.000000000055</v>
      </c>
      <c r="F7" s="286">
        <f>SUM((E7:E9))/3</f>
        <v>26300</v>
      </c>
      <c r="G7" s="206" t="s">
        <v>38</v>
      </c>
      <c r="H7" s="291" t="s">
        <v>28</v>
      </c>
      <c r="K7" s="278">
        <v>45945</v>
      </c>
      <c r="L7" s="216" t="s">
        <v>7</v>
      </c>
      <c r="M7" s="87">
        <v>54765.4</v>
      </c>
      <c r="N7" s="92">
        <v>54298.7</v>
      </c>
      <c r="O7" s="92">
        <f>((M7-N7)*1000)/25</f>
        <v>18668.000000000175</v>
      </c>
      <c r="P7" s="306">
        <f>SUM((O7:O9))/3</f>
        <v>17469.33333333339</v>
      </c>
      <c r="Q7" s="205" t="s">
        <v>38</v>
      </c>
      <c r="R7" s="281" t="s">
        <v>28</v>
      </c>
      <c r="S7" s="11"/>
      <c r="T7" s="11"/>
      <c r="U7" s="11"/>
    </row>
    <row r="8" spans="1:21" x14ac:dyDescent="0.35">
      <c r="A8" s="250"/>
      <c r="B8" s="237"/>
      <c r="C8" s="2">
        <v>48599.7</v>
      </c>
      <c r="D8" s="2">
        <v>47761.4</v>
      </c>
      <c r="E8" s="2">
        <f t="shared" ref="E8:E18" si="0">((C8-D8)*1000)/25</f>
        <v>33531.999999999825</v>
      </c>
      <c r="F8" s="287"/>
      <c r="G8" s="206"/>
      <c r="H8" s="253"/>
      <c r="K8" s="279"/>
      <c r="L8" s="217"/>
      <c r="M8" s="90">
        <v>63951</v>
      </c>
      <c r="N8" s="90">
        <v>63509.5</v>
      </c>
      <c r="O8" s="90">
        <f t="shared" ref="O8:O27" si="1">((M8-N8)*1000)/25</f>
        <v>17660</v>
      </c>
      <c r="P8" s="297"/>
      <c r="Q8" s="206"/>
      <c r="R8" s="217"/>
      <c r="S8" s="11"/>
      <c r="T8" s="11"/>
      <c r="U8" s="11"/>
    </row>
    <row r="9" spans="1:21" x14ac:dyDescent="0.35">
      <c r="A9" s="250"/>
      <c r="B9" s="237"/>
      <c r="C9" s="2">
        <v>47765.8</v>
      </c>
      <c r="D9" s="2">
        <v>47173</v>
      </c>
      <c r="E9" s="2">
        <f t="shared" si="0"/>
        <v>23712.000000000116</v>
      </c>
      <c r="F9" s="287"/>
      <c r="G9" s="206"/>
      <c r="H9" s="281"/>
      <c r="K9" s="279"/>
      <c r="L9" s="217"/>
      <c r="M9" s="90">
        <v>60838</v>
      </c>
      <c r="N9" s="90">
        <v>60436</v>
      </c>
      <c r="O9" s="90">
        <f t="shared" si="1"/>
        <v>16080</v>
      </c>
      <c r="P9" s="297"/>
      <c r="Q9" s="206"/>
      <c r="R9" s="217"/>
      <c r="S9" s="11"/>
      <c r="T9" s="11"/>
      <c r="U9" s="11"/>
    </row>
    <row r="10" spans="1:21" x14ac:dyDescent="0.35">
      <c r="A10" s="250"/>
      <c r="B10" s="237" t="s">
        <v>8</v>
      </c>
      <c r="C10" s="2">
        <v>59552.2</v>
      </c>
      <c r="D10" s="2">
        <v>59061.9</v>
      </c>
      <c r="E10" s="2">
        <f t="shared" si="0"/>
        <v>19611.999999999825</v>
      </c>
      <c r="F10" s="287">
        <f>SUM((E10:E12))/3</f>
        <v>21919.999999999902</v>
      </c>
      <c r="G10" s="206"/>
      <c r="H10" s="200" t="s">
        <v>28</v>
      </c>
      <c r="K10" s="279"/>
      <c r="L10" s="217" t="s">
        <v>8</v>
      </c>
      <c r="M10" s="90">
        <v>61369.3</v>
      </c>
      <c r="N10" s="90">
        <v>61087.8</v>
      </c>
      <c r="O10" s="90">
        <f t="shared" si="1"/>
        <v>11260</v>
      </c>
      <c r="P10" s="297">
        <f>SUM((O10:O12))/3</f>
        <v>11369.333333333294</v>
      </c>
      <c r="Q10" s="206"/>
      <c r="R10" s="310" t="s">
        <v>29</v>
      </c>
      <c r="S10" s="11"/>
      <c r="T10" s="11"/>
      <c r="U10" s="11"/>
    </row>
    <row r="11" spans="1:21" x14ac:dyDescent="0.35">
      <c r="A11" s="250"/>
      <c r="B11" s="237"/>
      <c r="C11" s="2">
        <v>59505</v>
      </c>
      <c r="D11" s="2">
        <v>58887.3</v>
      </c>
      <c r="E11" s="2">
        <f t="shared" si="0"/>
        <v>24707.999999999884</v>
      </c>
      <c r="F11" s="287"/>
      <c r="G11" s="206"/>
      <c r="H11" s="253"/>
      <c r="K11" s="279"/>
      <c r="L11" s="217"/>
      <c r="M11" s="90">
        <v>54741.4</v>
      </c>
      <c r="N11" s="90">
        <v>54454.9</v>
      </c>
      <c r="O11" s="90">
        <f t="shared" si="1"/>
        <v>11460</v>
      </c>
      <c r="P11" s="297"/>
      <c r="Q11" s="206"/>
      <c r="R11" s="310"/>
      <c r="S11" s="11"/>
      <c r="T11" s="11"/>
      <c r="U11" s="11"/>
    </row>
    <row r="12" spans="1:21" x14ac:dyDescent="0.35">
      <c r="A12" s="250"/>
      <c r="B12" s="237"/>
      <c r="C12" s="2">
        <v>61535.199999999997</v>
      </c>
      <c r="D12" s="2">
        <v>60999.199999999997</v>
      </c>
      <c r="E12" s="2">
        <f t="shared" si="0"/>
        <v>21440</v>
      </c>
      <c r="F12" s="287"/>
      <c r="G12" s="206"/>
      <c r="H12" s="281"/>
      <c r="K12" s="279"/>
      <c r="L12" s="217"/>
      <c r="M12" s="90">
        <v>59105.5</v>
      </c>
      <c r="N12" s="90">
        <v>58820.800000000003</v>
      </c>
      <c r="O12" s="90">
        <f t="shared" si="1"/>
        <v>11387.999999999884</v>
      </c>
      <c r="P12" s="297"/>
      <c r="Q12" s="206"/>
      <c r="R12" s="310"/>
      <c r="S12" s="11"/>
      <c r="T12" s="11"/>
      <c r="U12" s="11"/>
    </row>
    <row r="13" spans="1:21" x14ac:dyDescent="0.35">
      <c r="A13" s="250"/>
      <c r="B13" s="237" t="s">
        <v>9</v>
      </c>
      <c r="C13" s="2">
        <v>57941.599999999999</v>
      </c>
      <c r="D13" s="2">
        <v>57546.3</v>
      </c>
      <c r="E13" s="2">
        <f t="shared" si="0"/>
        <v>15811.999999999825</v>
      </c>
      <c r="F13" s="287">
        <f>SUM((E13:E15))/3</f>
        <v>15313.333333333236</v>
      </c>
      <c r="G13" s="206"/>
      <c r="H13" s="200" t="s">
        <v>28</v>
      </c>
      <c r="K13" s="279"/>
      <c r="L13" s="217" t="s">
        <v>10</v>
      </c>
      <c r="M13" s="90">
        <v>55301.8</v>
      </c>
      <c r="N13" s="90">
        <v>54931.7</v>
      </c>
      <c r="O13" s="90">
        <f t="shared" si="1"/>
        <v>14804.000000000233</v>
      </c>
      <c r="P13" s="297">
        <f>SUM((O13:O15))/3</f>
        <v>14464.000000000136</v>
      </c>
      <c r="Q13" s="206"/>
      <c r="R13" s="217" t="s">
        <v>28</v>
      </c>
      <c r="S13" s="11"/>
      <c r="T13" s="11"/>
      <c r="U13" s="11"/>
    </row>
    <row r="14" spans="1:21" x14ac:dyDescent="0.35">
      <c r="A14" s="250"/>
      <c r="B14" s="237"/>
      <c r="C14" s="2">
        <v>61428</v>
      </c>
      <c r="D14" s="2">
        <v>61036.3</v>
      </c>
      <c r="E14" s="2">
        <f t="shared" si="0"/>
        <v>15667.999999999884</v>
      </c>
      <c r="F14" s="287"/>
      <c r="G14" s="206"/>
      <c r="H14" s="253"/>
      <c r="K14" s="279"/>
      <c r="L14" s="217"/>
      <c r="M14" s="90">
        <v>59495.6</v>
      </c>
      <c r="N14" s="90">
        <v>59125</v>
      </c>
      <c r="O14" s="90">
        <f t="shared" si="1"/>
        <v>14823.999999999942</v>
      </c>
      <c r="P14" s="297"/>
      <c r="Q14" s="206"/>
      <c r="R14" s="217"/>
      <c r="S14" s="11"/>
      <c r="T14" s="11"/>
      <c r="U14" s="11"/>
    </row>
    <row r="15" spans="1:21" ht="15" thickBot="1" x14ac:dyDescent="0.4">
      <c r="A15" s="250"/>
      <c r="B15" s="237"/>
      <c r="C15" s="2">
        <v>59693.4</v>
      </c>
      <c r="D15" s="2">
        <v>59331.9</v>
      </c>
      <c r="E15" s="2">
        <f t="shared" si="0"/>
        <v>14460</v>
      </c>
      <c r="F15" s="287"/>
      <c r="G15" s="206"/>
      <c r="H15" s="281"/>
      <c r="K15" s="280"/>
      <c r="L15" s="275"/>
      <c r="M15" s="112">
        <v>59272.3</v>
      </c>
      <c r="N15" s="112">
        <v>58928.2</v>
      </c>
      <c r="O15" s="112">
        <f t="shared" si="1"/>
        <v>13764.000000000233</v>
      </c>
      <c r="P15" s="304"/>
      <c r="Q15" s="206"/>
      <c r="R15" s="275"/>
      <c r="S15" s="11"/>
      <c r="T15" s="11"/>
      <c r="U15" s="11"/>
    </row>
    <row r="16" spans="1:21" x14ac:dyDescent="0.35">
      <c r="A16" s="250"/>
      <c r="B16" s="237" t="s">
        <v>10</v>
      </c>
      <c r="C16" s="2">
        <v>62067.1</v>
      </c>
      <c r="D16" s="2">
        <v>61751</v>
      </c>
      <c r="E16" s="2">
        <f t="shared" si="0"/>
        <v>12643.999999999942</v>
      </c>
      <c r="F16" s="287">
        <f>SUM((E16:E18))/3</f>
        <v>12752.00000000002</v>
      </c>
      <c r="G16" s="206"/>
      <c r="H16" s="200" t="s">
        <v>28</v>
      </c>
      <c r="K16" s="278">
        <v>45952</v>
      </c>
      <c r="L16" s="270" t="s">
        <v>7</v>
      </c>
      <c r="M16" s="92">
        <v>61655.3</v>
      </c>
      <c r="N16" s="92">
        <v>61139.7</v>
      </c>
      <c r="O16" s="92">
        <f t="shared" si="1"/>
        <v>20624.000000000233</v>
      </c>
      <c r="P16" s="312">
        <f>SUM((O16:O18))/3</f>
        <v>19768.000000000076</v>
      </c>
      <c r="Q16" s="206"/>
      <c r="R16" s="217" t="s">
        <v>28</v>
      </c>
      <c r="S16" s="11"/>
      <c r="T16" s="11"/>
      <c r="U16" s="11"/>
    </row>
    <row r="17" spans="1:21" x14ac:dyDescent="0.35">
      <c r="A17" s="250"/>
      <c r="B17" s="237"/>
      <c r="C17" s="2">
        <v>61020.3</v>
      </c>
      <c r="D17" s="2">
        <v>60708.800000000003</v>
      </c>
      <c r="E17" s="2">
        <f t="shared" si="0"/>
        <v>12460</v>
      </c>
      <c r="F17" s="287"/>
      <c r="G17" s="206"/>
      <c r="H17" s="253"/>
      <c r="K17" s="279"/>
      <c r="L17" s="270"/>
      <c r="M17" s="90">
        <v>54915.9</v>
      </c>
      <c r="N17" s="90">
        <v>54483.199999999997</v>
      </c>
      <c r="O17" s="90">
        <f t="shared" si="1"/>
        <v>17308.000000000175</v>
      </c>
      <c r="P17" s="312"/>
      <c r="Q17" s="206"/>
      <c r="R17" s="217"/>
      <c r="S17" s="11"/>
      <c r="T17" s="11"/>
      <c r="U17" s="11"/>
    </row>
    <row r="18" spans="1:21" ht="15" thickBot="1" x14ac:dyDescent="0.4">
      <c r="A18" s="264"/>
      <c r="B18" s="247"/>
      <c r="C18" s="18">
        <v>59097.8</v>
      </c>
      <c r="D18" s="18">
        <v>58769</v>
      </c>
      <c r="E18" s="18">
        <f t="shared" si="0"/>
        <v>13152.000000000116</v>
      </c>
      <c r="F18" s="293"/>
      <c r="G18" s="207"/>
      <c r="H18" s="201"/>
      <c r="K18" s="279"/>
      <c r="L18" s="285"/>
      <c r="M18" s="91">
        <v>61009.2</v>
      </c>
      <c r="N18" s="91">
        <v>60474.9</v>
      </c>
      <c r="O18" s="91">
        <f t="shared" si="1"/>
        <v>21371.999999999822</v>
      </c>
      <c r="P18" s="313"/>
      <c r="Q18" s="206"/>
      <c r="R18" s="275"/>
      <c r="S18" s="11"/>
      <c r="T18" s="11"/>
      <c r="U18" s="11"/>
    </row>
    <row r="19" spans="1:21" x14ac:dyDescent="0.35">
      <c r="A19" s="249">
        <v>45924</v>
      </c>
      <c r="B19" s="251" t="s">
        <v>7</v>
      </c>
      <c r="C19" s="17">
        <v>48329.3</v>
      </c>
      <c r="D19" s="17">
        <v>47781.599999999999</v>
      </c>
      <c r="E19" s="17">
        <f>((C19-D19)*1000)/25</f>
        <v>21908.000000000178</v>
      </c>
      <c r="F19" s="286">
        <f>SUM((E19:E21))/3</f>
        <v>22330.66666666661</v>
      </c>
      <c r="G19" s="309" t="s">
        <v>38</v>
      </c>
      <c r="H19" s="200" t="s">
        <v>28</v>
      </c>
      <c r="K19" s="279"/>
      <c r="L19" s="270" t="s">
        <v>8</v>
      </c>
      <c r="M19" s="131">
        <v>59186.5</v>
      </c>
      <c r="N19" s="131">
        <v>58807.5</v>
      </c>
      <c r="O19" s="92">
        <f t="shared" si="1"/>
        <v>15160</v>
      </c>
      <c r="P19" s="312">
        <f t="shared" ref="P19" si="2">SUM((O19:O21))/3</f>
        <v>16086.666666666666</v>
      </c>
      <c r="Q19" s="206"/>
      <c r="R19" s="217" t="s">
        <v>28</v>
      </c>
    </row>
    <row r="20" spans="1:21" x14ac:dyDescent="0.35">
      <c r="A20" s="250"/>
      <c r="B20" s="237"/>
      <c r="C20" s="2">
        <v>48588.2</v>
      </c>
      <c r="D20" s="2">
        <v>48011.8</v>
      </c>
      <c r="E20" s="2">
        <f t="shared" ref="E20:E30" si="3">((C20-D20)*1000)/25</f>
        <v>23055.999999999767</v>
      </c>
      <c r="F20" s="287"/>
      <c r="G20" s="206"/>
      <c r="H20" s="253"/>
      <c r="K20" s="279"/>
      <c r="L20" s="270"/>
      <c r="M20" s="128">
        <v>63848.5</v>
      </c>
      <c r="N20" s="128">
        <v>63436.9</v>
      </c>
      <c r="O20" s="90">
        <f t="shared" si="1"/>
        <v>16463.999999999942</v>
      </c>
      <c r="P20" s="312"/>
      <c r="Q20" s="206"/>
      <c r="R20" s="217"/>
    </row>
    <row r="21" spans="1:21" ht="15" thickBot="1" x14ac:dyDescent="0.4">
      <c r="A21" s="250"/>
      <c r="B21" s="237"/>
      <c r="C21" s="2">
        <v>47740.7</v>
      </c>
      <c r="D21" s="2">
        <v>47190</v>
      </c>
      <c r="E21" s="2">
        <f t="shared" si="3"/>
        <v>22027.999999999884</v>
      </c>
      <c r="F21" s="287"/>
      <c r="G21" s="206"/>
      <c r="H21" s="201"/>
      <c r="K21" s="279"/>
      <c r="L21" s="285"/>
      <c r="M21" s="130">
        <v>54628.1</v>
      </c>
      <c r="N21" s="130">
        <v>54212.2</v>
      </c>
      <c r="O21" s="91">
        <f t="shared" si="1"/>
        <v>16636.000000000058</v>
      </c>
      <c r="P21" s="313"/>
      <c r="Q21" s="206"/>
      <c r="R21" s="275"/>
    </row>
    <row r="22" spans="1:21" x14ac:dyDescent="0.35">
      <c r="A22" s="250"/>
      <c r="B22" s="237" t="s">
        <v>8</v>
      </c>
      <c r="C22" s="2">
        <v>61260</v>
      </c>
      <c r="D22" s="2">
        <v>60699</v>
      </c>
      <c r="E22" s="2">
        <f t="shared" si="3"/>
        <v>22440</v>
      </c>
      <c r="F22" s="287">
        <f>SUM((E22:E24))/3</f>
        <v>20894.666666666646</v>
      </c>
      <c r="G22" s="206"/>
      <c r="H22" s="200" t="s">
        <v>28</v>
      </c>
      <c r="K22" s="279"/>
      <c r="L22" s="270" t="s">
        <v>10</v>
      </c>
      <c r="M22" s="92">
        <v>59315</v>
      </c>
      <c r="N22" s="131">
        <v>58927.3</v>
      </c>
      <c r="O22" s="92">
        <f t="shared" si="1"/>
        <v>15507.999999999884</v>
      </c>
      <c r="P22" s="312">
        <f t="shared" ref="P22" si="4">SUM((O22:O24))/3</f>
        <v>14437.333333333276</v>
      </c>
      <c r="Q22" s="206"/>
      <c r="R22" s="217" t="s">
        <v>28</v>
      </c>
    </row>
    <row r="23" spans="1:21" x14ac:dyDescent="0.35">
      <c r="A23" s="250"/>
      <c r="B23" s="237"/>
      <c r="C23" s="2">
        <v>62266.7</v>
      </c>
      <c r="D23" s="2">
        <v>61748.9</v>
      </c>
      <c r="E23" s="2">
        <f t="shared" si="3"/>
        <v>20711.999999999825</v>
      </c>
      <c r="F23" s="287"/>
      <c r="G23" s="206"/>
      <c r="H23" s="253"/>
      <c r="K23" s="279"/>
      <c r="L23" s="270"/>
      <c r="M23" s="90">
        <v>59430.6</v>
      </c>
      <c r="N23" s="128">
        <v>59092</v>
      </c>
      <c r="O23" s="90">
        <f t="shared" si="1"/>
        <v>13543.999999999942</v>
      </c>
      <c r="P23" s="312"/>
      <c r="Q23" s="206"/>
      <c r="R23" s="217"/>
    </row>
    <row r="24" spans="1:21" ht="15" thickBot="1" x14ac:dyDescent="0.4">
      <c r="A24" s="250"/>
      <c r="B24" s="237"/>
      <c r="C24" s="2">
        <v>58029.3</v>
      </c>
      <c r="D24" s="2">
        <v>57541</v>
      </c>
      <c r="E24" s="2">
        <f t="shared" si="3"/>
        <v>19532.000000000116</v>
      </c>
      <c r="F24" s="287"/>
      <c r="G24" s="206"/>
      <c r="H24" s="201"/>
      <c r="K24" s="279"/>
      <c r="L24" s="285"/>
      <c r="M24" s="91">
        <v>55260.1</v>
      </c>
      <c r="N24" s="130">
        <v>54903.6</v>
      </c>
      <c r="O24" s="91">
        <f t="shared" si="1"/>
        <v>14260</v>
      </c>
      <c r="P24" s="313"/>
      <c r="Q24" s="206"/>
      <c r="R24" s="275"/>
    </row>
    <row r="25" spans="1:21" x14ac:dyDescent="0.35">
      <c r="A25" s="250"/>
      <c r="B25" s="237" t="s">
        <v>9</v>
      </c>
      <c r="C25" s="2">
        <v>59440.5</v>
      </c>
      <c r="D25" s="2">
        <v>59067.4</v>
      </c>
      <c r="E25" s="2">
        <f t="shared" si="3"/>
        <v>14923.999999999942</v>
      </c>
      <c r="F25" s="287">
        <f>SUM((E25:E27))/3</f>
        <v>15255.999999999962</v>
      </c>
      <c r="G25" s="206"/>
      <c r="H25" s="200" t="s">
        <v>28</v>
      </c>
      <c r="K25" s="279"/>
      <c r="L25" s="270" t="s">
        <v>94</v>
      </c>
      <c r="M25" s="87">
        <v>54139.9</v>
      </c>
      <c r="N25" s="87">
        <v>54111.7</v>
      </c>
      <c r="O25" s="87">
        <f t="shared" si="1"/>
        <v>1128.0000000001746</v>
      </c>
      <c r="P25" s="312">
        <f t="shared" ref="P25" si="5">SUM((O25:O27))/3</f>
        <v>1024.0000000001357</v>
      </c>
      <c r="Q25" s="206"/>
      <c r="R25" s="310" t="s">
        <v>29</v>
      </c>
    </row>
    <row r="26" spans="1:21" x14ac:dyDescent="0.35">
      <c r="A26" s="250"/>
      <c r="B26" s="237"/>
      <c r="C26" s="2">
        <v>61390</v>
      </c>
      <c r="D26" s="2">
        <v>61010.8</v>
      </c>
      <c r="E26" s="2">
        <f t="shared" si="3"/>
        <v>15167.999999999884</v>
      </c>
      <c r="F26" s="287"/>
      <c r="G26" s="206"/>
      <c r="H26" s="253"/>
      <c r="K26" s="279"/>
      <c r="L26" s="270"/>
      <c r="M26" s="90">
        <v>63361.3</v>
      </c>
      <c r="N26" s="90">
        <v>63335.5</v>
      </c>
      <c r="O26" s="90">
        <f t="shared" si="1"/>
        <v>1032.0000000001164</v>
      </c>
      <c r="P26" s="312"/>
      <c r="Q26" s="206"/>
      <c r="R26" s="310"/>
    </row>
    <row r="27" spans="1:21" ht="15" thickBot="1" x14ac:dyDescent="0.4">
      <c r="A27" s="250"/>
      <c r="B27" s="237"/>
      <c r="C27" s="2">
        <v>59290.9</v>
      </c>
      <c r="D27" s="2">
        <v>58899</v>
      </c>
      <c r="E27" s="2">
        <f t="shared" si="3"/>
        <v>15676.000000000058</v>
      </c>
      <c r="F27" s="287"/>
      <c r="G27" s="206"/>
      <c r="H27" s="201"/>
      <c r="K27" s="280"/>
      <c r="L27" s="285"/>
      <c r="M27" s="91">
        <v>58719.8</v>
      </c>
      <c r="N27" s="91">
        <v>58697</v>
      </c>
      <c r="O27" s="91">
        <f t="shared" si="1"/>
        <v>912.00000000011642</v>
      </c>
      <c r="P27" s="313"/>
      <c r="Q27" s="207"/>
      <c r="R27" s="310"/>
    </row>
    <row r="28" spans="1:21" x14ac:dyDescent="0.35">
      <c r="A28" s="250"/>
      <c r="B28" s="237" t="s">
        <v>10</v>
      </c>
      <c r="C28" s="2">
        <v>61363.9</v>
      </c>
      <c r="D28" s="2">
        <v>61039.1</v>
      </c>
      <c r="E28" s="2">
        <f t="shared" si="3"/>
        <v>12992.000000000116</v>
      </c>
      <c r="F28" s="287">
        <f>SUM((E28:E30))/3</f>
        <v>13219.999999999904</v>
      </c>
      <c r="G28" s="206"/>
      <c r="H28" s="200" t="s">
        <v>28</v>
      </c>
    </row>
    <row r="29" spans="1:21" x14ac:dyDescent="0.35">
      <c r="A29" s="250"/>
      <c r="B29" s="237"/>
      <c r="C29" s="2">
        <v>59100.7</v>
      </c>
      <c r="D29" s="2">
        <v>58767.8</v>
      </c>
      <c r="E29" s="2">
        <f t="shared" si="3"/>
        <v>13315.999999999767</v>
      </c>
      <c r="F29" s="287"/>
      <c r="G29" s="206"/>
      <c r="H29" s="253"/>
    </row>
    <row r="30" spans="1:21" ht="15" thickBot="1" x14ac:dyDescent="0.4">
      <c r="A30" s="264"/>
      <c r="B30" s="247"/>
      <c r="C30" s="18">
        <v>59678.6</v>
      </c>
      <c r="D30" s="18">
        <v>59344.800000000003</v>
      </c>
      <c r="E30" s="18">
        <f t="shared" si="3"/>
        <v>13351.999999999825</v>
      </c>
      <c r="F30" s="293"/>
      <c r="G30" s="207"/>
      <c r="H30" s="201"/>
    </row>
    <row r="31" spans="1:21" x14ac:dyDescent="0.35">
      <c r="A31" s="249">
        <v>45931</v>
      </c>
      <c r="B31" s="251" t="s">
        <v>7</v>
      </c>
      <c r="C31" s="17">
        <v>61507</v>
      </c>
      <c r="D31" s="17">
        <v>61034.7</v>
      </c>
      <c r="E31" s="17">
        <f>((C31-D31)*1000)/25</f>
        <v>18892.000000000116</v>
      </c>
      <c r="F31" s="286">
        <f>SUM((E31:E33))/3</f>
        <v>18910.666666666704</v>
      </c>
      <c r="G31" s="309" t="s">
        <v>38</v>
      </c>
      <c r="H31" s="200" t="s">
        <v>28</v>
      </c>
    </row>
    <row r="32" spans="1:21" x14ac:dyDescent="0.35">
      <c r="A32" s="250"/>
      <c r="B32" s="237"/>
      <c r="C32" s="2">
        <v>59492.3</v>
      </c>
      <c r="D32" s="2">
        <v>59039.4</v>
      </c>
      <c r="E32" s="2">
        <f t="shared" ref="E32:E42" si="6">((C32-D32)*1000)/25</f>
        <v>18116.000000000058</v>
      </c>
      <c r="F32" s="287"/>
      <c r="G32" s="206"/>
      <c r="H32" s="253"/>
    </row>
    <row r="33" spans="1:8" ht="15" thickBot="1" x14ac:dyDescent="0.4">
      <c r="A33" s="250"/>
      <c r="B33" s="237"/>
      <c r="C33" s="2">
        <v>59369.599999999999</v>
      </c>
      <c r="D33" s="2">
        <v>58876.5</v>
      </c>
      <c r="E33" s="2">
        <f t="shared" si="6"/>
        <v>19723.999999999942</v>
      </c>
      <c r="F33" s="287"/>
      <c r="G33" s="206"/>
      <c r="H33" s="201"/>
    </row>
    <row r="34" spans="1:8" x14ac:dyDescent="0.35">
      <c r="A34" s="250"/>
      <c r="B34" s="237" t="s">
        <v>8</v>
      </c>
      <c r="C34" s="2">
        <v>59304.6</v>
      </c>
      <c r="D34" s="2">
        <v>58764.2</v>
      </c>
      <c r="E34" s="2">
        <f t="shared" si="6"/>
        <v>21616.000000000055</v>
      </c>
      <c r="F34" s="287">
        <f>SUM((E34:E36))/3</f>
        <v>18902.666666666628</v>
      </c>
      <c r="G34" s="206"/>
      <c r="H34" s="200" t="s">
        <v>28</v>
      </c>
    </row>
    <row r="35" spans="1:8" x14ac:dyDescent="0.35">
      <c r="A35" s="250"/>
      <c r="B35" s="237"/>
      <c r="C35" s="2">
        <v>59771.1</v>
      </c>
      <c r="D35" s="2">
        <v>59340.800000000003</v>
      </c>
      <c r="E35" s="2">
        <f t="shared" si="6"/>
        <v>17211.999999999825</v>
      </c>
      <c r="F35" s="287"/>
      <c r="G35" s="206"/>
      <c r="H35" s="253"/>
    </row>
    <row r="36" spans="1:8" ht="15" thickBot="1" x14ac:dyDescent="0.4">
      <c r="A36" s="250"/>
      <c r="B36" s="237"/>
      <c r="C36" s="2">
        <v>61439.7</v>
      </c>
      <c r="D36" s="2">
        <v>60992.7</v>
      </c>
      <c r="E36" s="2">
        <f t="shared" si="6"/>
        <v>17880</v>
      </c>
      <c r="F36" s="287"/>
      <c r="G36" s="206"/>
      <c r="H36" s="201"/>
    </row>
    <row r="37" spans="1:8" x14ac:dyDescent="0.35">
      <c r="A37" s="250"/>
      <c r="B37" s="237" t="s">
        <v>9</v>
      </c>
      <c r="C37" s="2">
        <v>54802.7</v>
      </c>
      <c r="D37" s="2">
        <v>54426.8</v>
      </c>
      <c r="E37" s="2">
        <f t="shared" si="6"/>
        <v>15035.999999999767</v>
      </c>
      <c r="F37" s="287">
        <f>SUM((E37:E39))/3</f>
        <v>14037.333333333276</v>
      </c>
      <c r="G37" s="206"/>
      <c r="H37" s="200" t="s">
        <v>28</v>
      </c>
    </row>
    <row r="38" spans="1:8" x14ac:dyDescent="0.35">
      <c r="A38" s="250"/>
      <c r="B38" s="237"/>
      <c r="C38" s="2">
        <v>58938.5</v>
      </c>
      <c r="D38" s="2">
        <v>58593.2</v>
      </c>
      <c r="E38" s="2">
        <f t="shared" si="6"/>
        <v>13812.000000000116</v>
      </c>
      <c r="F38" s="287"/>
      <c r="G38" s="206"/>
      <c r="H38" s="253"/>
    </row>
    <row r="39" spans="1:8" ht="15" thickBot="1" x14ac:dyDescent="0.4">
      <c r="A39" s="250"/>
      <c r="B39" s="237"/>
      <c r="C39" s="2">
        <v>60685.2</v>
      </c>
      <c r="D39" s="2">
        <v>60353.599999999999</v>
      </c>
      <c r="E39" s="2">
        <f t="shared" si="6"/>
        <v>13263.999999999942</v>
      </c>
      <c r="F39" s="287"/>
      <c r="G39" s="206"/>
      <c r="H39" s="201"/>
    </row>
    <row r="40" spans="1:8" x14ac:dyDescent="0.35">
      <c r="A40" s="250"/>
      <c r="B40" s="237" t="s">
        <v>10</v>
      </c>
      <c r="C40" s="2">
        <v>54663.9</v>
      </c>
      <c r="D40" s="2">
        <v>54178</v>
      </c>
      <c r="E40" s="2">
        <f t="shared" si="6"/>
        <v>19436.000000000058</v>
      </c>
      <c r="F40" s="287">
        <f>SUM((E40:E42))/3</f>
        <v>17085.333333333449</v>
      </c>
      <c r="G40" s="206"/>
      <c r="H40" s="200" t="s">
        <v>28</v>
      </c>
    </row>
    <row r="41" spans="1:8" x14ac:dyDescent="0.35">
      <c r="A41" s="250"/>
      <c r="B41" s="237"/>
      <c r="C41" s="2">
        <v>63776.3</v>
      </c>
      <c r="D41" s="2">
        <v>63406.7</v>
      </c>
      <c r="E41" s="2">
        <f t="shared" si="6"/>
        <v>14784.000000000233</v>
      </c>
      <c r="F41" s="287"/>
      <c r="G41" s="206"/>
      <c r="H41" s="253"/>
    </row>
    <row r="42" spans="1:8" ht="15" thickBot="1" x14ac:dyDescent="0.4">
      <c r="A42" s="264"/>
      <c r="B42" s="247"/>
      <c r="C42" s="18">
        <v>55301.9</v>
      </c>
      <c r="D42" s="18">
        <v>54876</v>
      </c>
      <c r="E42" s="18">
        <f t="shared" si="6"/>
        <v>17036.000000000058</v>
      </c>
      <c r="F42" s="293"/>
      <c r="G42" s="207"/>
      <c r="H42" s="201"/>
    </row>
    <row r="43" spans="1:8" x14ac:dyDescent="0.35">
      <c r="A43" s="249">
        <v>45938</v>
      </c>
      <c r="B43" s="251" t="s">
        <v>7</v>
      </c>
      <c r="C43" s="17">
        <v>54710.9</v>
      </c>
      <c r="D43" s="17">
        <v>54218.5</v>
      </c>
      <c r="E43" s="17">
        <f>((C43-D43)*1000)/25</f>
        <v>19696.000000000058</v>
      </c>
      <c r="F43" s="286">
        <f>SUM((E43:E45))/3</f>
        <v>20229.333333333296</v>
      </c>
      <c r="G43" s="309" t="s">
        <v>38</v>
      </c>
      <c r="H43" s="200" t="s">
        <v>28</v>
      </c>
    </row>
    <row r="44" spans="1:8" x14ac:dyDescent="0.35">
      <c r="A44" s="250"/>
      <c r="B44" s="237"/>
      <c r="C44" s="2">
        <v>55412.7</v>
      </c>
      <c r="D44" s="2">
        <v>54892.5</v>
      </c>
      <c r="E44" s="2">
        <f t="shared" ref="E44:E54" si="7">((C44-D44)*1000)/25</f>
        <v>20807.999999999884</v>
      </c>
      <c r="F44" s="287"/>
      <c r="G44" s="206"/>
      <c r="H44" s="253"/>
    </row>
    <row r="45" spans="1:8" ht="15" thickBot="1" x14ac:dyDescent="0.4">
      <c r="A45" s="250"/>
      <c r="B45" s="237"/>
      <c r="C45" s="2">
        <v>60900.4</v>
      </c>
      <c r="D45" s="2">
        <v>60395.8</v>
      </c>
      <c r="E45" s="2">
        <f t="shared" si="7"/>
        <v>20183.999999999942</v>
      </c>
      <c r="F45" s="287"/>
      <c r="G45" s="206"/>
      <c r="H45" s="201"/>
    </row>
    <row r="46" spans="1:8" x14ac:dyDescent="0.35">
      <c r="A46" s="250"/>
      <c r="B46" s="237" t="s">
        <v>8</v>
      </c>
      <c r="C46" s="2">
        <v>59642.9</v>
      </c>
      <c r="D46" s="2">
        <v>59095.1</v>
      </c>
      <c r="E46" s="2">
        <f t="shared" si="7"/>
        <v>21912.000000000116</v>
      </c>
      <c r="F46" s="287">
        <f>SUM((E46:E48))/3</f>
        <v>22437.333333333274</v>
      </c>
      <c r="G46" s="206"/>
      <c r="H46" s="200" t="s">
        <v>28</v>
      </c>
    </row>
    <row r="47" spans="1:8" x14ac:dyDescent="0.35">
      <c r="A47" s="250"/>
      <c r="B47" s="237"/>
      <c r="C47" s="2">
        <v>59332.1</v>
      </c>
      <c r="D47" s="2">
        <v>58799.4</v>
      </c>
      <c r="E47" s="2">
        <f t="shared" si="7"/>
        <v>21307.999999999884</v>
      </c>
      <c r="F47" s="287"/>
      <c r="G47" s="206"/>
      <c r="H47" s="253"/>
    </row>
    <row r="48" spans="1:8" ht="15" thickBot="1" x14ac:dyDescent="0.4">
      <c r="A48" s="250"/>
      <c r="B48" s="237"/>
      <c r="C48" s="2">
        <v>59978.1</v>
      </c>
      <c r="D48" s="2">
        <v>59375.8</v>
      </c>
      <c r="E48" s="2">
        <f t="shared" si="7"/>
        <v>24091.999999999822</v>
      </c>
      <c r="F48" s="287"/>
      <c r="G48" s="206"/>
      <c r="H48" s="201"/>
    </row>
    <row r="49" spans="1:8" x14ac:dyDescent="0.35">
      <c r="A49" s="250"/>
      <c r="B49" s="237" t="s">
        <v>9</v>
      </c>
      <c r="C49" s="2">
        <v>61436.6</v>
      </c>
      <c r="D49" s="2">
        <v>61042.9</v>
      </c>
      <c r="E49" s="2">
        <f t="shared" si="7"/>
        <v>15747.999999999884</v>
      </c>
      <c r="F49" s="287">
        <f>SUM((E49:E51))/3</f>
        <v>16857.333333333179</v>
      </c>
      <c r="G49" s="206"/>
      <c r="H49" s="200" t="s">
        <v>28</v>
      </c>
    </row>
    <row r="50" spans="1:8" x14ac:dyDescent="0.35">
      <c r="A50" s="250"/>
      <c r="B50" s="237"/>
      <c r="C50" s="2">
        <v>61525.599999999999</v>
      </c>
      <c r="D50" s="2">
        <v>61087.9</v>
      </c>
      <c r="E50" s="2">
        <f t="shared" si="7"/>
        <v>17507.999999999884</v>
      </c>
      <c r="F50" s="287"/>
      <c r="G50" s="206"/>
      <c r="H50" s="253"/>
    </row>
    <row r="51" spans="1:8" ht="15" thickBot="1" x14ac:dyDescent="0.4">
      <c r="A51" s="250"/>
      <c r="B51" s="237"/>
      <c r="C51" s="2">
        <v>59350.7</v>
      </c>
      <c r="D51" s="2">
        <v>58917.8</v>
      </c>
      <c r="E51" s="2">
        <f t="shared" si="7"/>
        <v>17315.999999999767</v>
      </c>
      <c r="F51" s="287"/>
      <c r="G51" s="206"/>
      <c r="H51" s="201"/>
    </row>
    <row r="52" spans="1:8" x14ac:dyDescent="0.35">
      <c r="A52" s="250"/>
      <c r="B52" s="237" t="s">
        <v>10</v>
      </c>
      <c r="C52" s="2">
        <v>63796.5</v>
      </c>
      <c r="D52" s="2">
        <v>63438.6</v>
      </c>
      <c r="E52" s="2">
        <f t="shared" si="7"/>
        <v>14316.000000000058</v>
      </c>
      <c r="F52" s="287">
        <f>SUM((E52:E54))/3</f>
        <v>13863.999999999942</v>
      </c>
      <c r="G52" s="206"/>
      <c r="H52" s="200" t="s">
        <v>28</v>
      </c>
    </row>
    <row r="53" spans="1:8" x14ac:dyDescent="0.35">
      <c r="A53" s="250"/>
      <c r="B53" s="237"/>
      <c r="C53" s="2">
        <v>54799.6</v>
      </c>
      <c r="D53" s="2">
        <v>54439</v>
      </c>
      <c r="E53" s="2">
        <f t="shared" si="7"/>
        <v>14423.999999999942</v>
      </c>
      <c r="F53" s="287"/>
      <c r="G53" s="206"/>
      <c r="H53" s="253"/>
    </row>
    <row r="54" spans="1:8" ht="15" thickBot="1" x14ac:dyDescent="0.4">
      <c r="A54" s="264"/>
      <c r="B54" s="247"/>
      <c r="C54" s="18">
        <v>58940.6</v>
      </c>
      <c r="D54" s="18">
        <v>58619.3</v>
      </c>
      <c r="E54" s="18">
        <f t="shared" si="7"/>
        <v>12851.999999999825</v>
      </c>
      <c r="F54" s="293"/>
      <c r="G54" s="207"/>
      <c r="H54" s="201"/>
    </row>
    <row r="55" spans="1:8" x14ac:dyDescent="0.35">
      <c r="A55" s="249">
        <v>45957</v>
      </c>
      <c r="B55" s="251" t="s">
        <v>7</v>
      </c>
      <c r="C55" s="17">
        <v>61549.4</v>
      </c>
      <c r="D55" s="17">
        <v>61082.6</v>
      </c>
      <c r="E55" s="17">
        <f>((C55-D55)*1000)/25</f>
        <v>18672.000000000116</v>
      </c>
      <c r="F55" s="286">
        <f>SUM((E55:E57))/3</f>
        <v>18654.666666666646</v>
      </c>
      <c r="G55" s="309" t="s">
        <v>38</v>
      </c>
      <c r="H55" s="200" t="s">
        <v>28</v>
      </c>
    </row>
    <row r="56" spans="1:8" x14ac:dyDescent="0.35">
      <c r="A56" s="250"/>
      <c r="B56" s="237"/>
      <c r="C56" s="2">
        <v>60858.8</v>
      </c>
      <c r="D56" s="2">
        <v>60389.8</v>
      </c>
      <c r="E56" s="2">
        <f t="shared" ref="E56:E66" si="8">((C56-D56)*1000)/25</f>
        <v>18760</v>
      </c>
      <c r="F56" s="287"/>
      <c r="G56" s="206"/>
      <c r="H56" s="253"/>
    </row>
    <row r="57" spans="1:8" ht="15" thickBot="1" x14ac:dyDescent="0.4">
      <c r="A57" s="250"/>
      <c r="B57" s="237"/>
      <c r="C57" s="2">
        <v>54913.1</v>
      </c>
      <c r="D57" s="2">
        <v>54449.8</v>
      </c>
      <c r="E57" s="2">
        <f t="shared" si="8"/>
        <v>18531.999999999825</v>
      </c>
      <c r="F57" s="287"/>
      <c r="G57" s="206"/>
      <c r="H57" s="201"/>
    </row>
    <row r="58" spans="1:8" x14ac:dyDescent="0.35">
      <c r="A58" s="250"/>
      <c r="B58" s="237" t="s">
        <v>8</v>
      </c>
      <c r="C58" s="2">
        <v>59419.9</v>
      </c>
      <c r="D58" s="2">
        <v>58920.800000000003</v>
      </c>
      <c r="E58" s="2">
        <f t="shared" si="8"/>
        <v>19963.999999999942</v>
      </c>
      <c r="F58" s="287">
        <f>SUM((E58:E60))/3</f>
        <v>19853.333333333332</v>
      </c>
      <c r="G58" s="206"/>
      <c r="H58" s="200" t="s">
        <v>28</v>
      </c>
    </row>
    <row r="59" spans="1:8" x14ac:dyDescent="0.35">
      <c r="A59" s="250"/>
      <c r="B59" s="237"/>
      <c r="C59" s="2">
        <v>55411.8</v>
      </c>
      <c r="D59" s="2">
        <v>54905.3</v>
      </c>
      <c r="E59" s="2">
        <f t="shared" si="8"/>
        <v>20260</v>
      </c>
      <c r="F59" s="287"/>
      <c r="G59" s="206"/>
      <c r="H59" s="253"/>
    </row>
    <row r="60" spans="1:8" ht="15" thickBot="1" x14ac:dyDescent="0.4">
      <c r="A60" s="250"/>
      <c r="B60" s="237"/>
      <c r="C60" s="2">
        <v>59586.9</v>
      </c>
      <c r="D60" s="2">
        <v>59103.5</v>
      </c>
      <c r="E60" s="2">
        <f t="shared" si="8"/>
        <v>19336.000000000058</v>
      </c>
      <c r="F60" s="287"/>
      <c r="G60" s="206"/>
      <c r="H60" s="201"/>
    </row>
    <row r="61" spans="1:8" x14ac:dyDescent="0.35">
      <c r="A61" s="250"/>
      <c r="B61" s="237" t="s">
        <v>9</v>
      </c>
      <c r="C61" s="2">
        <v>59131.4</v>
      </c>
      <c r="D61" s="2">
        <v>58639.199999999997</v>
      </c>
      <c r="E61" s="2">
        <f t="shared" si="8"/>
        <v>19688.000000000175</v>
      </c>
      <c r="F61" s="287">
        <f>SUM((E61:E63))/3</f>
        <v>19629.33333333339</v>
      </c>
      <c r="G61" s="206"/>
      <c r="H61" s="200" t="s">
        <v>28</v>
      </c>
    </row>
    <row r="62" spans="1:8" x14ac:dyDescent="0.35">
      <c r="A62" s="250"/>
      <c r="B62" s="237"/>
      <c r="C62" s="2">
        <v>61494.2</v>
      </c>
      <c r="D62" s="2">
        <v>61041.4</v>
      </c>
      <c r="E62" s="2">
        <f t="shared" si="8"/>
        <v>18111.999999999825</v>
      </c>
      <c r="F62" s="287"/>
      <c r="G62" s="206"/>
      <c r="H62" s="253"/>
    </row>
    <row r="63" spans="1:8" ht="15" thickBot="1" x14ac:dyDescent="0.4">
      <c r="A63" s="250"/>
      <c r="B63" s="237"/>
      <c r="C63" s="2">
        <v>59926.9</v>
      </c>
      <c r="D63" s="2">
        <v>59399.7</v>
      </c>
      <c r="E63" s="2">
        <f t="shared" si="8"/>
        <v>21088.000000000178</v>
      </c>
      <c r="F63" s="287"/>
      <c r="G63" s="206"/>
      <c r="H63" s="201"/>
    </row>
    <row r="64" spans="1:8" x14ac:dyDescent="0.35">
      <c r="A64" s="250"/>
      <c r="B64" s="237" t="s">
        <v>10</v>
      </c>
      <c r="C64" s="2">
        <v>48204.5</v>
      </c>
      <c r="D64" s="2">
        <v>47807.8</v>
      </c>
      <c r="E64" s="2">
        <f t="shared" si="8"/>
        <v>15867.999999999884</v>
      </c>
      <c r="F64" s="287">
        <f>SUM((E64:E66))/3</f>
        <v>15294.666666666648</v>
      </c>
      <c r="G64" s="206"/>
      <c r="H64" s="200" t="s">
        <v>28</v>
      </c>
    </row>
    <row r="65" spans="1:8" x14ac:dyDescent="0.35">
      <c r="A65" s="250"/>
      <c r="B65" s="237"/>
      <c r="C65" s="2">
        <v>48390.400000000001</v>
      </c>
      <c r="D65" s="2">
        <v>48024.1</v>
      </c>
      <c r="E65" s="2">
        <f t="shared" si="8"/>
        <v>14652.000000000116</v>
      </c>
      <c r="F65" s="287"/>
      <c r="G65" s="206"/>
      <c r="H65" s="253"/>
    </row>
    <row r="66" spans="1:8" ht="15" thickBot="1" x14ac:dyDescent="0.4">
      <c r="A66" s="264"/>
      <c r="B66" s="247"/>
      <c r="C66" s="18">
        <v>47596</v>
      </c>
      <c r="D66" s="18">
        <v>47211.9</v>
      </c>
      <c r="E66" s="18">
        <f t="shared" si="8"/>
        <v>15363.999999999942</v>
      </c>
      <c r="F66" s="293"/>
      <c r="G66" s="207"/>
      <c r="H66" s="201"/>
    </row>
    <row r="67" spans="1:8" x14ac:dyDescent="0.35">
      <c r="A67" s="249">
        <v>45964</v>
      </c>
      <c r="B67" s="251" t="s">
        <v>7</v>
      </c>
      <c r="C67" s="17">
        <v>54713.4</v>
      </c>
      <c r="D67" s="17">
        <v>54218.8</v>
      </c>
      <c r="E67" s="17">
        <f>((C67-D67)*1000)/25</f>
        <v>19783.999999999942</v>
      </c>
      <c r="F67" s="286">
        <f>SUM((E67:E69))/3</f>
        <v>19652.000000000018</v>
      </c>
      <c r="G67" s="309" t="s">
        <v>38</v>
      </c>
      <c r="H67" s="200" t="s">
        <v>28</v>
      </c>
    </row>
    <row r="68" spans="1:8" x14ac:dyDescent="0.35">
      <c r="A68" s="250"/>
      <c r="B68" s="237"/>
      <c r="C68" s="2">
        <v>61540</v>
      </c>
      <c r="D68" s="2">
        <v>61074.1</v>
      </c>
      <c r="E68" s="2">
        <f t="shared" ref="E68:E78" si="9">((C68-D68)*1000)/25</f>
        <v>18636.000000000058</v>
      </c>
      <c r="F68" s="287"/>
      <c r="G68" s="206"/>
      <c r="H68" s="253"/>
    </row>
    <row r="69" spans="1:8" ht="15" thickBot="1" x14ac:dyDescent="0.4">
      <c r="A69" s="250"/>
      <c r="B69" s="237"/>
      <c r="C69" s="2">
        <v>55424.3</v>
      </c>
      <c r="D69" s="2">
        <v>54910.9</v>
      </c>
      <c r="E69" s="2">
        <f t="shared" si="9"/>
        <v>20536.000000000058</v>
      </c>
      <c r="F69" s="287"/>
      <c r="G69" s="206"/>
      <c r="H69" s="201"/>
    </row>
    <row r="70" spans="1:8" x14ac:dyDescent="0.35">
      <c r="A70" s="250"/>
      <c r="B70" s="237" t="s">
        <v>8</v>
      </c>
      <c r="C70" s="2">
        <v>54881.599999999999</v>
      </c>
      <c r="D70" s="2">
        <v>54451.8</v>
      </c>
      <c r="E70" s="2">
        <f t="shared" si="9"/>
        <v>17191.999999999825</v>
      </c>
      <c r="F70" s="287">
        <f>SUM((E70:E72))/3</f>
        <v>18411.999999999924</v>
      </c>
      <c r="G70" s="206"/>
      <c r="H70" s="200" t="s">
        <v>28</v>
      </c>
    </row>
    <row r="71" spans="1:8" x14ac:dyDescent="0.35">
      <c r="A71" s="250"/>
      <c r="B71" s="237"/>
      <c r="C71" s="2">
        <v>60868.6</v>
      </c>
      <c r="D71" s="2">
        <v>60391.4</v>
      </c>
      <c r="E71" s="2">
        <f t="shared" si="9"/>
        <v>19087.999999999884</v>
      </c>
      <c r="F71" s="287"/>
      <c r="G71" s="206"/>
      <c r="H71" s="253"/>
    </row>
    <row r="72" spans="1:8" ht="15" thickBot="1" x14ac:dyDescent="0.4">
      <c r="A72" s="250"/>
      <c r="B72" s="237"/>
      <c r="C72" s="2">
        <v>59569.4</v>
      </c>
      <c r="D72" s="2">
        <v>59095.5</v>
      </c>
      <c r="E72" s="2">
        <f t="shared" si="9"/>
        <v>18956.000000000058</v>
      </c>
      <c r="F72" s="287"/>
      <c r="G72" s="206"/>
      <c r="H72" s="201"/>
    </row>
    <row r="73" spans="1:8" x14ac:dyDescent="0.35">
      <c r="A73" s="250"/>
      <c r="B73" s="237" t="s">
        <v>9</v>
      </c>
      <c r="C73" s="2">
        <v>61514.2</v>
      </c>
      <c r="D73" s="2">
        <v>61050.1</v>
      </c>
      <c r="E73" s="2">
        <f t="shared" si="9"/>
        <v>18563.999999999942</v>
      </c>
      <c r="F73" s="287">
        <f>SUM((E73:E75))/3</f>
        <v>16894.666666666646</v>
      </c>
      <c r="G73" s="206"/>
      <c r="H73" s="200" t="s">
        <v>28</v>
      </c>
    </row>
    <row r="74" spans="1:8" ht="15" customHeight="1" x14ac:dyDescent="0.35">
      <c r="A74" s="250"/>
      <c r="B74" s="237"/>
      <c r="C74" s="2">
        <v>59033.5</v>
      </c>
      <c r="D74" s="2">
        <v>58626.8</v>
      </c>
      <c r="E74" s="2">
        <f t="shared" si="9"/>
        <v>16267.999999999884</v>
      </c>
      <c r="F74" s="287"/>
      <c r="G74" s="206"/>
      <c r="H74" s="253"/>
    </row>
    <row r="75" spans="1:8" ht="15" customHeight="1" thickBot="1" x14ac:dyDescent="0.4">
      <c r="A75" s="250"/>
      <c r="B75" s="237"/>
      <c r="C75" s="2">
        <v>59775</v>
      </c>
      <c r="D75" s="2">
        <v>59378.7</v>
      </c>
      <c r="E75" s="2">
        <f t="shared" si="9"/>
        <v>15852.000000000116</v>
      </c>
      <c r="F75" s="287"/>
      <c r="G75" s="206"/>
      <c r="H75" s="201"/>
    </row>
    <row r="76" spans="1:8" ht="15" customHeight="1" x14ac:dyDescent="0.35">
      <c r="A76" s="250"/>
      <c r="B76" s="237" t="s">
        <v>10</v>
      </c>
      <c r="C76" s="2">
        <v>59374.2</v>
      </c>
      <c r="D76" s="2">
        <v>58931.1</v>
      </c>
      <c r="E76" s="2">
        <f t="shared" si="9"/>
        <v>17723.999999999942</v>
      </c>
      <c r="F76" s="287">
        <f>SUM((E76:E78))/3</f>
        <v>16723.999999999942</v>
      </c>
      <c r="G76" s="206"/>
      <c r="H76" s="200" t="s">
        <v>28</v>
      </c>
    </row>
    <row r="77" spans="1:8" ht="15" customHeight="1" x14ac:dyDescent="0.35">
      <c r="A77" s="250"/>
      <c r="B77" s="237"/>
      <c r="C77" s="2">
        <v>59180.7</v>
      </c>
      <c r="D77" s="2">
        <v>58799.6</v>
      </c>
      <c r="E77" s="2">
        <f t="shared" si="9"/>
        <v>15243.999999999942</v>
      </c>
      <c r="F77" s="287"/>
      <c r="G77" s="206"/>
      <c r="H77" s="253"/>
    </row>
    <row r="78" spans="1:8" ht="15" thickBot="1" x14ac:dyDescent="0.4">
      <c r="A78" s="264"/>
      <c r="B78" s="247"/>
      <c r="C78" s="18">
        <v>63891.1</v>
      </c>
      <c r="D78" s="18">
        <v>63461</v>
      </c>
      <c r="E78" s="18">
        <f t="shared" si="9"/>
        <v>17203.999999999942</v>
      </c>
      <c r="F78" s="293"/>
      <c r="G78" s="207"/>
      <c r="H78" s="201"/>
    </row>
    <row r="79" spans="1:8" x14ac:dyDescent="0.35">
      <c r="A79" s="15"/>
      <c r="B79" s="11"/>
      <c r="C79" s="11"/>
      <c r="D79" s="11"/>
      <c r="E79" s="11"/>
      <c r="F79" s="16"/>
      <c r="G79" s="10"/>
      <c r="H79" s="11"/>
    </row>
    <row r="80" spans="1:8" x14ac:dyDescent="0.35">
      <c r="A80" s="15"/>
      <c r="B80" s="11"/>
      <c r="C80" s="11"/>
      <c r="D80" s="11"/>
      <c r="E80" s="11"/>
      <c r="F80" s="16"/>
      <c r="G80" s="10"/>
      <c r="H80" s="11"/>
    </row>
    <row r="81" spans="1:7" ht="18.5" x14ac:dyDescent="0.45">
      <c r="A81" s="5" t="s">
        <v>30</v>
      </c>
    </row>
    <row r="82" spans="1:7" ht="16" x14ac:dyDescent="0.4">
      <c r="A82" s="13"/>
      <c r="B82" s="254" t="s">
        <v>39</v>
      </c>
      <c r="C82" s="254"/>
      <c r="D82" s="254"/>
      <c r="E82" s="254"/>
      <c r="F82" s="254"/>
    </row>
    <row r="83" spans="1:7" ht="16" x14ac:dyDescent="0.35">
      <c r="B83" s="255" t="s">
        <v>40</v>
      </c>
      <c r="C83" s="255"/>
      <c r="D83" s="255"/>
      <c r="E83" s="255"/>
      <c r="F83" s="255"/>
      <c r="G83" s="255"/>
    </row>
    <row r="84" spans="1:7" ht="16" x14ac:dyDescent="0.4">
      <c r="A84" s="13"/>
      <c r="B84" s="254" t="s">
        <v>41</v>
      </c>
      <c r="C84" s="254"/>
      <c r="D84" s="254"/>
      <c r="E84" s="254"/>
      <c r="F84" s="254"/>
      <c r="G84" s="254"/>
    </row>
  </sheetData>
  <mergeCells count="111">
    <mergeCell ref="A67:A78"/>
    <mergeCell ref="B67:B69"/>
    <mergeCell ref="F67:F69"/>
    <mergeCell ref="G67:G78"/>
    <mergeCell ref="H67:H69"/>
    <mergeCell ref="B70:B72"/>
    <mergeCell ref="F70:F72"/>
    <mergeCell ref="H70:H72"/>
    <mergeCell ref="B73:B75"/>
    <mergeCell ref="F73:F75"/>
    <mergeCell ref="H73:H75"/>
    <mergeCell ref="B76:B78"/>
    <mergeCell ref="F76:F78"/>
    <mergeCell ref="H76:H78"/>
    <mergeCell ref="A43:A54"/>
    <mergeCell ref="B43:B45"/>
    <mergeCell ref="F43:F45"/>
    <mergeCell ref="G43:G54"/>
    <mergeCell ref="H43:H45"/>
    <mergeCell ref="B46:B48"/>
    <mergeCell ref="F46:F48"/>
    <mergeCell ref="H46:H48"/>
    <mergeCell ref="B49:B51"/>
    <mergeCell ref="F49:F51"/>
    <mergeCell ref="H49:H51"/>
    <mergeCell ref="B52:B54"/>
    <mergeCell ref="F52:F54"/>
    <mergeCell ref="H52:H54"/>
    <mergeCell ref="B22:B24"/>
    <mergeCell ref="F22:F24"/>
    <mergeCell ref="H22:H24"/>
    <mergeCell ref="B25:B27"/>
    <mergeCell ref="F25:F27"/>
    <mergeCell ref="H25:H27"/>
    <mergeCell ref="B28:B30"/>
    <mergeCell ref="F28:F30"/>
    <mergeCell ref="H28:H30"/>
    <mergeCell ref="A7:A18"/>
    <mergeCell ref="K7:K15"/>
    <mergeCell ref="L7:L9"/>
    <mergeCell ref="B83:G83"/>
    <mergeCell ref="B84:G84"/>
    <mergeCell ref="G7:G18"/>
    <mergeCell ref="H7:H9"/>
    <mergeCell ref="H10:H12"/>
    <mergeCell ref="H13:H15"/>
    <mergeCell ref="H16:H18"/>
    <mergeCell ref="F16:F18"/>
    <mergeCell ref="F7:F9"/>
    <mergeCell ref="F10:F12"/>
    <mergeCell ref="F13:F15"/>
    <mergeCell ref="B7:B9"/>
    <mergeCell ref="B10:B12"/>
    <mergeCell ref="B13:B15"/>
    <mergeCell ref="B16:B18"/>
    <mergeCell ref="B82:F82"/>
    <mergeCell ref="A19:A30"/>
    <mergeCell ref="B19:B21"/>
    <mergeCell ref="F19:F21"/>
    <mergeCell ref="G19:G30"/>
    <mergeCell ref="H19:H21"/>
    <mergeCell ref="A31:A42"/>
    <mergeCell ref="B31:B33"/>
    <mergeCell ref="F31:F33"/>
    <mergeCell ref="G31:G42"/>
    <mergeCell ref="H31:H33"/>
    <mergeCell ref="B34:B36"/>
    <mergeCell ref="F34:F36"/>
    <mergeCell ref="H34:H36"/>
    <mergeCell ref="B37:B39"/>
    <mergeCell ref="F37:F39"/>
    <mergeCell ref="H37:H39"/>
    <mergeCell ref="B40:B42"/>
    <mergeCell ref="F40:F42"/>
    <mergeCell ref="H40:H42"/>
    <mergeCell ref="P7:P9"/>
    <mergeCell ref="R7:R9"/>
    <mergeCell ref="L10:L12"/>
    <mergeCell ref="P10:P12"/>
    <mergeCell ref="R10:R12"/>
    <mergeCell ref="L19:L21"/>
    <mergeCell ref="L22:L24"/>
    <mergeCell ref="L25:L27"/>
    <mergeCell ref="K16:K27"/>
    <mergeCell ref="R19:R21"/>
    <mergeCell ref="R22:R24"/>
    <mergeCell ref="R25:R27"/>
    <mergeCell ref="P16:P18"/>
    <mergeCell ref="P19:P21"/>
    <mergeCell ref="P22:P24"/>
    <mergeCell ref="P25:P27"/>
    <mergeCell ref="Q7:Q27"/>
    <mergeCell ref="L13:L15"/>
    <mergeCell ref="P13:P15"/>
    <mergeCell ref="R13:R15"/>
    <mergeCell ref="R16:R18"/>
    <mergeCell ref="L16:L18"/>
    <mergeCell ref="A55:A66"/>
    <mergeCell ref="B55:B57"/>
    <mergeCell ref="F55:F57"/>
    <mergeCell ref="G55:G66"/>
    <mergeCell ref="H55:H57"/>
    <mergeCell ref="B58:B60"/>
    <mergeCell ref="F58:F60"/>
    <mergeCell ref="H58:H60"/>
    <mergeCell ref="B61:B63"/>
    <mergeCell ref="F61:F63"/>
    <mergeCell ref="H61:H63"/>
    <mergeCell ref="B64:B66"/>
    <mergeCell ref="F64:F66"/>
    <mergeCell ref="H64:H6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2901-7538-42AA-93B0-E78E274DF5C0}">
  <dimension ref="A2:Z42"/>
  <sheetViews>
    <sheetView topLeftCell="A8" zoomScale="110" zoomScaleNormal="110" workbookViewId="0">
      <selection activeCell="A25" sqref="A25:H27"/>
    </sheetView>
  </sheetViews>
  <sheetFormatPr defaultRowHeight="14.5" x14ac:dyDescent="0.35"/>
  <cols>
    <col min="1" max="1" width="12.453125" customWidth="1"/>
    <col min="3" max="3" width="15.7265625" customWidth="1"/>
    <col min="4" max="4" width="17.81640625" customWidth="1"/>
    <col min="5" max="5" width="25.90625" customWidth="1"/>
    <col min="6" max="6" width="19.7265625" customWidth="1"/>
    <col min="7" max="7" width="15.7265625" customWidth="1"/>
    <col min="8" max="8" width="13.54296875" customWidth="1"/>
    <col min="9" max="9" width="18.453125" customWidth="1"/>
    <col min="10" max="10" width="14.6328125" customWidth="1"/>
    <col min="15" max="15" width="9.453125" bestFit="1" customWidth="1"/>
    <col min="16" max="16" width="10.81640625" customWidth="1"/>
    <col min="17" max="17" width="14.36328125" customWidth="1"/>
    <col min="18" max="18" width="17.453125" customWidth="1"/>
    <col min="19" max="19" width="22.81640625" customWidth="1"/>
    <col min="20" max="20" width="16.453125" customWidth="1"/>
    <col min="21" max="21" width="18.08984375" customWidth="1"/>
    <col min="22" max="22" width="12.81640625" customWidth="1"/>
    <col min="23" max="23" width="14.54296875" customWidth="1"/>
    <col min="24" max="24" width="14.453125" customWidth="1"/>
  </cols>
  <sheetData>
    <row r="2" spans="1:26" ht="29" x14ac:dyDescent="0.7">
      <c r="A2" s="88" t="s">
        <v>92</v>
      </c>
      <c r="O2" s="88" t="s">
        <v>93</v>
      </c>
    </row>
    <row r="3" spans="1:26" ht="18.5" x14ac:dyDescent="0.45">
      <c r="A3" s="5" t="s">
        <v>42</v>
      </c>
      <c r="O3" s="5" t="s">
        <v>42</v>
      </c>
    </row>
    <row r="5" spans="1:26" ht="15" thickBot="1" x14ac:dyDescent="0.4"/>
    <row r="6" spans="1:26" ht="15" thickBot="1" x14ac:dyDescent="0.4">
      <c r="A6" s="20" t="s">
        <v>0</v>
      </c>
      <c r="B6" s="22" t="s">
        <v>1</v>
      </c>
      <c r="C6" s="22" t="s">
        <v>43</v>
      </c>
      <c r="D6" s="22" t="s">
        <v>44</v>
      </c>
      <c r="E6" s="22" t="s">
        <v>45</v>
      </c>
      <c r="F6" s="22" t="s">
        <v>46</v>
      </c>
      <c r="G6" s="21" t="s">
        <v>47</v>
      </c>
      <c r="H6" s="22" t="s">
        <v>48</v>
      </c>
      <c r="I6" s="23" t="s">
        <v>25</v>
      </c>
      <c r="J6" s="24" t="s">
        <v>26</v>
      </c>
      <c r="O6" s="20" t="s">
        <v>0</v>
      </c>
      <c r="P6" s="22" t="s">
        <v>1</v>
      </c>
      <c r="Q6" s="22" t="s">
        <v>43</v>
      </c>
      <c r="R6" s="22" t="s">
        <v>44</v>
      </c>
      <c r="S6" s="22" t="s">
        <v>45</v>
      </c>
      <c r="T6" s="22" t="s">
        <v>46</v>
      </c>
      <c r="U6" s="21" t="s">
        <v>47</v>
      </c>
      <c r="V6" s="22" t="s">
        <v>48</v>
      </c>
      <c r="W6" s="23" t="s">
        <v>25</v>
      </c>
      <c r="X6" s="24" t="s">
        <v>26</v>
      </c>
      <c r="Y6" s="10"/>
      <c r="Z6" s="10"/>
    </row>
    <row r="7" spans="1:26" x14ac:dyDescent="0.35">
      <c r="A7" s="227">
        <v>45904</v>
      </c>
      <c r="B7" s="32" t="s">
        <v>2</v>
      </c>
      <c r="C7" s="17">
        <v>47.686199999999999</v>
      </c>
      <c r="D7" s="17">
        <v>25.092600000000001</v>
      </c>
      <c r="E7" s="17">
        <f>C7+D7</f>
        <v>72.778800000000004</v>
      </c>
      <c r="F7" s="17">
        <v>49.036000000000001</v>
      </c>
      <c r="G7" s="17">
        <f>((F7-C7)/(E7-C7)) *100</f>
        <v>5.3792751647896253</v>
      </c>
      <c r="H7" s="318">
        <f>SUM((G7:G9))/3</f>
        <v>5.425609983133417</v>
      </c>
      <c r="I7" s="205" t="s">
        <v>49</v>
      </c>
      <c r="J7" s="321" t="s">
        <v>28</v>
      </c>
      <c r="O7" s="227">
        <v>45945</v>
      </c>
      <c r="P7" s="32" t="s">
        <v>2</v>
      </c>
      <c r="Q7" s="17">
        <v>47.883600000000001</v>
      </c>
      <c r="R7" s="17">
        <v>25.0059</v>
      </c>
      <c r="S7" s="17">
        <f>Q7+R7</f>
        <v>72.889499999999998</v>
      </c>
      <c r="T7" s="17">
        <v>48.848199999999999</v>
      </c>
      <c r="U7" s="17">
        <f>((T7-Q7)/(S7-Q7)) *100</f>
        <v>3.857489632446732</v>
      </c>
      <c r="V7" s="318">
        <f>SUM((U7:U9))/3</f>
        <v>4.0877584673716036</v>
      </c>
      <c r="W7" s="205" t="s">
        <v>49</v>
      </c>
      <c r="X7" s="291" t="s">
        <v>28</v>
      </c>
      <c r="Y7" s="11"/>
      <c r="Z7" s="11"/>
    </row>
    <row r="8" spans="1:26" x14ac:dyDescent="0.35">
      <c r="A8" s="316"/>
      <c r="B8" s="1" t="s">
        <v>3</v>
      </c>
      <c r="C8" s="2">
        <v>47.084800000000001</v>
      </c>
      <c r="D8" s="2">
        <v>25.044599999999999</v>
      </c>
      <c r="E8" s="2">
        <f t="shared" ref="E8:E21" si="0">C8+D8</f>
        <v>72.129400000000004</v>
      </c>
      <c r="F8" s="2">
        <v>48.430100000000003</v>
      </c>
      <c r="G8" s="2">
        <f t="shared" ref="G8:G9" si="1">((F8-C8)/(E8-C8)) *100</f>
        <v>5.3716170352091934</v>
      </c>
      <c r="H8" s="319"/>
      <c r="I8" s="206"/>
      <c r="J8" s="322"/>
      <c r="O8" s="316"/>
      <c r="P8" s="1" t="s">
        <v>3</v>
      </c>
      <c r="Q8" s="2">
        <v>47.064399999999999</v>
      </c>
      <c r="R8" s="2">
        <v>25.0642</v>
      </c>
      <c r="S8" s="2">
        <f t="shared" ref="S8:S9" si="2">Q8+R8</f>
        <v>72.128600000000006</v>
      </c>
      <c r="T8" s="2">
        <v>48.15</v>
      </c>
      <c r="U8" s="2">
        <f t="shared" ref="U8:U12" si="3">((T8-Q8)/(S8-Q8)) *100</f>
        <v>4.3312772799450974</v>
      </c>
      <c r="V8" s="319"/>
      <c r="W8" s="206"/>
      <c r="X8" s="253"/>
      <c r="Y8" s="11"/>
      <c r="Z8" s="11"/>
    </row>
    <row r="9" spans="1:26" ht="15" thickBot="1" x14ac:dyDescent="0.4">
      <c r="A9" s="317"/>
      <c r="B9" s="34" t="s">
        <v>4</v>
      </c>
      <c r="C9" s="18">
        <v>47.902200000000001</v>
      </c>
      <c r="D9" s="18">
        <v>25.06</v>
      </c>
      <c r="E9" s="18">
        <f t="shared" si="0"/>
        <v>72.962199999999996</v>
      </c>
      <c r="F9" s="18">
        <v>49.286999999999999</v>
      </c>
      <c r="G9" s="18">
        <f t="shared" si="1"/>
        <v>5.5259377494014315</v>
      </c>
      <c r="H9" s="320"/>
      <c r="I9" s="206"/>
      <c r="J9" s="323"/>
      <c r="O9" s="317"/>
      <c r="P9" s="34" t="s">
        <v>4</v>
      </c>
      <c r="Q9" s="18">
        <v>47.655999999999999</v>
      </c>
      <c r="R9" s="18">
        <v>25.0656</v>
      </c>
      <c r="S9" s="18">
        <f t="shared" si="2"/>
        <v>72.721599999999995</v>
      </c>
      <c r="T9" s="18">
        <v>48.677300000000002</v>
      </c>
      <c r="U9" s="18">
        <f t="shared" si="3"/>
        <v>4.074508489722982</v>
      </c>
      <c r="V9" s="320"/>
      <c r="W9" s="206"/>
      <c r="X9" s="201"/>
      <c r="Y9" s="11"/>
      <c r="Z9" s="11"/>
    </row>
    <row r="10" spans="1:26" ht="15" thickBot="1" x14ac:dyDescent="0.4">
      <c r="A10" s="227">
        <v>45918</v>
      </c>
      <c r="B10" s="32" t="s">
        <v>2</v>
      </c>
      <c r="C10" s="17">
        <v>47.0458</v>
      </c>
      <c r="D10" s="17">
        <v>25.0242</v>
      </c>
      <c r="E10" s="17">
        <f t="shared" si="0"/>
        <v>72.069999999999993</v>
      </c>
      <c r="F10" s="17">
        <v>48.468499999999999</v>
      </c>
      <c r="G10" s="17">
        <f>((F10-C10)/(E10-C10)) *100</f>
        <v>5.685296632859389</v>
      </c>
      <c r="H10" s="318">
        <f>SUM((G10:G12))/3</f>
        <v>5.5014895624048359</v>
      </c>
      <c r="I10" s="206"/>
      <c r="J10" s="321" t="s">
        <v>28</v>
      </c>
      <c r="O10" s="227">
        <v>45952</v>
      </c>
      <c r="P10" s="32" t="s">
        <v>2</v>
      </c>
      <c r="Q10" s="17">
        <v>47.065399999999997</v>
      </c>
      <c r="R10" s="17">
        <v>25.059200000000001</v>
      </c>
      <c r="S10" s="17">
        <f>Q10+R10</f>
        <v>72.124600000000001</v>
      </c>
      <c r="T10" s="17">
        <v>48.389099999999999</v>
      </c>
      <c r="U10" s="18">
        <f t="shared" si="3"/>
        <v>5.2822915336483289</v>
      </c>
      <c r="V10" s="318">
        <f>SUM((U10:U12))/3</f>
        <v>5.5272157989748161</v>
      </c>
      <c r="W10" s="206"/>
      <c r="X10" s="291" t="s">
        <v>28</v>
      </c>
      <c r="Y10" s="11"/>
      <c r="Z10" s="11"/>
    </row>
    <row r="11" spans="1:26" ht="15" thickBot="1" x14ac:dyDescent="0.4">
      <c r="A11" s="316"/>
      <c r="B11" s="1" t="s">
        <v>3</v>
      </c>
      <c r="C11" s="2">
        <v>47.861899999999999</v>
      </c>
      <c r="D11" s="2">
        <v>25.047899999999998</v>
      </c>
      <c r="E11" s="2">
        <f t="shared" si="0"/>
        <v>72.90979999999999</v>
      </c>
      <c r="F11" s="2">
        <v>49.2149</v>
      </c>
      <c r="G11" s="2">
        <f t="shared" ref="G11:G12" si="4">((F11-C11)/(E11-C11)) *100</f>
        <v>5.4016504377612575</v>
      </c>
      <c r="H11" s="319"/>
      <c r="I11" s="206"/>
      <c r="J11" s="322"/>
      <c r="O11" s="316"/>
      <c r="P11" s="1" t="s">
        <v>3</v>
      </c>
      <c r="Q11" s="2">
        <v>47.886099999999999</v>
      </c>
      <c r="R11" s="2">
        <v>25.0153</v>
      </c>
      <c r="S11" s="2">
        <f t="shared" ref="S11:S12" si="5">Q11+R11</f>
        <v>72.901399999999995</v>
      </c>
      <c r="T11" s="2">
        <v>49.305700000000002</v>
      </c>
      <c r="U11" s="18">
        <f t="shared" si="3"/>
        <v>5.6749269447098492</v>
      </c>
      <c r="V11" s="319"/>
      <c r="W11" s="206"/>
      <c r="X11" s="253"/>
      <c r="Y11" s="11"/>
      <c r="Z11" s="11"/>
    </row>
    <row r="12" spans="1:26" ht="15" thickBot="1" x14ac:dyDescent="0.4">
      <c r="A12" s="317"/>
      <c r="B12" s="34" t="s">
        <v>4</v>
      </c>
      <c r="C12" s="18">
        <v>47.637300000000003</v>
      </c>
      <c r="D12" s="18">
        <v>25.0502</v>
      </c>
      <c r="E12" s="18">
        <f t="shared" si="0"/>
        <v>72.6875</v>
      </c>
      <c r="F12" s="18">
        <v>48.994399999999999</v>
      </c>
      <c r="G12" s="18">
        <f t="shared" si="4"/>
        <v>5.417521616593862</v>
      </c>
      <c r="H12" s="320"/>
      <c r="I12" s="206"/>
      <c r="J12" s="323"/>
      <c r="O12" s="317"/>
      <c r="P12" s="34" t="s">
        <v>4</v>
      </c>
      <c r="Q12" s="18">
        <v>47.657600000000002</v>
      </c>
      <c r="R12" s="18">
        <v>25.062100000000001</v>
      </c>
      <c r="S12" s="18">
        <f t="shared" si="5"/>
        <v>72.719700000000003</v>
      </c>
      <c r="T12" s="18">
        <v>49.0672</v>
      </c>
      <c r="U12" s="18">
        <f t="shared" si="3"/>
        <v>5.624428918566271</v>
      </c>
      <c r="V12" s="320"/>
      <c r="W12" s="207"/>
      <c r="X12" s="201"/>
      <c r="Y12" s="11"/>
      <c r="Z12" s="11"/>
    </row>
    <row r="13" spans="1:26" x14ac:dyDescent="0.35">
      <c r="A13" s="227">
        <v>45925</v>
      </c>
      <c r="B13" s="32" t="s">
        <v>2</v>
      </c>
      <c r="C13" s="17">
        <v>47.8611</v>
      </c>
      <c r="D13" s="17">
        <v>25.063300000000002</v>
      </c>
      <c r="E13" s="17">
        <f t="shared" si="0"/>
        <v>72.924400000000006</v>
      </c>
      <c r="F13" s="17">
        <v>49.269399999999997</v>
      </c>
      <c r="G13" s="17">
        <f>((F13-C13)/(E13-C13)) *100</f>
        <v>5.6189727609692124</v>
      </c>
      <c r="H13" s="318">
        <f>SUM((G13:G15))/3</f>
        <v>5.6893324851515246</v>
      </c>
      <c r="I13" s="206"/>
      <c r="J13" s="321" t="s">
        <v>28</v>
      </c>
      <c r="O13" s="314"/>
      <c r="Q13" s="11"/>
      <c r="R13" s="11"/>
      <c r="S13" s="11"/>
      <c r="T13" s="11"/>
      <c r="U13" s="11"/>
      <c r="V13" s="315"/>
      <c r="W13" s="60"/>
      <c r="X13" s="231"/>
      <c r="Y13" s="11"/>
      <c r="Z13" s="11"/>
    </row>
    <row r="14" spans="1:26" x14ac:dyDescent="0.35">
      <c r="A14" s="316"/>
      <c r="B14" s="1" t="s">
        <v>3</v>
      </c>
      <c r="C14" s="2">
        <v>47.632100000000001</v>
      </c>
      <c r="D14" s="2">
        <v>25.0413</v>
      </c>
      <c r="E14" s="2">
        <f t="shared" si="0"/>
        <v>72.673400000000001</v>
      </c>
      <c r="F14" s="2">
        <v>49.112200000000001</v>
      </c>
      <c r="G14" s="2">
        <f t="shared" ref="G14:G15" si="6">((F14-C14)/(E14-C14)) *100</f>
        <v>5.9106356299393408</v>
      </c>
      <c r="H14" s="319"/>
      <c r="I14" s="206"/>
      <c r="J14" s="322"/>
      <c r="O14" s="231"/>
      <c r="Q14" s="11"/>
      <c r="R14" s="11"/>
      <c r="S14" s="11"/>
      <c r="T14" s="11"/>
      <c r="U14" s="11"/>
      <c r="V14" s="315"/>
      <c r="W14" s="60"/>
      <c r="X14" s="231"/>
      <c r="Y14" s="11"/>
      <c r="Z14" s="11"/>
    </row>
    <row r="15" spans="1:26" ht="15" thickBot="1" x14ac:dyDescent="0.4">
      <c r="A15" s="317"/>
      <c r="B15" s="34" t="s">
        <v>4</v>
      </c>
      <c r="C15" s="18">
        <v>47.0411</v>
      </c>
      <c r="D15" s="18">
        <v>25.0488</v>
      </c>
      <c r="E15" s="18">
        <f t="shared" si="0"/>
        <v>72.0899</v>
      </c>
      <c r="F15" s="18">
        <v>48.428400000000003</v>
      </c>
      <c r="G15" s="18">
        <f t="shared" si="6"/>
        <v>5.5383890645460196</v>
      </c>
      <c r="H15" s="320"/>
      <c r="I15" s="206"/>
      <c r="J15" s="323"/>
      <c r="O15" s="231"/>
      <c r="Q15" s="11"/>
      <c r="R15" s="11"/>
      <c r="S15" s="11"/>
      <c r="T15" s="11"/>
      <c r="U15" s="11"/>
      <c r="V15" s="315"/>
      <c r="W15" s="60"/>
      <c r="X15" s="231"/>
      <c r="Y15" s="11"/>
      <c r="Z15" s="11"/>
    </row>
    <row r="16" spans="1:26" x14ac:dyDescent="0.35">
      <c r="A16" s="227">
        <v>45932</v>
      </c>
      <c r="B16" s="32" t="s">
        <v>2</v>
      </c>
      <c r="C16" s="17">
        <v>47.631900000000002</v>
      </c>
      <c r="D16" s="17">
        <v>25.0198</v>
      </c>
      <c r="E16" s="17">
        <f t="shared" si="0"/>
        <v>72.651700000000005</v>
      </c>
      <c r="F16" s="17">
        <v>49.143799999999999</v>
      </c>
      <c r="G16" s="17">
        <f>((F16-C16)/(E16-C16)) *100</f>
        <v>6.0428140912397259</v>
      </c>
      <c r="H16" s="318">
        <f>SUM((G16:G18))/3</f>
        <v>6.1774436486057498</v>
      </c>
      <c r="I16" s="206"/>
      <c r="J16" s="321" t="s">
        <v>28</v>
      </c>
      <c r="O16" s="314"/>
      <c r="Q16" s="11"/>
      <c r="R16" s="11"/>
      <c r="S16" s="11"/>
      <c r="T16" s="11"/>
      <c r="U16" s="11"/>
      <c r="V16" s="315"/>
      <c r="W16" s="60"/>
      <c r="X16" s="231"/>
      <c r="Y16" s="11"/>
      <c r="Z16" s="11"/>
    </row>
    <row r="17" spans="1:26" x14ac:dyDescent="0.35">
      <c r="A17" s="316"/>
      <c r="B17" s="1" t="s">
        <v>3</v>
      </c>
      <c r="C17" s="2">
        <v>47.860399999999998</v>
      </c>
      <c r="D17" s="2">
        <v>25.0243</v>
      </c>
      <c r="E17" s="2">
        <f t="shared" si="0"/>
        <v>72.884699999999995</v>
      </c>
      <c r="F17" s="2">
        <v>49.369900000000001</v>
      </c>
      <c r="G17" s="2">
        <f t="shared" ref="G17:G18" si="7">((F17-C17)/(E17-C17)) *100</f>
        <v>6.032136763066311</v>
      </c>
      <c r="H17" s="319"/>
      <c r="I17" s="206"/>
      <c r="J17" s="322"/>
      <c r="O17" s="231"/>
      <c r="Q17" s="11"/>
      <c r="R17" s="11"/>
      <c r="S17" s="11"/>
      <c r="T17" s="11"/>
      <c r="U17" s="11"/>
      <c r="V17" s="315"/>
      <c r="W17" s="60"/>
      <c r="X17" s="231"/>
      <c r="Y17" s="11"/>
      <c r="Z17" s="11"/>
    </row>
    <row r="18" spans="1:26" ht="15" thickBot="1" x14ac:dyDescent="0.4">
      <c r="A18" s="317"/>
      <c r="B18" s="34" t="s">
        <v>4</v>
      </c>
      <c r="C18" s="18">
        <v>47.040399999999998</v>
      </c>
      <c r="D18" s="18">
        <v>25.002400000000002</v>
      </c>
      <c r="E18" s="18">
        <f t="shared" si="0"/>
        <v>72.0428</v>
      </c>
      <c r="F18" s="18">
        <v>48.654899999999998</v>
      </c>
      <c r="G18" s="18">
        <f t="shared" si="7"/>
        <v>6.4573800915112125</v>
      </c>
      <c r="H18" s="320"/>
      <c r="I18" s="206"/>
      <c r="J18" s="323"/>
      <c r="O18" s="231"/>
      <c r="Q18" s="11"/>
      <c r="R18" s="11"/>
      <c r="S18" s="11"/>
      <c r="T18" s="11"/>
      <c r="U18" s="11"/>
      <c r="V18" s="315"/>
      <c r="W18" s="60"/>
      <c r="X18" s="231"/>
      <c r="Y18" s="11"/>
      <c r="Z18" s="11"/>
    </row>
    <row r="19" spans="1:26" x14ac:dyDescent="0.35">
      <c r="A19" s="227">
        <v>45939</v>
      </c>
      <c r="B19" s="32" t="s">
        <v>2</v>
      </c>
      <c r="C19" s="17">
        <v>47.062199999999997</v>
      </c>
      <c r="D19" s="17">
        <v>25.076899999999998</v>
      </c>
      <c r="E19" s="17">
        <f t="shared" si="0"/>
        <v>72.139099999999999</v>
      </c>
      <c r="F19" s="17">
        <v>48.918900000000001</v>
      </c>
      <c r="G19" s="17">
        <f>((F19-C19)/(E19-C19)) *100</f>
        <v>7.4040252184281288</v>
      </c>
      <c r="H19" s="318">
        <f>SUM((G19:G21))/3</f>
        <v>7.3727097284971839</v>
      </c>
      <c r="I19" s="206"/>
      <c r="J19" s="321" t="s">
        <v>28</v>
      </c>
      <c r="O19" s="314"/>
      <c r="Q19" s="11"/>
      <c r="R19" s="11"/>
      <c r="S19" s="11"/>
      <c r="T19" s="11"/>
      <c r="U19" s="11"/>
      <c r="V19" s="315"/>
      <c r="W19" s="60"/>
      <c r="X19" s="231"/>
      <c r="Y19" s="11"/>
      <c r="Z19" s="11"/>
    </row>
    <row r="20" spans="1:26" x14ac:dyDescent="0.35">
      <c r="A20" s="316"/>
      <c r="B20" s="1" t="s">
        <v>3</v>
      </c>
      <c r="C20" s="2">
        <v>47.883699999999997</v>
      </c>
      <c r="D20" s="2">
        <v>25.0426</v>
      </c>
      <c r="E20" s="2">
        <f t="shared" si="0"/>
        <v>72.926299999999998</v>
      </c>
      <c r="F20" s="2">
        <v>49.705300000000001</v>
      </c>
      <c r="G20" s="2">
        <f t="shared" ref="G20:G21" si="8">((F20-C20)/(E20-C20)) *100</f>
        <v>7.2740050953175928</v>
      </c>
      <c r="H20" s="319"/>
      <c r="I20" s="206"/>
      <c r="J20" s="322"/>
      <c r="O20" s="231"/>
      <c r="Q20" s="11"/>
      <c r="R20" s="11"/>
      <c r="S20" s="11"/>
      <c r="T20" s="11"/>
      <c r="U20" s="11"/>
      <c r="V20" s="315"/>
      <c r="W20" s="60"/>
      <c r="X20" s="231"/>
      <c r="Y20" s="11"/>
      <c r="Z20" s="11"/>
    </row>
    <row r="21" spans="1:26" ht="15" thickBot="1" x14ac:dyDescent="0.4">
      <c r="A21" s="317"/>
      <c r="B21" s="34" t="s">
        <v>4</v>
      </c>
      <c r="C21" s="18">
        <v>47.655299999999997</v>
      </c>
      <c r="D21" s="18">
        <v>25.082999999999998</v>
      </c>
      <c r="E21" s="18">
        <f t="shared" si="0"/>
        <v>72.738299999999995</v>
      </c>
      <c r="F21" s="18">
        <v>49.521500000000003</v>
      </c>
      <c r="G21" s="18">
        <f t="shared" si="8"/>
        <v>7.4400988717458292</v>
      </c>
      <c r="H21" s="320"/>
      <c r="I21" s="206"/>
      <c r="J21" s="323"/>
      <c r="O21" s="231"/>
      <c r="Q21" s="11"/>
      <c r="R21" s="11"/>
      <c r="S21" s="11"/>
      <c r="T21" s="11"/>
      <c r="U21" s="11"/>
      <c r="V21" s="315"/>
      <c r="W21" s="60"/>
      <c r="X21" s="231"/>
      <c r="Y21" s="11"/>
      <c r="Z21" s="11"/>
    </row>
    <row r="22" spans="1:26" x14ac:dyDescent="0.35">
      <c r="A22" s="227">
        <v>45957</v>
      </c>
      <c r="B22" s="32" t="s">
        <v>2</v>
      </c>
      <c r="C22" s="17">
        <v>54083.9</v>
      </c>
      <c r="D22" s="17">
        <v>25046.6</v>
      </c>
      <c r="E22" s="17">
        <f t="shared" ref="E22:E24" si="9">C22+D22</f>
        <v>79130.5</v>
      </c>
      <c r="F22" s="17">
        <v>55493.9</v>
      </c>
      <c r="G22" s="17">
        <f>((F22-C22)/(E22-C22)) *100</f>
        <v>5.6295065996981624</v>
      </c>
      <c r="H22" s="318">
        <f>SUM((G22:G24))/3</f>
        <v>5.6906430100412733</v>
      </c>
      <c r="I22" s="206"/>
      <c r="J22" s="321" t="s">
        <v>28</v>
      </c>
    </row>
    <row r="23" spans="1:26" x14ac:dyDescent="0.35">
      <c r="A23" s="316"/>
      <c r="B23" s="1" t="s">
        <v>3</v>
      </c>
      <c r="C23" s="2">
        <v>58674.3</v>
      </c>
      <c r="D23" s="2">
        <v>25038.799999999999</v>
      </c>
      <c r="E23" s="2">
        <f t="shared" si="9"/>
        <v>83713.100000000006</v>
      </c>
      <c r="F23" s="2">
        <v>60111.3</v>
      </c>
      <c r="G23" s="2">
        <f t="shared" ref="G23:G24" si="10">((F23-C23)/(E23-C23)) *100</f>
        <v>5.7390929277760909</v>
      </c>
      <c r="H23" s="319"/>
      <c r="I23" s="206"/>
      <c r="J23" s="322"/>
    </row>
    <row r="24" spans="1:26" ht="15" thickBot="1" x14ac:dyDescent="0.4">
      <c r="A24" s="317"/>
      <c r="B24" s="34" t="s">
        <v>4</v>
      </c>
      <c r="C24" s="18">
        <v>63315</v>
      </c>
      <c r="D24" s="18">
        <v>25060.799999999999</v>
      </c>
      <c r="E24" s="18">
        <f t="shared" si="9"/>
        <v>88375.8</v>
      </c>
      <c r="F24" s="18">
        <v>64744.3</v>
      </c>
      <c r="G24" s="18">
        <f t="shared" si="10"/>
        <v>5.7033295026495674</v>
      </c>
      <c r="H24" s="320"/>
      <c r="I24" s="206"/>
      <c r="J24" s="323"/>
    </row>
    <row r="25" spans="1:26" x14ac:dyDescent="0.35">
      <c r="A25" s="227">
        <v>45964</v>
      </c>
      <c r="B25" s="32" t="s">
        <v>2</v>
      </c>
      <c r="C25" s="17">
        <v>47.063800000000001</v>
      </c>
      <c r="D25" s="17">
        <v>25.0624</v>
      </c>
      <c r="E25" s="17">
        <f t="shared" ref="E25:E27" si="11">C25+D25</f>
        <v>72.126199999999997</v>
      </c>
      <c r="F25" s="17">
        <v>48.196100000000001</v>
      </c>
      <c r="G25" s="17">
        <f>((F25-C25)/(E25-C25)) *100</f>
        <v>4.5179232635342226</v>
      </c>
      <c r="H25" s="318">
        <f>SUM((G25:G27))/3</f>
        <v>4.844531028648233</v>
      </c>
      <c r="I25" s="206"/>
      <c r="J25" s="321" t="s">
        <v>28</v>
      </c>
    </row>
    <row r="26" spans="1:26" x14ac:dyDescent="0.35">
      <c r="A26" s="316"/>
      <c r="B26" s="1" t="s">
        <v>3</v>
      </c>
      <c r="C26" s="2">
        <v>47.657699999999998</v>
      </c>
      <c r="D26" s="2">
        <v>25.0212</v>
      </c>
      <c r="E26" s="2">
        <f t="shared" si="11"/>
        <v>72.678899999999999</v>
      </c>
      <c r="F26" s="2">
        <v>48.836799999999997</v>
      </c>
      <c r="G26" s="2">
        <f t="shared" ref="G26:G27" si="12">((F26-C26)/(E26-C26)) *100</f>
        <v>4.7124038815084734</v>
      </c>
      <c r="H26" s="319"/>
      <c r="I26" s="206"/>
      <c r="J26" s="322"/>
    </row>
    <row r="27" spans="1:26" ht="15" thickBot="1" x14ac:dyDescent="0.4">
      <c r="A27" s="317"/>
      <c r="B27" s="34" t="s">
        <v>4</v>
      </c>
      <c r="C27" s="18">
        <v>47.884500000000003</v>
      </c>
      <c r="D27" s="18">
        <v>25.077000000000002</v>
      </c>
      <c r="E27" s="18">
        <f t="shared" si="11"/>
        <v>72.961500000000001</v>
      </c>
      <c r="F27" s="18">
        <v>49.214399999999998</v>
      </c>
      <c r="G27" s="18">
        <f t="shared" si="12"/>
        <v>5.3032659409020022</v>
      </c>
      <c r="H27" s="320"/>
      <c r="I27" s="207"/>
      <c r="J27" s="323"/>
    </row>
    <row r="39" spans="1:6" ht="18.5" x14ac:dyDescent="0.45">
      <c r="A39" s="5" t="s">
        <v>30</v>
      </c>
    </row>
    <row r="40" spans="1:6" ht="16" x14ac:dyDescent="0.4">
      <c r="A40" s="13"/>
      <c r="B40" s="254" t="s">
        <v>50</v>
      </c>
      <c r="C40" s="254"/>
      <c r="D40" s="254"/>
      <c r="E40" s="254"/>
      <c r="F40" s="254"/>
    </row>
    <row r="41" spans="1:6" ht="16" x14ac:dyDescent="0.35">
      <c r="B41" s="255" t="s">
        <v>51</v>
      </c>
      <c r="C41" s="255"/>
      <c r="D41" s="255"/>
      <c r="E41" s="255"/>
      <c r="F41" s="255"/>
    </row>
    <row r="42" spans="1:6" ht="16" x14ac:dyDescent="0.4">
      <c r="A42" s="13"/>
      <c r="B42" s="254" t="s">
        <v>52</v>
      </c>
      <c r="C42" s="254"/>
      <c r="D42" s="254"/>
      <c r="E42" s="254"/>
      <c r="F42" s="254"/>
    </row>
  </sheetData>
  <mergeCells count="41">
    <mergeCell ref="B42:F42"/>
    <mergeCell ref="A7:A9"/>
    <mergeCell ref="H7:H9"/>
    <mergeCell ref="J7:J9"/>
    <mergeCell ref="A10:A12"/>
    <mergeCell ref="H10:H12"/>
    <mergeCell ref="J10:J12"/>
    <mergeCell ref="A13:A15"/>
    <mergeCell ref="H13:H15"/>
    <mergeCell ref="J13:J15"/>
    <mergeCell ref="A16:A18"/>
    <mergeCell ref="H16:H18"/>
    <mergeCell ref="A25:A27"/>
    <mergeCell ref="H25:H27"/>
    <mergeCell ref="I7:I27"/>
    <mergeCell ref="J25:J27"/>
    <mergeCell ref="B41:F41"/>
    <mergeCell ref="A19:A21"/>
    <mergeCell ref="H19:H21"/>
    <mergeCell ref="A22:A24"/>
    <mergeCell ref="H22:H24"/>
    <mergeCell ref="J19:J21"/>
    <mergeCell ref="O16:O18"/>
    <mergeCell ref="V16:V18"/>
    <mergeCell ref="J16:J18"/>
    <mergeCell ref="B40:F40"/>
    <mergeCell ref="J22:J24"/>
    <mergeCell ref="X16:X18"/>
    <mergeCell ref="O19:O21"/>
    <mergeCell ref="V19:V21"/>
    <mergeCell ref="X19:X21"/>
    <mergeCell ref="X7:X9"/>
    <mergeCell ref="O10:O12"/>
    <mergeCell ref="V10:V12"/>
    <mergeCell ref="X10:X12"/>
    <mergeCell ref="O13:O15"/>
    <mergeCell ref="V13:V15"/>
    <mergeCell ref="X13:X15"/>
    <mergeCell ref="W7:W12"/>
    <mergeCell ref="O7:O9"/>
    <mergeCell ref="V7:V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0FEF-42E2-477D-B802-613A9743FD73}">
  <dimension ref="A2:W35"/>
  <sheetViews>
    <sheetView topLeftCell="A4" zoomScale="90" zoomScaleNormal="90" workbookViewId="0">
      <selection activeCell="D25" sqref="D25"/>
    </sheetView>
  </sheetViews>
  <sheetFormatPr defaultRowHeight="14.5" x14ac:dyDescent="0.35"/>
  <cols>
    <col min="1" max="1" width="11.453125" customWidth="1"/>
    <col min="3" max="3" width="15.26953125" customWidth="1"/>
    <col min="4" max="4" width="37.08984375" customWidth="1"/>
    <col min="5" max="5" width="36.1796875" customWidth="1"/>
    <col min="6" max="6" width="20.08984375" customWidth="1"/>
    <col min="7" max="7" width="15.26953125" customWidth="1"/>
    <col min="8" max="8" width="18.90625" customWidth="1"/>
    <col min="9" max="9" width="16.36328125" customWidth="1"/>
    <col min="13" max="13" width="13.26953125" customWidth="1"/>
    <col min="14" max="14" width="11.26953125" customWidth="1"/>
    <col min="15" max="15" width="15.08984375" customWidth="1"/>
    <col min="16" max="16" width="33.08984375" customWidth="1"/>
    <col min="17" max="17" width="34.1796875" customWidth="1"/>
    <col min="18" max="18" width="15.08984375" customWidth="1"/>
    <col min="19" max="19" width="16.7265625" customWidth="1"/>
    <col min="20" max="20" width="14.453125" customWidth="1"/>
    <col min="21" max="21" width="15" customWidth="1"/>
  </cols>
  <sheetData>
    <row r="2" spans="1:23" ht="29" x14ac:dyDescent="0.7">
      <c r="A2" s="88" t="s">
        <v>92</v>
      </c>
      <c r="M2" s="88" t="s">
        <v>93</v>
      </c>
    </row>
    <row r="3" spans="1:23" ht="18.5" x14ac:dyDescent="0.45">
      <c r="A3" s="5" t="s">
        <v>53</v>
      </c>
      <c r="M3" s="5" t="s">
        <v>53</v>
      </c>
    </row>
    <row r="5" spans="1:23" ht="15" thickBot="1" x14ac:dyDescent="0.4"/>
    <row r="6" spans="1:23" ht="15" thickBot="1" x14ac:dyDescent="0.4">
      <c r="A6" s="20" t="s">
        <v>0</v>
      </c>
      <c r="B6" s="22" t="s">
        <v>1</v>
      </c>
      <c r="C6" s="22" t="s">
        <v>43</v>
      </c>
      <c r="D6" s="22" t="s">
        <v>54</v>
      </c>
      <c r="E6" s="22" t="s">
        <v>55</v>
      </c>
      <c r="F6" s="21" t="s">
        <v>56</v>
      </c>
      <c r="G6" s="22" t="s">
        <v>57</v>
      </c>
      <c r="H6" s="23" t="s">
        <v>25</v>
      </c>
      <c r="I6" s="24" t="s">
        <v>26</v>
      </c>
      <c r="M6" s="20" t="s">
        <v>0</v>
      </c>
      <c r="N6" s="22" t="s">
        <v>1</v>
      </c>
      <c r="O6" s="22" t="s">
        <v>43</v>
      </c>
      <c r="P6" s="22" t="s">
        <v>54</v>
      </c>
      <c r="Q6" s="22" t="s">
        <v>55</v>
      </c>
      <c r="R6" s="21" t="s">
        <v>56</v>
      </c>
      <c r="S6" s="22" t="s">
        <v>57</v>
      </c>
      <c r="T6" s="23" t="s">
        <v>25</v>
      </c>
      <c r="U6" s="24" t="s">
        <v>26</v>
      </c>
      <c r="V6" s="10"/>
      <c r="W6" s="10"/>
    </row>
    <row r="7" spans="1:23" x14ac:dyDescent="0.35">
      <c r="A7" s="227">
        <v>45905</v>
      </c>
      <c r="B7" s="32" t="s">
        <v>2</v>
      </c>
      <c r="C7" s="17">
        <v>47.686199999999999</v>
      </c>
      <c r="D7" s="17">
        <v>49.036000000000001</v>
      </c>
      <c r="E7" s="17">
        <v>47.763399999999997</v>
      </c>
      <c r="F7" s="17">
        <f>((D7-E7)/(D7-C7)) *100</f>
        <v>94.280634168025074</v>
      </c>
      <c r="G7" s="318">
        <f>SUM((F7:F9))/3</f>
        <v>93.64422101216239</v>
      </c>
      <c r="H7" s="205" t="s">
        <v>58</v>
      </c>
      <c r="I7" s="328" t="s">
        <v>59</v>
      </c>
      <c r="M7" s="227">
        <v>45945</v>
      </c>
      <c r="N7" s="32" t="s">
        <v>2</v>
      </c>
      <c r="O7" s="17">
        <v>47.883600000000001</v>
      </c>
      <c r="P7" s="17">
        <v>48.848199999999999</v>
      </c>
      <c r="Q7" s="17">
        <v>48.0182</v>
      </c>
      <c r="R7" s="17">
        <f>((P7-Q7)/(P7-O7)) *100</f>
        <v>86.046029442255929</v>
      </c>
      <c r="S7" s="318">
        <f>SUM((R7:R9))/3</f>
        <v>86.657976850091998</v>
      </c>
      <c r="T7" s="205" t="s">
        <v>58</v>
      </c>
      <c r="U7" s="291" t="s">
        <v>28</v>
      </c>
      <c r="V7" s="111"/>
      <c r="W7" s="111"/>
    </row>
    <row r="8" spans="1:23" x14ac:dyDescent="0.35">
      <c r="A8" s="316"/>
      <c r="B8" s="1" t="s">
        <v>3</v>
      </c>
      <c r="C8" s="2">
        <v>47.084800000000001</v>
      </c>
      <c r="D8" s="2">
        <v>48.430100000000003</v>
      </c>
      <c r="E8" s="2">
        <v>47.171399999999998</v>
      </c>
      <c r="F8" s="2">
        <f t="shared" ref="F8:F18" si="0">((D8-E8)/(D8-C8)) *100</f>
        <v>93.562774102430907</v>
      </c>
      <c r="G8" s="319"/>
      <c r="H8" s="206"/>
      <c r="I8" s="329"/>
      <c r="M8" s="316"/>
      <c r="N8" s="1" t="s">
        <v>3</v>
      </c>
      <c r="O8" s="2">
        <v>47.064399999999999</v>
      </c>
      <c r="P8" s="2">
        <v>48.15</v>
      </c>
      <c r="Q8" s="2">
        <v>47.1999</v>
      </c>
      <c r="R8" s="2">
        <f t="shared" ref="R8:R12" si="1">((P8-Q8)/(P8-O8)) *100</f>
        <v>87.518422991893843</v>
      </c>
      <c r="S8" s="319"/>
      <c r="T8" s="206"/>
      <c r="U8" s="253"/>
      <c r="V8" s="111"/>
      <c r="W8" s="111"/>
    </row>
    <row r="9" spans="1:23" ht="15" thickBot="1" x14ac:dyDescent="0.4">
      <c r="A9" s="317"/>
      <c r="B9" s="34" t="s">
        <v>4</v>
      </c>
      <c r="C9" s="18">
        <v>47.902200000000001</v>
      </c>
      <c r="D9" s="18">
        <v>49.286999999999999</v>
      </c>
      <c r="E9" s="18">
        <v>47.997900000000001</v>
      </c>
      <c r="F9" s="18">
        <f t="shared" si="0"/>
        <v>93.089254766031132</v>
      </c>
      <c r="G9" s="320"/>
      <c r="H9" s="206"/>
      <c r="I9" s="330"/>
      <c r="M9" s="317"/>
      <c r="N9" s="34" t="s">
        <v>4</v>
      </c>
      <c r="O9" s="18">
        <v>47.655999999999999</v>
      </c>
      <c r="P9" s="18">
        <v>48.677300000000002</v>
      </c>
      <c r="Q9" s="18">
        <v>47.794800000000002</v>
      </c>
      <c r="R9" s="18">
        <f t="shared" si="1"/>
        <v>86.409478116126223</v>
      </c>
      <c r="S9" s="320"/>
      <c r="T9" s="206"/>
      <c r="U9" s="201"/>
      <c r="V9" s="111"/>
      <c r="W9" s="111"/>
    </row>
    <row r="10" spans="1:23" ht="15" thickBot="1" x14ac:dyDescent="0.4">
      <c r="A10" s="227">
        <v>45919</v>
      </c>
      <c r="B10" s="32" t="s">
        <v>2</v>
      </c>
      <c r="C10" s="17">
        <v>47.0458</v>
      </c>
      <c r="D10" s="17">
        <v>48.468499999999999</v>
      </c>
      <c r="E10" s="17">
        <v>47.177300000000002</v>
      </c>
      <c r="F10" s="17">
        <f t="shared" si="0"/>
        <v>90.75701131651067</v>
      </c>
      <c r="G10" s="318">
        <f>SUM((F10:F12))/3</f>
        <v>90.429705811352207</v>
      </c>
      <c r="H10" s="206"/>
      <c r="I10" s="328" t="s">
        <v>59</v>
      </c>
      <c r="M10" s="227">
        <v>45952</v>
      </c>
      <c r="N10" s="32" t="s">
        <v>2</v>
      </c>
      <c r="O10" s="17">
        <v>47.065399999999997</v>
      </c>
      <c r="P10" s="17">
        <v>48.389099999999999</v>
      </c>
      <c r="Q10" s="17">
        <v>47.197699999999998</v>
      </c>
      <c r="R10" s="18">
        <f t="shared" si="1"/>
        <v>90.005288207297681</v>
      </c>
      <c r="S10" s="318">
        <f>SUM((R10:R12))/3</f>
        <v>90.38632854685757</v>
      </c>
      <c r="T10" s="206"/>
      <c r="U10" s="325" t="s">
        <v>59</v>
      </c>
      <c r="V10" s="111"/>
      <c r="W10" s="111"/>
    </row>
    <row r="11" spans="1:23" ht="15" thickBot="1" x14ac:dyDescent="0.4">
      <c r="A11" s="316"/>
      <c r="B11" s="1" t="s">
        <v>3</v>
      </c>
      <c r="C11" s="2">
        <v>47.861899999999999</v>
      </c>
      <c r="D11" s="2">
        <v>49.2149</v>
      </c>
      <c r="E11" s="2">
        <v>47.993499999999997</v>
      </c>
      <c r="F11" s="2">
        <f t="shared" si="0"/>
        <v>90.273466371027439</v>
      </c>
      <c r="G11" s="319"/>
      <c r="H11" s="206"/>
      <c r="I11" s="329"/>
      <c r="M11" s="316"/>
      <c r="N11" s="1" t="s">
        <v>3</v>
      </c>
      <c r="O11" s="2">
        <v>47.886099999999999</v>
      </c>
      <c r="P11" s="2">
        <v>49.305700000000002</v>
      </c>
      <c r="Q11" s="2">
        <v>48.0199</v>
      </c>
      <c r="R11" s="18">
        <f t="shared" si="1"/>
        <v>90.574809805578994</v>
      </c>
      <c r="S11" s="319"/>
      <c r="T11" s="206"/>
      <c r="U11" s="326"/>
      <c r="V11" s="111"/>
      <c r="W11" s="111"/>
    </row>
    <row r="12" spans="1:23" ht="15" thickBot="1" x14ac:dyDescent="0.4">
      <c r="A12" s="317"/>
      <c r="B12" s="34" t="s">
        <v>4</v>
      </c>
      <c r="C12" s="18">
        <v>47.637300000000003</v>
      </c>
      <c r="D12" s="18">
        <v>48.994399999999999</v>
      </c>
      <c r="E12" s="18">
        <v>47.769500000000001</v>
      </c>
      <c r="F12" s="18">
        <f t="shared" si="0"/>
        <v>90.258639746518469</v>
      </c>
      <c r="G12" s="320"/>
      <c r="H12" s="206"/>
      <c r="I12" s="330"/>
      <c r="M12" s="317"/>
      <c r="N12" s="34" t="s">
        <v>4</v>
      </c>
      <c r="O12" s="18">
        <v>47.657600000000002</v>
      </c>
      <c r="P12" s="18">
        <v>49.0672</v>
      </c>
      <c r="Q12" s="18">
        <v>47.790399999999998</v>
      </c>
      <c r="R12" s="18">
        <f t="shared" si="1"/>
        <v>90.578887627696076</v>
      </c>
      <c r="S12" s="320"/>
      <c r="T12" s="207"/>
      <c r="U12" s="327"/>
      <c r="V12" s="111"/>
      <c r="W12" s="111"/>
    </row>
    <row r="13" spans="1:23" x14ac:dyDescent="0.35">
      <c r="A13" s="227">
        <v>45926</v>
      </c>
      <c r="B13" s="32" t="s">
        <v>2</v>
      </c>
      <c r="C13" s="17">
        <v>47.8611</v>
      </c>
      <c r="D13" s="17">
        <v>49.269399999999997</v>
      </c>
      <c r="E13" s="17">
        <v>48.003300000000003</v>
      </c>
      <c r="F13" s="17">
        <f t="shared" si="0"/>
        <v>89.902719590996043</v>
      </c>
      <c r="G13" s="318">
        <f>SUM((F13:F15))/3</f>
        <v>90.24463127974758</v>
      </c>
      <c r="H13" s="206"/>
      <c r="I13" s="328" t="s">
        <v>59</v>
      </c>
      <c r="M13" s="314"/>
      <c r="O13" s="11"/>
      <c r="P13" s="11"/>
      <c r="Q13" s="11"/>
      <c r="R13" s="11"/>
      <c r="S13" s="315"/>
      <c r="T13" s="60"/>
      <c r="U13" s="324"/>
      <c r="V13" s="111"/>
      <c r="W13" s="111"/>
    </row>
    <row r="14" spans="1:23" x14ac:dyDescent="0.35">
      <c r="A14" s="316"/>
      <c r="B14" s="1" t="s">
        <v>3</v>
      </c>
      <c r="C14" s="2">
        <v>47.632100000000001</v>
      </c>
      <c r="D14" s="2">
        <v>49.112200000000001</v>
      </c>
      <c r="E14" s="2">
        <v>47.768799999999999</v>
      </c>
      <c r="F14" s="2">
        <f t="shared" si="0"/>
        <v>90.764137558273248</v>
      </c>
      <c r="G14" s="319"/>
      <c r="H14" s="206"/>
      <c r="I14" s="329"/>
      <c r="M14" s="231"/>
      <c r="O14" s="11"/>
      <c r="P14" s="11"/>
      <c r="Q14" s="11"/>
      <c r="R14" s="11"/>
      <c r="S14" s="315"/>
      <c r="T14" s="60"/>
      <c r="U14" s="324"/>
      <c r="V14" s="111"/>
      <c r="W14" s="111"/>
    </row>
    <row r="15" spans="1:23" ht="15" thickBot="1" x14ac:dyDescent="0.4">
      <c r="A15" s="317"/>
      <c r="B15" s="34" t="s">
        <v>4</v>
      </c>
      <c r="C15" s="18">
        <v>47.0411</v>
      </c>
      <c r="D15" s="18">
        <v>48.428400000000003</v>
      </c>
      <c r="E15" s="18">
        <v>47.178899999999999</v>
      </c>
      <c r="F15" s="18">
        <f t="shared" si="0"/>
        <v>90.067036689973463</v>
      </c>
      <c r="G15" s="320"/>
      <c r="H15" s="206"/>
      <c r="I15" s="330"/>
      <c r="M15" s="231"/>
      <c r="O15" s="11"/>
      <c r="P15" s="11"/>
      <c r="Q15" s="11"/>
      <c r="R15" s="11"/>
      <c r="S15" s="315"/>
      <c r="T15" s="60"/>
      <c r="U15" s="324"/>
      <c r="V15" s="111"/>
      <c r="W15" s="111"/>
    </row>
    <row r="16" spans="1:23" x14ac:dyDescent="0.35">
      <c r="A16" s="227">
        <v>45933</v>
      </c>
      <c r="B16" s="32" t="s">
        <v>2</v>
      </c>
      <c r="C16" s="17">
        <v>47.631900000000002</v>
      </c>
      <c r="D16" s="17">
        <v>49.143799999999999</v>
      </c>
      <c r="E16" s="17">
        <v>47.7834</v>
      </c>
      <c r="F16" s="17">
        <f t="shared" si="0"/>
        <v>89.979495998412659</v>
      </c>
      <c r="G16" s="318">
        <f>SUM((F16:F18))/3</f>
        <v>90.273486931127067</v>
      </c>
      <c r="H16" s="206"/>
      <c r="I16" s="328" t="s">
        <v>59</v>
      </c>
      <c r="M16" s="314"/>
      <c r="O16" s="11"/>
      <c r="P16" s="11"/>
      <c r="Q16" s="11"/>
      <c r="R16" s="11"/>
      <c r="S16" s="315"/>
      <c r="T16" s="60"/>
      <c r="U16" s="324"/>
      <c r="V16" s="111"/>
      <c r="W16" s="111"/>
    </row>
    <row r="17" spans="1:23" x14ac:dyDescent="0.35">
      <c r="A17" s="316"/>
      <c r="B17" s="1" t="s">
        <v>3</v>
      </c>
      <c r="C17" s="2">
        <v>47.860399999999998</v>
      </c>
      <c r="D17" s="2">
        <v>49.369900000000001</v>
      </c>
      <c r="E17" s="2">
        <v>48.008800000000001</v>
      </c>
      <c r="F17" s="2">
        <f t="shared" si="0"/>
        <v>90.168930109307581</v>
      </c>
      <c r="G17" s="319"/>
      <c r="H17" s="206"/>
      <c r="I17" s="329"/>
      <c r="M17" s="231"/>
      <c r="O17" s="11"/>
      <c r="P17" s="11"/>
      <c r="Q17" s="11"/>
      <c r="R17" s="11"/>
      <c r="S17" s="315"/>
      <c r="T17" s="60"/>
      <c r="U17" s="324"/>
      <c r="V17" s="111"/>
      <c r="W17" s="111"/>
    </row>
    <row r="18" spans="1:23" ht="15" thickBot="1" x14ac:dyDescent="0.4">
      <c r="A18" s="317"/>
      <c r="B18" s="34" t="s">
        <v>4</v>
      </c>
      <c r="C18" s="18">
        <v>47.040399999999998</v>
      </c>
      <c r="D18" s="18">
        <v>48.654899999999998</v>
      </c>
      <c r="E18" s="18">
        <v>47.191000000000003</v>
      </c>
      <c r="F18" s="18">
        <f t="shared" si="0"/>
        <v>90.672034685660932</v>
      </c>
      <c r="G18" s="320"/>
      <c r="H18" s="206"/>
      <c r="I18" s="330"/>
      <c r="M18" s="231"/>
      <c r="O18" s="11"/>
      <c r="P18" s="11"/>
      <c r="Q18" s="11"/>
      <c r="R18" s="11"/>
      <c r="S18" s="315"/>
      <c r="T18" s="60"/>
      <c r="U18" s="324"/>
      <c r="V18" s="111"/>
      <c r="W18" s="111"/>
    </row>
    <row r="19" spans="1:23" x14ac:dyDescent="0.35">
      <c r="A19" s="227">
        <v>45940</v>
      </c>
      <c r="B19" s="32" t="s">
        <v>2</v>
      </c>
      <c r="C19" s="17">
        <v>47.062199999999997</v>
      </c>
      <c r="D19" s="17">
        <v>48.918900000000001</v>
      </c>
      <c r="E19" s="17">
        <v>47.211599999999997</v>
      </c>
      <c r="F19" s="17">
        <f t="shared" ref="F19:F21" si="2">((D19-E19)/(D19-C19)) *100</f>
        <v>91.953465826466328</v>
      </c>
      <c r="G19" s="318">
        <f>SUM((F19:F21))/3</f>
        <v>92.050018503749527</v>
      </c>
      <c r="H19" s="206"/>
      <c r="I19" s="328" t="s">
        <v>59</v>
      </c>
      <c r="M19" s="314"/>
      <c r="O19" s="11"/>
      <c r="P19" s="11"/>
      <c r="Q19" s="11"/>
      <c r="R19" s="11"/>
      <c r="S19" s="315"/>
      <c r="T19" s="60"/>
      <c r="U19" s="324"/>
      <c r="V19" s="111"/>
      <c r="W19" s="111"/>
    </row>
    <row r="20" spans="1:23" x14ac:dyDescent="0.35">
      <c r="A20" s="316"/>
      <c r="B20" s="1" t="s">
        <v>3</v>
      </c>
      <c r="C20" s="2">
        <v>47.883699999999997</v>
      </c>
      <c r="D20" s="2">
        <v>49.705300000000001</v>
      </c>
      <c r="E20" s="2">
        <v>48.0276</v>
      </c>
      <c r="F20" s="2">
        <f t="shared" si="2"/>
        <v>92.100351339481662</v>
      </c>
      <c r="G20" s="319"/>
      <c r="H20" s="206"/>
      <c r="I20" s="329"/>
      <c r="M20" s="231"/>
      <c r="O20" s="11"/>
      <c r="P20" s="11"/>
      <c r="Q20" s="11"/>
      <c r="R20" s="11"/>
      <c r="S20" s="315"/>
      <c r="T20" s="60"/>
      <c r="U20" s="324"/>
      <c r="V20" s="111"/>
      <c r="W20" s="111"/>
    </row>
    <row r="21" spans="1:23" ht="15" thickBot="1" x14ac:dyDescent="0.4">
      <c r="A21" s="317"/>
      <c r="B21" s="34" t="s">
        <v>4</v>
      </c>
      <c r="C21" s="18">
        <v>47.655299999999997</v>
      </c>
      <c r="D21" s="18">
        <v>49.521500000000003</v>
      </c>
      <c r="E21" s="18">
        <v>47.802799999999998</v>
      </c>
      <c r="F21" s="18">
        <f t="shared" si="2"/>
        <v>92.096238345300591</v>
      </c>
      <c r="G21" s="320"/>
      <c r="H21" s="206"/>
      <c r="I21" s="330"/>
      <c r="M21" s="231"/>
      <c r="O21" s="11"/>
      <c r="P21" s="11"/>
      <c r="Q21" s="11"/>
      <c r="R21" s="11"/>
      <c r="S21" s="315"/>
      <c r="T21" s="60"/>
      <c r="U21" s="324"/>
      <c r="V21" s="111"/>
      <c r="W21" s="111"/>
    </row>
    <row r="22" spans="1:23" x14ac:dyDescent="0.35">
      <c r="A22" s="227">
        <v>45957</v>
      </c>
      <c r="B22" s="32" t="s">
        <v>2</v>
      </c>
      <c r="C22" s="17">
        <v>54083.9</v>
      </c>
      <c r="D22" s="17">
        <v>55493.9</v>
      </c>
      <c r="E22" s="17">
        <v>54222.3</v>
      </c>
      <c r="F22" s="17">
        <f t="shared" ref="F22:F24" si="3">((D22-E22)/(D22-C22)) *100</f>
        <v>90.184397163120465</v>
      </c>
      <c r="G22" s="318">
        <f>SUM((F22:F24))/3</f>
        <v>90.317701475507349</v>
      </c>
      <c r="H22" s="206"/>
      <c r="I22" s="328" t="s">
        <v>59</v>
      </c>
    </row>
    <row r="23" spans="1:23" x14ac:dyDescent="0.35">
      <c r="A23" s="316"/>
      <c r="B23" s="1" t="s">
        <v>3</v>
      </c>
      <c r="C23" s="2">
        <v>58674.3</v>
      </c>
      <c r="D23" s="2">
        <v>60111.3</v>
      </c>
      <c r="E23" s="2">
        <v>58810</v>
      </c>
      <c r="F23" s="2">
        <f t="shared" si="3"/>
        <v>90.556715379262556</v>
      </c>
      <c r="G23" s="319"/>
      <c r="H23" s="206"/>
      <c r="I23" s="329"/>
    </row>
    <row r="24" spans="1:23" ht="15" thickBot="1" x14ac:dyDescent="0.4">
      <c r="A24" s="317"/>
      <c r="B24" s="34" t="s">
        <v>4</v>
      </c>
      <c r="C24" s="18">
        <v>63315</v>
      </c>
      <c r="D24" s="18">
        <v>64744.3</v>
      </c>
      <c r="E24" s="18">
        <v>63454.9</v>
      </c>
      <c r="F24" s="18">
        <f t="shared" si="3"/>
        <v>90.21199188413901</v>
      </c>
      <c r="G24" s="320"/>
      <c r="H24" s="206"/>
      <c r="I24" s="330"/>
    </row>
    <row r="25" spans="1:23" x14ac:dyDescent="0.35">
      <c r="A25" s="227">
        <v>45964</v>
      </c>
      <c r="B25" s="32" t="s">
        <v>2</v>
      </c>
      <c r="C25" s="17">
        <v>47.063800000000001</v>
      </c>
      <c r="D25" s="17">
        <v>48.196100000000001</v>
      </c>
      <c r="E25" s="17">
        <v>47.202800000000003</v>
      </c>
      <c r="F25" s="17">
        <f t="shared" ref="F25:F27" si="4">((D25-E25)/(D25-C25)) *100</f>
        <v>87.72410138655809</v>
      </c>
      <c r="G25" s="318">
        <f>SUM((F25:F27))/3</f>
        <v>88.161473945250009</v>
      </c>
      <c r="H25" s="206"/>
      <c r="I25" s="321" t="s">
        <v>28</v>
      </c>
    </row>
    <row r="26" spans="1:23" x14ac:dyDescent="0.35">
      <c r="A26" s="316"/>
      <c r="B26" s="1" t="s">
        <v>3</v>
      </c>
      <c r="C26" s="2">
        <v>47.657699999999998</v>
      </c>
      <c r="D26" s="2">
        <v>48.836799999999997</v>
      </c>
      <c r="E26" s="2">
        <v>47.796599999999998</v>
      </c>
      <c r="F26" s="2">
        <f t="shared" si="4"/>
        <v>88.219828682893748</v>
      </c>
      <c r="G26" s="319"/>
      <c r="H26" s="206"/>
      <c r="I26" s="322"/>
    </row>
    <row r="27" spans="1:23" ht="15" thickBot="1" x14ac:dyDescent="0.4">
      <c r="A27" s="317"/>
      <c r="B27" s="34" t="s">
        <v>4</v>
      </c>
      <c r="C27" s="18">
        <v>47.884500000000003</v>
      </c>
      <c r="D27" s="18">
        <v>49.214399999999998</v>
      </c>
      <c r="E27" s="18">
        <v>48.036900000000003</v>
      </c>
      <c r="F27" s="18">
        <f t="shared" si="4"/>
        <v>88.540491766298175</v>
      </c>
      <c r="G27" s="320"/>
      <c r="H27" s="207"/>
      <c r="I27" s="323"/>
    </row>
    <row r="32" spans="1:23" ht="18.5" x14ac:dyDescent="0.45">
      <c r="A32" s="5" t="s">
        <v>30</v>
      </c>
    </row>
    <row r="33" spans="1:6" ht="16" x14ac:dyDescent="0.4">
      <c r="A33" s="13"/>
      <c r="B33" s="254" t="s">
        <v>60</v>
      </c>
      <c r="C33" s="254"/>
      <c r="D33" s="254"/>
      <c r="E33" s="254"/>
      <c r="F33" s="254"/>
    </row>
    <row r="34" spans="1:6" ht="16" x14ac:dyDescent="0.35">
      <c r="B34" s="255" t="s">
        <v>61</v>
      </c>
      <c r="C34" s="255"/>
      <c r="D34" s="255"/>
      <c r="E34" s="255"/>
      <c r="F34" s="255"/>
    </row>
    <row r="35" spans="1:6" ht="16" x14ac:dyDescent="0.4">
      <c r="A35" s="13"/>
      <c r="B35" s="254" t="s">
        <v>62</v>
      </c>
      <c r="C35" s="254"/>
      <c r="D35" s="254"/>
      <c r="E35" s="254"/>
      <c r="F35" s="254"/>
    </row>
  </sheetData>
  <mergeCells count="41">
    <mergeCell ref="B35:F35"/>
    <mergeCell ref="A7:A9"/>
    <mergeCell ref="G7:G9"/>
    <mergeCell ref="I7:I9"/>
    <mergeCell ref="A10:A12"/>
    <mergeCell ref="G10:G12"/>
    <mergeCell ref="I10:I12"/>
    <mergeCell ref="A13:A15"/>
    <mergeCell ref="G13:G15"/>
    <mergeCell ref="I13:I15"/>
    <mergeCell ref="A16:A18"/>
    <mergeCell ref="G16:G18"/>
    <mergeCell ref="A25:A27"/>
    <mergeCell ref="G25:G27"/>
    <mergeCell ref="H7:H27"/>
    <mergeCell ref="I25:I27"/>
    <mergeCell ref="B34:F34"/>
    <mergeCell ref="A19:A21"/>
    <mergeCell ref="G19:G21"/>
    <mergeCell ref="A22:A24"/>
    <mergeCell ref="G22:G24"/>
    <mergeCell ref="I19:I21"/>
    <mergeCell ref="M16:M18"/>
    <mergeCell ref="S16:S18"/>
    <mergeCell ref="I16:I18"/>
    <mergeCell ref="B33:F33"/>
    <mergeCell ref="I22:I24"/>
    <mergeCell ref="U16:U18"/>
    <mergeCell ref="M19:M21"/>
    <mergeCell ref="S19:S21"/>
    <mergeCell ref="U19:U21"/>
    <mergeCell ref="U7:U9"/>
    <mergeCell ref="M10:M12"/>
    <mergeCell ref="S10:S12"/>
    <mergeCell ref="U10:U12"/>
    <mergeCell ref="M13:M15"/>
    <mergeCell ref="S13:S15"/>
    <mergeCell ref="U13:U15"/>
    <mergeCell ref="T7:T12"/>
    <mergeCell ref="M7:M9"/>
    <mergeCell ref="S7:S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5695-97C5-4F25-955A-69AB117D036E}">
  <dimension ref="A2:O39"/>
  <sheetViews>
    <sheetView topLeftCell="A9" zoomScale="70" zoomScaleNormal="70" zoomScaleSheetLayoutView="80" workbookViewId="0">
      <selection activeCell="A28" sqref="A28:D32"/>
    </sheetView>
  </sheetViews>
  <sheetFormatPr defaultRowHeight="14.5" x14ac:dyDescent="0.35"/>
  <cols>
    <col min="1" max="1" width="12" customWidth="1"/>
    <col min="2" max="2" width="15.54296875" customWidth="1"/>
    <col min="3" max="3" width="17.1796875" customWidth="1"/>
    <col min="4" max="4" width="21.6328125" customWidth="1"/>
    <col min="5" max="5" width="16.08984375" customWidth="1"/>
    <col min="6" max="6" width="16.7265625" customWidth="1"/>
    <col min="10" max="10" width="14.08984375" customWidth="1"/>
    <col min="11" max="11" width="16.90625" customWidth="1"/>
    <col min="12" max="12" width="18.1796875" customWidth="1"/>
    <col min="13" max="13" width="21.453125" customWidth="1"/>
    <col min="14" max="14" width="19" customWidth="1"/>
    <col min="15" max="15" width="21.7265625" customWidth="1"/>
  </cols>
  <sheetData>
    <row r="2" spans="1:15" ht="29" x14ac:dyDescent="0.7">
      <c r="A2" s="88" t="s">
        <v>92</v>
      </c>
      <c r="J2" s="88" t="s">
        <v>93</v>
      </c>
    </row>
    <row r="3" spans="1:15" ht="18.5" x14ac:dyDescent="0.45">
      <c r="A3" s="5" t="s">
        <v>74</v>
      </c>
      <c r="J3" s="5" t="s">
        <v>74</v>
      </c>
    </row>
    <row r="5" spans="1:15" ht="15" thickBot="1" x14ac:dyDescent="0.4"/>
    <row r="6" spans="1:15" ht="15" thickBot="1" x14ac:dyDescent="0.4">
      <c r="A6" s="45" t="s">
        <v>0</v>
      </c>
      <c r="B6" s="21" t="s">
        <v>6</v>
      </c>
      <c r="C6" s="21" t="s">
        <v>75</v>
      </c>
      <c r="D6" s="21" t="s">
        <v>76</v>
      </c>
      <c r="E6" s="24" t="s">
        <v>25</v>
      </c>
      <c r="F6" s="24" t="s">
        <v>26</v>
      </c>
      <c r="J6" s="36" t="s">
        <v>0</v>
      </c>
      <c r="K6" s="36" t="s">
        <v>6</v>
      </c>
      <c r="L6" s="36" t="s">
        <v>75</v>
      </c>
      <c r="M6" s="36" t="s">
        <v>76</v>
      </c>
      <c r="N6" s="101" t="s">
        <v>25</v>
      </c>
      <c r="O6" s="36" t="s">
        <v>26</v>
      </c>
    </row>
    <row r="7" spans="1:15" ht="16" x14ac:dyDescent="0.35">
      <c r="A7" s="338">
        <v>45917</v>
      </c>
      <c r="B7" s="46" t="s">
        <v>7</v>
      </c>
      <c r="C7" s="46">
        <v>82.5</v>
      </c>
      <c r="D7" s="47">
        <f>(C7*0.226)</f>
        <v>18.645</v>
      </c>
      <c r="E7" s="335" t="s">
        <v>77</v>
      </c>
      <c r="F7" s="141" t="s">
        <v>78</v>
      </c>
      <c r="J7" s="332">
        <v>45945</v>
      </c>
      <c r="K7" s="57" t="s">
        <v>7</v>
      </c>
      <c r="L7" s="57">
        <v>56.3</v>
      </c>
      <c r="M7" s="98">
        <f>(L7*0.226)</f>
        <v>12.723799999999999</v>
      </c>
      <c r="N7" s="335" t="s">
        <v>77</v>
      </c>
      <c r="O7" s="57" t="s">
        <v>78</v>
      </c>
    </row>
    <row r="8" spans="1:15" ht="16" x14ac:dyDescent="0.35">
      <c r="A8" s="339"/>
      <c r="B8" s="48" t="s">
        <v>8</v>
      </c>
      <c r="C8" s="48">
        <v>76.8</v>
      </c>
      <c r="D8" s="49">
        <f t="shared" ref="D8:D18" si="0">(C8*0.226)</f>
        <v>17.3568</v>
      </c>
      <c r="E8" s="336"/>
      <c r="F8" s="142" t="s">
        <v>78</v>
      </c>
      <c r="J8" s="333"/>
      <c r="K8" s="50" t="s">
        <v>8</v>
      </c>
      <c r="L8" s="50">
        <v>49.8</v>
      </c>
      <c r="M8" s="99">
        <f t="shared" ref="M8:M14" si="1">(L8*0.226)</f>
        <v>11.254799999999999</v>
      </c>
      <c r="N8" s="336"/>
      <c r="O8" s="50" t="s">
        <v>78</v>
      </c>
    </row>
    <row r="9" spans="1:15" ht="16.5" thickBot="1" x14ac:dyDescent="0.4">
      <c r="A9" s="339"/>
      <c r="B9" s="48" t="s">
        <v>9</v>
      </c>
      <c r="C9" s="48">
        <v>98.8</v>
      </c>
      <c r="D9" s="49">
        <f t="shared" si="0"/>
        <v>22.328800000000001</v>
      </c>
      <c r="E9" s="336"/>
      <c r="F9" s="142" t="s">
        <v>78</v>
      </c>
      <c r="J9" s="333"/>
      <c r="K9" s="56" t="s">
        <v>10</v>
      </c>
      <c r="L9" s="56">
        <v>51.1</v>
      </c>
      <c r="M9" s="100">
        <f t="shared" si="1"/>
        <v>11.5486</v>
      </c>
      <c r="N9" s="336"/>
      <c r="O9" s="53" t="s">
        <v>78</v>
      </c>
    </row>
    <row r="10" spans="1:15" ht="16.5" thickBot="1" x14ac:dyDescent="0.4">
      <c r="A10" s="340"/>
      <c r="B10" s="51" t="s">
        <v>10</v>
      </c>
      <c r="C10" s="51">
        <v>82.8</v>
      </c>
      <c r="D10" s="52">
        <f t="shared" si="0"/>
        <v>18.712800000000001</v>
      </c>
      <c r="E10" s="336"/>
      <c r="F10" s="143" t="s">
        <v>78</v>
      </c>
      <c r="J10" s="332">
        <v>45952</v>
      </c>
      <c r="K10" s="132" t="s">
        <v>7</v>
      </c>
      <c r="L10" s="57">
        <v>50.9</v>
      </c>
      <c r="M10" s="135">
        <f t="shared" si="1"/>
        <v>11.503399999999999</v>
      </c>
      <c r="N10" s="336"/>
      <c r="O10" s="57" t="s">
        <v>78</v>
      </c>
    </row>
    <row r="11" spans="1:15" ht="16.5" thickBot="1" x14ac:dyDescent="0.4">
      <c r="A11" s="341">
        <v>45924</v>
      </c>
      <c r="B11" s="54" t="s">
        <v>7</v>
      </c>
      <c r="C11" s="54">
        <v>64</v>
      </c>
      <c r="D11" s="55">
        <f>(C11*0.226)</f>
        <v>14.464</v>
      </c>
      <c r="E11" s="336"/>
      <c r="F11" s="142" t="s">
        <v>78</v>
      </c>
      <c r="J11" s="333"/>
      <c r="K11" s="133" t="s">
        <v>8</v>
      </c>
      <c r="L11" s="50">
        <v>49.1</v>
      </c>
      <c r="M11" s="135">
        <f t="shared" si="1"/>
        <v>11.0966</v>
      </c>
      <c r="N11" s="336"/>
      <c r="O11" s="50" t="s">
        <v>78</v>
      </c>
    </row>
    <row r="12" spans="1:15" ht="16.5" thickBot="1" x14ac:dyDescent="0.4">
      <c r="A12" s="339"/>
      <c r="B12" s="48" t="s">
        <v>8</v>
      </c>
      <c r="C12" s="48">
        <v>66.400000000000006</v>
      </c>
      <c r="D12" s="49">
        <f t="shared" si="0"/>
        <v>15.006400000000001</v>
      </c>
      <c r="E12" s="336"/>
      <c r="F12" s="142" t="s">
        <v>78</v>
      </c>
      <c r="J12" s="333"/>
      <c r="K12" s="133" t="s">
        <v>10</v>
      </c>
      <c r="L12" s="50">
        <v>50</v>
      </c>
      <c r="M12" s="135">
        <f t="shared" si="1"/>
        <v>11.3</v>
      </c>
      <c r="N12" s="336"/>
      <c r="O12" s="50" t="s">
        <v>78</v>
      </c>
    </row>
    <row r="13" spans="1:15" ht="16.5" thickBot="1" x14ac:dyDescent="0.4">
      <c r="A13" s="339"/>
      <c r="B13" s="48" t="s">
        <v>9</v>
      </c>
      <c r="C13" s="48">
        <v>71</v>
      </c>
      <c r="D13" s="49">
        <f t="shared" si="0"/>
        <v>16.045999999999999</v>
      </c>
      <c r="E13" s="336"/>
      <c r="F13" s="142" t="s">
        <v>78</v>
      </c>
      <c r="J13" s="333"/>
      <c r="K13" s="133" t="s">
        <v>94</v>
      </c>
      <c r="L13" s="50">
        <v>20.09</v>
      </c>
      <c r="M13" s="135">
        <f t="shared" si="1"/>
        <v>4.5403400000000005</v>
      </c>
      <c r="N13" s="336"/>
      <c r="O13" s="50" t="s">
        <v>78</v>
      </c>
    </row>
    <row r="14" spans="1:15" ht="16.5" thickBot="1" x14ac:dyDescent="0.4">
      <c r="A14" s="340"/>
      <c r="B14" s="51" t="s">
        <v>10</v>
      </c>
      <c r="C14" s="51">
        <v>57.6</v>
      </c>
      <c r="D14" s="52">
        <f t="shared" si="0"/>
        <v>13.0176</v>
      </c>
      <c r="E14" s="336"/>
      <c r="F14" s="144" t="s">
        <v>78</v>
      </c>
      <c r="J14" s="334"/>
      <c r="K14" s="134" t="s">
        <v>97</v>
      </c>
      <c r="L14" s="53">
        <v>36.1</v>
      </c>
      <c r="M14" s="135">
        <f t="shared" si="1"/>
        <v>8.1585999999999999</v>
      </c>
      <c r="N14" s="337"/>
      <c r="O14" s="53" t="s">
        <v>78</v>
      </c>
    </row>
    <row r="15" spans="1:15" ht="16" x14ac:dyDescent="0.35">
      <c r="A15" s="341">
        <v>45931</v>
      </c>
      <c r="B15" s="54" t="s">
        <v>7</v>
      </c>
      <c r="C15" s="54">
        <v>69.5</v>
      </c>
      <c r="D15" s="55">
        <f>(C15*0.226)</f>
        <v>15.707000000000001</v>
      </c>
      <c r="E15" s="336"/>
      <c r="F15" s="145" t="s">
        <v>78</v>
      </c>
      <c r="J15" s="331"/>
      <c r="K15" s="95"/>
      <c r="L15" s="95"/>
      <c r="M15" s="97"/>
      <c r="N15" s="96"/>
      <c r="O15" s="95"/>
    </row>
    <row r="16" spans="1:15" ht="16" x14ac:dyDescent="0.35">
      <c r="A16" s="339"/>
      <c r="B16" s="48" t="s">
        <v>8</v>
      </c>
      <c r="C16" s="48">
        <v>72.400000000000006</v>
      </c>
      <c r="D16" s="49">
        <f t="shared" si="0"/>
        <v>16.362400000000001</v>
      </c>
      <c r="E16" s="336"/>
      <c r="F16" s="142" t="s">
        <v>78</v>
      </c>
      <c r="J16" s="331"/>
      <c r="K16" s="95"/>
      <c r="L16" s="95"/>
      <c r="M16" s="97"/>
      <c r="N16" s="96"/>
      <c r="O16" s="95"/>
    </row>
    <row r="17" spans="1:15" ht="16" x14ac:dyDescent="0.35">
      <c r="A17" s="339"/>
      <c r="B17" s="48" t="s">
        <v>9</v>
      </c>
      <c r="C17" s="48">
        <v>86.5</v>
      </c>
      <c r="D17" s="49">
        <f t="shared" si="0"/>
        <v>19.548999999999999</v>
      </c>
      <c r="E17" s="336"/>
      <c r="F17" s="142" t="s">
        <v>78</v>
      </c>
      <c r="J17" s="331"/>
      <c r="K17" s="95"/>
      <c r="L17" s="95"/>
      <c r="M17" s="97"/>
      <c r="N17" s="96"/>
      <c r="O17" s="95"/>
    </row>
    <row r="18" spans="1:15" ht="16.5" thickBot="1" x14ac:dyDescent="0.4">
      <c r="A18" s="340"/>
      <c r="B18" s="51" t="s">
        <v>10</v>
      </c>
      <c r="C18" s="51">
        <v>56.6</v>
      </c>
      <c r="D18" s="52">
        <f t="shared" si="0"/>
        <v>12.791600000000001</v>
      </c>
      <c r="E18" s="336"/>
      <c r="F18" s="144" t="s">
        <v>78</v>
      </c>
      <c r="J18" s="331"/>
      <c r="K18" s="95"/>
      <c r="L18" s="95"/>
      <c r="M18" s="97"/>
      <c r="N18" s="96"/>
      <c r="O18" s="95"/>
    </row>
    <row r="19" spans="1:15" ht="16" x14ac:dyDescent="0.35">
      <c r="A19" s="341">
        <v>45938</v>
      </c>
      <c r="B19" s="54" t="s">
        <v>7</v>
      </c>
      <c r="C19" s="54">
        <v>70</v>
      </c>
      <c r="D19" s="55">
        <f>(C19*0.226)</f>
        <v>15.82</v>
      </c>
      <c r="E19" s="336"/>
      <c r="F19" s="145" t="s">
        <v>78</v>
      </c>
      <c r="J19" s="331"/>
      <c r="K19" s="95"/>
      <c r="L19" s="95"/>
      <c r="M19" s="97"/>
      <c r="N19" s="96"/>
      <c r="O19" s="95"/>
    </row>
    <row r="20" spans="1:15" ht="16" x14ac:dyDescent="0.35">
      <c r="A20" s="339"/>
      <c r="B20" s="48" t="s">
        <v>8</v>
      </c>
      <c r="C20" s="48">
        <v>72.2</v>
      </c>
      <c r="D20" s="49">
        <f t="shared" ref="D20:D22" si="2">(C20*0.226)</f>
        <v>16.3172</v>
      </c>
      <c r="E20" s="336"/>
      <c r="F20" s="142" t="s">
        <v>78</v>
      </c>
      <c r="J20" s="331"/>
      <c r="K20" s="95"/>
      <c r="L20" s="95"/>
      <c r="M20" s="97"/>
      <c r="N20" s="96"/>
      <c r="O20" s="95"/>
    </row>
    <row r="21" spans="1:15" ht="16" x14ac:dyDescent="0.35">
      <c r="A21" s="339"/>
      <c r="B21" s="48" t="s">
        <v>9</v>
      </c>
      <c r="C21" s="48">
        <v>72.599999999999994</v>
      </c>
      <c r="D21" s="49">
        <f t="shared" si="2"/>
        <v>16.407599999999999</v>
      </c>
      <c r="E21" s="336"/>
      <c r="F21" s="142" t="s">
        <v>78</v>
      </c>
      <c r="J21" s="331"/>
      <c r="K21" s="95"/>
      <c r="L21" s="95"/>
      <c r="M21" s="97"/>
      <c r="N21" s="96"/>
      <c r="O21" s="95"/>
    </row>
    <row r="22" spans="1:15" ht="16.5" thickBot="1" x14ac:dyDescent="0.4">
      <c r="A22" s="340"/>
      <c r="B22" s="51" t="s">
        <v>10</v>
      </c>
      <c r="C22" s="51">
        <v>67</v>
      </c>
      <c r="D22" s="149">
        <f t="shared" si="2"/>
        <v>15.142000000000001</v>
      </c>
      <c r="E22" s="336"/>
      <c r="F22" s="143" t="s">
        <v>78</v>
      </c>
      <c r="J22" s="331"/>
      <c r="K22" s="95"/>
      <c r="L22" s="95"/>
      <c r="M22" s="97"/>
      <c r="N22" s="96"/>
      <c r="O22" s="95"/>
    </row>
    <row r="23" spans="1:15" ht="16" customHeight="1" x14ac:dyDescent="0.35">
      <c r="A23" s="332">
        <v>45957</v>
      </c>
      <c r="B23" s="153" t="s">
        <v>7</v>
      </c>
      <c r="C23" s="146">
        <v>4.9400000000000004</v>
      </c>
      <c r="D23" s="98">
        <f>(C23*0.226)*20</f>
        <v>22.328800000000001</v>
      </c>
      <c r="E23" s="336"/>
      <c r="F23" s="145" t="s">
        <v>78</v>
      </c>
      <c r="G23" s="344" t="s">
        <v>107</v>
      </c>
    </row>
    <row r="24" spans="1:15" ht="16" x14ac:dyDescent="0.35">
      <c r="A24" s="333"/>
      <c r="B24" s="154" t="s">
        <v>8</v>
      </c>
      <c r="C24" s="147">
        <v>4.99</v>
      </c>
      <c r="D24" s="99">
        <f t="shared" ref="D24:D27" si="3">(C24*0.226)*20</f>
        <v>22.554800000000004</v>
      </c>
      <c r="E24" s="336"/>
      <c r="F24" s="142" t="s">
        <v>78</v>
      </c>
      <c r="G24" s="344"/>
    </row>
    <row r="25" spans="1:15" ht="16" x14ac:dyDescent="0.35">
      <c r="A25" s="333"/>
      <c r="B25" s="154" t="s">
        <v>9</v>
      </c>
      <c r="C25" s="147">
        <v>4.7300000000000004</v>
      </c>
      <c r="D25" s="99">
        <f t="shared" si="3"/>
        <v>21.3796</v>
      </c>
      <c r="E25" s="336"/>
      <c r="F25" s="142" t="s">
        <v>78</v>
      </c>
      <c r="G25" s="344"/>
    </row>
    <row r="26" spans="1:15" ht="16" x14ac:dyDescent="0.35">
      <c r="A26" s="333"/>
      <c r="B26" s="154" t="s">
        <v>10</v>
      </c>
      <c r="C26" s="147">
        <v>5.0599999999999996</v>
      </c>
      <c r="D26" s="99">
        <f t="shared" si="3"/>
        <v>22.871199999999998</v>
      </c>
      <c r="E26" s="336"/>
      <c r="F26" s="142" t="s">
        <v>78</v>
      </c>
      <c r="G26" s="344"/>
    </row>
    <row r="27" spans="1:15" ht="16.5" thickBot="1" x14ac:dyDescent="0.4">
      <c r="A27" s="334"/>
      <c r="B27" s="155" t="s">
        <v>106</v>
      </c>
      <c r="C27" s="148">
        <v>2.77</v>
      </c>
      <c r="D27" s="100">
        <f t="shared" si="3"/>
        <v>12.5204</v>
      </c>
      <c r="E27" s="336"/>
      <c r="F27" s="143" t="s">
        <v>78</v>
      </c>
      <c r="G27" s="344"/>
    </row>
    <row r="28" spans="1:15" ht="16" x14ac:dyDescent="0.35">
      <c r="A28" s="332">
        <v>45964</v>
      </c>
      <c r="B28" s="153" t="s">
        <v>7</v>
      </c>
      <c r="C28" s="146">
        <v>4.49</v>
      </c>
      <c r="D28" s="98">
        <f>(C28*0.226)*20</f>
        <v>20.294799999999999</v>
      </c>
      <c r="E28" s="336"/>
      <c r="F28" s="145" t="s">
        <v>78</v>
      </c>
      <c r="G28" s="344"/>
    </row>
    <row r="29" spans="1:15" ht="16" x14ac:dyDescent="0.35">
      <c r="A29" s="333"/>
      <c r="B29" s="154" t="s">
        <v>8</v>
      </c>
      <c r="C29" s="147">
        <v>4.0999999999999996</v>
      </c>
      <c r="D29" s="99">
        <f t="shared" ref="D29:D32" si="4">(C29*0.226)*20</f>
        <v>18.532</v>
      </c>
      <c r="E29" s="336"/>
      <c r="F29" s="142" t="s">
        <v>78</v>
      </c>
      <c r="G29" s="344"/>
    </row>
    <row r="30" spans="1:15" ht="16" x14ac:dyDescent="0.35">
      <c r="A30" s="333"/>
      <c r="B30" s="154" t="s">
        <v>9</v>
      </c>
      <c r="C30" s="147">
        <v>3.97</v>
      </c>
      <c r="D30" s="99">
        <f t="shared" si="4"/>
        <v>17.944400000000002</v>
      </c>
      <c r="E30" s="336"/>
      <c r="F30" s="142" t="s">
        <v>78</v>
      </c>
      <c r="G30" s="344"/>
    </row>
    <row r="31" spans="1:15" ht="16" x14ac:dyDescent="0.35">
      <c r="A31" s="333"/>
      <c r="B31" s="154" t="s">
        <v>10</v>
      </c>
      <c r="C31" s="147">
        <v>4.5199999999999996</v>
      </c>
      <c r="D31" s="99">
        <f t="shared" si="4"/>
        <v>20.430399999999999</v>
      </c>
      <c r="E31" s="336"/>
      <c r="F31" s="142" t="s">
        <v>78</v>
      </c>
      <c r="G31" s="344"/>
    </row>
    <row r="32" spans="1:15" ht="16.5" thickBot="1" x14ac:dyDescent="0.4">
      <c r="A32" s="334"/>
      <c r="B32" s="155" t="s">
        <v>106</v>
      </c>
      <c r="C32" s="148">
        <v>2.52</v>
      </c>
      <c r="D32" s="100">
        <f t="shared" si="4"/>
        <v>11.3904</v>
      </c>
      <c r="E32" s="337"/>
      <c r="F32" s="143" t="s">
        <v>78</v>
      </c>
      <c r="G32" s="344"/>
    </row>
    <row r="33" spans="1:7" x14ac:dyDescent="0.35">
      <c r="A33" s="58"/>
      <c r="B33" s="37"/>
      <c r="C33" s="11"/>
      <c r="D33" s="59"/>
      <c r="E33" s="60"/>
      <c r="F33" s="37"/>
    </row>
    <row r="34" spans="1:7" x14ac:dyDescent="0.35">
      <c r="A34" s="58"/>
      <c r="B34" s="37"/>
      <c r="C34" s="11"/>
      <c r="D34" s="59"/>
      <c r="E34" s="60"/>
      <c r="F34" s="37"/>
    </row>
    <row r="35" spans="1:7" x14ac:dyDescent="0.35">
      <c r="A35" s="58"/>
      <c r="B35" s="37"/>
      <c r="C35" s="11"/>
      <c r="D35" s="59"/>
      <c r="E35" s="60"/>
      <c r="F35" s="37"/>
    </row>
    <row r="36" spans="1:7" ht="18.5" x14ac:dyDescent="0.45">
      <c r="A36" s="5" t="s">
        <v>30</v>
      </c>
    </row>
    <row r="37" spans="1:7" ht="16" x14ac:dyDescent="0.4">
      <c r="A37" s="13"/>
      <c r="B37" s="342" t="s">
        <v>79</v>
      </c>
      <c r="C37" s="342"/>
      <c r="D37" s="342"/>
      <c r="E37" s="342"/>
      <c r="F37" s="342"/>
    </row>
    <row r="38" spans="1:7" ht="16" x14ac:dyDescent="0.35">
      <c r="B38" s="343" t="s">
        <v>80</v>
      </c>
      <c r="C38" s="343"/>
      <c r="D38" s="343"/>
      <c r="E38" s="343"/>
      <c r="F38" s="343"/>
      <c r="G38" s="343"/>
    </row>
    <row r="39" spans="1:7" ht="16" x14ac:dyDescent="0.4">
      <c r="A39" s="13"/>
      <c r="B39" s="254" t="s">
        <v>81</v>
      </c>
      <c r="C39" s="254"/>
      <c r="D39" s="254"/>
      <c r="E39" s="254"/>
      <c r="F39" s="254"/>
      <c r="G39" s="254"/>
    </row>
  </sheetData>
  <mergeCells count="16">
    <mergeCell ref="B39:G39"/>
    <mergeCell ref="A7:A10"/>
    <mergeCell ref="A11:A14"/>
    <mergeCell ref="A15:A18"/>
    <mergeCell ref="B37:F37"/>
    <mergeCell ref="B38:G38"/>
    <mergeCell ref="A19:A22"/>
    <mergeCell ref="A23:A27"/>
    <mergeCell ref="A28:A32"/>
    <mergeCell ref="E7:E32"/>
    <mergeCell ref="G23:G32"/>
    <mergeCell ref="J15:J18"/>
    <mergeCell ref="J19:J22"/>
    <mergeCell ref="J7:J9"/>
    <mergeCell ref="J10:J14"/>
    <mergeCell ref="N7:N14"/>
  </mergeCells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9C87-FFAB-410C-BE07-32CFFF3870EE}">
  <dimension ref="A1:Y39"/>
  <sheetViews>
    <sheetView topLeftCell="A9" zoomScale="70" zoomScaleNormal="70" workbookViewId="0">
      <selection activeCell="C34" sqref="C34"/>
    </sheetView>
  </sheetViews>
  <sheetFormatPr defaultRowHeight="14.5" x14ac:dyDescent="0.35"/>
  <cols>
    <col min="1" max="1" width="12.7265625" customWidth="1"/>
    <col min="2" max="2" width="13.1796875" customWidth="1"/>
    <col min="3" max="3" width="30" customWidth="1"/>
    <col min="4" max="4" width="23.36328125" customWidth="1"/>
    <col min="5" max="5" width="18.1796875" customWidth="1"/>
    <col min="6" max="6" width="20.36328125" customWidth="1"/>
    <col min="7" max="7" width="21.6328125" customWidth="1"/>
    <col min="8" max="8" width="24" customWidth="1"/>
    <col min="9" max="9" width="26.1796875" customWidth="1"/>
    <col min="10" max="10" width="21.08984375" customWidth="1"/>
    <col min="12" max="12" width="9.26953125" customWidth="1"/>
    <col min="15" max="15" width="14.36328125" customWidth="1"/>
    <col min="16" max="16" width="20.36328125" customWidth="1"/>
    <col min="17" max="17" width="27.08984375" customWidth="1"/>
    <col min="18" max="18" width="22.1796875" customWidth="1"/>
    <col min="19" max="19" width="22.54296875" customWidth="1"/>
    <col min="20" max="20" width="17.453125" customWidth="1"/>
    <col min="21" max="21" width="26.7265625" customWidth="1"/>
    <col min="22" max="22" width="20.90625" customWidth="1"/>
    <col min="23" max="23" width="22.54296875" customWidth="1"/>
    <col min="24" max="24" width="22.90625" customWidth="1"/>
  </cols>
  <sheetData>
    <row r="1" spans="1:25" ht="29" x14ac:dyDescent="0.7">
      <c r="A1" s="88" t="s">
        <v>88</v>
      </c>
      <c r="O1" s="88" t="s">
        <v>90</v>
      </c>
    </row>
    <row r="2" spans="1:25" ht="19" thickBot="1" x14ac:dyDescent="0.5">
      <c r="A2" s="5" t="s">
        <v>98</v>
      </c>
      <c r="O2" s="5" t="s">
        <v>98</v>
      </c>
    </row>
    <row r="3" spans="1:25" ht="21.5" thickBot="1" x14ac:dyDescent="0.55000000000000004">
      <c r="C3" s="345" t="s">
        <v>99</v>
      </c>
      <c r="D3" s="346"/>
      <c r="E3" s="346"/>
      <c r="F3" s="347"/>
      <c r="G3" s="345" t="s">
        <v>100</v>
      </c>
      <c r="H3" s="346"/>
      <c r="I3" s="346"/>
      <c r="J3" s="347"/>
      <c r="Q3" s="345" t="s">
        <v>99</v>
      </c>
      <c r="R3" s="346"/>
      <c r="S3" s="346"/>
      <c r="T3" s="347"/>
      <c r="U3" s="345" t="s">
        <v>100</v>
      </c>
      <c r="V3" s="346"/>
      <c r="W3" s="346"/>
      <c r="X3" s="347"/>
    </row>
    <row r="4" spans="1:25" ht="15" thickBot="1" x14ac:dyDescent="0.4">
      <c r="A4" s="45" t="s">
        <v>0</v>
      </c>
      <c r="B4" s="21" t="s">
        <v>6</v>
      </c>
      <c r="C4" s="61" t="s">
        <v>82</v>
      </c>
      <c r="D4" s="61" t="s">
        <v>83</v>
      </c>
      <c r="E4" s="24" t="s">
        <v>25</v>
      </c>
      <c r="F4" s="24" t="s">
        <v>26</v>
      </c>
      <c r="G4" s="152" t="s">
        <v>105</v>
      </c>
      <c r="H4" s="166" t="s">
        <v>83</v>
      </c>
      <c r="I4" s="24" t="s">
        <v>25</v>
      </c>
      <c r="J4" s="36" t="s">
        <v>26</v>
      </c>
      <c r="O4" s="24" t="s">
        <v>0</v>
      </c>
      <c r="P4" s="24" t="s">
        <v>6</v>
      </c>
      <c r="Q4" s="107" t="s">
        <v>91</v>
      </c>
      <c r="R4" s="103" t="s">
        <v>83</v>
      </c>
      <c r="S4" s="24" t="s">
        <v>25</v>
      </c>
      <c r="T4" s="24" t="s">
        <v>26</v>
      </c>
      <c r="U4" s="107" t="s">
        <v>91</v>
      </c>
      <c r="V4" s="103" t="s">
        <v>83</v>
      </c>
      <c r="W4" s="24" t="s">
        <v>25</v>
      </c>
      <c r="X4" s="24" t="s">
        <v>26</v>
      </c>
      <c r="Y4" s="10"/>
    </row>
    <row r="5" spans="1:25" ht="16" x14ac:dyDescent="0.35">
      <c r="A5" s="338">
        <v>45917</v>
      </c>
      <c r="B5" s="46" t="s">
        <v>7</v>
      </c>
      <c r="C5" s="46">
        <v>0.66</v>
      </c>
      <c r="D5" s="62">
        <f>(C5*200)</f>
        <v>132</v>
      </c>
      <c r="E5" s="335" t="s">
        <v>84</v>
      </c>
      <c r="F5" s="160" t="s">
        <v>78</v>
      </c>
      <c r="G5" s="151"/>
      <c r="H5" s="57"/>
      <c r="I5" s="335" t="s">
        <v>101</v>
      </c>
      <c r="J5" s="145"/>
      <c r="O5" s="332">
        <v>45945</v>
      </c>
      <c r="P5" s="57" t="s">
        <v>7</v>
      </c>
      <c r="Q5" s="57">
        <v>0.55000000000000004</v>
      </c>
      <c r="R5" s="104">
        <f>(Q5*200)</f>
        <v>110.00000000000001</v>
      </c>
      <c r="S5" s="335" t="s">
        <v>84</v>
      </c>
      <c r="T5" s="57" t="s">
        <v>78</v>
      </c>
      <c r="U5" s="57"/>
      <c r="V5" s="104">
        <f>(U5*200)</f>
        <v>0</v>
      </c>
      <c r="W5" s="335" t="s">
        <v>101</v>
      </c>
      <c r="X5" s="57"/>
      <c r="Y5" s="95"/>
    </row>
    <row r="6" spans="1:25" ht="16" x14ac:dyDescent="0.35">
      <c r="A6" s="339"/>
      <c r="B6" s="48" t="s">
        <v>8</v>
      </c>
      <c r="C6" s="48">
        <v>0.62</v>
      </c>
      <c r="D6" s="62">
        <f t="shared" ref="D6:D16" si="0">(C6*200)</f>
        <v>124</v>
      </c>
      <c r="E6" s="336"/>
      <c r="F6" s="133" t="s">
        <v>78</v>
      </c>
      <c r="G6" s="150"/>
      <c r="H6" s="50"/>
      <c r="I6" s="336"/>
      <c r="J6" s="142"/>
      <c r="O6" s="333"/>
      <c r="P6" s="50" t="s">
        <v>8</v>
      </c>
      <c r="Q6" s="50">
        <v>0.6</v>
      </c>
      <c r="R6" s="105">
        <f t="shared" ref="R6:R12" si="1">(Q6*200)</f>
        <v>120</v>
      </c>
      <c r="S6" s="336"/>
      <c r="T6" s="50" t="s">
        <v>78</v>
      </c>
      <c r="U6" s="50"/>
      <c r="V6" s="105">
        <f t="shared" ref="V6:V12" si="2">(U6*200)</f>
        <v>0</v>
      </c>
      <c r="W6" s="336"/>
      <c r="X6" s="50"/>
      <c r="Y6" s="95"/>
    </row>
    <row r="7" spans="1:25" ht="16.5" thickBot="1" x14ac:dyDescent="0.4">
      <c r="A7" s="339"/>
      <c r="B7" s="48" t="s">
        <v>9</v>
      </c>
      <c r="C7" s="48">
        <v>1.88</v>
      </c>
      <c r="D7" s="62">
        <f t="shared" si="0"/>
        <v>376</v>
      </c>
      <c r="E7" s="336"/>
      <c r="F7" s="161" t="s">
        <v>59</v>
      </c>
      <c r="G7" s="150"/>
      <c r="H7" s="50"/>
      <c r="I7" s="336"/>
      <c r="J7" s="142"/>
      <c r="O7" s="334"/>
      <c r="P7" s="53" t="s">
        <v>10</v>
      </c>
      <c r="Q7" s="56">
        <v>0.31</v>
      </c>
      <c r="R7" s="106">
        <f t="shared" si="1"/>
        <v>62</v>
      </c>
      <c r="S7" s="336"/>
      <c r="T7" s="56" t="s">
        <v>78</v>
      </c>
      <c r="U7" s="56"/>
      <c r="V7" s="106">
        <f t="shared" si="2"/>
        <v>0</v>
      </c>
      <c r="W7" s="336"/>
      <c r="X7" s="56"/>
      <c r="Y7" s="95"/>
    </row>
    <row r="8" spans="1:25" ht="16.5" thickBot="1" x14ac:dyDescent="0.4">
      <c r="A8" s="348"/>
      <c r="B8" s="64" t="s">
        <v>10</v>
      </c>
      <c r="C8" s="64">
        <v>0.85</v>
      </c>
      <c r="D8" s="65">
        <f t="shared" si="0"/>
        <v>170</v>
      </c>
      <c r="E8" s="336"/>
      <c r="F8" s="134" t="s">
        <v>78</v>
      </c>
      <c r="G8" s="150"/>
      <c r="H8" s="50"/>
      <c r="I8" s="336"/>
      <c r="J8" s="142"/>
      <c r="O8" s="332">
        <v>45952</v>
      </c>
      <c r="P8" s="57" t="s">
        <v>7</v>
      </c>
      <c r="Q8" s="57">
        <v>0.53</v>
      </c>
      <c r="R8" s="106">
        <f t="shared" si="1"/>
        <v>106</v>
      </c>
      <c r="S8" s="336"/>
      <c r="T8" s="57" t="s">
        <v>78</v>
      </c>
      <c r="U8" s="57">
        <v>0.62</v>
      </c>
      <c r="V8" s="106">
        <f t="shared" si="2"/>
        <v>124</v>
      </c>
      <c r="W8" s="336"/>
      <c r="X8" s="57" t="s">
        <v>78</v>
      </c>
    </row>
    <row r="9" spans="1:25" ht="16.5" thickBot="1" x14ac:dyDescent="0.4">
      <c r="A9" s="341">
        <v>45924</v>
      </c>
      <c r="B9" s="54" t="s">
        <v>7</v>
      </c>
      <c r="C9" s="54">
        <v>0.76</v>
      </c>
      <c r="D9" s="66">
        <f t="shared" si="0"/>
        <v>152</v>
      </c>
      <c r="E9" s="336"/>
      <c r="F9" s="132" t="s">
        <v>78</v>
      </c>
      <c r="G9" s="150"/>
      <c r="H9" s="50"/>
      <c r="I9" s="336"/>
      <c r="J9" s="142"/>
      <c r="O9" s="333"/>
      <c r="P9" s="50" t="s">
        <v>8</v>
      </c>
      <c r="Q9" s="50">
        <v>0.73</v>
      </c>
      <c r="R9" s="106">
        <f t="shared" si="1"/>
        <v>146</v>
      </c>
      <c r="S9" s="336"/>
      <c r="T9" s="50" t="s">
        <v>78</v>
      </c>
      <c r="U9" s="50">
        <v>1.06</v>
      </c>
      <c r="V9" s="106">
        <f t="shared" si="2"/>
        <v>212</v>
      </c>
      <c r="W9" s="336"/>
      <c r="X9" s="50" t="s">
        <v>78</v>
      </c>
    </row>
    <row r="10" spans="1:25" ht="16.5" thickBot="1" x14ac:dyDescent="0.4">
      <c r="A10" s="339"/>
      <c r="B10" s="48" t="s">
        <v>8</v>
      </c>
      <c r="C10" s="48">
        <v>0.68</v>
      </c>
      <c r="D10" s="67">
        <f t="shared" si="0"/>
        <v>136</v>
      </c>
      <c r="E10" s="336"/>
      <c r="F10" s="160" t="s">
        <v>78</v>
      </c>
      <c r="G10" s="150"/>
      <c r="H10" s="50"/>
      <c r="I10" s="336"/>
      <c r="J10" s="142"/>
      <c r="O10" s="333"/>
      <c r="P10" s="50" t="s">
        <v>10</v>
      </c>
      <c r="Q10" s="50">
        <v>0.57999999999999996</v>
      </c>
      <c r="R10" s="106">
        <f t="shared" si="1"/>
        <v>115.99999999999999</v>
      </c>
      <c r="S10" s="336"/>
      <c r="T10" s="50" t="s">
        <v>78</v>
      </c>
      <c r="U10" s="50">
        <v>0.78</v>
      </c>
      <c r="V10" s="106">
        <f t="shared" si="2"/>
        <v>156</v>
      </c>
      <c r="W10" s="336"/>
      <c r="X10" s="50" t="s">
        <v>78</v>
      </c>
    </row>
    <row r="11" spans="1:25" ht="16.5" thickBot="1" x14ac:dyDescent="0.4">
      <c r="A11" s="339"/>
      <c r="B11" s="48" t="s">
        <v>9</v>
      </c>
      <c r="C11" s="48">
        <v>0.77</v>
      </c>
      <c r="D11" s="67">
        <f t="shared" si="0"/>
        <v>154</v>
      </c>
      <c r="E11" s="336"/>
      <c r="F11" s="160" t="s">
        <v>78</v>
      </c>
      <c r="G11" s="150"/>
      <c r="H11" s="50"/>
      <c r="I11" s="336"/>
      <c r="J11" s="174"/>
      <c r="O11" s="333"/>
      <c r="P11" s="50" t="s">
        <v>94</v>
      </c>
      <c r="Q11" s="50">
        <v>0.3</v>
      </c>
      <c r="R11" s="106">
        <f t="shared" si="1"/>
        <v>60</v>
      </c>
      <c r="S11" s="336"/>
      <c r="T11" s="50" t="s">
        <v>78</v>
      </c>
      <c r="U11" s="50">
        <v>0.43</v>
      </c>
      <c r="V11" s="106">
        <f t="shared" si="2"/>
        <v>86</v>
      </c>
      <c r="W11" s="336"/>
      <c r="X11" s="63" t="s">
        <v>102</v>
      </c>
    </row>
    <row r="12" spans="1:25" ht="16.5" thickBot="1" x14ac:dyDescent="0.4">
      <c r="A12" s="340"/>
      <c r="B12" s="51" t="s">
        <v>10</v>
      </c>
      <c r="C12" s="51">
        <v>0.73</v>
      </c>
      <c r="D12" s="68">
        <f t="shared" si="0"/>
        <v>146</v>
      </c>
      <c r="E12" s="336"/>
      <c r="F12" s="162" t="s">
        <v>78</v>
      </c>
      <c r="G12" s="150"/>
      <c r="H12" s="50"/>
      <c r="I12" s="336"/>
      <c r="J12" s="142"/>
      <c r="O12" s="334"/>
      <c r="P12" s="53" t="s">
        <v>97</v>
      </c>
      <c r="Q12" s="53">
        <v>0.34</v>
      </c>
      <c r="R12" s="106">
        <f t="shared" si="1"/>
        <v>68</v>
      </c>
      <c r="S12" s="337"/>
      <c r="T12" s="53" t="s">
        <v>78</v>
      </c>
      <c r="U12" s="53">
        <v>0.94</v>
      </c>
      <c r="V12" s="106">
        <f t="shared" si="2"/>
        <v>188</v>
      </c>
      <c r="W12" s="337"/>
      <c r="X12" s="53" t="s">
        <v>78</v>
      </c>
    </row>
    <row r="13" spans="1:25" ht="16.5" thickBot="1" x14ac:dyDescent="0.4">
      <c r="A13" s="341">
        <v>45931</v>
      </c>
      <c r="B13" s="54" t="s">
        <v>7</v>
      </c>
      <c r="C13" s="54">
        <v>0.73</v>
      </c>
      <c r="D13" s="68">
        <f t="shared" si="0"/>
        <v>146</v>
      </c>
      <c r="E13" s="336"/>
      <c r="F13" s="132" t="s">
        <v>78</v>
      </c>
      <c r="G13" s="122"/>
      <c r="H13" s="50"/>
      <c r="I13" s="336"/>
      <c r="J13" s="175"/>
      <c r="O13" s="331"/>
      <c r="P13" s="95"/>
      <c r="Q13" s="95"/>
      <c r="R13" s="95"/>
      <c r="S13" s="96"/>
      <c r="T13" s="95"/>
    </row>
    <row r="14" spans="1:25" ht="16.5" thickBot="1" x14ac:dyDescent="0.4">
      <c r="A14" s="339"/>
      <c r="B14" s="48" t="s">
        <v>8</v>
      </c>
      <c r="C14" s="48">
        <v>0.8</v>
      </c>
      <c r="D14" s="68">
        <f t="shared" si="0"/>
        <v>160</v>
      </c>
      <c r="E14" s="336"/>
      <c r="F14" s="133" t="s">
        <v>78</v>
      </c>
      <c r="G14" s="122"/>
      <c r="H14" s="50"/>
      <c r="I14" s="336"/>
      <c r="J14" s="175"/>
      <c r="O14" s="331"/>
      <c r="P14" s="95"/>
      <c r="Q14" s="95"/>
      <c r="R14" s="95"/>
      <c r="S14" s="96"/>
      <c r="T14" s="95"/>
    </row>
    <row r="15" spans="1:25" ht="16.5" thickBot="1" x14ac:dyDescent="0.4">
      <c r="A15" s="339"/>
      <c r="B15" s="48" t="s">
        <v>9</v>
      </c>
      <c r="C15" s="48">
        <v>0.8</v>
      </c>
      <c r="D15" s="68">
        <f t="shared" si="0"/>
        <v>160</v>
      </c>
      <c r="E15" s="336"/>
      <c r="F15" s="133" t="s">
        <v>78</v>
      </c>
      <c r="G15" s="122"/>
      <c r="H15" s="50"/>
      <c r="I15" s="336"/>
      <c r="J15" s="175"/>
      <c r="O15" s="331"/>
      <c r="P15" s="95"/>
      <c r="Q15" s="95"/>
      <c r="R15" s="95"/>
      <c r="S15" s="96"/>
      <c r="T15" s="95"/>
    </row>
    <row r="16" spans="1:25" ht="16.5" thickBot="1" x14ac:dyDescent="0.4">
      <c r="A16" s="340"/>
      <c r="B16" s="51" t="s">
        <v>10</v>
      </c>
      <c r="C16" s="51">
        <v>1.95</v>
      </c>
      <c r="D16" s="68">
        <f t="shared" si="0"/>
        <v>390</v>
      </c>
      <c r="E16" s="336"/>
      <c r="F16" s="163" t="s">
        <v>59</v>
      </c>
      <c r="G16" s="122"/>
      <c r="H16" s="50"/>
      <c r="I16" s="336"/>
      <c r="J16" s="175"/>
      <c r="O16" s="331"/>
      <c r="P16" s="95"/>
      <c r="Q16" s="95"/>
      <c r="R16" s="95"/>
      <c r="S16" s="96"/>
      <c r="T16" s="102"/>
    </row>
    <row r="17" spans="1:20" ht="16.5" thickBot="1" x14ac:dyDescent="0.4">
      <c r="A17" s="341">
        <v>45938</v>
      </c>
      <c r="B17" s="54" t="s">
        <v>7</v>
      </c>
      <c r="C17" s="54">
        <v>0.59</v>
      </c>
      <c r="D17" s="68">
        <f t="shared" ref="D17:D20" si="3">(C17*200)</f>
        <v>118</v>
      </c>
      <c r="E17" s="336"/>
      <c r="F17" s="132" t="s">
        <v>78</v>
      </c>
      <c r="G17" s="122"/>
      <c r="H17" s="50"/>
      <c r="I17" s="336"/>
      <c r="J17" s="175"/>
      <c r="O17" s="331"/>
      <c r="P17" s="95"/>
      <c r="Q17" s="95"/>
      <c r="R17" s="95"/>
      <c r="S17" s="96"/>
      <c r="T17" s="95"/>
    </row>
    <row r="18" spans="1:20" ht="16.5" thickBot="1" x14ac:dyDescent="0.4">
      <c r="A18" s="339"/>
      <c r="B18" s="48" t="s">
        <v>8</v>
      </c>
      <c r="C18" s="48">
        <v>0.75</v>
      </c>
      <c r="D18" s="68">
        <f t="shared" si="3"/>
        <v>150</v>
      </c>
      <c r="E18" s="336"/>
      <c r="F18" s="133" t="s">
        <v>78</v>
      </c>
      <c r="G18" s="122"/>
      <c r="H18" s="50"/>
      <c r="I18" s="336"/>
      <c r="J18" s="175"/>
      <c r="O18" s="331"/>
      <c r="P18" s="95"/>
      <c r="Q18" s="95"/>
      <c r="R18" s="95"/>
      <c r="S18" s="96"/>
      <c r="T18" s="95"/>
    </row>
    <row r="19" spans="1:20" ht="16.5" thickBot="1" x14ac:dyDescent="0.4">
      <c r="A19" s="339"/>
      <c r="B19" s="48" t="s">
        <v>9</v>
      </c>
      <c r="C19" s="48">
        <v>0.92</v>
      </c>
      <c r="D19" s="68">
        <f t="shared" si="3"/>
        <v>184</v>
      </c>
      <c r="E19" s="336"/>
      <c r="F19" s="133" t="s">
        <v>78</v>
      </c>
      <c r="G19" s="122"/>
      <c r="H19" s="50"/>
      <c r="I19" s="336"/>
      <c r="J19" s="175"/>
      <c r="O19" s="331"/>
      <c r="P19" s="95"/>
      <c r="Q19" s="95"/>
      <c r="R19" s="95"/>
      <c r="S19" s="96"/>
      <c r="T19" s="95"/>
    </row>
    <row r="20" spans="1:20" ht="16.5" thickBot="1" x14ac:dyDescent="0.4">
      <c r="A20" s="348"/>
      <c r="B20" s="64" t="s">
        <v>10</v>
      </c>
      <c r="C20" s="64">
        <v>0.83</v>
      </c>
      <c r="D20" s="156">
        <f t="shared" si="3"/>
        <v>166</v>
      </c>
      <c r="E20" s="336"/>
      <c r="F20" s="164" t="s">
        <v>78</v>
      </c>
      <c r="G20" s="165"/>
      <c r="H20" s="53"/>
      <c r="I20" s="336"/>
      <c r="J20" s="176"/>
      <c r="O20" s="331"/>
      <c r="P20" s="95"/>
      <c r="Q20" s="95"/>
      <c r="R20" s="95"/>
      <c r="S20" s="96"/>
      <c r="T20" s="95"/>
    </row>
    <row r="21" spans="1:20" ht="16" x14ac:dyDescent="0.35">
      <c r="A21" s="349">
        <v>45957</v>
      </c>
      <c r="B21" s="151" t="s">
        <v>7</v>
      </c>
      <c r="C21" s="151">
        <v>0.57999999999999996</v>
      </c>
      <c r="D21" s="157">
        <f t="shared" ref="D21:D25" si="4">(C21*200)</f>
        <v>115.99999999999999</v>
      </c>
      <c r="E21" s="336"/>
      <c r="F21" s="145" t="s">
        <v>78</v>
      </c>
      <c r="G21" s="116">
        <v>0.91</v>
      </c>
      <c r="H21" s="167">
        <f t="shared" ref="H21:H25" si="5">(G21*200)</f>
        <v>182</v>
      </c>
      <c r="I21" s="336"/>
      <c r="J21" s="141" t="s">
        <v>78</v>
      </c>
    </row>
    <row r="22" spans="1:20" ht="16" x14ac:dyDescent="0.35">
      <c r="A22" s="350"/>
      <c r="B22" s="150" t="s">
        <v>8</v>
      </c>
      <c r="C22" s="150">
        <v>0.56999999999999995</v>
      </c>
      <c r="D22" s="158">
        <f t="shared" si="4"/>
        <v>113.99999999999999</v>
      </c>
      <c r="E22" s="336"/>
      <c r="F22" s="142" t="s">
        <v>78</v>
      </c>
      <c r="G22" s="117">
        <v>0.95</v>
      </c>
      <c r="H22" s="158">
        <f t="shared" si="5"/>
        <v>190</v>
      </c>
      <c r="I22" s="336"/>
      <c r="J22" s="142" t="s">
        <v>78</v>
      </c>
    </row>
    <row r="23" spans="1:20" ht="16" x14ac:dyDescent="0.35">
      <c r="A23" s="350"/>
      <c r="B23" s="150" t="s">
        <v>9</v>
      </c>
      <c r="C23" s="150">
        <v>0.66</v>
      </c>
      <c r="D23" s="158">
        <f t="shared" si="4"/>
        <v>132</v>
      </c>
      <c r="E23" s="336"/>
      <c r="F23" s="142" t="s">
        <v>78</v>
      </c>
      <c r="G23" s="117">
        <v>0.85</v>
      </c>
      <c r="H23" s="158">
        <f t="shared" si="5"/>
        <v>170</v>
      </c>
      <c r="I23" s="336"/>
      <c r="J23" s="142" t="s">
        <v>78</v>
      </c>
    </row>
    <row r="24" spans="1:20" ht="16" x14ac:dyDescent="0.35">
      <c r="A24" s="350"/>
      <c r="B24" s="150" t="s">
        <v>10</v>
      </c>
      <c r="C24" s="150">
        <v>0.42</v>
      </c>
      <c r="D24" s="158">
        <f t="shared" si="4"/>
        <v>84</v>
      </c>
      <c r="E24" s="336"/>
      <c r="F24" s="142" t="s">
        <v>78</v>
      </c>
      <c r="G24" s="117">
        <v>0.59</v>
      </c>
      <c r="H24" s="158">
        <f t="shared" si="5"/>
        <v>118</v>
      </c>
      <c r="I24" s="336"/>
      <c r="J24" s="142" t="s">
        <v>78</v>
      </c>
    </row>
    <row r="25" spans="1:20" ht="16.5" thickBot="1" x14ac:dyDescent="0.4">
      <c r="A25" s="351"/>
      <c r="B25" s="118" t="s">
        <v>106</v>
      </c>
      <c r="C25" s="118">
        <v>1.2</v>
      </c>
      <c r="D25" s="159">
        <f t="shared" si="4"/>
        <v>240</v>
      </c>
      <c r="E25" s="336"/>
      <c r="F25" s="173" t="s">
        <v>59</v>
      </c>
      <c r="G25" s="118">
        <v>1.56</v>
      </c>
      <c r="H25" s="158">
        <f t="shared" si="5"/>
        <v>312</v>
      </c>
      <c r="I25" s="336"/>
      <c r="J25" s="143" t="s">
        <v>78</v>
      </c>
    </row>
    <row r="26" spans="1:20" ht="16" x14ac:dyDescent="0.35">
      <c r="A26" s="349">
        <v>45964</v>
      </c>
      <c r="B26" s="151" t="s">
        <v>7</v>
      </c>
      <c r="C26" s="151">
        <v>0.6</v>
      </c>
      <c r="D26" s="157">
        <f t="shared" ref="D26:D30" si="6">(C26*200)</f>
        <v>120</v>
      </c>
      <c r="E26" s="336"/>
      <c r="F26" s="145" t="s">
        <v>78</v>
      </c>
      <c r="G26" s="116">
        <v>0.75</v>
      </c>
      <c r="H26" s="167">
        <f t="shared" ref="H26:H30" si="7">(G26*200)</f>
        <v>150</v>
      </c>
      <c r="I26" s="336"/>
      <c r="J26" s="141" t="s">
        <v>78</v>
      </c>
    </row>
    <row r="27" spans="1:20" ht="16" x14ac:dyDescent="0.35">
      <c r="A27" s="350"/>
      <c r="B27" s="150" t="s">
        <v>8</v>
      </c>
      <c r="C27" s="150">
        <v>0.68</v>
      </c>
      <c r="D27" s="158">
        <f t="shared" si="6"/>
        <v>136</v>
      </c>
      <c r="E27" s="336"/>
      <c r="F27" s="142" t="s">
        <v>78</v>
      </c>
      <c r="G27" s="117">
        <v>0.9</v>
      </c>
      <c r="H27" s="158">
        <f t="shared" si="7"/>
        <v>180</v>
      </c>
      <c r="I27" s="336"/>
      <c r="J27" s="142" t="s">
        <v>78</v>
      </c>
    </row>
    <row r="28" spans="1:20" ht="16" x14ac:dyDescent="0.35">
      <c r="A28" s="350"/>
      <c r="B28" s="150" t="s">
        <v>9</v>
      </c>
      <c r="C28" s="150">
        <v>0.69</v>
      </c>
      <c r="D28" s="158">
        <f t="shared" si="6"/>
        <v>138</v>
      </c>
      <c r="E28" s="336"/>
      <c r="F28" s="142" t="s">
        <v>78</v>
      </c>
      <c r="G28" s="117">
        <v>0.83</v>
      </c>
      <c r="H28" s="158">
        <f t="shared" si="7"/>
        <v>166</v>
      </c>
      <c r="I28" s="336"/>
      <c r="J28" s="142" t="s">
        <v>78</v>
      </c>
    </row>
    <row r="29" spans="1:20" ht="16" x14ac:dyDescent="0.35">
      <c r="A29" s="350"/>
      <c r="B29" s="150" t="s">
        <v>10</v>
      </c>
      <c r="C29" s="150">
        <v>0.62</v>
      </c>
      <c r="D29" s="158">
        <f t="shared" si="6"/>
        <v>124</v>
      </c>
      <c r="E29" s="336"/>
      <c r="F29" s="142" t="s">
        <v>78</v>
      </c>
      <c r="G29" s="117">
        <v>0.77</v>
      </c>
      <c r="H29" s="158">
        <f t="shared" si="7"/>
        <v>154</v>
      </c>
      <c r="I29" s="336"/>
      <c r="J29" s="142" t="s">
        <v>78</v>
      </c>
    </row>
    <row r="30" spans="1:20" ht="16.5" thickBot="1" x14ac:dyDescent="0.4">
      <c r="A30" s="351"/>
      <c r="B30" s="118" t="s">
        <v>106</v>
      </c>
      <c r="C30" s="118">
        <v>0.86</v>
      </c>
      <c r="D30" s="159">
        <f t="shared" si="6"/>
        <v>172</v>
      </c>
      <c r="E30" s="337"/>
      <c r="F30" s="352" t="s">
        <v>78</v>
      </c>
      <c r="G30" s="118">
        <v>1.92</v>
      </c>
      <c r="H30" s="158">
        <f t="shared" si="7"/>
        <v>384</v>
      </c>
      <c r="I30" s="337"/>
      <c r="J30" s="143" t="s">
        <v>78</v>
      </c>
    </row>
    <row r="31" spans="1:20" x14ac:dyDescent="0.35">
      <c r="A31" s="58"/>
      <c r="B31" s="37"/>
      <c r="C31" s="11"/>
      <c r="D31" s="59"/>
      <c r="E31" s="60"/>
      <c r="F31" s="37"/>
    </row>
    <row r="32" spans="1:20" x14ac:dyDescent="0.35">
      <c r="A32" s="58"/>
      <c r="B32" s="37"/>
      <c r="C32" s="11"/>
      <c r="D32" s="59"/>
      <c r="E32" s="60"/>
      <c r="F32" s="37"/>
    </row>
    <row r="33" spans="1:13" x14ac:dyDescent="0.35">
      <c r="A33" s="58"/>
      <c r="B33" s="37"/>
      <c r="C33" s="11"/>
      <c r="D33" s="59"/>
      <c r="E33" s="60"/>
      <c r="F33" s="37"/>
    </row>
    <row r="34" spans="1:13" x14ac:dyDescent="0.35">
      <c r="A34" s="58"/>
      <c r="B34" s="37"/>
      <c r="C34" s="11"/>
      <c r="D34" s="59"/>
      <c r="E34" s="60"/>
      <c r="F34" s="37"/>
    </row>
    <row r="35" spans="1:13" x14ac:dyDescent="0.35">
      <c r="A35" s="58"/>
      <c r="B35" s="37"/>
      <c r="C35" s="11"/>
      <c r="D35" s="59"/>
      <c r="E35" s="60"/>
      <c r="F35" s="37"/>
    </row>
    <row r="36" spans="1:13" ht="18.5" x14ac:dyDescent="0.45">
      <c r="A36" s="5" t="s">
        <v>30</v>
      </c>
    </row>
    <row r="37" spans="1:13" ht="16" x14ac:dyDescent="0.4">
      <c r="A37" s="13"/>
      <c r="B37" s="342" t="s">
        <v>85</v>
      </c>
      <c r="C37" s="342"/>
      <c r="D37" s="342"/>
      <c r="E37" s="342"/>
      <c r="F37" s="342"/>
      <c r="G37" s="342"/>
      <c r="H37" s="136"/>
      <c r="I37" s="136"/>
      <c r="J37" s="136"/>
      <c r="K37" s="136"/>
      <c r="L37" s="136"/>
    </row>
    <row r="38" spans="1:13" ht="16" x14ac:dyDescent="0.35">
      <c r="B38" s="343" t="s">
        <v>86</v>
      </c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</row>
    <row r="39" spans="1:13" ht="16" x14ac:dyDescent="0.4">
      <c r="A39" s="13"/>
      <c r="B39" s="254" t="s">
        <v>87</v>
      </c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</row>
  </sheetData>
  <mergeCells count="21">
    <mergeCell ref="G3:J3"/>
    <mergeCell ref="A21:A25"/>
    <mergeCell ref="A26:A30"/>
    <mergeCell ref="E5:E30"/>
    <mergeCell ref="I5:I30"/>
    <mergeCell ref="W5:W12"/>
    <mergeCell ref="U3:X3"/>
    <mergeCell ref="Q3:T3"/>
    <mergeCell ref="B39:M39"/>
    <mergeCell ref="A5:A8"/>
    <mergeCell ref="A9:A12"/>
    <mergeCell ref="A13:A16"/>
    <mergeCell ref="B37:G37"/>
    <mergeCell ref="B38:M38"/>
    <mergeCell ref="A17:A20"/>
    <mergeCell ref="O13:O16"/>
    <mergeCell ref="O17:O20"/>
    <mergeCell ref="O5:O7"/>
    <mergeCell ref="O8:O12"/>
    <mergeCell ref="S5:S12"/>
    <mergeCell ref="C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Total Suspended Solid-Digestate</vt:lpstr>
      <vt:lpstr>Total Solids-Digestate</vt:lpstr>
      <vt:lpstr>Volatile Solids- Digestate</vt:lpstr>
      <vt:lpstr>%Total Solids-Substrate</vt:lpstr>
      <vt:lpstr>%Volatile Solids-Substrate</vt:lpstr>
      <vt:lpstr>Nitrate-N</vt:lpstr>
      <vt:lpstr>Phosphate (Total &amp; Reactive)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Xenia Baring</dc:creator>
  <cp:lastModifiedBy>Rica Xenia Baring</cp:lastModifiedBy>
  <dcterms:created xsi:type="dcterms:W3CDTF">2025-09-04T08:26:37Z</dcterms:created>
  <dcterms:modified xsi:type="dcterms:W3CDTF">2025-11-08T03:08:30Z</dcterms:modified>
</cp:coreProperties>
</file>