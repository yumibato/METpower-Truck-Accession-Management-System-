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15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7.xml" ContentType="application/vnd.openxmlformats-officedocument.drawing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ylDolor\Desktop\SBVC\Projects\20250403_Biogas Plant ERP System\For Report\"/>
    </mc:Choice>
  </mc:AlternateContent>
  <xr:revisionPtr revIDLastSave="0" documentId="13_ncr:1_{0F6F24F7-145D-4A8C-85DC-123120823013}" xr6:coauthVersionLast="47" xr6:coauthVersionMax="47" xr10:uidLastSave="{00000000-0000-0000-0000-000000000000}"/>
  <bookViews>
    <workbookView xWindow="-108" yWindow="-108" windowWidth="23256" windowHeight="12456" firstSheet="5" activeTab="14" xr2:uid="{00000000-000D-0000-FFFF-FFFF00000000}"/>
  </bookViews>
  <sheets>
    <sheet name="Mar actual FM vol" sheetId="12" state="hidden" r:id="rId1"/>
    <sheet name="Mar actual FM volVer2" sheetId="13" state="hidden" r:id="rId2"/>
    <sheet name="May actual FM vol" sheetId="16" state="hidden" r:id="rId3"/>
    <sheet name="Dec" sheetId="29" r:id="rId4"/>
    <sheet name="Jan" sheetId="30" r:id="rId5"/>
    <sheet name="Feb" sheetId="32" r:id="rId6"/>
    <sheet name="Mar" sheetId="35" r:id="rId7"/>
    <sheet name="Apr(SCA)" sheetId="36" r:id="rId8"/>
    <sheet name="Apr(Act)" sheetId="37" r:id="rId9"/>
    <sheet name="May" sheetId="38" r:id="rId10"/>
    <sheet name="Jun" sheetId="39" r:id="rId11"/>
    <sheet name="Jul" sheetId="40" r:id="rId12"/>
    <sheet name="Aug" sheetId="41" r:id="rId13"/>
    <sheet name="Sep" sheetId="46" r:id="rId14"/>
    <sheet name="Oct" sheetId="48" r:id="rId15"/>
    <sheet name="CY Yield" sheetId="44" r:id="rId16"/>
    <sheet name="Collectibles" sheetId="31" r:id="rId17"/>
    <sheet name="Sur Collectible (2)" sheetId="27" state="hidden" r:id="rId18"/>
    <sheet name="Shortfall" sheetId="26" state="hidden" r:id="rId19"/>
    <sheet name="YTD Yield" sheetId="25" state="hidden" r:id="rId20"/>
  </sheets>
  <externalReferences>
    <externalReference r:id="rId21"/>
    <externalReference r:id="rId2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0" i="48" l="1"/>
  <c r="I130" i="48" s="1"/>
  <c r="I131" i="48" s="1"/>
  <c r="E130" i="48"/>
  <c r="E131" i="48" s="1"/>
  <c r="F130" i="48"/>
  <c r="F131" i="48" s="1"/>
  <c r="G130" i="48"/>
  <c r="H130" i="48"/>
  <c r="G131" i="48"/>
  <c r="H131" i="48"/>
  <c r="D131" i="48" l="1"/>
  <c r="M20" i="31" l="1"/>
  <c r="E20" i="31"/>
  <c r="F20" i="31" s="1"/>
  <c r="C20" i="31"/>
  <c r="D20" i="31" s="1"/>
  <c r="C51" i="48"/>
  <c r="C87" i="48"/>
  <c r="H172" i="48"/>
  <c r="H173" i="48" s="1"/>
  <c r="H174" i="48"/>
  <c r="H39" i="48"/>
  <c r="H115" i="48"/>
  <c r="H118" i="48" s="1"/>
  <c r="H132" i="48" s="1"/>
  <c r="H133" i="48" s="1"/>
  <c r="H176" i="48" l="1"/>
  <c r="G20" i="31"/>
  <c r="M19" i="31"/>
  <c r="K19" i="31"/>
  <c r="K18" i="31"/>
  <c r="J19" i="31"/>
  <c r="J18" i="31"/>
  <c r="E19" i="31"/>
  <c r="F19" i="31" s="1"/>
  <c r="C19" i="31"/>
  <c r="D19" i="31" s="1"/>
  <c r="G19" i="31" l="1"/>
  <c r="M18" i="31"/>
  <c r="E18" i="31"/>
  <c r="F18" i="31" s="1"/>
  <c r="C18" i="31"/>
  <c r="D18" i="31" s="1"/>
  <c r="G18" i="31" s="1"/>
  <c r="M17" i="31" l="1"/>
  <c r="K17" i="31"/>
  <c r="J17" i="31"/>
  <c r="E17" i="31"/>
  <c r="F17" i="31" s="1"/>
  <c r="C17" i="31"/>
  <c r="D17" i="31" s="1"/>
  <c r="G17" i="31" l="1"/>
  <c r="M16" i="31" l="1"/>
  <c r="M15" i="31" s="1"/>
  <c r="K16" i="31" l="1"/>
  <c r="J16" i="31"/>
  <c r="E16" i="31"/>
  <c r="E15" i="31" s="1"/>
  <c r="F15" i="31" s="1"/>
  <c r="C16" i="31"/>
  <c r="D16" i="31" s="1"/>
  <c r="C15" i="31" l="1"/>
  <c r="D15" i="31" s="1"/>
  <c r="G15" i="31" s="1"/>
  <c r="F16" i="31"/>
  <c r="G16" i="31" s="1"/>
  <c r="H120" i="48" l="1"/>
  <c r="C86" i="48"/>
  <c r="D121" i="48" s="1"/>
  <c r="H77" i="48"/>
  <c r="H128" i="48" s="1"/>
  <c r="C50" i="48"/>
  <c r="D80" i="48" s="1"/>
  <c r="C5" i="48"/>
  <c r="D41" i="48" s="1"/>
  <c r="D238" i="48"/>
  <c r="C238" i="48"/>
  <c r="E236" i="48"/>
  <c r="E235" i="48"/>
  <c r="E234" i="48"/>
  <c r="E233" i="48"/>
  <c r="E232" i="48"/>
  <c r="E231" i="48"/>
  <c r="E230" i="48"/>
  <c r="E229" i="48"/>
  <c r="E228" i="48"/>
  <c r="E227" i="48"/>
  <c r="E226" i="48"/>
  <c r="E225" i="48"/>
  <c r="I175" i="48"/>
  <c r="G172" i="48"/>
  <c r="G173" i="48" s="1"/>
  <c r="F172" i="48"/>
  <c r="G120" i="48"/>
  <c r="F120" i="48"/>
  <c r="E120" i="48"/>
  <c r="D120" i="48"/>
  <c r="D119" i="48"/>
  <c r="E119" i="48" s="1"/>
  <c r="F119" i="48" s="1"/>
  <c r="G115" i="48"/>
  <c r="G118" i="48" s="1"/>
  <c r="G132" i="48" s="1"/>
  <c r="G133" i="48" s="1"/>
  <c r="F115" i="48"/>
  <c r="F118" i="48" s="1"/>
  <c r="F132" i="48" s="1"/>
  <c r="F133" i="48" s="1"/>
  <c r="E115" i="48"/>
  <c r="E118" i="48" s="1"/>
  <c r="E132" i="48" s="1"/>
  <c r="E133" i="48" s="1"/>
  <c r="D115" i="48"/>
  <c r="D118" i="48" s="1"/>
  <c r="D132" i="48" s="1"/>
  <c r="D79" i="48"/>
  <c r="E79" i="48" s="1"/>
  <c r="F79" i="48" s="1"/>
  <c r="G79" i="48" s="1"/>
  <c r="G77" i="48"/>
  <c r="G128" i="48" s="1"/>
  <c r="F77" i="48"/>
  <c r="F128" i="48" s="1"/>
  <c r="E77" i="48"/>
  <c r="E128" i="48" s="1"/>
  <c r="D77" i="48"/>
  <c r="D128" i="48" s="1"/>
  <c r="G39" i="48"/>
  <c r="F39" i="48"/>
  <c r="E39" i="48"/>
  <c r="D39" i="48"/>
  <c r="C8" i="48"/>
  <c r="G176" i="46"/>
  <c r="G118" i="46"/>
  <c r="G115" i="46"/>
  <c r="I132" i="48" l="1"/>
  <c r="I133" i="48" s="1"/>
  <c r="D133" i="48"/>
  <c r="D171" i="48"/>
  <c r="E171" i="48"/>
  <c r="F171" i="48"/>
  <c r="G171" i="48"/>
  <c r="H113" i="48"/>
  <c r="H171" i="48"/>
  <c r="E121" i="48"/>
  <c r="H80" i="48"/>
  <c r="H79" i="48"/>
  <c r="G121" i="48"/>
  <c r="E238" i="48"/>
  <c r="D40" i="48"/>
  <c r="E41" i="48" s="1"/>
  <c r="C6" i="48"/>
  <c r="B13" i="44" s="1"/>
  <c r="E80" i="48"/>
  <c r="F173" i="48"/>
  <c r="G80" i="48"/>
  <c r="C52" i="48"/>
  <c r="D13" i="44"/>
  <c r="F80" i="48"/>
  <c r="C89" i="48"/>
  <c r="C13" i="44"/>
  <c r="F121" i="48"/>
  <c r="C88" i="48"/>
  <c r="G119" i="48"/>
  <c r="E174" i="48"/>
  <c r="F174" i="48"/>
  <c r="F176" i="48" s="1"/>
  <c r="G174" i="48"/>
  <c r="G176" i="48" s="1"/>
  <c r="D174" i="48"/>
  <c r="D113" i="48"/>
  <c r="E113" i="48"/>
  <c r="D172" i="48"/>
  <c r="C53" i="48"/>
  <c r="F113" i="48"/>
  <c r="E172" i="48"/>
  <c r="E173" i="48" s="1"/>
  <c r="G113" i="48"/>
  <c r="F176" i="46"/>
  <c r="F115" i="46"/>
  <c r="I172" i="48" l="1"/>
  <c r="I173" i="48" s="1"/>
  <c r="I174" i="48"/>
  <c r="E176" i="48"/>
  <c r="H121" i="48"/>
  <c r="H119" i="48"/>
  <c r="E40" i="48"/>
  <c r="F40" i="48" s="1"/>
  <c r="C7" i="48"/>
  <c r="F13" i="44"/>
  <c r="I13" i="44" s="1"/>
  <c r="E13" i="44"/>
  <c r="D173" i="48"/>
  <c r="D176" i="48"/>
  <c r="E115" i="46"/>
  <c r="D115" i="46"/>
  <c r="H13" i="44" l="1"/>
  <c r="F41" i="48"/>
  <c r="G13" i="44"/>
  <c r="I176" i="48"/>
  <c r="G40" i="48"/>
  <c r="G41" i="48"/>
  <c r="H41" i="48" l="1"/>
  <c r="H40" i="48"/>
  <c r="H11" i="44"/>
  <c r="I11" i="44"/>
  <c r="I10" i="44"/>
  <c r="I9" i="44"/>
  <c r="I8" i="44"/>
  <c r="I7" i="44"/>
  <c r="C86" i="46" l="1"/>
  <c r="C50" i="46"/>
  <c r="D80" i="46" s="1"/>
  <c r="C5" i="46"/>
  <c r="D41" i="46" s="1"/>
  <c r="M13" i="31" l="1"/>
  <c r="K13" i="31" l="1"/>
  <c r="J13" i="31" s="1"/>
  <c r="G176" i="41"/>
  <c r="G118" i="41" l="1"/>
  <c r="D238" i="46" l="1"/>
  <c r="C238" i="46"/>
  <c r="E236" i="46"/>
  <c r="E235" i="46"/>
  <c r="E234" i="46"/>
  <c r="E233" i="46"/>
  <c r="E232" i="46"/>
  <c r="E231" i="46"/>
  <c r="E230" i="46"/>
  <c r="E229" i="46"/>
  <c r="E228" i="46"/>
  <c r="E227" i="46"/>
  <c r="E226" i="46"/>
  <c r="E225" i="46"/>
  <c r="I175" i="46"/>
  <c r="H132" i="46"/>
  <c r="G132" i="46"/>
  <c r="G174" i="46" s="1"/>
  <c r="H130" i="46"/>
  <c r="H131" i="46" s="1"/>
  <c r="G130" i="46"/>
  <c r="G172" i="46" s="1"/>
  <c r="G173" i="46" s="1"/>
  <c r="F130" i="46"/>
  <c r="F172" i="46" s="1"/>
  <c r="F173" i="46" s="1"/>
  <c r="E130" i="46"/>
  <c r="E131" i="46" s="1"/>
  <c r="D130" i="46"/>
  <c r="D172" i="46" s="1"/>
  <c r="H128" i="46"/>
  <c r="D121" i="46"/>
  <c r="G120" i="46"/>
  <c r="F120" i="46"/>
  <c r="E120" i="46"/>
  <c r="D120" i="46"/>
  <c r="D119" i="46"/>
  <c r="E119" i="46" s="1"/>
  <c r="F119" i="46" s="1"/>
  <c r="G119" i="46" s="1"/>
  <c r="F118" i="46"/>
  <c r="F132" i="46" s="1"/>
  <c r="E118" i="46"/>
  <c r="E132" i="46" s="1"/>
  <c r="D118" i="46"/>
  <c r="D132" i="46" s="1"/>
  <c r="C87" i="46"/>
  <c r="C89" i="46" s="1"/>
  <c r="D79" i="46"/>
  <c r="G77" i="46"/>
  <c r="G113" i="46" s="1"/>
  <c r="F77" i="46"/>
  <c r="F113" i="46" s="1"/>
  <c r="E77" i="46"/>
  <c r="E128" i="46" s="1"/>
  <c r="E171" i="46" s="1"/>
  <c r="D77" i="46"/>
  <c r="D113" i="46" s="1"/>
  <c r="C51" i="46"/>
  <c r="G39" i="46"/>
  <c r="F39" i="46"/>
  <c r="E39" i="46"/>
  <c r="D39" i="46"/>
  <c r="C8" i="46"/>
  <c r="D131" i="46" l="1"/>
  <c r="E172" i="46"/>
  <c r="E173" i="46" s="1"/>
  <c r="H133" i="46"/>
  <c r="C88" i="46"/>
  <c r="C12" i="44"/>
  <c r="E238" i="46"/>
  <c r="C6" i="46"/>
  <c r="B12" i="44" s="1"/>
  <c r="E12" i="44" s="1"/>
  <c r="C52" i="46"/>
  <c r="D12" i="44"/>
  <c r="E79" i="46"/>
  <c r="F80" i="46" s="1"/>
  <c r="E80" i="46"/>
  <c r="G133" i="46"/>
  <c r="I130" i="46"/>
  <c r="I131" i="46" s="1"/>
  <c r="F131" i="46"/>
  <c r="G131" i="46"/>
  <c r="G128" i="46"/>
  <c r="G171" i="46" s="1"/>
  <c r="F128" i="46"/>
  <c r="F171" i="46" s="1"/>
  <c r="E133" i="46"/>
  <c r="E174" i="46"/>
  <c r="E176" i="46" s="1"/>
  <c r="F133" i="46"/>
  <c r="F174" i="46"/>
  <c r="D133" i="46"/>
  <c r="I132" i="46"/>
  <c r="D174" i="46"/>
  <c r="D173" i="46"/>
  <c r="I172" i="46"/>
  <c r="I173" i="46" s="1"/>
  <c r="D40" i="46"/>
  <c r="E41" i="46" s="1"/>
  <c r="E121" i="46"/>
  <c r="F121" i="46"/>
  <c r="G121" i="46"/>
  <c r="C53" i="46"/>
  <c r="D128" i="46"/>
  <c r="D171" i="46" s="1"/>
  <c r="E113" i="46"/>
  <c r="K9" i="31"/>
  <c r="J9" i="31" s="1"/>
  <c r="K12" i="31"/>
  <c r="J12" i="31" s="1"/>
  <c r="K11" i="31"/>
  <c r="K10" i="31"/>
  <c r="I133" i="46" l="1"/>
  <c r="F12" i="44"/>
  <c r="F79" i="46"/>
  <c r="G79" i="46" s="1"/>
  <c r="D176" i="46"/>
  <c r="I174" i="46"/>
  <c r="I176" i="46" s="1"/>
  <c r="E40" i="46"/>
  <c r="F41" i="46" s="1"/>
  <c r="J11" i="31"/>
  <c r="J10" i="31"/>
  <c r="E4" i="44"/>
  <c r="F4" i="44"/>
  <c r="H4" i="44" s="1"/>
  <c r="E5" i="44"/>
  <c r="F5" i="44"/>
  <c r="G5" i="44" s="1"/>
  <c r="E6" i="44"/>
  <c r="F6" i="44"/>
  <c r="G6" i="44"/>
  <c r="H6" i="44"/>
  <c r="G12" i="44" l="1"/>
  <c r="H12" i="44"/>
  <c r="I12" i="44"/>
  <c r="G4" i="44"/>
  <c r="G80" i="46"/>
  <c r="F40" i="46"/>
  <c r="G41" i="46" s="1"/>
  <c r="H5" i="44"/>
  <c r="G40" i="46" l="1"/>
  <c r="F176" i="41"/>
  <c r="F118" i="41"/>
  <c r="C87" i="40" l="1"/>
  <c r="C51" i="40"/>
  <c r="C6" i="40"/>
  <c r="F10" i="44"/>
  <c r="G10" i="44" s="1"/>
  <c r="E10" i="44"/>
  <c r="F9" i="44"/>
  <c r="G9" i="44" s="1"/>
  <c r="E9" i="44"/>
  <c r="F8" i="44"/>
  <c r="G8" i="44" s="1"/>
  <c r="E8" i="44"/>
  <c r="F7" i="44"/>
  <c r="E7" i="44"/>
  <c r="E12" i="31"/>
  <c r="C12" i="31"/>
  <c r="E176" i="41"/>
  <c r="E118" i="41"/>
  <c r="G7" i="44" l="1"/>
  <c r="H10" i="44"/>
  <c r="H8" i="44"/>
  <c r="H7" i="44"/>
  <c r="H9" i="44"/>
  <c r="D238" i="41" l="1"/>
  <c r="C238" i="41"/>
  <c r="E236" i="41"/>
  <c r="E235" i="41"/>
  <c r="E234" i="41"/>
  <c r="E233" i="41"/>
  <c r="E232" i="41"/>
  <c r="E231" i="41"/>
  <c r="E230" i="41"/>
  <c r="E229" i="41"/>
  <c r="E228" i="41"/>
  <c r="E238" i="41" s="1"/>
  <c r="E227" i="41"/>
  <c r="E226" i="41"/>
  <c r="E225" i="41"/>
  <c r="I175" i="41"/>
  <c r="D131" i="41"/>
  <c r="H130" i="41"/>
  <c r="G130" i="41"/>
  <c r="G172" i="41" s="1"/>
  <c r="G173" i="41" s="1"/>
  <c r="F130" i="41"/>
  <c r="F131" i="41" s="1"/>
  <c r="E130" i="41"/>
  <c r="E131" i="41" s="1"/>
  <c r="D130" i="41"/>
  <c r="D172" i="41" s="1"/>
  <c r="D173" i="41" s="1"/>
  <c r="G120" i="41"/>
  <c r="F120" i="41"/>
  <c r="E120" i="41"/>
  <c r="D120" i="41"/>
  <c r="D119" i="41"/>
  <c r="E119" i="41" s="1"/>
  <c r="F119" i="41" s="1"/>
  <c r="G132" i="41"/>
  <c r="H132" i="41"/>
  <c r="G115" i="41"/>
  <c r="F115" i="41"/>
  <c r="F132" i="41" s="1"/>
  <c r="E115" i="41"/>
  <c r="E132" i="41" s="1"/>
  <c r="D115" i="41"/>
  <c r="D118" i="41" s="1"/>
  <c r="D132" i="41" s="1"/>
  <c r="C87" i="41"/>
  <c r="D79" i="41"/>
  <c r="E79" i="41" s="1"/>
  <c r="F79" i="41" s="1"/>
  <c r="G79" i="41" s="1"/>
  <c r="G77" i="41"/>
  <c r="G113" i="41" s="1"/>
  <c r="F77" i="41"/>
  <c r="F113" i="41" s="1"/>
  <c r="E77" i="41"/>
  <c r="E113" i="41" s="1"/>
  <c r="D77" i="41"/>
  <c r="D113" i="41" s="1"/>
  <c r="C51" i="41"/>
  <c r="D40" i="41"/>
  <c r="G39" i="41"/>
  <c r="F39" i="41"/>
  <c r="E39" i="41"/>
  <c r="D39" i="41"/>
  <c r="C8" i="41"/>
  <c r="I175" i="40"/>
  <c r="G176" i="40"/>
  <c r="C11" i="44" l="1"/>
  <c r="F11" i="44" s="1"/>
  <c r="D11" i="44"/>
  <c r="E40" i="41"/>
  <c r="F40" i="41" s="1"/>
  <c r="G131" i="41"/>
  <c r="H131" i="41"/>
  <c r="G40" i="41"/>
  <c r="F133" i="41"/>
  <c r="F174" i="41"/>
  <c r="H133" i="41"/>
  <c r="E133" i="41"/>
  <c r="E174" i="41"/>
  <c r="D174" i="41"/>
  <c r="I132" i="41"/>
  <c r="D133" i="41"/>
  <c r="G119" i="41"/>
  <c r="G174" i="41"/>
  <c r="G133" i="41"/>
  <c r="C6" i="41"/>
  <c r="D128" i="41"/>
  <c r="D171" i="41" s="1"/>
  <c r="F128" i="41"/>
  <c r="F171" i="41" s="1"/>
  <c r="I130" i="41"/>
  <c r="I131" i="41" s="1"/>
  <c r="G128" i="41"/>
  <c r="G171" i="41" s="1"/>
  <c r="E172" i="41"/>
  <c r="H128" i="41"/>
  <c r="F172" i="41"/>
  <c r="F173" i="41" s="1"/>
  <c r="E128" i="41"/>
  <c r="E171" i="41" s="1"/>
  <c r="B11" i="44" l="1"/>
  <c r="G11" i="44"/>
  <c r="E11" i="44"/>
  <c r="D176" i="41"/>
  <c r="I174" i="41"/>
  <c r="E173" i="41"/>
  <c r="I172" i="41"/>
  <c r="I173" i="41" s="1"/>
  <c r="I133" i="41"/>
  <c r="I130" i="40"/>
  <c r="I176" i="41" l="1"/>
  <c r="H171" i="40"/>
  <c r="H172" i="40"/>
  <c r="H128" i="40"/>
  <c r="H130" i="40"/>
  <c r="H131" i="40" s="1"/>
  <c r="H115" i="40"/>
  <c r="H118" i="40" s="1"/>
  <c r="H132" i="40" s="1"/>
  <c r="H120" i="40"/>
  <c r="H77" i="40"/>
  <c r="H113" i="40" s="1"/>
  <c r="H39" i="40"/>
  <c r="H173" i="40" l="1"/>
  <c r="H176" i="40"/>
  <c r="H174" i="40"/>
  <c r="I132" i="40"/>
  <c r="H133" i="40"/>
  <c r="E117" i="40" l="1"/>
  <c r="D12" i="31" l="1"/>
  <c r="F12" i="31"/>
  <c r="C50" i="40"/>
  <c r="D80" i="40" l="1"/>
  <c r="C5" i="40"/>
  <c r="D238" i="40"/>
  <c r="C238" i="40"/>
  <c r="E236" i="40"/>
  <c r="E235" i="40"/>
  <c r="E234" i="40"/>
  <c r="E233" i="40"/>
  <c r="E232" i="40"/>
  <c r="E231" i="40"/>
  <c r="E230" i="40"/>
  <c r="E229" i="40"/>
  <c r="E228" i="40"/>
  <c r="E227" i="40"/>
  <c r="E226" i="40"/>
  <c r="E225" i="40"/>
  <c r="E131" i="40"/>
  <c r="G130" i="40"/>
  <c r="G172" i="40" s="1"/>
  <c r="G173" i="40" s="1"/>
  <c r="F130" i="40"/>
  <c r="F172" i="40" s="1"/>
  <c r="F173" i="40" s="1"/>
  <c r="E130" i="40"/>
  <c r="E172" i="40" s="1"/>
  <c r="E173" i="40" s="1"/>
  <c r="D130" i="40"/>
  <c r="D172" i="40" s="1"/>
  <c r="G120" i="40"/>
  <c r="F120" i="40"/>
  <c r="E120" i="40"/>
  <c r="D120" i="40"/>
  <c r="D119" i="40"/>
  <c r="E119" i="40" s="1"/>
  <c r="G115" i="40"/>
  <c r="G118" i="40" s="1"/>
  <c r="G132" i="40" s="1"/>
  <c r="F115" i="40"/>
  <c r="F118" i="40" s="1"/>
  <c r="F132" i="40" s="1"/>
  <c r="E115" i="40"/>
  <c r="E118" i="40" s="1"/>
  <c r="E132" i="40" s="1"/>
  <c r="D115" i="40"/>
  <c r="D118" i="40" s="1"/>
  <c r="D132" i="40" s="1"/>
  <c r="C88" i="40"/>
  <c r="C86" i="40"/>
  <c r="D79" i="40"/>
  <c r="E80" i="40" s="1"/>
  <c r="G77" i="40"/>
  <c r="G128" i="40" s="1"/>
  <c r="G171" i="40" s="1"/>
  <c r="F77" i="40"/>
  <c r="F128" i="40" s="1"/>
  <c r="F171" i="40" s="1"/>
  <c r="E77" i="40"/>
  <c r="E128" i="40" s="1"/>
  <c r="E171" i="40" s="1"/>
  <c r="D77" i="40"/>
  <c r="D128" i="40" s="1"/>
  <c r="D171" i="40" s="1"/>
  <c r="C52" i="40"/>
  <c r="G39" i="40"/>
  <c r="F39" i="40"/>
  <c r="E39" i="40"/>
  <c r="D39" i="40"/>
  <c r="C8" i="40"/>
  <c r="C86" i="41" l="1"/>
  <c r="C88" i="41"/>
  <c r="C50" i="41"/>
  <c r="C52" i="41"/>
  <c r="D41" i="40"/>
  <c r="E238" i="40"/>
  <c r="F121" i="40"/>
  <c r="E121" i="40"/>
  <c r="D121" i="40"/>
  <c r="F119" i="40"/>
  <c r="G121" i="40" s="1"/>
  <c r="C89" i="40"/>
  <c r="E79" i="40"/>
  <c r="F80" i="40" s="1"/>
  <c r="F79" i="40"/>
  <c r="C53" i="40"/>
  <c r="C7" i="40"/>
  <c r="D131" i="40"/>
  <c r="D173" i="40"/>
  <c r="I172" i="40"/>
  <c r="I173" i="40" s="1"/>
  <c r="F133" i="40"/>
  <c r="F174" i="40"/>
  <c r="F176" i="40" s="1"/>
  <c r="G174" i="40"/>
  <c r="G133" i="40"/>
  <c r="D174" i="40"/>
  <c r="D133" i="40"/>
  <c r="E174" i="40"/>
  <c r="E176" i="40" s="1"/>
  <c r="E133" i="40"/>
  <c r="D113" i="40"/>
  <c r="G113" i="40"/>
  <c r="F131" i="40"/>
  <c r="D40" i="40"/>
  <c r="E41" i="40" s="1"/>
  <c r="G131" i="40"/>
  <c r="F113" i="40"/>
  <c r="E113" i="40"/>
  <c r="F176" i="39"/>
  <c r="D121" i="41" l="1"/>
  <c r="G121" i="41"/>
  <c r="F121" i="41"/>
  <c r="C89" i="41"/>
  <c r="E121" i="41"/>
  <c r="D80" i="41"/>
  <c r="E80" i="41"/>
  <c r="G80" i="41"/>
  <c r="C53" i="41"/>
  <c r="F80" i="41"/>
  <c r="C5" i="41"/>
  <c r="C7" i="41"/>
  <c r="I131" i="40"/>
  <c r="G79" i="40"/>
  <c r="G80" i="40"/>
  <c r="G119" i="40"/>
  <c r="I133" i="40"/>
  <c r="I174" i="40"/>
  <c r="I176" i="40" s="1"/>
  <c r="D176" i="40"/>
  <c r="E40" i="40"/>
  <c r="F41" i="40" s="1"/>
  <c r="C7" i="46" l="1"/>
  <c r="D41" i="41"/>
  <c r="E41" i="41"/>
  <c r="F41" i="41"/>
  <c r="G41" i="41"/>
  <c r="H119" i="40"/>
  <c r="H121" i="40"/>
  <c r="H79" i="40"/>
  <c r="H80" i="40"/>
  <c r="F40" i="40"/>
  <c r="R9" i="31"/>
  <c r="E176" i="39"/>
  <c r="I20" i="31" l="1"/>
  <c r="L20" i="31" s="1"/>
  <c r="O20" i="31" s="1"/>
  <c r="I19" i="31"/>
  <c r="L19" i="31" s="1"/>
  <c r="O19" i="31" s="1"/>
  <c r="I18" i="31"/>
  <c r="L18" i="31" s="1"/>
  <c r="O18" i="31" s="1"/>
  <c r="I17" i="31"/>
  <c r="L17" i="31" s="1"/>
  <c r="O17" i="31" s="1"/>
  <c r="I16" i="31"/>
  <c r="L16" i="31" s="1"/>
  <c r="O16" i="31" s="1"/>
  <c r="I13" i="31"/>
  <c r="L13" i="31" s="1"/>
  <c r="O13" i="31" s="1"/>
  <c r="I11" i="31"/>
  <c r="I12" i="31"/>
  <c r="G41" i="40"/>
  <c r="G40" i="40"/>
  <c r="L15" i="31" l="1"/>
  <c r="O15" i="31" s="1"/>
  <c r="H41" i="40"/>
  <c r="H40" i="40"/>
  <c r="R10" i="31"/>
  <c r="D121" i="39"/>
  <c r="C86" i="39"/>
  <c r="D80" i="39"/>
  <c r="C50" i="39"/>
  <c r="D41" i="39"/>
  <c r="C5" i="39"/>
  <c r="D238" i="39"/>
  <c r="C238" i="39"/>
  <c r="E236" i="39"/>
  <c r="E235" i="39"/>
  <c r="E234" i="39"/>
  <c r="E233" i="39"/>
  <c r="E232" i="39"/>
  <c r="E231" i="39"/>
  <c r="E230" i="39"/>
  <c r="E229" i="39"/>
  <c r="E228" i="39"/>
  <c r="E227" i="39"/>
  <c r="E226" i="39"/>
  <c r="E225" i="39"/>
  <c r="E238" i="39" s="1"/>
  <c r="H175" i="39"/>
  <c r="D131" i="39"/>
  <c r="G130" i="39"/>
  <c r="G172" i="39" s="1"/>
  <c r="F130" i="39"/>
  <c r="F172" i="39" s="1"/>
  <c r="F173" i="39" s="1"/>
  <c r="E130" i="39"/>
  <c r="E172" i="39" s="1"/>
  <c r="E173" i="39" s="1"/>
  <c r="D130" i="39"/>
  <c r="D172" i="39" s="1"/>
  <c r="G120" i="39"/>
  <c r="F120" i="39"/>
  <c r="E120" i="39"/>
  <c r="D120" i="39"/>
  <c r="D119" i="39"/>
  <c r="E119" i="39" s="1"/>
  <c r="F119" i="39" s="1"/>
  <c r="G119" i="39" s="1"/>
  <c r="F118" i="39"/>
  <c r="F132" i="39" s="1"/>
  <c r="F133" i="39" s="1"/>
  <c r="E118" i="39"/>
  <c r="E132" i="39" s="1"/>
  <c r="G115" i="39"/>
  <c r="G118" i="39" s="1"/>
  <c r="G132" i="39" s="1"/>
  <c r="F115" i="39"/>
  <c r="E115" i="39"/>
  <c r="D115" i="39"/>
  <c r="D118" i="39" s="1"/>
  <c r="D132" i="39" s="1"/>
  <c r="C87" i="39"/>
  <c r="C88" i="39" s="1"/>
  <c r="D79" i="39"/>
  <c r="E79" i="39" s="1"/>
  <c r="F80" i="39" s="1"/>
  <c r="G77" i="39"/>
  <c r="G128" i="39" s="1"/>
  <c r="G171" i="39" s="1"/>
  <c r="F77" i="39"/>
  <c r="F128" i="39" s="1"/>
  <c r="F171" i="39" s="1"/>
  <c r="E77" i="39"/>
  <c r="E128" i="39" s="1"/>
  <c r="E171" i="39" s="1"/>
  <c r="D77" i="39"/>
  <c r="D128" i="39" s="1"/>
  <c r="D171" i="39" s="1"/>
  <c r="C51" i="39"/>
  <c r="C52" i="39" s="1"/>
  <c r="G39" i="39"/>
  <c r="F39" i="39"/>
  <c r="E39" i="39"/>
  <c r="D39" i="39"/>
  <c r="C8" i="39"/>
  <c r="C87" i="38"/>
  <c r="G176" i="38"/>
  <c r="G173" i="39" l="1"/>
  <c r="G176" i="39"/>
  <c r="F131" i="39"/>
  <c r="G121" i="39"/>
  <c r="C6" i="39"/>
  <c r="E131" i="39"/>
  <c r="E80" i="39"/>
  <c r="C53" i="39"/>
  <c r="E121" i="39"/>
  <c r="F121" i="39"/>
  <c r="H130" i="39"/>
  <c r="H131" i="39" s="1"/>
  <c r="G131" i="39"/>
  <c r="G133" i="39"/>
  <c r="D174" i="39"/>
  <c r="D133" i="39"/>
  <c r="H132" i="39"/>
  <c r="F79" i="39"/>
  <c r="G80" i="39" s="1"/>
  <c r="E174" i="39"/>
  <c r="E133" i="39"/>
  <c r="D173" i="39"/>
  <c r="H172" i="39"/>
  <c r="H173" i="39" s="1"/>
  <c r="D113" i="39"/>
  <c r="F174" i="39"/>
  <c r="E113" i="39"/>
  <c r="G174" i="39"/>
  <c r="F113" i="39"/>
  <c r="G113" i="39"/>
  <c r="D40" i="39"/>
  <c r="E41" i="39" s="1"/>
  <c r="C89" i="39"/>
  <c r="F176" i="38"/>
  <c r="C7" i="39" l="1"/>
  <c r="H133" i="39"/>
  <c r="D176" i="39"/>
  <c r="H174" i="39"/>
  <c r="H176" i="39" s="1"/>
  <c r="G79" i="39"/>
  <c r="E40" i="39"/>
  <c r="F41" i="39" s="1"/>
  <c r="F39" i="38"/>
  <c r="G39" i="38"/>
  <c r="C6" i="38" s="1"/>
  <c r="I9" i="31"/>
  <c r="L9" i="31" s="1"/>
  <c r="F40" i="39" l="1"/>
  <c r="G41" i="39" s="1"/>
  <c r="G40" i="39" l="1"/>
  <c r="C5" i="38"/>
  <c r="E121" i="38" l="1"/>
  <c r="D121" i="38"/>
  <c r="E119" i="38"/>
  <c r="F121" i="38" s="1"/>
  <c r="D119" i="38"/>
  <c r="C86" i="38"/>
  <c r="E80" i="38"/>
  <c r="D80" i="38"/>
  <c r="D41" i="38"/>
  <c r="F119" i="38" l="1"/>
  <c r="C50" i="38"/>
  <c r="G121" i="38" l="1"/>
  <c r="G119" i="38"/>
  <c r="D238" i="38"/>
  <c r="C238" i="38"/>
  <c r="E236" i="38"/>
  <c r="E235" i="38"/>
  <c r="E234" i="38"/>
  <c r="E233" i="38"/>
  <c r="E232" i="38"/>
  <c r="E231" i="38"/>
  <c r="E230" i="38"/>
  <c r="E229" i="38"/>
  <c r="E228" i="38"/>
  <c r="E227" i="38"/>
  <c r="E226" i="38"/>
  <c r="E225" i="38"/>
  <c r="E238" i="38" s="1"/>
  <c r="H175" i="38"/>
  <c r="G130" i="38"/>
  <c r="G172" i="38" s="1"/>
  <c r="G173" i="38" s="1"/>
  <c r="F130" i="38"/>
  <c r="F172" i="38" s="1"/>
  <c r="F173" i="38" s="1"/>
  <c r="E130" i="38"/>
  <c r="E172" i="38" s="1"/>
  <c r="D130" i="38"/>
  <c r="D131" i="38" s="1"/>
  <c r="G120" i="38"/>
  <c r="F120" i="38"/>
  <c r="E120" i="38"/>
  <c r="D120" i="38"/>
  <c r="G115" i="38"/>
  <c r="G118" i="38" s="1"/>
  <c r="G132" i="38" s="1"/>
  <c r="F115" i="38"/>
  <c r="F118" i="38" s="1"/>
  <c r="F132" i="38" s="1"/>
  <c r="E115" i="38"/>
  <c r="E118" i="38" s="1"/>
  <c r="E132" i="38" s="1"/>
  <c r="D115" i="38"/>
  <c r="D118" i="38" s="1"/>
  <c r="D79" i="38"/>
  <c r="E79" i="38" s="1"/>
  <c r="G77" i="38"/>
  <c r="G113" i="38" s="1"/>
  <c r="F77" i="38"/>
  <c r="F113" i="38" s="1"/>
  <c r="E77" i="38"/>
  <c r="E128" i="38" s="1"/>
  <c r="E171" i="38" s="1"/>
  <c r="D77" i="38"/>
  <c r="D128" i="38" s="1"/>
  <c r="D171" i="38" s="1"/>
  <c r="C51" i="38"/>
  <c r="C52" i="38" s="1"/>
  <c r="E39" i="38"/>
  <c r="D39" i="38"/>
  <c r="D40" i="38" s="1"/>
  <c r="E41" i="38" s="1"/>
  <c r="C8" i="38"/>
  <c r="C7" i="38"/>
  <c r="C51" i="37"/>
  <c r="C87" i="37"/>
  <c r="C6" i="37"/>
  <c r="I174" i="37"/>
  <c r="I172" i="37"/>
  <c r="H172" i="37"/>
  <c r="H176" i="37"/>
  <c r="I175" i="37"/>
  <c r="H133" i="37"/>
  <c r="H120" i="37"/>
  <c r="H171" i="36"/>
  <c r="H175" i="36"/>
  <c r="I174" i="36"/>
  <c r="H132" i="36"/>
  <c r="H119" i="36"/>
  <c r="C88" i="38" l="1"/>
  <c r="E173" i="38"/>
  <c r="E176" i="38"/>
  <c r="F79" i="38"/>
  <c r="F80" i="38"/>
  <c r="C89" i="38"/>
  <c r="D132" i="38"/>
  <c r="D133" i="38" s="1"/>
  <c r="E131" i="38"/>
  <c r="F131" i="38"/>
  <c r="G131" i="38"/>
  <c r="E133" i="38"/>
  <c r="E40" i="38"/>
  <c r="F41" i="38" s="1"/>
  <c r="D172" i="38"/>
  <c r="D173" i="38" s="1"/>
  <c r="H130" i="38"/>
  <c r="H131" i="38" s="1"/>
  <c r="F133" i="38"/>
  <c r="F174" i="38"/>
  <c r="G174" i="38"/>
  <c r="G133" i="38"/>
  <c r="D113" i="38"/>
  <c r="F128" i="38"/>
  <c r="F171" i="38" s="1"/>
  <c r="E113" i="38"/>
  <c r="G128" i="38"/>
  <c r="G171" i="38" s="1"/>
  <c r="C53" i="38"/>
  <c r="E174" i="38"/>
  <c r="G120" i="37"/>
  <c r="G172" i="37"/>
  <c r="G176" i="37"/>
  <c r="F172" i="37"/>
  <c r="G133" i="37"/>
  <c r="G171" i="36"/>
  <c r="F171" i="36"/>
  <c r="E171" i="36"/>
  <c r="D171" i="36"/>
  <c r="G175" i="36"/>
  <c r="G132" i="36"/>
  <c r="G119" i="36"/>
  <c r="G79" i="38" l="1"/>
  <c r="G80" i="38"/>
  <c r="F40" i="38"/>
  <c r="G40" i="38" s="1"/>
  <c r="H172" i="38"/>
  <c r="H173" i="38" s="1"/>
  <c r="H132" i="38"/>
  <c r="H133" i="38" s="1"/>
  <c r="D174" i="38"/>
  <c r="D176" i="38" s="1"/>
  <c r="E172" i="37"/>
  <c r="D172" i="37"/>
  <c r="G41" i="38" l="1"/>
  <c r="H174" i="38"/>
  <c r="H176" i="38" s="1"/>
  <c r="D118" i="37"/>
  <c r="D119" i="37" s="1"/>
  <c r="E118" i="37"/>
  <c r="E132" i="37" s="1"/>
  <c r="C88" i="37"/>
  <c r="D238" i="37"/>
  <c r="C238" i="37"/>
  <c r="E236" i="37"/>
  <c r="E235" i="37"/>
  <c r="E234" i="37"/>
  <c r="E233" i="37"/>
  <c r="E232" i="37"/>
  <c r="E231" i="37"/>
  <c r="E230" i="37"/>
  <c r="E229" i="37"/>
  <c r="E228" i="37"/>
  <c r="E227" i="37"/>
  <c r="E226" i="37"/>
  <c r="E225" i="37"/>
  <c r="E131" i="37"/>
  <c r="H130" i="37"/>
  <c r="H131" i="37" s="1"/>
  <c r="G130" i="37"/>
  <c r="G131" i="37" s="1"/>
  <c r="F130" i="37"/>
  <c r="F131" i="37" s="1"/>
  <c r="E130" i="37"/>
  <c r="E173" i="37" s="1"/>
  <c r="D130" i="37"/>
  <c r="F128" i="37"/>
  <c r="F171" i="37" s="1"/>
  <c r="D128" i="37"/>
  <c r="D171" i="37" s="1"/>
  <c r="F120" i="37"/>
  <c r="E120" i="37"/>
  <c r="D120" i="37"/>
  <c r="G118" i="37"/>
  <c r="G132" i="37" s="1"/>
  <c r="G174" i="37" s="1"/>
  <c r="H115" i="37"/>
  <c r="H118" i="37" s="1"/>
  <c r="H132" i="37" s="1"/>
  <c r="H174" i="37" s="1"/>
  <c r="G115" i="37"/>
  <c r="F115" i="37"/>
  <c r="F118" i="37" s="1"/>
  <c r="F132" i="37" s="1"/>
  <c r="E115" i="37"/>
  <c r="D115" i="37"/>
  <c r="C86" i="37"/>
  <c r="D79" i="37"/>
  <c r="E79" i="37" s="1"/>
  <c r="F79" i="37" s="1"/>
  <c r="G79" i="37" s="1"/>
  <c r="H79" i="37" s="1"/>
  <c r="H77" i="37"/>
  <c r="H128" i="37" s="1"/>
  <c r="H171" i="37" s="1"/>
  <c r="G77" i="37"/>
  <c r="G113" i="37" s="1"/>
  <c r="F77" i="37"/>
  <c r="F113" i="37" s="1"/>
  <c r="E77" i="37"/>
  <c r="E113" i="37" s="1"/>
  <c r="D77" i="37"/>
  <c r="D113" i="37" s="1"/>
  <c r="C52" i="37"/>
  <c r="C50" i="37"/>
  <c r="E80" i="37" s="1"/>
  <c r="H39" i="37"/>
  <c r="G39" i="37"/>
  <c r="F39" i="37"/>
  <c r="E39" i="37"/>
  <c r="D39" i="37"/>
  <c r="D40" i="37" s="1"/>
  <c r="C8" i="37"/>
  <c r="C7" i="37"/>
  <c r="C5" i="37"/>
  <c r="D41" i="37" s="1"/>
  <c r="F132" i="36"/>
  <c r="F119" i="36"/>
  <c r="D173" i="37" l="1"/>
  <c r="D132" i="37"/>
  <c r="D133" i="37" s="1"/>
  <c r="E174" i="37"/>
  <c r="E176" i="37" s="1"/>
  <c r="E133" i="37"/>
  <c r="E40" i="37"/>
  <c r="E41" i="37"/>
  <c r="H113" i="37"/>
  <c r="E128" i="37"/>
  <c r="E171" i="37" s="1"/>
  <c r="D131" i="37"/>
  <c r="G128" i="37"/>
  <c r="G171" i="37" s="1"/>
  <c r="E238" i="37"/>
  <c r="C53" i="37"/>
  <c r="E119" i="37"/>
  <c r="F119" i="37" s="1"/>
  <c r="G119" i="37" s="1"/>
  <c r="H119" i="37" s="1"/>
  <c r="D80" i="37"/>
  <c r="F173" i="37"/>
  <c r="H40" i="37"/>
  <c r="F41" i="37"/>
  <c r="H80" i="37"/>
  <c r="F133" i="37"/>
  <c r="F174" i="37"/>
  <c r="F40" i="37"/>
  <c r="G40" i="37"/>
  <c r="H41" i="37" s="1"/>
  <c r="I130" i="37"/>
  <c r="I131" i="37" s="1"/>
  <c r="G41" i="37"/>
  <c r="C89" i="37"/>
  <c r="D121" i="37"/>
  <c r="G173" i="37"/>
  <c r="F80" i="37"/>
  <c r="G80" i="37"/>
  <c r="I132" i="37"/>
  <c r="E121" i="37"/>
  <c r="H173" i="37"/>
  <c r="D174" i="37"/>
  <c r="E119" i="36"/>
  <c r="G121" i="37" l="1"/>
  <c r="F121" i="37"/>
  <c r="F176" i="37"/>
  <c r="H121" i="37"/>
  <c r="I173" i="37"/>
  <c r="D176" i="37"/>
  <c r="I133" i="37"/>
  <c r="I176" i="37" l="1"/>
  <c r="H129" i="36"/>
  <c r="H172" i="36" s="1"/>
  <c r="H130" i="36"/>
  <c r="H127" i="36"/>
  <c r="H170" i="36" s="1"/>
  <c r="C86" i="36"/>
  <c r="C50" i="36"/>
  <c r="C5" i="36"/>
  <c r="H115" i="36"/>
  <c r="H117" i="36" s="1"/>
  <c r="H131" i="36" s="1"/>
  <c r="H173" i="36" s="1"/>
  <c r="H77" i="36"/>
  <c r="H113" i="36" s="1"/>
  <c r="D120" i="36" l="1"/>
  <c r="H39" i="36" l="1"/>
  <c r="D237" i="36" l="1"/>
  <c r="C237" i="36"/>
  <c r="E235" i="36"/>
  <c r="E234" i="36"/>
  <c r="E233" i="36"/>
  <c r="E232" i="36"/>
  <c r="E231" i="36"/>
  <c r="E230" i="36"/>
  <c r="E229" i="36"/>
  <c r="E228" i="36"/>
  <c r="E227" i="36"/>
  <c r="E226" i="36"/>
  <c r="E225" i="36"/>
  <c r="E224" i="36"/>
  <c r="G129" i="36"/>
  <c r="G130" i="36" s="1"/>
  <c r="F129" i="36"/>
  <c r="E129" i="36"/>
  <c r="E132" i="36" s="1"/>
  <c r="D129" i="36"/>
  <c r="D119" i="36"/>
  <c r="E117" i="36"/>
  <c r="E131" i="36" s="1"/>
  <c r="D117" i="36"/>
  <c r="D118" i="36" s="1"/>
  <c r="E120" i="36" s="1"/>
  <c r="G115" i="36"/>
  <c r="G117" i="36" s="1"/>
  <c r="G131" i="36" s="1"/>
  <c r="F115" i="36"/>
  <c r="F117" i="36" s="1"/>
  <c r="F131" i="36" s="1"/>
  <c r="E115" i="36"/>
  <c r="D115" i="36"/>
  <c r="C87" i="36"/>
  <c r="D79" i="36"/>
  <c r="E79" i="36" s="1"/>
  <c r="F79" i="36" s="1"/>
  <c r="G79" i="36" s="1"/>
  <c r="H79" i="36" s="1"/>
  <c r="G77" i="36"/>
  <c r="G127" i="36" s="1"/>
  <c r="G170" i="36" s="1"/>
  <c r="F77" i="36"/>
  <c r="F127" i="36" s="1"/>
  <c r="F170" i="36" s="1"/>
  <c r="E77" i="36"/>
  <c r="E127" i="36" s="1"/>
  <c r="E170" i="36" s="1"/>
  <c r="D77" i="36"/>
  <c r="D127" i="36" s="1"/>
  <c r="D170" i="36" s="1"/>
  <c r="C51" i="36"/>
  <c r="G39" i="36"/>
  <c r="F39" i="36"/>
  <c r="E39" i="36"/>
  <c r="D39" i="36"/>
  <c r="D40" i="36" s="1"/>
  <c r="C8" i="36"/>
  <c r="C6" i="36"/>
  <c r="C7" i="36" s="1"/>
  <c r="C88" i="36" l="1"/>
  <c r="C52" i="36"/>
  <c r="I129" i="36"/>
  <c r="I130" i="36" s="1"/>
  <c r="G172" i="36"/>
  <c r="H80" i="36"/>
  <c r="G80" i="36"/>
  <c r="F80" i="36"/>
  <c r="E80" i="36"/>
  <c r="D80" i="36"/>
  <c r="E41" i="36"/>
  <c r="D41" i="36"/>
  <c r="E237" i="36"/>
  <c r="E130" i="36"/>
  <c r="E175" i="36"/>
  <c r="F130" i="36"/>
  <c r="F175" i="36"/>
  <c r="D130" i="36"/>
  <c r="D131" i="36"/>
  <c r="E173" i="36"/>
  <c r="E118" i="36"/>
  <c r="E40" i="36"/>
  <c r="F41" i="36" s="1"/>
  <c r="F173" i="36"/>
  <c r="G173" i="36"/>
  <c r="C53" i="36"/>
  <c r="C89" i="36"/>
  <c r="D113" i="36"/>
  <c r="E113" i="36"/>
  <c r="F113" i="36"/>
  <c r="G113" i="36"/>
  <c r="I171" i="36" l="1"/>
  <c r="I172" i="36" s="1"/>
  <c r="D132" i="36"/>
  <c r="I131" i="36"/>
  <c r="I132" i="36" s="1"/>
  <c r="F118" i="36"/>
  <c r="F120" i="36"/>
  <c r="D173" i="36"/>
  <c r="D175" i="36" s="1"/>
  <c r="F172" i="36"/>
  <c r="E172" i="36"/>
  <c r="D172" i="36"/>
  <c r="F40" i="36"/>
  <c r="G41" i="36" s="1"/>
  <c r="G118" i="36" l="1"/>
  <c r="G120" i="36"/>
  <c r="I173" i="36"/>
  <c r="I175" i="36" s="1"/>
  <c r="G40" i="36"/>
  <c r="H41" i="36" s="1"/>
  <c r="G176" i="32"/>
  <c r="G120" i="35"/>
  <c r="H118" i="36" l="1"/>
  <c r="H120" i="36"/>
  <c r="H40" i="36"/>
  <c r="F172" i="35"/>
  <c r="F120" i="35" l="1"/>
  <c r="E172" i="35" l="1"/>
  <c r="E120" i="35" l="1"/>
  <c r="C87" i="35" l="1"/>
  <c r="C89" i="35"/>
  <c r="C50" i="35"/>
  <c r="C52" i="35"/>
  <c r="C5" i="35"/>
  <c r="C7" i="35"/>
  <c r="D238" i="35" l="1"/>
  <c r="C238" i="35"/>
  <c r="E236" i="35"/>
  <c r="E235" i="35"/>
  <c r="E234" i="35"/>
  <c r="E233" i="35"/>
  <c r="E232" i="35"/>
  <c r="E231" i="35"/>
  <c r="E238" i="35" s="1"/>
  <c r="E230" i="35"/>
  <c r="E229" i="35"/>
  <c r="E228" i="35"/>
  <c r="E227" i="35"/>
  <c r="E226" i="35"/>
  <c r="E225" i="35"/>
  <c r="H175" i="35"/>
  <c r="G130" i="35"/>
  <c r="G172" i="35" s="1"/>
  <c r="F130" i="35"/>
  <c r="F173" i="35" s="1"/>
  <c r="E130" i="35"/>
  <c r="E173" i="35" s="1"/>
  <c r="D130" i="35"/>
  <c r="D120" i="35"/>
  <c r="E118" i="35"/>
  <c r="E132" i="35" s="1"/>
  <c r="E174" i="35" s="1"/>
  <c r="D118" i="35"/>
  <c r="D132" i="35" s="1"/>
  <c r="G116" i="35"/>
  <c r="G118" i="35" s="1"/>
  <c r="G132" i="35" s="1"/>
  <c r="F116" i="35"/>
  <c r="F118" i="35" s="1"/>
  <c r="F132" i="35" s="1"/>
  <c r="E116" i="35"/>
  <c r="D116" i="35"/>
  <c r="C88" i="35"/>
  <c r="D79" i="35"/>
  <c r="E79" i="35" s="1"/>
  <c r="F79" i="35" s="1"/>
  <c r="G79" i="35" s="1"/>
  <c r="G77" i="35"/>
  <c r="G128" i="35" s="1"/>
  <c r="G171" i="35" s="1"/>
  <c r="F77" i="35"/>
  <c r="F128" i="35" s="1"/>
  <c r="F171" i="35" s="1"/>
  <c r="E77" i="35"/>
  <c r="E128" i="35" s="1"/>
  <c r="E171" i="35" s="1"/>
  <c r="D77" i="35"/>
  <c r="D128" i="35" s="1"/>
  <c r="D171" i="35" s="1"/>
  <c r="C51" i="35"/>
  <c r="G39" i="35"/>
  <c r="F39" i="35"/>
  <c r="E39" i="35"/>
  <c r="D39" i="35"/>
  <c r="D40" i="35" s="1"/>
  <c r="C8" i="35"/>
  <c r="C6" i="35"/>
  <c r="D41" i="35"/>
  <c r="G120" i="32"/>
  <c r="F131" i="35" l="1"/>
  <c r="H130" i="35"/>
  <c r="H131" i="35" s="1"/>
  <c r="D131" i="35"/>
  <c r="E40" i="35"/>
  <c r="F40" i="35" s="1"/>
  <c r="E131" i="35"/>
  <c r="F133" i="35"/>
  <c r="E41" i="35"/>
  <c r="G133" i="35"/>
  <c r="G174" i="35"/>
  <c r="G176" i="35" s="1"/>
  <c r="D174" i="35"/>
  <c r="H132" i="35"/>
  <c r="H133" i="35" s="1"/>
  <c r="D133" i="35"/>
  <c r="C53" i="35"/>
  <c r="G80" i="35"/>
  <c r="F80" i="35"/>
  <c r="D80" i="35"/>
  <c r="E80" i="35"/>
  <c r="D121" i="35"/>
  <c r="C90" i="35"/>
  <c r="D173" i="35"/>
  <c r="D114" i="35"/>
  <c r="F174" i="35"/>
  <c r="E114" i="35"/>
  <c r="G173" i="35"/>
  <c r="F114" i="35"/>
  <c r="D119" i="35"/>
  <c r="E119" i="35" s="1"/>
  <c r="F119" i="35" s="1"/>
  <c r="G119" i="35" s="1"/>
  <c r="G131" i="35"/>
  <c r="E133" i="35"/>
  <c r="G114" i="35"/>
  <c r="G41" i="35" l="1"/>
  <c r="G40" i="35"/>
  <c r="F41" i="35"/>
  <c r="E121" i="35"/>
  <c r="F121" i="35"/>
  <c r="G121" i="35"/>
  <c r="H174" i="35"/>
  <c r="H172" i="35"/>
  <c r="H173" i="35" s="1"/>
  <c r="H176" i="35" l="1"/>
  <c r="F120" i="32"/>
  <c r="E176" i="32" l="1"/>
  <c r="E120" i="32"/>
  <c r="G6" i="31" l="1"/>
  <c r="G23" i="31" s="1"/>
  <c r="C87" i="32" l="1"/>
  <c r="C89" i="32"/>
  <c r="C50" i="32"/>
  <c r="C51" i="32"/>
  <c r="C52" i="32"/>
  <c r="C5" i="32"/>
  <c r="C7" i="32"/>
  <c r="D238" i="32"/>
  <c r="C238" i="32"/>
  <c r="E236" i="32"/>
  <c r="E235" i="32"/>
  <c r="E234" i="32"/>
  <c r="E233" i="32"/>
  <c r="E232" i="32"/>
  <c r="E231" i="32"/>
  <c r="E230" i="32"/>
  <c r="E229" i="32"/>
  <c r="E228" i="32"/>
  <c r="E227" i="32"/>
  <c r="E226" i="32"/>
  <c r="E225" i="32"/>
  <c r="E238" i="32" s="1"/>
  <c r="H175" i="32"/>
  <c r="G130" i="32"/>
  <c r="G172" i="32" s="1"/>
  <c r="G173" i="32" s="1"/>
  <c r="F130" i="32"/>
  <c r="F172" i="32" s="1"/>
  <c r="F173" i="32" s="1"/>
  <c r="E130" i="32"/>
  <c r="E172" i="32" s="1"/>
  <c r="E173" i="32" s="1"/>
  <c r="D130" i="32"/>
  <c r="D172" i="32" s="1"/>
  <c r="D120" i="32"/>
  <c r="E118" i="32"/>
  <c r="E132" i="32" s="1"/>
  <c r="D118" i="32"/>
  <c r="D132" i="32" s="1"/>
  <c r="G116" i="32"/>
  <c r="G118" i="32" s="1"/>
  <c r="G132" i="32" s="1"/>
  <c r="F116" i="32"/>
  <c r="F118" i="32" s="1"/>
  <c r="F132" i="32" s="1"/>
  <c r="E116" i="32"/>
  <c r="D116" i="32"/>
  <c r="C88" i="32"/>
  <c r="D79" i="32"/>
  <c r="E79" i="32" s="1"/>
  <c r="F79" i="32" s="1"/>
  <c r="G79" i="32" s="1"/>
  <c r="G77" i="32"/>
  <c r="G128" i="32" s="1"/>
  <c r="G171" i="32" s="1"/>
  <c r="F77" i="32"/>
  <c r="F128" i="32" s="1"/>
  <c r="F171" i="32" s="1"/>
  <c r="E77" i="32"/>
  <c r="E114" i="32" s="1"/>
  <c r="D77" i="32"/>
  <c r="D128" i="32" s="1"/>
  <c r="D171" i="32" s="1"/>
  <c r="G39" i="32"/>
  <c r="F39" i="32"/>
  <c r="E39" i="32"/>
  <c r="D39" i="32"/>
  <c r="D40" i="32" s="1"/>
  <c r="C8" i="32"/>
  <c r="C6" i="32"/>
  <c r="G176" i="30"/>
  <c r="G120" i="30"/>
  <c r="H130" i="32" l="1"/>
  <c r="H131" i="32" s="1"/>
  <c r="D41" i="32"/>
  <c r="D131" i="32"/>
  <c r="E131" i="32"/>
  <c r="F131" i="32"/>
  <c r="F133" i="32"/>
  <c r="G133" i="32"/>
  <c r="E41" i="32"/>
  <c r="E174" i="32"/>
  <c r="E133" i="32"/>
  <c r="C90" i="32"/>
  <c r="D121" i="32"/>
  <c r="D174" i="32"/>
  <c r="D133" i="32"/>
  <c r="H132" i="32"/>
  <c r="H172" i="32"/>
  <c r="H173" i="32" s="1"/>
  <c r="D173" i="32"/>
  <c r="C53" i="32"/>
  <c r="E80" i="32"/>
  <c r="G80" i="32"/>
  <c r="F80" i="32"/>
  <c r="D80" i="32"/>
  <c r="E40" i="32"/>
  <c r="F41" i="32" s="1"/>
  <c r="F40" i="32"/>
  <c r="G41" i="32" s="1"/>
  <c r="D114" i="32"/>
  <c r="F174" i="32"/>
  <c r="F176" i="32" s="1"/>
  <c r="D119" i="32"/>
  <c r="E119" i="32" s="1"/>
  <c r="F119" i="32" s="1"/>
  <c r="G119" i="32" s="1"/>
  <c r="G131" i="32"/>
  <c r="E128" i="32"/>
  <c r="E171" i="32" s="1"/>
  <c r="G174" i="32"/>
  <c r="F114" i="32"/>
  <c r="G114" i="32"/>
  <c r="F176" i="30"/>
  <c r="F120" i="30"/>
  <c r="H133" i="32" l="1"/>
  <c r="E121" i="32"/>
  <c r="F121" i="32"/>
  <c r="G121" i="32"/>
  <c r="G40" i="32"/>
  <c r="D176" i="32"/>
  <c r="H174" i="32"/>
  <c r="H176" i="32" s="1"/>
  <c r="H23" i="31"/>
  <c r="E176" i="30"/>
  <c r="E120" i="30"/>
  <c r="E171" i="30" l="1"/>
  <c r="F171" i="30"/>
  <c r="G171" i="30"/>
  <c r="D171" i="30"/>
  <c r="E128" i="30"/>
  <c r="F128" i="30"/>
  <c r="G128" i="30"/>
  <c r="D128" i="30"/>
  <c r="E114" i="30"/>
  <c r="F114" i="30"/>
  <c r="G114" i="30"/>
  <c r="D114" i="30"/>
  <c r="E77" i="30"/>
  <c r="F77" i="30"/>
  <c r="G77" i="30"/>
  <c r="D77" i="30"/>
  <c r="C87" i="30" l="1"/>
  <c r="D121" i="30" s="1"/>
  <c r="C89" i="30"/>
  <c r="C50" i="30"/>
  <c r="C52" i="30"/>
  <c r="C5" i="30"/>
  <c r="D41" i="30" s="1"/>
  <c r="C7" i="30"/>
  <c r="D238" i="30"/>
  <c r="C238" i="30"/>
  <c r="E236" i="30"/>
  <c r="E235" i="30"/>
  <c r="E234" i="30"/>
  <c r="E233" i="30"/>
  <c r="E232" i="30"/>
  <c r="E231" i="30"/>
  <c r="E230" i="30"/>
  <c r="E229" i="30"/>
  <c r="E228" i="30"/>
  <c r="E227" i="30"/>
  <c r="E226" i="30"/>
  <c r="E238" i="30" s="1"/>
  <c r="E225" i="30"/>
  <c r="H175" i="30"/>
  <c r="G130" i="30"/>
  <c r="G131" i="30" s="1"/>
  <c r="F130" i="30"/>
  <c r="F131" i="30" s="1"/>
  <c r="E130" i="30"/>
  <c r="E131" i="30" s="1"/>
  <c r="D130" i="30"/>
  <c r="D172" i="30" s="1"/>
  <c r="D120" i="30"/>
  <c r="E118" i="30"/>
  <c r="E132" i="30" s="1"/>
  <c r="D118" i="30"/>
  <c r="D119" i="30" s="1"/>
  <c r="G116" i="30"/>
  <c r="G118" i="30" s="1"/>
  <c r="G132" i="30" s="1"/>
  <c r="F116" i="30"/>
  <c r="F118" i="30" s="1"/>
  <c r="F132" i="30" s="1"/>
  <c r="E116" i="30"/>
  <c r="D116" i="30"/>
  <c r="C88" i="30"/>
  <c r="D79" i="30"/>
  <c r="E79" i="30" s="1"/>
  <c r="F79" i="30" s="1"/>
  <c r="G79" i="30" s="1"/>
  <c r="C51" i="30"/>
  <c r="G39" i="30"/>
  <c r="F39" i="30"/>
  <c r="E39" i="30"/>
  <c r="D39" i="30"/>
  <c r="D40" i="30" s="1"/>
  <c r="C8" i="30"/>
  <c r="C6" i="30"/>
  <c r="E120" i="29"/>
  <c r="F120" i="29"/>
  <c r="G120" i="29"/>
  <c r="D120" i="29"/>
  <c r="C26" i="31" l="1"/>
  <c r="E172" i="30"/>
  <c r="E173" i="30" s="1"/>
  <c r="D131" i="30"/>
  <c r="C90" i="30"/>
  <c r="D132" i="30"/>
  <c r="D133" i="30" s="1"/>
  <c r="G80" i="30"/>
  <c r="D80" i="30"/>
  <c r="E133" i="30"/>
  <c r="G133" i="30"/>
  <c r="E41" i="30"/>
  <c r="F133" i="30"/>
  <c r="F174" i="30"/>
  <c r="E121" i="30"/>
  <c r="E119" i="30"/>
  <c r="E40" i="30"/>
  <c r="F40" i="30" s="1"/>
  <c r="G41" i="30" s="1"/>
  <c r="D173" i="30"/>
  <c r="E80" i="30"/>
  <c r="F172" i="30"/>
  <c r="F173" i="30" s="1"/>
  <c r="F80" i="30"/>
  <c r="G172" i="30"/>
  <c r="G173" i="30" s="1"/>
  <c r="E174" i="30"/>
  <c r="C53" i="30"/>
  <c r="G174" i="30"/>
  <c r="H130" i="30"/>
  <c r="H131" i="30" s="1"/>
  <c r="C88" i="29"/>
  <c r="D174" i="30" l="1"/>
  <c r="H132" i="30"/>
  <c r="H133" i="30" s="1"/>
  <c r="F41" i="30"/>
  <c r="G40" i="30"/>
  <c r="H172" i="30"/>
  <c r="H173" i="30" s="1"/>
  <c r="D176" i="30"/>
  <c r="H174" i="30"/>
  <c r="F121" i="30"/>
  <c r="F119" i="30"/>
  <c r="F130" i="29"/>
  <c r="F172" i="29" s="1"/>
  <c r="G130" i="29"/>
  <c r="G172" i="29" s="1"/>
  <c r="F116" i="29"/>
  <c r="G116" i="29"/>
  <c r="D116" i="29"/>
  <c r="E116" i="29"/>
  <c r="E118" i="29"/>
  <c r="E132" i="29" s="1"/>
  <c r="D118" i="29"/>
  <c r="D132" i="29" s="1"/>
  <c r="E39" i="29"/>
  <c r="F39" i="29"/>
  <c r="G39" i="29"/>
  <c r="D26" i="31" l="1"/>
  <c r="F26" i="31"/>
  <c r="H176" i="30"/>
  <c r="G121" i="30"/>
  <c r="G119" i="30"/>
  <c r="E130" i="29"/>
  <c r="D130" i="29" l="1"/>
  <c r="C87" i="29"/>
  <c r="C51" i="29"/>
  <c r="C50" i="29"/>
  <c r="C5" i="29"/>
  <c r="D39" i="29"/>
  <c r="D80" i="29" l="1"/>
  <c r="D40" i="29"/>
  <c r="E40" i="29" s="1"/>
  <c r="F40" i="29" s="1"/>
  <c r="G40" i="29" s="1"/>
  <c r="D41" i="29"/>
  <c r="I3" i="26"/>
  <c r="F4" i="26"/>
  <c r="G41" i="29" l="1"/>
  <c r="F41" i="29"/>
  <c r="E41" i="29"/>
  <c r="D238" i="29"/>
  <c r="C238" i="29"/>
  <c r="E236" i="29"/>
  <c r="E235" i="29"/>
  <c r="E234" i="29"/>
  <c r="E233" i="29"/>
  <c r="E232" i="29"/>
  <c r="E231" i="29"/>
  <c r="E230" i="29"/>
  <c r="E229" i="29"/>
  <c r="E228" i="29"/>
  <c r="E227" i="29"/>
  <c r="E226" i="29"/>
  <c r="E225" i="29"/>
  <c r="H175" i="29"/>
  <c r="E172" i="29"/>
  <c r="E173" i="29" s="1"/>
  <c r="D172" i="29"/>
  <c r="D173" i="29" s="1"/>
  <c r="G131" i="29"/>
  <c r="E131" i="29"/>
  <c r="D131" i="29"/>
  <c r="F131" i="29"/>
  <c r="G118" i="29"/>
  <c r="G132" i="29" s="1"/>
  <c r="G133" i="29" s="1"/>
  <c r="F118" i="29"/>
  <c r="E133" i="29"/>
  <c r="D133" i="29"/>
  <c r="D79" i="29"/>
  <c r="C8" i="29"/>
  <c r="C6" i="29"/>
  <c r="G174" i="29" l="1"/>
  <c r="G176" i="29" s="1"/>
  <c r="E79" i="29"/>
  <c r="E80" i="29"/>
  <c r="F132" i="29"/>
  <c r="F133" i="29" s="1"/>
  <c r="C90" i="29"/>
  <c r="G4" i="26"/>
  <c r="D119" i="29"/>
  <c r="E119" i="29" s="1"/>
  <c r="F121" i="29" s="1"/>
  <c r="E238" i="29"/>
  <c r="G173" i="29"/>
  <c r="H130" i="29"/>
  <c r="H131" i="29" s="1"/>
  <c r="F173" i="29"/>
  <c r="D174" i="29"/>
  <c r="C53" i="29"/>
  <c r="E174" i="29"/>
  <c r="E176" i="29" s="1"/>
  <c r="D121" i="29"/>
  <c r="H132" i="29" l="1"/>
  <c r="H133" i="29" s="1"/>
  <c r="F174" i="29"/>
  <c r="F176" i="29" s="1"/>
  <c r="F79" i="29"/>
  <c r="F80" i="29"/>
  <c r="F119" i="29"/>
  <c r="G121" i="29" s="1"/>
  <c r="E121" i="29"/>
  <c r="I4" i="26"/>
  <c r="G5" i="26"/>
  <c r="I5" i="26" s="1"/>
  <c r="H172" i="29"/>
  <c r="H173" i="29" s="1"/>
  <c r="D176" i="29"/>
  <c r="F3" i="26"/>
  <c r="H4" i="26" s="1"/>
  <c r="F7" i="26"/>
  <c r="F8" i="26" s="1"/>
  <c r="H174" i="29" l="1"/>
  <c r="H176" i="29" s="1"/>
  <c r="G79" i="29"/>
  <c r="G80" i="29"/>
  <c r="G119" i="29"/>
  <c r="H8" i="26"/>
  <c r="F9" i="26"/>
  <c r="F5" i="26"/>
  <c r="O13" i="25" l="1"/>
  <c r="O12" i="25"/>
  <c r="D10" i="27"/>
  <c r="E3" i="26" l="1"/>
  <c r="E5" i="26" s="1"/>
  <c r="D3" i="26"/>
  <c r="D5" i="26" s="1"/>
  <c r="C3" i="26"/>
  <c r="C5" i="26" s="1"/>
  <c r="B3" i="26"/>
  <c r="B5" i="26" l="1"/>
  <c r="J52" i="25" l="1"/>
  <c r="I52" i="25"/>
  <c r="H52" i="25"/>
  <c r="K12" i="25"/>
  <c r="J12" i="25"/>
  <c r="I12" i="25"/>
  <c r="H12" i="25"/>
  <c r="G12" i="25"/>
  <c r="J10" i="25"/>
  <c r="I10" i="25"/>
  <c r="H10" i="25"/>
  <c r="G10" i="25"/>
  <c r="J51" i="25" l="1"/>
  <c r="I51" i="25"/>
  <c r="H51" i="25"/>
  <c r="G51" i="25"/>
  <c r="F51" i="25"/>
  <c r="F52" i="25" s="1"/>
  <c r="E51" i="25"/>
  <c r="E55" i="25" s="1"/>
  <c r="D51" i="25"/>
  <c r="K51" i="25"/>
  <c r="K52" i="25" s="1"/>
  <c r="L51" i="25"/>
  <c r="L52" i="25" s="1"/>
  <c r="M51" i="25"/>
  <c r="M52" i="25" s="1"/>
  <c r="K10" i="25"/>
  <c r="G52" i="25"/>
  <c r="K53" i="25"/>
  <c r="J53" i="25"/>
  <c r="I53" i="25"/>
  <c r="H53" i="25"/>
  <c r="G53" i="25"/>
  <c r="F53" i="25"/>
  <c r="E53" i="25"/>
  <c r="D53" i="25"/>
  <c r="L53" i="25"/>
  <c r="I55" i="25"/>
  <c r="G55" i="25"/>
  <c r="L12" i="25"/>
  <c r="L10" i="25"/>
  <c r="M53" i="25"/>
  <c r="N9" i="25"/>
  <c r="N10" i="25" s="1"/>
  <c r="D10" i="25"/>
  <c r="E10" i="25"/>
  <c r="F10" i="25"/>
  <c r="M10" i="25"/>
  <c r="M12" i="25"/>
  <c r="N11" i="25"/>
  <c r="D12" i="25"/>
  <c r="E12" i="25"/>
  <c r="F12" i="25"/>
  <c r="D117" i="25"/>
  <c r="C117" i="25"/>
  <c r="E115" i="25"/>
  <c r="E114" i="25"/>
  <c r="E113" i="25"/>
  <c r="E112" i="25"/>
  <c r="E111" i="25"/>
  <c r="E110" i="25"/>
  <c r="E109" i="25"/>
  <c r="E108" i="25"/>
  <c r="E107" i="25"/>
  <c r="E106" i="25"/>
  <c r="E105" i="25"/>
  <c r="E104" i="25"/>
  <c r="N54" i="25"/>
  <c r="P1" i="25"/>
  <c r="Q1" i="25" s="1"/>
  <c r="J55" i="25" l="1"/>
  <c r="H55" i="25"/>
  <c r="E52" i="25"/>
  <c r="D55" i="25"/>
  <c r="L55" i="25"/>
  <c r="K55" i="25"/>
  <c r="F55" i="25"/>
  <c r="N12" i="25"/>
  <c r="E117" i="25"/>
  <c r="D52" i="25"/>
  <c r="M55" i="25"/>
  <c r="N51" i="25" l="1"/>
  <c r="N52" i="25" s="1"/>
  <c r="N53" i="25" l="1"/>
  <c r="N55" i="25" s="1"/>
  <c r="D8" i="27" l="1"/>
  <c r="F8" i="27" s="1"/>
  <c r="I39" i="16" l="1"/>
  <c r="D38" i="16"/>
  <c r="E38" i="16"/>
  <c r="I36" i="16"/>
  <c r="F167" i="16"/>
  <c r="C83" i="16" l="1"/>
  <c r="D116" i="16" s="1"/>
  <c r="C48" i="16"/>
  <c r="C4" i="16"/>
  <c r="D233" i="16"/>
  <c r="C233" i="16"/>
  <c r="E231" i="16"/>
  <c r="E230" i="16"/>
  <c r="E229" i="16"/>
  <c r="E228" i="16"/>
  <c r="E227" i="16"/>
  <c r="E226" i="16"/>
  <c r="E225" i="16"/>
  <c r="E233" i="16" s="1"/>
  <c r="E224" i="16"/>
  <c r="E223" i="16"/>
  <c r="E222" i="16"/>
  <c r="E221" i="16"/>
  <c r="E220" i="16"/>
  <c r="I170" i="16"/>
  <c r="H126" i="16"/>
  <c r="H167" i="16"/>
  <c r="H168" i="16" s="1"/>
  <c r="G126" i="16"/>
  <c r="F168" i="16"/>
  <c r="E167" i="16"/>
  <c r="E168" i="16" s="1"/>
  <c r="D167" i="16"/>
  <c r="I113" i="16"/>
  <c r="E114" i="16"/>
  <c r="E127" i="16" s="1"/>
  <c r="H114" i="16"/>
  <c r="H127" i="16" s="1"/>
  <c r="G114" i="16"/>
  <c r="G127" i="16" s="1"/>
  <c r="D114" i="16"/>
  <c r="D77" i="16"/>
  <c r="E77" i="16" s="1"/>
  <c r="F77" i="16" s="1"/>
  <c r="G77" i="16" s="1"/>
  <c r="H77" i="16" s="1"/>
  <c r="I77" i="16" s="1"/>
  <c r="C50" i="16"/>
  <c r="H38" i="16"/>
  <c r="G38" i="16"/>
  <c r="F38" i="16"/>
  <c r="C7" i="16"/>
  <c r="C6" i="16"/>
  <c r="D126" i="16" l="1"/>
  <c r="E126" i="16"/>
  <c r="E78" i="16"/>
  <c r="I112" i="16"/>
  <c r="F114" i="16"/>
  <c r="F127" i="16" s="1"/>
  <c r="F128" i="16" s="1"/>
  <c r="G169" i="16"/>
  <c r="G128" i="16"/>
  <c r="H169" i="16"/>
  <c r="H171" i="16" s="1"/>
  <c r="H128" i="16"/>
  <c r="I38" i="16"/>
  <c r="D39" i="16"/>
  <c r="E39" i="16" s="1"/>
  <c r="E169" i="16"/>
  <c r="E171" i="16" s="1"/>
  <c r="E128" i="16"/>
  <c r="D115" i="16"/>
  <c r="D127" i="16"/>
  <c r="D168" i="16"/>
  <c r="F78" i="16"/>
  <c r="G167" i="16"/>
  <c r="G168" i="16" s="1"/>
  <c r="C51" i="16"/>
  <c r="D41" i="16"/>
  <c r="E41" i="16" s="1"/>
  <c r="F41" i="16" s="1"/>
  <c r="G41" i="16" s="1"/>
  <c r="H41" i="16" s="1"/>
  <c r="I111" i="16"/>
  <c r="I125" i="16"/>
  <c r="I126" i="16" s="1"/>
  <c r="D40" i="16"/>
  <c r="D78" i="16"/>
  <c r="F126" i="16"/>
  <c r="G78" i="16"/>
  <c r="H78" i="16" s="1"/>
  <c r="F169" i="16" l="1"/>
  <c r="F171" i="16" s="1"/>
  <c r="I167" i="16"/>
  <c r="I168" i="16" s="1"/>
  <c r="C85" i="16"/>
  <c r="C86" i="16" s="1"/>
  <c r="F39" i="16"/>
  <c r="F40" i="16"/>
  <c r="I127" i="16"/>
  <c r="I128" i="16" s="1"/>
  <c r="D128" i="16"/>
  <c r="D169" i="16"/>
  <c r="E115" i="16"/>
  <c r="E116" i="16"/>
  <c r="E40" i="16"/>
  <c r="G171" i="16"/>
  <c r="F115" i="16" l="1"/>
  <c r="F116" i="16"/>
  <c r="I169" i="16"/>
  <c r="I171" i="16" s="1"/>
  <c r="D171" i="16"/>
  <c r="G39" i="16"/>
  <c r="G40" i="16"/>
  <c r="H39" i="16" l="1"/>
  <c r="H40" i="16"/>
  <c r="G115" i="16"/>
  <c r="G116" i="16"/>
  <c r="H115" i="16" l="1"/>
  <c r="H116" i="16"/>
  <c r="C84" i="13" l="1"/>
  <c r="C4" i="13"/>
  <c r="H38" i="13" l="1"/>
  <c r="H116" i="13"/>
  <c r="H129" i="13" s="1"/>
  <c r="H168" i="13"/>
  <c r="H169" i="13"/>
  <c r="I173" i="13"/>
  <c r="H130" i="13" l="1"/>
  <c r="H170" i="13"/>
  <c r="H172" i="13" s="1"/>
  <c r="C48" i="13" l="1"/>
  <c r="D234" i="13" l="1"/>
  <c r="C234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171" i="13"/>
  <c r="G168" i="13"/>
  <c r="G169" i="13" s="1"/>
  <c r="F168" i="13"/>
  <c r="F169" i="13" s="1"/>
  <c r="G128" i="13"/>
  <c r="F128" i="13"/>
  <c r="E127" i="13"/>
  <c r="E128" i="13" s="1"/>
  <c r="I118" i="13"/>
  <c r="D118" i="13"/>
  <c r="G116" i="13"/>
  <c r="G129" i="13" s="1"/>
  <c r="F116" i="13"/>
  <c r="F129" i="13" s="1"/>
  <c r="E115" i="13"/>
  <c r="D115" i="13"/>
  <c r="D79" i="13"/>
  <c r="E79" i="13" s="1"/>
  <c r="G77" i="13"/>
  <c r="D41" i="13"/>
  <c r="E41" i="13" s="1"/>
  <c r="F41" i="13" s="1"/>
  <c r="D40" i="13"/>
  <c r="D39" i="13"/>
  <c r="E39" i="13" s="1"/>
  <c r="F39" i="13" s="1"/>
  <c r="G38" i="13"/>
  <c r="E36" i="13"/>
  <c r="D35" i="13"/>
  <c r="G28" i="13"/>
  <c r="G27" i="13" s="1"/>
  <c r="F28" i="13"/>
  <c r="F27" i="13" s="1"/>
  <c r="E28" i="13"/>
  <c r="C28" i="13"/>
  <c r="E27" i="13"/>
  <c r="C27" i="13"/>
  <c r="C7" i="13"/>
  <c r="D34" i="12"/>
  <c r="E168" i="12"/>
  <c r="E112" i="12"/>
  <c r="D112" i="12"/>
  <c r="G41" i="13" l="1"/>
  <c r="H41" i="13" s="1"/>
  <c r="E168" i="13"/>
  <c r="E169" i="13" s="1"/>
  <c r="G39" i="13"/>
  <c r="I115" i="13"/>
  <c r="E40" i="13"/>
  <c r="E234" i="13"/>
  <c r="J35" i="13"/>
  <c r="F170" i="13"/>
  <c r="F172" i="13" s="1"/>
  <c r="F130" i="13"/>
  <c r="G170" i="13"/>
  <c r="G172" i="13" s="1"/>
  <c r="G130" i="13"/>
  <c r="F40" i="13"/>
  <c r="G40" i="13"/>
  <c r="D38" i="12"/>
  <c r="D231" i="12"/>
  <c r="C231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31" i="12" s="1"/>
  <c r="I170" i="12"/>
  <c r="H165" i="12"/>
  <c r="H166" i="12" s="1"/>
  <c r="G165" i="12"/>
  <c r="G166" i="12" s="1"/>
  <c r="F165" i="12"/>
  <c r="F166" i="12" s="1"/>
  <c r="G125" i="12"/>
  <c r="F125" i="12"/>
  <c r="H113" i="12"/>
  <c r="H126" i="12" s="1"/>
  <c r="I112" i="12"/>
  <c r="G113" i="12"/>
  <c r="G126" i="12" s="1"/>
  <c r="F113" i="12"/>
  <c r="F126" i="12" s="1"/>
  <c r="C82" i="12"/>
  <c r="D115" i="12" s="1"/>
  <c r="D77" i="12"/>
  <c r="G75" i="12"/>
  <c r="C47" i="12"/>
  <c r="E77" i="12" s="1"/>
  <c r="D39" i="12"/>
  <c r="H37" i="12"/>
  <c r="G37" i="12"/>
  <c r="G27" i="12"/>
  <c r="G26" i="12" s="1"/>
  <c r="F27" i="12"/>
  <c r="E27" i="12"/>
  <c r="C27" i="12"/>
  <c r="F26" i="12"/>
  <c r="E26" i="12"/>
  <c r="C26" i="12"/>
  <c r="C6" i="12"/>
  <c r="C4" i="12"/>
  <c r="H39" i="13" l="1"/>
  <c r="H40" i="13"/>
  <c r="D40" i="12"/>
  <c r="E40" i="12" s="1"/>
  <c r="F40" i="12" s="1"/>
  <c r="G40" i="12" s="1"/>
  <c r="H40" i="12" s="1"/>
  <c r="E38" i="12"/>
  <c r="F38" i="12" s="1"/>
  <c r="F127" i="12"/>
  <c r="F167" i="12"/>
  <c r="F169" i="12" s="1"/>
  <c r="H167" i="12"/>
  <c r="H169" i="12" s="1"/>
  <c r="H127" i="12"/>
  <c r="G127" i="12"/>
  <c r="G167" i="12"/>
  <c r="G169" i="12" s="1"/>
  <c r="E39" i="12"/>
  <c r="I115" i="12"/>
  <c r="F39" i="12" l="1"/>
  <c r="G38" i="12"/>
  <c r="G39" i="12"/>
  <c r="H38" i="12" l="1"/>
  <c r="H39" i="12"/>
  <c r="E124" i="12" l="1"/>
  <c r="E125" i="12" l="1"/>
  <c r="E165" i="12"/>
  <c r="E166" i="12" l="1"/>
  <c r="E35" i="12" l="1"/>
  <c r="D168" i="12" l="1"/>
  <c r="I168" i="12" s="1"/>
  <c r="D171" i="13"/>
  <c r="I171" i="13" s="1"/>
  <c r="D127" i="13" l="1"/>
  <c r="D124" i="12"/>
  <c r="D125" i="12" l="1"/>
  <c r="D165" i="12"/>
  <c r="I124" i="12"/>
  <c r="D168" i="13"/>
  <c r="I127" i="13"/>
  <c r="D128" i="13"/>
  <c r="I128" i="13" l="1"/>
  <c r="I168" i="13"/>
  <c r="D169" i="13"/>
  <c r="I125" i="12"/>
  <c r="I165" i="12"/>
  <c r="D166" i="12"/>
  <c r="I166" i="12" l="1"/>
  <c r="I169" i="13"/>
  <c r="E77" i="13" l="1"/>
  <c r="E75" i="12"/>
  <c r="D75" i="12" l="1"/>
  <c r="D77" i="13"/>
  <c r="E114" i="13" l="1"/>
  <c r="E111" i="12"/>
  <c r="D113" i="13"/>
  <c r="D110" i="12"/>
  <c r="I77" i="13"/>
  <c r="D78" i="13"/>
  <c r="E78" i="13" s="1"/>
  <c r="C50" i="13"/>
  <c r="C51" i="13" s="1"/>
  <c r="D76" i="12"/>
  <c r="E76" i="12" s="1"/>
  <c r="I75" i="12"/>
  <c r="C48" i="12"/>
  <c r="C49" i="12" s="1"/>
  <c r="D114" i="13"/>
  <c r="D111" i="12"/>
  <c r="I114" i="13" l="1"/>
  <c r="I111" i="12"/>
  <c r="F78" i="13"/>
  <c r="F79" i="13"/>
  <c r="D113" i="12"/>
  <c r="D116" i="13"/>
  <c r="F77" i="12"/>
  <c r="F76" i="12"/>
  <c r="D117" i="13" l="1"/>
  <c r="D129" i="13"/>
  <c r="G76" i="12"/>
  <c r="G77" i="12"/>
  <c r="D126" i="12"/>
  <c r="D114" i="12"/>
  <c r="G79" i="13"/>
  <c r="G78" i="13"/>
  <c r="D167" i="12" l="1"/>
  <c r="D169" i="12" s="1"/>
  <c r="D127" i="12"/>
  <c r="E115" i="12"/>
  <c r="H77" i="12"/>
  <c r="H76" i="12"/>
  <c r="D170" i="13"/>
  <c r="D172" i="13" s="1"/>
  <c r="D130" i="13"/>
  <c r="H78" i="13"/>
  <c r="H79" i="13"/>
  <c r="E118" i="13"/>
  <c r="E113" i="13" l="1"/>
  <c r="E110" i="12"/>
  <c r="E113" i="12" l="1"/>
  <c r="I110" i="12"/>
  <c r="E116" i="13"/>
  <c r="I113" i="13"/>
  <c r="K113" i="13" s="1"/>
  <c r="E129" i="13" l="1"/>
  <c r="I116" i="13"/>
  <c r="C86" i="13"/>
  <c r="C87" i="13" s="1"/>
  <c r="E117" i="13"/>
  <c r="E126" i="12"/>
  <c r="C83" i="12"/>
  <c r="C84" i="12" s="1"/>
  <c r="I113" i="12"/>
  <c r="E114" i="12"/>
  <c r="F118" i="13" l="1"/>
  <c r="F117" i="13"/>
  <c r="F114" i="12"/>
  <c r="F115" i="12"/>
  <c r="E167" i="12"/>
  <c r="E169" i="12" s="1"/>
  <c r="E127" i="12"/>
  <c r="I126" i="12"/>
  <c r="E130" i="13"/>
  <c r="E170" i="13"/>
  <c r="E172" i="13" s="1"/>
  <c r="I129" i="13"/>
  <c r="G115" i="12" l="1"/>
  <c r="G114" i="12"/>
  <c r="H114" i="12" s="1"/>
  <c r="H115" i="12" s="1"/>
  <c r="I167" i="12"/>
  <c r="I169" i="12" s="1"/>
  <c r="I127" i="12"/>
  <c r="G117" i="13"/>
  <c r="H117" i="13" s="1"/>
  <c r="H118" i="13" s="1"/>
  <c r="G118" i="13"/>
  <c r="I170" i="13"/>
  <c r="I172" i="13" s="1"/>
  <c r="I130" i="13"/>
  <c r="E34" i="12" l="1"/>
  <c r="C5" i="12" s="1"/>
  <c r="E35" i="13"/>
  <c r="C6" i="13" s="1"/>
  <c r="G8" i="27" l="1"/>
  <c r="H8" i="27" s="1"/>
  <c r="H11" i="27" l="1"/>
  <c r="I8" i="27"/>
  <c r="H12" i="27" l="1"/>
  <c r="G9" i="27" l="1"/>
  <c r="H9" i="27" s="1"/>
  <c r="H13" i="27" s="1"/>
  <c r="D9" i="27" l="1"/>
  <c r="F9" i="27" s="1"/>
  <c r="I9" i="27" l="1"/>
  <c r="F10" i="27"/>
  <c r="I10" i="27" s="1"/>
  <c r="F11" i="27" l="1"/>
  <c r="F12" i="27" s="1"/>
  <c r="I12" i="27" s="1"/>
  <c r="I11" i="27" l="1"/>
  <c r="I13" i="27"/>
  <c r="F13" i="27"/>
  <c r="D35" i="12" l="1"/>
  <c r="D36" i="13"/>
  <c r="O23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tc={A6EDDCE8-43EF-4286-ABC9-02FE0F874805}</author>
  </authors>
  <commentList>
    <comment ref="H11" authorId="0" shapeId="0" xr:uid="{A6EDDCE8-43EF-4286-ABC9-02FE0F874805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engine will run by Nov 2024</t>
      </text>
    </comment>
  </commentList>
</comments>
</file>

<file path=xl/sharedStrings.xml><?xml version="1.0" encoding="utf-8"?>
<sst xmlns="http://schemas.openxmlformats.org/spreadsheetml/2006/main" count="1721" uniqueCount="212">
  <si>
    <t>Substrate Supply</t>
  </si>
  <si>
    <t>Delivered</t>
  </si>
  <si>
    <t>Rejected</t>
  </si>
  <si>
    <t xml:space="preserve">Total Available </t>
  </si>
  <si>
    <t>(mtons)</t>
  </si>
  <si>
    <t>Accumulative</t>
  </si>
  <si>
    <t xml:space="preserve"> Delivered</t>
  </si>
  <si>
    <t>Power Generation</t>
  </si>
  <si>
    <t>(kWh)</t>
  </si>
  <si>
    <t xml:space="preserve">Target to Reach SCA Minimum </t>
  </si>
  <si>
    <t>(Nm3)</t>
  </si>
  <si>
    <r>
      <t>(Nm</t>
    </r>
    <r>
      <rPr>
        <i/>
        <vertAlign val="superscript"/>
        <sz val="11"/>
        <color theme="0" tint="-0.249977111117893"/>
        <rFont val="Calibri"/>
        <family val="2"/>
        <scheme val="minor"/>
      </rPr>
      <t>3</t>
    </r>
    <r>
      <rPr>
        <i/>
        <sz val="11"/>
        <color theme="0" tint="-0.249977111117893"/>
        <rFont val="Calibri"/>
        <family val="2"/>
        <scheme val="minor"/>
      </rPr>
      <t>)</t>
    </r>
  </si>
  <si>
    <t>Flared</t>
  </si>
  <si>
    <t>Total Produced</t>
  </si>
  <si>
    <t>Percent Utilization of Substrates</t>
  </si>
  <si>
    <t>Available Substrate</t>
  </si>
  <si>
    <t>Actual Gas Produced</t>
  </si>
  <si>
    <t>SCA Gas Equivalent</t>
  </si>
  <si>
    <t>Nm3/ton</t>
  </si>
  <si>
    <t>(Nm3/ton)</t>
  </si>
  <si>
    <t>Considering Original Weight</t>
  </si>
  <si>
    <t>Factoring the DS Content*</t>
  </si>
  <si>
    <t>Actual Yield</t>
  </si>
  <si>
    <t>Target Yield</t>
  </si>
  <si>
    <t>Collection Summary</t>
  </si>
  <si>
    <t>Period</t>
  </si>
  <si>
    <t>Biogas</t>
  </si>
  <si>
    <t>Power</t>
  </si>
  <si>
    <t>Total</t>
  </si>
  <si>
    <t>Biogas Utilization</t>
  </si>
  <si>
    <t>Monthly SCA Minimum</t>
  </si>
  <si>
    <t xml:space="preserve">Monthly SCA Minimum </t>
  </si>
  <si>
    <t>WEEK 1</t>
  </si>
  <si>
    <t>WEEK 2</t>
  </si>
  <si>
    <t>WEEk 3</t>
  </si>
  <si>
    <t>WEEK 4</t>
  </si>
  <si>
    <t>WEEK 5</t>
  </si>
  <si>
    <t>Over-all</t>
  </si>
  <si>
    <t>Delivered (DUVO)</t>
  </si>
  <si>
    <t>%DS</t>
  </si>
  <si>
    <t>*taking average weekly DS</t>
  </si>
  <si>
    <t>Delivered to Engine</t>
  </si>
  <si>
    <t>WEEK 3</t>
  </si>
  <si>
    <t>Delivered to Boilers</t>
  </si>
  <si>
    <t>shortffall as of</t>
  </si>
  <si>
    <t>Mar1-2</t>
  </si>
  <si>
    <t>Mar3-9</t>
  </si>
  <si>
    <t>Mar10-16</t>
  </si>
  <si>
    <t>Mar17-23</t>
  </si>
  <si>
    <t>Mar24-31</t>
  </si>
  <si>
    <t>Divert to Buyers</t>
  </si>
  <si>
    <t>Mar1-9</t>
  </si>
  <si>
    <t>Annual SCA Minimum</t>
  </si>
  <si>
    <t>Target to Reach SCA min</t>
  </si>
  <si>
    <t>&gt; Running SCA Based on DUVO delivered pulp only</t>
  </si>
  <si>
    <t>Divert from Pol</t>
  </si>
  <si>
    <t>WEEK 1
(May1-4)</t>
  </si>
  <si>
    <t>WEEK 2
(May5-11)</t>
  </si>
  <si>
    <t>WEEk 3
(May12-18)</t>
  </si>
  <si>
    <t>WEEk 4
(May19-25)</t>
  </si>
  <si>
    <t>WEEK 5
(May26-31)</t>
  </si>
  <si>
    <t>Wk 3
(May12-18)</t>
  </si>
  <si>
    <t>Wk 2
(May5-11)</t>
  </si>
  <si>
    <t>Wk 1
(May1-4)</t>
  </si>
  <si>
    <t>Wk 4
(May19-25)</t>
  </si>
  <si>
    <t>Wk 5
(May26-31)</t>
  </si>
  <si>
    <t>YTD total</t>
  </si>
  <si>
    <t>YTD Total</t>
  </si>
  <si>
    <t>Substrate Supply - Y3</t>
  </si>
  <si>
    <t>Power Generation  - Y3</t>
  </si>
  <si>
    <t>Biogas Utilization - Y3</t>
  </si>
  <si>
    <t>Percent Utilization of Substrates - Y3</t>
  </si>
  <si>
    <t>Month</t>
  </si>
  <si>
    <t>Power Produced, kWh</t>
  </si>
  <si>
    <t>September</t>
  </si>
  <si>
    <t>Amount, PhP</t>
  </si>
  <si>
    <t>Total Amount, PhP</t>
  </si>
  <si>
    <t>November</t>
  </si>
  <si>
    <t>December</t>
  </si>
  <si>
    <r>
      <t>Gas Consumed, Nm</t>
    </r>
    <r>
      <rPr>
        <b/>
        <vertAlign val="superscript"/>
        <sz val="11"/>
        <color theme="0"/>
        <rFont val="Calibri"/>
        <family val="2"/>
        <scheme val="minor"/>
      </rPr>
      <t>3</t>
    </r>
  </si>
  <si>
    <r>
      <t>Payable Flare, Nm</t>
    </r>
    <r>
      <rPr>
        <b/>
        <vertAlign val="superscript"/>
        <sz val="11"/>
        <color theme="0"/>
        <rFont val="Calibri"/>
        <family val="2"/>
        <scheme val="minor"/>
      </rPr>
      <t>3</t>
    </r>
  </si>
  <si>
    <t>FEB 2024</t>
  </si>
  <si>
    <t>JAN 2024</t>
  </si>
  <si>
    <t>MAR 2024</t>
  </si>
  <si>
    <t>APR 2024</t>
  </si>
  <si>
    <t>MAY 2024</t>
  </si>
  <si>
    <t>JUN 2024</t>
  </si>
  <si>
    <t>JUL 2024</t>
  </si>
  <si>
    <t>AUG 2024</t>
  </si>
  <si>
    <t>SEPT 2024</t>
  </si>
  <si>
    <t>OCT 2024</t>
  </si>
  <si>
    <t>July</t>
  </si>
  <si>
    <t>Aug</t>
  </si>
  <si>
    <t>sept</t>
  </si>
  <si>
    <t>Oct</t>
  </si>
  <si>
    <t>Actual</t>
  </si>
  <si>
    <t>Target</t>
  </si>
  <si>
    <t>Shortfall</t>
  </si>
  <si>
    <t>October 1-26</t>
  </si>
  <si>
    <t>October 27-31</t>
  </si>
  <si>
    <t>LE,  
pHp</t>
  </si>
  <si>
    <t>Nov</t>
  </si>
  <si>
    <t>WEEK 1
(Dec1-7)</t>
  </si>
  <si>
    <t>WEEK 2
(Dec8-14)</t>
  </si>
  <si>
    <t>WEEk 3
(Dec15-21)</t>
  </si>
  <si>
    <t>WEEk 4
(Dec22-31)</t>
  </si>
  <si>
    <t>Dec1-7</t>
  </si>
  <si>
    <t>Running Monthly Minimum to meet SCA Guaranty</t>
  </si>
  <si>
    <t>Monthly Accumulative</t>
  </si>
  <si>
    <t>Target to Reach SCA Minimum</t>
  </si>
  <si>
    <t>Diverted</t>
  </si>
  <si>
    <t>Target Gas vs Delivered Substrates</t>
  </si>
  <si>
    <t>WEEK 1
(Jan1-11)</t>
  </si>
  <si>
    <t>WEEK 2
(Jan12-18)</t>
  </si>
  <si>
    <t>WEEk 3
(Jan19-25)</t>
  </si>
  <si>
    <t>WEEk 4
(Jan26-31)</t>
  </si>
  <si>
    <t>Amount, Php</t>
  </si>
  <si>
    <t>Gas Consumed, Nm3</t>
  </si>
  <si>
    <t>February</t>
  </si>
  <si>
    <t>March</t>
  </si>
  <si>
    <t>April</t>
  </si>
  <si>
    <t>May</t>
  </si>
  <si>
    <t>June</t>
  </si>
  <si>
    <t xml:space="preserve">January </t>
  </si>
  <si>
    <t>Week 1</t>
  </si>
  <si>
    <t>Week 2</t>
  </si>
  <si>
    <t>Week 3</t>
  </si>
  <si>
    <t>Week 4</t>
  </si>
  <si>
    <t>August</t>
  </si>
  <si>
    <t>October</t>
  </si>
  <si>
    <t>Target Gas based on Delivered Substrates</t>
  </si>
  <si>
    <t>WEEK 1
(Feb1-8)</t>
  </si>
  <si>
    <t>WEEK 2
(Feb9-15)</t>
  </si>
  <si>
    <t>WEEk 3
(Feb16-22)</t>
  </si>
  <si>
    <t>WEEk 4
(Feb23-28)</t>
  </si>
  <si>
    <t>Delivered (DPO)</t>
  </si>
  <si>
    <t>Substrates (MT)</t>
  </si>
  <si>
    <t>Boiler Gas (Nm3)</t>
  </si>
  <si>
    <t>Power (kwH)</t>
  </si>
  <si>
    <t>SCA Gas Equivalent (Nm3)</t>
  </si>
  <si>
    <t>Actual Gas Produced (Nm3)</t>
  </si>
  <si>
    <t>Date</t>
  </si>
  <si>
    <t>WEEK 1
(Mar1-8)</t>
  </si>
  <si>
    <t>WEEK 2
(Mar9-15)</t>
  </si>
  <si>
    <t>WEEk 3
(Mar16-22)</t>
  </si>
  <si>
    <t>WEEk 4
(Mar23-31)</t>
  </si>
  <si>
    <t>WEEK 1
(Apr1-5)</t>
  </si>
  <si>
    <t>WEEK 2
(Apr6-12)</t>
  </si>
  <si>
    <t>WEEK 3
(Apr13-19)</t>
  </si>
  <si>
    <t>WEEK 4
(Apr20-26)</t>
  </si>
  <si>
    <t>WEEk 5
(Apr27-30)</t>
  </si>
  <si>
    <t>CO2 Testing</t>
  </si>
  <si>
    <t>WEEK 1
(May1-10)</t>
  </si>
  <si>
    <t>WEEK 2
(May11-17)</t>
  </si>
  <si>
    <t>WEEK 3
(May18-24)</t>
  </si>
  <si>
    <t>WEEK 4
(May25-31)</t>
  </si>
  <si>
    <t>Differentials</t>
  </si>
  <si>
    <t>Substrates, Php</t>
  </si>
  <si>
    <t>Biogas, Php</t>
  </si>
  <si>
    <t>Power, Php</t>
  </si>
  <si>
    <t>Substrates, mton</t>
  </si>
  <si>
    <t>Biogas, Nm3</t>
  </si>
  <si>
    <t>Power, kwH</t>
  </si>
  <si>
    <t xml:space="preserve">   </t>
  </si>
  <si>
    <t>WEEK 1
(Jun1-7)</t>
  </si>
  <si>
    <t>WEEK 2
(Jun8-14)</t>
  </si>
  <si>
    <t>WEEK 3
(Jun15-21)</t>
  </si>
  <si>
    <t>WEEK 4
(June22-30)</t>
  </si>
  <si>
    <t>Monthly Substrates</t>
  </si>
  <si>
    <t>Monthly Biogas</t>
  </si>
  <si>
    <t>Diverted (Surallah)</t>
  </si>
  <si>
    <t>WEEK 1
(Jul1-5)</t>
  </si>
  <si>
    <t>WEEK 2
(Jul6-12)</t>
  </si>
  <si>
    <t>WEEK 3
(Jul13-19)</t>
  </si>
  <si>
    <t>WEEK 4
(Jul20-26)</t>
  </si>
  <si>
    <t>WEEK 5
(Jul27-31)</t>
  </si>
  <si>
    <t>WEEK 1
(Aug1-9)</t>
  </si>
  <si>
    <t>WEEK 2
(Aug10-16)</t>
  </si>
  <si>
    <t>WEEK 3
(Aug17-23)</t>
  </si>
  <si>
    <t>WEEK 4
(Aug24-31)</t>
  </si>
  <si>
    <t>Total Revenue, Php</t>
  </si>
  <si>
    <t>LE,
Php</t>
  </si>
  <si>
    <t>Total Differential, Php</t>
  </si>
  <si>
    <t>WEEK 1
(Sep1-6)</t>
  </si>
  <si>
    <t>WEEK 2
(Sep7-13)</t>
  </si>
  <si>
    <t>WEEK 3
(Sep14-20)</t>
  </si>
  <si>
    <t>WEEK 4
(Sep21-30)</t>
  </si>
  <si>
    <t>YTD 2025</t>
  </si>
  <si>
    <t>YTD CY4</t>
  </si>
  <si>
    <t>Actual Yield (Monthly)</t>
  </si>
  <si>
    <t>Target to Reach SCA (Boiler)</t>
  </si>
  <si>
    <t>CO2 Operation</t>
  </si>
  <si>
    <t>WEEK 1
(Oct1-4)</t>
  </si>
  <si>
    <t>WEEK 2
(Oct5-11)</t>
  </si>
  <si>
    <t>WEEK 3
(Oct12-18)</t>
  </si>
  <si>
    <t>WEEK 4
(Oct19-25)</t>
  </si>
  <si>
    <t>WEEK 5
(Oct26-31)</t>
  </si>
  <si>
    <t>Week 5</t>
  </si>
  <si>
    <t>Pro-rated based on actual substrates received</t>
  </si>
  <si>
    <t>Fixed based on contract - Contract year starts April</t>
  </si>
  <si>
    <t>Total monthly substrates received</t>
  </si>
  <si>
    <t>YTD substrtaes received from April</t>
  </si>
  <si>
    <t>Total monthly substrates rejected</t>
  </si>
  <si>
    <t>Fixed based on contract - CY starts April</t>
  </si>
  <si>
    <t>Total monthly power delivered</t>
  </si>
  <si>
    <t>YTD power delivered from April</t>
  </si>
  <si>
    <t>Pro-rated based on actual power delivered - Engine</t>
  </si>
  <si>
    <t>Weekly Data from DPO Substrates Reconciliation</t>
  </si>
  <si>
    <t>Weekly Data from Joint Monitoring - Gas Engine</t>
  </si>
  <si>
    <t>Pro-rated based on actual biogas delivered - Thermax Boiler</t>
  </si>
  <si>
    <t>Total monthly biogas delivered to boiler</t>
  </si>
  <si>
    <t>Weekly Data from Joint Monitoring - Boiler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</si>
</sst>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_-* #,##0.0_-;\-* #,##0.0_-;_-* &quot;-&quot;??_-;_-@_-"/>
    <numFmt numFmtId="168" formatCode="0.0%"/>
    <numFmt numFmtId="169" formatCode="0.0"/>
    <numFmt numFmtId="170" formatCode="_-* #,##0_-;\-* #,##0_-;_-* &quot;-&quot;?_-;_-@_-"/>
    <numFmt numFmtId="171" formatCode="_-* #,##0.0_-;\-* #,##0.0_-;_-* &quot;-&quot;?_-;_-@_-"/>
    <numFmt numFmtId="172" formatCode="_(* #,##0.0_);_(* \(#,##0.0\);_(* &quot;-&quot;?_);_(@_)"/>
  </numFmts>
  <fonts count="44" x14ac:knownFonts="1">
    <font>
      <sz val="11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i/>
      <vertAlign val="superscript"/>
      <sz val="11"/>
      <color theme="0" tint="-0.249977111117893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7"/>
      <color rgb="FF000000"/>
      <name val="Calibri"/>
      <family val="2"/>
    </font>
    <font>
      <sz val="18"/>
      <name val="Arial"/>
      <family val="2"/>
    </font>
    <font>
      <sz val="17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  <font>
      <sz val="11"/>
      <color theme="0" tint="-0.499984740745262"/>
      <name val="Aptos Narrow"/>
      <family val="2"/>
    </font>
    <font>
      <b/>
      <i/>
      <sz val="11"/>
      <color theme="1"/>
      <name val="Aptos Narrow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9"/>
      <color rgb="FF595959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0" tint="-0.499984740745262"/>
      <name val="Aptos Narrow"/>
      <family val="2"/>
    </font>
    <font>
      <b/>
      <sz val="10"/>
      <color theme="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uble">
        <color rgb="FF000000"/>
      </top>
      <bottom style="medium">
        <color indexed="64"/>
      </bottom>
      <diagonal/>
    </border>
    <border>
      <left/>
      <right style="medium">
        <color indexed="64"/>
      </right>
      <top style="double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ashDot">
        <color indexed="64"/>
      </right>
      <top/>
      <bottom style="double">
        <color indexed="64"/>
      </bottom>
      <diagonal/>
    </border>
    <border>
      <left/>
      <right style="dashDot">
        <color indexed="64"/>
      </right>
      <top/>
      <bottom/>
      <diagonal/>
    </border>
    <border>
      <left style="dashDot">
        <color indexed="64"/>
      </left>
      <right/>
      <top/>
      <bottom style="double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2" fillId="0" borderId="0" applyNumberFormat="0" applyFill="0" applyBorder="0" applyAlignment="0" applyProtection="0"/>
  </cellStyleXfs>
  <cellXfs count="267">
    <xf numFmtId="0" fontId="0" fillId="0" borderId="0" xfId="0"/>
    <xf numFmtId="0" fontId="0" fillId="0" borderId="0" xfId="0" applyAlignment="1">
      <alignment horizontal="center" wrapText="1"/>
    </xf>
    <xf numFmtId="165" fontId="0" fillId="0" borderId="0" xfId="1" applyNumberFormat="1" applyFont="1"/>
    <xf numFmtId="43" fontId="0" fillId="0" borderId="0" xfId="0" applyNumberFormat="1"/>
    <xf numFmtId="0" fontId="0" fillId="0" borderId="1" xfId="0" applyBorder="1"/>
    <xf numFmtId="0" fontId="6" fillId="4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7" fillId="4" borderId="0" xfId="0" applyFont="1" applyFill="1"/>
    <xf numFmtId="17" fontId="6" fillId="3" borderId="0" xfId="0" applyNumberFormat="1" applyFont="1" applyFill="1" applyAlignment="1">
      <alignment horizontal="right"/>
    </xf>
    <xf numFmtId="165" fontId="0" fillId="5" borderId="0" xfId="1" applyNumberFormat="1" applyFont="1" applyFill="1" applyAlignment="1">
      <alignment horizontal="right"/>
    </xf>
    <xf numFmtId="0" fontId="6" fillId="4" borderId="0" xfId="0" applyFont="1" applyFill="1" applyAlignment="1">
      <alignment horizontal="right" wrapText="1"/>
    </xf>
    <xf numFmtId="0" fontId="8" fillId="4" borderId="0" xfId="0" applyFont="1" applyFill="1" applyAlignment="1">
      <alignment horizontal="right" wrapText="1"/>
    </xf>
    <xf numFmtId="0" fontId="6" fillId="6" borderId="0" xfId="0" applyFont="1" applyFill="1" applyAlignment="1">
      <alignment horizontal="right" wrapText="1"/>
    </xf>
    <xf numFmtId="165" fontId="0" fillId="6" borderId="0" xfId="1" applyNumberFormat="1" applyFont="1" applyFill="1" applyBorder="1"/>
    <xf numFmtId="0" fontId="7" fillId="6" borderId="0" xfId="0" applyFont="1" applyFill="1"/>
    <xf numFmtId="165" fontId="0" fillId="6" borderId="0" xfId="1" applyNumberFormat="1" applyFont="1" applyFill="1" applyBorder="1" applyAlignment="1">
      <alignment horizontal="center" wrapText="1"/>
    </xf>
    <xf numFmtId="0" fontId="6" fillId="6" borderId="0" xfId="0" applyFont="1" applyFill="1" applyAlignment="1">
      <alignment horizontal="center" wrapText="1"/>
    </xf>
    <xf numFmtId="0" fontId="10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 wrapText="1"/>
    </xf>
    <xf numFmtId="0" fontId="7" fillId="0" borderId="0" xfId="0" applyFont="1"/>
    <xf numFmtId="165" fontId="0" fillId="0" borderId="0" xfId="1" applyNumberFormat="1" applyFont="1" applyFill="1" applyAlignment="1">
      <alignment horizontal="right"/>
    </xf>
    <xf numFmtId="0" fontId="12" fillId="0" borderId="0" xfId="0" applyFont="1"/>
    <xf numFmtId="0" fontId="6" fillId="6" borderId="0" xfId="0" applyFont="1" applyFill="1" applyAlignment="1">
      <alignment horizontal="right"/>
    </xf>
    <xf numFmtId="0" fontId="15" fillId="0" borderId="2" xfId="0" applyFont="1" applyBorder="1" applyAlignment="1">
      <alignment horizontal="center" wrapText="1"/>
    </xf>
    <xf numFmtId="0" fontId="16" fillId="0" borderId="3" xfId="0" applyFont="1" applyBorder="1" applyAlignment="1">
      <alignment horizontal="left" wrapText="1" readingOrder="1"/>
    </xf>
    <xf numFmtId="0" fontId="14" fillId="7" borderId="4" xfId="0" applyFont="1" applyFill="1" applyBorder="1" applyAlignment="1">
      <alignment horizontal="left" wrapText="1" readingOrder="1"/>
    </xf>
    <xf numFmtId="0" fontId="14" fillId="7" borderId="5" xfId="0" applyFont="1" applyFill="1" applyBorder="1" applyAlignment="1">
      <alignment horizontal="center" wrapText="1" readingOrder="1"/>
    </xf>
    <xf numFmtId="0" fontId="14" fillId="7" borderId="6" xfId="0" applyFont="1" applyFill="1" applyBorder="1" applyAlignment="1">
      <alignment horizontal="center" wrapText="1" readingOrder="1"/>
    </xf>
    <xf numFmtId="0" fontId="14" fillId="0" borderId="7" xfId="0" applyFont="1" applyBorder="1" applyAlignment="1">
      <alignment horizontal="left" wrapText="1" readingOrder="1"/>
    </xf>
    <xf numFmtId="0" fontId="14" fillId="0" borderId="8" xfId="0" applyFont="1" applyBorder="1" applyAlignment="1">
      <alignment horizontal="center" wrapText="1" readingOrder="1"/>
    </xf>
    <xf numFmtId="17" fontId="16" fillId="0" borderId="9" xfId="0" applyNumberFormat="1" applyFont="1" applyBorder="1" applyAlignment="1">
      <alignment horizontal="left" wrapText="1" readingOrder="1"/>
    </xf>
    <xf numFmtId="0" fontId="16" fillId="0" borderId="9" xfId="0" applyFont="1" applyBorder="1" applyAlignment="1">
      <alignment horizontal="left" wrapText="1" readingOrder="1"/>
    </xf>
    <xf numFmtId="0" fontId="16" fillId="0" borderId="11" xfId="0" applyFont="1" applyBorder="1" applyAlignment="1">
      <alignment horizontal="left" wrapText="1" readingOrder="1"/>
    </xf>
    <xf numFmtId="0" fontId="16" fillId="0" borderId="12" xfId="0" applyFont="1" applyBorder="1" applyAlignment="1">
      <alignment horizontal="left" wrapText="1" readingOrder="1"/>
    </xf>
    <xf numFmtId="44" fontId="16" fillId="0" borderId="13" xfId="0" applyNumberFormat="1" applyFont="1" applyBorder="1" applyAlignment="1">
      <alignment horizontal="left" wrapText="1" readingOrder="1"/>
    </xf>
    <xf numFmtId="44" fontId="16" fillId="0" borderId="14" xfId="0" applyNumberFormat="1" applyFont="1" applyBorder="1" applyAlignment="1">
      <alignment horizontal="left" wrapText="1" readingOrder="1"/>
    </xf>
    <xf numFmtId="165" fontId="0" fillId="8" borderId="0" xfId="1" applyNumberFormat="1" applyFont="1" applyFill="1"/>
    <xf numFmtId="165" fontId="0" fillId="5" borderId="20" xfId="1" applyNumberFormat="1" applyFont="1" applyFill="1" applyBorder="1"/>
    <xf numFmtId="165" fontId="0" fillId="5" borderId="21" xfId="1" applyNumberFormat="1" applyFont="1" applyFill="1" applyBorder="1"/>
    <xf numFmtId="165" fontId="0" fillId="5" borderId="22" xfId="1" applyNumberFormat="1" applyFont="1" applyFill="1" applyBorder="1"/>
    <xf numFmtId="17" fontId="6" fillId="3" borderId="0" xfId="0" applyNumberFormat="1" applyFont="1" applyFill="1" applyAlignment="1">
      <alignment horizontal="center"/>
    </xf>
    <xf numFmtId="165" fontId="0" fillId="5" borderId="15" xfId="1" applyNumberFormat="1" applyFont="1" applyFill="1" applyBorder="1" applyAlignment="1">
      <alignment horizontal="center"/>
    </xf>
    <xf numFmtId="165" fontId="0" fillId="5" borderId="16" xfId="1" applyNumberFormat="1" applyFont="1" applyFill="1" applyBorder="1" applyAlignment="1">
      <alignment horizontal="center"/>
    </xf>
    <xf numFmtId="165" fontId="0" fillId="5" borderId="17" xfId="1" applyNumberFormat="1" applyFont="1" applyFill="1" applyBorder="1" applyAlignment="1">
      <alignment horizontal="center"/>
    </xf>
    <xf numFmtId="165" fontId="0" fillId="5" borderId="12" xfId="1" applyNumberFormat="1" applyFont="1" applyFill="1" applyBorder="1" applyAlignment="1">
      <alignment horizontal="center"/>
    </xf>
    <xf numFmtId="165" fontId="0" fillId="5" borderId="18" xfId="1" applyNumberFormat="1" applyFont="1" applyFill="1" applyBorder="1" applyAlignment="1">
      <alignment horizontal="center"/>
    </xf>
    <xf numFmtId="165" fontId="0" fillId="5" borderId="19" xfId="1" applyNumberFormat="1" applyFont="1" applyFill="1" applyBorder="1" applyAlignment="1">
      <alignment horizontal="center"/>
    </xf>
    <xf numFmtId="165" fontId="0" fillId="5" borderId="16" xfId="1" applyNumberFormat="1" applyFont="1" applyFill="1" applyBorder="1" applyAlignment="1">
      <alignment horizontal="right"/>
    </xf>
    <xf numFmtId="165" fontId="0" fillId="5" borderId="17" xfId="1" applyNumberFormat="1" applyFont="1" applyFill="1" applyBorder="1" applyAlignment="1">
      <alignment horizontal="right"/>
    </xf>
    <xf numFmtId="165" fontId="0" fillId="8" borderId="0" xfId="1" applyNumberFormat="1" applyFont="1" applyFill="1" applyAlignment="1">
      <alignment horizontal="right"/>
    </xf>
    <xf numFmtId="165" fontId="0" fillId="5" borderId="9" xfId="1" applyNumberFormat="1" applyFont="1" applyFill="1" applyBorder="1" applyAlignment="1">
      <alignment horizontal="center"/>
    </xf>
    <xf numFmtId="165" fontId="0" fillId="5" borderId="0" xfId="1" applyNumberFormat="1" applyFont="1" applyFill="1" applyBorder="1" applyAlignment="1">
      <alignment horizontal="center"/>
    </xf>
    <xf numFmtId="165" fontId="0" fillId="5" borderId="10" xfId="1" applyNumberFormat="1" applyFont="1" applyFill="1" applyBorder="1" applyAlignment="1">
      <alignment horizontal="center"/>
    </xf>
    <xf numFmtId="165" fontId="0" fillId="0" borderId="0" xfId="0" applyNumberFormat="1"/>
    <xf numFmtId="9" fontId="0" fillId="0" borderId="0" xfId="3" applyFont="1"/>
    <xf numFmtId="165" fontId="0" fillId="5" borderId="15" xfId="1" applyNumberFormat="1" applyFont="1" applyFill="1" applyBorder="1"/>
    <xf numFmtId="164" fontId="0" fillId="0" borderId="1" xfId="0" applyNumberFormat="1" applyBorder="1"/>
    <xf numFmtId="3" fontId="0" fillId="0" borderId="0" xfId="0" applyNumberFormat="1"/>
    <xf numFmtId="165" fontId="6" fillId="0" borderId="0" xfId="0" applyNumberFormat="1" applyFont="1"/>
    <xf numFmtId="165" fontId="6" fillId="0" borderId="0" xfId="0" applyNumberFormat="1" applyFont="1" applyAlignment="1">
      <alignment horizontal="right"/>
    </xf>
    <xf numFmtId="165" fontId="6" fillId="0" borderId="0" xfId="1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165" fontId="6" fillId="0" borderId="0" xfId="3" applyNumberFormat="1" applyFont="1"/>
    <xf numFmtId="165" fontId="0" fillId="9" borderId="0" xfId="1" applyNumberFormat="1" applyFont="1" applyFill="1" applyAlignment="1">
      <alignment horizontal="right"/>
    </xf>
    <xf numFmtId="164" fontId="0" fillId="0" borderId="0" xfId="0" applyNumberFormat="1"/>
    <xf numFmtId="165" fontId="0" fillId="5" borderId="9" xfId="1" applyNumberFormat="1" applyFont="1" applyFill="1" applyBorder="1" applyAlignment="1">
      <alignment horizontal="right"/>
    </xf>
    <xf numFmtId="165" fontId="0" fillId="5" borderId="0" xfId="1" applyNumberFormat="1" applyFont="1" applyFill="1" applyBorder="1" applyAlignment="1">
      <alignment horizontal="right"/>
    </xf>
    <xf numFmtId="165" fontId="0" fillId="5" borderId="10" xfId="1" applyNumberFormat="1" applyFont="1" applyFill="1" applyBorder="1" applyAlignment="1">
      <alignment horizontal="right"/>
    </xf>
    <xf numFmtId="165" fontId="0" fillId="10" borderId="23" xfId="1" applyNumberFormat="1" applyFont="1" applyFill="1" applyBorder="1" applyAlignment="1">
      <alignment horizontal="right"/>
    </xf>
    <xf numFmtId="0" fontId="6" fillId="10" borderId="23" xfId="0" applyFont="1" applyFill="1" applyBorder="1" applyAlignment="1">
      <alignment horizontal="right" wrapText="1"/>
    </xf>
    <xf numFmtId="0" fontId="7" fillId="10" borderId="23" xfId="0" applyFont="1" applyFill="1" applyBorder="1"/>
    <xf numFmtId="0" fontId="6" fillId="0" borderId="0" xfId="0" applyFont="1" applyAlignment="1">
      <alignment horizontal="right" vertical="center"/>
    </xf>
    <xf numFmtId="165" fontId="0" fillId="6" borderId="0" xfId="1" applyNumberFormat="1" applyFont="1" applyFill="1" applyAlignment="1">
      <alignment horizontal="center"/>
    </xf>
    <xf numFmtId="165" fontId="3" fillId="6" borderId="0" xfId="1" applyNumberFormat="1" applyFont="1" applyFill="1" applyAlignment="1">
      <alignment horizontal="center"/>
    </xf>
    <xf numFmtId="9" fontId="6" fillId="0" borderId="0" xfId="3" applyFont="1"/>
    <xf numFmtId="9" fontId="6" fillId="0" borderId="0" xfId="3" applyFont="1" applyAlignment="1">
      <alignment horizontal="right"/>
    </xf>
    <xf numFmtId="0" fontId="6" fillId="4" borderId="0" xfId="0" applyFont="1" applyFill="1" applyAlignment="1">
      <alignment horizontal="right"/>
    </xf>
    <xf numFmtId="17" fontId="0" fillId="3" borderId="0" xfId="0" applyNumberFormat="1" applyFill="1" applyAlignment="1">
      <alignment horizontal="center"/>
    </xf>
    <xf numFmtId="165" fontId="6" fillId="9" borderId="0" xfId="1" applyNumberFormat="1" applyFont="1" applyFill="1" applyAlignment="1">
      <alignment horizontal="right"/>
    </xf>
    <xf numFmtId="165" fontId="6" fillId="5" borderId="0" xfId="1" applyNumberFormat="1" applyFont="1" applyFill="1" applyAlignment="1">
      <alignment horizontal="right"/>
    </xf>
    <xf numFmtId="165" fontId="0" fillId="5" borderId="9" xfId="1" applyNumberFormat="1" applyFont="1" applyFill="1" applyBorder="1"/>
    <xf numFmtId="166" fontId="0" fillId="6" borderId="0" xfId="1" applyNumberFormat="1" applyFont="1" applyFill="1" applyAlignment="1">
      <alignment horizontal="center"/>
    </xf>
    <xf numFmtId="0" fontId="1" fillId="0" borderId="0" xfId="0" applyFont="1" applyAlignment="1">
      <alignment horizontal="center" wrapText="1"/>
    </xf>
    <xf numFmtId="165" fontId="0" fillId="0" borderId="0" xfId="1" applyNumberFormat="1" applyFont="1" applyFill="1" applyAlignment="1">
      <alignment horizontal="center"/>
    </xf>
    <xf numFmtId="43" fontId="6" fillId="0" borderId="0" xfId="1" applyFont="1" applyFill="1" applyAlignment="1">
      <alignment horizontal="right"/>
    </xf>
    <xf numFmtId="43" fontId="6" fillId="0" borderId="0" xfId="0" applyNumberFormat="1" applyFont="1"/>
    <xf numFmtId="44" fontId="19" fillId="0" borderId="0" xfId="2" applyFont="1" applyBorder="1" applyAlignment="1">
      <alignment horizontal="left" wrapText="1" readingOrder="1"/>
    </xf>
    <xf numFmtId="44" fontId="20" fillId="0" borderId="0" xfId="2" applyFont="1" applyBorder="1" applyAlignment="1">
      <alignment wrapText="1"/>
    </xf>
    <xf numFmtId="44" fontId="19" fillId="0" borderId="10" xfId="2" applyFont="1" applyBorder="1" applyAlignment="1">
      <alignment horizontal="left" wrapText="1" readingOrder="1"/>
    </xf>
    <xf numFmtId="44" fontId="18" fillId="0" borderId="0" xfId="2" applyFont="1" applyBorder="1"/>
    <xf numFmtId="167" fontId="21" fillId="5" borderId="0" xfId="1" applyNumberFormat="1" applyFont="1" applyFill="1" applyAlignment="1">
      <alignment horizontal="right"/>
    </xf>
    <xf numFmtId="9" fontId="0" fillId="10" borderId="24" xfId="3" applyFont="1" applyFill="1" applyBorder="1" applyAlignment="1">
      <alignment horizontal="right"/>
    </xf>
    <xf numFmtId="165" fontId="0" fillId="0" borderId="0" xfId="3" applyNumberFormat="1" applyFont="1"/>
    <xf numFmtId="43" fontId="0" fillId="0" borderId="0" xfId="1" applyFont="1"/>
    <xf numFmtId="17" fontId="22" fillId="3" borderId="0" xfId="0" applyNumberFormat="1" applyFont="1" applyFill="1" applyAlignment="1">
      <alignment horizontal="center" wrapText="1"/>
    </xf>
    <xf numFmtId="165" fontId="0" fillId="11" borderId="0" xfId="1" applyNumberFormat="1" applyFont="1" applyFill="1"/>
    <xf numFmtId="165" fontId="0" fillId="11" borderId="0" xfId="1" applyNumberFormat="1" applyFont="1" applyFill="1" applyAlignment="1">
      <alignment horizontal="right"/>
    </xf>
    <xf numFmtId="168" fontId="6" fillId="0" borderId="0" xfId="3" applyNumberFormat="1" applyFont="1" applyAlignment="1">
      <alignment horizontal="right"/>
    </xf>
    <xf numFmtId="0" fontId="0" fillId="10" borderId="0" xfId="0" applyFill="1"/>
    <xf numFmtId="0" fontId="0" fillId="10" borderId="0" xfId="0" applyFill="1" applyAlignment="1">
      <alignment horizontal="right"/>
    </xf>
    <xf numFmtId="9" fontId="0" fillId="10" borderId="0" xfId="3" applyFont="1" applyFill="1"/>
    <xf numFmtId="165" fontId="0" fillId="10" borderId="0" xfId="0" applyNumberFormat="1" applyFill="1"/>
    <xf numFmtId="0" fontId="0" fillId="10" borderId="1" xfId="0" applyFill="1" applyBorder="1"/>
    <xf numFmtId="168" fontId="0" fillId="10" borderId="0" xfId="3" applyNumberFormat="1" applyFont="1" applyFill="1"/>
    <xf numFmtId="0" fontId="6" fillId="10" borderId="0" xfId="0" applyFont="1" applyFill="1" applyAlignment="1">
      <alignment horizontal="right" vertical="center"/>
    </xf>
    <xf numFmtId="165" fontId="6" fillId="10" borderId="0" xfId="0" applyNumberFormat="1" applyFont="1" applyFill="1"/>
    <xf numFmtId="165" fontId="6" fillId="10" borderId="0" xfId="0" applyNumberFormat="1" applyFont="1" applyFill="1" applyAlignment="1">
      <alignment horizontal="right"/>
    </xf>
    <xf numFmtId="165" fontId="6" fillId="10" borderId="0" xfId="1" applyNumberFormat="1" applyFont="1" applyFill="1" applyAlignment="1">
      <alignment horizontal="right"/>
    </xf>
    <xf numFmtId="17" fontId="22" fillId="10" borderId="0" xfId="0" applyNumberFormat="1" applyFont="1" applyFill="1" applyAlignment="1">
      <alignment horizontal="center" wrapText="1"/>
    </xf>
    <xf numFmtId="165" fontId="0" fillId="10" borderId="0" xfId="1" applyNumberFormat="1" applyFont="1" applyFill="1" applyAlignment="1">
      <alignment horizontal="right"/>
    </xf>
    <xf numFmtId="43" fontId="6" fillId="10" borderId="0" xfId="1" applyFont="1" applyFill="1" applyAlignment="1">
      <alignment horizontal="right"/>
    </xf>
    <xf numFmtId="165" fontId="6" fillId="10" borderId="0" xfId="3" applyNumberFormat="1" applyFont="1" applyFill="1"/>
    <xf numFmtId="165" fontId="2" fillId="9" borderId="0" xfId="1" applyNumberFormat="1" applyFont="1" applyFill="1" applyAlignment="1">
      <alignment horizontal="right"/>
    </xf>
    <xf numFmtId="165" fontId="2" fillId="10" borderId="0" xfId="1" applyNumberFormat="1" applyFont="1" applyFill="1" applyAlignment="1">
      <alignment horizontal="right"/>
    </xf>
    <xf numFmtId="10" fontId="0" fillId="10" borderId="0" xfId="3" applyNumberFormat="1" applyFont="1" applyFill="1"/>
    <xf numFmtId="165" fontId="0" fillId="10" borderId="0" xfId="3" applyNumberFormat="1" applyFont="1" applyFill="1"/>
    <xf numFmtId="167" fontId="0" fillId="5" borderId="0" xfId="1" applyNumberFormat="1" applyFont="1" applyFill="1" applyBorder="1" applyAlignment="1">
      <alignment horizontal="center"/>
    </xf>
    <xf numFmtId="167" fontId="0" fillId="5" borderId="12" xfId="1" applyNumberFormat="1" applyFont="1" applyFill="1" applyBorder="1" applyAlignment="1">
      <alignment horizontal="center"/>
    </xf>
    <xf numFmtId="167" fontId="0" fillId="5" borderId="18" xfId="1" applyNumberFormat="1" applyFont="1" applyFill="1" applyBorder="1" applyAlignment="1">
      <alignment horizontal="center"/>
    </xf>
    <xf numFmtId="167" fontId="0" fillId="5" borderId="19" xfId="1" applyNumberFormat="1" applyFont="1" applyFill="1" applyBorder="1" applyAlignment="1">
      <alignment horizontal="center"/>
    </xf>
    <xf numFmtId="167" fontId="0" fillId="6" borderId="0" xfId="1" applyNumberFormat="1" applyFont="1" applyFill="1" applyAlignment="1">
      <alignment horizontal="center"/>
    </xf>
    <xf numFmtId="43" fontId="21" fillId="5" borderId="0" xfId="1" applyFont="1" applyFill="1" applyAlignment="1">
      <alignment horizontal="right"/>
    </xf>
    <xf numFmtId="167" fontId="0" fillId="10" borderId="0" xfId="3" applyNumberFormat="1" applyFont="1" applyFill="1"/>
    <xf numFmtId="0" fontId="23" fillId="0" borderId="0" xfId="0" applyFont="1"/>
    <xf numFmtId="0" fontId="26" fillId="13" borderId="0" xfId="0" applyFont="1" applyFill="1"/>
    <xf numFmtId="165" fontId="3" fillId="13" borderId="0" xfId="1" applyNumberFormat="1" applyFont="1" applyFill="1" applyBorder="1"/>
    <xf numFmtId="170" fontId="3" fillId="13" borderId="0" xfId="0" applyNumberFormat="1" applyFont="1" applyFill="1"/>
    <xf numFmtId="0" fontId="3" fillId="13" borderId="0" xfId="0" applyFont="1" applyFill="1"/>
    <xf numFmtId="0" fontId="26" fillId="13" borderId="1" xfId="0" applyFont="1" applyFill="1" applyBorder="1"/>
    <xf numFmtId="0" fontId="3" fillId="13" borderId="1" xfId="0" applyFont="1" applyFill="1" applyBorder="1"/>
    <xf numFmtId="170" fontId="3" fillId="13" borderId="1" xfId="0" applyNumberFormat="1" applyFont="1" applyFill="1" applyBorder="1"/>
    <xf numFmtId="0" fontId="5" fillId="10" borderId="0" xfId="0" applyFont="1" applyFill="1" applyAlignment="1">
      <alignment horizontal="center"/>
    </xf>
    <xf numFmtId="165" fontId="0" fillId="10" borderId="0" xfId="1" applyNumberFormat="1" applyFont="1" applyFill="1" applyBorder="1"/>
    <xf numFmtId="0" fontId="27" fillId="10" borderId="0" xfId="0" applyFont="1" applyFill="1"/>
    <xf numFmtId="0" fontId="28" fillId="10" borderId="0" xfId="0" applyFont="1" applyFill="1"/>
    <xf numFmtId="171" fontId="29" fillId="10" borderId="0" xfId="0" applyNumberFormat="1" applyFont="1" applyFill="1"/>
    <xf numFmtId="0" fontId="29" fillId="10" borderId="0" xfId="0" applyFont="1" applyFill="1"/>
    <xf numFmtId="0" fontId="5" fillId="12" borderId="25" xfId="0" applyFont="1" applyFill="1" applyBorder="1" applyAlignment="1">
      <alignment horizontal="center"/>
    </xf>
    <xf numFmtId="170" fontId="0" fillId="10" borderId="0" xfId="0" applyNumberFormat="1" applyFill="1"/>
    <xf numFmtId="0" fontId="25" fillId="10" borderId="0" xfId="0" applyFont="1" applyFill="1"/>
    <xf numFmtId="165" fontId="31" fillId="10" borderId="0" xfId="1" applyNumberFormat="1" applyFont="1" applyFill="1" applyBorder="1"/>
    <xf numFmtId="170" fontId="31" fillId="10" borderId="0" xfId="0" applyNumberFormat="1" applyFont="1" applyFill="1"/>
    <xf numFmtId="170" fontId="3" fillId="13" borderId="0" xfId="0" quotePrefix="1" applyNumberFormat="1" applyFont="1" applyFill="1"/>
    <xf numFmtId="170" fontId="0" fillId="10" borderId="0" xfId="1" applyNumberFormat="1" applyFont="1" applyFill="1" applyBorder="1"/>
    <xf numFmtId="170" fontId="31" fillId="10" borderId="0" xfId="1" applyNumberFormat="1" applyFont="1" applyFill="1" applyBorder="1"/>
    <xf numFmtId="165" fontId="23" fillId="0" borderId="0" xfId="0" applyNumberFormat="1" applyFont="1"/>
    <xf numFmtId="0" fontId="23" fillId="10" borderId="0" xfId="0" applyFont="1" applyFill="1"/>
    <xf numFmtId="164" fontId="23" fillId="0" borderId="0" xfId="0" applyNumberFormat="1" applyFont="1"/>
    <xf numFmtId="0" fontId="23" fillId="0" borderId="1" xfId="0" applyFont="1" applyBorder="1"/>
    <xf numFmtId="43" fontId="23" fillId="0" borderId="0" xfId="0" applyNumberFormat="1" applyFont="1"/>
    <xf numFmtId="172" fontId="0" fillId="10" borderId="0" xfId="0" applyNumberFormat="1" applyFill="1"/>
    <xf numFmtId="17" fontId="22" fillId="3" borderId="0" xfId="0" quotePrefix="1" applyNumberFormat="1" applyFont="1" applyFill="1" applyAlignment="1">
      <alignment horizontal="center" wrapText="1"/>
    </xf>
    <xf numFmtId="165" fontId="31" fillId="10" borderId="0" xfId="0" applyNumberFormat="1" applyFont="1" applyFill="1"/>
    <xf numFmtId="169" fontId="31" fillId="0" borderId="0" xfId="0" applyNumberFormat="1" applyFont="1" applyAlignment="1">
      <alignment horizontal="right"/>
    </xf>
    <xf numFmtId="0" fontId="31" fillId="0" borderId="0" xfId="0" applyFont="1"/>
    <xf numFmtId="165" fontId="33" fillId="10" borderId="0" xfId="4" quotePrefix="1" applyNumberFormat="1" applyFont="1" applyFill="1"/>
    <xf numFmtId="165" fontId="31" fillId="0" borderId="0" xfId="0" applyNumberFormat="1" applyFont="1"/>
    <xf numFmtId="16" fontId="31" fillId="0" borderId="0" xfId="0" applyNumberFormat="1" applyFont="1"/>
    <xf numFmtId="0" fontId="31" fillId="10" borderId="0" xfId="0" applyFont="1" applyFill="1"/>
    <xf numFmtId="164" fontId="31" fillId="0" borderId="0" xfId="0" applyNumberFormat="1" applyFont="1"/>
    <xf numFmtId="0" fontId="31" fillId="0" borderId="1" xfId="0" applyFont="1" applyBorder="1"/>
    <xf numFmtId="168" fontId="31" fillId="0" borderId="0" xfId="3" applyNumberFormat="1" applyFont="1"/>
    <xf numFmtId="43" fontId="31" fillId="0" borderId="0" xfId="0" applyNumberFormat="1" applyFont="1"/>
    <xf numFmtId="1" fontId="0" fillId="0" borderId="0" xfId="0" applyNumberFormat="1"/>
    <xf numFmtId="0" fontId="5" fillId="10" borderId="0" xfId="0" applyFont="1" applyFill="1" applyAlignment="1">
      <alignment horizontal="center" vertical="center" wrapText="1"/>
    </xf>
    <xf numFmtId="165" fontId="0" fillId="0" borderId="0" xfId="1" applyNumberFormat="1" applyFont="1" applyFill="1" applyBorder="1"/>
    <xf numFmtId="43" fontId="0" fillId="10" borderId="0" xfId="3" applyNumberFormat="1" applyFont="1" applyFill="1"/>
    <xf numFmtId="169" fontId="0" fillId="0" borderId="0" xfId="0" applyNumberFormat="1"/>
    <xf numFmtId="165" fontId="0" fillId="0" borderId="0" xfId="1" applyNumberFormat="1" applyFont="1" applyFill="1" applyBorder="1" applyAlignment="1">
      <alignment horizontal="center" wrapText="1"/>
    </xf>
    <xf numFmtId="0" fontId="6" fillId="0" borderId="0" xfId="0" applyFont="1" applyAlignment="1">
      <alignment horizontal="left" wrapText="1"/>
    </xf>
    <xf numFmtId="9" fontId="0" fillId="0" borderId="0" xfId="3" applyFont="1" applyFill="1"/>
    <xf numFmtId="9" fontId="2" fillId="0" borderId="0" xfId="3" applyFont="1" applyFill="1"/>
    <xf numFmtId="165" fontId="0" fillId="0" borderId="0" xfId="1" applyNumberFormat="1" applyFont="1" applyFill="1"/>
    <xf numFmtId="17" fontId="22" fillId="0" borderId="0" xfId="0" applyNumberFormat="1" applyFont="1" applyAlignment="1">
      <alignment horizontal="center" wrapText="1"/>
    </xf>
    <xf numFmtId="17" fontId="6" fillId="0" borderId="0" xfId="0" applyNumberFormat="1" applyFont="1" applyAlignment="1">
      <alignment horizontal="center"/>
    </xf>
    <xf numFmtId="167" fontId="0" fillId="0" borderId="18" xfId="1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right"/>
    </xf>
    <xf numFmtId="0" fontId="14" fillId="0" borderId="6" xfId="0" applyFont="1" applyBorder="1" applyAlignment="1">
      <alignment horizontal="center" wrapText="1" readingOrder="1"/>
    </xf>
    <xf numFmtId="44" fontId="19" fillId="0" borderId="10" xfId="2" applyFont="1" applyFill="1" applyBorder="1" applyAlignment="1">
      <alignment horizontal="left" wrapText="1" readingOrder="1"/>
    </xf>
    <xf numFmtId="17" fontId="22" fillId="10" borderId="0" xfId="0" applyNumberFormat="1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 readingOrder="1"/>
    </xf>
    <xf numFmtId="165" fontId="0" fillId="5" borderId="0" xfId="1" applyNumberFormat="1" applyFont="1" applyFill="1" applyBorder="1"/>
    <xf numFmtId="165" fontId="0" fillId="11" borderId="0" xfId="1" applyNumberFormat="1" applyFont="1" applyFill="1" applyBorder="1" applyAlignment="1">
      <alignment horizontal="right"/>
    </xf>
    <xf numFmtId="43" fontId="31" fillId="0" borderId="0" xfId="1" applyFont="1" applyFill="1" applyAlignment="1">
      <alignment horizontal="right"/>
    </xf>
    <xf numFmtId="0" fontId="35" fillId="4" borderId="0" xfId="0" applyFont="1" applyFill="1" applyAlignment="1">
      <alignment horizontal="right" wrapText="1"/>
    </xf>
    <xf numFmtId="165" fontId="0" fillId="11" borderId="0" xfId="1" applyNumberFormat="1" applyFont="1" applyFill="1" applyBorder="1" applyAlignment="1">
      <alignment horizontal="right" vertical="center"/>
    </xf>
    <xf numFmtId="170" fontId="0" fillId="0" borderId="0" xfId="0" applyNumberFormat="1"/>
    <xf numFmtId="170" fontId="23" fillId="0" borderId="0" xfId="0" applyNumberFormat="1" applyFont="1"/>
    <xf numFmtId="0" fontId="36" fillId="0" borderId="0" xfId="0" applyFont="1"/>
    <xf numFmtId="170" fontId="29" fillId="0" borderId="0" xfId="0" applyNumberFormat="1" applyFont="1"/>
    <xf numFmtId="171" fontId="29" fillId="0" borderId="0" xfId="0" applyNumberFormat="1" applyFont="1"/>
    <xf numFmtId="0" fontId="29" fillId="0" borderId="0" xfId="0" applyFont="1"/>
    <xf numFmtId="0" fontId="28" fillId="0" borderId="0" xfId="0" applyFont="1"/>
    <xf numFmtId="0" fontId="27" fillId="0" borderId="0" xfId="0" applyFont="1"/>
    <xf numFmtId="0" fontId="25" fillId="0" borderId="0" xfId="0" applyFont="1"/>
    <xf numFmtId="0" fontId="0" fillId="0" borderId="0" xfId="0" applyAlignment="1">
      <alignment horizontal="center"/>
    </xf>
    <xf numFmtId="0" fontId="25" fillId="0" borderId="1" xfId="0" applyFont="1" applyBorder="1"/>
    <xf numFmtId="165" fontId="0" fillId="0" borderId="1" xfId="1" applyNumberFormat="1" applyFont="1" applyBorder="1"/>
    <xf numFmtId="170" fontId="0" fillId="0" borderId="1" xfId="0" applyNumberFormat="1" applyBorder="1"/>
    <xf numFmtId="170" fontId="6" fillId="0" borderId="0" xfId="0" applyNumberFormat="1" applyFont="1"/>
    <xf numFmtId="170" fontId="6" fillId="0" borderId="1" xfId="0" applyNumberFormat="1" applyFont="1" applyBorder="1"/>
    <xf numFmtId="0" fontId="38" fillId="0" borderId="0" xfId="0" applyFont="1" applyAlignment="1">
      <alignment horizontal="right"/>
    </xf>
    <xf numFmtId="165" fontId="6" fillId="0" borderId="0" xfId="1" applyNumberFormat="1" applyFont="1" applyBorder="1"/>
    <xf numFmtId="170" fontId="31" fillId="0" borderId="0" xfId="0" applyNumberFormat="1" applyFont="1"/>
    <xf numFmtId="170" fontId="35" fillId="0" borderId="0" xfId="0" applyNumberFormat="1" applyFont="1"/>
    <xf numFmtId="0" fontId="39" fillId="12" borderId="0" xfId="0" applyFont="1" applyFill="1" applyAlignment="1">
      <alignment horizontal="center"/>
    </xf>
    <xf numFmtId="165" fontId="2" fillId="0" borderId="0" xfId="1" applyNumberFormat="1" applyFont="1" applyBorder="1"/>
    <xf numFmtId="0" fontId="6" fillId="0" borderId="0" xfId="0" applyFont="1"/>
    <xf numFmtId="43" fontId="6" fillId="0" borderId="0" xfId="1" applyFont="1"/>
    <xf numFmtId="43" fontId="40" fillId="0" borderId="0" xfId="1" applyFont="1"/>
    <xf numFmtId="0" fontId="40" fillId="0" borderId="0" xfId="0" applyFont="1"/>
    <xf numFmtId="38" fontId="0" fillId="0" borderId="0" xfId="0" applyNumberFormat="1"/>
    <xf numFmtId="38" fontId="6" fillId="0" borderId="0" xfId="0" applyNumberFormat="1" applyFont="1"/>
    <xf numFmtId="38" fontId="41" fillId="0" borderId="0" xfId="0" applyNumberFormat="1" applyFont="1"/>
    <xf numFmtId="170" fontId="0" fillId="0" borderId="27" xfId="0" applyNumberFormat="1" applyBorder="1"/>
    <xf numFmtId="170" fontId="6" fillId="0" borderId="27" xfId="0" applyNumberFormat="1" applyFont="1" applyBorder="1"/>
    <xf numFmtId="170" fontId="0" fillId="0" borderId="26" xfId="0" applyNumberFormat="1" applyBorder="1"/>
    <xf numFmtId="43" fontId="35" fillId="0" borderId="0" xfId="0" applyNumberFormat="1" applyFont="1"/>
    <xf numFmtId="38" fontId="0" fillId="0" borderId="28" xfId="0" applyNumberFormat="1" applyBorder="1"/>
    <xf numFmtId="38" fontId="0" fillId="0" borderId="1" xfId="0" applyNumberFormat="1" applyBorder="1"/>
    <xf numFmtId="43" fontId="2" fillId="0" borderId="0" xfId="1" applyFont="1"/>
    <xf numFmtId="0" fontId="0" fillId="0" borderId="0" xfId="0" applyAlignment="1">
      <alignment horizontal="left"/>
    </xf>
    <xf numFmtId="170" fontId="0" fillId="0" borderId="0" xfId="0" applyNumberFormat="1" applyAlignment="1">
      <alignment horizontal="left"/>
    </xf>
    <xf numFmtId="43" fontId="40" fillId="0" borderId="0" xfId="0" applyNumberFormat="1" applyFont="1"/>
    <xf numFmtId="43" fontId="0" fillId="6" borderId="0" xfId="1" applyFont="1" applyFill="1" applyAlignment="1">
      <alignment horizontal="center"/>
    </xf>
    <xf numFmtId="170" fontId="0" fillId="0" borderId="0" xfId="0" applyNumberFormat="1" applyAlignment="1">
      <alignment horizontal="center"/>
    </xf>
    <xf numFmtId="43" fontId="31" fillId="0" borderId="0" xfId="1" applyFont="1" applyFill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7" fontId="31" fillId="0" borderId="0" xfId="0" applyNumberFormat="1" applyFont="1" applyAlignment="1">
      <alignment horizontal="center" vertical="top"/>
    </xf>
    <xf numFmtId="43" fontId="31" fillId="0" borderId="0" xfId="1" applyFont="1" applyFill="1" applyBorder="1"/>
    <xf numFmtId="1" fontId="31" fillId="0" borderId="0" xfId="0" applyNumberFormat="1" applyFont="1"/>
    <xf numFmtId="43" fontId="31" fillId="0" borderId="0" xfId="1" applyFont="1"/>
    <xf numFmtId="0" fontId="31" fillId="0" borderId="0" xfId="0" applyFont="1" applyAlignment="1">
      <alignment horizontal="center"/>
    </xf>
    <xf numFmtId="165" fontId="41" fillId="0" borderId="0" xfId="1" applyNumberFormat="1" applyFont="1" applyBorder="1"/>
    <xf numFmtId="170" fontId="41" fillId="0" borderId="0" xfId="0" applyNumberFormat="1" applyFont="1"/>
    <xf numFmtId="43" fontId="42" fillId="0" borderId="0" xfId="1" applyFont="1"/>
    <xf numFmtId="170" fontId="41" fillId="0" borderId="27" xfId="0" applyNumberFormat="1" applyFont="1" applyBorder="1"/>
    <xf numFmtId="40" fontId="11" fillId="0" borderId="0" xfId="0" applyNumberFormat="1" applyFont="1"/>
    <xf numFmtId="43" fontId="43" fillId="0" borderId="0" xfId="0" applyNumberFormat="1" applyFont="1"/>
    <xf numFmtId="40" fontId="6" fillId="0" borderId="0" xfId="0" applyNumberFormat="1" applyFont="1"/>
    <xf numFmtId="0" fontId="11" fillId="0" borderId="0" xfId="0" quotePrefix="1" applyFont="1" applyAlignment="1">
      <alignment horizontal="center" wrapText="1"/>
    </xf>
    <xf numFmtId="0" fontId="17" fillId="0" borderId="0" xfId="0" applyFont="1" applyAlignment="1">
      <alignment horizontal="center"/>
    </xf>
    <xf numFmtId="0" fontId="13" fillId="2" borderId="0" xfId="0" applyFont="1" applyFill="1" applyAlignment="1">
      <alignment horizontal="center"/>
    </xf>
    <xf numFmtId="0" fontId="6" fillId="0" borderId="0" xfId="0" applyFont="1" applyAlignment="1">
      <alignment horizontal="right" vertical="center"/>
    </xf>
    <xf numFmtId="164" fontId="0" fillId="0" borderId="0" xfId="0" applyNumberFormat="1"/>
    <xf numFmtId="9" fontId="10" fillId="0" borderId="0" xfId="3" applyFont="1" applyFill="1"/>
    <xf numFmtId="9" fontId="10" fillId="0" borderId="0" xfId="3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24" fillId="12" borderId="0" xfId="0" applyFont="1" applyFill="1" applyAlignment="1">
      <alignment horizontal="center" vertical="center"/>
    </xf>
    <xf numFmtId="0" fontId="5" fillId="12" borderId="27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/>
    </xf>
    <xf numFmtId="0" fontId="5" fillId="12" borderId="24" xfId="0" applyFont="1" applyFill="1" applyBorder="1" applyAlignment="1">
      <alignment horizontal="center" vertical="center" wrapText="1"/>
    </xf>
    <xf numFmtId="0" fontId="24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/>
    </xf>
    <xf numFmtId="0" fontId="5" fillId="10" borderId="0" xfId="0" applyFont="1" applyFill="1" applyAlignment="1">
      <alignment horizontal="center" vertical="center" wrapText="1"/>
    </xf>
    <xf numFmtId="0" fontId="24" fillId="12" borderId="23" xfId="0" applyFont="1" applyFill="1" applyBorder="1" applyAlignment="1">
      <alignment horizontal="center" vertical="center"/>
    </xf>
    <xf numFmtId="0" fontId="24" fillId="12" borderId="25" xfId="0" applyFont="1" applyFill="1" applyBorder="1" applyAlignment="1">
      <alignment horizontal="center" vertical="center"/>
    </xf>
    <xf numFmtId="0" fontId="5" fillId="12" borderId="23" xfId="0" applyFont="1" applyFill="1" applyBorder="1" applyAlignment="1">
      <alignment horizontal="center"/>
    </xf>
    <xf numFmtId="0" fontId="5" fillId="12" borderId="23" xfId="0" applyFont="1" applyFill="1" applyBorder="1" applyAlignment="1">
      <alignment horizontal="center" vertical="center" wrapText="1"/>
    </xf>
    <xf numFmtId="0" fontId="5" fillId="12" borderId="25" xfId="0" applyFont="1" applyFill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99CC"/>
      <color rgb="FF00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PH" sz="1600" b="1">
                <a:solidFill>
                  <a:schemeClr val="bg1"/>
                </a:solidFill>
              </a:rPr>
              <a:t>Substrate Supply</a:t>
            </a:r>
          </a:p>
        </c:rich>
      </c:tx>
      <c:layout>
        <c:manualLayout>
          <c:xMode val="edge"/>
          <c:yMode val="edge"/>
          <c:x val="0.48264018842319012"/>
          <c:y val="7.693307216473612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037413340212502"/>
          <c:y val="8.968700052187277E-2"/>
          <c:w val="0.74370088205263363"/>
          <c:h val="0.50561293396386153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#REF!</c:f>
            </c:multiLvl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8-49E9-BF87-E95A18878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926304"/>
        <c:axId val="1732677184"/>
        <c:extLst/>
      </c:barChart>
      <c:barChart>
        <c:barDir val="col"/>
        <c:grouping val="clustered"/>
        <c:varyColors val="0"/>
        <c:ser>
          <c:idx val="0"/>
          <c:order val="0"/>
          <c:tx>
            <c:strRef>
              <c:f>'Mar actual FM vol'!$B$34:$C$34</c:f>
              <c:strCache>
                <c:ptCount val="2"/>
                <c:pt idx="0">
                  <c:v>Delivered (DUVO)</c:v>
                </c:pt>
                <c:pt idx="1">
                  <c:v>(mtons)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 actual FM vol'!$D$32:$H$32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'Mar actual FM vol'!$D$34:$H$34</c:f>
              <c:numCache>
                <c:formatCode>_-* #,##0_-;\-* #,##0_-;_-* "-"??_-;_-@_-</c:formatCode>
                <c:ptCount val="5"/>
                <c:pt idx="0">
                  <c:v>1323.5190000000002</c:v>
                </c:pt>
                <c:pt idx="1">
                  <c:v>1583.27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8-49E9-BF87-E95A1887888C}"/>
            </c:ext>
          </c:extLst>
        </c:ser>
        <c:ser>
          <c:idx val="2"/>
          <c:order val="2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 actual FM vol'!$D$32:$H$32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'Mar actual FM vol'!$D$37:$H$37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E2A8-49E9-BF87-E95A1887888C}"/>
            </c:ext>
          </c:extLst>
        </c:ser>
        <c:ser>
          <c:idx val="5"/>
          <c:order val="5"/>
          <c:tx>
            <c:strRef>
              <c:f>'Mar actual FM vol'!$B$35</c:f>
              <c:strCache>
                <c:ptCount val="1"/>
                <c:pt idx="0">
                  <c:v>Divert to Buyers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'Mar actual FM vol'!$D$35:$H$35</c:f>
              <c:numCache>
                <c:formatCode>_-* #,##0_-;\-* #,##0_-;_-* "-"??_-;_-@_-</c:formatCode>
                <c:ptCount val="5"/>
                <c:pt idx="0">
                  <c:v>1017.8299999999999</c:v>
                </c:pt>
                <c:pt idx="1">
                  <c:v>311.012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A8-49E9-BF87-E95A18878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1926304"/>
        <c:axId val="1732677184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'Mar actual FM vol'!$B$38:$C$38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'Mar actual FM vol'!$D$32:$H$32</c15:sqref>
                        </c15:formulaRef>
                      </c:ext>
                    </c:extLst>
                    <c:strCache>
                      <c:ptCount val="4"/>
                      <c:pt idx="0">
                        <c:v>WEEK 1</c:v>
                      </c:pt>
                      <c:pt idx="1">
                        <c:v>WEEK 2</c:v>
                      </c:pt>
                      <c:pt idx="2">
                        <c:v>WEEk 3</c:v>
                      </c:pt>
                      <c:pt idx="3">
                        <c:v>WEEK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'Mar actual FM vol'!$D$38:$H$38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E2A8-49E9-BF87-E95A1887888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'Mar actual FM vol'!$B$39:$C$39</c:f>
              <c:strCache>
                <c:ptCount val="2"/>
                <c:pt idx="0">
                  <c:v>Target to Reach SCA Minimum </c:v>
                </c:pt>
                <c:pt idx="1">
                  <c:v>(mtons)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1629167934072217E-2"/>
                  <c:y val="-2.7522938523292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A8-49E9-BF87-E95A1887888C}"/>
                </c:ext>
              </c:extLst>
            </c:dLbl>
            <c:dLbl>
              <c:idx val="1"/>
              <c:layout>
                <c:manualLayout>
                  <c:x val="-1.609848287643853E-2"/>
                  <c:y val="-4.80502879504039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A8-49E9-BF87-E95A1887888C}"/>
                </c:ext>
              </c:extLst>
            </c:dLbl>
            <c:dLbl>
              <c:idx val="2"/>
              <c:layout>
                <c:manualLayout>
                  <c:x val="-1.9548157778532502E-2"/>
                  <c:y val="-6.52111050755481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A8-49E9-BF87-E95A1887888C}"/>
                </c:ext>
              </c:extLst>
            </c:dLbl>
            <c:dLbl>
              <c:idx val="3"/>
              <c:layout>
                <c:manualLayout>
                  <c:x val="-3.0287967363948703E-2"/>
                  <c:y val="-7.59558702374697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A8-49E9-BF87-E95A188788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 actual FM vol'!$D$32:$H$32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'Mar actual FM vol'!$D$39:$H$39</c:f>
              <c:numCache>
                <c:formatCode>_-* #,##0_-;\-* #,##0_-;_-* "-"??_-;_-@_-</c:formatCode>
                <c:ptCount val="5"/>
                <c:pt idx="0">
                  <c:v>1033.3333333333335</c:v>
                </c:pt>
                <c:pt idx="1">
                  <c:v>1291.6666666666667</c:v>
                </c:pt>
                <c:pt idx="2">
                  <c:v>1722.2222222222224</c:v>
                </c:pt>
                <c:pt idx="3" formatCode="_(* #,##0_);_(* \(#,##0\);_(* &quot;-&quot;??_);_(@_)">
                  <c:v>2583.3333333333335</c:v>
                </c:pt>
                <c:pt idx="4" formatCode="_(* #,##0_);_(* \(#,##0\);_(* &quot;-&quot;??_);_(@_)">
                  <c:v>5166.666666666667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2A8-49E9-BF87-E95A1887888C}"/>
            </c:ext>
          </c:extLst>
        </c:ser>
        <c:ser>
          <c:idx val="6"/>
          <c:order val="6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'Mar actual FM vol'!$D$37:$H$37</c:f>
            </c:numRef>
          </c:val>
          <c:smooth val="0"/>
          <c:extLst>
            <c:ext xmlns:c16="http://schemas.microsoft.com/office/drawing/2014/chart" uri="{C3380CC4-5D6E-409C-BE32-E72D297353CC}">
              <c16:uniqueId val="{00000008-E2A8-49E9-BF87-E95A18878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956560"/>
        <c:axId val="279250768"/>
      </c:lineChart>
      <c:catAx>
        <c:axId val="1931926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2677184"/>
        <c:crosses val="autoZero"/>
        <c:auto val="1"/>
        <c:lblAlgn val="ctr"/>
        <c:lblOffset val="100"/>
        <c:noMultiLvlLbl val="1"/>
      </c:catAx>
      <c:valAx>
        <c:axId val="1732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mtons</a:t>
                </a:r>
              </a:p>
            </c:rich>
          </c:tx>
          <c:layout>
            <c:manualLayout>
              <c:xMode val="edge"/>
              <c:yMode val="edge"/>
              <c:x val="0.15176601466945283"/>
              <c:y val="0.312447565019375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26304"/>
        <c:crosses val="autoZero"/>
        <c:crossBetween val="between"/>
      </c:valAx>
      <c:valAx>
        <c:axId val="279250768"/>
        <c:scaling>
          <c:orientation val="minMax"/>
        </c:scaling>
        <c:delete val="1"/>
        <c:axPos val="r"/>
        <c:numFmt formatCode="_-* #,##0_-;\-* #,##0_-;_-* &quot;-&quot;??_-;_-@_-" sourceLinked="1"/>
        <c:majorTickMark val="out"/>
        <c:minorTickMark val="none"/>
        <c:tickLblPos val="nextTo"/>
        <c:crossAx val="236956560"/>
        <c:crosses val="max"/>
        <c:crossBetween val="between"/>
      </c:valAx>
      <c:catAx>
        <c:axId val="236956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9250768"/>
        <c:crosses val="autoZero"/>
        <c:auto val="1"/>
        <c:lblAlgn val="ctr"/>
        <c:lblOffset val="100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PH" sz="1600" b="1">
                <a:solidFill>
                  <a:schemeClr val="tx1"/>
                </a:solidFill>
              </a:rPr>
              <a:t>Biogas Utilization</a:t>
            </a:r>
          </a:p>
        </c:rich>
      </c:tx>
      <c:layout>
        <c:manualLayout>
          <c:xMode val="edge"/>
          <c:yMode val="edge"/>
          <c:x val="0.41421059488676037"/>
          <c:y val="3.3552951048093798E-3"/>
        </c:manualLayout>
      </c:layout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279257464172775"/>
          <c:y val="0.10060281860125968"/>
          <c:w val="0.67317823439612146"/>
          <c:h val="0.349919226078976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'Mar actual FM vol'!$B$110:$C$110</c:f>
              <c:strCache>
                <c:ptCount val="2"/>
                <c:pt idx="0">
                  <c:v>Delivered to Boilers</c:v>
                </c:pt>
                <c:pt idx="1">
                  <c:v>(Nm3)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 actual FM vol'!$D$108:$H$108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'Mar actual FM vol'!$D$110:$H$110</c:f>
              <c:numCache>
                <c:formatCode>_-* #,##0_-;\-* #,##0_-;_-* "-"??_-;_-@_-</c:formatCode>
                <c:ptCount val="5"/>
                <c:pt idx="0">
                  <c:v>15993</c:v>
                </c:pt>
                <c:pt idx="1">
                  <c:v>46342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6-4733-8126-E4133FC870D3}"/>
            </c:ext>
          </c:extLst>
        </c:ser>
        <c:ser>
          <c:idx val="1"/>
          <c:order val="1"/>
          <c:tx>
            <c:strRef>
              <c:f>'Mar actual FM vol'!$B$112:$C$112</c:f>
              <c:strCache>
                <c:ptCount val="2"/>
                <c:pt idx="0">
                  <c:v>Flared</c:v>
                </c:pt>
                <c:pt idx="1">
                  <c:v>(Nm3)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'Mar actual FM vol'!$D$108:$H$108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'Mar actual FM vol'!$D$112:$H$112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46-4733-8126-E4133FC870D3}"/>
            </c:ext>
          </c:extLst>
        </c:ser>
        <c:ser>
          <c:idx val="5"/>
          <c:order val="5"/>
          <c:tx>
            <c:strRef>
              <c:f>'Mar actual FM vol'!$B$111:$C$111</c:f>
              <c:strCache>
                <c:ptCount val="2"/>
                <c:pt idx="0">
                  <c:v>Delivered to Engine</c:v>
                </c:pt>
                <c:pt idx="1">
                  <c:v>(Nm3)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'Mar actual FM vol'!$D$111:$H$111</c:f>
              <c:numCache>
                <c:formatCode>_-* #,##0_-;\-* #,##0_-;_-* "-"??_-;_-@_-</c:formatCode>
                <c:ptCount val="5"/>
                <c:pt idx="0">
                  <c:v>36006.930693069306</c:v>
                </c:pt>
                <c:pt idx="1">
                  <c:v>31361.881188118812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46-4733-8126-E4133FC87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786448"/>
        <c:axId val="1745592720"/>
      </c:barChart>
      <c:lineChart>
        <c:grouping val="standard"/>
        <c:varyColors val="0"/>
        <c:ser>
          <c:idx val="2"/>
          <c:order val="2"/>
          <c:tx>
            <c:strRef>
              <c:f>'Mar actual FM vol'!$B$113:$C$113</c:f>
              <c:strCache>
                <c:ptCount val="2"/>
                <c:pt idx="0">
                  <c:v>Total Produced</c:v>
                </c:pt>
                <c:pt idx="1">
                  <c:v>(Nm3)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'Mar actual FM vol'!$D$108:$H$108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'Mar actual FM vol'!$D$113:$H$113</c:f>
              <c:numCache>
                <c:formatCode>_-* #,##0_-;\-* #,##0_-;_-* "-"??_-;_-@_-</c:formatCode>
                <c:ptCount val="5"/>
                <c:pt idx="0">
                  <c:v>51999.930693069306</c:v>
                </c:pt>
                <c:pt idx="1">
                  <c:v>77703.881188118816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646-4733-8126-E4133FC870D3}"/>
            </c:ext>
          </c:extLst>
        </c:ser>
        <c:ser>
          <c:idx val="4"/>
          <c:order val="4"/>
          <c:tx>
            <c:strRef>
              <c:f>'Mar actual FM vol'!$B$115:$C$115</c:f>
              <c:strCache>
                <c:ptCount val="2"/>
                <c:pt idx="0">
                  <c:v>Target to Reach SCA Minimum </c:v>
                </c:pt>
                <c:pt idx="1">
                  <c:v>(Nm3)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564449318371994E-2"/>
                  <c:y val="-2.95791270130621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46-4733-8126-E4133FC870D3}"/>
                </c:ext>
              </c:extLst>
            </c:dLbl>
            <c:dLbl>
              <c:idx val="1"/>
              <c:layout>
                <c:manualLayout>
                  <c:x val="-3.515783540288886E-2"/>
                  <c:y val="-2.022071919171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46-4733-8126-E4133FC870D3}"/>
                </c:ext>
              </c:extLst>
            </c:dLbl>
            <c:dLbl>
              <c:idx val="2"/>
              <c:layout>
                <c:manualLayout>
                  <c:x val="-3.5857346902423336E-2"/>
                  <c:y val="-3.2823703321892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46-4733-8126-E4133FC870D3}"/>
                </c:ext>
              </c:extLst>
            </c:dLbl>
            <c:dLbl>
              <c:idx val="3"/>
              <c:layout>
                <c:manualLayout>
                  <c:x val="-4.3488778758285697E-2"/>
                  <c:y val="-3.65507230889791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46-4733-8126-E4133FC870D3}"/>
                </c:ext>
              </c:extLst>
            </c:dLbl>
            <c:dLbl>
              <c:idx val="4"/>
              <c:layout>
                <c:manualLayout>
                  <c:x val="-2.85371711259556E-2"/>
                  <c:y val="-4.8536503399720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646-4733-8126-E4133FC870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 actual FM vol'!$D$108:$H$108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'Mar actual FM vol'!$D$115:$H$115</c:f>
              <c:numCache>
                <c:formatCode>_-* #,##0_-;\-* #,##0_-;_-* "-"??_-;_-@_-</c:formatCode>
                <c:ptCount val="5"/>
                <c:pt idx="0">
                  <c:v>69008.800000000003</c:v>
                </c:pt>
                <c:pt idx="1">
                  <c:v>73261.017326732675</c:v>
                </c:pt>
                <c:pt idx="2">
                  <c:v>71780.062706270619</c:v>
                </c:pt>
                <c:pt idx="3">
                  <c:v>107670.09405940594</c:v>
                </c:pt>
                <c:pt idx="4">
                  <c:v>215340.18811881187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46-4733-8126-E4133FC87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786448"/>
        <c:axId val="174559272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'Mar actual FM vol'!$B$114:$C$114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'Mar actual FM vol'!$D$108:$H$108</c15:sqref>
                        </c15:formulaRef>
                      </c:ext>
                    </c:extLst>
                    <c:strCache>
                      <c:ptCount val="5"/>
                      <c:pt idx="0">
                        <c:v>WEEK 1</c:v>
                      </c:pt>
                      <c:pt idx="1">
                        <c:v>WEEK 2</c:v>
                      </c:pt>
                      <c:pt idx="2">
                        <c:v>WEEK 3</c:v>
                      </c:pt>
                      <c:pt idx="3">
                        <c:v>WEEK 4</c:v>
                      </c:pt>
                      <c:pt idx="4">
                        <c:v>WEEK 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'Mar actual FM vol'!$D$114:$H$114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51999.930693069306</c:v>
                      </c:pt>
                      <c:pt idx="1">
                        <c:v>129703.81188118813</c:v>
                      </c:pt>
                      <c:pt idx="2">
                        <c:v>129703.81188118813</c:v>
                      </c:pt>
                      <c:pt idx="3">
                        <c:v>129703.81188118813</c:v>
                      </c:pt>
                      <c:pt idx="4">
                        <c:v>129703.81188118813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4646-4733-8126-E4133FC870D3}"/>
                  </c:ext>
                </c:extLst>
              </c15:ser>
            </c15:filteredLineSeries>
          </c:ext>
        </c:extLst>
      </c:lineChart>
      <c:catAx>
        <c:axId val="1723786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5592720"/>
        <c:crosses val="autoZero"/>
        <c:auto val="1"/>
        <c:lblAlgn val="ctr"/>
        <c:lblOffset val="100"/>
        <c:noMultiLvlLbl val="1"/>
      </c:catAx>
      <c:valAx>
        <c:axId val="1745592720"/>
        <c:scaling>
          <c:orientation val="minMax"/>
          <c:max val="4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(Nm3)</a:t>
                </a:r>
              </a:p>
            </c:rich>
          </c:tx>
          <c:layout>
            <c:manualLayout>
              <c:xMode val="edge"/>
              <c:yMode val="edge"/>
              <c:x val="0.12818589571254496"/>
              <c:y val="0.207068556210686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86448"/>
        <c:crosses val="autoZero"/>
        <c:crossBetween val="between"/>
        <c:majorUnit val="50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2017476083098052E-2"/>
          <c:y val="0.8969399150983326"/>
          <c:w val="0.9261026634160423"/>
          <c:h val="0.103060084901667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PH" sz="1600" b="1">
                <a:solidFill>
                  <a:schemeClr val="tx1"/>
                </a:solidFill>
              </a:rPr>
              <a:t>Power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367081569440655"/>
          <c:y val="0.12528405766264164"/>
          <c:w val="0.77286261321270178"/>
          <c:h val="0.57509865824782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'Mar actual FM vol'!$B$75:$C$75</c:f>
              <c:strCache>
                <c:ptCount val="2"/>
                <c:pt idx="0">
                  <c:v>Delivered</c:v>
                </c:pt>
                <c:pt idx="1">
                  <c:v>(kWh)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 actual FM vol'!$D$73:$H$73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'Mar actual FM vol'!$D$75:$H$75</c:f>
              <c:numCache>
                <c:formatCode>_-* #,##0_-;\-* #,##0_-;_-* "-"??_-;_-@_-</c:formatCode>
                <c:ptCount val="5"/>
                <c:pt idx="0">
                  <c:v>72734</c:v>
                </c:pt>
                <c:pt idx="1">
                  <c:v>63351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F-4592-BDC3-A4E86384F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305608704"/>
        <c:axId val="305574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'Mar actual FM vol'!$B$76:$C$76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(kWh)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'Mar actual FM vol'!$D$73:$H$73</c15:sqref>
                        </c15:formulaRef>
                      </c:ext>
                    </c:extLst>
                    <c:strCache>
                      <c:ptCount val="5"/>
                      <c:pt idx="0">
                        <c:v>WEEK 1</c:v>
                      </c:pt>
                      <c:pt idx="1">
                        <c:v>WEEK 2</c:v>
                      </c:pt>
                      <c:pt idx="2">
                        <c:v>WEEk 3</c:v>
                      </c:pt>
                      <c:pt idx="3">
                        <c:v>WEEK 4</c:v>
                      </c:pt>
                      <c:pt idx="4">
                        <c:v>WEEK 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'Mar actual FM vol'!$D$76:$H$76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72734</c:v>
                      </c:pt>
                      <c:pt idx="1">
                        <c:v>136085</c:v>
                      </c:pt>
                      <c:pt idx="2">
                        <c:v>136085</c:v>
                      </c:pt>
                      <c:pt idx="3">
                        <c:v>136085</c:v>
                      </c:pt>
                      <c:pt idx="4">
                        <c:v>136085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DAFF-4592-BDC3-A4E86384F4E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'Mar actual FM vol'!$B$77:$C$77</c:f>
              <c:strCache>
                <c:ptCount val="2"/>
                <c:pt idx="0">
                  <c:v>Target to Reach SCA Minimum </c:v>
                </c:pt>
                <c:pt idx="1">
                  <c:v>(kWh)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677464868750779E-2"/>
                  <c:y val="3.45997099618013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FF-4592-BDC3-A4E86384F4EE}"/>
                </c:ext>
              </c:extLst>
            </c:dLbl>
            <c:dLbl>
              <c:idx val="1"/>
              <c:layout>
                <c:manualLayout>
                  <c:x val="-2.8677464868750696E-2"/>
                  <c:y val="3.45997099618013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AFF-4592-BDC3-A4E86384F4EE}"/>
                </c:ext>
              </c:extLst>
            </c:dLbl>
            <c:dLbl>
              <c:idx val="2"/>
              <c:layout>
                <c:manualLayout>
                  <c:x val="-3.3265859247750725E-2"/>
                  <c:y val="2.76797679694411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FF-4592-BDC3-A4E86384F4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 actual FM vol'!$D$73:$H$73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'Mar actual FM vol'!$D$77:$H$77</c:f>
              <c:numCache>
                <c:formatCode>_-* #,##0_-;\-* #,##0_-;_-* "-"??_-;_-@_-</c:formatCode>
                <c:ptCount val="5"/>
                <c:pt idx="0">
                  <c:v>82560</c:v>
                </c:pt>
                <c:pt idx="1">
                  <c:v>82560</c:v>
                </c:pt>
                <c:pt idx="2">
                  <c:v>92238.333333333328</c:v>
                </c:pt>
                <c:pt idx="3">
                  <c:v>138357.5</c:v>
                </c:pt>
                <c:pt idx="4">
                  <c:v>276715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FF-4592-BDC3-A4E86384F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08704"/>
        <c:axId val="305574416"/>
      </c:lineChart>
      <c:catAx>
        <c:axId val="305608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5574416"/>
        <c:crosses val="autoZero"/>
        <c:auto val="1"/>
        <c:lblAlgn val="ctr"/>
        <c:lblOffset val="100"/>
        <c:noMultiLvlLbl val="1"/>
      </c:catAx>
      <c:valAx>
        <c:axId val="3055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kWh</a:t>
                </a:r>
              </a:p>
            </c:rich>
          </c:tx>
          <c:layout>
            <c:manualLayout>
              <c:xMode val="edge"/>
              <c:yMode val="edge"/>
              <c:x val="0.10259268154483621"/>
              <c:y val="0.35705800959124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08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PH" sz="1600" b="1">
                <a:solidFill>
                  <a:schemeClr val="tx1"/>
                </a:solidFill>
              </a:rPr>
              <a:t>Biogas Conversion (Yield) - Considering Original Weight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33611807013371"/>
          <c:y val="6.3685303797611434E-2"/>
          <c:w val="0.66097380779859471"/>
          <c:h val="0.5700368122460732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'Mar actual FM vol'!$B$126:$C$126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E4-41A4-8A01-6621B95103CC}"/>
              </c:ext>
            </c:extLst>
          </c:dPt>
          <c:dLbls>
            <c:dLbl>
              <c:idx val="0"/>
              <c:layout>
                <c:manualLayout>
                  <c:x val="-5.0159257011218347E-17"/>
                  <c:y val="3.4736384687681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E4-41A4-8A01-6621B95103CC}"/>
                </c:ext>
              </c:extLst>
            </c:dLbl>
            <c:dLbl>
              <c:idx val="1"/>
              <c:layout>
                <c:manualLayout>
                  <c:x val="0"/>
                  <c:y val="2.8223312558741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E4-41A4-8A01-6621B95103CC}"/>
                </c:ext>
              </c:extLst>
            </c:dLbl>
            <c:dLbl>
              <c:idx val="2"/>
              <c:layout>
                <c:manualLayout>
                  <c:x val="0"/>
                  <c:y val="3.4736384687681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E4-41A4-8A01-6621B95103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 actual FM vol'!$D$122:$H$122</c:f>
              <c:strCache>
                <c:ptCount val="4"/>
                <c:pt idx="0">
                  <c:v>Mar1-9</c:v>
                </c:pt>
                <c:pt idx="1">
                  <c:v>Mar10-16</c:v>
                </c:pt>
                <c:pt idx="2">
                  <c:v>Mar17-23</c:v>
                </c:pt>
                <c:pt idx="3">
                  <c:v>Mar24-31</c:v>
                </c:pt>
              </c:strCache>
            </c:strRef>
          </c:cat>
          <c:val>
            <c:numRef>
              <c:f>'Mar actual FM vol'!$D$126:$H$126</c:f>
              <c:numCache>
                <c:formatCode>_-* #,##0_-;\-* #,##0_-;_-* "-"??_-;_-@_-</c:formatCode>
                <c:ptCount val="5"/>
                <c:pt idx="0">
                  <c:v>51999.930693069306</c:v>
                </c:pt>
                <c:pt idx="1">
                  <c:v>77703.881188118816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E4-41A4-8A01-6621B95103CC}"/>
            </c:ext>
          </c:extLst>
        </c:ser>
        <c:ser>
          <c:idx val="1"/>
          <c:order val="1"/>
          <c:tx>
            <c:strRef>
              <c:f>'Mar actual FM vol'!$B$125:$C$125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679955396882434E-3"/>
                  <c:y val="3.4736384687681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E4-41A4-8A01-6621B95103CC}"/>
                </c:ext>
              </c:extLst>
            </c:dLbl>
            <c:dLbl>
              <c:idx val="1"/>
              <c:layout>
                <c:manualLayout>
                  <c:x val="-1.0031851402243669E-16"/>
                  <c:y val="3.90784327736422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4E4-41A4-8A01-6621B95103CC}"/>
                </c:ext>
              </c:extLst>
            </c:dLbl>
            <c:dLbl>
              <c:idx val="2"/>
              <c:layout>
                <c:manualLayout>
                  <c:x val="0"/>
                  <c:y val="3.4736384687681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E4-41A4-8A01-6621B95103CC}"/>
                </c:ext>
              </c:extLst>
            </c:dLbl>
            <c:dLbl>
              <c:idx val="3"/>
              <c:layout>
                <c:manualLayout>
                  <c:x val="1.3266999727556414E-3"/>
                  <c:y val="3.8565049504466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4E4-41A4-8A01-6621B95103CC}"/>
                </c:ext>
              </c:extLst>
            </c:dLbl>
            <c:dLbl>
              <c:idx val="4"/>
              <c:layout>
                <c:manualLayout>
                  <c:x val="0"/>
                  <c:y val="4.28500550049624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4E4-41A4-8A01-6621B95103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 actual FM vol'!$D$122:$H$122</c:f>
              <c:strCache>
                <c:ptCount val="4"/>
                <c:pt idx="0">
                  <c:v>Mar1-9</c:v>
                </c:pt>
                <c:pt idx="1">
                  <c:v>Mar10-16</c:v>
                </c:pt>
                <c:pt idx="2">
                  <c:v>Mar17-23</c:v>
                </c:pt>
                <c:pt idx="3">
                  <c:v>Mar24-31</c:v>
                </c:pt>
              </c:strCache>
            </c:strRef>
          </c:cat>
          <c:val>
            <c:numRef>
              <c:f>'Mar actual FM vol'!$D$125:$H$125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E4-41A4-8A01-6621B9510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'Mar actual FM vol'!$B$124:$C$124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'Mar actual FM vol'!$D$122:$H$122</c15:sqref>
                        </c15:formulaRef>
                      </c:ext>
                    </c:extLst>
                    <c:strCache>
                      <c:ptCount val="4"/>
                      <c:pt idx="0">
                        <c:v>Mar1-9</c:v>
                      </c:pt>
                      <c:pt idx="1">
                        <c:v>Mar10-16</c:v>
                      </c:pt>
                      <c:pt idx="2">
                        <c:v>Mar17-23</c:v>
                      </c:pt>
                      <c:pt idx="3">
                        <c:v>Mar24-31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'Mar actual FM vol'!$D$124:$H$124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E4E4-41A4-8A01-6621B95103C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'Mar actual FM vol'!$B$127:$C$127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3409238908074035E-3"/>
                  <c:y val="-1.0202863282412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4E4-41A4-8A01-6621B95103CC}"/>
                </c:ext>
              </c:extLst>
            </c:dLbl>
            <c:dLbl>
              <c:idx val="1"/>
              <c:layout>
                <c:manualLayout>
                  <c:x val="-1.1208966467097872E-3"/>
                  <c:y val="-2.90995029516846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4E4-41A4-8A01-6621B95103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 actual FM vol'!$D$122:$H$122</c:f>
              <c:strCache>
                <c:ptCount val="4"/>
                <c:pt idx="0">
                  <c:v>Mar1-9</c:v>
                </c:pt>
                <c:pt idx="1">
                  <c:v>Mar10-16</c:v>
                </c:pt>
                <c:pt idx="2">
                  <c:v>Mar17-23</c:v>
                </c:pt>
                <c:pt idx="3">
                  <c:v>Mar24-31</c:v>
                </c:pt>
              </c:strCache>
            </c:strRef>
          </c:cat>
          <c:val>
            <c:numRef>
              <c:f>'Mar actual FM vol'!$D$127:$H$127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4E4-41A4-8A01-6621B95103CC}"/>
            </c:ext>
          </c:extLst>
        </c:ser>
        <c:ser>
          <c:idx val="4"/>
          <c:order val="4"/>
          <c:tx>
            <c:strRef>
              <c:f>'Mar actual FM vol'!$B$128:$C$128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'Mar actual FM vol'!$D$122:$H$122</c:f>
              <c:strCache>
                <c:ptCount val="4"/>
                <c:pt idx="0">
                  <c:v>Mar1-9</c:v>
                </c:pt>
                <c:pt idx="1">
                  <c:v>Mar10-16</c:v>
                </c:pt>
                <c:pt idx="2">
                  <c:v>Mar17-23</c:v>
                </c:pt>
                <c:pt idx="3">
                  <c:v>Mar24-31</c:v>
                </c:pt>
              </c:strCache>
            </c:strRef>
          </c:cat>
          <c:val>
            <c:numRef>
              <c:f>'Mar actual FM vol'!$D$128:$H$128</c:f>
              <c:numCache>
                <c:formatCode>_-* #,##0_-;\-* #,##0_-;_-* "-"??_-;_-@_-</c:formatCode>
                <c:ptCount val="5"/>
                <c:pt idx="0">
                  <c:v>105</c:v>
                </c:pt>
                <c:pt idx="1">
                  <c:v>105</c:v>
                </c:pt>
                <c:pt idx="2">
                  <c:v>105</c:v>
                </c:pt>
                <c:pt idx="3">
                  <c:v>105</c:v>
                </c:pt>
                <c:pt idx="4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4E4-41A4-8A01-6621B9510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600" b="1"/>
                  <a:t>Nm3</a:t>
                </a:r>
              </a:p>
            </c:rich>
          </c:tx>
          <c:layout>
            <c:manualLayout>
              <c:xMode val="edge"/>
              <c:yMode val="edge"/>
              <c:x val="0.13287006756820804"/>
              <c:y val="0.357312436343694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  <c:max val="15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600" b="1"/>
                  <a:t>Nm3/ton</a:t>
                </a:r>
              </a:p>
            </c:rich>
          </c:tx>
          <c:layout>
            <c:manualLayout>
              <c:xMode val="edge"/>
              <c:yMode val="edge"/>
              <c:x val="0.9453405066044398"/>
              <c:y val="0.363769913463147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  <c:majorUnit val="30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3611595206958822E-2"/>
          <c:y val="0.95607110948558349"/>
          <c:w val="0.83004621450550475"/>
          <c:h val="4.3928897925264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PH" sz="1600" b="1">
                <a:solidFill>
                  <a:schemeClr val="tx1"/>
                </a:solidFill>
              </a:rPr>
              <a:t>Biogas Conversion (Yield) - Factoring the DS Content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0638714765137"/>
          <c:y val="7.9859274137969463E-2"/>
          <c:w val="0.64046222403437936"/>
          <c:h val="0.66734582972002576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'Mar actual FM vol'!$B$167:$C$167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0308078851395952E-17"/>
                  <c:y val="3.3491986234661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03-4927-935B-5360D47F1329}"/>
                </c:ext>
              </c:extLst>
            </c:dLbl>
            <c:dLbl>
              <c:idx val="1"/>
              <c:layout>
                <c:manualLayout>
                  <c:x val="0"/>
                  <c:y val="3.1398737094995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03-4927-935B-5360D47F1329}"/>
                </c:ext>
              </c:extLst>
            </c:dLbl>
            <c:dLbl>
              <c:idx val="2"/>
              <c:layout>
                <c:manualLayout>
                  <c:x val="-1.3720543640349764E-3"/>
                  <c:y val="3.1398737094995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03-4927-935B-5360D47F1329}"/>
                </c:ext>
              </c:extLst>
            </c:dLbl>
            <c:dLbl>
              <c:idx val="3"/>
              <c:layout>
                <c:manualLayout>
                  <c:x val="-1.3298595029614434E-3"/>
                  <c:y val="4.34011603260344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03-4927-935B-5360D47F13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 actual FM vol'!$D$122:$H$122</c:f>
              <c:strCache>
                <c:ptCount val="4"/>
                <c:pt idx="0">
                  <c:v>Mar1-9</c:v>
                </c:pt>
                <c:pt idx="1">
                  <c:v>Mar10-16</c:v>
                </c:pt>
                <c:pt idx="2">
                  <c:v>Mar17-23</c:v>
                </c:pt>
                <c:pt idx="3">
                  <c:v>Mar24-31</c:v>
                </c:pt>
              </c:strCache>
            </c:strRef>
          </c:cat>
          <c:val>
            <c:numRef>
              <c:f>'Mar actual FM vol'!$D$167:$H$167</c:f>
              <c:numCache>
                <c:formatCode>_-* #,##0_-;\-* #,##0_-;_-* "-"??_-;_-@_-</c:formatCode>
                <c:ptCount val="5"/>
                <c:pt idx="0">
                  <c:v>51999.930693069306</c:v>
                </c:pt>
                <c:pt idx="1">
                  <c:v>77703.881188118816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03-4927-935B-5360D47F1329}"/>
            </c:ext>
          </c:extLst>
        </c:ser>
        <c:ser>
          <c:idx val="1"/>
          <c:order val="1"/>
          <c:tx>
            <c:strRef>
              <c:f>'Mar actual FM vol'!$B$166:$C$166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solidFill>
              <a:schemeClr val="accent2"/>
            </a:solidFill>
            <a:ln w="762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3.3491986234661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03-4927-935B-5360D47F1329}"/>
                </c:ext>
              </c:extLst>
            </c:dLbl>
            <c:dLbl>
              <c:idx val="1"/>
              <c:layout>
                <c:manualLayout>
                  <c:x val="-5.0308078851395952E-17"/>
                  <c:y val="2.9305487955329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03-4927-935B-5360D47F1329}"/>
                </c:ext>
              </c:extLst>
            </c:dLbl>
            <c:dLbl>
              <c:idx val="2"/>
              <c:layout>
                <c:manualLayout>
                  <c:x val="-1.3720589816773633E-3"/>
                  <c:y val="3.1531341675186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03-4927-935B-5360D47F13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 actual FM vol'!$D$122:$H$122</c:f>
              <c:strCache>
                <c:ptCount val="4"/>
                <c:pt idx="0">
                  <c:v>Mar1-9</c:v>
                </c:pt>
                <c:pt idx="1">
                  <c:v>Mar10-16</c:v>
                </c:pt>
                <c:pt idx="2">
                  <c:v>Mar17-23</c:v>
                </c:pt>
                <c:pt idx="3">
                  <c:v>Mar24-31</c:v>
                </c:pt>
              </c:strCache>
            </c:strRef>
          </c:cat>
          <c:val>
            <c:numRef>
              <c:f>'Mar actual FM vol'!$D$166:$H$166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03-4927-935B-5360D47F1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'Mar actual FM vol'!$B$124:$C$124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'Mar actual FM vol'!$D$122:$H$122</c15:sqref>
                        </c15:formulaRef>
                      </c:ext>
                    </c:extLst>
                    <c:strCache>
                      <c:ptCount val="4"/>
                      <c:pt idx="0">
                        <c:v>Mar1-9</c:v>
                      </c:pt>
                      <c:pt idx="1">
                        <c:v>Mar10-16</c:v>
                      </c:pt>
                      <c:pt idx="2">
                        <c:v>Mar17-23</c:v>
                      </c:pt>
                      <c:pt idx="3">
                        <c:v>Mar24-31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'Mar actual FM vol'!$D$124:$H$124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4203-4927-935B-5360D47F132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'Mar actual FM vol'!$B$169:$C$169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977827185803154E-2"/>
                  <c:y val="-2.5102375982018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203-4927-935B-5360D47F1329}"/>
                </c:ext>
              </c:extLst>
            </c:dLbl>
            <c:dLbl>
              <c:idx val="1"/>
              <c:layout>
                <c:manualLayout>
                  <c:x val="-4.1731235672130731E-2"/>
                  <c:y val="-2.29607960688664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03-4927-935B-5360D47F13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 actual FM vol'!$D$122:$H$122</c:f>
              <c:strCache>
                <c:ptCount val="4"/>
                <c:pt idx="0">
                  <c:v>Mar1-9</c:v>
                </c:pt>
                <c:pt idx="1">
                  <c:v>Mar10-16</c:v>
                </c:pt>
                <c:pt idx="2">
                  <c:v>Mar17-23</c:v>
                </c:pt>
                <c:pt idx="3">
                  <c:v>Mar24-31</c:v>
                </c:pt>
              </c:strCache>
            </c:strRef>
          </c:cat>
          <c:val>
            <c:numRef>
              <c:f>'Mar actual FM vol'!$D$169:$H$169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03-4927-935B-5360D47F1329}"/>
            </c:ext>
          </c:extLst>
        </c:ser>
        <c:ser>
          <c:idx val="4"/>
          <c:order val="4"/>
          <c:tx>
            <c:strRef>
              <c:f>'Mar actual FM vol'!$B$170:$C$170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'Mar actual FM vol'!$D$122:$H$122</c:f>
              <c:strCache>
                <c:ptCount val="4"/>
                <c:pt idx="0">
                  <c:v>Mar1-9</c:v>
                </c:pt>
                <c:pt idx="1">
                  <c:v>Mar10-16</c:v>
                </c:pt>
                <c:pt idx="2">
                  <c:v>Mar17-23</c:v>
                </c:pt>
                <c:pt idx="3">
                  <c:v>Mar24-31</c:v>
                </c:pt>
              </c:strCache>
            </c:strRef>
          </c:cat>
          <c:val>
            <c:numRef>
              <c:f>'Mar actual FM vol'!$D$170:$H$170</c:f>
              <c:numCache>
                <c:formatCode>_-* #,##0_-;\-* #,##0_-;_-* "-"??_-;_-@_-</c:formatCode>
                <c:ptCount val="5"/>
                <c:pt idx="0">
                  <c:v>105</c:v>
                </c:pt>
                <c:pt idx="1">
                  <c:v>105</c:v>
                </c:pt>
                <c:pt idx="2">
                  <c:v>105</c:v>
                </c:pt>
                <c:pt idx="3">
                  <c:v>105</c:v>
                </c:pt>
                <c:pt idx="4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203-4927-935B-5360D47F1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600" b="1"/>
                  <a:t>Nm3</a:t>
                </a:r>
              </a:p>
            </c:rich>
          </c:tx>
          <c:layout>
            <c:manualLayout>
              <c:xMode val="edge"/>
              <c:yMode val="edge"/>
              <c:x val="0.1338963604146387"/>
              <c:y val="0.38583079407906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  <c:max val="15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600" b="1"/>
                  <a:t>Nm3/ton</a:t>
                </a:r>
              </a:p>
            </c:rich>
          </c:tx>
          <c:layout>
            <c:manualLayout>
              <c:xMode val="edge"/>
              <c:yMode val="edge"/>
              <c:x val="0.97384117683935045"/>
              <c:y val="0.367297195316939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  <c:majorUnit val="30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PH" sz="1600" b="1">
                <a:solidFill>
                  <a:schemeClr val="bg1"/>
                </a:solidFill>
              </a:rPr>
              <a:t>Substrate Supply</a:t>
            </a:r>
          </a:p>
        </c:rich>
      </c:tx>
      <c:layout>
        <c:manualLayout>
          <c:xMode val="edge"/>
          <c:yMode val="edge"/>
          <c:x val="0.48264018842319012"/>
          <c:y val="7.693307216473612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037413340212502"/>
          <c:y val="8.968700052187277E-2"/>
          <c:w val="0.74370088205263363"/>
          <c:h val="0.50561293396386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'Mar actual FM volVer2'!$B$35:$C$35</c:f>
              <c:strCache>
                <c:ptCount val="2"/>
                <c:pt idx="0">
                  <c:v>Delivered (DUVO)</c:v>
                </c:pt>
                <c:pt idx="1">
                  <c:v>(mtons)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 actual FM volVer2'!$D$33:$H$33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'Mar actual FM volVer2'!$D$35:$H$35</c:f>
              <c:numCache>
                <c:formatCode>_-* #,##0_-;\-* #,##0_-;_-* "-"??_-;_-@_-</c:formatCode>
                <c:ptCount val="5"/>
                <c:pt idx="0">
                  <c:v>1323.5190000000002</c:v>
                </c:pt>
                <c:pt idx="1">
                  <c:v>1583.27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EB-4E5F-9FE5-2971625B7D87}"/>
            </c:ext>
          </c:extLst>
        </c:ser>
        <c:ser>
          <c:idx val="2"/>
          <c:order val="1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 actual FM vol'!$D$32:$H$32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'Mar actual FM vol'!$D$37:$H$37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78EB-4E5F-9FE5-2971625B7D87}"/>
            </c:ext>
          </c:extLst>
        </c:ser>
        <c:ser>
          <c:idx val="5"/>
          <c:order val="4"/>
          <c:tx>
            <c:strRef>
              <c:f>'Mar actual FM volVer2'!$B$36</c:f>
              <c:strCache>
                <c:ptCount val="1"/>
                <c:pt idx="0">
                  <c:v>Divert to Buyers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'Mar actual FM volVer2'!$D$36:$H$36</c:f>
              <c:numCache>
                <c:formatCode>_-* #,##0_-;\-* #,##0_-;_-* "-"??_-;_-@_-</c:formatCode>
                <c:ptCount val="5"/>
                <c:pt idx="0">
                  <c:v>1017.8299999999999</c:v>
                </c:pt>
                <c:pt idx="1">
                  <c:v>311.012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EB-4E5F-9FE5-2971625B7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1926304"/>
        <c:axId val="1732677184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'Mar actual FM volVer2'!$B$39:$C$39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'Mar actual FM volVer2'!$D$33:$H$33</c15:sqref>
                        </c15:formulaRef>
                      </c:ext>
                    </c:extLst>
                    <c:strCache>
                      <c:ptCount val="4"/>
                      <c:pt idx="0">
                        <c:v>WEEK 1</c:v>
                      </c:pt>
                      <c:pt idx="1">
                        <c:v>WEEK 2</c:v>
                      </c:pt>
                      <c:pt idx="2">
                        <c:v>WEEk 3</c:v>
                      </c:pt>
                      <c:pt idx="3">
                        <c:v>WEEK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'Mar actual FM volVer2'!$D$39:$H$39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78EB-4E5F-9FE5-2971625B7D8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3"/>
          <c:tx>
            <c:strRef>
              <c:f>'Mar actual FM volVer2'!$B$40:$C$40</c:f>
              <c:strCache>
                <c:ptCount val="2"/>
                <c:pt idx="0">
                  <c:v>Target to Reach SCA Minimum </c:v>
                </c:pt>
                <c:pt idx="1">
                  <c:v>(mtons)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1629167934072217E-2"/>
                  <c:y val="-2.7522938523292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EB-4E5F-9FE5-2971625B7D87}"/>
                </c:ext>
              </c:extLst>
            </c:dLbl>
            <c:dLbl>
              <c:idx val="1"/>
              <c:layout>
                <c:manualLayout>
                  <c:x val="-1.609848287643853E-2"/>
                  <c:y val="-4.80502879504039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EB-4E5F-9FE5-2971625B7D87}"/>
                </c:ext>
              </c:extLst>
            </c:dLbl>
            <c:dLbl>
              <c:idx val="2"/>
              <c:layout>
                <c:manualLayout>
                  <c:x val="-1.9548157778532502E-2"/>
                  <c:y val="-6.52111050755481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8EB-4E5F-9FE5-2971625B7D87}"/>
                </c:ext>
              </c:extLst>
            </c:dLbl>
            <c:dLbl>
              <c:idx val="3"/>
              <c:layout>
                <c:manualLayout>
                  <c:x val="-3.0287967363948703E-2"/>
                  <c:y val="-7.59558702374697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EB-4E5F-9FE5-2971625B7D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 actual FM volVer2'!$D$33:$H$33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'Mar actual FM volVer2'!$D$40:$H$40</c:f>
              <c:numCache>
                <c:formatCode>_-* #,##0_-;\-* #,##0_-;_-* "-"??_-;_-@_-</c:formatCode>
                <c:ptCount val="5"/>
                <c:pt idx="0">
                  <c:v>1250.05</c:v>
                </c:pt>
                <c:pt idx="1">
                  <c:v>1562.5625</c:v>
                </c:pt>
                <c:pt idx="2">
                  <c:v>2083.4166666666665</c:v>
                </c:pt>
                <c:pt idx="3" formatCode="_(* #,##0_);_(* \(#,##0\);_(* &quot;-&quot;??_);_(@_)">
                  <c:v>3125.125</c:v>
                </c:pt>
                <c:pt idx="4" formatCode="_(* #,##0_);_(* \(#,##0\);_(* &quot;-&quot;??_);_(@_)">
                  <c:v>6250.25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EB-4E5F-9FE5-2971625B7D87}"/>
            </c:ext>
          </c:extLst>
        </c:ser>
        <c:ser>
          <c:idx val="6"/>
          <c:order val="5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'Mar actual FM vol'!$D$37:$H$37</c:f>
            </c:numRef>
          </c:val>
          <c:smooth val="0"/>
          <c:extLst>
            <c:ext xmlns:c16="http://schemas.microsoft.com/office/drawing/2014/chart" uri="{C3380CC4-5D6E-409C-BE32-E72D297353CC}">
              <c16:uniqueId val="{00000009-78EB-4E5F-9FE5-2971625B7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956560"/>
        <c:axId val="279250768"/>
      </c:lineChart>
      <c:catAx>
        <c:axId val="1931926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2677184"/>
        <c:crosses val="autoZero"/>
        <c:auto val="1"/>
        <c:lblAlgn val="ctr"/>
        <c:lblOffset val="100"/>
        <c:noMultiLvlLbl val="1"/>
      </c:catAx>
      <c:valAx>
        <c:axId val="1732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mtons</a:t>
                </a:r>
              </a:p>
            </c:rich>
          </c:tx>
          <c:layout>
            <c:manualLayout>
              <c:xMode val="edge"/>
              <c:yMode val="edge"/>
              <c:x val="0.15176601466945283"/>
              <c:y val="0.312447565019375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26304"/>
        <c:crosses val="autoZero"/>
        <c:crossBetween val="between"/>
      </c:valAx>
      <c:valAx>
        <c:axId val="279250768"/>
        <c:scaling>
          <c:orientation val="minMax"/>
        </c:scaling>
        <c:delete val="1"/>
        <c:axPos val="r"/>
        <c:numFmt formatCode="_-* #,##0_-;\-* #,##0_-;_-* &quot;-&quot;??_-;_-@_-" sourceLinked="1"/>
        <c:majorTickMark val="out"/>
        <c:minorTickMark val="none"/>
        <c:tickLblPos val="nextTo"/>
        <c:crossAx val="236956560"/>
        <c:crosses val="max"/>
        <c:crossBetween val="between"/>
      </c:valAx>
      <c:catAx>
        <c:axId val="236956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9250768"/>
        <c:crosses val="autoZero"/>
        <c:auto val="1"/>
        <c:lblAlgn val="ctr"/>
        <c:lblOffset val="100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PH" sz="1600" b="1">
                <a:solidFill>
                  <a:schemeClr val="tx1"/>
                </a:solidFill>
              </a:rPr>
              <a:t>Biogas Utilization</a:t>
            </a:r>
          </a:p>
        </c:rich>
      </c:tx>
      <c:layout>
        <c:manualLayout>
          <c:xMode val="edge"/>
          <c:yMode val="edge"/>
          <c:x val="0.41421059488676037"/>
          <c:y val="3.3552951048093798E-3"/>
        </c:manualLayout>
      </c:layout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279257464172775"/>
          <c:y val="0.10060281860125968"/>
          <c:w val="0.67317823439612146"/>
          <c:h val="0.349919226078976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'Mar actual FM volVer2'!$B$113:$C$113</c:f>
              <c:strCache>
                <c:ptCount val="2"/>
                <c:pt idx="0">
                  <c:v>Delivered to Boilers</c:v>
                </c:pt>
                <c:pt idx="1">
                  <c:v>(Nm3)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 actual FM volVer2'!$D$111:$H$111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'Mar actual FM volVer2'!$D$113:$H$113</c:f>
              <c:numCache>
                <c:formatCode>_-* #,##0_-;\-* #,##0_-;_-* "-"??_-;_-@_-</c:formatCode>
                <c:ptCount val="5"/>
                <c:pt idx="0">
                  <c:v>15993</c:v>
                </c:pt>
                <c:pt idx="1">
                  <c:v>46342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4-41EB-B510-EBCF0875A345}"/>
            </c:ext>
          </c:extLst>
        </c:ser>
        <c:ser>
          <c:idx val="1"/>
          <c:order val="1"/>
          <c:tx>
            <c:strRef>
              <c:f>'Mar actual FM volVer2'!$B$115:$C$115</c:f>
              <c:strCache>
                <c:ptCount val="2"/>
                <c:pt idx="0">
                  <c:v>Flared</c:v>
                </c:pt>
                <c:pt idx="1">
                  <c:v>(Nm3)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'Mar actual FM volVer2'!$D$111:$H$111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'Mar actual FM volVer2'!$D$115:$H$115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64-41EB-B510-EBCF0875A345}"/>
            </c:ext>
          </c:extLst>
        </c:ser>
        <c:ser>
          <c:idx val="5"/>
          <c:order val="5"/>
          <c:tx>
            <c:strRef>
              <c:f>'Mar actual FM volVer2'!$B$114:$C$114</c:f>
              <c:strCache>
                <c:ptCount val="2"/>
                <c:pt idx="0">
                  <c:v>Delivered to Engine</c:v>
                </c:pt>
                <c:pt idx="1">
                  <c:v>(Nm3)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'Mar actual FM volVer2'!$D$114:$H$114</c:f>
              <c:numCache>
                <c:formatCode>_-* #,##0_-;\-* #,##0_-;_-* "-"??_-;_-@_-</c:formatCode>
                <c:ptCount val="5"/>
                <c:pt idx="0">
                  <c:v>36006.930693069306</c:v>
                </c:pt>
                <c:pt idx="1">
                  <c:v>31361.881188118812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64-41EB-B510-EBCF0875A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786448"/>
        <c:axId val="1745592720"/>
      </c:barChart>
      <c:lineChart>
        <c:grouping val="standard"/>
        <c:varyColors val="0"/>
        <c:ser>
          <c:idx val="2"/>
          <c:order val="2"/>
          <c:tx>
            <c:strRef>
              <c:f>'Mar actual FM volVer2'!$B$116:$C$116</c:f>
              <c:strCache>
                <c:ptCount val="2"/>
                <c:pt idx="0">
                  <c:v>Total Produced</c:v>
                </c:pt>
                <c:pt idx="1">
                  <c:v>(Nm3)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'Mar actual FM volVer2'!$D$111:$H$111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'Mar actual FM volVer2'!$D$116:$H$116</c:f>
              <c:numCache>
                <c:formatCode>_-* #,##0_-;\-* #,##0_-;_-* "-"??_-;_-@_-</c:formatCode>
                <c:ptCount val="5"/>
                <c:pt idx="0">
                  <c:v>51999.930693069306</c:v>
                </c:pt>
                <c:pt idx="1">
                  <c:v>77703.881188118816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B64-41EB-B510-EBCF0875A345}"/>
            </c:ext>
          </c:extLst>
        </c:ser>
        <c:ser>
          <c:idx val="4"/>
          <c:order val="4"/>
          <c:tx>
            <c:strRef>
              <c:f>'Mar actual FM volVer2'!$B$118:$C$118</c:f>
              <c:strCache>
                <c:ptCount val="2"/>
                <c:pt idx="0">
                  <c:v>Target to Reach SCA Minimum </c:v>
                </c:pt>
                <c:pt idx="1">
                  <c:v>(Nm3)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564449318371994E-2"/>
                  <c:y val="-2.95791270130621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B64-41EB-B510-EBCF0875A345}"/>
                </c:ext>
              </c:extLst>
            </c:dLbl>
            <c:dLbl>
              <c:idx val="1"/>
              <c:layout>
                <c:manualLayout>
                  <c:x val="-3.515783540288886E-2"/>
                  <c:y val="-2.022071919171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64-41EB-B510-EBCF0875A345}"/>
                </c:ext>
              </c:extLst>
            </c:dLbl>
            <c:dLbl>
              <c:idx val="2"/>
              <c:layout>
                <c:manualLayout>
                  <c:x val="-3.5857346902423336E-2"/>
                  <c:y val="-3.2823703321892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B64-41EB-B510-EBCF0875A345}"/>
                </c:ext>
              </c:extLst>
            </c:dLbl>
            <c:dLbl>
              <c:idx val="3"/>
              <c:layout>
                <c:manualLayout>
                  <c:x val="-4.3488778758285697E-2"/>
                  <c:y val="-3.65507230889791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B64-41EB-B510-EBCF0875A345}"/>
                </c:ext>
              </c:extLst>
            </c:dLbl>
            <c:dLbl>
              <c:idx val="4"/>
              <c:layout>
                <c:manualLayout>
                  <c:x val="-2.85371711259556E-2"/>
                  <c:y val="-4.8536503399720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B64-41EB-B510-EBCF0875A3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 actual FM volVer2'!$D$111:$H$111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'Mar actual FM volVer2'!$D$118:$H$118</c:f>
              <c:numCache>
                <c:formatCode>_-* #,##0_-;\-* #,##0_-;_-* "-"??_-;_-@_-</c:formatCode>
                <c:ptCount val="5"/>
                <c:pt idx="0">
                  <c:v>82826.350000000006</c:v>
                </c:pt>
                <c:pt idx="1">
                  <c:v>90532.954826732675</c:v>
                </c:pt>
                <c:pt idx="2">
                  <c:v>94809.312706270619</c:v>
                </c:pt>
                <c:pt idx="3">
                  <c:v>142213.96905940594</c:v>
                </c:pt>
                <c:pt idx="4">
                  <c:v>284427.93811881187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B64-41EB-B510-EBCF0875A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786448"/>
        <c:axId val="174559272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'Mar actual FM volVer2'!$B$117:$C$117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'Mar actual FM volVer2'!$D$111:$H$111</c15:sqref>
                        </c15:formulaRef>
                      </c:ext>
                    </c:extLst>
                    <c:strCache>
                      <c:ptCount val="5"/>
                      <c:pt idx="0">
                        <c:v>WEEK 1</c:v>
                      </c:pt>
                      <c:pt idx="1">
                        <c:v>WEEK 2</c:v>
                      </c:pt>
                      <c:pt idx="2">
                        <c:v>WEEK 3</c:v>
                      </c:pt>
                      <c:pt idx="3">
                        <c:v>WEEK 4</c:v>
                      </c:pt>
                      <c:pt idx="4">
                        <c:v>WEEK 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'Mar actual FM volVer2'!$D$117:$H$117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51999.930693069306</c:v>
                      </c:pt>
                      <c:pt idx="1">
                        <c:v>129703.81188118813</c:v>
                      </c:pt>
                      <c:pt idx="2">
                        <c:v>129703.81188118813</c:v>
                      </c:pt>
                      <c:pt idx="3">
                        <c:v>129703.81188118813</c:v>
                      </c:pt>
                      <c:pt idx="4">
                        <c:v>129703.81188118813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3B64-41EB-B510-EBCF0875A345}"/>
                  </c:ext>
                </c:extLst>
              </c15:ser>
            </c15:filteredLineSeries>
          </c:ext>
        </c:extLst>
      </c:lineChart>
      <c:catAx>
        <c:axId val="1723786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5592720"/>
        <c:crosses val="autoZero"/>
        <c:auto val="1"/>
        <c:lblAlgn val="ctr"/>
        <c:lblOffset val="100"/>
        <c:noMultiLvlLbl val="1"/>
      </c:catAx>
      <c:valAx>
        <c:axId val="1745592720"/>
        <c:scaling>
          <c:orientation val="minMax"/>
          <c:max val="5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(Nm3)</a:t>
                </a:r>
              </a:p>
            </c:rich>
          </c:tx>
          <c:layout>
            <c:manualLayout>
              <c:xMode val="edge"/>
              <c:yMode val="edge"/>
              <c:x val="0.1572054197817343"/>
              <c:y val="0.21039484932677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86448"/>
        <c:crosses val="autoZero"/>
        <c:crossBetween val="between"/>
        <c:majorUnit val="100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2017476083098052E-2"/>
          <c:y val="0.8969399150983326"/>
          <c:w val="0.9261026634160423"/>
          <c:h val="0.103060084901667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PH" sz="1600" b="1">
                <a:solidFill>
                  <a:schemeClr val="tx1"/>
                </a:solidFill>
              </a:rPr>
              <a:t>Power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367081569440655"/>
          <c:y val="0.12528405766264164"/>
          <c:w val="0.77286261321270178"/>
          <c:h val="0.57509865824782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'Mar actual FM volVer2'!$B$77:$C$77</c:f>
              <c:strCache>
                <c:ptCount val="2"/>
                <c:pt idx="0">
                  <c:v>Delivered</c:v>
                </c:pt>
                <c:pt idx="1">
                  <c:v>(kWh)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 actual FM volVer2'!$D$75:$H$75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'Mar actual FM volVer2'!$D$77:$H$77</c:f>
              <c:numCache>
                <c:formatCode>_-* #,##0_-;\-* #,##0_-;_-* "-"??_-;_-@_-</c:formatCode>
                <c:ptCount val="5"/>
                <c:pt idx="0">
                  <c:v>72734</c:v>
                </c:pt>
                <c:pt idx="1">
                  <c:v>63351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5-42A8-8214-F101D5FB1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305608704"/>
        <c:axId val="305574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'Mar actual FM volVer2'!$B$78:$C$78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(kWh)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'Mar actual FM volVer2'!$D$75:$H$75</c15:sqref>
                        </c15:formulaRef>
                      </c:ext>
                    </c:extLst>
                    <c:strCache>
                      <c:ptCount val="5"/>
                      <c:pt idx="0">
                        <c:v>WEEK 1</c:v>
                      </c:pt>
                      <c:pt idx="1">
                        <c:v>WEEK 2</c:v>
                      </c:pt>
                      <c:pt idx="2">
                        <c:v>WEEk 3</c:v>
                      </c:pt>
                      <c:pt idx="3">
                        <c:v>WEEK 4</c:v>
                      </c:pt>
                      <c:pt idx="4">
                        <c:v>WEEK 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'Mar actual FM volVer2'!$D$78:$H$78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72734</c:v>
                      </c:pt>
                      <c:pt idx="1">
                        <c:v>136085</c:v>
                      </c:pt>
                      <c:pt idx="2">
                        <c:v>136085</c:v>
                      </c:pt>
                      <c:pt idx="3">
                        <c:v>136085</c:v>
                      </c:pt>
                      <c:pt idx="4">
                        <c:v>136085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1515-42A8-8214-F101D5FB1C2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'Mar actual FM volVer2'!$B$79:$C$79</c:f>
              <c:strCache>
                <c:ptCount val="2"/>
                <c:pt idx="0">
                  <c:v>Target to Reach SCA Minimum </c:v>
                </c:pt>
                <c:pt idx="1">
                  <c:v>(kWh)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677464868750779E-2"/>
                  <c:y val="3.45997099618013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15-42A8-8214-F101D5FB1C2E}"/>
                </c:ext>
              </c:extLst>
            </c:dLbl>
            <c:dLbl>
              <c:idx val="1"/>
              <c:layout>
                <c:manualLayout>
                  <c:x val="-2.8677464868750696E-2"/>
                  <c:y val="3.45997099618013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15-42A8-8214-F101D5FB1C2E}"/>
                </c:ext>
              </c:extLst>
            </c:dLbl>
            <c:dLbl>
              <c:idx val="2"/>
              <c:layout>
                <c:manualLayout>
                  <c:x val="-3.3265859247750725E-2"/>
                  <c:y val="2.76797679694411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15-42A8-8214-F101D5FB1C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 actual FM volVer2'!$D$75:$H$75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'Mar actual FM volVer2'!$D$79:$H$79</c:f>
              <c:numCache>
                <c:formatCode>_-* #,##0_-;\-* #,##0_-;_-* "-"??_-;_-@_-</c:formatCode>
                <c:ptCount val="5"/>
                <c:pt idx="0">
                  <c:v>232380.5</c:v>
                </c:pt>
                <c:pt idx="1">
                  <c:v>232380.5</c:v>
                </c:pt>
                <c:pt idx="2">
                  <c:v>341939.16666666669</c:v>
                </c:pt>
                <c:pt idx="3">
                  <c:v>512908.75</c:v>
                </c:pt>
                <c:pt idx="4">
                  <c:v>1025817.5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15-42A8-8214-F101D5FB1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08704"/>
        <c:axId val="305574416"/>
      </c:lineChart>
      <c:catAx>
        <c:axId val="305608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5574416"/>
        <c:crosses val="autoZero"/>
        <c:auto val="1"/>
        <c:lblAlgn val="ctr"/>
        <c:lblOffset val="100"/>
        <c:noMultiLvlLbl val="1"/>
      </c:catAx>
      <c:valAx>
        <c:axId val="3055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kWh</a:t>
                </a:r>
              </a:p>
            </c:rich>
          </c:tx>
          <c:layout>
            <c:manualLayout>
              <c:xMode val="edge"/>
              <c:yMode val="edge"/>
              <c:x val="0.10259268154483621"/>
              <c:y val="0.35705800959124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08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PH" sz="1600" b="1">
                <a:solidFill>
                  <a:schemeClr val="tx1"/>
                </a:solidFill>
              </a:rPr>
              <a:t>Biogas Conversion (Yield) - Considering Original Weight </a:t>
            </a:r>
          </a:p>
        </c:rich>
      </c:tx>
      <c:layout>
        <c:manualLayout>
          <c:xMode val="edge"/>
          <c:yMode val="edge"/>
          <c:x val="0.23685254604579473"/>
          <c:y val="6.42750716641743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33611807013371"/>
          <c:y val="6.3685303797611434E-2"/>
          <c:w val="0.66097380779859471"/>
          <c:h val="0.5700368122460732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'Mar actual FM volVer2'!$B$129:$C$129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80-4C00-9E62-2FBA564D5B79}"/>
              </c:ext>
            </c:extLst>
          </c:dPt>
          <c:dLbls>
            <c:dLbl>
              <c:idx val="0"/>
              <c:layout>
                <c:manualLayout>
                  <c:x val="-5.0159257011218347E-17"/>
                  <c:y val="3.4736384687681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80-4C00-9E62-2FBA564D5B79}"/>
                </c:ext>
              </c:extLst>
            </c:dLbl>
            <c:dLbl>
              <c:idx val="1"/>
              <c:layout>
                <c:manualLayout>
                  <c:x val="0"/>
                  <c:y val="2.8223312558741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80-4C00-9E62-2FBA564D5B79}"/>
                </c:ext>
              </c:extLst>
            </c:dLbl>
            <c:dLbl>
              <c:idx val="2"/>
              <c:layout>
                <c:manualLayout>
                  <c:x val="0"/>
                  <c:y val="3.4736384687681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80-4C00-9E62-2FBA564D5B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'Mar actual FM volVer2'!$D$125:$H$125</c15:sqref>
                  </c15:fullRef>
                </c:ext>
              </c:extLst>
              <c:f>'Mar actual FM volVer2'!$D$125:$G$125</c:f>
              <c:strCache>
                <c:ptCount val="4"/>
                <c:pt idx="0">
                  <c:v>Mar1-9</c:v>
                </c:pt>
                <c:pt idx="1">
                  <c:v>Mar10-16</c:v>
                </c:pt>
                <c:pt idx="2">
                  <c:v>Mar17-23</c:v>
                </c:pt>
                <c:pt idx="3">
                  <c:v>Mar24-31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 actual FM volVer2'!$D$129:$H$129</c15:sqref>
                  </c15:fullRef>
                </c:ext>
              </c:extLst>
              <c:f>'Mar actual FM volVer2'!$D$129:$G$129</c:f>
              <c:numCache>
                <c:formatCode>_-* #,##0_-;\-* #,##0_-;_-* "-"??_-;_-@_-</c:formatCode>
                <c:ptCount val="4"/>
                <c:pt idx="0">
                  <c:v>51999.930693069306</c:v>
                </c:pt>
                <c:pt idx="1">
                  <c:v>77703.881188118816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80-4C00-9E62-2FBA564D5B79}"/>
            </c:ext>
          </c:extLst>
        </c:ser>
        <c:ser>
          <c:idx val="1"/>
          <c:order val="1"/>
          <c:tx>
            <c:strRef>
              <c:f>'Mar actual FM volVer2'!$B$128:$C$128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679955396882434E-3"/>
                  <c:y val="3.4736384687681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80-4C00-9E62-2FBA564D5B79}"/>
                </c:ext>
              </c:extLst>
            </c:dLbl>
            <c:dLbl>
              <c:idx val="1"/>
              <c:layout>
                <c:manualLayout>
                  <c:x val="-1.0031851402243669E-16"/>
                  <c:y val="3.90784327736422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C80-4C00-9E62-2FBA564D5B79}"/>
                </c:ext>
              </c:extLst>
            </c:dLbl>
            <c:dLbl>
              <c:idx val="2"/>
              <c:layout>
                <c:manualLayout>
                  <c:x val="0"/>
                  <c:y val="3.4736384687681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80-4C00-9E62-2FBA564D5B79}"/>
                </c:ext>
              </c:extLst>
            </c:dLbl>
            <c:dLbl>
              <c:idx val="3"/>
              <c:layout>
                <c:manualLayout>
                  <c:x val="1.3266999727556414E-3"/>
                  <c:y val="3.8565049504466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C80-4C00-9E62-2FBA564D5B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'Mar actual FM volVer2'!$D$125:$H$125</c15:sqref>
                  </c15:fullRef>
                </c:ext>
              </c:extLst>
              <c:f>'Mar actual FM volVer2'!$D$125:$G$125</c:f>
              <c:strCache>
                <c:ptCount val="4"/>
                <c:pt idx="0">
                  <c:v>Mar1-9</c:v>
                </c:pt>
                <c:pt idx="1">
                  <c:v>Mar10-16</c:v>
                </c:pt>
                <c:pt idx="2">
                  <c:v>Mar17-23</c:v>
                </c:pt>
                <c:pt idx="3">
                  <c:v>Mar24-31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 actual FM volVer2'!$D$128:$H$128</c15:sqref>
                  </c15:fullRef>
                </c:ext>
              </c:extLst>
              <c:f>'Mar actual FM volVer2'!$D$128:$G$128</c:f>
              <c:numCache>
                <c:formatCode>_-* #,##0_-;\-* #,##0_-;_-*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'Mar actual FM volVer2'!$H$128</c15:sqref>
                  <c15:dLbl>
                    <c:idx val="3"/>
                    <c:layout>
                      <c:manualLayout>
                        <c:x val="0"/>
                        <c:y val="4.285005500496241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87B9-4092-99B6-65A9AFC652E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AC80-4C00-9E62-2FBA564D5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'Mar actual FM volVer2'!$B$127:$C$127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'Mar actual FM volVer2'!$D$125:$H$125</c15:sqref>
                        </c15:fullRef>
                        <c15:formulaRef>
                          <c15:sqref>'Mar actual FM volVer2'!$D$125:$G$125</c15:sqref>
                        </c15:formulaRef>
                      </c:ext>
                    </c:extLst>
                    <c:strCache>
                      <c:ptCount val="4"/>
                      <c:pt idx="0">
                        <c:v>Mar1-9</c:v>
                      </c:pt>
                      <c:pt idx="1">
                        <c:v>Mar10-16</c:v>
                      </c:pt>
                      <c:pt idx="2">
                        <c:v>Mar17-23</c:v>
                      </c:pt>
                      <c:pt idx="3">
                        <c:v>Mar24-31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'Mar actual FM volVer2'!$D$127:$H$127</c15:sqref>
                        </c15:fullRef>
                        <c15:formulaRef>
                          <c15:sqref>'Mar actual FM volVer2'!$D$127:$G$127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AC80-4C00-9E62-2FBA564D5B7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'Mar actual FM volVer2'!$B$130:$C$130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3409238908074035E-3"/>
                  <c:y val="-1.0202863282412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C80-4C00-9E62-2FBA564D5B79}"/>
                </c:ext>
              </c:extLst>
            </c:dLbl>
            <c:dLbl>
              <c:idx val="1"/>
              <c:layout>
                <c:manualLayout>
                  <c:x val="-1.1208966467097872E-3"/>
                  <c:y val="-2.90995029516846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C80-4C00-9E62-2FBA564D5B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'Mar actual FM volVer2'!$D$125:$H$125</c15:sqref>
                  </c15:fullRef>
                </c:ext>
              </c:extLst>
              <c:f>'Mar actual FM volVer2'!$D$125:$G$125</c:f>
              <c:strCache>
                <c:ptCount val="4"/>
                <c:pt idx="0">
                  <c:v>Mar1-9</c:v>
                </c:pt>
                <c:pt idx="1">
                  <c:v>Mar10-16</c:v>
                </c:pt>
                <c:pt idx="2">
                  <c:v>Mar17-23</c:v>
                </c:pt>
                <c:pt idx="3">
                  <c:v>Mar24-31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 actual FM volVer2'!$D$130:$H$130</c15:sqref>
                  </c15:fullRef>
                </c:ext>
              </c:extLst>
              <c:f>'Mar actual FM volVer2'!$D$130:$G$130</c:f>
              <c:numCache>
                <c:formatCode>_-* #,##0_-;\-* #,##0_-;_-*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C80-4C00-9E62-2FBA564D5B79}"/>
            </c:ext>
          </c:extLst>
        </c:ser>
        <c:ser>
          <c:idx val="4"/>
          <c:order val="4"/>
          <c:tx>
            <c:strRef>
              <c:f>'Mar actual FM volVer2'!$B$131:$C$131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'Mar actual FM volVer2'!$D$125:$H$125</c15:sqref>
                  </c15:fullRef>
                </c:ext>
              </c:extLst>
              <c:f>'Mar actual FM volVer2'!$D$125:$G$125</c:f>
              <c:strCache>
                <c:ptCount val="4"/>
                <c:pt idx="0">
                  <c:v>Mar1-9</c:v>
                </c:pt>
                <c:pt idx="1">
                  <c:v>Mar10-16</c:v>
                </c:pt>
                <c:pt idx="2">
                  <c:v>Mar17-23</c:v>
                </c:pt>
                <c:pt idx="3">
                  <c:v>Mar24-31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 actual FM volVer2'!$D$131:$H$131</c15:sqref>
                  </c15:fullRef>
                </c:ext>
              </c:extLst>
              <c:f>'Mar actual FM volVer2'!$D$131:$G$131</c:f>
              <c:numCache>
                <c:formatCode>_-* #,##0_-;\-* #,##0_-;_-* "-"??_-;_-@_-</c:formatCode>
                <c:ptCount val="4"/>
                <c:pt idx="0">
                  <c:v>105</c:v>
                </c:pt>
                <c:pt idx="1">
                  <c:v>105</c:v>
                </c:pt>
                <c:pt idx="2">
                  <c:v>105</c:v>
                </c:pt>
                <c:pt idx="3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C80-4C00-9E62-2FBA564D5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600" b="1"/>
                  <a:t>Nm3</a:t>
                </a:r>
              </a:p>
            </c:rich>
          </c:tx>
          <c:layout>
            <c:manualLayout>
              <c:xMode val="edge"/>
              <c:yMode val="edge"/>
              <c:x val="0.13287006756820804"/>
              <c:y val="0.357312436343694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  <c:max val="15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600" b="1"/>
                  <a:t>Nm3/ton</a:t>
                </a:r>
              </a:p>
            </c:rich>
          </c:tx>
          <c:layout>
            <c:manualLayout>
              <c:xMode val="edge"/>
              <c:yMode val="edge"/>
              <c:x val="0.9453405066044398"/>
              <c:y val="0.363769913463147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  <c:majorUnit val="30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3611595206958822E-2"/>
          <c:y val="0.95607110948558349"/>
          <c:w val="0.83004621450550475"/>
          <c:h val="4.3928897925264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PH" sz="1600" b="1">
                <a:solidFill>
                  <a:schemeClr val="tx1"/>
                </a:solidFill>
              </a:rPr>
              <a:t>Biogas Conversion (Yield) - Factoring the DS Content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0638714765137"/>
          <c:y val="7.9859274137969463E-2"/>
          <c:w val="0.64046222403437936"/>
          <c:h val="0.66734582972002576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'Mar actual FM volVer2'!$B$170:$C$170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0308078851395952E-17"/>
                  <c:y val="3.3491986234661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30-48D1-9AF9-09921D22A74F}"/>
                </c:ext>
              </c:extLst>
            </c:dLbl>
            <c:dLbl>
              <c:idx val="1"/>
              <c:layout>
                <c:manualLayout>
                  <c:x val="0"/>
                  <c:y val="3.1398737094995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30-48D1-9AF9-09921D22A74F}"/>
                </c:ext>
              </c:extLst>
            </c:dLbl>
            <c:dLbl>
              <c:idx val="2"/>
              <c:layout>
                <c:manualLayout>
                  <c:x val="-1.3720543640349764E-3"/>
                  <c:y val="3.1398737094995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30-48D1-9AF9-09921D22A74F}"/>
                </c:ext>
              </c:extLst>
            </c:dLbl>
            <c:dLbl>
              <c:idx val="3"/>
              <c:layout>
                <c:manualLayout>
                  <c:x val="-1.3298595029614434E-3"/>
                  <c:y val="4.34011603260344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30-48D1-9AF9-09921D22A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 actual FM volVer2'!$D$125:$H$125</c:f>
              <c:strCache>
                <c:ptCount val="4"/>
                <c:pt idx="0">
                  <c:v>Mar1-9</c:v>
                </c:pt>
                <c:pt idx="1">
                  <c:v>Mar10-16</c:v>
                </c:pt>
                <c:pt idx="2">
                  <c:v>Mar17-23</c:v>
                </c:pt>
                <c:pt idx="3">
                  <c:v>Mar24-31</c:v>
                </c:pt>
              </c:strCache>
            </c:strRef>
          </c:cat>
          <c:val>
            <c:numRef>
              <c:f>'Mar actual FM volVer2'!$D$170:$H$170</c:f>
              <c:numCache>
                <c:formatCode>_-* #,##0_-;\-* #,##0_-;_-* "-"??_-;_-@_-</c:formatCode>
                <c:ptCount val="5"/>
                <c:pt idx="0">
                  <c:v>51999.930693069306</c:v>
                </c:pt>
                <c:pt idx="1">
                  <c:v>77703.881188118816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30-48D1-9AF9-09921D22A74F}"/>
            </c:ext>
          </c:extLst>
        </c:ser>
        <c:ser>
          <c:idx val="1"/>
          <c:order val="1"/>
          <c:tx>
            <c:strRef>
              <c:f>'Mar actual FM volVer2'!$B$169:$C$169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solidFill>
              <a:schemeClr val="accent2"/>
            </a:solidFill>
            <a:ln w="762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3.3491986234661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30-48D1-9AF9-09921D22A74F}"/>
                </c:ext>
              </c:extLst>
            </c:dLbl>
            <c:dLbl>
              <c:idx val="1"/>
              <c:layout>
                <c:manualLayout>
                  <c:x val="-5.0308078851395952E-17"/>
                  <c:y val="2.9305487955329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30-48D1-9AF9-09921D22A74F}"/>
                </c:ext>
              </c:extLst>
            </c:dLbl>
            <c:dLbl>
              <c:idx val="2"/>
              <c:layout>
                <c:manualLayout>
                  <c:x val="-1.3720589816773633E-3"/>
                  <c:y val="3.1531341675186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30-48D1-9AF9-09921D22A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 actual FM volVer2'!$D$125:$H$125</c:f>
              <c:strCache>
                <c:ptCount val="4"/>
                <c:pt idx="0">
                  <c:v>Mar1-9</c:v>
                </c:pt>
                <c:pt idx="1">
                  <c:v>Mar10-16</c:v>
                </c:pt>
                <c:pt idx="2">
                  <c:v>Mar17-23</c:v>
                </c:pt>
                <c:pt idx="3">
                  <c:v>Mar24-31</c:v>
                </c:pt>
              </c:strCache>
            </c:strRef>
          </c:cat>
          <c:val>
            <c:numRef>
              <c:f>'Mar actual FM volVer2'!$D$169:$H$169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30-48D1-9AF9-09921D22A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'Mar actual FM volVer2'!$B$127:$C$127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'Mar actual FM volVer2'!$D$125:$H$125</c15:sqref>
                        </c15:formulaRef>
                      </c:ext>
                    </c:extLst>
                    <c:strCache>
                      <c:ptCount val="4"/>
                      <c:pt idx="0">
                        <c:v>Mar1-9</c:v>
                      </c:pt>
                      <c:pt idx="1">
                        <c:v>Mar10-16</c:v>
                      </c:pt>
                      <c:pt idx="2">
                        <c:v>Mar17-23</c:v>
                      </c:pt>
                      <c:pt idx="3">
                        <c:v>Mar24-31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'Mar actual FM volVer2'!$D$127:$H$127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4430-48D1-9AF9-09921D22A74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'Mar actual FM volVer2'!$B$172:$C$172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977827185803154E-2"/>
                  <c:y val="-2.5102375982018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30-48D1-9AF9-09921D22A74F}"/>
                </c:ext>
              </c:extLst>
            </c:dLbl>
            <c:dLbl>
              <c:idx val="1"/>
              <c:layout>
                <c:manualLayout>
                  <c:x val="-4.1731235672130731E-2"/>
                  <c:y val="-2.29607960688664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430-48D1-9AF9-09921D22A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 actual FM volVer2'!$D$125:$H$125</c:f>
              <c:strCache>
                <c:ptCount val="4"/>
                <c:pt idx="0">
                  <c:v>Mar1-9</c:v>
                </c:pt>
                <c:pt idx="1">
                  <c:v>Mar10-16</c:v>
                </c:pt>
                <c:pt idx="2">
                  <c:v>Mar17-23</c:v>
                </c:pt>
                <c:pt idx="3">
                  <c:v>Mar24-31</c:v>
                </c:pt>
              </c:strCache>
            </c:strRef>
          </c:cat>
          <c:val>
            <c:numRef>
              <c:f>'Mar actual FM volVer2'!$D$172:$H$172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430-48D1-9AF9-09921D22A74F}"/>
            </c:ext>
          </c:extLst>
        </c:ser>
        <c:ser>
          <c:idx val="4"/>
          <c:order val="4"/>
          <c:tx>
            <c:strRef>
              <c:f>'Mar actual FM volVer2'!$B$173:$C$173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'Mar actual FM volVer2'!$D$125:$H$125</c:f>
              <c:strCache>
                <c:ptCount val="4"/>
                <c:pt idx="0">
                  <c:v>Mar1-9</c:v>
                </c:pt>
                <c:pt idx="1">
                  <c:v>Mar10-16</c:v>
                </c:pt>
                <c:pt idx="2">
                  <c:v>Mar17-23</c:v>
                </c:pt>
                <c:pt idx="3">
                  <c:v>Mar24-31</c:v>
                </c:pt>
              </c:strCache>
            </c:strRef>
          </c:cat>
          <c:val>
            <c:numRef>
              <c:f>'Mar actual FM volVer2'!$D$173:$H$173</c:f>
              <c:numCache>
                <c:formatCode>_-* #,##0_-;\-* #,##0_-;_-* "-"??_-;_-@_-</c:formatCode>
                <c:ptCount val="5"/>
                <c:pt idx="0">
                  <c:v>105</c:v>
                </c:pt>
                <c:pt idx="1">
                  <c:v>105</c:v>
                </c:pt>
                <c:pt idx="2">
                  <c:v>105</c:v>
                </c:pt>
                <c:pt idx="3">
                  <c:v>105</c:v>
                </c:pt>
                <c:pt idx="4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430-48D1-9AF9-09921D22A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600" b="1"/>
                  <a:t>Nm3</a:t>
                </a:r>
              </a:p>
            </c:rich>
          </c:tx>
          <c:layout>
            <c:manualLayout>
              <c:xMode val="edge"/>
              <c:yMode val="edge"/>
              <c:x val="0.1338963604146387"/>
              <c:y val="0.38583079407906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  <c:max val="15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600" b="1"/>
                  <a:t>Nm3/ton</a:t>
                </a:r>
              </a:p>
            </c:rich>
          </c:tx>
          <c:layout>
            <c:manualLayout>
              <c:xMode val="edge"/>
              <c:yMode val="edge"/>
              <c:x val="0.97384117683935045"/>
              <c:y val="0.367297195316939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  <c:majorUnit val="30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PH" sz="1600" b="1">
                <a:solidFill>
                  <a:schemeClr val="bg1"/>
                </a:solidFill>
              </a:rPr>
              <a:t>Substrate Supply</a:t>
            </a:r>
          </a:p>
        </c:rich>
      </c:tx>
      <c:layout>
        <c:manualLayout>
          <c:xMode val="edge"/>
          <c:yMode val="edge"/>
          <c:x val="0.48264018842319012"/>
          <c:y val="7.693307216473612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037413340212502"/>
          <c:y val="8.968700052187277E-2"/>
          <c:w val="0.74370088205263363"/>
          <c:h val="0.50561293396386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'May actual FM vol'!$B$35:$C$35</c:f>
              <c:strCache>
                <c:ptCount val="2"/>
                <c:pt idx="0">
                  <c:v>Delivered (DUVO)</c:v>
                </c:pt>
                <c:pt idx="1">
                  <c:v>(mtons)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 actual FM vol'!$D$33:$H$33</c:f>
              <c:strCache>
                <c:ptCount val="5"/>
                <c:pt idx="0">
                  <c:v>WEEK 1
(May1-4)</c:v>
                </c:pt>
                <c:pt idx="1">
                  <c:v>WEEK 2
(May5-11)</c:v>
                </c:pt>
                <c:pt idx="2">
                  <c:v>WEEk 3
(May12-18)</c:v>
                </c:pt>
                <c:pt idx="3">
                  <c:v>WEEk 4
(May19-25)</c:v>
                </c:pt>
                <c:pt idx="4">
                  <c:v>WEEK 5
(May26-31)</c:v>
                </c:pt>
              </c:strCache>
            </c:strRef>
          </c:cat>
          <c:val>
            <c:numRef>
              <c:f>'May actual FM vol'!$D$35:$H$35</c:f>
              <c:numCache>
                <c:formatCode>_-* #,##0_-;\-* #,##0_-;_-* "-"??_-;_-@_-</c:formatCode>
                <c:ptCount val="5"/>
                <c:pt idx="0">
                  <c:v>12.39</c:v>
                </c:pt>
                <c:pt idx="1">
                  <c:v>414.17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F-499D-AA8E-16CCE3AA2912}"/>
            </c:ext>
          </c:extLst>
        </c:ser>
        <c:ser>
          <c:idx val="2"/>
          <c:order val="1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 actual FM vol'!$D$32:$H$32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'Mar actual FM vol'!$D$37:$H$37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1D2F-499D-AA8E-16CCE3AA2912}"/>
            </c:ext>
          </c:extLst>
        </c:ser>
        <c:ser>
          <c:idx val="5"/>
          <c:order val="4"/>
          <c:tx>
            <c:strRef>
              <c:f>'May actual FM vol'!$B$36</c:f>
              <c:strCache>
                <c:ptCount val="1"/>
                <c:pt idx="0">
                  <c:v>Divert from Pol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'May actual FM vol'!$D$36:$H$36</c:f>
              <c:numCache>
                <c:formatCode>_-* #,##0_-;\-* #,##0_-;_-* "-"??_-;_-@_-</c:formatCode>
                <c:ptCount val="5"/>
                <c:pt idx="0">
                  <c:v>51.49</c:v>
                </c:pt>
                <c:pt idx="1">
                  <c:v>102.92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2F-499D-AA8E-16CCE3AA2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1926304"/>
        <c:axId val="1732677184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'May actual FM vol'!$B$39:$C$39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'May actual FM vol'!$D$33:$H$33</c15:sqref>
                        </c15:formulaRef>
                      </c:ext>
                    </c:extLst>
                    <c:strCache>
                      <c:ptCount val="5"/>
                      <c:pt idx="0">
                        <c:v>WEEK 1
(May1-4)</c:v>
                      </c:pt>
                      <c:pt idx="1">
                        <c:v>WEEK 2
(May5-11)</c:v>
                      </c:pt>
                      <c:pt idx="2">
                        <c:v>WEEk 3
(May12-18)</c:v>
                      </c:pt>
                      <c:pt idx="3">
                        <c:v>WEEk 4
(May19-25)</c:v>
                      </c:pt>
                      <c:pt idx="4">
                        <c:v>WEEK 5
(May26-31)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'May actual FM vol'!$D$39:$H$39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63.88</c:v>
                      </c:pt>
                      <c:pt idx="1">
                        <c:v>580.97</c:v>
                      </c:pt>
                      <c:pt idx="2">
                        <c:v>580.97</c:v>
                      </c:pt>
                      <c:pt idx="3">
                        <c:v>580.97</c:v>
                      </c:pt>
                      <c:pt idx="4">
                        <c:v>580.97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1D2F-499D-AA8E-16CCE3AA291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3"/>
          <c:tx>
            <c:strRef>
              <c:f>'May actual FM vol'!$B$40:$C$40</c:f>
              <c:strCache>
                <c:ptCount val="2"/>
                <c:pt idx="0">
                  <c:v>Target to Reach SCA Minimum </c:v>
                </c:pt>
                <c:pt idx="1">
                  <c:v>(mtons)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1629167934072217E-2"/>
                  <c:y val="-2.7522938523292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2F-499D-AA8E-16CCE3AA2912}"/>
                </c:ext>
              </c:extLst>
            </c:dLbl>
            <c:dLbl>
              <c:idx val="1"/>
              <c:layout>
                <c:manualLayout>
                  <c:x val="-1.609848287643853E-2"/>
                  <c:y val="-4.80502879504039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2F-499D-AA8E-16CCE3AA2912}"/>
                </c:ext>
              </c:extLst>
            </c:dLbl>
            <c:dLbl>
              <c:idx val="2"/>
              <c:layout>
                <c:manualLayout>
                  <c:x val="-1.9548157778532502E-2"/>
                  <c:y val="-6.52111050755481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2F-499D-AA8E-16CCE3AA2912}"/>
                </c:ext>
              </c:extLst>
            </c:dLbl>
            <c:dLbl>
              <c:idx val="3"/>
              <c:layout>
                <c:manualLayout>
                  <c:x val="-3.0287967363948703E-2"/>
                  <c:y val="-7.59558702374697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D2F-499D-AA8E-16CCE3AA29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'May actual FM vol'!$D$33:$H$33</c:f>
              <c:strCache>
                <c:ptCount val="5"/>
                <c:pt idx="0">
                  <c:v>WEEK 1
(May1-4)</c:v>
                </c:pt>
                <c:pt idx="1">
                  <c:v>WEEK 2
(May5-11)</c:v>
                </c:pt>
                <c:pt idx="2">
                  <c:v>WEEk 3
(May12-18)</c:v>
                </c:pt>
                <c:pt idx="3">
                  <c:v>WEEk 4
(May19-25)</c:v>
                </c:pt>
                <c:pt idx="4">
                  <c:v>WEEK 5
(May26-31)</c:v>
                </c:pt>
              </c:strCache>
            </c:strRef>
          </c:cat>
          <c:val>
            <c:numRef>
              <c:f>'May actual FM vol'!$D$40:$H$40</c:f>
              <c:numCache>
                <c:formatCode>_-* #,##0_-;\-* #,##0_-;_-* "-"??_-;_-@_-</c:formatCode>
                <c:ptCount val="5"/>
                <c:pt idx="0">
                  <c:v>4665.7</c:v>
                </c:pt>
                <c:pt idx="1">
                  <c:v>5816.1549999999997</c:v>
                </c:pt>
                <c:pt idx="2">
                  <c:v>7582.5099999999993</c:v>
                </c:pt>
                <c:pt idx="3" formatCode="_(* #,##0_);_(* \(#,##0\);_(* &quot;-&quot;??_);_(@_)">
                  <c:v>11373.764999999999</c:v>
                </c:pt>
                <c:pt idx="4" formatCode="_(* #,##0_);_(* \(#,##0\);_(* &quot;-&quot;??_);_(@_)">
                  <c:v>22747.53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2F-499D-AA8E-16CCE3AA2912}"/>
            </c:ext>
          </c:extLst>
        </c:ser>
        <c:ser>
          <c:idx val="6"/>
          <c:order val="5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'Mar actual FM vol'!$D$37:$H$37</c:f>
            </c:numRef>
          </c:val>
          <c:smooth val="0"/>
          <c:extLst>
            <c:ext xmlns:c16="http://schemas.microsoft.com/office/drawing/2014/chart" uri="{C3380CC4-5D6E-409C-BE32-E72D297353CC}">
              <c16:uniqueId val="{00000008-1D2F-499D-AA8E-16CCE3AA2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956560"/>
        <c:axId val="279250768"/>
      </c:lineChart>
      <c:catAx>
        <c:axId val="1931926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2677184"/>
        <c:crosses val="autoZero"/>
        <c:auto val="1"/>
        <c:lblAlgn val="ctr"/>
        <c:lblOffset val="100"/>
        <c:noMultiLvlLbl val="1"/>
      </c:catAx>
      <c:valAx>
        <c:axId val="1732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mtons</a:t>
                </a:r>
              </a:p>
            </c:rich>
          </c:tx>
          <c:layout>
            <c:manualLayout>
              <c:xMode val="edge"/>
              <c:yMode val="edge"/>
              <c:x val="0.22924404551215199"/>
              <c:y val="0.23269379886108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26304"/>
        <c:crosses val="autoZero"/>
        <c:crossBetween val="between"/>
      </c:valAx>
      <c:valAx>
        <c:axId val="279250768"/>
        <c:scaling>
          <c:orientation val="minMax"/>
        </c:scaling>
        <c:delete val="1"/>
        <c:axPos val="r"/>
        <c:numFmt formatCode="_-* #,##0_-;\-* #,##0_-;_-* &quot;-&quot;??_-;_-@_-" sourceLinked="1"/>
        <c:majorTickMark val="out"/>
        <c:minorTickMark val="none"/>
        <c:tickLblPos val="nextTo"/>
        <c:crossAx val="236956560"/>
        <c:crosses val="max"/>
        <c:crossBetween val="between"/>
      </c:valAx>
      <c:catAx>
        <c:axId val="236956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9250768"/>
        <c:crosses val="autoZero"/>
        <c:auto val="1"/>
        <c:lblAlgn val="ctr"/>
        <c:lblOffset val="100"/>
        <c:noMultiLvlLbl val="1"/>
      </c:cat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PH" sz="1600" b="1">
                <a:solidFill>
                  <a:schemeClr val="tx1"/>
                </a:solidFill>
              </a:rPr>
              <a:t>Biogas Utilization</a:t>
            </a:r>
          </a:p>
        </c:rich>
      </c:tx>
      <c:layout>
        <c:manualLayout>
          <c:xMode val="edge"/>
          <c:yMode val="edge"/>
          <c:x val="0.41421059488676037"/>
          <c:y val="3.3552951048093798E-3"/>
        </c:manualLayout>
      </c:layout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279257464172775"/>
          <c:y val="0.10060281860125968"/>
          <c:w val="0.67317823439612146"/>
          <c:h val="0.349919226078976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'May actual FM vol'!$B$111:$C$111</c:f>
              <c:strCache>
                <c:ptCount val="2"/>
                <c:pt idx="0">
                  <c:v>Delivered to Boilers</c:v>
                </c:pt>
                <c:pt idx="1">
                  <c:v>(Nm3)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 actual FM vol'!$D$110:$H$110</c:f>
              <c:strCache>
                <c:ptCount val="5"/>
                <c:pt idx="0">
                  <c:v>WEEK 1
(May1-4)</c:v>
                </c:pt>
                <c:pt idx="1">
                  <c:v>WEEK 2
(May5-11)</c:v>
                </c:pt>
                <c:pt idx="2">
                  <c:v>WEEk 3
(May12-18)</c:v>
                </c:pt>
                <c:pt idx="3">
                  <c:v>WEEk 4
(May19-25)</c:v>
                </c:pt>
                <c:pt idx="4">
                  <c:v>WEEK 5
(May26-31)</c:v>
                </c:pt>
              </c:strCache>
            </c:strRef>
          </c:cat>
          <c:val>
            <c:numRef>
              <c:f>'May actual FM vol'!$D$111:$H$111</c:f>
              <c:numCache>
                <c:formatCode>_-* #,##0_-;\-* #,##0_-;_-* "-"??_-;_-@_-</c:formatCode>
                <c:ptCount val="5"/>
                <c:pt idx="0">
                  <c:v>23322</c:v>
                </c:pt>
                <c:pt idx="1">
                  <c:v>54533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C-469F-B540-2FC69EBE4653}"/>
            </c:ext>
          </c:extLst>
        </c:ser>
        <c:ser>
          <c:idx val="1"/>
          <c:order val="1"/>
          <c:tx>
            <c:strRef>
              <c:f>'May actual FM vol'!$B$113:$C$113</c:f>
              <c:strCache>
                <c:ptCount val="2"/>
                <c:pt idx="0">
                  <c:v>Flared</c:v>
                </c:pt>
                <c:pt idx="1">
                  <c:v>(Nm3)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'May actual FM vol'!$D$110:$H$110</c:f>
              <c:strCache>
                <c:ptCount val="5"/>
                <c:pt idx="0">
                  <c:v>WEEK 1
(May1-4)</c:v>
                </c:pt>
                <c:pt idx="1">
                  <c:v>WEEK 2
(May5-11)</c:v>
                </c:pt>
                <c:pt idx="2">
                  <c:v>WEEk 3
(May12-18)</c:v>
                </c:pt>
                <c:pt idx="3">
                  <c:v>WEEk 4
(May19-25)</c:v>
                </c:pt>
                <c:pt idx="4">
                  <c:v>WEEK 5
(May26-31)</c:v>
                </c:pt>
              </c:strCache>
            </c:strRef>
          </c:cat>
          <c:val>
            <c:numRef>
              <c:f>'May actual FM vol'!$D$113:$H$113</c:f>
              <c:numCache>
                <c:formatCode>_-* #,##0_-;\-* #,##0_-;_-* "-"??_-;_-@_-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782C-469F-B540-2FC69EBE4653}"/>
            </c:ext>
          </c:extLst>
        </c:ser>
        <c:ser>
          <c:idx val="5"/>
          <c:order val="5"/>
          <c:tx>
            <c:strRef>
              <c:f>'May actual FM vol'!$B$112:$C$112</c:f>
              <c:strCache>
                <c:ptCount val="2"/>
                <c:pt idx="0">
                  <c:v>Delivered to Engine</c:v>
                </c:pt>
                <c:pt idx="1">
                  <c:v>(Nm3)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'May actual FM vol'!$D$112:$H$112</c:f>
              <c:numCache>
                <c:formatCode>_-* #,##0_-;\-* #,##0_-;_-* "-"??_-;_-@_-</c:formatCode>
                <c:ptCount val="5"/>
                <c:pt idx="0">
                  <c:v>19294</c:v>
                </c:pt>
                <c:pt idx="1">
                  <c:v>20793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2C-469F-B540-2FC69EBE4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786448"/>
        <c:axId val="1745592720"/>
      </c:barChart>
      <c:lineChart>
        <c:grouping val="standard"/>
        <c:varyColors val="0"/>
        <c:ser>
          <c:idx val="2"/>
          <c:order val="2"/>
          <c:tx>
            <c:strRef>
              <c:f>'May actual FM vol'!$B$114:$C$114</c:f>
              <c:strCache>
                <c:ptCount val="2"/>
                <c:pt idx="0">
                  <c:v>Total Produced</c:v>
                </c:pt>
                <c:pt idx="1">
                  <c:v>(Nm3)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'May actual FM vol'!$D$110:$H$110</c:f>
              <c:strCache>
                <c:ptCount val="5"/>
                <c:pt idx="0">
                  <c:v>WEEK 1
(May1-4)</c:v>
                </c:pt>
                <c:pt idx="1">
                  <c:v>WEEK 2
(May5-11)</c:v>
                </c:pt>
                <c:pt idx="2">
                  <c:v>WEEk 3
(May12-18)</c:v>
                </c:pt>
                <c:pt idx="3">
                  <c:v>WEEk 4
(May19-25)</c:v>
                </c:pt>
                <c:pt idx="4">
                  <c:v>WEEK 5
(May26-31)</c:v>
                </c:pt>
              </c:strCache>
            </c:strRef>
          </c:cat>
          <c:val>
            <c:numRef>
              <c:f>'May actual FM vol'!$D$114:$H$114</c:f>
              <c:numCache>
                <c:formatCode>_-* #,##0_-;\-* #,##0_-;_-* "-"??_-;_-@_-</c:formatCode>
                <c:ptCount val="5"/>
                <c:pt idx="0">
                  <c:v>42616</c:v>
                </c:pt>
                <c:pt idx="1">
                  <c:v>75326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82C-469F-B540-2FC69EBE4653}"/>
            </c:ext>
          </c:extLst>
        </c:ser>
        <c:ser>
          <c:idx val="4"/>
          <c:order val="4"/>
          <c:tx>
            <c:strRef>
              <c:f>'May actual FM vol'!$B$116:$C$116</c:f>
              <c:strCache>
                <c:ptCount val="2"/>
                <c:pt idx="0">
                  <c:v>Target to Reach SCA min</c:v>
                </c:pt>
                <c:pt idx="1">
                  <c:v>(Nm3)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564449318371994E-2"/>
                  <c:y val="-2.95791270130621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2C-469F-B540-2FC69EBE4653}"/>
                </c:ext>
              </c:extLst>
            </c:dLbl>
            <c:dLbl>
              <c:idx val="1"/>
              <c:layout>
                <c:manualLayout>
                  <c:x val="-3.515783540288886E-2"/>
                  <c:y val="-2.022071919171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2C-469F-B540-2FC69EBE4653}"/>
                </c:ext>
              </c:extLst>
            </c:dLbl>
            <c:dLbl>
              <c:idx val="2"/>
              <c:layout>
                <c:manualLayout>
                  <c:x val="-3.5857346902423336E-2"/>
                  <c:y val="-3.2823703321892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82C-469F-B540-2FC69EBE4653}"/>
                </c:ext>
              </c:extLst>
            </c:dLbl>
            <c:dLbl>
              <c:idx val="3"/>
              <c:layout>
                <c:manualLayout>
                  <c:x val="-4.3488778758285697E-2"/>
                  <c:y val="-3.65507230889791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2C-469F-B540-2FC69EBE46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'May actual FM vol'!$D$110:$H$110</c:f>
              <c:strCache>
                <c:ptCount val="5"/>
                <c:pt idx="0">
                  <c:v>WEEK 1
(May1-4)</c:v>
                </c:pt>
                <c:pt idx="1">
                  <c:v>WEEK 2
(May5-11)</c:v>
                </c:pt>
                <c:pt idx="2">
                  <c:v>WEEk 3
(May12-18)</c:v>
                </c:pt>
                <c:pt idx="3">
                  <c:v>WEEk 4
(May19-25)</c:v>
                </c:pt>
                <c:pt idx="4">
                  <c:v>WEEK 5
(May26-31)</c:v>
                </c:pt>
              </c:strCache>
            </c:strRef>
          </c:cat>
          <c:val>
            <c:numRef>
              <c:f>'May actual FM vol'!$D$116:$H$116</c:f>
              <c:numCache>
                <c:formatCode>_-* #,##0_-;\-* #,##0_-;_-* "-"??_-;_-@_-</c:formatCode>
                <c:ptCount val="5"/>
                <c:pt idx="0">
                  <c:v>120578.6</c:v>
                </c:pt>
                <c:pt idx="1">
                  <c:v>140069.25</c:v>
                </c:pt>
                <c:pt idx="2">
                  <c:v>161650.33333333334</c:v>
                </c:pt>
                <c:pt idx="3">
                  <c:v>242475.5</c:v>
                </c:pt>
                <c:pt idx="4">
                  <c:v>484951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2C-469F-B540-2FC69EBE4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786448"/>
        <c:axId val="174559272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'May actual FM vol'!$B$115:$C$115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'May actual FM vol'!$D$110:$H$110</c15:sqref>
                        </c15:formulaRef>
                      </c:ext>
                    </c:extLst>
                    <c:strCache>
                      <c:ptCount val="5"/>
                      <c:pt idx="0">
                        <c:v>WEEK 1
(May1-4)</c:v>
                      </c:pt>
                      <c:pt idx="1">
                        <c:v>WEEK 2
(May5-11)</c:v>
                      </c:pt>
                      <c:pt idx="2">
                        <c:v>WEEk 3
(May12-18)</c:v>
                      </c:pt>
                      <c:pt idx="3">
                        <c:v>WEEk 4
(May19-25)</c:v>
                      </c:pt>
                      <c:pt idx="4">
                        <c:v>WEEK 5
(May26-31)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'May actual FM vol'!$D$115:$H$115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42616</c:v>
                      </c:pt>
                      <c:pt idx="1">
                        <c:v>117942</c:v>
                      </c:pt>
                      <c:pt idx="2">
                        <c:v>117942</c:v>
                      </c:pt>
                      <c:pt idx="3">
                        <c:v>117942</c:v>
                      </c:pt>
                      <c:pt idx="4">
                        <c:v>117942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782C-469F-B540-2FC69EBE4653}"/>
                  </c:ext>
                </c:extLst>
              </c15:ser>
            </c15:filteredLineSeries>
          </c:ext>
        </c:extLst>
      </c:lineChart>
      <c:catAx>
        <c:axId val="1723786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5592720"/>
        <c:crosses val="autoZero"/>
        <c:auto val="1"/>
        <c:lblAlgn val="ctr"/>
        <c:lblOffset val="100"/>
        <c:noMultiLvlLbl val="1"/>
      </c:catAx>
      <c:valAx>
        <c:axId val="1745592720"/>
        <c:scaling>
          <c:orientation val="minMax"/>
          <c:max val="5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(Nm3)</a:t>
                </a:r>
              </a:p>
            </c:rich>
          </c:tx>
          <c:layout>
            <c:manualLayout>
              <c:xMode val="edge"/>
              <c:yMode val="edge"/>
              <c:x val="0.1572054197817343"/>
              <c:y val="0.21039484932677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86448"/>
        <c:crosses val="autoZero"/>
        <c:crossBetween val="between"/>
        <c:majorUnit val="100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2017476083098052E-2"/>
          <c:y val="0.87032957016959378"/>
          <c:w val="0.9261026634160423"/>
          <c:h val="0.129670429830406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PH" sz="1600" b="1">
                <a:solidFill>
                  <a:schemeClr val="tx1"/>
                </a:solidFill>
              </a:rPr>
              <a:t>Power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367081569440655"/>
          <c:y val="0.12528405766264164"/>
          <c:w val="0.77286261321270178"/>
          <c:h val="0.57509865824782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'May actual FM vol'!$B$76:$C$76</c:f>
              <c:strCache>
                <c:ptCount val="2"/>
                <c:pt idx="0">
                  <c:v>Delivered</c:v>
                </c:pt>
                <c:pt idx="1">
                  <c:v>(kWh)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 actual FM vol'!$D$75:$H$75</c:f>
              <c:strCache>
                <c:ptCount val="5"/>
                <c:pt idx="0">
                  <c:v>WEEK 1
(May1-4)</c:v>
                </c:pt>
                <c:pt idx="1">
                  <c:v>WEEK 2
(May5-11)</c:v>
                </c:pt>
                <c:pt idx="2">
                  <c:v>WEEk 3
(May12-18)</c:v>
                </c:pt>
                <c:pt idx="3">
                  <c:v>WEEk 4
(May19-25)</c:v>
                </c:pt>
                <c:pt idx="4">
                  <c:v>WEEK 5
(May26-31)</c:v>
                </c:pt>
              </c:strCache>
            </c:strRef>
          </c:cat>
          <c:val>
            <c:numRef>
              <c:f>'May actual FM vol'!$D$76:$H$76</c:f>
              <c:numCache>
                <c:formatCode>_-* #,##0_-;\-* #,##0_-;_-* "-"??_-;_-@_-</c:formatCode>
                <c:ptCount val="5"/>
                <c:pt idx="0">
                  <c:v>39342</c:v>
                </c:pt>
                <c:pt idx="1">
                  <c:v>42001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1-45C2-9847-64D17A3F9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305608704"/>
        <c:axId val="305574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'May actual FM vol'!$B$77:$C$77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(kWh)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'May actual FM vol'!$D$75:$H$75</c15:sqref>
                        </c15:formulaRef>
                      </c:ext>
                    </c:extLst>
                    <c:strCache>
                      <c:ptCount val="5"/>
                      <c:pt idx="0">
                        <c:v>WEEK 1
(May1-4)</c:v>
                      </c:pt>
                      <c:pt idx="1">
                        <c:v>WEEK 2
(May5-11)</c:v>
                      </c:pt>
                      <c:pt idx="2">
                        <c:v>WEEk 3
(May12-18)</c:v>
                      </c:pt>
                      <c:pt idx="3">
                        <c:v>WEEk 4
(May19-25)</c:v>
                      </c:pt>
                      <c:pt idx="4">
                        <c:v>WEEK 5
(May26-31)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'May actual FM vol'!$D$77:$H$77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39342</c:v>
                      </c:pt>
                      <c:pt idx="1">
                        <c:v>81343</c:v>
                      </c:pt>
                      <c:pt idx="2">
                        <c:v>81343</c:v>
                      </c:pt>
                      <c:pt idx="3">
                        <c:v>81343</c:v>
                      </c:pt>
                      <c:pt idx="4">
                        <c:v>81343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0F51-45C2-9847-64D17A3F993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'May actual FM vol'!$B$78:$C$78</c:f>
              <c:strCache>
                <c:ptCount val="2"/>
                <c:pt idx="0">
                  <c:v>Target to Reach SCA Minimum </c:v>
                </c:pt>
                <c:pt idx="1">
                  <c:v>(kWh)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677464868750779E-2"/>
                  <c:y val="3.45997099618013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51-45C2-9847-64D17A3F9932}"/>
                </c:ext>
              </c:extLst>
            </c:dLbl>
            <c:dLbl>
              <c:idx val="1"/>
              <c:layout>
                <c:manualLayout>
                  <c:x val="-2.8677464868750696E-2"/>
                  <c:y val="3.45997099618013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51-45C2-9847-64D17A3F9932}"/>
                </c:ext>
              </c:extLst>
            </c:dLbl>
            <c:dLbl>
              <c:idx val="2"/>
              <c:layout>
                <c:manualLayout>
                  <c:x val="-3.3265859247750725E-2"/>
                  <c:y val="2.76797679694411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51-45C2-9847-64D17A3F9932}"/>
                </c:ext>
              </c:extLst>
            </c:dLbl>
            <c:dLbl>
              <c:idx val="3"/>
              <c:layout>
                <c:manualLayout>
                  <c:x val="-7.7145607657120698E-3"/>
                  <c:y val="3.43872436864208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F51-45C2-9847-64D17A3F99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'May actual FM vol'!$D$75:$H$75</c:f>
              <c:strCache>
                <c:ptCount val="5"/>
                <c:pt idx="0">
                  <c:v>WEEK 1
(May1-4)</c:v>
                </c:pt>
                <c:pt idx="1">
                  <c:v>WEEK 2
(May5-11)</c:v>
                </c:pt>
                <c:pt idx="2">
                  <c:v>WEEk 3
(May12-18)</c:v>
                </c:pt>
                <c:pt idx="3">
                  <c:v>WEEk 4
(May19-25)</c:v>
                </c:pt>
                <c:pt idx="4">
                  <c:v>WEEK 5
(May26-31)</c:v>
                </c:pt>
              </c:strCache>
            </c:strRef>
          </c:cat>
          <c:val>
            <c:numRef>
              <c:f>'May actual FM vol'!$D$78:$H$78</c:f>
              <c:numCache>
                <c:formatCode>_-* #,##0_-;\-* #,##0_-;_-* "-"??_-;_-@_-</c:formatCode>
                <c:ptCount val="5"/>
                <c:pt idx="0">
                  <c:v>430803.20000000001</c:v>
                </c:pt>
                <c:pt idx="1">
                  <c:v>528668.5</c:v>
                </c:pt>
                <c:pt idx="2">
                  <c:v>690891</c:v>
                </c:pt>
                <c:pt idx="3">
                  <c:v>1036336.5</c:v>
                </c:pt>
                <c:pt idx="4">
                  <c:v>1117679.5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51-45C2-9847-64D17A3F9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08704"/>
        <c:axId val="305574416"/>
      </c:lineChart>
      <c:catAx>
        <c:axId val="305608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5574416"/>
        <c:crosses val="autoZero"/>
        <c:auto val="1"/>
        <c:lblAlgn val="ctr"/>
        <c:lblOffset val="100"/>
        <c:noMultiLvlLbl val="1"/>
      </c:catAx>
      <c:valAx>
        <c:axId val="3055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kWh</a:t>
                </a:r>
              </a:p>
            </c:rich>
          </c:tx>
          <c:layout>
            <c:manualLayout>
              <c:xMode val="edge"/>
              <c:yMode val="edge"/>
              <c:x val="0.10259268154483621"/>
              <c:y val="0.35705800959124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08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PH" sz="1600" b="1">
                <a:solidFill>
                  <a:schemeClr val="tx1"/>
                </a:solidFill>
              </a:rPr>
              <a:t>Biogas Conversion (Yield) - Considering Original Weight </a:t>
            </a:r>
          </a:p>
        </c:rich>
      </c:tx>
      <c:layout>
        <c:manualLayout>
          <c:xMode val="edge"/>
          <c:yMode val="edge"/>
          <c:x val="0.23685254604579473"/>
          <c:y val="6.42750716641743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269028871391076"/>
          <c:y val="8.5110331300092601E-2"/>
          <c:w val="0.623094965402052"/>
          <c:h val="0.5357567682421033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'May actual FM vol'!$B$127:$C$127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6B-4DC9-9869-425BE90FD392}"/>
              </c:ext>
            </c:extLst>
          </c:dPt>
          <c:dLbls>
            <c:dLbl>
              <c:idx val="0"/>
              <c:layout>
                <c:manualLayout>
                  <c:x val="-5.0159257011218347E-17"/>
                  <c:y val="3.4736384687681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6B-4DC9-9869-425BE90FD392}"/>
                </c:ext>
              </c:extLst>
            </c:dLbl>
            <c:dLbl>
              <c:idx val="1"/>
              <c:layout>
                <c:manualLayout>
                  <c:x val="0"/>
                  <c:y val="2.8223312558741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6B-4DC9-9869-425BE90FD392}"/>
                </c:ext>
              </c:extLst>
            </c:dLbl>
            <c:dLbl>
              <c:idx val="2"/>
              <c:layout>
                <c:manualLayout>
                  <c:x val="0"/>
                  <c:y val="3.4736384687681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6B-4DC9-9869-425BE90FD3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'May actual FM vol'!$D$123:$H$123</c:f>
              <c:strCache>
                <c:ptCount val="5"/>
                <c:pt idx="0">
                  <c:v>Wk 1
(May1-4)</c:v>
                </c:pt>
                <c:pt idx="1">
                  <c:v>Wk 2
(May5-11)</c:v>
                </c:pt>
                <c:pt idx="2">
                  <c:v>Wk 3
(May12-18)</c:v>
                </c:pt>
                <c:pt idx="3">
                  <c:v>Wk 4
(May19-25)</c:v>
                </c:pt>
                <c:pt idx="4">
                  <c:v>Wk 5
(May26-31)</c:v>
                </c:pt>
              </c:strCache>
            </c:strRef>
          </c:cat>
          <c:val>
            <c:numRef>
              <c:f>'May actual FM vol'!$D$127:$H$127</c:f>
              <c:numCache>
                <c:formatCode>_-* #,##0_-;\-* #,##0_-;_-* "-"??_-;_-@_-</c:formatCode>
                <c:ptCount val="5"/>
                <c:pt idx="0">
                  <c:v>42616</c:v>
                </c:pt>
                <c:pt idx="1">
                  <c:v>75326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6B-4DC9-9869-425BE90FD392}"/>
            </c:ext>
          </c:extLst>
        </c:ser>
        <c:ser>
          <c:idx val="1"/>
          <c:order val="1"/>
          <c:tx>
            <c:strRef>
              <c:f>'May actual FM vol'!$B$126:$C$126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679955396882434E-3"/>
                  <c:y val="3.4736384687681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6B-4DC9-9869-425BE90FD392}"/>
                </c:ext>
              </c:extLst>
            </c:dLbl>
            <c:dLbl>
              <c:idx val="1"/>
              <c:layout>
                <c:manualLayout>
                  <c:x val="-1.0031851402243669E-16"/>
                  <c:y val="3.90784327736422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66B-4DC9-9869-425BE90FD392}"/>
                </c:ext>
              </c:extLst>
            </c:dLbl>
            <c:dLbl>
              <c:idx val="2"/>
              <c:layout>
                <c:manualLayout>
                  <c:x val="0"/>
                  <c:y val="3.4736384687681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6B-4DC9-9869-425BE90FD392}"/>
                </c:ext>
              </c:extLst>
            </c:dLbl>
            <c:dLbl>
              <c:idx val="3"/>
              <c:layout>
                <c:manualLayout>
                  <c:x val="1.3266999727556414E-3"/>
                  <c:y val="3.8565049504466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66B-4DC9-9869-425BE90FD392}"/>
                </c:ext>
              </c:extLst>
            </c:dLbl>
            <c:dLbl>
              <c:idx val="4"/>
              <c:layout>
                <c:manualLayout>
                  <c:x val="0"/>
                  <c:y val="4.28500550049624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66B-4DC9-9869-425BE90FD3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'May actual FM vol'!$D$123:$H$123</c:f>
              <c:strCache>
                <c:ptCount val="5"/>
                <c:pt idx="0">
                  <c:v>Wk 1
(May1-4)</c:v>
                </c:pt>
                <c:pt idx="1">
                  <c:v>Wk 2
(May5-11)</c:v>
                </c:pt>
                <c:pt idx="2">
                  <c:v>Wk 3
(May12-18)</c:v>
                </c:pt>
                <c:pt idx="3">
                  <c:v>Wk 4
(May19-25)</c:v>
                </c:pt>
                <c:pt idx="4">
                  <c:v>Wk 5
(May26-31)</c:v>
                </c:pt>
              </c:strCache>
            </c:strRef>
          </c:cat>
          <c:val>
            <c:numRef>
              <c:f>'May actual FM vol'!$D$126:$H$126</c:f>
              <c:numCache>
                <c:formatCode>_-* #,##0_-;\-* #,##0_-;_-* "-"??_-;_-@_-</c:formatCode>
                <c:ptCount val="5"/>
                <c:pt idx="0">
                  <c:v>43680</c:v>
                </c:pt>
                <c:pt idx="1">
                  <c:v>91560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6B-4DC9-9869-425BE90F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'May actual FM vol'!$B$125:$C$125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'May actual FM vol'!$D$123:$H$123</c15:sqref>
                        </c15:formulaRef>
                      </c:ext>
                    </c:extLst>
                    <c:strCache>
                      <c:ptCount val="5"/>
                      <c:pt idx="0">
                        <c:v>Wk 1
(May1-4)</c:v>
                      </c:pt>
                      <c:pt idx="1">
                        <c:v>Wk 2
(May5-11)</c:v>
                      </c:pt>
                      <c:pt idx="2">
                        <c:v>Wk 3
(May12-18)</c:v>
                      </c:pt>
                      <c:pt idx="3">
                        <c:v>Wk 4
(May19-25)</c:v>
                      </c:pt>
                      <c:pt idx="4">
                        <c:v>Wk 5
(May26-31)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'May actual FM vol'!$D$125:$H$125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416</c:v>
                      </c:pt>
                      <c:pt idx="1">
                        <c:v>872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166B-4DC9-9869-425BE90FD39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'May actual FM vol'!$B$128:$C$128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3409039188020007E-3"/>
                  <c:y val="2.65214848320083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66B-4DC9-9869-425BE90FD392}"/>
                </c:ext>
              </c:extLst>
            </c:dLbl>
            <c:dLbl>
              <c:idx val="1"/>
              <c:layout>
                <c:manualLayout>
                  <c:x val="-1.1208966467097872E-3"/>
                  <c:y val="-2.90995029516846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66B-4DC9-9869-425BE90FD3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'May actual FM vol'!$D$123:$H$123</c:f>
              <c:strCache>
                <c:ptCount val="5"/>
                <c:pt idx="0">
                  <c:v>Wk 1
(May1-4)</c:v>
                </c:pt>
                <c:pt idx="1">
                  <c:v>Wk 2
(May5-11)</c:v>
                </c:pt>
                <c:pt idx="2">
                  <c:v>Wk 3
(May12-18)</c:v>
                </c:pt>
                <c:pt idx="3">
                  <c:v>Wk 4
(May19-25)</c:v>
                </c:pt>
                <c:pt idx="4">
                  <c:v>Wk 5
(May26-31)</c:v>
                </c:pt>
              </c:strCache>
            </c:strRef>
          </c:cat>
          <c:val>
            <c:numRef>
              <c:f>'May actual FM vol'!$D$128:$H$128</c:f>
              <c:numCache>
                <c:formatCode>_-* #,##0_-;\-* #,##0_-;_-* "-"??_-;_-@_-</c:formatCode>
                <c:ptCount val="5"/>
                <c:pt idx="0">
                  <c:v>102.44230769230769</c:v>
                </c:pt>
                <c:pt idx="1">
                  <c:v>86.383027522935777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66B-4DC9-9869-425BE90FD392}"/>
            </c:ext>
          </c:extLst>
        </c:ser>
        <c:ser>
          <c:idx val="4"/>
          <c:order val="4"/>
          <c:tx>
            <c:strRef>
              <c:f>'May actual FM vol'!$B$129:$C$129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'May actual FM vol'!$D$123:$H$123</c:f>
              <c:strCache>
                <c:ptCount val="5"/>
                <c:pt idx="0">
                  <c:v>Wk 1
(May1-4)</c:v>
                </c:pt>
                <c:pt idx="1">
                  <c:v>Wk 2
(May5-11)</c:v>
                </c:pt>
                <c:pt idx="2">
                  <c:v>Wk 3
(May12-18)</c:v>
                </c:pt>
                <c:pt idx="3">
                  <c:v>Wk 4
(May19-25)</c:v>
                </c:pt>
                <c:pt idx="4">
                  <c:v>Wk 5
(May26-31)</c:v>
                </c:pt>
              </c:strCache>
            </c:strRef>
          </c:cat>
          <c:val>
            <c:numRef>
              <c:f>'May actual FM vol'!$D$129:$H$129</c:f>
              <c:numCache>
                <c:formatCode>_-* #,##0_-;\-* #,##0_-;_-* "-"??_-;_-@_-</c:formatCode>
                <c:ptCount val="5"/>
                <c:pt idx="0">
                  <c:v>105</c:v>
                </c:pt>
                <c:pt idx="1">
                  <c:v>105</c:v>
                </c:pt>
                <c:pt idx="2">
                  <c:v>105</c:v>
                </c:pt>
                <c:pt idx="3">
                  <c:v>105</c:v>
                </c:pt>
                <c:pt idx="4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66B-4DC9-9869-425BE90F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600" b="1"/>
                  <a:t>Nm3</a:t>
                </a:r>
              </a:p>
            </c:rich>
          </c:tx>
          <c:layout>
            <c:manualLayout>
              <c:xMode val="edge"/>
              <c:yMode val="edge"/>
              <c:x val="0.13287006756820804"/>
              <c:y val="0.357312436343694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  <c:max val="115"/>
          <c:min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600" b="1"/>
                  <a:t>Nm3/ton</a:t>
                </a:r>
              </a:p>
            </c:rich>
          </c:tx>
          <c:layout>
            <c:manualLayout>
              <c:xMode val="edge"/>
              <c:yMode val="edge"/>
              <c:x val="0.95746170365068006"/>
              <c:y val="0.36376997483149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  <c:majorUnit val="20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3611595206958822E-2"/>
          <c:y val="0.8853685113165477"/>
          <c:w val="0.83004621450550475"/>
          <c:h val="0.11463148868345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PH" sz="1600" b="1">
                <a:solidFill>
                  <a:schemeClr val="tx1"/>
                </a:solidFill>
              </a:rPr>
              <a:t>Biogas Conversion (Yield) - Factoring the DS Content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94307296004804"/>
          <c:y val="7.2393844182113795E-2"/>
          <c:w val="0.6757181621177587"/>
          <c:h val="0.6124605674326828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'May actual FM vol'!$B$169:$C$169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0308078851395952E-17"/>
                  <c:y val="3.3491986234661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C3-4DBB-97D8-94CBF7E1D486}"/>
                </c:ext>
              </c:extLst>
            </c:dLbl>
            <c:dLbl>
              <c:idx val="1"/>
              <c:layout>
                <c:manualLayout>
                  <c:x val="-5.711617088780152E-17"/>
                  <c:y val="4.1291100302021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C3-4DBB-97D8-94CBF7E1D486}"/>
                </c:ext>
              </c:extLst>
            </c:dLbl>
            <c:dLbl>
              <c:idx val="2"/>
              <c:layout>
                <c:manualLayout>
                  <c:x val="-1.3720543640349764E-3"/>
                  <c:y val="3.1398737094995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C3-4DBB-97D8-94CBF7E1D486}"/>
                </c:ext>
              </c:extLst>
            </c:dLbl>
            <c:dLbl>
              <c:idx val="3"/>
              <c:layout>
                <c:manualLayout>
                  <c:x val="-1.3298595029614434E-3"/>
                  <c:y val="4.34011603260344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C3-4DBB-97D8-94CBF7E1D486}"/>
                </c:ext>
              </c:extLst>
            </c:dLbl>
            <c:dLbl>
              <c:idx val="4"/>
              <c:layout>
                <c:manualLayout>
                  <c:x val="0"/>
                  <c:y val="3.5834113448984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C3-4DBB-97D8-94CBF7E1D4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'May actual FM vol'!$D$123:$H$123</c:f>
              <c:strCache>
                <c:ptCount val="5"/>
                <c:pt idx="0">
                  <c:v>Wk 1
(May1-4)</c:v>
                </c:pt>
                <c:pt idx="1">
                  <c:v>Wk 2
(May5-11)</c:v>
                </c:pt>
                <c:pt idx="2">
                  <c:v>Wk 3
(May12-18)</c:v>
                </c:pt>
                <c:pt idx="3">
                  <c:v>Wk 4
(May19-25)</c:v>
                </c:pt>
                <c:pt idx="4">
                  <c:v>Wk 5
(May26-31)</c:v>
                </c:pt>
              </c:strCache>
            </c:strRef>
          </c:cat>
          <c:val>
            <c:numRef>
              <c:f>'May actual FM vol'!$D$169:$H$169</c:f>
              <c:numCache>
                <c:formatCode>_-* #,##0_-;\-* #,##0_-;_-* "-"??_-;_-@_-</c:formatCode>
                <c:ptCount val="5"/>
                <c:pt idx="0">
                  <c:v>42616</c:v>
                </c:pt>
                <c:pt idx="1">
                  <c:v>75326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C3-4DBB-97D8-94CBF7E1D486}"/>
            </c:ext>
          </c:extLst>
        </c:ser>
        <c:ser>
          <c:idx val="1"/>
          <c:order val="1"/>
          <c:tx>
            <c:strRef>
              <c:f>'May actual FM vol'!$B$168:$C$168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solidFill>
              <a:schemeClr val="accent2"/>
            </a:solidFill>
            <a:ln w="762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3.3491986234661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C3-4DBB-97D8-94CBF7E1D486}"/>
                </c:ext>
              </c:extLst>
            </c:dLbl>
            <c:dLbl>
              <c:idx val="1"/>
              <c:layout>
                <c:manualLayout>
                  <c:x val="0"/>
                  <c:y val="4.1250143430506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C3-4DBB-97D8-94CBF7E1D486}"/>
                </c:ext>
              </c:extLst>
            </c:dLbl>
            <c:dLbl>
              <c:idx val="2"/>
              <c:layout>
                <c:manualLayout>
                  <c:x val="-1.3720589816773633E-3"/>
                  <c:y val="3.1531341675186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C3-4DBB-97D8-94CBF7E1D486}"/>
                </c:ext>
              </c:extLst>
            </c:dLbl>
            <c:dLbl>
              <c:idx val="3"/>
              <c:layout>
                <c:manualLayout>
                  <c:x val="0"/>
                  <c:y val="3.78248975294839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C3-4DBB-97D8-94CBF7E1D486}"/>
                </c:ext>
              </c:extLst>
            </c:dLbl>
            <c:dLbl>
              <c:idx val="4"/>
              <c:layout>
                <c:manualLayout>
                  <c:x val="-1.138838824175861E-16"/>
                  <c:y val="3.7824897529483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4C3-4DBB-97D8-94CBF7E1D4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'May actual FM vol'!$D$123:$H$123</c:f>
              <c:strCache>
                <c:ptCount val="5"/>
                <c:pt idx="0">
                  <c:v>Wk 1
(May1-4)</c:v>
                </c:pt>
                <c:pt idx="1">
                  <c:v>Wk 2
(May5-11)</c:v>
                </c:pt>
                <c:pt idx="2">
                  <c:v>Wk 3
(May12-18)</c:v>
                </c:pt>
                <c:pt idx="3">
                  <c:v>Wk 4
(May19-25)</c:v>
                </c:pt>
                <c:pt idx="4">
                  <c:v>Wk 5
(May26-31)</c:v>
                </c:pt>
              </c:strCache>
            </c:strRef>
          </c:cat>
          <c:val>
            <c:numRef>
              <c:f>'May actual FM vol'!$D$168:$H$168</c:f>
              <c:numCache>
                <c:formatCode>_-* #,##0_-;\-* #,##0_-;_-* "-"??_-;_-@_-</c:formatCode>
                <c:ptCount val="5"/>
                <c:pt idx="0">
                  <c:v>44873.920000000006</c:v>
                </c:pt>
                <c:pt idx="1">
                  <c:v>83136.479999999996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4C3-4DBB-97D8-94CBF7E1D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'May actual FM vol'!$B$125:$C$125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'May actual FM vol'!$D$123:$H$123</c15:sqref>
                        </c15:formulaRef>
                      </c:ext>
                    </c:extLst>
                    <c:strCache>
                      <c:ptCount val="5"/>
                      <c:pt idx="0">
                        <c:v>Wk 1
(May1-4)</c:v>
                      </c:pt>
                      <c:pt idx="1">
                        <c:v>Wk 2
(May5-11)</c:v>
                      </c:pt>
                      <c:pt idx="2">
                        <c:v>Wk 3
(May12-18)</c:v>
                      </c:pt>
                      <c:pt idx="3">
                        <c:v>Wk 4
(May19-25)</c:v>
                      </c:pt>
                      <c:pt idx="4">
                        <c:v>Wk 5
(May26-31)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'May actual FM vol'!$D$125:$H$125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416</c:v>
                      </c:pt>
                      <c:pt idx="1">
                        <c:v>872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2-44C3-4DBB-97D8-94CBF7E1D48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'May actual FM vol'!$B$171:$C$171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1695989638017486E-3"/>
                  <c:y val="4.414431157846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4C3-4DBB-97D8-94CBF7E1D486}"/>
                </c:ext>
              </c:extLst>
            </c:dLbl>
            <c:dLbl>
              <c:idx val="1"/>
              <c:layout>
                <c:manualLayout>
                  <c:x val="-5.9034353504529031E-3"/>
                  <c:y val="-3.175998814784016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4C3-4DBB-97D8-94CBF7E1D486}"/>
                </c:ext>
              </c:extLst>
            </c:dLbl>
            <c:dLbl>
              <c:idx val="3"/>
              <c:layout>
                <c:manualLayout>
                  <c:x val="0"/>
                  <c:y val="-3.78248975294839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4C3-4DBB-97D8-94CBF7E1D4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'May actual FM vol'!$D$123:$H$123</c:f>
              <c:strCache>
                <c:ptCount val="5"/>
                <c:pt idx="0">
                  <c:v>Wk 1
(May1-4)</c:v>
                </c:pt>
                <c:pt idx="1">
                  <c:v>Wk 2
(May5-11)</c:v>
                </c:pt>
                <c:pt idx="2">
                  <c:v>Wk 3
(May12-18)</c:v>
                </c:pt>
                <c:pt idx="3">
                  <c:v>Wk 4
(May19-25)</c:v>
                </c:pt>
                <c:pt idx="4">
                  <c:v>Wk 5
(May26-31)</c:v>
                </c:pt>
              </c:strCache>
            </c:strRef>
          </c:cat>
          <c:val>
            <c:numRef>
              <c:f>'May actual FM vol'!$D$171:$H$171</c:f>
              <c:numCache>
                <c:formatCode>_-* #,##0_-;\-* #,##0_-;_-* "-"??_-;_-@_-</c:formatCode>
                <c:ptCount val="5"/>
                <c:pt idx="0">
                  <c:v>99.716717416263165</c:v>
                </c:pt>
                <c:pt idx="1">
                  <c:v>95.135492866669367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4C3-4DBB-97D8-94CBF7E1D486}"/>
            </c:ext>
          </c:extLst>
        </c:ser>
        <c:ser>
          <c:idx val="4"/>
          <c:order val="4"/>
          <c:tx>
            <c:strRef>
              <c:f>'May actual FM vol'!$B$172:$C$172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'May actual FM vol'!$D$123:$H$123</c:f>
              <c:strCache>
                <c:ptCount val="5"/>
                <c:pt idx="0">
                  <c:v>Wk 1
(May1-4)</c:v>
                </c:pt>
                <c:pt idx="1">
                  <c:v>Wk 2
(May5-11)</c:v>
                </c:pt>
                <c:pt idx="2">
                  <c:v>Wk 3
(May12-18)</c:v>
                </c:pt>
                <c:pt idx="3">
                  <c:v>Wk 4
(May19-25)</c:v>
                </c:pt>
                <c:pt idx="4">
                  <c:v>Wk 5
(May26-31)</c:v>
                </c:pt>
              </c:strCache>
            </c:strRef>
          </c:cat>
          <c:val>
            <c:numRef>
              <c:f>'May actual FM vol'!$D$172:$H$172</c:f>
              <c:numCache>
                <c:formatCode>_-* #,##0_-;\-* #,##0_-;_-* "-"??_-;_-@_-</c:formatCode>
                <c:ptCount val="5"/>
                <c:pt idx="0">
                  <c:v>105</c:v>
                </c:pt>
                <c:pt idx="1">
                  <c:v>105</c:v>
                </c:pt>
                <c:pt idx="2">
                  <c:v>105</c:v>
                </c:pt>
                <c:pt idx="3">
                  <c:v>105</c:v>
                </c:pt>
                <c:pt idx="4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4C3-4DBB-97D8-94CBF7E1D486}"/>
            </c:ext>
          </c:extLst>
        </c:ser>
        <c:ser>
          <c:idx val="5"/>
          <c:order val="5"/>
          <c:tx>
            <c:strRef>
              <c:f>'May actual FM vol'!$B$170</c:f>
              <c:strCache>
                <c:ptCount val="1"/>
                <c:pt idx="0">
                  <c:v>%DS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'May actual FM vol'!$D$170:$H$170</c:f>
              <c:numCache>
                <c:formatCode>_-* #,##0.0_-;\-* #,##0.0_-;_-* "-"??_-;_-@_-</c:formatCode>
                <c:ptCount val="5"/>
                <c:pt idx="0">
                  <c:v>15.41</c:v>
                </c:pt>
                <c:pt idx="1">
                  <c:v>13.62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4C3-4DBB-97D8-94CBF7E1D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600" b="1"/>
                  <a:t>Nm3</a:t>
                </a:r>
              </a:p>
            </c:rich>
          </c:tx>
          <c:layout>
            <c:manualLayout>
              <c:xMode val="edge"/>
              <c:yMode val="edge"/>
              <c:x val="0.1338963604146387"/>
              <c:y val="0.38583079407906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  <c:max val="115"/>
          <c:min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600" b="1"/>
                  <a:t>Nm3/ton</a:t>
                </a:r>
              </a:p>
            </c:rich>
          </c:tx>
          <c:layout>
            <c:manualLayout>
              <c:xMode val="edge"/>
              <c:yMode val="edge"/>
              <c:x val="0.96286178006618761"/>
              <c:y val="0.405809578210852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  <c:majorUnit val="20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10249171148426E-2"/>
          <c:y val="0.93011537715325965"/>
          <c:w val="0.89999989904520317"/>
          <c:h val="6.9555885163036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037413340212502"/>
          <c:y val="0.11640982453860035"/>
          <c:w val="0.74370088205263363"/>
          <c:h val="0.45822964421204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Dec!$B$36:$C$36</c:f>
              <c:strCache>
                <c:ptCount val="2"/>
                <c:pt idx="0">
                  <c:v>Delivered (DUVO)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Dec!$D$34:$G$34</c:f>
              <c:strCache>
                <c:ptCount val="4"/>
                <c:pt idx="0">
                  <c:v>WEEK 1
(Dec1-7)</c:v>
                </c:pt>
                <c:pt idx="1">
                  <c:v>WEEK 2
(Dec8-14)</c:v>
                </c:pt>
                <c:pt idx="2">
                  <c:v>WEEk 3
(Dec15-21)</c:v>
                </c:pt>
                <c:pt idx="3">
                  <c:v>WEEk 4
(Dec22-31)</c:v>
                </c:pt>
              </c:strCache>
            </c:strRef>
          </c:cat>
          <c:val>
            <c:numRef>
              <c:f>Dec!$D$36:$G$36</c:f>
              <c:numCache>
                <c:formatCode>_-* #,##0_-;\-* #,##0_-;_-* "-"??_-;_-@_-</c:formatCode>
                <c:ptCount val="4"/>
                <c:pt idx="0">
                  <c:v>2093</c:v>
                </c:pt>
                <c:pt idx="1">
                  <c:v>2267.4899999999998</c:v>
                </c:pt>
                <c:pt idx="2">
                  <c:v>2410.3000000000002</c:v>
                </c:pt>
                <c:pt idx="3">
                  <c:v>2939.56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B-46BF-B89B-994F38F297BF}"/>
            </c:ext>
          </c:extLst>
        </c:ser>
        <c:ser>
          <c:idx val="2"/>
          <c:order val="1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'Mar actual FM vol'!$D$32:$H$32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'Mar actual FM vol'!$D$37:$H$37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45EB-46BF-B89B-994F38F297BF}"/>
            </c:ext>
          </c:extLst>
        </c:ser>
        <c:ser>
          <c:idx val="5"/>
          <c:order val="4"/>
          <c:tx>
            <c:strRef>
              <c:f>Dec!$B$37</c:f>
              <c:strCache>
                <c:ptCount val="1"/>
                <c:pt idx="0">
                  <c:v>Diverted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Dec!$D$37:$G$37</c:f>
              <c:numCache>
                <c:formatCode>_-* #,##0.0_-;\-* #,##0.0_-;_-* "-"??_-;_-@_-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5-45EB-46BF-B89B-994F38F2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"/>
        <c:axId val="1931926304"/>
        <c:axId val="1732677184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Dec!$B$40:$C$40</c15:sqref>
                        </c15:formulaRef>
                      </c:ext>
                    </c:extLst>
                    <c:strCache>
                      <c:ptCount val="2"/>
                      <c:pt idx="0">
                        <c:v>Monthly Accumulative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Dec!$D$34:$G$34</c15:sqref>
                        </c15:formulaRef>
                      </c:ext>
                    </c:extLst>
                    <c:strCache>
                      <c:ptCount val="4"/>
                      <c:pt idx="0">
                        <c:v>WEEK 1
(Dec1-7)</c:v>
                      </c:pt>
                      <c:pt idx="1">
                        <c:v>WEEK 2
(Dec8-14)</c:v>
                      </c:pt>
                      <c:pt idx="2">
                        <c:v>WEEk 3
(Dec15-21)</c:v>
                      </c:pt>
                      <c:pt idx="3">
                        <c:v>WEEk 4
(Dec22-31)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Dec!$D$40:$G$40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2093</c:v>
                      </c:pt>
                      <c:pt idx="1">
                        <c:v>4360.49</c:v>
                      </c:pt>
                      <c:pt idx="2">
                        <c:v>6770.79</c:v>
                      </c:pt>
                      <c:pt idx="3">
                        <c:v>9710.35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45EB-46BF-B89B-994F38F297BF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3"/>
          <c:tx>
            <c:strRef>
              <c:f>Dec!$B$41:$C$41</c:f>
              <c:strCache>
                <c:ptCount val="2"/>
                <c:pt idx="0">
                  <c:v>Target to Reach SCA Minimum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Dec!$D$34:$G$34</c:f>
              <c:strCache>
                <c:ptCount val="4"/>
                <c:pt idx="0">
                  <c:v>WEEK 1
(Dec1-7)</c:v>
                </c:pt>
                <c:pt idx="1">
                  <c:v>WEEK 2
(Dec8-14)</c:v>
                </c:pt>
                <c:pt idx="2">
                  <c:v>WEEk 3
(Dec15-21)</c:v>
                </c:pt>
                <c:pt idx="3">
                  <c:v>WEEk 4
(Dec22-31)</c:v>
                </c:pt>
              </c:strCache>
            </c:strRef>
          </c:cat>
          <c:val>
            <c:numRef>
              <c:f>Dec!$D$41:$G$41</c:f>
              <c:numCache>
                <c:formatCode>_-* #,##0_-;\-* #,##0_-;_-* "-"??_-;_-@_-</c:formatCode>
                <c:ptCount val="4"/>
                <c:pt idx="0">
                  <c:v>3472.5483870967741</c:v>
                </c:pt>
                <c:pt idx="1">
                  <c:v>4852.0967741935483</c:v>
                </c:pt>
                <c:pt idx="2">
                  <c:v>6057.1551612903222</c:v>
                </c:pt>
                <c:pt idx="3">
                  <c:v>8607.6385714285716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45EB-46BF-B89B-994F38F297BF}"/>
            </c:ext>
          </c:extLst>
        </c:ser>
        <c:ser>
          <c:idx val="6"/>
          <c:order val="5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'Mar actual FM vol'!$D$37:$H$37</c:f>
            </c:numRef>
          </c:val>
          <c:smooth val="0"/>
          <c:extLst>
            <c:ext xmlns:c16="http://schemas.microsoft.com/office/drawing/2014/chart" uri="{C3380CC4-5D6E-409C-BE32-E72D297353CC}">
              <c16:uniqueId val="{00000007-45EB-46BF-B89B-994F38F2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6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931926304"/>
        <c:axId val="1732677184"/>
      </c:lineChart>
      <c:catAx>
        <c:axId val="193192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77184"/>
        <c:crosses val="autoZero"/>
        <c:auto val="1"/>
        <c:lblAlgn val="ctr"/>
        <c:lblOffset val="100"/>
        <c:noMultiLvlLbl val="1"/>
      </c:catAx>
      <c:valAx>
        <c:axId val="1732677184"/>
        <c:scaling>
          <c:orientation val="minMax"/>
          <c:max val="1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MT</a:t>
                </a:r>
              </a:p>
            </c:rich>
          </c:tx>
          <c:layout>
            <c:manualLayout>
              <c:xMode val="edge"/>
              <c:yMode val="edge"/>
              <c:x val="0.19272070118622903"/>
              <c:y val="0.24359459230956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26304"/>
        <c:crosses val="autoZero"/>
        <c:crossBetween val="between"/>
        <c:majorUnit val="2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279257464172775"/>
          <c:y val="0.10060281860125968"/>
          <c:w val="0.67317823439612146"/>
          <c:h val="0.349919226078976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Dec!$B$115:$C$115</c:f>
              <c:strCache>
                <c:ptCount val="2"/>
                <c:pt idx="0">
                  <c:v>Delivered to Boilers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Dec!$D$114:$G$114</c:f>
              <c:strCache>
                <c:ptCount val="4"/>
                <c:pt idx="0">
                  <c:v>WEEK 1
(Dec1-7)</c:v>
                </c:pt>
                <c:pt idx="1">
                  <c:v>WEEK 2
(Dec8-14)</c:v>
                </c:pt>
                <c:pt idx="2">
                  <c:v>WEEk 3
(Dec15-21)</c:v>
                </c:pt>
                <c:pt idx="3">
                  <c:v>WEEk 4
(Dec22-31)</c:v>
                </c:pt>
              </c:strCache>
            </c:strRef>
          </c:cat>
          <c:val>
            <c:numRef>
              <c:f>Dec!$D$115:$G$115</c:f>
              <c:numCache>
                <c:formatCode>_-* #,##0_-;\-* #,##0_-;_-* "-"??_-;_-@_-</c:formatCode>
                <c:ptCount val="4"/>
                <c:pt idx="0">
                  <c:v>97252</c:v>
                </c:pt>
                <c:pt idx="1">
                  <c:v>121037</c:v>
                </c:pt>
                <c:pt idx="2">
                  <c:v>174921</c:v>
                </c:pt>
                <c:pt idx="3">
                  <c:v>215191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0-4913-A782-1CEE091C5023}"/>
            </c:ext>
          </c:extLst>
        </c:ser>
        <c:ser>
          <c:idx val="1"/>
          <c:order val="1"/>
          <c:tx>
            <c:strRef>
              <c:f>Dec!$B$117:$C$117</c:f>
              <c:strCache>
                <c:ptCount val="2"/>
                <c:pt idx="0">
                  <c:v>Flared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Dec!$D$114:$G$114</c:f>
              <c:strCache>
                <c:ptCount val="4"/>
                <c:pt idx="0">
                  <c:v>WEEK 1
(Dec1-7)</c:v>
                </c:pt>
                <c:pt idx="1">
                  <c:v>WEEK 2
(Dec8-14)</c:v>
                </c:pt>
                <c:pt idx="2">
                  <c:v>WEEk 3
(Dec15-21)</c:v>
                </c:pt>
                <c:pt idx="3">
                  <c:v>WEEk 4
(Dec22-31)</c:v>
                </c:pt>
              </c:strCache>
            </c:strRef>
          </c:cat>
          <c:val>
            <c:numRef>
              <c:f>Dec!$D$117:$G$117</c:f>
              <c:numCache>
                <c:formatCode>_-* #,##0_-;\-* #,##0_-;_-* "-"??_-;_-@_-</c:formatCode>
                <c:ptCount val="4"/>
                <c:pt idx="1">
                  <c:v>2105</c:v>
                </c:pt>
                <c:pt idx="3">
                  <c:v>6241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00-4913-A782-1CEE091C5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786448"/>
        <c:axId val="1745592720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Dec!$B$116:$C$116</c15:sqref>
                        </c15:formulaRef>
                      </c:ext>
                    </c:extLst>
                    <c:strCache>
                      <c:ptCount val="2"/>
                      <c:pt idx="0">
                        <c:v>Delivered to Engine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Dec!$D$116:$G$116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97553.67</c:v>
                      </c:pt>
                      <c:pt idx="1">
                        <c:v>96098.08</c:v>
                      </c:pt>
                      <c:pt idx="2">
                        <c:v>97308.33</c:v>
                      </c:pt>
                      <c:pt idx="3">
                        <c:v>93470.31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400-4913-A782-1CEE091C502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Dec!$B$121:$C$121</c:f>
              <c:strCache>
                <c:ptCount val="2"/>
                <c:pt idx="0">
                  <c:v>Target to Reach SCA min</c:v>
                </c:pt>
                <c:pt idx="1">
                  <c:v>(Nm3)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Dec!$D$114:$G$114</c:f>
              <c:strCache>
                <c:ptCount val="4"/>
                <c:pt idx="0">
                  <c:v>WEEK 1
(Dec1-7)</c:v>
                </c:pt>
                <c:pt idx="1">
                  <c:v>WEEK 2
(Dec8-14)</c:v>
                </c:pt>
                <c:pt idx="2">
                  <c:v>WEEk 3
(Dec15-21)</c:v>
                </c:pt>
                <c:pt idx="3">
                  <c:v>WEEk 4
(Dec22-31)</c:v>
                </c:pt>
              </c:strCache>
            </c:strRef>
          </c:cat>
          <c:val>
            <c:numRef>
              <c:f>Dec!$D$121:$G$121</c:f>
              <c:numCache>
                <c:formatCode>_-* #,##0_-;\-* #,##0_-;_-* "-"??_-;_-@_-</c:formatCode>
                <c:ptCount val="4"/>
                <c:pt idx="0">
                  <c:v>300853.25</c:v>
                </c:pt>
                <c:pt idx="1">
                  <c:v>368720.33333333331</c:v>
                </c:pt>
                <c:pt idx="2">
                  <c:v>491509.5</c:v>
                </c:pt>
                <c:pt idx="3">
                  <c:v>710789.66999999993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00-4913-A782-1CEE091C5023}"/>
            </c:ext>
          </c:extLst>
        </c:ser>
        <c:ser>
          <c:idx val="6"/>
          <c:order val="6"/>
          <c:tx>
            <c:strRef>
              <c:f>Dec!$B$120:$C$120</c:f>
              <c:strCache>
                <c:ptCount val="2"/>
                <c:pt idx="0">
                  <c:v>Target Gas vs Delivered Substrates</c:v>
                </c:pt>
                <c:pt idx="1">
                  <c:v>(Nm3)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Dec!$D$114:$G$114</c:f>
              <c:strCache>
                <c:ptCount val="4"/>
                <c:pt idx="0">
                  <c:v>WEEK 1
(Dec1-7)</c:v>
                </c:pt>
                <c:pt idx="1">
                  <c:v>WEEK 2
(Dec8-14)</c:v>
                </c:pt>
                <c:pt idx="2">
                  <c:v>WEEk 3
(Dec15-21)</c:v>
                </c:pt>
                <c:pt idx="3">
                  <c:v>WEEk 4
(Dec22-31)</c:v>
                </c:pt>
              </c:strCache>
            </c:strRef>
          </c:cat>
          <c:val>
            <c:numRef>
              <c:f>Dec!$D$120:$G$120</c:f>
              <c:numCache>
                <c:formatCode>_-* #,##0_-;\-* #,##0_-;_-* "-"??_-;_-@_-</c:formatCode>
                <c:ptCount val="4"/>
                <c:pt idx="0">
                  <c:v>165774.39060000001</c:v>
                </c:pt>
                <c:pt idx="1">
                  <c:v>179594.73145799999</c:v>
                </c:pt>
                <c:pt idx="2">
                  <c:v>190905.88326</c:v>
                </c:pt>
                <c:pt idx="3">
                  <c:v>232825.49815200001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DE-4756-A1C9-4DED5AFCB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786448"/>
        <c:axId val="174559272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Dec!$B$118:$C$118</c15:sqref>
                        </c15:formulaRef>
                      </c:ext>
                    </c:extLst>
                    <c:strCache>
                      <c:ptCount val="2"/>
                      <c:pt idx="0">
                        <c:v>Total Produced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Dec!$D$114:$G$114</c15:sqref>
                        </c15:formulaRef>
                      </c:ext>
                    </c:extLst>
                    <c:strCache>
                      <c:ptCount val="4"/>
                      <c:pt idx="0">
                        <c:v>WEEK 1
(Dec1-7)</c:v>
                      </c:pt>
                      <c:pt idx="1">
                        <c:v>WEEK 2
(Dec8-14)</c:v>
                      </c:pt>
                      <c:pt idx="2">
                        <c:v>WEEk 3
(Dec15-21)</c:v>
                      </c:pt>
                      <c:pt idx="3">
                        <c:v>WEEk 4
(Dec22-31)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Dec!$D$118:$G$118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97252</c:v>
                      </c:pt>
                      <c:pt idx="1">
                        <c:v>123142</c:v>
                      </c:pt>
                      <c:pt idx="2">
                        <c:v>272229.33</c:v>
                      </c:pt>
                      <c:pt idx="3">
                        <c:v>314902.31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400-4913-A782-1CEE091C502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Dec!$B$119:$C$119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Dec!$D$114:$G$114</c15:sqref>
                        </c15:formulaRef>
                      </c:ext>
                    </c:extLst>
                    <c:strCache>
                      <c:ptCount val="4"/>
                      <c:pt idx="0">
                        <c:v>WEEK 1
(Dec1-7)</c:v>
                      </c:pt>
                      <c:pt idx="1">
                        <c:v>WEEK 2
(Dec8-14)</c:v>
                      </c:pt>
                      <c:pt idx="2">
                        <c:v>WEEk 3
(Dec15-21)</c:v>
                      </c:pt>
                      <c:pt idx="3">
                        <c:v>WEEk 4
(Dec22-31)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Dec!$D$119:$G$119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97252</c:v>
                      </c:pt>
                      <c:pt idx="1">
                        <c:v>220394</c:v>
                      </c:pt>
                      <c:pt idx="2">
                        <c:v>492623.33</c:v>
                      </c:pt>
                      <c:pt idx="3">
                        <c:v>807525.64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400-4913-A782-1CEE091C5023}"/>
                  </c:ext>
                </c:extLst>
              </c15:ser>
            </c15:filteredLineSeries>
          </c:ext>
        </c:extLst>
      </c:lineChart>
      <c:catAx>
        <c:axId val="17237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92720"/>
        <c:crosses val="autoZero"/>
        <c:auto val="1"/>
        <c:lblAlgn val="ctr"/>
        <c:lblOffset val="100"/>
        <c:noMultiLvlLbl val="1"/>
      </c:catAx>
      <c:valAx>
        <c:axId val="17455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(Nm3)</a:t>
                </a:r>
              </a:p>
            </c:rich>
          </c:tx>
          <c:layout>
            <c:manualLayout>
              <c:xMode val="edge"/>
              <c:yMode val="edge"/>
              <c:x val="0.1572054197817343"/>
              <c:y val="0.21039484932677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86448"/>
        <c:crosses val="autoZero"/>
        <c:crossBetween val="between"/>
        <c:majorUnit val="150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7081569440655"/>
          <c:y val="0.12528405766264164"/>
          <c:w val="0.77286261321270178"/>
          <c:h val="0.59436211738049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Dec!$B$78:$C$78</c:f>
              <c:strCache>
                <c:ptCount val="2"/>
                <c:pt idx="0">
                  <c:v>Delivered</c:v>
                </c:pt>
                <c:pt idx="1">
                  <c:v>(kWh)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Dec!$D$77:$G$77</c:f>
              <c:strCache>
                <c:ptCount val="4"/>
                <c:pt idx="0">
                  <c:v>WEEK 1
(Dec1-7)</c:v>
                </c:pt>
                <c:pt idx="1">
                  <c:v>WEEK 2
(Dec8-14)</c:v>
                </c:pt>
                <c:pt idx="2">
                  <c:v>WEEk 3
(Dec15-21)</c:v>
                </c:pt>
                <c:pt idx="3">
                  <c:v>WEEk 4
(Dec22-31)</c:v>
                </c:pt>
              </c:strCache>
            </c:strRef>
          </c:cat>
          <c:val>
            <c:numRef>
              <c:f>Dec!$D$78:$G$78</c:f>
              <c:numCache>
                <c:formatCode>_-* #,##0_-;\-* #,##0_-;_-* "-"??_-;_-@_-</c:formatCode>
                <c:ptCount val="4"/>
                <c:pt idx="0">
                  <c:v>207561</c:v>
                </c:pt>
                <c:pt idx="1">
                  <c:v>204464</c:v>
                </c:pt>
                <c:pt idx="2">
                  <c:v>207039</c:v>
                </c:pt>
                <c:pt idx="3">
                  <c:v>198873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5-4628-9FC1-4A79F102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05608704"/>
        <c:axId val="305574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Dec!$B$79:$C$79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(kWh)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Dec!$D$77:$G$77</c15:sqref>
                        </c15:formulaRef>
                      </c:ext>
                    </c:extLst>
                    <c:strCache>
                      <c:ptCount val="4"/>
                      <c:pt idx="0">
                        <c:v>WEEK 1
(Dec1-7)</c:v>
                      </c:pt>
                      <c:pt idx="1">
                        <c:v>WEEK 2
(Dec8-14)</c:v>
                      </c:pt>
                      <c:pt idx="2">
                        <c:v>WEEk 3
(Dec15-21)</c:v>
                      </c:pt>
                      <c:pt idx="3">
                        <c:v>WEEk 4
(Dec22-31)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Dec!$D$79:$G$79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207561</c:v>
                      </c:pt>
                      <c:pt idx="1">
                        <c:v>412025</c:v>
                      </c:pt>
                      <c:pt idx="2">
                        <c:v>619064</c:v>
                      </c:pt>
                      <c:pt idx="3">
                        <c:v>817937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A875-4628-9FC1-4A79F10226C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Dec!$B$80:$C$80</c:f>
              <c:strCache>
                <c:ptCount val="2"/>
                <c:pt idx="0">
                  <c:v>Target to Reach SCA Minimum </c:v>
                </c:pt>
                <c:pt idx="1">
                  <c:v>(kWh)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Dec!$D$77:$G$77</c:f>
              <c:strCache>
                <c:ptCount val="4"/>
                <c:pt idx="0">
                  <c:v>WEEK 1
(Dec1-7)</c:v>
                </c:pt>
                <c:pt idx="1">
                  <c:v>WEEK 2
(Dec8-14)</c:v>
                </c:pt>
                <c:pt idx="2">
                  <c:v>WEEk 3
(Dec15-21)</c:v>
                </c:pt>
                <c:pt idx="3">
                  <c:v>WEEk 4
(Dec22-31)</c:v>
                </c:pt>
              </c:strCache>
            </c:strRef>
          </c:cat>
          <c:val>
            <c:numRef>
              <c:f>Dec!$D$80:$G$80</c:f>
              <c:numCache>
                <c:formatCode>_-* #,##0_-;\-* #,##0_-;_-* "-"??_-;_-@_-</c:formatCode>
                <c:ptCount val="4"/>
                <c:pt idx="0">
                  <c:v>288489.71428571426</c:v>
                </c:pt>
                <c:pt idx="1">
                  <c:v>315465.95238095237</c:v>
                </c:pt>
                <c:pt idx="2">
                  <c:v>370966.92857142852</c:v>
                </c:pt>
                <c:pt idx="3">
                  <c:v>534894.85714285704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875-4628-9FC1-4A79F102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08704"/>
        <c:axId val="305574416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Dec!$B$81:$C$81</c15:sqref>
                        </c15:formulaRef>
                      </c:ext>
                    </c:extLst>
                    <c:strCache>
                      <c:ptCount val="2"/>
                      <c:pt idx="0">
                        <c:v>Target to Reach SCA Minimum </c:v>
                      </c:pt>
                      <c:pt idx="1">
                        <c:v>(kWh)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4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Dec!$D$77:$G$77</c15:sqref>
                        </c15:formulaRef>
                      </c:ext>
                    </c:extLst>
                    <c:strCache>
                      <c:ptCount val="4"/>
                      <c:pt idx="0">
                        <c:v>WEEK 1
(Dec1-7)</c:v>
                      </c:pt>
                      <c:pt idx="1">
                        <c:v>WEEK 2
(Dec8-14)</c:v>
                      </c:pt>
                      <c:pt idx="2">
                        <c:v>WEEk 3
(Dec15-21)</c:v>
                      </c:pt>
                      <c:pt idx="3">
                        <c:v>WEEk 4
(Dec22-31)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Dec!$D$81:$G$81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3F7-4639-9AF5-75646726818B}"/>
                  </c:ext>
                </c:extLst>
              </c15:ser>
            </c15:filteredLineSeries>
          </c:ext>
        </c:extLst>
      </c:lineChart>
      <c:catAx>
        <c:axId val="3056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4416"/>
        <c:crosses val="autoZero"/>
        <c:auto val="1"/>
        <c:lblAlgn val="ctr"/>
        <c:lblOffset val="100"/>
        <c:noMultiLvlLbl val="1"/>
      </c:catAx>
      <c:valAx>
        <c:axId val="305574416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kWh</a:t>
                </a:r>
              </a:p>
            </c:rich>
          </c:tx>
          <c:layout>
            <c:manualLayout>
              <c:xMode val="edge"/>
              <c:yMode val="edge"/>
              <c:x val="0.16530445088964488"/>
              <c:y val="0.35705801198293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08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69028871391076"/>
          <c:y val="8.5110331300092601E-2"/>
          <c:w val="0.63956741004774031"/>
          <c:h val="0.5909229120624055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Dec!$B$132:$C$132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7A6-4BC6-9390-3BEE9E7DA5A2}"/>
              </c:ext>
            </c:extLst>
          </c:dPt>
          <c:cat>
            <c:strRef>
              <c:f>Dec!$D$128:$G$128</c:f>
              <c:strCache>
                <c:ptCount val="4"/>
                <c:pt idx="0">
                  <c:v>WEEK 1
(Dec1-7)</c:v>
                </c:pt>
                <c:pt idx="1">
                  <c:v>WEEK 2
(Dec8-14)</c:v>
                </c:pt>
                <c:pt idx="2">
                  <c:v>WEEk 3
(Dec15-21)</c:v>
                </c:pt>
                <c:pt idx="3">
                  <c:v>WEEk 4
(Dec22-31)</c:v>
                </c:pt>
              </c:strCache>
            </c:strRef>
          </c:cat>
          <c:val>
            <c:numRef>
              <c:f>Dec!$D$132:$G$132</c:f>
              <c:numCache>
                <c:formatCode>_-* #,##0_-;\-* #,##0_-;_-* "-"??_-;_-@_-</c:formatCode>
                <c:ptCount val="4"/>
                <c:pt idx="0">
                  <c:v>194805.66999999998</c:v>
                </c:pt>
                <c:pt idx="1">
                  <c:v>219240.08000000002</c:v>
                </c:pt>
                <c:pt idx="2">
                  <c:v>272229.33</c:v>
                </c:pt>
                <c:pt idx="3">
                  <c:v>314902.31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A6-4BC6-9390-3BEE9E7DA5A2}"/>
            </c:ext>
          </c:extLst>
        </c:ser>
        <c:ser>
          <c:idx val="1"/>
          <c:order val="1"/>
          <c:tx>
            <c:strRef>
              <c:f>Dec!$B$131:$C$131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Dec!$D$128:$G$128</c:f>
              <c:strCache>
                <c:ptCount val="4"/>
                <c:pt idx="0">
                  <c:v>WEEK 1
(Dec1-7)</c:v>
                </c:pt>
                <c:pt idx="1">
                  <c:v>WEEK 2
(Dec8-14)</c:v>
                </c:pt>
                <c:pt idx="2">
                  <c:v>WEEk 3
(Dec15-21)</c:v>
                </c:pt>
                <c:pt idx="3">
                  <c:v>WEEk 4
(Dec22-31)</c:v>
                </c:pt>
              </c:strCache>
            </c:strRef>
          </c:cat>
          <c:val>
            <c:numRef>
              <c:f>Dec!$D$131:$G$131</c:f>
              <c:numCache>
                <c:formatCode>_-* #,##0_-;\-* #,##0_-;_-* "-"??_-;_-@_-</c:formatCode>
                <c:ptCount val="4"/>
                <c:pt idx="0">
                  <c:v>211393</c:v>
                </c:pt>
                <c:pt idx="1">
                  <c:v>229016.49</c:v>
                </c:pt>
                <c:pt idx="2">
                  <c:v>243440.30000000002</c:v>
                </c:pt>
                <c:pt idx="3">
                  <c:v>296895.56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A6-4BC6-9390-3BEE9E7DA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Dec!$B$130:$C$130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Dec!$D$128:$G$128</c15:sqref>
                        </c15:formulaRef>
                      </c:ext>
                    </c:extLst>
                    <c:strCache>
                      <c:ptCount val="4"/>
                      <c:pt idx="0">
                        <c:v>WEEK 1
(Dec1-7)</c:v>
                      </c:pt>
                      <c:pt idx="1">
                        <c:v>WEEK 2
(Dec8-14)</c:v>
                      </c:pt>
                      <c:pt idx="2">
                        <c:v>WEEk 3
(Dec15-21)</c:v>
                      </c:pt>
                      <c:pt idx="3">
                        <c:v>WEEk 4
(Dec22-31)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Dec!$D$130:$G$130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2093</c:v>
                      </c:pt>
                      <c:pt idx="1">
                        <c:v>2267.4899999999998</c:v>
                      </c:pt>
                      <c:pt idx="2">
                        <c:v>2410.3000000000002</c:v>
                      </c:pt>
                      <c:pt idx="3">
                        <c:v>2939.56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0-77A6-4BC6-9390-3BEE9E7DA5A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Dec!$B$133:$C$133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Dec!$D$128:$G$128</c:f>
              <c:strCache>
                <c:ptCount val="4"/>
                <c:pt idx="0">
                  <c:v>WEEK 1
(Dec1-7)</c:v>
                </c:pt>
                <c:pt idx="1">
                  <c:v>WEEK 2
(Dec8-14)</c:v>
                </c:pt>
                <c:pt idx="2">
                  <c:v>WEEk 3
(Dec15-21)</c:v>
                </c:pt>
                <c:pt idx="3">
                  <c:v>WEEk 4
(Dec22-31)</c:v>
                </c:pt>
              </c:strCache>
            </c:strRef>
          </c:cat>
          <c:val>
            <c:numRef>
              <c:f>Dec!$D$133:$G$133</c:f>
              <c:numCache>
                <c:formatCode>_-* #,##0_-;\-* #,##0_-;_-* "-"??_-;_-@_-</c:formatCode>
                <c:ptCount val="4"/>
                <c:pt idx="0">
                  <c:v>93.074854276158618</c:v>
                </c:pt>
                <c:pt idx="1">
                  <c:v>96.688444050469926</c:v>
                </c:pt>
                <c:pt idx="2">
                  <c:v>112.94416877567107</c:v>
                </c:pt>
                <c:pt idx="3">
                  <c:v>107.12566166365035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7A6-4BC6-9390-3BEE9E7DA5A2}"/>
            </c:ext>
          </c:extLst>
        </c:ser>
        <c:ser>
          <c:idx val="4"/>
          <c:order val="4"/>
          <c:tx>
            <c:strRef>
              <c:f>Dec!$B$134:$C$134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Dec!$D$128:$G$128</c:f>
              <c:strCache>
                <c:ptCount val="4"/>
                <c:pt idx="0">
                  <c:v>WEEK 1
(Dec1-7)</c:v>
                </c:pt>
                <c:pt idx="1">
                  <c:v>WEEK 2
(Dec8-14)</c:v>
                </c:pt>
                <c:pt idx="2">
                  <c:v>WEEk 3
(Dec15-21)</c:v>
                </c:pt>
                <c:pt idx="3">
                  <c:v>WEEk 4
(Dec22-31)</c:v>
                </c:pt>
              </c:strCache>
            </c:strRef>
          </c:cat>
          <c:val>
            <c:numRef>
              <c:f>Dec!$D$134:$G$134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7A6-4BC6-9390-3BEE9E7DA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253760"/>
        <c:axId val="740266720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baseline="0"/>
                  <a:t>(</a:t>
                </a:r>
                <a:r>
                  <a:rPr lang="en-PH"/>
                  <a:t>Nm3)</a:t>
                </a:r>
              </a:p>
            </c:rich>
          </c:tx>
          <c:layout>
            <c:manualLayout>
              <c:xMode val="edge"/>
              <c:yMode val="edge"/>
              <c:x val="0.13632107956496156"/>
              <c:y val="0.309808368406482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  <c:majorUnit val="20000"/>
      </c:valAx>
      <c:valAx>
        <c:axId val="740266720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53760"/>
        <c:crosses val="max"/>
        <c:crossBetween val="between"/>
      </c:valAx>
      <c:catAx>
        <c:axId val="740253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02667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Biogas Conversion (Yield) - Factoring the DS Content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94307296004804"/>
          <c:y val="7.2393844182113795E-2"/>
          <c:w val="0.64755261890531735"/>
          <c:h val="0.595684440389846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Dec!$B$174:$C$174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Dec!$D$128:$G$128</c:f>
              <c:strCache>
                <c:ptCount val="4"/>
                <c:pt idx="0">
                  <c:v>WEEK 1
(Dec1-7)</c:v>
                </c:pt>
                <c:pt idx="1">
                  <c:v>WEEK 2
(Dec8-14)</c:v>
                </c:pt>
                <c:pt idx="2">
                  <c:v>WEEk 3
(Dec15-21)</c:v>
                </c:pt>
                <c:pt idx="3">
                  <c:v>WEEk 4
(Dec22-31)</c:v>
                </c:pt>
              </c:strCache>
            </c:strRef>
          </c:cat>
          <c:val>
            <c:numRef>
              <c:f>Dec!$D$174:$G$174</c:f>
              <c:numCache>
                <c:formatCode>_-* #,##0_-;\-* #,##0_-;_-* "-"??_-;_-@_-</c:formatCode>
                <c:ptCount val="4"/>
                <c:pt idx="0">
                  <c:v>194805.66999999998</c:v>
                </c:pt>
                <c:pt idx="1">
                  <c:v>219240.08000000002</c:v>
                </c:pt>
                <c:pt idx="2">
                  <c:v>272229.33</c:v>
                </c:pt>
                <c:pt idx="3">
                  <c:v>314902.31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4F-47E7-80BC-536F9D482C3F}"/>
            </c:ext>
          </c:extLst>
        </c:ser>
        <c:ser>
          <c:idx val="1"/>
          <c:order val="1"/>
          <c:tx>
            <c:strRef>
              <c:f>Dec!$B$173:$C$173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Dec!$D$128:$G$128</c:f>
              <c:strCache>
                <c:ptCount val="4"/>
                <c:pt idx="0">
                  <c:v>WEEK 1
(Dec1-7)</c:v>
                </c:pt>
                <c:pt idx="1">
                  <c:v>WEEK 2
(Dec8-14)</c:v>
                </c:pt>
                <c:pt idx="2">
                  <c:v>WEEk 3
(Dec15-21)</c:v>
                </c:pt>
                <c:pt idx="3">
                  <c:v>WEEk 4
(Dec22-31)</c:v>
                </c:pt>
              </c:strCache>
            </c:strRef>
          </c:cat>
          <c:val>
            <c:numRef>
              <c:f>Dec!$D$173:$G$173</c:f>
              <c:numCache>
                <c:formatCode>_-* #,##0_-;\-* #,##0_-;_-* "-"??_-;_-@_-</c:formatCode>
                <c:ptCount val="4"/>
                <c:pt idx="0">
                  <c:v>202091.70799999998</c:v>
                </c:pt>
                <c:pt idx="1">
                  <c:v>215229.69730199996</c:v>
                </c:pt>
                <c:pt idx="2">
                  <c:v>238003.46663333333</c:v>
                </c:pt>
                <c:pt idx="3">
                  <c:v>284228.01610666665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4F-47E7-80BC-536F9D482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Dec!$B$130:$C$130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Dec!$D$128:$G$128</c15:sqref>
                        </c15:formulaRef>
                      </c:ext>
                    </c:extLst>
                    <c:strCache>
                      <c:ptCount val="4"/>
                      <c:pt idx="0">
                        <c:v>WEEK 1
(Dec1-7)</c:v>
                      </c:pt>
                      <c:pt idx="1">
                        <c:v>WEEK 2
(Dec8-14)</c:v>
                      </c:pt>
                      <c:pt idx="2">
                        <c:v>WEEk 3
(Dec15-21)</c:v>
                      </c:pt>
                      <c:pt idx="3">
                        <c:v>WEEk 4
(Dec22-31)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Dec!$D$130:$G$130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2093</c:v>
                      </c:pt>
                      <c:pt idx="1">
                        <c:v>2267.4899999999998</c:v>
                      </c:pt>
                      <c:pt idx="2">
                        <c:v>2410.3000000000002</c:v>
                      </c:pt>
                      <c:pt idx="3">
                        <c:v>2939.56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0-A94F-47E7-80BC-536F9D482C3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Dec!$B$176:$C$176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2.0278921618298227E-2"/>
                  <c:y val="-3.1348240859611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4F-47E7-80BC-536F9D482C3F}"/>
                </c:ext>
              </c:extLst>
            </c:dLbl>
            <c:dLbl>
              <c:idx val="1"/>
              <c:layout>
                <c:manualLayout>
                  <c:x val="-1.3075589999027718E-3"/>
                  <c:y val="-2.4146229705798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94F-47E7-80BC-536F9D482C3F}"/>
                </c:ext>
              </c:extLst>
            </c:dLbl>
            <c:dLbl>
              <c:idx val="2"/>
              <c:layout>
                <c:manualLayout>
                  <c:x val="-2.4536084465953872E-2"/>
                  <c:y val="-2.6102545666180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94F-47E7-80BC-536F9D482C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Dec!$D$128:$G$128</c:f>
              <c:strCache>
                <c:ptCount val="4"/>
                <c:pt idx="0">
                  <c:v>WEEK 1
(Dec1-7)</c:v>
                </c:pt>
                <c:pt idx="1">
                  <c:v>WEEK 2
(Dec8-14)</c:v>
                </c:pt>
                <c:pt idx="2">
                  <c:v>WEEk 3
(Dec15-21)</c:v>
                </c:pt>
                <c:pt idx="3">
                  <c:v>WEEk 4
(Dec22-31)</c:v>
                </c:pt>
              </c:strCache>
            </c:strRef>
          </c:cat>
          <c:val>
            <c:numRef>
              <c:f>Dec!$D$176:$G$176</c:f>
              <c:numCache>
                <c:formatCode>_-* #,##0_-;\-* #,##0_-;_-* "-"??_-;_-@_-</c:formatCode>
                <c:ptCount val="4"/>
                <c:pt idx="0">
                  <c:v>97.358634180082234</c:v>
                </c:pt>
                <c:pt idx="1">
                  <c:v>102.88193663595439</c:v>
                </c:pt>
                <c:pt idx="2">
                  <c:v>115.52420945346515</c:v>
                </c:pt>
                <c:pt idx="3">
                  <c:v>111.90006441189104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94F-47E7-80BC-536F9D482C3F}"/>
            </c:ext>
          </c:extLst>
        </c:ser>
        <c:ser>
          <c:idx val="4"/>
          <c:order val="4"/>
          <c:tx>
            <c:strRef>
              <c:f>Dec!$B$177:$C$177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Dec!$D$128:$G$128</c:f>
              <c:strCache>
                <c:ptCount val="4"/>
                <c:pt idx="0">
                  <c:v>WEEK 1
(Dec1-7)</c:v>
                </c:pt>
                <c:pt idx="1">
                  <c:v>WEEK 2
(Dec8-14)</c:v>
                </c:pt>
                <c:pt idx="2">
                  <c:v>WEEk 3
(Dec15-21)</c:v>
                </c:pt>
                <c:pt idx="3">
                  <c:v>WEEk 4
(Dec22-31)</c:v>
                </c:pt>
              </c:strCache>
            </c:strRef>
          </c:cat>
          <c:val>
            <c:numRef>
              <c:f>Dec!$D$177:$G$177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94F-47E7-80BC-536F9D482C3F}"/>
            </c:ext>
          </c:extLst>
        </c:ser>
        <c:ser>
          <c:idx val="5"/>
          <c:order val="5"/>
          <c:tx>
            <c:strRef>
              <c:f>Dec!$B$175</c:f>
              <c:strCache>
                <c:ptCount val="1"/>
                <c:pt idx="0">
                  <c:v>%DS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Dec!$D$175:$G$175</c:f>
              <c:numCache>
                <c:formatCode>_(* #,##0.00_);_(* \(#,##0.00\);_(* "-"??_);_(@_)</c:formatCode>
                <c:ptCount val="4"/>
                <c:pt idx="0">
                  <c:v>14.34</c:v>
                </c:pt>
                <c:pt idx="1">
                  <c:v>14.097</c:v>
                </c:pt>
                <c:pt idx="2">
                  <c:v>14.664999999999999</c:v>
                </c:pt>
                <c:pt idx="3">
                  <c:v>14.36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94F-47E7-80BC-536F9D482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  <c:max val="3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</a:t>
                </a:r>
              </a:p>
            </c:rich>
          </c:tx>
          <c:layout>
            <c:manualLayout>
              <c:xMode val="edge"/>
              <c:yMode val="edge"/>
              <c:x val="0.1338963604146387"/>
              <c:y val="0.38583079407906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  <c:max val="12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Nm3/ton</a:t>
                </a:r>
              </a:p>
            </c:rich>
          </c:tx>
          <c:layout>
            <c:manualLayout>
              <c:xMode val="edge"/>
              <c:yMode val="edge"/>
              <c:x val="0.95544679367650542"/>
              <c:y val="0.412100607226448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  <c:majorUnit val="30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037413340212502"/>
          <c:y val="0.11640982453860035"/>
          <c:w val="0.74370088205263363"/>
          <c:h val="0.45822964421204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Jan!$B$36:$C$36</c:f>
              <c:strCache>
                <c:ptCount val="2"/>
                <c:pt idx="0">
                  <c:v>Delivered (DUVO)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Jan!$D$34:$G$34</c:f>
              <c:strCache>
                <c:ptCount val="4"/>
                <c:pt idx="0">
                  <c:v>WEEK 1
(Jan1-11)</c:v>
                </c:pt>
                <c:pt idx="1">
                  <c:v>WEEK 2
(Jan12-18)</c:v>
                </c:pt>
                <c:pt idx="2">
                  <c:v>WEEk 3
(Jan19-25)</c:v>
                </c:pt>
                <c:pt idx="3">
                  <c:v>WEEk 4
(Jan26-31)</c:v>
                </c:pt>
              </c:strCache>
            </c:strRef>
          </c:cat>
          <c:val>
            <c:numRef>
              <c:f>Jan!$D$36:$G$36</c:f>
              <c:numCache>
                <c:formatCode>_-* #,##0_-;\-* #,##0_-;_-* "-"??_-;_-@_-</c:formatCode>
                <c:ptCount val="4"/>
                <c:pt idx="0">
                  <c:v>3453.98</c:v>
                </c:pt>
                <c:pt idx="1">
                  <c:v>1987.72</c:v>
                </c:pt>
                <c:pt idx="2">
                  <c:v>2311.7600000000002</c:v>
                </c:pt>
                <c:pt idx="3">
                  <c:v>1835.64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5-4521-98DE-27DA25C25904}"/>
            </c:ext>
          </c:extLst>
        </c:ser>
        <c:ser>
          <c:idx val="2"/>
          <c:order val="1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'Mar actual FM vol'!$D$32:$H$32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'Mar actual FM vol'!$D$37:$H$37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2565-4521-98DE-27DA25C25904}"/>
            </c:ext>
          </c:extLst>
        </c:ser>
        <c:ser>
          <c:idx val="5"/>
          <c:order val="4"/>
          <c:tx>
            <c:strRef>
              <c:f>Jan!$B$37</c:f>
              <c:strCache>
                <c:ptCount val="1"/>
                <c:pt idx="0">
                  <c:v>Diverted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Jan!$D$37:$G$37</c:f>
              <c:numCache>
                <c:formatCode>_-* #,##0.0_-;\-* #,##0.0_-;_-* "-"??_-;_-@_-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2565-4521-98DE-27DA25C25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"/>
        <c:axId val="1931926304"/>
        <c:axId val="1732677184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Jan!$B$40:$C$40</c15:sqref>
                        </c15:formulaRef>
                      </c:ext>
                    </c:extLst>
                    <c:strCache>
                      <c:ptCount val="2"/>
                      <c:pt idx="0">
                        <c:v>Monthly Accumulative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Jan!$D$34:$G$34</c15:sqref>
                        </c15:formulaRef>
                      </c:ext>
                    </c:extLst>
                    <c:strCache>
                      <c:ptCount val="4"/>
                      <c:pt idx="0">
                        <c:v>WEEK 1
(Jan1-11)</c:v>
                      </c:pt>
                      <c:pt idx="1">
                        <c:v>WEEK 2
(Jan12-18)</c:v>
                      </c:pt>
                      <c:pt idx="2">
                        <c:v>WEEk 3
(Jan19-25)</c:v>
                      </c:pt>
                      <c:pt idx="3">
                        <c:v>WEEk 4
(Jan26-31)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Jan!$D$40:$G$40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3453.98</c:v>
                      </c:pt>
                      <c:pt idx="1">
                        <c:v>5441.7</c:v>
                      </c:pt>
                      <c:pt idx="2">
                        <c:v>7753.46</c:v>
                      </c:pt>
                      <c:pt idx="3">
                        <c:v>9589.1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2565-4521-98DE-27DA25C25904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3"/>
          <c:tx>
            <c:strRef>
              <c:f>Jan!$B$41:$C$41</c:f>
              <c:strCache>
                <c:ptCount val="2"/>
                <c:pt idx="0">
                  <c:v>Target to Reach SCA Minimum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Jan!$D$34:$G$34</c:f>
              <c:strCache>
                <c:ptCount val="4"/>
                <c:pt idx="0">
                  <c:v>WEEK 1
(Jan1-11)</c:v>
                </c:pt>
                <c:pt idx="1">
                  <c:v>WEEK 2
(Jan12-18)</c:v>
                </c:pt>
                <c:pt idx="2">
                  <c:v>WEEk 3
(Jan19-25)</c:v>
                </c:pt>
                <c:pt idx="3">
                  <c:v>WEEk 4
(Jan26-31)</c:v>
                </c:pt>
              </c:strCache>
            </c:strRef>
          </c:cat>
          <c:val>
            <c:numRef>
              <c:f>Jan!$D$41:$G$41</c:f>
              <c:numCache>
                <c:formatCode>_-* #,##0_-;\-* #,##0_-;_-* "-"??_-;_-@_-</c:formatCode>
                <c:ptCount val="4"/>
                <c:pt idx="0">
                  <c:v>3685.8763440860212</c:v>
                </c:pt>
                <c:pt idx="1">
                  <c:v>3917.7726881720423</c:v>
                </c:pt>
                <c:pt idx="2">
                  <c:v>5615.9290322580646</c:v>
                </c:pt>
                <c:pt idx="3">
                  <c:v>8569.7066666666651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565-4521-98DE-27DA25C25904}"/>
            </c:ext>
          </c:extLst>
        </c:ser>
        <c:ser>
          <c:idx val="6"/>
          <c:order val="5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'Mar actual FM vol'!$D$37:$H$37</c:f>
            </c:numRef>
          </c:val>
          <c:smooth val="0"/>
          <c:extLst>
            <c:ext xmlns:c16="http://schemas.microsoft.com/office/drawing/2014/chart" uri="{C3380CC4-5D6E-409C-BE32-E72D297353CC}">
              <c16:uniqueId val="{00000004-2565-4521-98DE-27DA25C25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6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931926304"/>
        <c:axId val="1732677184"/>
      </c:lineChart>
      <c:catAx>
        <c:axId val="193192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77184"/>
        <c:crosses val="autoZero"/>
        <c:auto val="1"/>
        <c:lblAlgn val="ctr"/>
        <c:lblOffset val="100"/>
        <c:noMultiLvlLbl val="1"/>
      </c:catAx>
      <c:valAx>
        <c:axId val="1732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MT</a:t>
                </a:r>
              </a:p>
            </c:rich>
          </c:tx>
          <c:layout>
            <c:manualLayout>
              <c:xMode val="edge"/>
              <c:yMode val="edge"/>
              <c:x val="0.19272070118622903"/>
              <c:y val="0.24359459230956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263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279257464172775"/>
          <c:y val="0.10060281860125968"/>
          <c:w val="0.67317823439612146"/>
          <c:h val="0.349919226078976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Jan!$B$115:$C$115</c:f>
              <c:strCache>
                <c:ptCount val="2"/>
                <c:pt idx="0">
                  <c:v>Delivered to Boilers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Jan!$D$114:$G$114</c:f>
              <c:strCache>
                <c:ptCount val="4"/>
                <c:pt idx="0">
                  <c:v>WEEK 1
(Jan1-11)</c:v>
                </c:pt>
                <c:pt idx="1">
                  <c:v>WEEK 2
(Jan12-18)</c:v>
                </c:pt>
                <c:pt idx="2">
                  <c:v>WEEk 3
(Jan19-25)</c:v>
                </c:pt>
                <c:pt idx="3">
                  <c:v>WEEk 4
(Jan26-31)</c:v>
                </c:pt>
              </c:strCache>
            </c:strRef>
          </c:cat>
          <c:val>
            <c:numRef>
              <c:f>Jan!$D$115:$G$115</c:f>
              <c:numCache>
                <c:formatCode>_-* #,##0_-;\-* #,##0_-;_-* "-"??_-;_-@_-</c:formatCode>
                <c:ptCount val="4"/>
                <c:pt idx="0">
                  <c:v>285984</c:v>
                </c:pt>
                <c:pt idx="1">
                  <c:v>182163</c:v>
                </c:pt>
                <c:pt idx="2">
                  <c:v>145287</c:v>
                </c:pt>
                <c:pt idx="3">
                  <c:v>155496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3-411E-A6C3-11480B683E92}"/>
            </c:ext>
          </c:extLst>
        </c:ser>
        <c:ser>
          <c:idx val="1"/>
          <c:order val="1"/>
          <c:tx>
            <c:strRef>
              <c:f>Jan!$B$117:$C$117</c:f>
              <c:strCache>
                <c:ptCount val="2"/>
                <c:pt idx="0">
                  <c:v>Flared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Jan!$D$114:$G$114</c:f>
              <c:strCache>
                <c:ptCount val="4"/>
                <c:pt idx="0">
                  <c:v>WEEK 1
(Jan1-11)</c:v>
                </c:pt>
                <c:pt idx="1">
                  <c:v>WEEK 2
(Jan12-18)</c:v>
                </c:pt>
                <c:pt idx="2">
                  <c:v>WEEk 3
(Jan19-25)</c:v>
                </c:pt>
                <c:pt idx="3">
                  <c:v>WEEk 4
(Jan26-31)</c:v>
                </c:pt>
              </c:strCache>
            </c:strRef>
          </c:cat>
          <c:val>
            <c:numRef>
              <c:f>Jan!$D$117:$G$117</c:f>
              <c:numCache>
                <c:formatCode>_-* #,##0_-;\-* #,##0_-;_-* "-"??_-;_-@_-</c:formatCode>
                <c:ptCount val="4"/>
                <c:pt idx="0">
                  <c:v>12742</c:v>
                </c:pt>
                <c:pt idx="1">
                  <c:v>19766</c:v>
                </c:pt>
                <c:pt idx="2">
                  <c:v>7119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83-411E-A6C3-11480B683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786448"/>
        <c:axId val="1745592720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Jan!$B$116:$C$116</c15:sqref>
                        </c15:formulaRef>
                      </c:ext>
                    </c:extLst>
                    <c:strCache>
                      <c:ptCount val="2"/>
                      <c:pt idx="0">
                        <c:v>Delivered to Engine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Jan!$D$116:$G$116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110401.12</c:v>
                      </c:pt>
                      <c:pt idx="1">
                        <c:v>25138.42</c:v>
                      </c:pt>
                      <c:pt idx="2">
                        <c:v>81411.049999999988</c:v>
                      </c:pt>
                      <c:pt idx="3">
                        <c:v>63351.299999999996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DE83-411E-A6C3-11480B683E9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Jan!$B$121:$C$121</c:f>
              <c:strCache>
                <c:ptCount val="2"/>
                <c:pt idx="0">
                  <c:v>Target to Reach SCA min</c:v>
                </c:pt>
                <c:pt idx="1">
                  <c:v>(Nm3)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Jan!$D$114:$G$114</c:f>
              <c:strCache>
                <c:ptCount val="4"/>
                <c:pt idx="0">
                  <c:v>WEEK 1
(Jan1-11)</c:v>
                </c:pt>
                <c:pt idx="1">
                  <c:v>WEEK 2
(Jan12-18)</c:v>
                </c:pt>
                <c:pt idx="2">
                  <c:v>WEEk 3
(Jan19-25)</c:v>
                </c:pt>
                <c:pt idx="3">
                  <c:v>WEEk 4
(Jan26-31)</c:v>
                </c:pt>
              </c:strCache>
            </c:strRef>
          </c:cat>
          <c:val>
            <c:numRef>
              <c:f>Jan!$D$121:$G$121</c:f>
              <c:numCache>
                <c:formatCode>_-* #,##0_-;\-* #,##0_-;_-* "-"??_-;_-@_-</c:formatCode>
                <c:ptCount val="4"/>
                <c:pt idx="0">
                  <c:v>325297.66666666669</c:v>
                </c:pt>
                <c:pt idx="1">
                  <c:v>334154.88888888893</c:v>
                </c:pt>
                <c:pt idx="2">
                  <c:v>400267.83333333337</c:v>
                </c:pt>
                <c:pt idx="3">
                  <c:v>566718.6166666667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83-411E-A6C3-11480B683E92}"/>
            </c:ext>
          </c:extLst>
        </c:ser>
        <c:ser>
          <c:idx val="6"/>
          <c:order val="6"/>
          <c:tx>
            <c:strRef>
              <c:f>Jan!$B$120:$C$120</c:f>
              <c:strCache>
                <c:ptCount val="2"/>
                <c:pt idx="0">
                  <c:v>Target Gas based on Delivered Substrates</c:v>
                </c:pt>
                <c:pt idx="1">
                  <c:v>(Nm3)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Jan!$D$114:$G$114</c:f>
              <c:strCache>
                <c:ptCount val="4"/>
                <c:pt idx="0">
                  <c:v>WEEK 1
(Jan1-11)</c:v>
                </c:pt>
                <c:pt idx="1">
                  <c:v>WEEK 2
(Jan12-18)</c:v>
                </c:pt>
                <c:pt idx="2">
                  <c:v>WEEk 3
(Jan19-25)</c:v>
                </c:pt>
                <c:pt idx="3">
                  <c:v>WEEk 4
(Jan26-31)</c:v>
                </c:pt>
              </c:strCache>
            </c:strRef>
          </c:cat>
          <c:val>
            <c:numRef>
              <c:f>Jan!$D$120:$G$120</c:f>
              <c:numCache>
                <c:formatCode>_-* #,##0_-;\-* #,##0_-;_-* "-"??_-;_-@_-</c:formatCode>
                <c:ptCount val="4"/>
                <c:pt idx="0">
                  <c:v>273569.72271599999</c:v>
                </c:pt>
                <c:pt idx="1">
                  <c:v>157435.772424</c:v>
                </c:pt>
                <c:pt idx="2">
                  <c:v>183101.10139200001</c:v>
                </c:pt>
                <c:pt idx="3">
                  <c:v>145390.39768800003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83-411E-A6C3-11480B683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786448"/>
        <c:axId val="174559272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Jan!$B$118:$C$118</c15:sqref>
                        </c15:formulaRef>
                      </c:ext>
                    </c:extLst>
                    <c:strCache>
                      <c:ptCount val="2"/>
                      <c:pt idx="0">
                        <c:v>Total Produced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Jan!$D$114:$G$114</c15:sqref>
                        </c15:formulaRef>
                      </c:ext>
                    </c:extLst>
                    <c:strCache>
                      <c:ptCount val="4"/>
                      <c:pt idx="0">
                        <c:v>WEEK 1
(Jan1-11)</c:v>
                      </c:pt>
                      <c:pt idx="1">
                        <c:v>WEEK 2
(Jan12-18)</c:v>
                      </c:pt>
                      <c:pt idx="2">
                        <c:v>WEEk 3
(Jan19-25)</c:v>
                      </c:pt>
                      <c:pt idx="3">
                        <c:v>WEEk 4
(Jan26-31)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Jan!$D$118:$G$118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298726</c:v>
                      </c:pt>
                      <c:pt idx="1">
                        <c:v>201929</c:v>
                      </c:pt>
                      <c:pt idx="2">
                        <c:v>233817.05</c:v>
                      </c:pt>
                      <c:pt idx="3">
                        <c:v>218847.3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E83-411E-A6C3-11480B683E9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Jan!$B$119:$C$119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Jan!$D$114:$G$114</c15:sqref>
                        </c15:formulaRef>
                      </c:ext>
                    </c:extLst>
                    <c:strCache>
                      <c:ptCount val="4"/>
                      <c:pt idx="0">
                        <c:v>WEEK 1
(Jan1-11)</c:v>
                      </c:pt>
                      <c:pt idx="1">
                        <c:v>WEEK 2
(Jan12-18)</c:v>
                      </c:pt>
                      <c:pt idx="2">
                        <c:v>WEEk 3
(Jan19-25)</c:v>
                      </c:pt>
                      <c:pt idx="3">
                        <c:v>WEEk 4
(Jan26-31)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Jan!$D$119:$G$119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298726</c:v>
                      </c:pt>
                      <c:pt idx="1">
                        <c:v>500655</c:v>
                      </c:pt>
                      <c:pt idx="2">
                        <c:v>734472.05</c:v>
                      </c:pt>
                      <c:pt idx="3">
                        <c:v>953319.35000000009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E83-411E-A6C3-11480B683E92}"/>
                  </c:ext>
                </c:extLst>
              </c15:ser>
            </c15:filteredLineSeries>
          </c:ext>
        </c:extLst>
      </c:lineChart>
      <c:catAx>
        <c:axId val="17237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92720"/>
        <c:crosses val="autoZero"/>
        <c:auto val="1"/>
        <c:lblAlgn val="ctr"/>
        <c:lblOffset val="100"/>
        <c:noMultiLvlLbl val="1"/>
      </c:catAx>
      <c:valAx>
        <c:axId val="17455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(Nm3)</a:t>
                </a:r>
              </a:p>
            </c:rich>
          </c:tx>
          <c:layout>
            <c:manualLayout>
              <c:xMode val="edge"/>
              <c:yMode val="edge"/>
              <c:x val="0.1572054197817343"/>
              <c:y val="0.21039484932677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86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7081569440655"/>
          <c:y val="0.12528405766264164"/>
          <c:w val="0.77286261321270178"/>
          <c:h val="0.59436211738049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Jan!$B$78:$C$78</c:f>
              <c:strCache>
                <c:ptCount val="2"/>
                <c:pt idx="0">
                  <c:v>Delivered</c:v>
                </c:pt>
                <c:pt idx="1">
                  <c:v>(kWh)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Jan!$D$77:$G$77</c:f>
              <c:strCache>
                <c:ptCount val="4"/>
                <c:pt idx="0">
                  <c:v>WEEK 1
(Jan1-11)</c:v>
                </c:pt>
                <c:pt idx="1">
                  <c:v>WEEK 2
(Jan12-18)</c:v>
                </c:pt>
                <c:pt idx="2">
                  <c:v>WEEk 3
(Jan19-25)</c:v>
                </c:pt>
                <c:pt idx="3">
                  <c:v>WEEk 4
(Jan26-31)</c:v>
                </c:pt>
              </c:strCache>
            </c:strRef>
          </c:cat>
          <c:val>
            <c:numRef>
              <c:f>Jan!$D$78:$G$78</c:f>
              <c:numCache>
                <c:formatCode>_-* #,##0_-;\-* #,##0_-;_-* "-"??_-;_-@_-</c:formatCode>
                <c:ptCount val="4"/>
                <c:pt idx="0">
                  <c:v>234896</c:v>
                </c:pt>
                <c:pt idx="1">
                  <c:v>53486</c:v>
                </c:pt>
                <c:pt idx="2">
                  <c:v>173215</c:v>
                </c:pt>
                <c:pt idx="3">
                  <c:v>134790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8-405C-A2D2-64D63DA28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05608704"/>
        <c:axId val="305574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Jan!$B$79:$C$79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(kWh)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Jan!$D$77:$G$77</c15:sqref>
                        </c15:formulaRef>
                      </c:ext>
                    </c:extLst>
                    <c:strCache>
                      <c:ptCount val="4"/>
                      <c:pt idx="0">
                        <c:v>WEEK 1
(Jan1-11)</c:v>
                      </c:pt>
                      <c:pt idx="1">
                        <c:v>WEEK 2
(Jan12-18)</c:v>
                      </c:pt>
                      <c:pt idx="2">
                        <c:v>WEEk 3
(Jan19-25)</c:v>
                      </c:pt>
                      <c:pt idx="3">
                        <c:v>WEEk 4
(Jan26-31)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Jan!$D$79:$G$79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234896</c:v>
                      </c:pt>
                      <c:pt idx="1">
                        <c:v>288382</c:v>
                      </c:pt>
                      <c:pt idx="2">
                        <c:v>461597</c:v>
                      </c:pt>
                      <c:pt idx="3">
                        <c:v>596387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538-405C-A2D2-64D63DA283C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Jan!$B$80:$C$80</c:f>
              <c:strCache>
                <c:ptCount val="2"/>
                <c:pt idx="0">
                  <c:v>Target to Reach SCA Minimum </c:v>
                </c:pt>
                <c:pt idx="1">
                  <c:v>(kWh)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Jan!$D$77:$G$77</c:f>
              <c:strCache>
                <c:ptCount val="4"/>
                <c:pt idx="0">
                  <c:v>WEEK 1
(Jan1-11)</c:v>
                </c:pt>
                <c:pt idx="1">
                  <c:v>WEEK 2
(Jan12-18)</c:v>
                </c:pt>
                <c:pt idx="2">
                  <c:v>WEEk 3
(Jan19-25)</c:v>
                </c:pt>
                <c:pt idx="3">
                  <c:v>WEEk 4
(Jan26-31)</c:v>
                </c:pt>
              </c:strCache>
            </c:strRef>
          </c:cat>
          <c:val>
            <c:numRef>
              <c:f>Jan!$D$80:$G$80</c:f>
              <c:numCache>
                <c:formatCode>_-* #,##0_-;\-* #,##0_-;_-* "-"??_-;_-@_-</c:formatCode>
                <c:ptCount val="4"/>
                <c:pt idx="0">
                  <c:v>302490.625</c:v>
                </c:pt>
                <c:pt idx="1">
                  <c:v>325022.16666666669</c:v>
                </c:pt>
                <c:pt idx="2">
                  <c:v>460790.25</c:v>
                </c:pt>
                <c:pt idx="3">
                  <c:v>748365.5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538-405C-A2D2-64D63DA28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08704"/>
        <c:axId val="305574416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Jan!$B$81:$C$81</c15:sqref>
                        </c15:formulaRef>
                      </c:ext>
                    </c:extLst>
                    <c:strCache>
                      <c:ptCount val="2"/>
                      <c:pt idx="0">
                        <c:v>Target to Reach SCA Minimum </c:v>
                      </c:pt>
                      <c:pt idx="1">
                        <c:v>(kWh)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4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Jan!$D$77:$G$77</c15:sqref>
                        </c15:formulaRef>
                      </c:ext>
                    </c:extLst>
                    <c:strCache>
                      <c:ptCount val="4"/>
                      <c:pt idx="0">
                        <c:v>WEEK 1
(Jan1-11)</c:v>
                      </c:pt>
                      <c:pt idx="1">
                        <c:v>WEEK 2
(Jan12-18)</c:v>
                      </c:pt>
                      <c:pt idx="2">
                        <c:v>WEEk 3
(Jan19-25)</c:v>
                      </c:pt>
                      <c:pt idx="3">
                        <c:v>WEEk 4
(Jan26-31)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Jan!$D$81:$G$81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538-405C-A2D2-64D63DA283C3}"/>
                  </c:ext>
                </c:extLst>
              </c15:ser>
            </c15:filteredLineSeries>
          </c:ext>
        </c:extLst>
      </c:lineChart>
      <c:catAx>
        <c:axId val="3056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4416"/>
        <c:crosses val="autoZero"/>
        <c:auto val="1"/>
        <c:lblAlgn val="ctr"/>
        <c:lblOffset val="100"/>
        <c:noMultiLvlLbl val="1"/>
      </c:catAx>
      <c:valAx>
        <c:axId val="3055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kWh</a:t>
                </a:r>
              </a:p>
            </c:rich>
          </c:tx>
          <c:layout>
            <c:manualLayout>
              <c:xMode val="edge"/>
              <c:yMode val="edge"/>
              <c:x val="0.16530445088964488"/>
              <c:y val="0.35705801198293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08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69028871391076"/>
          <c:y val="8.5110331300092601E-2"/>
          <c:w val="0.63956741004774031"/>
          <c:h val="0.5909229120624055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Jan!$B$132:$C$132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B66-46E4-9772-B4540373FC3D}"/>
              </c:ext>
            </c:extLst>
          </c:dPt>
          <c:cat>
            <c:strRef>
              <c:f>Jan!$D$128:$G$128</c:f>
              <c:strCache>
                <c:ptCount val="4"/>
                <c:pt idx="0">
                  <c:v>WEEK 1
(Jan1-11)</c:v>
                </c:pt>
                <c:pt idx="1">
                  <c:v>WEEK 2
(Jan12-18)</c:v>
                </c:pt>
                <c:pt idx="2">
                  <c:v>WEEk 3
(Jan19-25)</c:v>
                </c:pt>
                <c:pt idx="3">
                  <c:v>WEEk 4
(Jan26-31)</c:v>
                </c:pt>
              </c:strCache>
            </c:strRef>
          </c:cat>
          <c:val>
            <c:numRef>
              <c:f>Jan!$D$132:$G$132</c:f>
              <c:numCache>
                <c:formatCode>_-* #,##0_-;\-* #,##0_-;_-* "-"??_-;_-@_-</c:formatCode>
                <c:ptCount val="4"/>
                <c:pt idx="0">
                  <c:v>409127.12</c:v>
                </c:pt>
                <c:pt idx="1">
                  <c:v>227067.41999999998</c:v>
                </c:pt>
                <c:pt idx="2">
                  <c:v>233817.05</c:v>
                </c:pt>
                <c:pt idx="3">
                  <c:v>218847.3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66-46E4-9772-B4540373FC3D}"/>
            </c:ext>
          </c:extLst>
        </c:ser>
        <c:ser>
          <c:idx val="1"/>
          <c:order val="1"/>
          <c:tx>
            <c:strRef>
              <c:f>Jan!$B$131:$C$131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Jan!$D$128:$G$128</c:f>
              <c:strCache>
                <c:ptCount val="4"/>
                <c:pt idx="0">
                  <c:v>WEEK 1
(Jan1-11)</c:v>
                </c:pt>
                <c:pt idx="1">
                  <c:v>WEEK 2
(Jan12-18)</c:v>
                </c:pt>
                <c:pt idx="2">
                  <c:v>WEEk 3
(Jan19-25)</c:v>
                </c:pt>
                <c:pt idx="3">
                  <c:v>WEEk 4
(Jan26-31)</c:v>
                </c:pt>
              </c:strCache>
            </c:strRef>
          </c:cat>
          <c:val>
            <c:numRef>
              <c:f>Jan!$D$131:$G$131</c:f>
              <c:numCache>
                <c:formatCode>_-* #,##0_-;\-* #,##0_-;_-* "-"??_-;_-@_-</c:formatCode>
                <c:ptCount val="4"/>
                <c:pt idx="0">
                  <c:v>348851.98</c:v>
                </c:pt>
                <c:pt idx="1">
                  <c:v>200759.72</c:v>
                </c:pt>
                <c:pt idx="2">
                  <c:v>233487.76</c:v>
                </c:pt>
                <c:pt idx="3">
                  <c:v>185399.64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66-46E4-9772-B4540373F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Jan!$B$130:$C$130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Jan!$D$128:$G$128</c15:sqref>
                        </c15:formulaRef>
                      </c:ext>
                    </c:extLst>
                    <c:strCache>
                      <c:ptCount val="4"/>
                      <c:pt idx="0">
                        <c:v>WEEK 1
(Jan1-11)</c:v>
                      </c:pt>
                      <c:pt idx="1">
                        <c:v>WEEK 2
(Jan12-18)</c:v>
                      </c:pt>
                      <c:pt idx="2">
                        <c:v>WEEk 3
(Jan19-25)</c:v>
                      </c:pt>
                      <c:pt idx="3">
                        <c:v>WEEk 4
(Jan26-31)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Jan!$D$130:$G$130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3453.98</c:v>
                      </c:pt>
                      <c:pt idx="1">
                        <c:v>1987.72</c:v>
                      </c:pt>
                      <c:pt idx="2">
                        <c:v>2311.7600000000002</c:v>
                      </c:pt>
                      <c:pt idx="3">
                        <c:v>1835.64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3B66-46E4-9772-B4540373FC3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Jan!$B$133:$C$133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Jan!$D$128:$G$128</c:f>
              <c:strCache>
                <c:ptCount val="4"/>
                <c:pt idx="0">
                  <c:v>WEEK 1
(Jan1-11)</c:v>
                </c:pt>
                <c:pt idx="1">
                  <c:v>WEEK 2
(Jan12-18)</c:v>
                </c:pt>
                <c:pt idx="2">
                  <c:v>WEEk 3
(Jan19-25)</c:v>
                </c:pt>
                <c:pt idx="3">
                  <c:v>WEEk 4
(Jan26-31)</c:v>
                </c:pt>
              </c:strCache>
            </c:strRef>
          </c:cat>
          <c:val>
            <c:numRef>
              <c:f>Jan!$D$133:$G$133</c:f>
              <c:numCache>
                <c:formatCode>_-* #,##0_-;\-* #,##0_-;_-* "-"??_-;_-@_-</c:formatCode>
                <c:ptCount val="4"/>
                <c:pt idx="0">
                  <c:v>118.45092328270574</c:v>
                </c:pt>
                <c:pt idx="1">
                  <c:v>114.23511359748856</c:v>
                </c:pt>
                <c:pt idx="2">
                  <c:v>101.14244125687786</c:v>
                </c:pt>
                <c:pt idx="3">
                  <c:v>119.22125253317643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66-46E4-9772-B4540373FC3D}"/>
            </c:ext>
          </c:extLst>
        </c:ser>
        <c:ser>
          <c:idx val="4"/>
          <c:order val="4"/>
          <c:tx>
            <c:strRef>
              <c:f>Jan!$B$134:$C$134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Jan!$D$128:$G$128</c:f>
              <c:strCache>
                <c:ptCount val="4"/>
                <c:pt idx="0">
                  <c:v>WEEK 1
(Jan1-11)</c:v>
                </c:pt>
                <c:pt idx="1">
                  <c:v>WEEK 2
(Jan12-18)</c:v>
                </c:pt>
                <c:pt idx="2">
                  <c:v>WEEk 3
(Jan19-25)</c:v>
                </c:pt>
                <c:pt idx="3">
                  <c:v>WEEk 4
(Jan26-31)</c:v>
                </c:pt>
              </c:strCache>
            </c:strRef>
          </c:cat>
          <c:val>
            <c:numRef>
              <c:f>Jan!$D$134:$G$134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66-46E4-9772-B4540373F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253760"/>
        <c:axId val="740266720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baseline="0"/>
                  <a:t>(</a:t>
                </a:r>
                <a:r>
                  <a:rPr lang="en-PH"/>
                  <a:t>Nm3)</a:t>
                </a:r>
              </a:p>
            </c:rich>
          </c:tx>
          <c:layout>
            <c:manualLayout>
              <c:xMode val="edge"/>
              <c:yMode val="edge"/>
              <c:x val="0.13632107956496156"/>
              <c:y val="0.309808368406482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740266720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53760"/>
        <c:crosses val="max"/>
        <c:crossBetween val="between"/>
      </c:valAx>
      <c:catAx>
        <c:axId val="740253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02667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Biogas Conversion (Yield) - Factoring the DS Content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94307296004804"/>
          <c:y val="7.2393844182113795E-2"/>
          <c:w val="0.64755261890531735"/>
          <c:h val="0.595684440389846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Jan!$B$174:$C$174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Jan!$D$128:$G$128</c:f>
              <c:strCache>
                <c:ptCount val="4"/>
                <c:pt idx="0">
                  <c:v>WEEK 1
(Jan1-11)</c:v>
                </c:pt>
                <c:pt idx="1">
                  <c:v>WEEK 2
(Jan12-18)</c:v>
                </c:pt>
                <c:pt idx="2">
                  <c:v>WEEk 3
(Jan19-25)</c:v>
                </c:pt>
                <c:pt idx="3">
                  <c:v>WEEk 4
(Jan26-31)</c:v>
                </c:pt>
              </c:strCache>
            </c:strRef>
          </c:cat>
          <c:val>
            <c:numRef>
              <c:f>Jan!$D$174:$G$174</c:f>
              <c:numCache>
                <c:formatCode>_-* #,##0_-;\-* #,##0_-;_-* "-"??_-;_-@_-</c:formatCode>
                <c:ptCount val="4"/>
                <c:pt idx="0">
                  <c:v>409127.12</c:v>
                </c:pt>
                <c:pt idx="1">
                  <c:v>227067.41999999998</c:v>
                </c:pt>
                <c:pt idx="2">
                  <c:v>233817.05</c:v>
                </c:pt>
                <c:pt idx="3">
                  <c:v>218847.3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E-4F23-BC34-2EC519679130}"/>
            </c:ext>
          </c:extLst>
        </c:ser>
        <c:ser>
          <c:idx val="1"/>
          <c:order val="1"/>
          <c:tx>
            <c:strRef>
              <c:f>Jan!$B$173:$C$173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Jan!$D$128:$G$128</c:f>
              <c:strCache>
                <c:ptCount val="4"/>
                <c:pt idx="0">
                  <c:v>WEEK 1
(Jan1-11)</c:v>
                </c:pt>
                <c:pt idx="1">
                  <c:v>WEEK 2
(Jan12-18)</c:v>
                </c:pt>
                <c:pt idx="2">
                  <c:v>WEEk 3
(Jan19-25)</c:v>
                </c:pt>
                <c:pt idx="3">
                  <c:v>WEEk 4
(Jan26-31)</c:v>
                </c:pt>
              </c:strCache>
            </c:strRef>
          </c:cat>
          <c:val>
            <c:numRef>
              <c:f>Jan!$D$173:$G$173</c:f>
              <c:numCache>
                <c:formatCode>_-* #,##0_-;\-* #,##0_-;_-* "-"??_-;_-@_-</c:formatCode>
                <c:ptCount val="4"/>
                <c:pt idx="0">
                  <c:v>335572.34796133329</c:v>
                </c:pt>
                <c:pt idx="1">
                  <c:v>194255.10507199998</c:v>
                </c:pt>
                <c:pt idx="2">
                  <c:v>228117.54152</c:v>
                </c:pt>
                <c:pt idx="3">
                  <c:v>177415.095504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BE-4F23-BC34-2EC519679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Jan!$B$130:$C$130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Jan!$D$128:$G$128</c15:sqref>
                        </c15:formulaRef>
                      </c:ext>
                    </c:extLst>
                    <c:strCache>
                      <c:ptCount val="4"/>
                      <c:pt idx="0">
                        <c:v>WEEK 1
(Jan1-11)</c:v>
                      </c:pt>
                      <c:pt idx="1">
                        <c:v>WEEK 2
(Jan12-18)</c:v>
                      </c:pt>
                      <c:pt idx="2">
                        <c:v>WEEk 3
(Jan19-25)</c:v>
                      </c:pt>
                      <c:pt idx="3">
                        <c:v>WEEk 4
(Jan26-31)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Jan!$D$130:$G$130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3453.98</c:v>
                      </c:pt>
                      <c:pt idx="1">
                        <c:v>1987.72</c:v>
                      </c:pt>
                      <c:pt idx="2">
                        <c:v>2311.7600000000002</c:v>
                      </c:pt>
                      <c:pt idx="3">
                        <c:v>1835.64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C6BE-4F23-BC34-2EC51967913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Jan!$B$176:$C$176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2.0278921618298227E-2"/>
                  <c:y val="-3.1348240859611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BE-4F23-BC34-2EC519679130}"/>
                </c:ext>
              </c:extLst>
            </c:dLbl>
            <c:dLbl>
              <c:idx val="1"/>
              <c:layout>
                <c:manualLayout>
                  <c:x val="-1.3075589999027718E-3"/>
                  <c:y val="-2.4146229705798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BE-4F23-BC34-2EC519679130}"/>
                </c:ext>
              </c:extLst>
            </c:dLbl>
            <c:dLbl>
              <c:idx val="2"/>
              <c:layout>
                <c:manualLayout>
                  <c:x val="-2.4536084465953872E-2"/>
                  <c:y val="-2.6102545666180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BE-4F23-BC34-2EC5196791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Jan!$D$128:$G$128</c:f>
              <c:strCache>
                <c:ptCount val="4"/>
                <c:pt idx="0">
                  <c:v>WEEK 1
(Jan1-11)</c:v>
                </c:pt>
                <c:pt idx="1">
                  <c:v>WEEK 2
(Jan12-18)</c:v>
                </c:pt>
                <c:pt idx="2">
                  <c:v>WEEk 3
(Jan19-25)</c:v>
                </c:pt>
                <c:pt idx="3">
                  <c:v>WEEk 4
(Jan26-31)</c:v>
                </c:pt>
              </c:strCache>
            </c:strRef>
          </c:cat>
          <c:val>
            <c:numRef>
              <c:f>Jan!$D$176:$G$176</c:f>
              <c:numCache>
                <c:formatCode>_-* #,##0_-;\-* #,##0_-;_-* "-"??_-;_-@_-</c:formatCode>
                <c:ptCount val="4"/>
                <c:pt idx="0">
                  <c:v>123.13839138128674</c:v>
                </c:pt>
                <c:pt idx="1">
                  <c:v>118.06026622311759</c:v>
                </c:pt>
                <c:pt idx="2">
                  <c:v>103.52348132740826</c:v>
                </c:pt>
                <c:pt idx="3">
                  <c:v>124.58679030219078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BE-4F23-BC34-2EC519679130}"/>
            </c:ext>
          </c:extLst>
        </c:ser>
        <c:ser>
          <c:idx val="4"/>
          <c:order val="4"/>
          <c:tx>
            <c:strRef>
              <c:f>Jan!$B$177:$C$177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Jan!$D$128:$G$128</c:f>
              <c:strCache>
                <c:ptCount val="4"/>
                <c:pt idx="0">
                  <c:v>WEEK 1
(Jan1-11)</c:v>
                </c:pt>
                <c:pt idx="1">
                  <c:v>WEEK 2
(Jan12-18)</c:v>
                </c:pt>
                <c:pt idx="2">
                  <c:v>WEEk 3
(Jan19-25)</c:v>
                </c:pt>
                <c:pt idx="3">
                  <c:v>WEEk 4
(Jan26-31)</c:v>
                </c:pt>
              </c:strCache>
            </c:strRef>
          </c:cat>
          <c:val>
            <c:numRef>
              <c:f>Jan!$D$177:$G$177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BE-4F23-BC34-2EC519679130}"/>
            </c:ext>
          </c:extLst>
        </c:ser>
        <c:ser>
          <c:idx val="5"/>
          <c:order val="5"/>
          <c:tx>
            <c:strRef>
              <c:f>Jan!$B$175</c:f>
              <c:strCache>
                <c:ptCount val="1"/>
                <c:pt idx="0">
                  <c:v>%DS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Jan!$D$175:$G$175</c:f>
              <c:numCache>
                <c:formatCode>_(* #,##0.00_);_(* \(#,##0.00\);_(* "-"??_);_(@_)</c:formatCode>
                <c:ptCount val="4"/>
                <c:pt idx="0">
                  <c:v>14.429</c:v>
                </c:pt>
                <c:pt idx="1">
                  <c:v>14.513999999999999</c:v>
                </c:pt>
                <c:pt idx="2">
                  <c:v>14.654999999999999</c:v>
                </c:pt>
                <c:pt idx="3">
                  <c:v>14.353999999999999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6BE-4F23-BC34-2EC519679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</a:t>
                </a:r>
              </a:p>
            </c:rich>
          </c:tx>
          <c:layout>
            <c:manualLayout>
              <c:xMode val="edge"/>
              <c:yMode val="edge"/>
              <c:x val="0.1338963604146387"/>
              <c:y val="0.38583079407906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Nm3/ton</a:t>
                </a:r>
              </a:p>
            </c:rich>
          </c:tx>
          <c:layout>
            <c:manualLayout>
              <c:xMode val="edge"/>
              <c:yMode val="edge"/>
              <c:x val="0.95544679367650542"/>
              <c:y val="0.412100607226448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037413340212502"/>
          <c:y val="0.11640982453860035"/>
          <c:w val="0.74370088205263363"/>
          <c:h val="0.45822964421204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Feb!$B$36:$C$36</c:f>
              <c:strCache>
                <c:ptCount val="2"/>
                <c:pt idx="0">
                  <c:v>Delivered (DPO)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Feb!$D$34:$G$34</c:f>
              <c:strCache>
                <c:ptCount val="4"/>
                <c:pt idx="0">
                  <c:v>WEEK 1
(Feb1-8)</c:v>
                </c:pt>
                <c:pt idx="1">
                  <c:v>WEEK 2
(Feb9-15)</c:v>
                </c:pt>
                <c:pt idx="2">
                  <c:v>WEEk 3
(Feb16-22)</c:v>
                </c:pt>
                <c:pt idx="3">
                  <c:v>WEEk 4
(Feb23-28)</c:v>
                </c:pt>
              </c:strCache>
            </c:strRef>
          </c:cat>
          <c:val>
            <c:numRef>
              <c:f>Feb!$D$36:$G$36</c:f>
              <c:numCache>
                <c:formatCode>_-* #,##0_-;\-* #,##0_-;_-* "-"??_-;_-@_-</c:formatCode>
                <c:ptCount val="4"/>
                <c:pt idx="0">
                  <c:v>1822.01</c:v>
                </c:pt>
                <c:pt idx="1">
                  <c:v>1793.46</c:v>
                </c:pt>
                <c:pt idx="2">
                  <c:v>1719.49</c:v>
                </c:pt>
                <c:pt idx="3">
                  <c:v>1462.46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F-4122-B261-371C1896ED15}"/>
            </c:ext>
          </c:extLst>
        </c:ser>
        <c:ser>
          <c:idx val="2"/>
          <c:order val="1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'Mar actual FM vol'!$D$32:$H$32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'Mar actual FM vol'!$D$37:$H$37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573F-4122-B261-371C1896ED15}"/>
            </c:ext>
          </c:extLst>
        </c:ser>
        <c:ser>
          <c:idx val="5"/>
          <c:order val="4"/>
          <c:tx>
            <c:strRef>
              <c:f>Feb!$B$37</c:f>
              <c:strCache>
                <c:ptCount val="1"/>
                <c:pt idx="0">
                  <c:v>Diverted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Feb!$D$37:$G$37</c:f>
              <c:numCache>
                <c:formatCode>_-* #,##0.0_-;\-* #,##0.0_-;_-* "-"??_-;_-@_-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573F-4122-B261-371C1896E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"/>
        <c:axId val="1931926304"/>
        <c:axId val="1732677184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Feb!$B$40:$C$40</c15:sqref>
                        </c15:formulaRef>
                      </c:ext>
                    </c:extLst>
                    <c:strCache>
                      <c:ptCount val="2"/>
                      <c:pt idx="0">
                        <c:v>Monthly Accumulative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Feb!$D$34:$G$34</c15:sqref>
                        </c15:formulaRef>
                      </c:ext>
                    </c:extLst>
                    <c:strCache>
                      <c:ptCount val="4"/>
                      <c:pt idx="0">
                        <c:v>WEEK 1
(Feb1-8)</c:v>
                      </c:pt>
                      <c:pt idx="1">
                        <c:v>WEEK 2
(Feb9-15)</c:v>
                      </c:pt>
                      <c:pt idx="2">
                        <c:v>WEEk 3
(Feb16-22)</c:v>
                      </c:pt>
                      <c:pt idx="3">
                        <c:v>WEEk 4
(Feb23-28)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Feb!$D$40:$G$40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1822.01</c:v>
                      </c:pt>
                      <c:pt idx="1">
                        <c:v>3615.4700000000003</c:v>
                      </c:pt>
                      <c:pt idx="2">
                        <c:v>5334.96</c:v>
                      </c:pt>
                      <c:pt idx="3">
                        <c:v>6797.42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573F-4122-B261-371C1896ED15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3"/>
          <c:tx>
            <c:strRef>
              <c:f>Feb!$B$41:$C$41</c:f>
              <c:strCache>
                <c:ptCount val="2"/>
                <c:pt idx="0">
                  <c:v>Target to Reach SCA Minimum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Feb!$D$34:$G$34</c:f>
              <c:strCache>
                <c:ptCount val="4"/>
                <c:pt idx="0">
                  <c:v>WEEK 1
(Feb1-8)</c:v>
                </c:pt>
                <c:pt idx="1">
                  <c:v>WEEK 2
(Feb9-15)</c:v>
                </c:pt>
                <c:pt idx="2">
                  <c:v>WEEk 3
(Feb16-22)</c:v>
                </c:pt>
                <c:pt idx="3">
                  <c:v>WEEk 4
(Feb23-28)</c:v>
                </c:pt>
              </c:strCache>
            </c:strRef>
          </c:cat>
          <c:val>
            <c:numRef>
              <c:f>Feb!$D$41:$G$41</c:f>
              <c:numCache>
                <c:formatCode>_-* #,##0_-;\-* #,##0_-;_-* "-"??_-;_-@_-</c:formatCode>
                <c:ptCount val="4"/>
                <c:pt idx="0">
                  <c:v>3990</c:v>
                </c:pt>
                <c:pt idx="1">
                  <c:v>6157.99</c:v>
                </c:pt>
                <c:pt idx="2">
                  <c:v>8354.5299999999988</c:v>
                </c:pt>
                <c:pt idx="3">
                  <c:v>12335.04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73F-4122-B261-371C1896ED15}"/>
            </c:ext>
          </c:extLst>
        </c:ser>
        <c:ser>
          <c:idx val="6"/>
          <c:order val="5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'Mar actual FM vol'!$D$37:$H$37</c:f>
            </c:numRef>
          </c:val>
          <c:smooth val="0"/>
          <c:extLst>
            <c:ext xmlns:c16="http://schemas.microsoft.com/office/drawing/2014/chart" uri="{C3380CC4-5D6E-409C-BE32-E72D297353CC}">
              <c16:uniqueId val="{00000004-573F-4122-B261-371C1896E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6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931926304"/>
        <c:axId val="1732677184"/>
      </c:lineChart>
      <c:catAx>
        <c:axId val="193192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77184"/>
        <c:crosses val="autoZero"/>
        <c:auto val="1"/>
        <c:lblAlgn val="ctr"/>
        <c:lblOffset val="100"/>
        <c:noMultiLvlLbl val="1"/>
      </c:catAx>
      <c:valAx>
        <c:axId val="1732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MT</a:t>
                </a:r>
              </a:p>
            </c:rich>
          </c:tx>
          <c:layout>
            <c:manualLayout>
              <c:xMode val="edge"/>
              <c:yMode val="edge"/>
              <c:x val="0.19272070118622903"/>
              <c:y val="0.24359459230956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263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279257464172775"/>
          <c:y val="0.10060281860125968"/>
          <c:w val="0.67317823439612146"/>
          <c:h val="0.349919226078976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Feb!$B$115:$C$115</c:f>
              <c:strCache>
                <c:ptCount val="2"/>
                <c:pt idx="0">
                  <c:v>Delivered to Boilers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Feb!$D$114:$G$114</c:f>
              <c:strCache>
                <c:ptCount val="4"/>
                <c:pt idx="0">
                  <c:v>WEEK 1
(Feb1-8)</c:v>
                </c:pt>
                <c:pt idx="1">
                  <c:v>WEEK 2
(Feb9-15)</c:v>
                </c:pt>
                <c:pt idx="2">
                  <c:v>WEEk 3
(Feb16-22)</c:v>
                </c:pt>
                <c:pt idx="3">
                  <c:v>WEEk 4
(Feb23-28)</c:v>
                </c:pt>
              </c:strCache>
            </c:strRef>
          </c:cat>
          <c:val>
            <c:numRef>
              <c:f>Feb!$D$115:$G$115</c:f>
              <c:numCache>
                <c:formatCode>_-* #,##0_-;\-* #,##0_-;_-* "-"??_-;_-@_-</c:formatCode>
                <c:ptCount val="4"/>
                <c:pt idx="0">
                  <c:v>141882</c:v>
                </c:pt>
                <c:pt idx="1">
                  <c:v>137632</c:v>
                </c:pt>
                <c:pt idx="2">
                  <c:v>124817</c:v>
                </c:pt>
                <c:pt idx="3">
                  <c:v>99417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2-4088-BCA4-50DEA0E95864}"/>
            </c:ext>
          </c:extLst>
        </c:ser>
        <c:ser>
          <c:idx val="1"/>
          <c:order val="1"/>
          <c:tx>
            <c:strRef>
              <c:f>Feb!$B$117:$C$117</c:f>
              <c:strCache>
                <c:ptCount val="2"/>
                <c:pt idx="0">
                  <c:v>Flared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Feb!$D$114:$G$114</c:f>
              <c:strCache>
                <c:ptCount val="4"/>
                <c:pt idx="0">
                  <c:v>WEEK 1
(Feb1-8)</c:v>
                </c:pt>
                <c:pt idx="1">
                  <c:v>WEEK 2
(Feb9-15)</c:v>
                </c:pt>
                <c:pt idx="2">
                  <c:v>WEEk 3
(Feb16-22)</c:v>
                </c:pt>
                <c:pt idx="3">
                  <c:v>WEEk 4
(Feb23-28)</c:v>
                </c:pt>
              </c:strCache>
            </c:strRef>
          </c:cat>
          <c:val>
            <c:numRef>
              <c:f>Feb!$D$117:$G$117</c:f>
              <c:numCache>
                <c:formatCode>_-* #,##0_-;\-* #,##0_-;_-* "-"??_-;_-@_-</c:formatCode>
                <c:ptCount val="4"/>
                <c:pt idx="0">
                  <c:v>8676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32-4088-BCA4-50DEA0E95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786448"/>
        <c:axId val="1745592720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Feb!$B$116:$C$116</c15:sqref>
                        </c15:formulaRef>
                      </c:ext>
                    </c:extLst>
                    <c:strCache>
                      <c:ptCount val="2"/>
                      <c:pt idx="0">
                        <c:v>Delivered to Engine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Feb!$D$116:$G$116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37913.49</c:v>
                      </c:pt>
                      <c:pt idx="1">
                        <c:v>76649.48</c:v>
                      </c:pt>
                      <c:pt idx="2">
                        <c:v>81508.81</c:v>
                      </c:pt>
                      <c:pt idx="3">
                        <c:v>65917.5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D532-4088-BCA4-50DEA0E9586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Feb!$B$121:$C$121</c:f>
              <c:strCache>
                <c:ptCount val="2"/>
                <c:pt idx="0">
                  <c:v>Target to Reach SCA min</c:v>
                </c:pt>
                <c:pt idx="1">
                  <c:v>(Nm3)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Feb!$D$114:$G$114</c:f>
              <c:strCache>
                <c:ptCount val="4"/>
                <c:pt idx="0">
                  <c:v>WEEK 1
(Feb1-8)</c:v>
                </c:pt>
                <c:pt idx="1">
                  <c:v>WEEK 2
(Feb9-15)</c:v>
                </c:pt>
                <c:pt idx="2">
                  <c:v>WEEk 3
(Feb16-22)</c:v>
                </c:pt>
                <c:pt idx="3">
                  <c:v>WEEk 4
(Feb23-28)</c:v>
                </c:pt>
              </c:strCache>
            </c:strRef>
          </c:cat>
          <c:val>
            <c:numRef>
              <c:f>Feb!$D$121:$G$121</c:f>
              <c:numCache>
                <c:formatCode>_-* #,##0_-;\-* #,##0_-;_-* "-"??_-;_-@_-</c:formatCode>
                <c:ptCount val="4"/>
                <c:pt idx="0">
                  <c:v>349929.35</c:v>
                </c:pt>
                <c:pt idx="1">
                  <c:v>416386.46666666662</c:v>
                </c:pt>
                <c:pt idx="2">
                  <c:v>555763.69999999995</c:v>
                </c:pt>
                <c:pt idx="3">
                  <c:v>905201.58999999985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32-4088-BCA4-50DEA0E95864}"/>
            </c:ext>
          </c:extLst>
        </c:ser>
        <c:ser>
          <c:idx val="6"/>
          <c:order val="6"/>
          <c:tx>
            <c:strRef>
              <c:f>Feb!$B$120:$C$120</c:f>
              <c:strCache>
                <c:ptCount val="2"/>
                <c:pt idx="0">
                  <c:v>Target Gas based on Delivered Substrates</c:v>
                </c:pt>
                <c:pt idx="1">
                  <c:v>(Nm3)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Feb!$D$114:$G$114</c:f>
              <c:strCache>
                <c:ptCount val="4"/>
                <c:pt idx="0">
                  <c:v>WEEK 1
(Feb1-8)</c:v>
                </c:pt>
                <c:pt idx="1">
                  <c:v>WEEK 2
(Feb9-15)</c:v>
                </c:pt>
                <c:pt idx="2">
                  <c:v>WEEk 3
(Feb16-22)</c:v>
                </c:pt>
                <c:pt idx="3">
                  <c:v>WEEk 4
(Feb23-28)</c:v>
                </c:pt>
              </c:strCache>
            </c:strRef>
          </c:cat>
          <c:val>
            <c:numRef>
              <c:f>Feb!$D$120:$G$120</c:f>
              <c:numCache>
                <c:formatCode>_-* #,##0_-;\-* #,##0_-;_-* "-"??_-;_-@_-</c:formatCode>
                <c:ptCount val="4"/>
                <c:pt idx="0">
                  <c:v>144310.844442</c:v>
                </c:pt>
                <c:pt idx="1">
                  <c:v>142049.56453199999</c:v>
                </c:pt>
                <c:pt idx="2">
                  <c:v>136190.82985799998</c:v>
                </c:pt>
                <c:pt idx="3">
                  <c:v>115832.974332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32-4088-BCA4-50DEA0E95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786448"/>
        <c:axId val="174559272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Feb!$B$118:$C$118</c15:sqref>
                        </c15:formulaRef>
                      </c:ext>
                    </c:extLst>
                    <c:strCache>
                      <c:ptCount val="2"/>
                      <c:pt idx="0">
                        <c:v>Total Produced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Feb!$D$114:$G$114</c15:sqref>
                        </c15:formulaRef>
                      </c:ext>
                    </c:extLst>
                    <c:strCache>
                      <c:ptCount val="4"/>
                      <c:pt idx="0">
                        <c:v>WEEK 1
(Feb1-8)</c:v>
                      </c:pt>
                      <c:pt idx="1">
                        <c:v>WEEK 2
(Feb9-15)</c:v>
                      </c:pt>
                      <c:pt idx="2">
                        <c:v>WEEk 3
(Feb16-22)</c:v>
                      </c:pt>
                      <c:pt idx="3">
                        <c:v>WEEk 4
(Feb23-28)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Feb!$D$118:$G$118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150558</c:v>
                      </c:pt>
                      <c:pt idx="1">
                        <c:v>137632</c:v>
                      </c:pt>
                      <c:pt idx="2">
                        <c:v>206325.81</c:v>
                      </c:pt>
                      <c:pt idx="3">
                        <c:v>165334.5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532-4088-BCA4-50DEA0E9586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Feb!$B$119:$C$119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Feb!$D$114:$G$114</c15:sqref>
                        </c15:formulaRef>
                      </c:ext>
                    </c:extLst>
                    <c:strCache>
                      <c:ptCount val="4"/>
                      <c:pt idx="0">
                        <c:v>WEEK 1
(Feb1-8)</c:v>
                      </c:pt>
                      <c:pt idx="1">
                        <c:v>WEEK 2
(Feb9-15)</c:v>
                      </c:pt>
                      <c:pt idx="2">
                        <c:v>WEEk 3
(Feb16-22)</c:v>
                      </c:pt>
                      <c:pt idx="3">
                        <c:v>WEEk 4
(Feb23-28)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Feb!$D$119:$G$119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150558</c:v>
                      </c:pt>
                      <c:pt idx="1">
                        <c:v>288190</c:v>
                      </c:pt>
                      <c:pt idx="2">
                        <c:v>494515.81</c:v>
                      </c:pt>
                      <c:pt idx="3">
                        <c:v>659850.31000000006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532-4088-BCA4-50DEA0E95864}"/>
                  </c:ext>
                </c:extLst>
              </c15:ser>
            </c15:filteredLineSeries>
          </c:ext>
        </c:extLst>
      </c:lineChart>
      <c:catAx>
        <c:axId val="17237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92720"/>
        <c:crosses val="autoZero"/>
        <c:auto val="1"/>
        <c:lblAlgn val="ctr"/>
        <c:lblOffset val="100"/>
        <c:noMultiLvlLbl val="1"/>
      </c:catAx>
      <c:valAx>
        <c:axId val="17455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(Nm3)</a:t>
                </a:r>
              </a:p>
            </c:rich>
          </c:tx>
          <c:layout>
            <c:manualLayout>
              <c:xMode val="edge"/>
              <c:yMode val="edge"/>
              <c:x val="0.1572054197817343"/>
              <c:y val="0.21039484932677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86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7081569440655"/>
          <c:y val="0.12528405766264164"/>
          <c:w val="0.77286261321270178"/>
          <c:h val="0.59436211738049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Feb!$B$78:$C$78</c:f>
              <c:strCache>
                <c:ptCount val="2"/>
                <c:pt idx="0">
                  <c:v>Delivered</c:v>
                </c:pt>
                <c:pt idx="1">
                  <c:v>(kWh)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Feb!$D$77:$G$77</c:f>
              <c:strCache>
                <c:ptCount val="4"/>
                <c:pt idx="0">
                  <c:v>WEEK 1
(Feb1-8)</c:v>
                </c:pt>
                <c:pt idx="1">
                  <c:v>WEEK 2
(Feb9-15)</c:v>
                </c:pt>
                <c:pt idx="2">
                  <c:v>WEEk 3
(Feb16-22)</c:v>
                </c:pt>
                <c:pt idx="3">
                  <c:v>WEEk 4
(Feb23-28)</c:v>
                </c:pt>
              </c:strCache>
            </c:strRef>
          </c:cat>
          <c:val>
            <c:numRef>
              <c:f>Feb!$D$78:$G$78</c:f>
              <c:numCache>
                <c:formatCode>_-* #,##0_-;\-* #,##0_-;_-* "-"??_-;_-@_-</c:formatCode>
                <c:ptCount val="4"/>
                <c:pt idx="0">
                  <c:v>80667</c:v>
                </c:pt>
                <c:pt idx="1">
                  <c:v>163084</c:v>
                </c:pt>
                <c:pt idx="2">
                  <c:v>173423</c:v>
                </c:pt>
                <c:pt idx="3">
                  <c:v>140250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C-486F-8ECF-1B616BECF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05608704"/>
        <c:axId val="305574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Feb!$B$79:$C$79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(kWh)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Feb!$D$77:$G$77</c15:sqref>
                        </c15:formulaRef>
                      </c:ext>
                    </c:extLst>
                    <c:strCache>
                      <c:ptCount val="4"/>
                      <c:pt idx="0">
                        <c:v>WEEK 1
(Feb1-8)</c:v>
                      </c:pt>
                      <c:pt idx="1">
                        <c:v>WEEK 2
(Feb9-15)</c:v>
                      </c:pt>
                      <c:pt idx="2">
                        <c:v>WEEk 3
(Feb16-22)</c:v>
                      </c:pt>
                      <c:pt idx="3">
                        <c:v>WEEk 4
(Feb23-28)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Feb!$D$79:$G$79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80667</c:v>
                      </c:pt>
                      <c:pt idx="1">
                        <c:v>243751</c:v>
                      </c:pt>
                      <c:pt idx="2">
                        <c:v>417174</c:v>
                      </c:pt>
                      <c:pt idx="3">
                        <c:v>557424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C3C-486F-8ECF-1B616BECF86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Feb!$B$80:$C$80</c:f>
              <c:strCache>
                <c:ptCount val="2"/>
                <c:pt idx="0">
                  <c:v>Target to Reach SCA Minimum </c:v>
                </c:pt>
                <c:pt idx="1">
                  <c:v>(kWh)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Feb!$D$77:$G$77</c:f>
              <c:strCache>
                <c:ptCount val="4"/>
                <c:pt idx="0">
                  <c:v>WEEK 1
(Feb1-8)</c:v>
                </c:pt>
                <c:pt idx="1">
                  <c:v>WEEK 2
(Feb9-15)</c:v>
                </c:pt>
                <c:pt idx="2">
                  <c:v>WEEk 3
(Feb16-22)</c:v>
                </c:pt>
                <c:pt idx="3">
                  <c:v>WEEk 4
(Feb23-28)</c:v>
                </c:pt>
              </c:strCache>
            </c:strRef>
          </c:cat>
          <c:val>
            <c:numRef>
              <c:f>Feb!$D$80:$G$80</c:f>
              <c:numCache>
                <c:formatCode>_-* #,##0_-;\-* #,##0_-;_-* "-"??_-;_-@_-</c:formatCode>
                <c:ptCount val="4"/>
                <c:pt idx="0">
                  <c:v>333169.40000000002</c:v>
                </c:pt>
                <c:pt idx="1">
                  <c:v>417336.8666666667</c:v>
                </c:pt>
                <c:pt idx="2">
                  <c:v>544463.30000000005</c:v>
                </c:pt>
                <c:pt idx="3">
                  <c:v>915503.60000000009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3C-486F-8ECF-1B616BECF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08704"/>
        <c:axId val="305574416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Feb!$B$81:$C$81</c15:sqref>
                        </c15:formulaRef>
                      </c:ext>
                    </c:extLst>
                    <c:strCache>
                      <c:ptCount val="2"/>
                      <c:pt idx="0">
                        <c:v>Target to Reach SCA Minimum </c:v>
                      </c:pt>
                      <c:pt idx="1">
                        <c:v>(kWh)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4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Feb!$D$77:$G$77</c15:sqref>
                        </c15:formulaRef>
                      </c:ext>
                    </c:extLst>
                    <c:strCache>
                      <c:ptCount val="4"/>
                      <c:pt idx="0">
                        <c:v>WEEK 1
(Feb1-8)</c:v>
                      </c:pt>
                      <c:pt idx="1">
                        <c:v>WEEK 2
(Feb9-15)</c:v>
                      </c:pt>
                      <c:pt idx="2">
                        <c:v>WEEk 3
(Feb16-22)</c:v>
                      </c:pt>
                      <c:pt idx="3">
                        <c:v>WEEk 4
(Feb23-28)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Feb!$D$81:$G$81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C3C-486F-8ECF-1B616BECF862}"/>
                  </c:ext>
                </c:extLst>
              </c15:ser>
            </c15:filteredLineSeries>
          </c:ext>
        </c:extLst>
      </c:lineChart>
      <c:catAx>
        <c:axId val="3056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4416"/>
        <c:crosses val="autoZero"/>
        <c:auto val="1"/>
        <c:lblAlgn val="ctr"/>
        <c:lblOffset val="100"/>
        <c:noMultiLvlLbl val="1"/>
      </c:catAx>
      <c:valAx>
        <c:axId val="3055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kWh</a:t>
                </a:r>
              </a:p>
            </c:rich>
          </c:tx>
          <c:layout>
            <c:manualLayout>
              <c:xMode val="edge"/>
              <c:yMode val="edge"/>
              <c:x val="0.16530445088964488"/>
              <c:y val="0.35705801198293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08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69028871391076"/>
          <c:y val="8.5110331300092601E-2"/>
          <c:w val="0.63956741004774031"/>
          <c:h val="0.5909229120624055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Feb!$B$132:$C$132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29D-42B0-ACC5-0EAD32C528AA}"/>
              </c:ext>
            </c:extLst>
          </c:dPt>
          <c:cat>
            <c:strRef>
              <c:f>Feb!$D$128:$G$128</c:f>
              <c:strCache>
                <c:ptCount val="4"/>
                <c:pt idx="0">
                  <c:v>WEEK 1
(Feb1-8)</c:v>
                </c:pt>
                <c:pt idx="1">
                  <c:v>WEEK 2
(Feb9-15)</c:v>
                </c:pt>
                <c:pt idx="2">
                  <c:v>WEEk 3
(Feb16-22)</c:v>
                </c:pt>
                <c:pt idx="3">
                  <c:v>WEEk 4
(Feb23-28)</c:v>
                </c:pt>
              </c:strCache>
            </c:strRef>
          </c:cat>
          <c:val>
            <c:numRef>
              <c:f>Feb!$D$132:$G$132</c:f>
              <c:numCache>
                <c:formatCode>_-* #,##0_-;\-* #,##0_-;_-* "-"??_-;_-@_-</c:formatCode>
                <c:ptCount val="4"/>
                <c:pt idx="0">
                  <c:v>188471.49</c:v>
                </c:pt>
                <c:pt idx="1">
                  <c:v>214281.47999999998</c:v>
                </c:pt>
                <c:pt idx="2">
                  <c:v>206325.81</c:v>
                </c:pt>
                <c:pt idx="3">
                  <c:v>165334.5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D-42B0-ACC5-0EAD32C528AA}"/>
            </c:ext>
          </c:extLst>
        </c:ser>
        <c:ser>
          <c:idx val="1"/>
          <c:order val="1"/>
          <c:tx>
            <c:strRef>
              <c:f>Feb!$B$131:$C$131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Feb!$D$128:$G$128</c:f>
              <c:strCache>
                <c:ptCount val="4"/>
                <c:pt idx="0">
                  <c:v>WEEK 1
(Feb1-8)</c:v>
                </c:pt>
                <c:pt idx="1">
                  <c:v>WEEK 2
(Feb9-15)</c:v>
                </c:pt>
                <c:pt idx="2">
                  <c:v>WEEk 3
(Feb16-22)</c:v>
                </c:pt>
                <c:pt idx="3">
                  <c:v>WEEk 4
(Feb23-28)</c:v>
                </c:pt>
              </c:strCache>
            </c:strRef>
          </c:cat>
          <c:val>
            <c:numRef>
              <c:f>Feb!$D$131:$G$131</c:f>
              <c:numCache>
                <c:formatCode>_-* #,##0_-;\-* #,##0_-;_-* "-"??_-;_-@_-</c:formatCode>
                <c:ptCount val="4"/>
                <c:pt idx="0">
                  <c:v>184023.01</c:v>
                </c:pt>
                <c:pt idx="1">
                  <c:v>181139.46</c:v>
                </c:pt>
                <c:pt idx="2">
                  <c:v>173668.49</c:v>
                </c:pt>
                <c:pt idx="3">
                  <c:v>147708.46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9D-42B0-ACC5-0EAD32C52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Feb!$B$130:$C$130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Feb!$D$128:$G$128</c15:sqref>
                        </c15:formulaRef>
                      </c:ext>
                    </c:extLst>
                    <c:strCache>
                      <c:ptCount val="4"/>
                      <c:pt idx="0">
                        <c:v>WEEK 1
(Feb1-8)</c:v>
                      </c:pt>
                      <c:pt idx="1">
                        <c:v>WEEK 2
(Feb9-15)</c:v>
                      </c:pt>
                      <c:pt idx="2">
                        <c:v>WEEk 3
(Feb16-22)</c:v>
                      </c:pt>
                      <c:pt idx="3">
                        <c:v>WEEk 4
(Feb23-28)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Feb!$D$130:$G$130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1822.01</c:v>
                      </c:pt>
                      <c:pt idx="1">
                        <c:v>1793.46</c:v>
                      </c:pt>
                      <c:pt idx="2">
                        <c:v>1719.49</c:v>
                      </c:pt>
                      <c:pt idx="3">
                        <c:v>1462.46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C29D-42B0-ACC5-0EAD32C528A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Feb!$B$133:$C$133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Feb!$D$128:$G$128</c:f>
              <c:strCache>
                <c:ptCount val="4"/>
                <c:pt idx="0">
                  <c:v>WEEK 1
(Feb1-8)</c:v>
                </c:pt>
                <c:pt idx="1">
                  <c:v>WEEK 2
(Feb9-15)</c:v>
                </c:pt>
                <c:pt idx="2">
                  <c:v>WEEk 3
(Feb16-22)</c:v>
                </c:pt>
                <c:pt idx="3">
                  <c:v>WEEk 4
(Feb23-28)</c:v>
                </c:pt>
              </c:strCache>
            </c:strRef>
          </c:cat>
          <c:val>
            <c:numRef>
              <c:f>Feb!$D$133:$G$133</c:f>
              <c:numCache>
                <c:formatCode>_-* #,##0_-;\-* #,##0_-;_-* "-"??_-;_-@_-</c:formatCode>
                <c:ptCount val="4"/>
                <c:pt idx="0">
                  <c:v>103.44152337253911</c:v>
                </c:pt>
                <c:pt idx="1">
                  <c:v>119.4793750627279</c:v>
                </c:pt>
                <c:pt idx="2">
                  <c:v>119.99244543440206</c:v>
                </c:pt>
                <c:pt idx="3">
                  <c:v>113.05232279857226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9D-42B0-ACC5-0EAD32C528AA}"/>
            </c:ext>
          </c:extLst>
        </c:ser>
        <c:ser>
          <c:idx val="4"/>
          <c:order val="4"/>
          <c:tx>
            <c:strRef>
              <c:f>Feb!$B$134:$C$134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Feb!$D$128:$G$128</c:f>
              <c:strCache>
                <c:ptCount val="4"/>
                <c:pt idx="0">
                  <c:v>WEEK 1
(Feb1-8)</c:v>
                </c:pt>
                <c:pt idx="1">
                  <c:v>WEEK 2
(Feb9-15)</c:v>
                </c:pt>
                <c:pt idx="2">
                  <c:v>WEEk 3
(Feb16-22)</c:v>
                </c:pt>
                <c:pt idx="3">
                  <c:v>WEEk 4
(Feb23-28)</c:v>
                </c:pt>
              </c:strCache>
            </c:strRef>
          </c:cat>
          <c:val>
            <c:numRef>
              <c:f>Feb!$D$134:$G$134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9D-42B0-ACC5-0EAD32C52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253760"/>
        <c:axId val="740266720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baseline="0"/>
                  <a:t>(</a:t>
                </a:r>
                <a:r>
                  <a:rPr lang="en-PH"/>
                  <a:t>Nm3)</a:t>
                </a:r>
              </a:p>
            </c:rich>
          </c:tx>
          <c:layout>
            <c:manualLayout>
              <c:xMode val="edge"/>
              <c:yMode val="edge"/>
              <c:x val="0.13632107956496156"/>
              <c:y val="0.309808368406482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740266720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53760"/>
        <c:crosses val="max"/>
        <c:crossBetween val="between"/>
      </c:valAx>
      <c:catAx>
        <c:axId val="740253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02667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Biogas Conversion (Yield) - Factoring the DS Content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94307296004804"/>
          <c:y val="7.2393844182113795E-2"/>
          <c:w val="0.64755261890531735"/>
          <c:h val="0.595684440389846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Feb!$B$174:$C$174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Feb!$D$128:$G$128</c:f>
              <c:strCache>
                <c:ptCount val="4"/>
                <c:pt idx="0">
                  <c:v>WEEK 1
(Feb1-8)</c:v>
                </c:pt>
                <c:pt idx="1">
                  <c:v>WEEK 2
(Feb9-15)</c:v>
                </c:pt>
                <c:pt idx="2">
                  <c:v>WEEk 3
(Feb16-22)</c:v>
                </c:pt>
                <c:pt idx="3">
                  <c:v>WEEk 4
(Feb23-28)</c:v>
                </c:pt>
              </c:strCache>
            </c:strRef>
          </c:cat>
          <c:val>
            <c:numRef>
              <c:f>Feb!$D$174:$G$174</c:f>
              <c:numCache>
                <c:formatCode>_-* #,##0_-;\-* #,##0_-;_-* "-"??_-;_-@_-</c:formatCode>
                <c:ptCount val="4"/>
                <c:pt idx="0">
                  <c:v>188471.49</c:v>
                </c:pt>
                <c:pt idx="1">
                  <c:v>214281.47999999998</c:v>
                </c:pt>
                <c:pt idx="2">
                  <c:v>206325.81</c:v>
                </c:pt>
                <c:pt idx="3">
                  <c:v>165334.5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F-4C26-BCEB-031CA2D6BFC8}"/>
            </c:ext>
          </c:extLst>
        </c:ser>
        <c:ser>
          <c:idx val="1"/>
          <c:order val="1"/>
          <c:tx>
            <c:strRef>
              <c:f>Feb!$B$173:$C$173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Feb!$D$128:$G$128</c:f>
              <c:strCache>
                <c:ptCount val="4"/>
                <c:pt idx="0">
                  <c:v>WEEK 1
(Feb1-8)</c:v>
                </c:pt>
                <c:pt idx="1">
                  <c:v>WEEK 2
(Feb9-15)</c:v>
                </c:pt>
                <c:pt idx="2">
                  <c:v>WEEk 3
(Feb16-22)</c:v>
                </c:pt>
                <c:pt idx="3">
                  <c:v>WEEk 4
(Feb23-28)</c:v>
                </c:pt>
              </c:strCache>
            </c:strRef>
          </c:cat>
          <c:val>
            <c:numRef>
              <c:f>Feb!$D$173:$G$173</c:f>
              <c:numCache>
                <c:formatCode>_-* #,##0_-;\-* #,##0_-;_-* "-"??_-;_-@_-</c:formatCode>
                <c:ptCount val="4"/>
                <c:pt idx="0">
                  <c:v>178612.73350599999</c:v>
                </c:pt>
                <c:pt idx="1">
                  <c:v>178591.43159600001</c:v>
                </c:pt>
                <c:pt idx="2">
                  <c:v>171677.09131466667</c:v>
                </c:pt>
                <c:pt idx="3">
                  <c:v>146359.38939866665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0F-4C26-BCEB-031CA2D6B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Feb!$B$130:$C$130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Feb!$D$128:$G$128</c15:sqref>
                        </c15:formulaRef>
                      </c:ext>
                    </c:extLst>
                    <c:strCache>
                      <c:ptCount val="4"/>
                      <c:pt idx="0">
                        <c:v>WEEK 1
(Feb1-8)</c:v>
                      </c:pt>
                      <c:pt idx="1">
                        <c:v>WEEK 2
(Feb9-15)</c:v>
                      </c:pt>
                      <c:pt idx="2">
                        <c:v>WEEk 3
(Feb16-22)</c:v>
                      </c:pt>
                      <c:pt idx="3">
                        <c:v>WEEk 4
(Feb23-28)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Feb!$D$130:$G$130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1822.01</c:v>
                      </c:pt>
                      <c:pt idx="1">
                        <c:v>1793.46</c:v>
                      </c:pt>
                      <c:pt idx="2">
                        <c:v>1719.49</c:v>
                      </c:pt>
                      <c:pt idx="3">
                        <c:v>1462.46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BA0F-4C26-BCEB-031CA2D6BFC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Feb!$B$176:$C$176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2.0278921618298227E-2"/>
                  <c:y val="-3.1348240859611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0F-4C26-BCEB-031CA2D6BFC8}"/>
                </c:ext>
              </c:extLst>
            </c:dLbl>
            <c:dLbl>
              <c:idx val="1"/>
              <c:layout>
                <c:manualLayout>
                  <c:x val="-1.3075589999027718E-3"/>
                  <c:y val="-2.4146229705798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0F-4C26-BCEB-031CA2D6BFC8}"/>
                </c:ext>
              </c:extLst>
            </c:dLbl>
            <c:dLbl>
              <c:idx val="2"/>
              <c:layout>
                <c:manualLayout>
                  <c:x val="-2.4536084465953872E-2"/>
                  <c:y val="-2.6102545666180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0F-4C26-BCEB-031CA2D6BF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Feb!$D$128:$G$128</c:f>
              <c:strCache>
                <c:ptCount val="4"/>
                <c:pt idx="0">
                  <c:v>WEEK 1
(Feb1-8)</c:v>
                </c:pt>
                <c:pt idx="1">
                  <c:v>WEEK 2
(Feb9-15)</c:v>
                </c:pt>
                <c:pt idx="2">
                  <c:v>WEEk 3
(Feb16-22)</c:v>
                </c:pt>
                <c:pt idx="3">
                  <c:v>WEEk 4
(Feb23-28)</c:v>
                </c:pt>
              </c:strCache>
            </c:strRef>
          </c:cat>
          <c:val>
            <c:numRef>
              <c:f>Feb!$D$176:$G$176</c:f>
              <c:numCache>
                <c:formatCode>_-* #,##0_-;\-* #,##0_-;_-* "-"??_-;_-@_-</c:formatCode>
                <c:ptCount val="4"/>
                <c:pt idx="0">
                  <c:v>106.57482317385033</c:v>
                </c:pt>
                <c:pt idx="1">
                  <c:v>121.18403042402586</c:v>
                </c:pt>
                <c:pt idx="2">
                  <c:v>121.38431895845906</c:v>
                </c:pt>
                <c:pt idx="3">
                  <c:v>114.09438484684007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0F-4C26-BCEB-031CA2D6BFC8}"/>
            </c:ext>
          </c:extLst>
        </c:ser>
        <c:ser>
          <c:idx val="4"/>
          <c:order val="4"/>
          <c:tx>
            <c:strRef>
              <c:f>Feb!$B$177:$C$177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Feb!$D$128:$G$128</c:f>
              <c:strCache>
                <c:ptCount val="4"/>
                <c:pt idx="0">
                  <c:v>WEEK 1
(Feb1-8)</c:v>
                </c:pt>
                <c:pt idx="1">
                  <c:v>WEEK 2
(Feb9-15)</c:v>
                </c:pt>
                <c:pt idx="2">
                  <c:v>WEEk 3
(Feb16-22)</c:v>
                </c:pt>
                <c:pt idx="3">
                  <c:v>WEEk 4
(Feb23-28)</c:v>
                </c:pt>
              </c:strCache>
            </c:strRef>
          </c:cat>
          <c:val>
            <c:numRef>
              <c:f>Feb!$D$177:$G$177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0F-4C26-BCEB-031CA2D6BFC8}"/>
            </c:ext>
          </c:extLst>
        </c:ser>
        <c:ser>
          <c:idx val="5"/>
          <c:order val="5"/>
          <c:tx>
            <c:strRef>
              <c:f>Feb!$B$175</c:f>
              <c:strCache>
                <c:ptCount val="1"/>
                <c:pt idx="0">
                  <c:v>%DS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Feb!$D$175:$G$175</c:f>
              <c:numCache>
                <c:formatCode>_(* #,##0.00_);_(* \(#,##0.00\);_(* "-"??_);_(@_)</c:formatCode>
                <c:ptCount val="4"/>
                <c:pt idx="0">
                  <c:v>14.558999999999999</c:v>
                </c:pt>
                <c:pt idx="1">
                  <c:v>14.789</c:v>
                </c:pt>
                <c:pt idx="2">
                  <c:v>14.827999999999999</c:v>
                </c:pt>
                <c:pt idx="3">
                  <c:v>14.863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A0F-4C26-BCEB-031CA2D6B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</a:t>
                </a:r>
              </a:p>
            </c:rich>
          </c:tx>
          <c:layout>
            <c:manualLayout>
              <c:xMode val="edge"/>
              <c:yMode val="edge"/>
              <c:x val="0.1338963604146387"/>
              <c:y val="0.38583079407906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Nm3/ton</a:t>
                </a:r>
              </a:p>
            </c:rich>
          </c:tx>
          <c:layout>
            <c:manualLayout>
              <c:xMode val="edge"/>
              <c:yMode val="edge"/>
              <c:x val="0.95544679367650542"/>
              <c:y val="0.412100607226448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037413340212502"/>
          <c:y val="0.11640982453860035"/>
          <c:w val="0.74370088205263363"/>
          <c:h val="0.45822964421204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Mar!$B$36:$C$36</c:f>
              <c:strCache>
                <c:ptCount val="2"/>
                <c:pt idx="0">
                  <c:v>Delivered (DPO)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Mar!$D$34:$G$34</c:f>
              <c:strCache>
                <c:ptCount val="4"/>
                <c:pt idx="0">
                  <c:v>WEEK 1
(Mar1-8)</c:v>
                </c:pt>
                <c:pt idx="1">
                  <c:v>WEEK 2
(Mar9-15)</c:v>
                </c:pt>
                <c:pt idx="2">
                  <c:v>WEEk 3
(Mar16-22)</c:v>
                </c:pt>
                <c:pt idx="3">
                  <c:v>WEEk 4
(Mar23-31)</c:v>
                </c:pt>
              </c:strCache>
            </c:strRef>
          </c:cat>
          <c:val>
            <c:numRef>
              <c:f>Mar!$D$36:$G$36</c:f>
              <c:numCache>
                <c:formatCode>_-* #,##0_-;\-* #,##0_-;_-* "-"??_-;_-@_-</c:formatCode>
                <c:ptCount val="4"/>
                <c:pt idx="0">
                  <c:v>1848.86</c:v>
                </c:pt>
                <c:pt idx="1">
                  <c:v>1560.11</c:v>
                </c:pt>
                <c:pt idx="2">
                  <c:v>1715.53</c:v>
                </c:pt>
                <c:pt idx="3">
                  <c:v>1415.66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B-45FD-88E3-777DEB8B7BB1}"/>
            </c:ext>
          </c:extLst>
        </c:ser>
        <c:ser>
          <c:idx val="2"/>
          <c:order val="1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'Mar actual FM vol'!$D$32:$H$32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'Mar actual FM vol'!$D$37:$H$37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E85B-45FD-88E3-777DEB8B7BB1}"/>
            </c:ext>
          </c:extLst>
        </c:ser>
        <c:ser>
          <c:idx val="5"/>
          <c:order val="4"/>
          <c:tx>
            <c:strRef>
              <c:f>Mar!$B$37</c:f>
              <c:strCache>
                <c:ptCount val="1"/>
                <c:pt idx="0">
                  <c:v>Diverted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Mar!$D$37:$G$37</c:f>
              <c:numCache>
                <c:formatCode>_-* #,##0.0_-;\-* #,##0.0_-;_-* "-"??_-;_-@_-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E85B-45FD-88E3-777DEB8B7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"/>
        <c:axId val="1931926304"/>
        <c:axId val="1732677184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Mar!$B$40:$C$40</c15:sqref>
                        </c15:formulaRef>
                      </c:ext>
                    </c:extLst>
                    <c:strCache>
                      <c:ptCount val="2"/>
                      <c:pt idx="0">
                        <c:v>Monthly Accumulative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Mar!$D$34:$G$34</c15:sqref>
                        </c15:formulaRef>
                      </c:ext>
                    </c:extLst>
                    <c:strCache>
                      <c:ptCount val="4"/>
                      <c:pt idx="0">
                        <c:v>WEEK 1
(Mar1-8)</c:v>
                      </c:pt>
                      <c:pt idx="1">
                        <c:v>WEEK 2
(Mar9-15)</c:v>
                      </c:pt>
                      <c:pt idx="2">
                        <c:v>WEEk 3
(Mar16-22)</c:v>
                      </c:pt>
                      <c:pt idx="3">
                        <c:v>WEEk 4
(Mar23-31)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Mar!$D$40:$G$40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1848.86</c:v>
                      </c:pt>
                      <c:pt idx="1">
                        <c:v>3408.97</c:v>
                      </c:pt>
                      <c:pt idx="2">
                        <c:v>5124.5</c:v>
                      </c:pt>
                      <c:pt idx="3">
                        <c:v>6540.16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E85B-45FD-88E3-777DEB8B7BB1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3"/>
          <c:tx>
            <c:strRef>
              <c:f>Mar!$B$41:$C$41</c:f>
              <c:strCache>
                <c:ptCount val="2"/>
                <c:pt idx="0">
                  <c:v>Target to Reach SCA Minimum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Mar!$D$34:$G$34</c:f>
              <c:strCache>
                <c:ptCount val="4"/>
                <c:pt idx="0">
                  <c:v>WEEK 1
(Mar1-8)</c:v>
                </c:pt>
                <c:pt idx="1">
                  <c:v>WEEK 2
(Mar9-15)</c:v>
                </c:pt>
                <c:pt idx="2">
                  <c:v>WEEk 3
(Mar16-22)</c:v>
                </c:pt>
                <c:pt idx="3">
                  <c:v>WEEk 4
(Mar23-31)</c:v>
                </c:pt>
              </c:strCache>
            </c:strRef>
          </c:cat>
          <c:val>
            <c:numRef>
              <c:f>Mar!$D$41:$G$41</c:f>
              <c:numCache>
                <c:formatCode>_-* #,##0_-;\-* #,##0_-;_-* "-"??_-;_-@_-</c:formatCode>
                <c:ptCount val="4"/>
                <c:pt idx="0">
                  <c:v>4368.6898387096771</c:v>
                </c:pt>
                <c:pt idx="1">
                  <c:v>6888.5196774193546</c:v>
                </c:pt>
                <c:pt idx="2">
                  <c:v>9697.0995161290339</c:v>
                </c:pt>
                <c:pt idx="3">
                  <c:v>14222.555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85B-45FD-88E3-777DEB8B7BB1}"/>
            </c:ext>
          </c:extLst>
        </c:ser>
        <c:ser>
          <c:idx val="6"/>
          <c:order val="5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'Mar actual FM vol'!$D$37:$H$37</c:f>
            </c:numRef>
          </c:val>
          <c:smooth val="0"/>
          <c:extLst>
            <c:ext xmlns:c16="http://schemas.microsoft.com/office/drawing/2014/chart" uri="{C3380CC4-5D6E-409C-BE32-E72D297353CC}">
              <c16:uniqueId val="{00000004-E85B-45FD-88E3-777DEB8B7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6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931926304"/>
        <c:axId val="1732677184"/>
      </c:lineChart>
      <c:catAx>
        <c:axId val="193192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77184"/>
        <c:crosses val="autoZero"/>
        <c:auto val="1"/>
        <c:lblAlgn val="ctr"/>
        <c:lblOffset val="100"/>
        <c:noMultiLvlLbl val="1"/>
      </c:catAx>
      <c:valAx>
        <c:axId val="1732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MT</a:t>
                </a:r>
              </a:p>
            </c:rich>
          </c:tx>
          <c:layout>
            <c:manualLayout>
              <c:xMode val="edge"/>
              <c:yMode val="edge"/>
              <c:x val="0.19272070118622903"/>
              <c:y val="0.24359459230956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263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279257464172775"/>
          <c:y val="0.10060281860125968"/>
          <c:w val="0.67317823439612146"/>
          <c:h val="0.349919226078976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Mar!$B$115:$C$115</c:f>
              <c:strCache>
                <c:ptCount val="2"/>
                <c:pt idx="0">
                  <c:v>Delivered to Boilers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Mar!$D$114:$G$114</c:f>
              <c:strCache>
                <c:ptCount val="4"/>
                <c:pt idx="0">
                  <c:v>WEEK 1
(Mar1-8)</c:v>
                </c:pt>
                <c:pt idx="1">
                  <c:v>WEEK 2
(Mar9-15)</c:v>
                </c:pt>
                <c:pt idx="2">
                  <c:v>WEEk 3
(Mar16-22)</c:v>
                </c:pt>
                <c:pt idx="3">
                  <c:v>WEEk 4
(Mar23-31)</c:v>
                </c:pt>
              </c:strCache>
            </c:strRef>
          </c:cat>
          <c:val>
            <c:numRef>
              <c:f>Mar!$D$115:$G$115</c:f>
              <c:numCache>
                <c:formatCode>_-* #,##0_-;\-* #,##0_-;_-* "-"??_-;_-@_-</c:formatCode>
                <c:ptCount val="4"/>
                <c:pt idx="0">
                  <c:v>116823</c:v>
                </c:pt>
                <c:pt idx="1">
                  <c:v>98963</c:v>
                </c:pt>
                <c:pt idx="2">
                  <c:v>103165</c:v>
                </c:pt>
                <c:pt idx="3">
                  <c:v>88255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7-4B99-813A-58777F18CCC7}"/>
            </c:ext>
          </c:extLst>
        </c:ser>
        <c:ser>
          <c:idx val="1"/>
          <c:order val="1"/>
          <c:tx>
            <c:strRef>
              <c:f>Mar!$B$117:$C$117</c:f>
              <c:strCache>
                <c:ptCount val="2"/>
                <c:pt idx="0">
                  <c:v>Flared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Mar!$D$114:$G$114</c:f>
              <c:strCache>
                <c:ptCount val="4"/>
                <c:pt idx="0">
                  <c:v>WEEK 1
(Mar1-8)</c:v>
                </c:pt>
                <c:pt idx="1">
                  <c:v>WEEK 2
(Mar9-15)</c:v>
                </c:pt>
                <c:pt idx="2">
                  <c:v>WEEk 3
(Mar16-22)</c:v>
                </c:pt>
                <c:pt idx="3">
                  <c:v>WEEk 4
(Mar23-31)</c:v>
                </c:pt>
              </c:strCache>
            </c:strRef>
          </c:cat>
          <c:val>
            <c:numRef>
              <c:f>Mar!$D$117:$G$117</c:f>
              <c:numCache>
                <c:formatCode>_-* #,##0_-;\-* #,##0_-;_-* "-"??_-;_-@_-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5A37-4B99-813A-58777F18C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786448"/>
        <c:axId val="1745592720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Mar!$B$116:$C$116</c15:sqref>
                        </c15:formulaRef>
                      </c:ext>
                    </c:extLst>
                    <c:strCache>
                      <c:ptCount val="2"/>
                      <c:pt idx="0">
                        <c:v>Delivered to Engine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Mar!$D$116:$G$116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76516</c:v>
                      </c:pt>
                      <c:pt idx="1">
                        <c:v>65798.59</c:v>
                      </c:pt>
                      <c:pt idx="2">
                        <c:v>71364.33</c:v>
                      </c:pt>
                      <c:pt idx="3">
                        <c:v>68102.53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5A37-4B99-813A-58777F18CCC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Mar!$B$121:$C$121</c:f>
              <c:strCache>
                <c:ptCount val="2"/>
                <c:pt idx="0">
                  <c:v>Target to Reach SCA min</c:v>
                </c:pt>
                <c:pt idx="1">
                  <c:v>(Nm3)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Mar!$D$114:$G$114</c:f>
              <c:strCache>
                <c:ptCount val="4"/>
                <c:pt idx="0">
                  <c:v>WEEK 1
(Mar1-8)</c:v>
                </c:pt>
                <c:pt idx="1">
                  <c:v>WEEK 2
(Mar9-15)</c:v>
                </c:pt>
                <c:pt idx="2">
                  <c:v>WEEk 3
(Mar16-22)</c:v>
                </c:pt>
                <c:pt idx="3">
                  <c:v>WEEk 4
(Mar23-31)</c:v>
                </c:pt>
              </c:strCache>
            </c:strRef>
          </c:cat>
          <c:val>
            <c:numRef>
              <c:f>Mar!$D$121:$G$121</c:f>
              <c:numCache>
                <c:formatCode>_-* #,##0_-;\-* #,##0_-;_-* "-"??_-;_-@_-</c:formatCode>
                <c:ptCount val="4"/>
                <c:pt idx="0">
                  <c:v>405225.75</c:v>
                </c:pt>
                <c:pt idx="1">
                  <c:v>501360</c:v>
                </c:pt>
                <c:pt idx="2">
                  <c:v>702558.5</c:v>
                </c:pt>
                <c:pt idx="3">
                  <c:v>1230587.67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37-4B99-813A-58777F18CCC7}"/>
            </c:ext>
          </c:extLst>
        </c:ser>
        <c:ser>
          <c:idx val="6"/>
          <c:order val="6"/>
          <c:tx>
            <c:strRef>
              <c:f>Mar!$B$120:$C$120</c:f>
              <c:strCache>
                <c:ptCount val="2"/>
                <c:pt idx="0">
                  <c:v>Target Gas based on Delivered Substrates</c:v>
                </c:pt>
                <c:pt idx="1">
                  <c:v>(Nm3)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Mar!$D$114:$G$114</c:f>
              <c:strCache>
                <c:ptCount val="4"/>
                <c:pt idx="0">
                  <c:v>WEEK 1
(Mar1-8)</c:v>
                </c:pt>
                <c:pt idx="1">
                  <c:v>WEEK 2
(Mar9-15)</c:v>
                </c:pt>
                <c:pt idx="2">
                  <c:v>WEEk 3
(Mar16-22)</c:v>
                </c:pt>
                <c:pt idx="3">
                  <c:v>WEEk 4
(Mar23-31)</c:v>
                </c:pt>
              </c:strCache>
            </c:strRef>
          </c:cat>
          <c:val>
            <c:numRef>
              <c:f>Mar!$D$120:$G$120</c:f>
              <c:numCache>
                <c:formatCode>_-* #,##0_-;\-* #,##0_-;_-* "-"??_-;_-@_-</c:formatCode>
                <c:ptCount val="4"/>
                <c:pt idx="0">
                  <c:v>146437.477212</c:v>
                </c:pt>
                <c:pt idx="1">
                  <c:v>123567.26446199999</c:v>
                </c:pt>
                <c:pt idx="2">
                  <c:v>135877.18122599999</c:v>
                </c:pt>
                <c:pt idx="3">
                  <c:v>112126.217772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37-4B99-813A-58777F18C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786448"/>
        <c:axId val="174559272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Mar!$B$118:$C$118</c15:sqref>
                        </c15:formulaRef>
                      </c:ext>
                    </c:extLst>
                    <c:strCache>
                      <c:ptCount val="2"/>
                      <c:pt idx="0">
                        <c:v>Total Produced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Mar!$D$114:$G$114</c15:sqref>
                        </c15:formulaRef>
                      </c:ext>
                    </c:extLst>
                    <c:strCache>
                      <c:ptCount val="4"/>
                      <c:pt idx="0">
                        <c:v>WEEK 1
(Mar1-8)</c:v>
                      </c:pt>
                      <c:pt idx="1">
                        <c:v>WEEK 2
(Mar9-15)</c:v>
                      </c:pt>
                      <c:pt idx="2">
                        <c:v>WEEk 3
(Mar16-22)</c:v>
                      </c:pt>
                      <c:pt idx="3">
                        <c:v>WEEk 4
(Mar23-31)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Mar!$D$118:$G$118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116823</c:v>
                      </c:pt>
                      <c:pt idx="1">
                        <c:v>98963</c:v>
                      </c:pt>
                      <c:pt idx="2">
                        <c:v>174529.33000000002</c:v>
                      </c:pt>
                      <c:pt idx="3">
                        <c:v>156357.53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A37-4B99-813A-58777F18CCC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Mar!$B$119:$C$119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Mar!$D$114:$G$114</c15:sqref>
                        </c15:formulaRef>
                      </c:ext>
                    </c:extLst>
                    <c:strCache>
                      <c:ptCount val="4"/>
                      <c:pt idx="0">
                        <c:v>WEEK 1
(Mar1-8)</c:v>
                      </c:pt>
                      <c:pt idx="1">
                        <c:v>WEEK 2
(Mar9-15)</c:v>
                      </c:pt>
                      <c:pt idx="2">
                        <c:v>WEEk 3
(Mar16-22)</c:v>
                      </c:pt>
                      <c:pt idx="3">
                        <c:v>WEEk 4
(Mar23-31)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Mar!$D$119:$G$119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116823</c:v>
                      </c:pt>
                      <c:pt idx="1">
                        <c:v>215786</c:v>
                      </c:pt>
                      <c:pt idx="2">
                        <c:v>390315.33</c:v>
                      </c:pt>
                      <c:pt idx="3">
                        <c:v>546672.86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A37-4B99-813A-58777F18CCC7}"/>
                  </c:ext>
                </c:extLst>
              </c15:ser>
            </c15:filteredLineSeries>
          </c:ext>
        </c:extLst>
      </c:lineChart>
      <c:catAx>
        <c:axId val="17237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92720"/>
        <c:crosses val="autoZero"/>
        <c:auto val="1"/>
        <c:lblAlgn val="ctr"/>
        <c:lblOffset val="100"/>
        <c:noMultiLvlLbl val="1"/>
      </c:catAx>
      <c:valAx>
        <c:axId val="17455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(Nm3)</a:t>
                </a:r>
              </a:p>
            </c:rich>
          </c:tx>
          <c:layout>
            <c:manualLayout>
              <c:xMode val="edge"/>
              <c:yMode val="edge"/>
              <c:x val="0.1572054197817343"/>
              <c:y val="0.21039484932677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86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7081569440655"/>
          <c:y val="0.12528405766264164"/>
          <c:w val="0.77286261321270178"/>
          <c:h val="0.59436211738049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Mar!$B$78:$C$78</c:f>
              <c:strCache>
                <c:ptCount val="2"/>
                <c:pt idx="0">
                  <c:v>Delivered</c:v>
                </c:pt>
                <c:pt idx="1">
                  <c:v>(kWh)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Mar!$D$77:$G$77</c:f>
              <c:strCache>
                <c:ptCount val="4"/>
                <c:pt idx="0">
                  <c:v>WEEK 1
(Mar1-8)</c:v>
                </c:pt>
                <c:pt idx="1">
                  <c:v>WEEK 2
(Mar9-15)</c:v>
                </c:pt>
                <c:pt idx="2">
                  <c:v>WEEk 3
(Mar16-22)</c:v>
                </c:pt>
                <c:pt idx="3">
                  <c:v>WEEk 4
(Mar23-31)</c:v>
                </c:pt>
              </c:strCache>
            </c:strRef>
          </c:cat>
          <c:val>
            <c:numRef>
              <c:f>Mar!$D$78:$G$78</c:f>
              <c:numCache>
                <c:formatCode>_-* #,##0_-;\-* #,##0_-;_-* "-"??_-;_-@_-</c:formatCode>
                <c:ptCount val="4"/>
                <c:pt idx="0">
                  <c:v>162800</c:v>
                </c:pt>
                <c:pt idx="1">
                  <c:v>139997</c:v>
                </c:pt>
                <c:pt idx="2">
                  <c:v>151839</c:v>
                </c:pt>
                <c:pt idx="3">
                  <c:v>144899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A-44EB-BCB9-4AA72E9CD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05608704"/>
        <c:axId val="305574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Mar!$B$79:$C$79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(kWh)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Mar!$D$77:$G$77</c15:sqref>
                        </c15:formulaRef>
                      </c:ext>
                    </c:extLst>
                    <c:strCache>
                      <c:ptCount val="4"/>
                      <c:pt idx="0">
                        <c:v>WEEK 1
(Mar1-8)</c:v>
                      </c:pt>
                      <c:pt idx="1">
                        <c:v>WEEK 2
(Mar9-15)</c:v>
                      </c:pt>
                      <c:pt idx="2">
                        <c:v>WEEk 3
(Mar16-22)</c:v>
                      </c:pt>
                      <c:pt idx="3">
                        <c:v>WEEk 4
(Mar23-31)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Mar!$D$79:$G$79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162800</c:v>
                      </c:pt>
                      <c:pt idx="1">
                        <c:v>302797</c:v>
                      </c:pt>
                      <c:pt idx="2">
                        <c:v>454636</c:v>
                      </c:pt>
                      <c:pt idx="3">
                        <c:v>599535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67A-44EB-BCB9-4AA72E9CD69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Mar!$B$80:$C$80</c:f>
              <c:strCache>
                <c:ptCount val="2"/>
                <c:pt idx="0">
                  <c:v>Target to Reach SCA Minimum </c:v>
                </c:pt>
                <c:pt idx="1">
                  <c:v>(kWh)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Mar!$D$77:$G$77</c:f>
              <c:strCache>
                <c:ptCount val="4"/>
                <c:pt idx="0">
                  <c:v>WEEK 1
(Mar1-8)</c:v>
                </c:pt>
                <c:pt idx="1">
                  <c:v>WEEK 2
(Mar9-15)</c:v>
                </c:pt>
                <c:pt idx="2">
                  <c:v>WEEk 3
(Mar16-22)</c:v>
                </c:pt>
                <c:pt idx="3">
                  <c:v>WEEk 4
(Mar23-31)</c:v>
                </c:pt>
              </c:strCache>
            </c:strRef>
          </c:cat>
          <c:val>
            <c:numRef>
              <c:f>Mar!$D$80:$G$80</c:f>
              <c:numCache>
                <c:formatCode>_-* #,##0_-;\-* #,##0_-;_-* "-"??_-;_-@_-</c:formatCode>
                <c:ptCount val="4"/>
                <c:pt idx="0">
                  <c:v>382421.8125</c:v>
                </c:pt>
                <c:pt idx="1">
                  <c:v>455629.08333333331</c:v>
                </c:pt>
                <c:pt idx="2">
                  <c:v>613445.125</c:v>
                </c:pt>
                <c:pt idx="3">
                  <c:v>1075051.25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7A-44EB-BCB9-4AA72E9CD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08704"/>
        <c:axId val="305574416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Mar!$B$81:$C$81</c15:sqref>
                        </c15:formulaRef>
                      </c:ext>
                    </c:extLst>
                    <c:strCache>
                      <c:ptCount val="2"/>
                      <c:pt idx="0">
                        <c:v>Target to Reach SCA Minimum </c:v>
                      </c:pt>
                      <c:pt idx="1">
                        <c:v>(kWh)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4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Mar!$D$77:$G$77</c15:sqref>
                        </c15:formulaRef>
                      </c:ext>
                    </c:extLst>
                    <c:strCache>
                      <c:ptCount val="4"/>
                      <c:pt idx="0">
                        <c:v>WEEK 1
(Mar1-8)</c:v>
                      </c:pt>
                      <c:pt idx="1">
                        <c:v>WEEK 2
(Mar9-15)</c:v>
                      </c:pt>
                      <c:pt idx="2">
                        <c:v>WEEk 3
(Mar16-22)</c:v>
                      </c:pt>
                      <c:pt idx="3">
                        <c:v>WEEk 4
(Mar23-31)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Mar!$D$81:$G$81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67A-44EB-BCB9-4AA72E9CD69B}"/>
                  </c:ext>
                </c:extLst>
              </c15:ser>
            </c15:filteredLineSeries>
          </c:ext>
        </c:extLst>
      </c:lineChart>
      <c:catAx>
        <c:axId val="3056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4416"/>
        <c:crosses val="autoZero"/>
        <c:auto val="1"/>
        <c:lblAlgn val="ctr"/>
        <c:lblOffset val="100"/>
        <c:noMultiLvlLbl val="1"/>
      </c:catAx>
      <c:valAx>
        <c:axId val="3055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kWh</a:t>
                </a:r>
              </a:p>
            </c:rich>
          </c:tx>
          <c:layout>
            <c:manualLayout>
              <c:xMode val="edge"/>
              <c:yMode val="edge"/>
              <c:x val="0.16530445088964488"/>
              <c:y val="0.35705801198293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08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69028871391076"/>
          <c:y val="8.5110331300092601E-2"/>
          <c:w val="0.63956741004774031"/>
          <c:h val="0.5909229120624055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Mar!$B$132:$C$132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2CC-4437-A115-E93838280200}"/>
              </c:ext>
            </c:extLst>
          </c:dPt>
          <c:cat>
            <c:strRef>
              <c:f>Mar!$D$128:$G$128</c:f>
              <c:strCache>
                <c:ptCount val="4"/>
                <c:pt idx="0">
                  <c:v>WEEK 1
(Mar1-8)</c:v>
                </c:pt>
                <c:pt idx="1">
                  <c:v>WEEK 2
(Mar9-15)</c:v>
                </c:pt>
                <c:pt idx="2">
                  <c:v>WEEk 3
(Mar16-22)</c:v>
                </c:pt>
                <c:pt idx="3">
                  <c:v>WEEk 4
(Mar23-31)</c:v>
                </c:pt>
              </c:strCache>
            </c:strRef>
          </c:cat>
          <c:val>
            <c:numRef>
              <c:f>Mar!$D$132:$G$132</c:f>
              <c:numCache>
                <c:formatCode>_-* #,##0_-;\-* #,##0_-;_-* "-"??_-;_-@_-</c:formatCode>
                <c:ptCount val="4"/>
                <c:pt idx="0">
                  <c:v>193339</c:v>
                </c:pt>
                <c:pt idx="1">
                  <c:v>164761.59</c:v>
                </c:pt>
                <c:pt idx="2">
                  <c:v>174529.33000000002</c:v>
                </c:pt>
                <c:pt idx="3">
                  <c:v>156357.53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CC-4437-A115-E93838280200}"/>
            </c:ext>
          </c:extLst>
        </c:ser>
        <c:ser>
          <c:idx val="1"/>
          <c:order val="1"/>
          <c:tx>
            <c:strRef>
              <c:f>Mar!$B$131:$C$131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Mar!$D$128:$G$128</c:f>
              <c:strCache>
                <c:ptCount val="4"/>
                <c:pt idx="0">
                  <c:v>WEEK 1
(Mar1-8)</c:v>
                </c:pt>
                <c:pt idx="1">
                  <c:v>WEEK 2
(Mar9-15)</c:v>
                </c:pt>
                <c:pt idx="2">
                  <c:v>WEEk 3
(Mar16-22)</c:v>
                </c:pt>
                <c:pt idx="3">
                  <c:v>WEEk 4
(Mar23-31)</c:v>
                </c:pt>
              </c:strCache>
            </c:strRef>
          </c:cat>
          <c:val>
            <c:numRef>
              <c:f>Mar!$D$131:$G$131</c:f>
              <c:numCache>
                <c:formatCode>_-* #,##0_-;\-* #,##0_-;_-* "-"??_-;_-@_-</c:formatCode>
                <c:ptCount val="4"/>
                <c:pt idx="0">
                  <c:v>186734.86</c:v>
                </c:pt>
                <c:pt idx="1">
                  <c:v>157571.10999999999</c:v>
                </c:pt>
                <c:pt idx="2">
                  <c:v>173268.53</c:v>
                </c:pt>
                <c:pt idx="3">
                  <c:v>142981.66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CC-4437-A115-E93838280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Mar!$B$130:$C$130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Mar!$D$128:$G$128</c15:sqref>
                        </c15:formulaRef>
                      </c:ext>
                    </c:extLst>
                    <c:strCache>
                      <c:ptCount val="4"/>
                      <c:pt idx="0">
                        <c:v>WEEK 1
(Mar1-8)</c:v>
                      </c:pt>
                      <c:pt idx="1">
                        <c:v>WEEK 2
(Mar9-15)</c:v>
                      </c:pt>
                      <c:pt idx="2">
                        <c:v>WEEk 3
(Mar16-22)</c:v>
                      </c:pt>
                      <c:pt idx="3">
                        <c:v>WEEk 4
(Mar23-31)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Mar!$D$130:$G$130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1848.86</c:v>
                      </c:pt>
                      <c:pt idx="1">
                        <c:v>1560.11</c:v>
                      </c:pt>
                      <c:pt idx="2">
                        <c:v>1715.53</c:v>
                      </c:pt>
                      <c:pt idx="3">
                        <c:v>1415.66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12CC-4437-A115-E9383828020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Mar!$B$133:$C$133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Mar!$D$128:$G$128</c:f>
              <c:strCache>
                <c:ptCount val="4"/>
                <c:pt idx="0">
                  <c:v>WEEK 1
(Mar1-8)</c:v>
                </c:pt>
                <c:pt idx="1">
                  <c:v>WEEK 2
(Mar9-15)</c:v>
                </c:pt>
                <c:pt idx="2">
                  <c:v>WEEk 3
(Mar16-22)</c:v>
                </c:pt>
                <c:pt idx="3">
                  <c:v>WEEk 4
(Mar23-31)</c:v>
                </c:pt>
              </c:strCache>
            </c:strRef>
          </c:cat>
          <c:val>
            <c:numRef>
              <c:f>Mar!$D$133:$G$133</c:f>
              <c:numCache>
                <c:formatCode>_-* #,##0_-;\-* #,##0_-;_-* "-"??_-;_-@_-</c:formatCode>
                <c:ptCount val="4"/>
                <c:pt idx="0">
                  <c:v>104.57200653375594</c:v>
                </c:pt>
                <c:pt idx="1">
                  <c:v>105.60895706072009</c:v>
                </c:pt>
                <c:pt idx="2">
                  <c:v>101.73493322763228</c:v>
                </c:pt>
                <c:pt idx="3">
                  <c:v>110.4485045844341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CC-4437-A115-E93838280200}"/>
            </c:ext>
          </c:extLst>
        </c:ser>
        <c:ser>
          <c:idx val="4"/>
          <c:order val="4"/>
          <c:tx>
            <c:strRef>
              <c:f>Mar!$B$134:$C$134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Mar!$D$128:$G$128</c:f>
              <c:strCache>
                <c:ptCount val="4"/>
                <c:pt idx="0">
                  <c:v>WEEK 1
(Mar1-8)</c:v>
                </c:pt>
                <c:pt idx="1">
                  <c:v>WEEK 2
(Mar9-15)</c:v>
                </c:pt>
                <c:pt idx="2">
                  <c:v>WEEk 3
(Mar16-22)</c:v>
                </c:pt>
                <c:pt idx="3">
                  <c:v>WEEk 4
(Mar23-31)</c:v>
                </c:pt>
              </c:strCache>
            </c:strRef>
          </c:cat>
          <c:val>
            <c:numRef>
              <c:f>Mar!$D$134:$G$134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CC-4437-A115-E93838280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253760"/>
        <c:axId val="740266720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baseline="0"/>
                  <a:t>(</a:t>
                </a:r>
                <a:r>
                  <a:rPr lang="en-PH"/>
                  <a:t>Nm3)</a:t>
                </a:r>
              </a:p>
            </c:rich>
          </c:tx>
          <c:layout>
            <c:manualLayout>
              <c:xMode val="edge"/>
              <c:yMode val="edge"/>
              <c:x val="0.13632107956496156"/>
              <c:y val="0.309808368406482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740266720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53760"/>
        <c:crosses val="max"/>
        <c:crossBetween val="between"/>
      </c:valAx>
      <c:catAx>
        <c:axId val="740253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02667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Biogas Conversion (Yield) - Factoring the DS Content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94307296004804"/>
          <c:y val="7.2393844182113795E-2"/>
          <c:w val="0.64755261890531735"/>
          <c:h val="0.595684440389846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Mar!$B$174:$C$174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Mar!$D$128:$G$128</c:f>
              <c:strCache>
                <c:ptCount val="4"/>
                <c:pt idx="0">
                  <c:v>WEEK 1
(Mar1-8)</c:v>
                </c:pt>
                <c:pt idx="1">
                  <c:v>WEEK 2
(Mar9-15)</c:v>
                </c:pt>
                <c:pt idx="2">
                  <c:v>WEEk 3
(Mar16-22)</c:v>
                </c:pt>
                <c:pt idx="3">
                  <c:v>WEEk 4
(Mar23-31)</c:v>
                </c:pt>
              </c:strCache>
            </c:strRef>
          </c:cat>
          <c:val>
            <c:numRef>
              <c:f>Mar!$D$174:$G$174</c:f>
              <c:numCache>
                <c:formatCode>_-* #,##0_-;\-* #,##0_-;_-* "-"??_-;_-@_-</c:formatCode>
                <c:ptCount val="4"/>
                <c:pt idx="0">
                  <c:v>193339</c:v>
                </c:pt>
                <c:pt idx="1">
                  <c:v>164761.59</c:v>
                </c:pt>
                <c:pt idx="2">
                  <c:v>174529.33000000002</c:v>
                </c:pt>
                <c:pt idx="3">
                  <c:v>156357.53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3-435C-8313-16302F28ACB5}"/>
            </c:ext>
          </c:extLst>
        </c:ser>
        <c:ser>
          <c:idx val="1"/>
          <c:order val="1"/>
          <c:tx>
            <c:strRef>
              <c:f>Mar!$B$173:$C$173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Mar!$D$128:$G$128</c:f>
              <c:strCache>
                <c:ptCount val="4"/>
                <c:pt idx="0">
                  <c:v>WEEK 1
(Mar1-8)</c:v>
                </c:pt>
                <c:pt idx="1">
                  <c:v>WEEK 2
(Mar9-15)</c:v>
                </c:pt>
                <c:pt idx="2">
                  <c:v>WEEk 3
(Mar16-22)</c:v>
                </c:pt>
                <c:pt idx="3">
                  <c:v>WEEk 4
(Mar23-31)</c:v>
                </c:pt>
              </c:strCache>
            </c:strRef>
          </c:cat>
          <c:val>
            <c:numRef>
              <c:f>Mar!$D$173:$G$173</c:f>
              <c:numCache>
                <c:formatCode>_-* #,##0_-;\-* #,##0_-;_-* "-"??_-;_-@_-</c:formatCode>
                <c:ptCount val="4"/>
                <c:pt idx="0">
                  <c:v>186648</c:v>
                </c:pt>
                <c:pt idx="1">
                  <c:v>157571.10999999999</c:v>
                </c:pt>
                <c:pt idx="2">
                  <c:v>173268.53</c:v>
                </c:pt>
                <c:pt idx="3">
                  <c:v>137576.95325200001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E3-435C-8313-16302F28A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Mar!$B$130:$C$130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Mar!$D$128:$G$128</c15:sqref>
                        </c15:formulaRef>
                      </c:ext>
                    </c:extLst>
                    <c:strCache>
                      <c:ptCount val="4"/>
                      <c:pt idx="0">
                        <c:v>WEEK 1
(Mar1-8)</c:v>
                      </c:pt>
                      <c:pt idx="1">
                        <c:v>WEEK 2
(Mar9-15)</c:v>
                      </c:pt>
                      <c:pt idx="2">
                        <c:v>WEEk 3
(Mar16-22)</c:v>
                      </c:pt>
                      <c:pt idx="3">
                        <c:v>WEEk 4
(Mar23-31)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Mar!$D$130:$G$130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1848.86</c:v>
                      </c:pt>
                      <c:pt idx="1">
                        <c:v>1560.11</c:v>
                      </c:pt>
                      <c:pt idx="2">
                        <c:v>1715.53</c:v>
                      </c:pt>
                      <c:pt idx="3">
                        <c:v>1415.66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73E3-435C-8313-16302F28ACB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Mar!$B$176:$C$176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2.0278921618298227E-2"/>
                  <c:y val="-3.1348240859611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E3-435C-8313-16302F28ACB5}"/>
                </c:ext>
              </c:extLst>
            </c:dLbl>
            <c:dLbl>
              <c:idx val="1"/>
              <c:layout>
                <c:manualLayout>
                  <c:x val="-1.3075589999027718E-3"/>
                  <c:y val="-2.4146229705798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E3-435C-8313-16302F28ACB5}"/>
                </c:ext>
              </c:extLst>
            </c:dLbl>
            <c:dLbl>
              <c:idx val="2"/>
              <c:layout>
                <c:manualLayout>
                  <c:x val="-2.4536084465953872E-2"/>
                  <c:y val="-2.6102545666180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E3-435C-8313-16302F28AC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Mar!$D$128:$G$128</c:f>
              <c:strCache>
                <c:ptCount val="4"/>
                <c:pt idx="0">
                  <c:v>WEEK 1
(Mar1-8)</c:v>
                </c:pt>
                <c:pt idx="1">
                  <c:v>WEEK 2
(Mar9-15)</c:v>
                </c:pt>
                <c:pt idx="2">
                  <c:v>WEEk 3
(Mar16-22)</c:v>
                </c:pt>
                <c:pt idx="3">
                  <c:v>WEEk 4
(Mar23-31)</c:v>
                </c:pt>
              </c:strCache>
            </c:strRef>
          </c:cat>
          <c:val>
            <c:numRef>
              <c:f>Mar!$D$176:$G$176</c:f>
              <c:numCache>
                <c:formatCode>_-* #,##0_-;\-* #,##0_-;_-* "-"??_-;_-@_-</c:formatCode>
                <c:ptCount val="4"/>
                <c:pt idx="0">
                  <c:v>105</c:v>
                </c:pt>
                <c:pt idx="1">
                  <c:v>106</c:v>
                </c:pt>
                <c:pt idx="2">
                  <c:v>102</c:v>
                </c:pt>
                <c:pt idx="3">
                  <c:v>114.7874709877719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E3-435C-8313-16302F28ACB5}"/>
            </c:ext>
          </c:extLst>
        </c:ser>
        <c:ser>
          <c:idx val="4"/>
          <c:order val="4"/>
          <c:tx>
            <c:strRef>
              <c:f>Mar!$B$177:$C$177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Mar!$D$128:$G$128</c:f>
              <c:strCache>
                <c:ptCount val="4"/>
                <c:pt idx="0">
                  <c:v>WEEK 1
(Mar1-8)</c:v>
                </c:pt>
                <c:pt idx="1">
                  <c:v>WEEK 2
(Mar9-15)</c:v>
                </c:pt>
                <c:pt idx="2">
                  <c:v>WEEk 3
(Mar16-22)</c:v>
                </c:pt>
                <c:pt idx="3">
                  <c:v>WEEk 4
(Mar23-31)</c:v>
                </c:pt>
              </c:strCache>
            </c:strRef>
          </c:cat>
          <c:val>
            <c:numRef>
              <c:f>Mar!$D$177:$G$177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E3-435C-8313-16302F28ACB5}"/>
            </c:ext>
          </c:extLst>
        </c:ser>
        <c:ser>
          <c:idx val="5"/>
          <c:order val="5"/>
          <c:tx>
            <c:strRef>
              <c:f>Mar!$B$175</c:f>
              <c:strCache>
                <c:ptCount val="1"/>
                <c:pt idx="0">
                  <c:v>%DS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Mar!$D$175:$G$175</c:f>
              <c:numCache>
                <c:formatCode>_(* #,##0.00_);_(* \(#,##0.00\);_(* "-"??_);_(@_)</c:formatCode>
                <c:ptCount val="4"/>
                <c:pt idx="0">
                  <c:v>17.48</c:v>
                </c:pt>
                <c:pt idx="1">
                  <c:v>16.21</c:v>
                </c:pt>
                <c:pt idx="2">
                  <c:v>16.03</c:v>
                </c:pt>
                <c:pt idx="3">
                  <c:v>14.433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E3-435C-8313-16302F28A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</a:t>
                </a:r>
              </a:p>
            </c:rich>
          </c:tx>
          <c:layout>
            <c:manualLayout>
              <c:xMode val="edge"/>
              <c:yMode val="edge"/>
              <c:x val="0.1338963604146387"/>
              <c:y val="0.38583079407906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Nm3/ton</a:t>
                </a:r>
              </a:p>
            </c:rich>
          </c:tx>
          <c:layout>
            <c:manualLayout>
              <c:xMode val="edge"/>
              <c:yMode val="edge"/>
              <c:x val="0.95544679367650542"/>
              <c:y val="0.412100607226448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037413340212502"/>
          <c:y val="0.11640982453860035"/>
          <c:w val="0.74370088205263363"/>
          <c:h val="0.45822964421204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'Apr(SCA)'!$B$36:$C$36</c:f>
              <c:strCache>
                <c:ptCount val="2"/>
                <c:pt idx="0">
                  <c:v>Delivered (DPO)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'Apr(SCA)'!$D$34:$H$34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'Apr(SCA)'!$D$36:$H$36</c:f>
              <c:numCache>
                <c:formatCode>_-* #,##0_-;\-* #,##0_-;_-* "-"??_-;_-@_-</c:formatCode>
                <c:ptCount val="5"/>
                <c:pt idx="0">
                  <c:v>1112.79</c:v>
                </c:pt>
                <c:pt idx="1">
                  <c:v>1301.55</c:v>
                </c:pt>
                <c:pt idx="2">
                  <c:v>1569.69</c:v>
                </c:pt>
                <c:pt idx="3">
                  <c:v>1469.75</c:v>
                </c:pt>
                <c:pt idx="4">
                  <c:v>947.86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0-4FFA-9590-A74D4BED7C86}"/>
            </c:ext>
          </c:extLst>
        </c:ser>
        <c:ser>
          <c:idx val="2"/>
          <c:order val="1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'Apr(SCA)'!$D$34:$H$34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'Mar actual FM vol'!$D$37:$H$37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9300-4FFA-9590-A74D4BED7C86}"/>
            </c:ext>
          </c:extLst>
        </c:ser>
        <c:ser>
          <c:idx val="5"/>
          <c:order val="4"/>
          <c:tx>
            <c:strRef>
              <c:f>'Apr(SCA)'!$B$37</c:f>
              <c:strCache>
                <c:ptCount val="1"/>
                <c:pt idx="0">
                  <c:v>Diverted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'Apr(SCA)'!$D$34:$H$34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'Apr(SCA)'!$D$37:$H$37</c:f>
              <c:numCache>
                <c:formatCode>_-* #,##0.0_-;\-* #,##0.0_-;_-* "-"??_-;_-@_-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9300-4FFA-9590-A74D4BED7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"/>
        <c:axId val="1931926304"/>
        <c:axId val="1732677184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'Apr(SCA)'!$B$40:$C$40</c15:sqref>
                        </c15:formulaRef>
                      </c:ext>
                    </c:extLst>
                    <c:strCache>
                      <c:ptCount val="2"/>
                      <c:pt idx="0">
                        <c:v>Monthly Accumulative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'Apr(SCA)'!$D$34:$H$34</c15:sqref>
                        </c15:formulaRef>
                      </c:ext>
                    </c:extLst>
                    <c:strCache>
                      <c:ptCount val="5"/>
                      <c:pt idx="0">
                        <c:v>WEEK 1
(Apr1-5)</c:v>
                      </c:pt>
                      <c:pt idx="1">
                        <c:v>WEEK 2
(Apr6-12)</c:v>
                      </c:pt>
                      <c:pt idx="2">
                        <c:v>WEEK 3
(Apr13-19)</c:v>
                      </c:pt>
                      <c:pt idx="3">
                        <c:v>WEEK 4
(Apr20-26)</c:v>
                      </c:pt>
                      <c:pt idx="4">
                        <c:v>WEEk 5
(Apr27-30)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'Apr(SCA)'!$D$40:$G$40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1112.79</c:v>
                      </c:pt>
                      <c:pt idx="1">
                        <c:v>2414.34</c:v>
                      </c:pt>
                      <c:pt idx="2">
                        <c:v>3984.03</c:v>
                      </c:pt>
                      <c:pt idx="3">
                        <c:v>5453.7800000000007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9300-4FFA-9590-A74D4BED7C86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3"/>
          <c:tx>
            <c:strRef>
              <c:f>'Apr(SCA)'!$B$41:$C$41</c:f>
              <c:strCache>
                <c:ptCount val="2"/>
                <c:pt idx="0">
                  <c:v>Target to Reach SCA Minimum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'Apr(SCA)'!$D$34:$G$34</c:f>
              <c:strCache>
                <c:ptCount val="4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</c:strCache>
            </c:strRef>
          </c:cat>
          <c:val>
            <c:numRef>
              <c:f>'Apr(SCA)'!$D$41:$H$41</c:f>
              <c:numCache>
                <c:formatCode>_-* #,##0_-;\-* #,##0_-;_-* "-"??_-;_-@_-</c:formatCode>
                <c:ptCount val="5"/>
                <c:pt idx="0">
                  <c:v>1986.1111111111111</c:v>
                </c:pt>
                <c:pt idx="1">
                  <c:v>3653.876666666667</c:v>
                </c:pt>
                <c:pt idx="2">
                  <c:v>5132.8822222222225</c:v>
                </c:pt>
                <c:pt idx="3">
                  <c:v>6343.7477777777767</c:v>
                </c:pt>
                <c:pt idx="4">
                  <c:v>6462.8866666666654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300-4FFA-9590-A74D4BED7C86}"/>
            </c:ext>
          </c:extLst>
        </c:ser>
        <c:ser>
          <c:idx val="6"/>
          <c:order val="5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'Mar actual FM vol'!$D$37:$H$37</c:f>
            </c:numRef>
          </c:val>
          <c:smooth val="0"/>
          <c:extLst>
            <c:ext xmlns:c16="http://schemas.microsoft.com/office/drawing/2014/chart" uri="{C3380CC4-5D6E-409C-BE32-E72D297353CC}">
              <c16:uniqueId val="{00000004-9300-4FFA-9590-A74D4BED7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6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931926304"/>
        <c:axId val="1732677184"/>
      </c:lineChart>
      <c:catAx>
        <c:axId val="193192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77184"/>
        <c:crosses val="autoZero"/>
        <c:auto val="1"/>
        <c:lblAlgn val="ctr"/>
        <c:lblOffset val="100"/>
        <c:noMultiLvlLbl val="1"/>
      </c:catAx>
      <c:valAx>
        <c:axId val="1732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MT</a:t>
                </a:r>
              </a:p>
            </c:rich>
          </c:tx>
          <c:layout>
            <c:manualLayout>
              <c:xMode val="edge"/>
              <c:yMode val="edge"/>
              <c:x val="0.19272070118622903"/>
              <c:y val="0.24359459230956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263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279257464172775"/>
          <c:y val="0.10060281860125968"/>
          <c:w val="0.67317823439612146"/>
          <c:h val="0.349919226078976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'Apr(SCA)'!$B$114:$C$114</c:f>
              <c:strCache>
                <c:ptCount val="2"/>
                <c:pt idx="0">
                  <c:v>Delivered to Boilers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'Apr(SCA)'!$D$113:$H$113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'Apr(SCA)'!$D$114:$H$114</c:f>
              <c:numCache>
                <c:formatCode>_-* #,##0_-;\-* #,##0_-;_-* "-"??_-;_-@_-</c:formatCode>
                <c:ptCount val="5"/>
                <c:pt idx="0">
                  <c:v>62099</c:v>
                </c:pt>
                <c:pt idx="1">
                  <c:v>57133</c:v>
                </c:pt>
                <c:pt idx="2">
                  <c:v>78237</c:v>
                </c:pt>
                <c:pt idx="3">
                  <c:v>59405</c:v>
                </c:pt>
                <c:pt idx="4">
                  <c:v>54840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C-45B4-9681-C2E550EF4341}"/>
            </c:ext>
          </c:extLst>
        </c:ser>
        <c:ser>
          <c:idx val="1"/>
          <c:order val="1"/>
          <c:tx>
            <c:strRef>
              <c:f>'Apr(SCA)'!$B$116:$C$116</c:f>
              <c:strCache>
                <c:ptCount val="2"/>
                <c:pt idx="0">
                  <c:v>Flared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'Apr(SCA)'!$D$113:$H$113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'Apr(SCA)'!$D$116:$H$116</c:f>
              <c:numCache>
                <c:formatCode>_-* #,##0_-;\-* #,##0_-;_-* "-"??_-;_-@_-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3B6C-45B4-9681-C2E550EF4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786448"/>
        <c:axId val="1745592720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'Apr(SCA)'!$B$115:$C$115</c15:sqref>
                        </c15:formulaRef>
                      </c:ext>
                    </c:extLst>
                    <c:strCache>
                      <c:ptCount val="2"/>
                      <c:pt idx="0">
                        <c:v>Delivered to Engine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'Apr(SCA)'!$D$113:$H$113</c15:sqref>
                        </c15:formulaRef>
                      </c:ext>
                    </c:extLst>
                    <c:strCache>
                      <c:ptCount val="5"/>
                      <c:pt idx="0">
                        <c:v>WEEK 1
(Apr1-5)</c:v>
                      </c:pt>
                      <c:pt idx="1">
                        <c:v>WEEK 2
(Apr6-12)</c:v>
                      </c:pt>
                      <c:pt idx="2">
                        <c:v>WEEK 3
(Apr13-19)</c:v>
                      </c:pt>
                      <c:pt idx="3">
                        <c:v>WEEK 4
(Apr20-26)</c:v>
                      </c:pt>
                      <c:pt idx="4">
                        <c:v>WEEk 5
(Apr27-30)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'Apr(SCA)'!$D$115:$G$115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33761.040000000001</c:v>
                      </c:pt>
                      <c:pt idx="1">
                        <c:v>68190.89</c:v>
                      </c:pt>
                      <c:pt idx="2">
                        <c:v>65431.049999999996</c:v>
                      </c:pt>
                      <c:pt idx="3">
                        <c:v>41666.909999999996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3B6C-45B4-9681-C2E550EF434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'Apr(SCA)'!$B$120:$C$120</c:f>
              <c:strCache>
                <c:ptCount val="2"/>
                <c:pt idx="0">
                  <c:v>Target to Reach SCA min</c:v>
                </c:pt>
                <c:pt idx="1">
                  <c:v>(Nm3)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'Apr(SCA)'!$D$113:$H$113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'Apr(SCA)'!$D$120:$H$120</c:f>
              <c:numCache>
                <c:formatCode>_-* #,##0_-;\-* #,##0_-;_-* "-"??_-;_-@_-</c:formatCode>
                <c:ptCount val="5"/>
                <c:pt idx="0">
                  <c:v>138888.88888888888</c:v>
                </c:pt>
                <c:pt idx="1">
                  <c:v>271234.33333333331</c:v>
                </c:pt>
                <c:pt idx="2">
                  <c:v>408545.77777777775</c:v>
                </c:pt>
                <c:pt idx="3">
                  <c:v>459322.17222222226</c:v>
                </c:pt>
                <c:pt idx="4">
                  <c:v>469361.37333333341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6C-45B4-9681-C2E550EF4341}"/>
            </c:ext>
          </c:extLst>
        </c:ser>
        <c:ser>
          <c:idx val="6"/>
          <c:order val="6"/>
          <c:tx>
            <c:strRef>
              <c:f>'Apr(SCA)'!$B$119:$C$119</c:f>
              <c:strCache>
                <c:ptCount val="2"/>
                <c:pt idx="0">
                  <c:v>Target Gas based on Delivered Substrates</c:v>
                </c:pt>
                <c:pt idx="1">
                  <c:v>(Nm3)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'Apr(SCA)'!$D$113:$H$113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'Apr(SCA)'!$D$119:$G$119</c:f>
              <c:numCache>
                <c:formatCode>_-* #,##0_-;\-* #,##0_-;_-* "-"??_-;_-@_-</c:formatCode>
                <c:ptCount val="4"/>
                <c:pt idx="0">
                  <c:v>88137.641717999999</c:v>
                </c:pt>
                <c:pt idx="1">
                  <c:v>103088.22650999999</c:v>
                </c:pt>
                <c:pt idx="2">
                  <c:v>124326.040698</c:v>
                </c:pt>
                <c:pt idx="3">
                  <c:v>116410.37295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6C-45B4-9681-C2E550EF4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786448"/>
        <c:axId val="174559272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'Apr(SCA)'!$B$117:$C$117</c15:sqref>
                        </c15:formulaRef>
                      </c:ext>
                    </c:extLst>
                    <c:strCache>
                      <c:ptCount val="2"/>
                      <c:pt idx="0">
                        <c:v>Total Produced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'Apr(SCA)'!$D$113:$H$113</c15:sqref>
                        </c15:formulaRef>
                      </c:ext>
                    </c:extLst>
                    <c:strCache>
                      <c:ptCount val="5"/>
                      <c:pt idx="0">
                        <c:v>WEEK 1
(Apr1-5)</c:v>
                      </c:pt>
                      <c:pt idx="1">
                        <c:v>WEEK 2
(Apr6-12)</c:v>
                      </c:pt>
                      <c:pt idx="2">
                        <c:v>WEEK 3
(Apr13-19)</c:v>
                      </c:pt>
                      <c:pt idx="3">
                        <c:v>WEEK 4
(Apr20-26)</c:v>
                      </c:pt>
                      <c:pt idx="4">
                        <c:v>WEEk 5
(Apr27-30)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'Apr(SCA)'!$D$117:$G$117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62099</c:v>
                      </c:pt>
                      <c:pt idx="1">
                        <c:v>57133</c:v>
                      </c:pt>
                      <c:pt idx="2">
                        <c:v>143668.04999999999</c:v>
                      </c:pt>
                      <c:pt idx="3">
                        <c:v>101071.91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B6C-45B4-9681-C2E550EF43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'Apr(SCA)'!$B$118:$C$118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'Apr(SCA)'!$D$113:$H$113</c15:sqref>
                        </c15:formulaRef>
                      </c:ext>
                    </c:extLst>
                    <c:strCache>
                      <c:ptCount val="5"/>
                      <c:pt idx="0">
                        <c:v>WEEK 1
(Apr1-5)</c:v>
                      </c:pt>
                      <c:pt idx="1">
                        <c:v>WEEK 2
(Apr6-12)</c:v>
                      </c:pt>
                      <c:pt idx="2">
                        <c:v>WEEK 3
(Apr13-19)</c:v>
                      </c:pt>
                      <c:pt idx="3">
                        <c:v>WEEK 4
(Apr20-26)</c:v>
                      </c:pt>
                      <c:pt idx="4">
                        <c:v>WEEk 5
(Apr27-30)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'Apr(SCA)'!$D$118:$G$118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62099</c:v>
                      </c:pt>
                      <c:pt idx="1">
                        <c:v>119232</c:v>
                      </c:pt>
                      <c:pt idx="2">
                        <c:v>262900.05</c:v>
                      </c:pt>
                      <c:pt idx="3">
                        <c:v>363971.95999999996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B6C-45B4-9681-C2E550EF4341}"/>
                  </c:ext>
                </c:extLst>
              </c15:ser>
            </c15:filteredLineSeries>
          </c:ext>
        </c:extLst>
      </c:lineChart>
      <c:catAx>
        <c:axId val="17237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92720"/>
        <c:crosses val="autoZero"/>
        <c:auto val="1"/>
        <c:lblAlgn val="ctr"/>
        <c:lblOffset val="100"/>
        <c:noMultiLvlLbl val="1"/>
      </c:catAx>
      <c:valAx>
        <c:axId val="17455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(Nm3)</a:t>
                </a:r>
              </a:p>
            </c:rich>
          </c:tx>
          <c:layout>
            <c:manualLayout>
              <c:xMode val="edge"/>
              <c:yMode val="edge"/>
              <c:x val="0.1572054197817343"/>
              <c:y val="0.21039484932677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86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7081569440655"/>
          <c:y val="0.12528405766264164"/>
          <c:w val="0.77286261321270178"/>
          <c:h val="0.59436211738049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'Apr(SCA)'!$B$78:$C$78</c:f>
              <c:strCache>
                <c:ptCount val="2"/>
                <c:pt idx="0">
                  <c:v>Delivered</c:v>
                </c:pt>
                <c:pt idx="1">
                  <c:v>(kWh)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'Apr(SCA)'!$D$77:$H$77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'Apr(SCA)'!$D$78:$H$78</c:f>
              <c:numCache>
                <c:formatCode>_-* #,##0_-;\-* #,##0_-;_-* "-"??_-;_-@_-</c:formatCode>
                <c:ptCount val="5"/>
                <c:pt idx="0">
                  <c:v>71832</c:v>
                </c:pt>
                <c:pt idx="1">
                  <c:v>145087</c:v>
                </c:pt>
                <c:pt idx="2">
                  <c:v>139215</c:v>
                </c:pt>
                <c:pt idx="3">
                  <c:v>88653</c:v>
                </c:pt>
                <c:pt idx="4">
                  <c:v>87345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C-413E-ACFF-CD9F1BE0F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05608704"/>
        <c:axId val="305574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'Apr(SCA)'!$B$79:$C$79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(kWh)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'Apr(SCA)'!$D$77:$H$77</c15:sqref>
                        </c15:formulaRef>
                      </c:ext>
                    </c:extLst>
                    <c:strCache>
                      <c:ptCount val="5"/>
                      <c:pt idx="0">
                        <c:v>WEEK 1
(Apr1-5)</c:v>
                      </c:pt>
                      <c:pt idx="1">
                        <c:v>WEEK 2
(Apr6-12)</c:v>
                      </c:pt>
                      <c:pt idx="2">
                        <c:v>WEEK 3
(Apr13-19)</c:v>
                      </c:pt>
                      <c:pt idx="3">
                        <c:v>WEEK 4
(Apr20-26)</c:v>
                      </c:pt>
                      <c:pt idx="4">
                        <c:v>WEEk 5
(Apr27-30)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'Apr(SCA)'!$D$79:$G$79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71832</c:v>
                      </c:pt>
                      <c:pt idx="1">
                        <c:v>216919</c:v>
                      </c:pt>
                      <c:pt idx="2">
                        <c:v>356134</c:v>
                      </c:pt>
                      <c:pt idx="3">
                        <c:v>444787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B4C-413E-ACFF-CD9F1BE0F86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'Apr(SCA)'!$B$80:$C$80</c:f>
              <c:strCache>
                <c:ptCount val="2"/>
                <c:pt idx="0">
                  <c:v>Target to Reach SCA Minimum </c:v>
                </c:pt>
                <c:pt idx="1">
                  <c:v>(kWh)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'Apr(SCA)'!$D$77:$G$77</c:f>
              <c:strCache>
                <c:ptCount val="4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</c:strCache>
            </c:strRef>
          </c:cat>
          <c:val>
            <c:numRef>
              <c:f>'Apr(SCA)'!$D$80:$H$80</c:f>
              <c:numCache>
                <c:formatCode>_-* #,##0_-;\-* #,##0_-;_-* "-"??_-;_-@_-</c:formatCode>
                <c:ptCount val="5"/>
                <c:pt idx="0">
                  <c:v>137600</c:v>
                </c:pt>
                <c:pt idx="1">
                  <c:v>258408</c:v>
                </c:pt>
                <c:pt idx="2">
                  <c:v>305961</c:v>
                </c:pt>
                <c:pt idx="3">
                  <c:v>359386</c:v>
                </c:pt>
                <c:pt idx="4">
                  <c:v>380813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B4C-413E-ACFF-CD9F1BE0F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08704"/>
        <c:axId val="305574416"/>
        <c:extLst/>
      </c:lineChart>
      <c:catAx>
        <c:axId val="3056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4416"/>
        <c:crosses val="autoZero"/>
        <c:auto val="1"/>
        <c:lblAlgn val="ctr"/>
        <c:lblOffset val="100"/>
        <c:noMultiLvlLbl val="1"/>
      </c:catAx>
      <c:valAx>
        <c:axId val="3055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kWh</a:t>
                </a:r>
              </a:p>
            </c:rich>
          </c:tx>
          <c:layout>
            <c:manualLayout>
              <c:xMode val="edge"/>
              <c:yMode val="edge"/>
              <c:x val="0.16530445088964488"/>
              <c:y val="0.35705801198293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08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69028871391076"/>
          <c:y val="8.5110331300092601E-2"/>
          <c:w val="0.63956741004774031"/>
          <c:h val="0.5909229120624055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'Apr(SCA)'!$B$131:$C$131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E3C-42E6-9F46-DCA5E1A2F560}"/>
              </c:ext>
            </c:extLst>
          </c:dPt>
          <c:cat>
            <c:strRef>
              <c:f>'Apr(SCA)'!$D$127:$H$127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'Apr(SCA)'!$D$131:$H$131</c:f>
              <c:numCache>
                <c:formatCode>_-* #,##0_-;\-* #,##0_-;_-* "-"??_-;_-@_-</c:formatCode>
                <c:ptCount val="5"/>
                <c:pt idx="0">
                  <c:v>95860.040000000008</c:v>
                </c:pt>
                <c:pt idx="1">
                  <c:v>125323.89</c:v>
                </c:pt>
                <c:pt idx="2">
                  <c:v>143668.04999999999</c:v>
                </c:pt>
                <c:pt idx="3">
                  <c:v>101071.91</c:v>
                </c:pt>
                <c:pt idx="4">
                  <c:v>95892.15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3C-42E6-9F46-DCA5E1A2F560}"/>
            </c:ext>
          </c:extLst>
        </c:ser>
        <c:ser>
          <c:idx val="1"/>
          <c:order val="1"/>
          <c:tx>
            <c:strRef>
              <c:f>'Apr(SCA)'!$B$130:$C$130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'Apr(SCA)'!$D$127:$H$127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'Apr(SCA)'!$D$130:$H$130</c:f>
              <c:numCache>
                <c:formatCode>_-* #,##0_-;\-* #,##0_-;_-* "-"??_-;_-@_-</c:formatCode>
                <c:ptCount val="5"/>
                <c:pt idx="0">
                  <c:v>112391.79</c:v>
                </c:pt>
                <c:pt idx="1">
                  <c:v>131456.54999999999</c:v>
                </c:pt>
                <c:pt idx="2">
                  <c:v>158538.69</c:v>
                </c:pt>
                <c:pt idx="3">
                  <c:v>148444.75</c:v>
                </c:pt>
                <c:pt idx="4">
                  <c:v>95733.86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3C-42E6-9F46-DCA5E1A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'Apr(SCA)'!$B$129:$C$129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'Apr(SCA)'!$D$127:$H$127</c15:sqref>
                        </c15:formulaRef>
                      </c:ext>
                    </c:extLst>
                    <c:strCache>
                      <c:ptCount val="5"/>
                      <c:pt idx="0">
                        <c:v>WEEK 1
(Apr1-5)</c:v>
                      </c:pt>
                      <c:pt idx="1">
                        <c:v>WEEK 2
(Apr6-12)</c:v>
                      </c:pt>
                      <c:pt idx="2">
                        <c:v>WEEK 3
(Apr13-19)</c:v>
                      </c:pt>
                      <c:pt idx="3">
                        <c:v>WEEK 4
(Apr20-26)</c:v>
                      </c:pt>
                      <c:pt idx="4">
                        <c:v>WEEk 5
(Apr27-30)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'Apr(SCA)'!$D$129:$G$129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1112.79</c:v>
                      </c:pt>
                      <c:pt idx="1">
                        <c:v>1301.55</c:v>
                      </c:pt>
                      <c:pt idx="2">
                        <c:v>1569.69</c:v>
                      </c:pt>
                      <c:pt idx="3">
                        <c:v>1469.75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0E3C-42E6-9F46-DCA5E1A2F56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'Apr(SCA)'!$B$132:$C$132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'Apr(SCA)'!$D$127:$G$127</c:f>
              <c:strCache>
                <c:ptCount val="4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</c:strCache>
            </c:strRef>
          </c:cat>
          <c:val>
            <c:numRef>
              <c:f>'Apr(SCA)'!$D$132:$H$132</c:f>
              <c:numCache>
                <c:formatCode>_-* #,##0_-;\-* #,##0_-;_-* "-"??_-;_-@_-</c:formatCode>
                <c:ptCount val="5"/>
                <c:pt idx="0">
                  <c:v>86.143872608488579</c:v>
                </c:pt>
                <c:pt idx="1">
                  <c:v>96.288187161461337</c:v>
                </c:pt>
                <c:pt idx="2">
                  <c:v>91.526384190508949</c:v>
                </c:pt>
                <c:pt idx="3">
                  <c:v>68.76809661507059</c:v>
                </c:pt>
                <c:pt idx="4">
                  <c:v>101.16699723587871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3C-42E6-9F46-DCA5E1A2F560}"/>
            </c:ext>
          </c:extLst>
        </c:ser>
        <c:ser>
          <c:idx val="4"/>
          <c:order val="4"/>
          <c:tx>
            <c:strRef>
              <c:f>'Apr(SCA)'!$B$133:$C$133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'Apr(SCA)'!$D$127:$G$127</c:f>
              <c:strCache>
                <c:ptCount val="4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</c:strCache>
            </c:strRef>
          </c:cat>
          <c:val>
            <c:numRef>
              <c:f>'Apr(SCA)'!$D$133:$H$133</c:f>
              <c:numCache>
                <c:formatCode>_-* #,##0_-;\-* #,##0_-;_-* "-"??_-;_-@_-</c:formatCode>
                <c:ptCount val="5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  <c:pt idx="4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3C-42E6-9F46-DCA5E1A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253760"/>
        <c:axId val="740266720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baseline="0"/>
                  <a:t>(</a:t>
                </a:r>
                <a:r>
                  <a:rPr lang="en-PH"/>
                  <a:t>Nm3)</a:t>
                </a:r>
              </a:p>
            </c:rich>
          </c:tx>
          <c:layout>
            <c:manualLayout>
              <c:xMode val="edge"/>
              <c:yMode val="edge"/>
              <c:x val="0.13632107956496156"/>
              <c:y val="0.309808368406482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740266720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53760"/>
        <c:crosses val="max"/>
        <c:crossBetween val="between"/>
      </c:valAx>
      <c:catAx>
        <c:axId val="740253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02667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Biogas Conversion (Yield) - Factoring the DS Content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94307296004804"/>
          <c:y val="7.2393844182113795E-2"/>
          <c:w val="0.64755261890531735"/>
          <c:h val="0.595684440389846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'Apr(SCA)'!$B$173:$C$173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'Apr(SCA)'!$D$127:$H$127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'Apr(SCA)'!$D$173:$H$173</c:f>
              <c:numCache>
                <c:formatCode>_-* #,##0_-;\-* #,##0_-;_-* "-"??_-;_-@_-</c:formatCode>
                <c:ptCount val="5"/>
                <c:pt idx="0">
                  <c:v>95860.040000000008</c:v>
                </c:pt>
                <c:pt idx="1">
                  <c:v>125323.89</c:v>
                </c:pt>
                <c:pt idx="2">
                  <c:v>143668.04999999999</c:v>
                </c:pt>
                <c:pt idx="3">
                  <c:v>101071.91</c:v>
                </c:pt>
                <c:pt idx="4">
                  <c:v>95892.15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3-42C6-A4FA-5607A2824A5E}"/>
            </c:ext>
          </c:extLst>
        </c:ser>
        <c:ser>
          <c:idx val="1"/>
          <c:order val="1"/>
          <c:tx>
            <c:strRef>
              <c:f>'Apr(SCA)'!$B$172:$C$172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'Apr(SCA)'!$D$127:$H$127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'Apr(SCA)'!$D$172:$H$172</c:f>
              <c:numCache>
                <c:formatCode>_-* #,##0_-;\-* #,##0_-;_-* "-"??_-;_-@_-</c:formatCode>
                <c:ptCount val="5"/>
                <c:pt idx="0">
                  <c:v>111267.87210000001</c:v>
                </c:pt>
                <c:pt idx="1">
                  <c:v>127606.75103571427</c:v>
                </c:pt>
                <c:pt idx="2">
                  <c:v>155254.67427857145</c:v>
                </c:pt>
                <c:pt idx="3">
                  <c:v>145422.83901785716</c:v>
                </c:pt>
                <c:pt idx="4">
                  <c:v>94140.57504428571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C3-42C6-A4FA-5607A2824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'Apr(SCA)'!$B$129:$C$129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'Apr(SCA)'!$D$127:$H$127</c15:sqref>
                        </c15:formulaRef>
                      </c:ext>
                    </c:extLst>
                    <c:strCache>
                      <c:ptCount val="5"/>
                      <c:pt idx="0">
                        <c:v>WEEK 1
(Apr1-5)</c:v>
                      </c:pt>
                      <c:pt idx="1">
                        <c:v>WEEK 2
(Apr6-12)</c:v>
                      </c:pt>
                      <c:pt idx="2">
                        <c:v>WEEK 3
(Apr13-19)</c:v>
                      </c:pt>
                      <c:pt idx="3">
                        <c:v>WEEK 4
(Apr20-26)</c:v>
                      </c:pt>
                      <c:pt idx="4">
                        <c:v>WEEk 5
(Apr27-30)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'Apr(SCA)'!$D$129:$G$129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1112.79</c:v>
                      </c:pt>
                      <c:pt idx="1">
                        <c:v>1301.55</c:v>
                      </c:pt>
                      <c:pt idx="2">
                        <c:v>1569.69</c:v>
                      </c:pt>
                      <c:pt idx="3">
                        <c:v>1469.75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3DC3-42C6-A4FA-5607A2824A5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'Apr(SCA)'!$B$175:$C$175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2.0278921618298227E-2"/>
                  <c:y val="-3.1348240859611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C3-42C6-A4FA-5607A2824A5E}"/>
                </c:ext>
              </c:extLst>
            </c:dLbl>
            <c:dLbl>
              <c:idx val="1"/>
              <c:layout>
                <c:manualLayout>
                  <c:x val="-1.3075589999027718E-3"/>
                  <c:y val="-2.4146229705798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C3-42C6-A4FA-5607A2824A5E}"/>
                </c:ext>
              </c:extLst>
            </c:dLbl>
            <c:dLbl>
              <c:idx val="2"/>
              <c:layout>
                <c:manualLayout>
                  <c:x val="-2.4536084465953872E-2"/>
                  <c:y val="-2.6102545666180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C3-42C6-A4FA-5607A2824A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'Apr(SCA)'!$D$127:$G$127</c:f>
              <c:strCache>
                <c:ptCount val="4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</c:strCache>
            </c:strRef>
          </c:cat>
          <c:val>
            <c:numRef>
              <c:f>'Apr(SCA)'!$D$175:$H$175</c:f>
              <c:numCache>
                <c:formatCode>_-* #,##0_-;\-* #,##0_-;_-* "-"??_-;_-@_-</c:formatCode>
                <c:ptCount val="5"/>
                <c:pt idx="0">
                  <c:v>87.014012735847047</c:v>
                </c:pt>
                <c:pt idx="1">
                  <c:v>99.193128790320728</c:v>
                </c:pt>
                <c:pt idx="2">
                  <c:v>93.462390858287748</c:v>
                </c:pt>
                <c:pt idx="3">
                  <c:v>70.197109195113981</c:v>
                </c:pt>
                <c:pt idx="4">
                  <c:v>102.87920108246547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C3-42C6-A4FA-5607A2824A5E}"/>
            </c:ext>
          </c:extLst>
        </c:ser>
        <c:ser>
          <c:idx val="4"/>
          <c:order val="4"/>
          <c:tx>
            <c:strRef>
              <c:f>'Apr(SCA)'!$B$176:$C$176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'Apr(SCA)'!$D$127:$G$127</c:f>
              <c:strCache>
                <c:ptCount val="4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</c:strCache>
            </c:strRef>
          </c:cat>
          <c:val>
            <c:numRef>
              <c:f>'Apr(SCA)'!$D$176:$H$176</c:f>
              <c:numCache>
                <c:formatCode>_-* #,##0_-;\-* #,##0_-;_-* "-"??_-;_-@_-</c:formatCode>
                <c:ptCount val="5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  <c:pt idx="4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C3-42C6-A4FA-5607A2824A5E}"/>
            </c:ext>
          </c:extLst>
        </c:ser>
        <c:ser>
          <c:idx val="5"/>
          <c:order val="5"/>
          <c:tx>
            <c:strRef>
              <c:f>'Apr(SCA)'!$B$174</c:f>
              <c:strCache>
                <c:ptCount val="1"/>
                <c:pt idx="0">
                  <c:v>%DS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'Apr(SCA)'!$D$174:$G$174</c:f>
              <c:numCache>
                <c:formatCode>_(* #,##0.00_);_(* \(#,##0.00\);_(* "-"??_);_(@_)</c:formatCode>
                <c:ptCount val="4"/>
                <c:pt idx="0">
                  <c:v>13.86</c:v>
                </c:pt>
                <c:pt idx="1">
                  <c:v>13.59</c:v>
                </c:pt>
                <c:pt idx="2">
                  <c:v>13.71</c:v>
                </c:pt>
                <c:pt idx="3">
                  <c:v>13.715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DC3-42C6-A4FA-5607A2824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</a:t>
                </a:r>
              </a:p>
            </c:rich>
          </c:tx>
          <c:layout>
            <c:manualLayout>
              <c:xMode val="edge"/>
              <c:yMode val="edge"/>
              <c:x val="0.1338963604146387"/>
              <c:y val="0.38583079407906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Nm3/ton</a:t>
                </a:r>
              </a:p>
            </c:rich>
          </c:tx>
          <c:layout>
            <c:manualLayout>
              <c:xMode val="edge"/>
              <c:yMode val="edge"/>
              <c:x val="0.95544679367650542"/>
              <c:y val="0.412100607226448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037413340212502"/>
          <c:y val="0.11640982453860035"/>
          <c:w val="0.74370088205263363"/>
          <c:h val="0.45822964421204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'Apr(Act)'!$B$36:$C$36</c:f>
              <c:strCache>
                <c:ptCount val="2"/>
                <c:pt idx="0">
                  <c:v>Delivered (DPO)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'Apr(Act)'!$D$34:$H$34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'Apr(Act)'!$D$36:$H$36</c:f>
              <c:numCache>
                <c:formatCode>_-* #,##0_-;\-* #,##0_-;_-* "-"??_-;_-@_-</c:formatCode>
                <c:ptCount val="5"/>
                <c:pt idx="0">
                  <c:v>1112.79</c:v>
                </c:pt>
                <c:pt idx="1">
                  <c:v>1301.55</c:v>
                </c:pt>
                <c:pt idx="2">
                  <c:v>1569.69</c:v>
                </c:pt>
                <c:pt idx="3">
                  <c:v>1469.75</c:v>
                </c:pt>
                <c:pt idx="4">
                  <c:v>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C-4C70-B6DF-455AFF8AB2F8}"/>
            </c:ext>
          </c:extLst>
        </c:ser>
        <c:ser>
          <c:idx val="2"/>
          <c:order val="1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'Apr(SCA)'!$D$34:$H$34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'Mar actual FM vol'!$D$37:$H$37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F35C-4C70-B6DF-455AFF8AB2F8}"/>
            </c:ext>
          </c:extLst>
        </c:ser>
        <c:ser>
          <c:idx val="5"/>
          <c:order val="4"/>
          <c:tx>
            <c:strRef>
              <c:f>'Apr(Act)'!$B$37</c:f>
              <c:strCache>
                <c:ptCount val="1"/>
                <c:pt idx="0">
                  <c:v>Diverted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'Apr(Act)'!$D$34:$H$34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'Apr(Act)'!$D$37:$H$37</c:f>
              <c:numCache>
                <c:formatCode>_-* #,##0.0_-;\-* #,##0.0_-;_-* "-"??_-;_-@_-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F35C-4C70-B6DF-455AFF8AB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"/>
        <c:axId val="1931926304"/>
        <c:axId val="1732677184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'Apr(Act)'!$B$40:$C$40</c15:sqref>
                        </c15:formulaRef>
                      </c:ext>
                    </c:extLst>
                    <c:strCache>
                      <c:ptCount val="2"/>
                      <c:pt idx="0">
                        <c:v>Monthly Accumulative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'Apr(Act)'!$D$34:$H$34</c15:sqref>
                        </c15:formulaRef>
                      </c:ext>
                    </c:extLst>
                    <c:strCache>
                      <c:ptCount val="5"/>
                      <c:pt idx="0">
                        <c:v>WEEK 1
(Apr1-5)</c:v>
                      </c:pt>
                      <c:pt idx="1">
                        <c:v>WEEK 2
(Apr6-12)</c:v>
                      </c:pt>
                      <c:pt idx="2">
                        <c:v>WEEK 3
(Apr13-19)</c:v>
                      </c:pt>
                      <c:pt idx="3">
                        <c:v>WEEK 4
(Apr20-26)</c:v>
                      </c:pt>
                      <c:pt idx="4">
                        <c:v>WEEk 5
(Apr27-30)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'Apr(Act)'!$D$40:$G$40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1112.79</c:v>
                      </c:pt>
                      <c:pt idx="1">
                        <c:v>2414.34</c:v>
                      </c:pt>
                      <c:pt idx="2">
                        <c:v>3984.03</c:v>
                      </c:pt>
                      <c:pt idx="3">
                        <c:v>5453.7800000000007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F35C-4C70-B6DF-455AFF8AB2F8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3"/>
          <c:tx>
            <c:strRef>
              <c:f>'Apr(Act)'!$B$41:$C$41</c:f>
              <c:strCache>
                <c:ptCount val="2"/>
                <c:pt idx="0">
                  <c:v>Target to Reach SCA Minimum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'Apr(Act)'!$D$34:$G$34</c:f>
              <c:strCache>
                <c:ptCount val="4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</c:strCache>
            </c:strRef>
          </c:cat>
          <c:val>
            <c:numRef>
              <c:f>'Apr(Act)'!$D$41:$H$41</c:f>
              <c:numCache>
                <c:formatCode>_-* #,##0_-;\-* #,##0_-;_-* "-"??_-;_-@_-</c:formatCode>
                <c:ptCount val="5"/>
                <c:pt idx="0">
                  <c:v>1986.1111111111111</c:v>
                </c:pt>
                <c:pt idx="1">
                  <c:v>3653.876666666667</c:v>
                </c:pt>
                <c:pt idx="2">
                  <c:v>5132.8822222222225</c:v>
                </c:pt>
                <c:pt idx="3">
                  <c:v>6343.7477777777767</c:v>
                </c:pt>
                <c:pt idx="4">
                  <c:v>6462.8866666666654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35C-4C70-B6DF-455AFF8AB2F8}"/>
            </c:ext>
          </c:extLst>
        </c:ser>
        <c:ser>
          <c:idx val="6"/>
          <c:order val="5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'Mar actual FM vol'!$D$37:$H$37</c:f>
            </c:numRef>
          </c:val>
          <c:smooth val="0"/>
          <c:extLst>
            <c:ext xmlns:c16="http://schemas.microsoft.com/office/drawing/2014/chart" uri="{C3380CC4-5D6E-409C-BE32-E72D297353CC}">
              <c16:uniqueId val="{00000004-F35C-4C70-B6DF-455AFF8AB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6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931926304"/>
        <c:axId val="1732677184"/>
      </c:lineChart>
      <c:catAx>
        <c:axId val="193192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77184"/>
        <c:crosses val="autoZero"/>
        <c:auto val="1"/>
        <c:lblAlgn val="ctr"/>
        <c:lblOffset val="100"/>
        <c:noMultiLvlLbl val="1"/>
      </c:catAx>
      <c:valAx>
        <c:axId val="1732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MT</a:t>
                </a:r>
              </a:p>
            </c:rich>
          </c:tx>
          <c:layout>
            <c:manualLayout>
              <c:xMode val="edge"/>
              <c:yMode val="edge"/>
              <c:x val="0.19272070118622903"/>
              <c:y val="0.24359459230956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263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279257464172775"/>
          <c:y val="0.10060281860125968"/>
          <c:w val="0.67317823439612146"/>
          <c:h val="0.34991922607897613"/>
        </c:manualLayout>
      </c:layout>
      <c:barChart>
        <c:barDir val="col"/>
        <c:grouping val="stacked"/>
        <c:varyColors val="0"/>
        <c:ser>
          <c:idx val="7"/>
          <c:order val="0"/>
          <c:tx>
            <c:strRef>
              <c:f>'Apr(Act)'!$B$116:$C$116</c:f>
              <c:strCache>
                <c:ptCount val="2"/>
                <c:pt idx="0">
                  <c:v>CO2 Testing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'Apr(Act)'!$D$116:$H$116</c:f>
              <c:numCache>
                <c:formatCode>_-* #,##0_-;\-* #,##0_-;_-* "-"??_-;_-@_-</c:formatCode>
                <c:ptCount val="5"/>
                <c:pt idx="0">
                  <c:v>9758.69</c:v>
                </c:pt>
                <c:pt idx="1">
                  <c:v>20204.64</c:v>
                </c:pt>
                <c:pt idx="2">
                  <c:v>19915.86</c:v>
                </c:pt>
                <c:pt idx="3">
                  <c:v>6315.23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3E-4BBD-999C-07D65A54C5EF}"/>
            </c:ext>
          </c:extLst>
        </c:ser>
        <c:ser>
          <c:idx val="1"/>
          <c:order val="1"/>
          <c:tx>
            <c:strRef>
              <c:f>'Apr(Act)'!$B$117:$C$117</c:f>
              <c:strCache>
                <c:ptCount val="2"/>
                <c:pt idx="0">
                  <c:v>Flared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'Apr(Act)'!$D$113:$H$113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'Apr(Act)'!$D$117:$H$117</c:f>
              <c:numCache>
                <c:formatCode>_-* #,##0_-;\-* #,##0_-;_-* "-"??_-;_-@_-</c:formatCode>
                <c:ptCount val="5"/>
                <c:pt idx="2">
                  <c:v>15492.2</c:v>
                </c:pt>
                <c:pt idx="3">
                  <c:v>42086.2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3E-4BBD-999C-07D65A54C5EF}"/>
            </c:ext>
          </c:extLst>
        </c:ser>
        <c:ser>
          <c:idx val="0"/>
          <c:order val="2"/>
          <c:tx>
            <c:strRef>
              <c:f>'Apr(Act)'!$B$114:$C$114</c:f>
              <c:strCache>
                <c:ptCount val="2"/>
                <c:pt idx="0">
                  <c:v>Delivered to Boilers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'Apr(Act)'!$D$113:$H$113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'Apr(Act)'!$D$114:$H$114</c:f>
              <c:numCache>
                <c:formatCode>_-* #,##0_-;\-* #,##0_-;_-* "-"??_-;_-@_-</c:formatCode>
                <c:ptCount val="5"/>
                <c:pt idx="0">
                  <c:v>62099</c:v>
                </c:pt>
                <c:pt idx="1">
                  <c:v>57133</c:v>
                </c:pt>
                <c:pt idx="2">
                  <c:v>78237</c:v>
                </c:pt>
                <c:pt idx="3">
                  <c:v>59405</c:v>
                </c:pt>
                <c:pt idx="4">
                  <c:v>54840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E-4BBD-999C-07D65A54C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786448"/>
        <c:axId val="1745592720"/>
        <c:extLst>
          <c:ext xmlns:c15="http://schemas.microsoft.com/office/drawing/2012/chart" uri="{02D57815-91ED-43cb-92C2-25804820EDAC}">
            <c15:filteredBarSeries>
              <c15:ser>
                <c:idx val="5"/>
                <c:order val="6"/>
                <c:tx>
                  <c:strRef>
                    <c:extLst>
                      <c:ext uri="{02D57815-91ED-43cb-92C2-25804820EDAC}">
                        <c15:formulaRef>
                          <c15:sqref>'Apr(Act)'!$B$115:$C$115</c15:sqref>
                        </c15:formulaRef>
                      </c:ext>
                    </c:extLst>
                    <c:strCache>
                      <c:ptCount val="2"/>
                      <c:pt idx="0">
                        <c:v>Delivered to Engine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'Apr(Act)'!$D$113:$H$113</c15:sqref>
                        </c15:formulaRef>
                      </c:ext>
                    </c:extLst>
                    <c:strCache>
                      <c:ptCount val="5"/>
                      <c:pt idx="0">
                        <c:v>WEEK 1
(Apr1-5)</c:v>
                      </c:pt>
                      <c:pt idx="1">
                        <c:v>WEEK 2
(Apr6-12)</c:v>
                      </c:pt>
                      <c:pt idx="2">
                        <c:v>WEEK 3
(Apr13-19)</c:v>
                      </c:pt>
                      <c:pt idx="3">
                        <c:v>WEEK 4
(Apr20-26)</c:v>
                      </c:pt>
                      <c:pt idx="4">
                        <c:v>WEEk 5
(Apr27-30)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'Apr(Act)'!$D$115:$G$115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33761.040000000001</c:v>
                      </c:pt>
                      <c:pt idx="1">
                        <c:v>68190.89</c:v>
                      </c:pt>
                      <c:pt idx="2">
                        <c:v>65431.049999999996</c:v>
                      </c:pt>
                      <c:pt idx="3">
                        <c:v>41666.909999999996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CA3E-4BBD-999C-07D65A54C5E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5"/>
          <c:tx>
            <c:strRef>
              <c:f>'Apr(Act)'!$B$121:$C$121</c:f>
              <c:strCache>
                <c:ptCount val="2"/>
                <c:pt idx="0">
                  <c:v>Target to Reach SCA min</c:v>
                </c:pt>
                <c:pt idx="1">
                  <c:v>(Nm3)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'Apr(Act)'!$D$113:$H$113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'Apr(Act)'!$D$121:$H$121</c:f>
              <c:numCache>
                <c:formatCode>_-* #,##0_-;\-* #,##0_-;_-* "-"??_-;_-@_-</c:formatCode>
                <c:ptCount val="5"/>
                <c:pt idx="0">
                  <c:v>138888.88888888888</c:v>
                </c:pt>
                <c:pt idx="1">
                  <c:v>227714.6033333333</c:v>
                </c:pt>
                <c:pt idx="2">
                  <c:v>276630.51777777774</c:v>
                </c:pt>
                <c:pt idx="3">
                  <c:v>291998.85222222225</c:v>
                </c:pt>
                <c:pt idx="4">
                  <c:v>253636.62333333341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3E-4BBD-999C-07D65A54C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786448"/>
        <c:axId val="1745592720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'Apr(Act)'!$B$118:$C$118</c15:sqref>
                        </c15:formulaRef>
                      </c:ext>
                    </c:extLst>
                    <c:strCache>
                      <c:ptCount val="2"/>
                      <c:pt idx="0">
                        <c:v>Total Produced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'Apr(Act)'!$D$113:$H$113</c15:sqref>
                        </c15:formulaRef>
                      </c:ext>
                    </c:extLst>
                    <c:strCache>
                      <c:ptCount val="5"/>
                      <c:pt idx="0">
                        <c:v>WEEK 1
(Apr1-5)</c:v>
                      </c:pt>
                      <c:pt idx="1">
                        <c:v>WEEK 2
(Apr6-12)</c:v>
                      </c:pt>
                      <c:pt idx="2">
                        <c:v>WEEK 3
(Apr13-19)</c:v>
                      </c:pt>
                      <c:pt idx="3">
                        <c:v>WEEK 4
(Apr20-26)</c:v>
                      </c:pt>
                      <c:pt idx="4">
                        <c:v>WEEk 5
(Apr27-30)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'Apr(Act)'!$D$118:$G$118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105618.73000000001</c:v>
                      </c:pt>
                      <c:pt idx="1">
                        <c:v>145528.53</c:v>
                      </c:pt>
                      <c:pt idx="2">
                        <c:v>179076.11</c:v>
                      </c:pt>
                      <c:pt idx="3">
                        <c:v>149473.34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A3E-4BBD-999C-07D65A54C5EF}"/>
                  </c:ext>
                </c:extLst>
              </c15:ser>
            </c15:filteredLineSeries>
            <c15:filteredLine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'Apr(Act)'!$B$119:$C$119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'Apr(Act)'!$D$113:$H$113</c15:sqref>
                        </c15:formulaRef>
                      </c:ext>
                    </c:extLst>
                    <c:strCache>
                      <c:ptCount val="5"/>
                      <c:pt idx="0">
                        <c:v>WEEK 1
(Apr1-5)</c:v>
                      </c:pt>
                      <c:pt idx="1">
                        <c:v>WEEK 2
(Apr6-12)</c:v>
                      </c:pt>
                      <c:pt idx="2">
                        <c:v>WEEK 3
(Apr13-19)</c:v>
                      </c:pt>
                      <c:pt idx="3">
                        <c:v>WEEK 4
(Apr20-26)</c:v>
                      </c:pt>
                      <c:pt idx="4">
                        <c:v>WEEk 5
(Apr27-30)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'Apr(Act)'!$D$119:$G$119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105618.73000000001</c:v>
                      </c:pt>
                      <c:pt idx="1">
                        <c:v>251147.26</c:v>
                      </c:pt>
                      <c:pt idx="2">
                        <c:v>430223.37</c:v>
                      </c:pt>
                      <c:pt idx="3">
                        <c:v>579696.71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A3E-4BBD-999C-07D65A54C5EF}"/>
                  </c:ext>
                </c:extLst>
              </c15:ser>
            </c15:filteredLineSeries>
            <c15:filteredLineSeries>
              <c15:ser>
                <c:idx val="6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'Apr(Act)'!$B$120:$C$120</c15:sqref>
                        </c15:formulaRef>
                      </c:ext>
                    </c:extLst>
                    <c:strCache>
                      <c:ptCount val="2"/>
                      <c:pt idx="0">
                        <c:v>Target Gas based on Delivered Substrates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rgbClr val="FFC000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rgbClr val="FFC000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'Apr(Act)'!$D$113:$H$113</c15:sqref>
                        </c15:formulaRef>
                      </c:ext>
                    </c:extLst>
                    <c:strCache>
                      <c:ptCount val="5"/>
                      <c:pt idx="0">
                        <c:v>WEEK 1
(Apr1-5)</c:v>
                      </c:pt>
                      <c:pt idx="1">
                        <c:v>WEEK 2
(Apr6-12)</c:v>
                      </c:pt>
                      <c:pt idx="2">
                        <c:v>WEEK 3
(Apr13-19)</c:v>
                      </c:pt>
                      <c:pt idx="3">
                        <c:v>WEEK 4
(Apr20-26)</c:v>
                      </c:pt>
                      <c:pt idx="4">
                        <c:v>WEEk 5
(Apr27-30)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'Apr(Act)'!$D$120:$G$120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88137.641717999999</c:v>
                      </c:pt>
                      <c:pt idx="1">
                        <c:v>103088.22650999999</c:v>
                      </c:pt>
                      <c:pt idx="2">
                        <c:v>124326.040698</c:v>
                      </c:pt>
                      <c:pt idx="3">
                        <c:v>116410.37295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A3E-4BBD-999C-07D65A54C5EF}"/>
                  </c:ext>
                </c:extLst>
              </c15:ser>
            </c15:filteredLineSeries>
          </c:ext>
        </c:extLst>
      </c:lineChart>
      <c:catAx>
        <c:axId val="17237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92720"/>
        <c:crosses val="autoZero"/>
        <c:auto val="1"/>
        <c:lblAlgn val="ctr"/>
        <c:lblOffset val="100"/>
        <c:noMultiLvlLbl val="1"/>
      </c:catAx>
      <c:valAx>
        <c:axId val="17455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(Nm3)</a:t>
                </a:r>
              </a:p>
            </c:rich>
          </c:tx>
          <c:layout>
            <c:manualLayout>
              <c:xMode val="edge"/>
              <c:yMode val="edge"/>
              <c:x val="0.1572054197817343"/>
              <c:y val="0.21039484932677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86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7081569440655"/>
          <c:y val="0.12528405766264164"/>
          <c:w val="0.77286261321270178"/>
          <c:h val="0.59436211738049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'Apr(Act)'!$B$78:$C$78</c:f>
              <c:strCache>
                <c:ptCount val="2"/>
                <c:pt idx="0">
                  <c:v>Delivered</c:v>
                </c:pt>
                <c:pt idx="1">
                  <c:v>(kWh)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'Apr(Act)'!$D$77:$H$77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'Apr(Act)'!$D$78:$H$78</c:f>
              <c:numCache>
                <c:formatCode>_-* #,##0_-;\-* #,##0_-;_-* "-"??_-;_-@_-</c:formatCode>
                <c:ptCount val="5"/>
                <c:pt idx="0">
                  <c:v>71832</c:v>
                </c:pt>
                <c:pt idx="1">
                  <c:v>145087</c:v>
                </c:pt>
                <c:pt idx="2">
                  <c:v>139215</c:v>
                </c:pt>
                <c:pt idx="3">
                  <c:v>88653</c:v>
                </c:pt>
                <c:pt idx="4">
                  <c:v>87345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E-4A04-97B4-19A99931E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05608704"/>
        <c:axId val="305574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'Apr(Act)'!$B$79:$C$79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(kWh)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'Apr(Act)'!$D$77:$H$77</c15:sqref>
                        </c15:formulaRef>
                      </c:ext>
                    </c:extLst>
                    <c:strCache>
                      <c:ptCount val="5"/>
                      <c:pt idx="0">
                        <c:v>WEEK 1
(Apr1-5)</c:v>
                      </c:pt>
                      <c:pt idx="1">
                        <c:v>WEEK 2
(Apr6-12)</c:v>
                      </c:pt>
                      <c:pt idx="2">
                        <c:v>WEEK 3
(Apr13-19)</c:v>
                      </c:pt>
                      <c:pt idx="3">
                        <c:v>WEEK 4
(Apr20-26)</c:v>
                      </c:pt>
                      <c:pt idx="4">
                        <c:v>WEEk 5
(Apr27-30)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'Apr(Act)'!$D$79:$G$79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71832</c:v>
                      </c:pt>
                      <c:pt idx="1">
                        <c:v>216919</c:v>
                      </c:pt>
                      <c:pt idx="2">
                        <c:v>356134</c:v>
                      </c:pt>
                      <c:pt idx="3">
                        <c:v>444787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13E-4A04-97B4-19A99931EC5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'Apr(Act)'!$B$80:$C$80</c:f>
              <c:strCache>
                <c:ptCount val="2"/>
                <c:pt idx="0">
                  <c:v>Target to Reach SCA Minimum </c:v>
                </c:pt>
                <c:pt idx="1">
                  <c:v>(kWh)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'Apr(Act)'!$D$77:$G$77</c:f>
              <c:strCache>
                <c:ptCount val="4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</c:strCache>
            </c:strRef>
          </c:cat>
          <c:val>
            <c:numRef>
              <c:f>'Apr(Act)'!$D$80:$H$80</c:f>
              <c:numCache>
                <c:formatCode>_-* #,##0_-;\-* #,##0_-;_-* "-"??_-;_-@_-</c:formatCode>
                <c:ptCount val="5"/>
                <c:pt idx="0">
                  <c:v>137600</c:v>
                </c:pt>
                <c:pt idx="1">
                  <c:v>258408</c:v>
                </c:pt>
                <c:pt idx="2">
                  <c:v>305961</c:v>
                </c:pt>
                <c:pt idx="3">
                  <c:v>359386</c:v>
                </c:pt>
                <c:pt idx="4">
                  <c:v>380813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13E-4A04-97B4-19A99931E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08704"/>
        <c:axId val="305574416"/>
        <c:extLst/>
      </c:lineChart>
      <c:catAx>
        <c:axId val="3056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4416"/>
        <c:crosses val="autoZero"/>
        <c:auto val="1"/>
        <c:lblAlgn val="ctr"/>
        <c:lblOffset val="100"/>
        <c:noMultiLvlLbl val="1"/>
      </c:catAx>
      <c:valAx>
        <c:axId val="3055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kWh</a:t>
                </a:r>
              </a:p>
            </c:rich>
          </c:tx>
          <c:layout>
            <c:manualLayout>
              <c:xMode val="edge"/>
              <c:yMode val="edge"/>
              <c:x val="0.16530445088964488"/>
              <c:y val="0.35705801198293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08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69028871391076"/>
          <c:y val="8.5110331300092601E-2"/>
          <c:w val="0.63956741004774031"/>
          <c:h val="0.5909229120624055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'Apr(Act)'!$B$132:$C$132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40D-405E-8F64-328103154D32}"/>
              </c:ext>
            </c:extLst>
          </c:dPt>
          <c:cat>
            <c:strRef>
              <c:f>'Apr(Act)'!$D$128:$H$128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'Apr(Act)'!$D$132:$H$132</c:f>
              <c:numCache>
                <c:formatCode>_-* #,##0_-;\-* #,##0_-;_-* "-"??_-;_-@_-</c:formatCode>
                <c:ptCount val="5"/>
                <c:pt idx="0">
                  <c:v>105618.73000000001</c:v>
                </c:pt>
                <c:pt idx="1">
                  <c:v>145528.53</c:v>
                </c:pt>
                <c:pt idx="2">
                  <c:v>179076.11</c:v>
                </c:pt>
                <c:pt idx="3">
                  <c:v>149473.34</c:v>
                </c:pt>
                <c:pt idx="4">
                  <c:v>95892.15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0D-405E-8F64-328103154D32}"/>
            </c:ext>
          </c:extLst>
        </c:ser>
        <c:ser>
          <c:idx val="1"/>
          <c:order val="1"/>
          <c:tx>
            <c:strRef>
              <c:f>'Apr(Act)'!$B$131:$C$131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'Apr(Act)'!$D$128:$H$128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'Apr(Act)'!$D$131:$H$131</c:f>
              <c:numCache>
                <c:formatCode>_-* #,##0_-;\-* #,##0_-;_-* "-"??_-;_-@_-</c:formatCode>
                <c:ptCount val="5"/>
                <c:pt idx="0">
                  <c:v>112391.79</c:v>
                </c:pt>
                <c:pt idx="1">
                  <c:v>131456.54999999999</c:v>
                </c:pt>
                <c:pt idx="2">
                  <c:v>158538.69</c:v>
                </c:pt>
                <c:pt idx="3">
                  <c:v>148444.75</c:v>
                </c:pt>
                <c:pt idx="4">
                  <c:v>95748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0D-405E-8F64-328103154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'Apr(Act)'!$B$130:$C$130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'Apr(Act)'!$D$128:$H$128</c15:sqref>
                        </c15:formulaRef>
                      </c:ext>
                    </c:extLst>
                    <c:strCache>
                      <c:ptCount val="5"/>
                      <c:pt idx="0">
                        <c:v>WEEK 1
(Apr1-5)</c:v>
                      </c:pt>
                      <c:pt idx="1">
                        <c:v>WEEK 2
(Apr6-12)</c:v>
                      </c:pt>
                      <c:pt idx="2">
                        <c:v>WEEK 3
(Apr13-19)</c:v>
                      </c:pt>
                      <c:pt idx="3">
                        <c:v>WEEK 4
(Apr20-26)</c:v>
                      </c:pt>
                      <c:pt idx="4">
                        <c:v>WEEk 5
(Apr27-30)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'Apr(Act)'!$D$130:$G$130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1112.79</c:v>
                      </c:pt>
                      <c:pt idx="1">
                        <c:v>1301.55</c:v>
                      </c:pt>
                      <c:pt idx="2">
                        <c:v>1569.69</c:v>
                      </c:pt>
                      <c:pt idx="3">
                        <c:v>1469.75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940D-405E-8F64-328103154D3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'Apr(Act)'!$B$133:$C$133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'Apr(Act)'!$D$128:$G$128</c:f>
              <c:strCache>
                <c:ptCount val="4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</c:strCache>
            </c:strRef>
          </c:cat>
          <c:val>
            <c:numRef>
              <c:f>'Apr(Act)'!$D$133:$H$133</c:f>
              <c:numCache>
                <c:formatCode>_-* #,##0_-;\-* #,##0_-;_-* "-"??_-;_-@_-</c:formatCode>
                <c:ptCount val="5"/>
                <c:pt idx="0">
                  <c:v>94.913442787947417</c:v>
                </c:pt>
                <c:pt idx="1">
                  <c:v>111.81170911605393</c:v>
                </c:pt>
                <c:pt idx="2">
                  <c:v>114.08374264982257</c:v>
                </c:pt>
                <c:pt idx="3">
                  <c:v>101.69984010886205</c:v>
                </c:pt>
                <c:pt idx="4">
                  <c:v>101.15205696202531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0D-405E-8F64-328103154D32}"/>
            </c:ext>
          </c:extLst>
        </c:ser>
        <c:ser>
          <c:idx val="4"/>
          <c:order val="4"/>
          <c:tx>
            <c:strRef>
              <c:f>'Apr(Act)'!$B$134:$C$134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'Apr(Act)'!$D$128:$G$128</c:f>
              <c:strCache>
                <c:ptCount val="4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</c:strCache>
            </c:strRef>
          </c:cat>
          <c:val>
            <c:numRef>
              <c:f>'Apr(Act)'!$D$134:$H$134</c:f>
              <c:numCache>
                <c:formatCode>_-* #,##0_-;\-* #,##0_-;_-* "-"??_-;_-@_-</c:formatCode>
                <c:ptCount val="5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  <c:pt idx="4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0D-405E-8F64-328103154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253760"/>
        <c:axId val="740266720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baseline="0"/>
                  <a:t>(</a:t>
                </a:r>
                <a:r>
                  <a:rPr lang="en-PH"/>
                  <a:t>Nm3)</a:t>
                </a:r>
              </a:p>
            </c:rich>
          </c:tx>
          <c:layout>
            <c:manualLayout>
              <c:xMode val="edge"/>
              <c:yMode val="edge"/>
              <c:x val="0.13632107956496156"/>
              <c:y val="0.309808368406482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740266720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53760"/>
        <c:crosses val="max"/>
        <c:crossBetween val="between"/>
      </c:valAx>
      <c:catAx>
        <c:axId val="740253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02667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Biogas Conversion (Yield) - Factoring the DS Content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94307296004804"/>
          <c:y val="7.2393844182113795E-2"/>
          <c:w val="0.64755261890531735"/>
          <c:h val="0.595684440389846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'Apr(Act)'!$B$174:$C$174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'Apr(Act)'!$D$128:$H$128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'Apr(Act)'!$D$174:$H$174</c:f>
              <c:numCache>
                <c:formatCode>_-* #,##0_-;\-* #,##0_-;_-* "-"??_-;_-@_-</c:formatCode>
                <c:ptCount val="5"/>
                <c:pt idx="0">
                  <c:v>105618.73000000001</c:v>
                </c:pt>
                <c:pt idx="1">
                  <c:v>145528.53</c:v>
                </c:pt>
                <c:pt idx="2">
                  <c:v>179076.11</c:v>
                </c:pt>
                <c:pt idx="3">
                  <c:v>149473.34</c:v>
                </c:pt>
                <c:pt idx="4">
                  <c:v>95892.15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F-4F51-8DE9-1DCF27D1515F}"/>
            </c:ext>
          </c:extLst>
        </c:ser>
        <c:ser>
          <c:idx val="1"/>
          <c:order val="1"/>
          <c:tx>
            <c:strRef>
              <c:f>'Apr(Act)'!$B$173:$C$173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'Apr(Act)'!$D$128:$H$128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'Apr(Act)'!$D$173:$H$173</c:f>
              <c:numCache>
                <c:formatCode>_-* #,##0_-;\-* #,##0_-;_-* "-"??_-;_-@_-</c:formatCode>
                <c:ptCount val="5"/>
                <c:pt idx="0">
                  <c:v>111267.87210000001</c:v>
                </c:pt>
                <c:pt idx="1">
                  <c:v>127625.53054285713</c:v>
                </c:pt>
                <c:pt idx="2">
                  <c:v>155198.05331785715</c:v>
                </c:pt>
                <c:pt idx="3">
                  <c:v>145422.83901785716</c:v>
                </c:pt>
                <c:pt idx="4">
                  <c:v>94154.479714285713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4F-4F51-8DE9-1DCF27D15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'Apr(Act)'!$B$130:$C$130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'Apr(Act)'!$D$128:$H$128</c15:sqref>
                        </c15:formulaRef>
                      </c:ext>
                    </c:extLst>
                    <c:strCache>
                      <c:ptCount val="5"/>
                      <c:pt idx="0">
                        <c:v>WEEK 1
(Apr1-5)</c:v>
                      </c:pt>
                      <c:pt idx="1">
                        <c:v>WEEK 2
(Apr6-12)</c:v>
                      </c:pt>
                      <c:pt idx="2">
                        <c:v>WEEK 3
(Apr13-19)</c:v>
                      </c:pt>
                      <c:pt idx="3">
                        <c:v>WEEK 4
(Apr20-26)</c:v>
                      </c:pt>
                      <c:pt idx="4">
                        <c:v>WEEk 5
(Apr27-30)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'Apr(Act)'!$D$130:$G$130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1112.79</c:v>
                      </c:pt>
                      <c:pt idx="1">
                        <c:v>1301.55</c:v>
                      </c:pt>
                      <c:pt idx="2">
                        <c:v>1569.69</c:v>
                      </c:pt>
                      <c:pt idx="3">
                        <c:v>1469.75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C34F-4F51-8DE9-1DCF27D1515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'Apr(Act)'!$B$176:$C$176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2.0278921618298227E-2"/>
                  <c:y val="-3.1348240859611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4F-4F51-8DE9-1DCF27D1515F}"/>
                </c:ext>
              </c:extLst>
            </c:dLbl>
            <c:dLbl>
              <c:idx val="1"/>
              <c:layout>
                <c:manualLayout>
                  <c:x val="-1.3075589999027718E-3"/>
                  <c:y val="-2.4146229705798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4F-4F51-8DE9-1DCF27D1515F}"/>
                </c:ext>
              </c:extLst>
            </c:dLbl>
            <c:dLbl>
              <c:idx val="2"/>
              <c:layout>
                <c:manualLayout>
                  <c:x val="-2.4536084465953872E-2"/>
                  <c:y val="-2.6102545666180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4F-4F51-8DE9-1DCF27D151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'Apr(Act)'!$D$128:$G$128</c:f>
              <c:strCache>
                <c:ptCount val="4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</c:strCache>
            </c:strRef>
          </c:cat>
          <c:val>
            <c:numRef>
              <c:f>'Apr(Act)'!$D$176:$H$176</c:f>
              <c:numCache>
                <c:formatCode>_-* #,##0_-;\-* #,##0_-;_-* "-"??_-;_-@_-</c:formatCode>
                <c:ptCount val="5"/>
                <c:pt idx="0">
                  <c:v>95.872164432270125</c:v>
                </c:pt>
                <c:pt idx="1">
                  <c:v>115.16803469870182</c:v>
                </c:pt>
                <c:pt idx="2">
                  <c:v>116.53939416982968</c:v>
                </c:pt>
                <c:pt idx="3">
                  <c:v>103.8131798413466</c:v>
                </c:pt>
                <c:pt idx="4">
                  <c:v>102.86400795150391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34F-4F51-8DE9-1DCF27D1515F}"/>
            </c:ext>
          </c:extLst>
        </c:ser>
        <c:ser>
          <c:idx val="4"/>
          <c:order val="4"/>
          <c:tx>
            <c:strRef>
              <c:f>'Apr(Act)'!$B$177:$C$177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'Apr(Act)'!$D$128:$G$128</c:f>
              <c:strCache>
                <c:ptCount val="4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</c:strCache>
            </c:strRef>
          </c:cat>
          <c:val>
            <c:numRef>
              <c:f>'Apr(Act)'!$D$177:$H$177</c:f>
              <c:numCache>
                <c:formatCode>_-* #,##0_-;\-* #,##0_-;_-* "-"??_-;_-@_-</c:formatCode>
                <c:ptCount val="5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  <c:pt idx="4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4F-4F51-8DE9-1DCF27D1515F}"/>
            </c:ext>
          </c:extLst>
        </c:ser>
        <c:ser>
          <c:idx val="5"/>
          <c:order val="5"/>
          <c:tx>
            <c:strRef>
              <c:f>'Apr(Act)'!$B$175</c:f>
              <c:strCache>
                <c:ptCount val="1"/>
                <c:pt idx="0">
                  <c:v>%DS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'Apr(Act)'!$D$175:$G$175</c:f>
              <c:numCache>
                <c:formatCode>_(* #,##0.00_);_(* \(#,##0.00\);_(* "-"??_);_(@_)</c:formatCode>
                <c:ptCount val="4"/>
                <c:pt idx="0">
                  <c:v>13.86</c:v>
                </c:pt>
                <c:pt idx="1">
                  <c:v>13.592000000000001</c:v>
                </c:pt>
                <c:pt idx="2">
                  <c:v>13.705</c:v>
                </c:pt>
                <c:pt idx="3">
                  <c:v>13.715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34F-4F51-8DE9-1DCF27D15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</a:t>
                </a:r>
              </a:p>
            </c:rich>
          </c:tx>
          <c:layout>
            <c:manualLayout>
              <c:xMode val="edge"/>
              <c:yMode val="edge"/>
              <c:x val="0.1338963604146387"/>
              <c:y val="0.38583079407906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Nm3/ton</a:t>
                </a:r>
              </a:p>
            </c:rich>
          </c:tx>
          <c:layout>
            <c:manualLayout>
              <c:xMode val="edge"/>
              <c:yMode val="edge"/>
              <c:x val="0.95544679367650542"/>
              <c:y val="0.412100607226448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037413340212502"/>
          <c:y val="0.11640982453860035"/>
          <c:w val="0.74370088205263363"/>
          <c:h val="0.45822964421204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May!$B$36:$C$36</c:f>
              <c:strCache>
                <c:ptCount val="2"/>
                <c:pt idx="0">
                  <c:v>Delivered (DPO)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May!$D$34:$G$34</c:f>
              <c:strCache>
                <c:ptCount val="4"/>
                <c:pt idx="0">
                  <c:v>WEEK 1
(May1-10)</c:v>
                </c:pt>
                <c:pt idx="1">
                  <c:v>WEEK 2
(May11-17)</c:v>
                </c:pt>
                <c:pt idx="2">
                  <c:v>WEEK 3
(May18-24)</c:v>
                </c:pt>
                <c:pt idx="3">
                  <c:v>WEEK 4
(May25-31)</c:v>
                </c:pt>
              </c:strCache>
            </c:strRef>
          </c:cat>
          <c:val>
            <c:numRef>
              <c:f>May!$D$36:$G$36</c:f>
              <c:numCache>
                <c:formatCode>_-* #,##0_-;\-* #,##0_-;_-* "-"??_-;_-@_-</c:formatCode>
                <c:ptCount val="4"/>
                <c:pt idx="0">
                  <c:v>2578.79</c:v>
                </c:pt>
                <c:pt idx="1">
                  <c:v>1821.93</c:v>
                </c:pt>
                <c:pt idx="2">
                  <c:v>1602.63</c:v>
                </c:pt>
                <c:pt idx="3">
                  <c:v>1581.33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B-4C07-8974-00FDC51AD813}"/>
            </c:ext>
          </c:extLst>
        </c:ser>
        <c:ser>
          <c:idx val="2"/>
          <c:order val="1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'Apr(SCA)'!$D$34:$H$34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'Mar actual FM vol'!$D$37:$H$37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3F8B-4C07-8974-00FDC51AD813}"/>
            </c:ext>
          </c:extLst>
        </c:ser>
        <c:ser>
          <c:idx val="5"/>
          <c:order val="4"/>
          <c:tx>
            <c:strRef>
              <c:f>May!$B$37</c:f>
              <c:strCache>
                <c:ptCount val="1"/>
                <c:pt idx="0">
                  <c:v>Diverted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May!$D$34:$G$34</c:f>
              <c:strCache>
                <c:ptCount val="4"/>
                <c:pt idx="0">
                  <c:v>WEEK 1
(May1-10)</c:v>
                </c:pt>
                <c:pt idx="1">
                  <c:v>WEEK 2
(May11-17)</c:v>
                </c:pt>
                <c:pt idx="2">
                  <c:v>WEEK 3
(May18-24)</c:v>
                </c:pt>
                <c:pt idx="3">
                  <c:v>WEEK 4
(May25-31)</c:v>
                </c:pt>
              </c:strCache>
            </c:strRef>
          </c:cat>
          <c:val>
            <c:numRef>
              <c:f>May!$D$37:$G$37</c:f>
              <c:numCache>
                <c:formatCode>_-* #,##0.0_-;\-* #,##0.0_-;_-* "-"??_-;_-@_-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3F8B-4C07-8974-00FDC51AD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"/>
        <c:axId val="1931926304"/>
        <c:axId val="1732677184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May!$B$40:$C$40</c15:sqref>
                        </c15:formulaRef>
                      </c:ext>
                    </c:extLst>
                    <c:strCache>
                      <c:ptCount val="2"/>
                      <c:pt idx="0">
                        <c:v>Monthly Accumulative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May!$D$34:$G$34</c15:sqref>
                        </c15:formulaRef>
                      </c:ext>
                    </c:extLst>
                    <c:strCache>
                      <c:ptCount val="4"/>
                      <c:pt idx="0">
                        <c:v>WEEK 1
(May1-10)</c:v>
                      </c:pt>
                      <c:pt idx="1">
                        <c:v>WEEK 2
(May11-17)</c:v>
                      </c:pt>
                      <c:pt idx="2">
                        <c:v>WEEK 3
(May18-24)</c:v>
                      </c:pt>
                      <c:pt idx="3">
                        <c:v>WEEK 4
(May25-31)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May!$D$40:$G$40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2578.79</c:v>
                      </c:pt>
                      <c:pt idx="1">
                        <c:v>4400.72</c:v>
                      </c:pt>
                      <c:pt idx="2">
                        <c:v>6003.35</c:v>
                      </c:pt>
                      <c:pt idx="3">
                        <c:v>7584.68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3F8B-4C07-8974-00FDC51AD813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3"/>
          <c:tx>
            <c:strRef>
              <c:f>May!$B$41:$C$41</c:f>
              <c:strCache>
                <c:ptCount val="2"/>
                <c:pt idx="0">
                  <c:v>Target to Reach SCA Minimum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May!$D$34:$G$34</c:f>
              <c:strCache>
                <c:ptCount val="4"/>
                <c:pt idx="0">
                  <c:v>WEEK 1
(May1-10)</c:v>
                </c:pt>
                <c:pt idx="1">
                  <c:v>WEEK 2
(May11-17)</c:v>
                </c:pt>
                <c:pt idx="2">
                  <c:v>WEEK 3
(May18-24)</c:v>
                </c:pt>
                <c:pt idx="3">
                  <c:v>WEEK 4
(May25-31)</c:v>
                </c:pt>
              </c:strCache>
            </c:strRef>
          </c:cat>
          <c:val>
            <c:numRef>
              <c:f>May!$D$41:$G$41</c:f>
              <c:numCache>
                <c:formatCode>_-* #,##0_-;\-* #,##0_-;_-* "-"??_-;_-@_-</c:formatCode>
                <c:ptCount val="4"/>
                <c:pt idx="0">
                  <c:v>4005.8129032258066</c:v>
                </c:pt>
                <c:pt idx="1">
                  <c:v>4231.0919354838716</c:v>
                </c:pt>
                <c:pt idx="2">
                  <c:v>5213.2309677419371</c:v>
                </c:pt>
                <c:pt idx="3">
                  <c:v>6414.67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F8B-4C07-8974-00FDC51AD813}"/>
            </c:ext>
          </c:extLst>
        </c:ser>
        <c:ser>
          <c:idx val="6"/>
          <c:order val="5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'Mar actual FM vol'!$D$37:$H$37</c:f>
            </c:numRef>
          </c:val>
          <c:smooth val="0"/>
          <c:extLst>
            <c:ext xmlns:c16="http://schemas.microsoft.com/office/drawing/2014/chart" uri="{C3380CC4-5D6E-409C-BE32-E72D297353CC}">
              <c16:uniqueId val="{00000004-3F8B-4C07-8974-00FDC51AD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6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931926304"/>
        <c:axId val="1732677184"/>
      </c:lineChart>
      <c:catAx>
        <c:axId val="193192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77184"/>
        <c:crosses val="autoZero"/>
        <c:auto val="1"/>
        <c:lblAlgn val="ctr"/>
        <c:lblOffset val="100"/>
        <c:noMultiLvlLbl val="1"/>
      </c:catAx>
      <c:valAx>
        <c:axId val="1732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MT</a:t>
                </a:r>
              </a:p>
            </c:rich>
          </c:tx>
          <c:layout>
            <c:manualLayout>
              <c:xMode val="edge"/>
              <c:yMode val="edge"/>
              <c:x val="0.19272070118622903"/>
              <c:y val="0.24359459230956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263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279257464172775"/>
          <c:y val="0.10060281860125968"/>
          <c:w val="0.67317823439612146"/>
          <c:h val="0.34991922607897613"/>
        </c:manualLayout>
      </c:layout>
      <c:barChart>
        <c:barDir val="col"/>
        <c:grouping val="stacked"/>
        <c:varyColors val="0"/>
        <c:ser>
          <c:idx val="7"/>
          <c:order val="0"/>
          <c:tx>
            <c:strRef>
              <c:f>May!$B$116:$C$116</c:f>
              <c:strCache>
                <c:ptCount val="2"/>
                <c:pt idx="0">
                  <c:v>CO2 Testing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May!$D$116:$G$116</c:f>
              <c:numCache>
                <c:formatCode>_-* #,##0_-;\-* #,##0_-;_-* "-"??_-;_-@_-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AAD1-4FB3-8268-05DB21EF2CC2}"/>
            </c:ext>
          </c:extLst>
        </c:ser>
        <c:ser>
          <c:idx val="1"/>
          <c:order val="1"/>
          <c:tx>
            <c:strRef>
              <c:f>May!$B$117:$C$117</c:f>
              <c:strCache>
                <c:ptCount val="2"/>
                <c:pt idx="0">
                  <c:v>Flared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May!$D$113:$G$113</c:f>
              <c:strCache>
                <c:ptCount val="4"/>
                <c:pt idx="0">
                  <c:v>WEEK 1
(May1-10)</c:v>
                </c:pt>
                <c:pt idx="1">
                  <c:v>WEEK 2
(May11-17)</c:v>
                </c:pt>
                <c:pt idx="2">
                  <c:v>WEEK 3
(May18-24)</c:v>
                </c:pt>
                <c:pt idx="3">
                  <c:v>WEEK 4
(May25-31)</c:v>
                </c:pt>
              </c:strCache>
            </c:strRef>
          </c:cat>
          <c:val>
            <c:numRef>
              <c:f>May!$D$117:$G$117</c:f>
              <c:numCache>
                <c:formatCode>_-* #,##0_-;\-* #,##0_-;_-* "-"??_-;_-@_-</c:formatCode>
                <c:ptCount val="4"/>
                <c:pt idx="0">
                  <c:v>5144</c:v>
                </c:pt>
                <c:pt idx="3">
                  <c:v>30159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D1-4FB3-8268-05DB21EF2CC2}"/>
            </c:ext>
          </c:extLst>
        </c:ser>
        <c:ser>
          <c:idx val="0"/>
          <c:order val="2"/>
          <c:tx>
            <c:strRef>
              <c:f>May!$B$114:$C$114</c:f>
              <c:strCache>
                <c:ptCount val="2"/>
                <c:pt idx="0">
                  <c:v>Delivered to Boilers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May!$D$113:$G$113</c:f>
              <c:strCache>
                <c:ptCount val="4"/>
                <c:pt idx="0">
                  <c:v>WEEK 1
(May1-10)</c:v>
                </c:pt>
                <c:pt idx="1">
                  <c:v>WEEK 2
(May11-17)</c:v>
                </c:pt>
                <c:pt idx="2">
                  <c:v>WEEK 3
(May18-24)</c:v>
                </c:pt>
                <c:pt idx="3">
                  <c:v>WEEK 4
(May25-31)</c:v>
                </c:pt>
              </c:strCache>
            </c:strRef>
          </c:cat>
          <c:val>
            <c:numRef>
              <c:f>May!$D$114:$G$114</c:f>
              <c:numCache>
                <c:formatCode>_-* #,##0_-;\-* #,##0_-;_-* "-"??_-;_-@_-</c:formatCode>
                <c:ptCount val="4"/>
                <c:pt idx="0">
                  <c:v>192085</c:v>
                </c:pt>
                <c:pt idx="1">
                  <c:v>122065</c:v>
                </c:pt>
                <c:pt idx="2">
                  <c:v>91943</c:v>
                </c:pt>
                <c:pt idx="3">
                  <c:v>134044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D1-4FB3-8268-05DB21EF2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786448"/>
        <c:axId val="1745592720"/>
        <c:extLst>
          <c:ext xmlns:c15="http://schemas.microsoft.com/office/drawing/2012/chart" uri="{02D57815-91ED-43cb-92C2-25804820EDAC}">
            <c15:filteredBarSeries>
              <c15:ser>
                <c:idx val="5"/>
                <c:order val="6"/>
                <c:tx>
                  <c:strRef>
                    <c:extLst>
                      <c:ext uri="{02D57815-91ED-43cb-92C2-25804820EDAC}">
                        <c15:formulaRef>
                          <c15:sqref>May!$B$115:$C$115</c15:sqref>
                        </c15:formulaRef>
                      </c:ext>
                    </c:extLst>
                    <c:strCache>
                      <c:ptCount val="2"/>
                      <c:pt idx="0">
                        <c:v>Delivered to Engine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May!$D$113:$G$113</c15:sqref>
                        </c15:formulaRef>
                      </c:ext>
                    </c:extLst>
                    <c:strCache>
                      <c:ptCount val="4"/>
                      <c:pt idx="0">
                        <c:v>WEEK 1
(May1-10)</c:v>
                      </c:pt>
                      <c:pt idx="1">
                        <c:v>WEEK 2
(May11-17)</c:v>
                      </c:pt>
                      <c:pt idx="2">
                        <c:v>WEEK 3
(May18-24)</c:v>
                      </c:pt>
                      <c:pt idx="3">
                        <c:v>WEEK 4
(May25-31)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May!$D$115:$G$115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75323.14</c:v>
                      </c:pt>
                      <c:pt idx="1">
                        <c:v>66849.039999999994</c:v>
                      </c:pt>
                      <c:pt idx="2">
                        <c:v>69687.839999999997</c:v>
                      </c:pt>
                      <c:pt idx="3">
                        <c:v>37111.199999999997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AAD1-4FB3-8268-05DB21EF2CC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5"/>
          <c:tx>
            <c:strRef>
              <c:f>May!$B$121:$C$121</c:f>
              <c:strCache>
                <c:ptCount val="2"/>
                <c:pt idx="0">
                  <c:v>Target to Reach SCA min</c:v>
                </c:pt>
                <c:pt idx="1">
                  <c:v>(Nm3)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May!$D$113:$G$113</c:f>
              <c:strCache>
                <c:ptCount val="4"/>
                <c:pt idx="0">
                  <c:v>WEEK 1
(May1-10)</c:v>
                </c:pt>
                <c:pt idx="1">
                  <c:v>WEEK 2
(May11-17)</c:v>
                </c:pt>
                <c:pt idx="2">
                  <c:v>WEEK 3
(May18-24)</c:v>
                </c:pt>
                <c:pt idx="3">
                  <c:v>WEEK 4
(May25-31)</c:v>
                </c:pt>
              </c:strCache>
            </c:strRef>
          </c:cat>
          <c:val>
            <c:numRef>
              <c:f>May!$D$121:$G$121</c:f>
              <c:numCache>
                <c:formatCode>_-* #,##0_-;\-* #,##0_-;_-* "-"??_-;_-@_-</c:formatCode>
                <c:ptCount val="4"/>
                <c:pt idx="0">
                  <c:v>284113.9589442815</c:v>
                </c:pt>
                <c:pt idx="1">
                  <c:v>290908.73020527855</c:v>
                </c:pt>
                <c:pt idx="2">
                  <c:v>367723.50146627566</c:v>
                </c:pt>
                <c:pt idx="3">
                  <c:v>474660.27272727271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D1-4FB3-8268-05DB21EF2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786448"/>
        <c:axId val="1745592720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May!$B$118:$C$118</c15:sqref>
                        </c15:formulaRef>
                      </c:ext>
                    </c:extLst>
                    <c:strCache>
                      <c:ptCount val="2"/>
                      <c:pt idx="0">
                        <c:v>Total Produced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May!$D$113:$G$113</c15:sqref>
                        </c15:formulaRef>
                      </c:ext>
                    </c:extLst>
                    <c:strCache>
                      <c:ptCount val="4"/>
                      <c:pt idx="0">
                        <c:v>WEEK 1
(May1-10)</c:v>
                      </c:pt>
                      <c:pt idx="1">
                        <c:v>WEEK 2
(May11-17)</c:v>
                      </c:pt>
                      <c:pt idx="2">
                        <c:v>WEEK 3
(May18-24)</c:v>
                      </c:pt>
                      <c:pt idx="3">
                        <c:v>WEEK 4
(May25-31)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May!$D$118:$G$118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272552.14</c:v>
                      </c:pt>
                      <c:pt idx="1">
                        <c:v>188914.03999999998</c:v>
                      </c:pt>
                      <c:pt idx="2">
                        <c:v>161630.84</c:v>
                      </c:pt>
                      <c:pt idx="3">
                        <c:v>201314.2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AD1-4FB3-8268-05DB21EF2CC2}"/>
                  </c:ext>
                </c:extLst>
              </c15:ser>
            </c15:filteredLineSeries>
            <c15:filteredLine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May!$B$119:$C$119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May!$D$113:$G$113</c15:sqref>
                        </c15:formulaRef>
                      </c:ext>
                    </c:extLst>
                    <c:strCache>
                      <c:ptCount val="4"/>
                      <c:pt idx="0">
                        <c:v>WEEK 1
(May1-10)</c:v>
                      </c:pt>
                      <c:pt idx="1">
                        <c:v>WEEK 2
(May11-17)</c:v>
                      </c:pt>
                      <c:pt idx="2">
                        <c:v>WEEK 3
(May18-24)</c:v>
                      </c:pt>
                      <c:pt idx="3">
                        <c:v>WEEK 4
(May25-31)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May!$D$119:$G$119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192085</c:v>
                      </c:pt>
                      <c:pt idx="1">
                        <c:v>314150</c:v>
                      </c:pt>
                      <c:pt idx="2">
                        <c:v>406093</c:v>
                      </c:pt>
                      <c:pt idx="3">
                        <c:v>540137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AD1-4FB3-8268-05DB21EF2CC2}"/>
                  </c:ext>
                </c:extLst>
              </c15:ser>
            </c15:filteredLineSeries>
            <c15:filteredLineSeries>
              <c15:ser>
                <c:idx val="6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May!$B$120:$C$120</c15:sqref>
                        </c15:formulaRef>
                      </c:ext>
                    </c:extLst>
                    <c:strCache>
                      <c:ptCount val="2"/>
                      <c:pt idx="0">
                        <c:v>Target Gas based on Delivered Substrates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rgbClr val="FFC000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rgbClr val="FFC000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May!$D$113:$G$113</c15:sqref>
                        </c15:formulaRef>
                      </c:ext>
                    </c:extLst>
                    <c:strCache>
                      <c:ptCount val="4"/>
                      <c:pt idx="0">
                        <c:v>WEEK 1
(May1-10)</c:v>
                      </c:pt>
                      <c:pt idx="1">
                        <c:v>WEEK 2
(May11-17)</c:v>
                      </c:pt>
                      <c:pt idx="2">
                        <c:v>WEEK 3
(May18-24)</c:v>
                      </c:pt>
                      <c:pt idx="3">
                        <c:v>WEEK 4
(May25-31)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May!$D$120:$G$120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204250.998918</c:v>
                      </c:pt>
                      <c:pt idx="1">
                        <c:v>144304.50810599999</c:v>
                      </c:pt>
                      <c:pt idx="2">
                        <c:v>126935.027046</c:v>
                      </c:pt>
                      <c:pt idx="3">
                        <c:v>125247.97758599999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AD1-4FB3-8268-05DB21EF2CC2}"/>
                  </c:ext>
                </c:extLst>
              </c15:ser>
            </c15:filteredLineSeries>
          </c:ext>
        </c:extLst>
      </c:lineChart>
      <c:catAx>
        <c:axId val="17237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92720"/>
        <c:crosses val="autoZero"/>
        <c:auto val="1"/>
        <c:lblAlgn val="ctr"/>
        <c:lblOffset val="100"/>
        <c:noMultiLvlLbl val="1"/>
      </c:catAx>
      <c:valAx>
        <c:axId val="17455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(Nm3)</a:t>
                </a:r>
              </a:p>
            </c:rich>
          </c:tx>
          <c:layout>
            <c:manualLayout>
              <c:xMode val="edge"/>
              <c:yMode val="edge"/>
              <c:x val="0.1572054197817343"/>
              <c:y val="0.21039484932677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86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7081569440655"/>
          <c:y val="0.12528405766264164"/>
          <c:w val="0.77286261321270178"/>
          <c:h val="0.59436211738049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May!$B$78:$C$78</c:f>
              <c:strCache>
                <c:ptCount val="2"/>
                <c:pt idx="0">
                  <c:v>Delivered</c:v>
                </c:pt>
                <c:pt idx="1">
                  <c:v>(kWh)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May!$D$77:$G$77</c:f>
              <c:strCache>
                <c:ptCount val="4"/>
                <c:pt idx="0">
                  <c:v>WEEK 1
(May1-10)</c:v>
                </c:pt>
                <c:pt idx="1">
                  <c:v>WEEK 2
(May11-17)</c:v>
                </c:pt>
                <c:pt idx="2">
                  <c:v>WEEK 3
(May18-24)</c:v>
                </c:pt>
                <c:pt idx="3">
                  <c:v>WEEK 4
(May25-31)</c:v>
                </c:pt>
              </c:strCache>
            </c:strRef>
          </c:cat>
          <c:val>
            <c:numRef>
              <c:f>May!$D$78:$G$78</c:f>
              <c:numCache>
                <c:formatCode>_-* #,##0_-;\-* #,##0_-;_-* "-"??_-;_-@_-</c:formatCode>
                <c:ptCount val="4"/>
                <c:pt idx="0">
                  <c:v>160262</c:v>
                </c:pt>
                <c:pt idx="1">
                  <c:v>142232</c:v>
                </c:pt>
                <c:pt idx="2">
                  <c:v>148272</c:v>
                </c:pt>
                <c:pt idx="3">
                  <c:v>78960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0-48AD-821E-1A823A718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05608704"/>
        <c:axId val="305574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May!$B$79:$C$79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(kWh)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May!$D$77:$G$77</c15:sqref>
                        </c15:formulaRef>
                      </c:ext>
                    </c:extLst>
                    <c:strCache>
                      <c:ptCount val="4"/>
                      <c:pt idx="0">
                        <c:v>WEEK 1
(May1-10)</c:v>
                      </c:pt>
                      <c:pt idx="1">
                        <c:v>WEEK 2
(May11-17)</c:v>
                      </c:pt>
                      <c:pt idx="2">
                        <c:v>WEEK 3
(May18-24)</c:v>
                      </c:pt>
                      <c:pt idx="3">
                        <c:v>WEEK 4
(May25-31)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May!$D$79:$G$79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160262</c:v>
                      </c:pt>
                      <c:pt idx="1">
                        <c:v>302494</c:v>
                      </c:pt>
                      <c:pt idx="2">
                        <c:v>450766</c:v>
                      </c:pt>
                      <c:pt idx="3">
                        <c:v>529726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A00-48AD-821E-1A823A718ED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May!$B$80:$C$80</c:f>
              <c:strCache>
                <c:ptCount val="2"/>
                <c:pt idx="0">
                  <c:v>Target to Reach SCA Minimum </c:v>
                </c:pt>
                <c:pt idx="1">
                  <c:v>(kWh)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May!$D$77:$G$77</c:f>
              <c:strCache>
                <c:ptCount val="4"/>
                <c:pt idx="0">
                  <c:v>WEEK 1
(May1-10)</c:v>
                </c:pt>
                <c:pt idx="1">
                  <c:v>WEEK 2
(May11-17)</c:v>
                </c:pt>
                <c:pt idx="2">
                  <c:v>WEEK 3
(May18-24)</c:v>
                </c:pt>
                <c:pt idx="3">
                  <c:v>WEEK 4
(May25-31)</c:v>
                </c:pt>
              </c:strCache>
            </c:strRef>
          </c:cat>
          <c:val>
            <c:numRef>
              <c:f>May!$D$80:$G$80</c:f>
              <c:numCache>
                <c:formatCode>_-* #,##0_-;\-* #,##0_-;_-* "-"??_-;_-@_-</c:formatCode>
                <c:ptCount val="4"/>
                <c:pt idx="0">
                  <c:v>274928.68035190617</c:v>
                </c:pt>
                <c:pt idx="1">
                  <c:v>307116.75659824046</c:v>
                </c:pt>
                <c:pt idx="2">
                  <c:v>357334.8328445747</c:v>
                </c:pt>
                <c:pt idx="3">
                  <c:v>401512.90909090906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00-48AD-821E-1A823A718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08704"/>
        <c:axId val="305574416"/>
        <c:extLst/>
      </c:lineChart>
      <c:catAx>
        <c:axId val="3056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4416"/>
        <c:crosses val="autoZero"/>
        <c:auto val="1"/>
        <c:lblAlgn val="ctr"/>
        <c:lblOffset val="100"/>
        <c:noMultiLvlLbl val="1"/>
      </c:catAx>
      <c:valAx>
        <c:axId val="3055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kWh</a:t>
                </a:r>
              </a:p>
            </c:rich>
          </c:tx>
          <c:layout>
            <c:manualLayout>
              <c:xMode val="edge"/>
              <c:yMode val="edge"/>
              <c:x val="0.16530445088964488"/>
              <c:y val="0.35705801198293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08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69028871391076"/>
          <c:y val="8.5110331300092601E-2"/>
          <c:w val="0.63956741004774031"/>
          <c:h val="0.5909229120624055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May!$B$132:$C$132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838-40E6-B512-CC7224FCEA1D}"/>
              </c:ext>
            </c:extLst>
          </c:dPt>
          <c:cat>
            <c:strRef>
              <c:f>May!$D$128:$G$128</c:f>
              <c:strCache>
                <c:ptCount val="4"/>
                <c:pt idx="0">
                  <c:v>WEEK 1
(May1-10)</c:v>
                </c:pt>
                <c:pt idx="1">
                  <c:v>WEEK 2
(May11-17)</c:v>
                </c:pt>
                <c:pt idx="2">
                  <c:v>WEEK 3
(May18-24)</c:v>
                </c:pt>
                <c:pt idx="3">
                  <c:v>WEEK 4
(May25-31)</c:v>
                </c:pt>
              </c:strCache>
            </c:strRef>
          </c:cat>
          <c:val>
            <c:numRef>
              <c:f>May!$D$132:$G$132</c:f>
              <c:numCache>
                <c:formatCode>_-* #,##0_-;\-* #,##0_-;_-* "-"??_-;_-@_-</c:formatCode>
                <c:ptCount val="4"/>
                <c:pt idx="0">
                  <c:v>272552.14</c:v>
                </c:pt>
                <c:pt idx="1">
                  <c:v>188914.03999999998</c:v>
                </c:pt>
                <c:pt idx="2">
                  <c:v>161630.84</c:v>
                </c:pt>
                <c:pt idx="3">
                  <c:v>201314.2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38-40E6-B512-CC7224FCEA1D}"/>
            </c:ext>
          </c:extLst>
        </c:ser>
        <c:ser>
          <c:idx val="1"/>
          <c:order val="1"/>
          <c:tx>
            <c:strRef>
              <c:f>May!$B$131:$C$131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May!$D$128:$G$128</c:f>
              <c:strCache>
                <c:ptCount val="4"/>
                <c:pt idx="0">
                  <c:v>WEEK 1
(May1-10)</c:v>
                </c:pt>
                <c:pt idx="1">
                  <c:v>WEEK 2
(May11-17)</c:v>
                </c:pt>
                <c:pt idx="2">
                  <c:v>WEEK 3
(May18-24)</c:v>
                </c:pt>
                <c:pt idx="3">
                  <c:v>WEEK 4
(May25-31)</c:v>
                </c:pt>
              </c:strCache>
            </c:strRef>
          </c:cat>
          <c:val>
            <c:numRef>
              <c:f>May!$D$131:$G$131</c:f>
              <c:numCache>
                <c:formatCode>_-* #,##0_-;\-* #,##0_-;_-* "-"??_-;_-@_-</c:formatCode>
                <c:ptCount val="4"/>
                <c:pt idx="0">
                  <c:v>260457.79</c:v>
                </c:pt>
                <c:pt idx="1">
                  <c:v>184014.93</c:v>
                </c:pt>
                <c:pt idx="2">
                  <c:v>161865.63</c:v>
                </c:pt>
                <c:pt idx="3">
                  <c:v>159714.32999999999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38-40E6-B512-CC7224FCE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May!$B$130:$C$130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May!$D$128:$G$128</c15:sqref>
                        </c15:formulaRef>
                      </c:ext>
                    </c:extLst>
                    <c:strCache>
                      <c:ptCount val="4"/>
                      <c:pt idx="0">
                        <c:v>WEEK 1
(May1-10)</c:v>
                      </c:pt>
                      <c:pt idx="1">
                        <c:v>WEEK 2
(May11-17)</c:v>
                      </c:pt>
                      <c:pt idx="2">
                        <c:v>WEEK 3
(May18-24)</c:v>
                      </c:pt>
                      <c:pt idx="3">
                        <c:v>WEEK 4
(May25-31)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May!$D$130:$G$130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2578.79</c:v>
                      </c:pt>
                      <c:pt idx="1">
                        <c:v>1821.93</c:v>
                      </c:pt>
                      <c:pt idx="2">
                        <c:v>1602.63</c:v>
                      </c:pt>
                      <c:pt idx="3">
                        <c:v>1581.33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2838-40E6-B512-CC7224FCEA1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May!$B$133:$C$133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May!$D$128:$G$128</c:f>
              <c:strCache>
                <c:ptCount val="4"/>
                <c:pt idx="0">
                  <c:v>WEEK 1
(May1-10)</c:v>
                </c:pt>
                <c:pt idx="1">
                  <c:v>WEEK 2
(May11-17)</c:v>
                </c:pt>
                <c:pt idx="2">
                  <c:v>WEEK 3
(May18-24)</c:v>
                </c:pt>
                <c:pt idx="3">
                  <c:v>WEEK 4
(May25-31)</c:v>
                </c:pt>
              </c:strCache>
            </c:strRef>
          </c:cat>
          <c:val>
            <c:numRef>
              <c:f>May!$D$133:$G$133</c:f>
              <c:numCache>
                <c:formatCode>_-* #,##0_-;\-* #,##0_-;_-* "-"??_-;_-@_-</c:formatCode>
                <c:ptCount val="4"/>
                <c:pt idx="0">
                  <c:v>105.68993209993835</c:v>
                </c:pt>
                <c:pt idx="1">
                  <c:v>103.68896719412929</c:v>
                </c:pt>
                <c:pt idx="2">
                  <c:v>100.85349706420071</c:v>
                </c:pt>
                <c:pt idx="3">
                  <c:v>127.30688724048746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38-40E6-B512-CC7224FCEA1D}"/>
            </c:ext>
          </c:extLst>
        </c:ser>
        <c:ser>
          <c:idx val="4"/>
          <c:order val="4"/>
          <c:tx>
            <c:strRef>
              <c:f>May!$B$134:$C$134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May!$D$128:$G$128</c:f>
              <c:strCache>
                <c:ptCount val="4"/>
                <c:pt idx="0">
                  <c:v>WEEK 1
(May1-10)</c:v>
                </c:pt>
                <c:pt idx="1">
                  <c:v>WEEK 2
(May11-17)</c:v>
                </c:pt>
                <c:pt idx="2">
                  <c:v>WEEK 3
(May18-24)</c:v>
                </c:pt>
                <c:pt idx="3">
                  <c:v>WEEK 4
(May25-31)</c:v>
                </c:pt>
              </c:strCache>
            </c:strRef>
          </c:cat>
          <c:val>
            <c:numRef>
              <c:f>May!$D$134:$G$134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38-40E6-B512-CC7224FCE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253760"/>
        <c:axId val="740266720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baseline="0"/>
                  <a:t>(</a:t>
                </a:r>
                <a:r>
                  <a:rPr lang="en-PH"/>
                  <a:t>Nm3)</a:t>
                </a:r>
              </a:p>
            </c:rich>
          </c:tx>
          <c:layout>
            <c:manualLayout>
              <c:xMode val="edge"/>
              <c:yMode val="edge"/>
              <c:x val="0.13632107956496156"/>
              <c:y val="0.309808368406482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740266720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53760"/>
        <c:crosses val="max"/>
        <c:crossBetween val="between"/>
      </c:valAx>
      <c:catAx>
        <c:axId val="740253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02667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Biogas Conversion (Yield) - Factoring the DS Content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94307296004804"/>
          <c:y val="7.2393844182113795E-2"/>
          <c:w val="0.64755261890531735"/>
          <c:h val="0.595684440389846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May!$B$174:$C$174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May!$D$128:$G$128</c:f>
              <c:strCache>
                <c:ptCount val="4"/>
                <c:pt idx="0">
                  <c:v>WEEK 1
(May1-10)</c:v>
                </c:pt>
                <c:pt idx="1">
                  <c:v>WEEK 2
(May11-17)</c:v>
                </c:pt>
                <c:pt idx="2">
                  <c:v>WEEK 3
(May18-24)</c:v>
                </c:pt>
                <c:pt idx="3">
                  <c:v>WEEK 4
(May25-31)</c:v>
                </c:pt>
              </c:strCache>
            </c:strRef>
          </c:cat>
          <c:val>
            <c:numRef>
              <c:f>May!$D$174:$G$174</c:f>
              <c:numCache>
                <c:formatCode>_-* #,##0_-;\-* #,##0_-;_-* "-"??_-;_-@_-</c:formatCode>
                <c:ptCount val="4"/>
                <c:pt idx="0">
                  <c:v>272552.14</c:v>
                </c:pt>
                <c:pt idx="1">
                  <c:v>188914.03999999998</c:v>
                </c:pt>
                <c:pt idx="2">
                  <c:v>161630.84</c:v>
                </c:pt>
                <c:pt idx="3">
                  <c:v>201314.2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D-4F7F-8403-78F56C2216E4}"/>
            </c:ext>
          </c:extLst>
        </c:ser>
        <c:ser>
          <c:idx val="1"/>
          <c:order val="1"/>
          <c:tx>
            <c:strRef>
              <c:f>May!$B$173:$C$173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May!$D$128:$G$128</c:f>
              <c:strCache>
                <c:ptCount val="4"/>
                <c:pt idx="0">
                  <c:v>WEEK 1
(May1-10)</c:v>
                </c:pt>
                <c:pt idx="1">
                  <c:v>WEEK 2
(May11-17)</c:v>
                </c:pt>
                <c:pt idx="2">
                  <c:v>WEEK 3
(May18-24)</c:v>
                </c:pt>
                <c:pt idx="3">
                  <c:v>WEEK 4
(May25-31)</c:v>
                </c:pt>
              </c:strCache>
            </c:strRef>
          </c:cat>
          <c:val>
            <c:numRef>
              <c:f>May!$D$173:$G$173</c:f>
              <c:numCache>
                <c:formatCode>_-* #,##0_-;\-* #,##0_-;_-* "-"??_-;_-@_-</c:formatCode>
                <c:ptCount val="4"/>
                <c:pt idx="0">
                  <c:v>252699.86868357143</c:v>
                </c:pt>
                <c:pt idx="1">
                  <c:v>182542.81056000001</c:v>
                </c:pt>
                <c:pt idx="2">
                  <c:v>159518.57836500002</c:v>
                </c:pt>
                <c:pt idx="3">
                  <c:v>159326.45234142855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0D-4F7F-8403-78F56C221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May!$B$130:$C$130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May!$D$128:$G$128</c15:sqref>
                        </c15:formulaRef>
                      </c:ext>
                    </c:extLst>
                    <c:strCache>
                      <c:ptCount val="4"/>
                      <c:pt idx="0">
                        <c:v>WEEK 1
(May1-10)</c:v>
                      </c:pt>
                      <c:pt idx="1">
                        <c:v>WEEK 2
(May11-17)</c:v>
                      </c:pt>
                      <c:pt idx="2">
                        <c:v>WEEK 3
(May18-24)</c:v>
                      </c:pt>
                      <c:pt idx="3">
                        <c:v>WEEK 4
(May25-31)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May!$D$130:$G$130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2578.79</c:v>
                      </c:pt>
                      <c:pt idx="1">
                        <c:v>1821.93</c:v>
                      </c:pt>
                      <c:pt idx="2">
                        <c:v>1602.63</c:v>
                      </c:pt>
                      <c:pt idx="3">
                        <c:v>1581.33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600D-4F7F-8403-78F56C2216E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May!$B$176:$C$176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2.0278921618298227E-2"/>
                  <c:y val="-3.1348240859611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0D-4F7F-8403-78F56C2216E4}"/>
                </c:ext>
              </c:extLst>
            </c:dLbl>
            <c:dLbl>
              <c:idx val="1"/>
              <c:layout>
                <c:manualLayout>
                  <c:x val="-1.3075589999027718E-3"/>
                  <c:y val="-2.4146229705798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0D-4F7F-8403-78F56C2216E4}"/>
                </c:ext>
              </c:extLst>
            </c:dLbl>
            <c:dLbl>
              <c:idx val="2"/>
              <c:layout>
                <c:manualLayout>
                  <c:x val="-2.4536084465953872E-2"/>
                  <c:y val="-2.6102545666180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0D-4F7F-8403-78F56C2216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May!$D$128:$G$128</c:f>
              <c:strCache>
                <c:ptCount val="4"/>
                <c:pt idx="0">
                  <c:v>WEEK 1
(May1-10)</c:v>
                </c:pt>
                <c:pt idx="1">
                  <c:v>WEEK 2
(May11-17)</c:v>
                </c:pt>
                <c:pt idx="2">
                  <c:v>WEEK 3
(May18-24)</c:v>
                </c:pt>
                <c:pt idx="3">
                  <c:v>WEEK 4
(May25-31)</c:v>
                </c:pt>
              </c:strCache>
            </c:strRef>
          </c:cat>
          <c:val>
            <c:numRef>
              <c:f>May!$D$176:$G$176</c:f>
              <c:numCache>
                <c:formatCode>_-* #,##0_-;\-* #,##0_-;_-* "-"??_-;_-@_-</c:formatCode>
                <c:ptCount val="4"/>
                <c:pt idx="0">
                  <c:v>108.93462779939166</c:v>
                </c:pt>
                <c:pt idx="1">
                  <c:v>104.52516854246905</c:v>
                </c:pt>
                <c:pt idx="2">
                  <c:v>102.33738920771253</c:v>
                </c:pt>
                <c:pt idx="3">
                  <c:v>127.61681378825894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0D-4F7F-8403-78F56C2216E4}"/>
            </c:ext>
          </c:extLst>
        </c:ser>
        <c:ser>
          <c:idx val="4"/>
          <c:order val="4"/>
          <c:tx>
            <c:strRef>
              <c:f>May!$B$177:$C$177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May!$D$128:$G$128</c:f>
              <c:strCache>
                <c:ptCount val="4"/>
                <c:pt idx="0">
                  <c:v>WEEK 1
(May1-10)</c:v>
                </c:pt>
                <c:pt idx="1">
                  <c:v>WEEK 2
(May11-17)</c:v>
                </c:pt>
                <c:pt idx="2">
                  <c:v>WEEK 3
(May18-24)</c:v>
                </c:pt>
                <c:pt idx="3">
                  <c:v>WEEK 4
(May25-31)</c:v>
                </c:pt>
              </c:strCache>
            </c:strRef>
          </c:cat>
          <c:val>
            <c:numRef>
              <c:f>May!$D$177:$G$177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0D-4F7F-8403-78F56C2216E4}"/>
            </c:ext>
          </c:extLst>
        </c:ser>
        <c:ser>
          <c:idx val="5"/>
          <c:order val="5"/>
          <c:tx>
            <c:strRef>
              <c:f>May!$B$175</c:f>
              <c:strCache>
                <c:ptCount val="1"/>
                <c:pt idx="0">
                  <c:v>%DS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May!$D$175:$G$175</c:f>
              <c:numCache>
                <c:formatCode>_(* #,##0.00_);_(* \(#,##0.00\);_(* "-"??_);_(@_)</c:formatCode>
                <c:ptCount val="4"/>
                <c:pt idx="0">
                  <c:v>13.583</c:v>
                </c:pt>
                <c:pt idx="1">
                  <c:v>13.888</c:v>
                </c:pt>
                <c:pt idx="2">
                  <c:v>13.797000000000001</c:v>
                </c:pt>
                <c:pt idx="3">
                  <c:v>13.965999999999999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00D-4F7F-8403-78F56C221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</a:t>
                </a:r>
              </a:p>
            </c:rich>
          </c:tx>
          <c:layout>
            <c:manualLayout>
              <c:xMode val="edge"/>
              <c:yMode val="edge"/>
              <c:x val="0.1338963604146387"/>
              <c:y val="0.38583079407906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Nm3/ton</a:t>
                </a:r>
              </a:p>
            </c:rich>
          </c:tx>
          <c:layout>
            <c:manualLayout>
              <c:xMode val="edge"/>
              <c:yMode val="edge"/>
              <c:x val="0.95544679367650542"/>
              <c:y val="0.412100607226448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037413340212502"/>
          <c:y val="0.11640982453860035"/>
          <c:w val="0.74370088205263363"/>
          <c:h val="0.45822964421204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Jun!$B$36:$C$36</c:f>
              <c:strCache>
                <c:ptCount val="2"/>
                <c:pt idx="0">
                  <c:v>Delivered (DPO)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Jun!$D$34:$G$34</c:f>
              <c:strCache>
                <c:ptCount val="4"/>
                <c:pt idx="0">
                  <c:v>WEEK 1
(Jun1-7)</c:v>
                </c:pt>
                <c:pt idx="1">
                  <c:v>WEEK 2
(Jun8-14)</c:v>
                </c:pt>
                <c:pt idx="2">
                  <c:v>WEEK 3
(Jun15-21)</c:v>
                </c:pt>
                <c:pt idx="3">
                  <c:v>WEEK 4
(June22-30)</c:v>
                </c:pt>
              </c:strCache>
            </c:strRef>
          </c:cat>
          <c:val>
            <c:numRef>
              <c:f>Jun!$D$36:$G$36</c:f>
              <c:numCache>
                <c:formatCode>_-* #,##0_-;\-* #,##0_-;_-* "-"??_-;_-@_-</c:formatCode>
                <c:ptCount val="4"/>
                <c:pt idx="0">
                  <c:v>1800.43</c:v>
                </c:pt>
                <c:pt idx="1">
                  <c:v>2016.87</c:v>
                </c:pt>
                <c:pt idx="2">
                  <c:v>1621.82</c:v>
                </c:pt>
                <c:pt idx="3">
                  <c:v>1460.96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E-4320-9E59-76EB8E696A9C}"/>
            </c:ext>
          </c:extLst>
        </c:ser>
        <c:ser>
          <c:idx val="2"/>
          <c:order val="1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'Apr(SCA)'!$D$34:$H$34</c:f>
              <c:strCache>
                <c:ptCount val="5"/>
                <c:pt idx="0">
                  <c:v>WEEK 1
(Apr1-5)</c:v>
                </c:pt>
                <c:pt idx="1">
                  <c:v>WEEK 2
(Apr6-12)</c:v>
                </c:pt>
                <c:pt idx="2">
                  <c:v>WEEK 3
(Apr13-19)</c:v>
                </c:pt>
                <c:pt idx="3">
                  <c:v>WEEK 4
(Apr20-26)</c:v>
                </c:pt>
                <c:pt idx="4">
                  <c:v>WEEk 5
(Apr27-30)</c:v>
                </c:pt>
              </c:strCache>
            </c:strRef>
          </c:cat>
          <c:val>
            <c:numRef>
              <c:f>'Mar actual FM vol'!$D$37:$H$37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D7DE-4320-9E59-76EB8E696A9C}"/>
            </c:ext>
          </c:extLst>
        </c:ser>
        <c:ser>
          <c:idx val="5"/>
          <c:order val="4"/>
          <c:tx>
            <c:strRef>
              <c:f>Jun!$B$37</c:f>
              <c:strCache>
                <c:ptCount val="1"/>
                <c:pt idx="0">
                  <c:v>Diverted (Surallah)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Jun!$D$34:$G$34</c:f>
              <c:strCache>
                <c:ptCount val="4"/>
                <c:pt idx="0">
                  <c:v>WEEK 1
(Jun1-7)</c:v>
                </c:pt>
                <c:pt idx="1">
                  <c:v>WEEK 2
(Jun8-14)</c:v>
                </c:pt>
                <c:pt idx="2">
                  <c:v>WEEK 3
(Jun15-21)</c:v>
                </c:pt>
                <c:pt idx="3">
                  <c:v>WEEK 4
(June22-30)</c:v>
                </c:pt>
              </c:strCache>
            </c:strRef>
          </c:cat>
          <c:val>
            <c:numRef>
              <c:f>Jun!$D$37:$G$37</c:f>
              <c:numCache>
                <c:formatCode>_-* #,##0.0_-;\-* #,##0.0_-;_-* "-"??_-;_-@_-</c:formatCode>
                <c:ptCount val="4"/>
                <c:pt idx="2">
                  <c:v>94.06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DE-4320-9E59-76EB8E696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"/>
        <c:axId val="1931926304"/>
        <c:axId val="1732677184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Jun!$B$40:$C$40</c15:sqref>
                        </c15:formulaRef>
                      </c:ext>
                    </c:extLst>
                    <c:strCache>
                      <c:ptCount val="2"/>
                      <c:pt idx="0">
                        <c:v>Monthly Accumulative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Jun!$D$34:$G$34</c15:sqref>
                        </c15:formulaRef>
                      </c:ext>
                    </c:extLst>
                    <c:strCache>
                      <c:ptCount val="4"/>
                      <c:pt idx="0">
                        <c:v>WEEK 1
(Jun1-7)</c:v>
                      </c:pt>
                      <c:pt idx="1">
                        <c:v>WEEK 2
(Jun8-14)</c:v>
                      </c:pt>
                      <c:pt idx="2">
                        <c:v>WEEK 3
(Jun15-21)</c:v>
                      </c:pt>
                      <c:pt idx="3">
                        <c:v>WEEK 4
(June22-30)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Jun!$D$40:$G$40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1800.43</c:v>
                      </c:pt>
                      <c:pt idx="1">
                        <c:v>3817.3</c:v>
                      </c:pt>
                      <c:pt idx="2">
                        <c:v>5533.18</c:v>
                      </c:pt>
                      <c:pt idx="3">
                        <c:v>6994.14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D7DE-4320-9E59-76EB8E696A9C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3"/>
          <c:tx>
            <c:strRef>
              <c:f>Jun!$B$41:$C$41</c:f>
              <c:strCache>
                <c:ptCount val="2"/>
                <c:pt idx="0">
                  <c:v>Target to Reach SCA Minimum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Jun!$D$34:$G$34</c:f>
              <c:strCache>
                <c:ptCount val="4"/>
                <c:pt idx="0">
                  <c:v>WEEK 1
(Jun1-7)</c:v>
                </c:pt>
                <c:pt idx="1">
                  <c:v>WEEK 2
(Jun8-14)</c:v>
                </c:pt>
                <c:pt idx="2">
                  <c:v>WEEK 3
(Jun15-21)</c:v>
                </c:pt>
                <c:pt idx="3">
                  <c:v>WEEK 4
(June22-30)</c:v>
                </c:pt>
              </c:strCache>
            </c:strRef>
          </c:cat>
          <c:val>
            <c:numRef>
              <c:f>Jun!$D$41:$G$41</c:f>
              <c:numCache>
                <c:formatCode>_-* #,##0_-;\-* #,##0_-;_-* "-"??_-;_-@_-</c:formatCode>
                <c:ptCount val="4"/>
                <c:pt idx="0">
                  <c:v>3010.3159333333333</c:v>
                </c:pt>
                <c:pt idx="1">
                  <c:v>4220.2018666666663</c:v>
                </c:pt>
                <c:pt idx="2">
                  <c:v>5213.6477999999997</c:v>
                </c:pt>
                <c:pt idx="3">
                  <c:v>7368.1739999999991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7DE-4320-9E59-76EB8E696A9C}"/>
            </c:ext>
          </c:extLst>
        </c:ser>
        <c:ser>
          <c:idx val="6"/>
          <c:order val="5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'Mar actual FM vol'!$D$37:$H$37</c:f>
            </c:numRef>
          </c:val>
          <c:smooth val="0"/>
          <c:extLst>
            <c:ext xmlns:c16="http://schemas.microsoft.com/office/drawing/2014/chart" uri="{C3380CC4-5D6E-409C-BE32-E72D297353CC}">
              <c16:uniqueId val="{00000004-D7DE-4320-9E59-76EB8E696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6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931926304"/>
        <c:axId val="1732677184"/>
      </c:lineChart>
      <c:catAx>
        <c:axId val="193192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77184"/>
        <c:crosses val="autoZero"/>
        <c:auto val="1"/>
        <c:lblAlgn val="ctr"/>
        <c:lblOffset val="100"/>
        <c:noMultiLvlLbl val="1"/>
      </c:catAx>
      <c:valAx>
        <c:axId val="1732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MT</a:t>
                </a:r>
              </a:p>
            </c:rich>
          </c:tx>
          <c:layout>
            <c:manualLayout>
              <c:xMode val="edge"/>
              <c:yMode val="edge"/>
              <c:x val="0.19272070118622903"/>
              <c:y val="0.24359459230956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263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279257464172775"/>
          <c:y val="0.10060281860125968"/>
          <c:w val="0.67317823439612146"/>
          <c:h val="0.34991922607897613"/>
        </c:manualLayout>
      </c:layout>
      <c:barChart>
        <c:barDir val="col"/>
        <c:grouping val="stacked"/>
        <c:varyColors val="0"/>
        <c:ser>
          <c:idx val="7"/>
          <c:order val="0"/>
          <c:tx>
            <c:strRef>
              <c:f>Jun!$B$116:$C$116</c:f>
              <c:strCache>
                <c:ptCount val="2"/>
                <c:pt idx="0">
                  <c:v>CO2 Testing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Jun!$D$116:$G$116</c:f>
              <c:numCache>
                <c:formatCode>_-* #,##0_-;\-* #,##0_-;_-* "-"??_-;_-@_-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BF2A-4E5C-8BDF-371EF414C95B}"/>
            </c:ext>
          </c:extLst>
        </c:ser>
        <c:ser>
          <c:idx val="1"/>
          <c:order val="1"/>
          <c:tx>
            <c:strRef>
              <c:f>Jun!$B$117:$C$117</c:f>
              <c:strCache>
                <c:ptCount val="2"/>
                <c:pt idx="0">
                  <c:v>Flared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Jun!$D$113:$G$113</c:f>
              <c:strCache>
                <c:ptCount val="4"/>
                <c:pt idx="0">
                  <c:v>WEEK 1
(Jun1-7)</c:v>
                </c:pt>
                <c:pt idx="1">
                  <c:v>WEEK 2
(Jun8-14)</c:v>
                </c:pt>
                <c:pt idx="2">
                  <c:v>WEEK 3
(Jun15-21)</c:v>
                </c:pt>
                <c:pt idx="3">
                  <c:v>WEEK 4
(June22-30)</c:v>
                </c:pt>
              </c:strCache>
            </c:strRef>
          </c:cat>
          <c:val>
            <c:numRef>
              <c:f>Jun!$D$117:$G$117</c:f>
              <c:numCache>
                <c:formatCode>_-* #,##0_-;\-* #,##0_-;_-* "-"??_-;_-@_-</c:formatCode>
                <c:ptCount val="4"/>
                <c:pt idx="2">
                  <c:v>9023</c:v>
                </c:pt>
                <c:pt idx="3">
                  <c:v>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2A-4E5C-8BDF-371EF414C95B}"/>
            </c:ext>
          </c:extLst>
        </c:ser>
        <c:ser>
          <c:idx val="0"/>
          <c:order val="2"/>
          <c:tx>
            <c:strRef>
              <c:f>Jun!$B$114:$C$114</c:f>
              <c:strCache>
                <c:ptCount val="2"/>
                <c:pt idx="0">
                  <c:v>Delivered to Boilers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Jun!$D$113:$G$113</c:f>
              <c:strCache>
                <c:ptCount val="4"/>
                <c:pt idx="0">
                  <c:v>WEEK 1
(Jun1-7)</c:v>
                </c:pt>
                <c:pt idx="1">
                  <c:v>WEEK 2
(Jun8-14)</c:v>
                </c:pt>
                <c:pt idx="2">
                  <c:v>WEEK 3
(Jun15-21)</c:v>
                </c:pt>
                <c:pt idx="3">
                  <c:v>WEEK 4
(June22-30)</c:v>
                </c:pt>
              </c:strCache>
            </c:strRef>
          </c:cat>
          <c:val>
            <c:numRef>
              <c:f>Jun!$D$114:$G$114</c:f>
              <c:numCache>
                <c:formatCode>_-* #,##0_-;\-* #,##0_-;_-* "-"??_-;_-@_-</c:formatCode>
                <c:ptCount val="4"/>
                <c:pt idx="0">
                  <c:v>124400</c:v>
                </c:pt>
                <c:pt idx="1">
                  <c:v>126024</c:v>
                </c:pt>
                <c:pt idx="2">
                  <c:v>107468</c:v>
                </c:pt>
                <c:pt idx="3">
                  <c:v>101671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2A-4E5C-8BDF-371EF414C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786448"/>
        <c:axId val="1745592720"/>
        <c:extLst>
          <c:ext xmlns:c15="http://schemas.microsoft.com/office/drawing/2012/chart" uri="{02D57815-91ED-43cb-92C2-25804820EDAC}">
            <c15:filteredBarSeries>
              <c15:ser>
                <c:idx val="5"/>
                <c:order val="6"/>
                <c:tx>
                  <c:strRef>
                    <c:extLst>
                      <c:ext uri="{02D57815-91ED-43cb-92C2-25804820EDAC}">
                        <c15:formulaRef>
                          <c15:sqref>Jun!$B$115:$C$115</c15:sqref>
                        </c15:formulaRef>
                      </c:ext>
                    </c:extLst>
                    <c:strCache>
                      <c:ptCount val="2"/>
                      <c:pt idx="0">
                        <c:v>Delivered to Engine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Jun!$D$113:$G$113</c15:sqref>
                        </c15:formulaRef>
                      </c:ext>
                    </c:extLst>
                    <c:strCache>
                      <c:ptCount val="4"/>
                      <c:pt idx="0">
                        <c:v>WEEK 1
(Jun1-7)</c:v>
                      </c:pt>
                      <c:pt idx="1">
                        <c:v>WEEK 2
(Jun8-14)</c:v>
                      </c:pt>
                      <c:pt idx="2">
                        <c:v>WEEK 3
(Jun15-21)</c:v>
                      </c:pt>
                      <c:pt idx="3">
                        <c:v>WEEK 4
(June22-30)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Jun!$D$115:$G$115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75586.34</c:v>
                      </c:pt>
                      <c:pt idx="1">
                        <c:v>79507.08</c:v>
                      </c:pt>
                      <c:pt idx="2">
                        <c:v>81390.37</c:v>
                      </c:pt>
                      <c:pt idx="3">
                        <c:v>70135.75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BF2A-4E5C-8BDF-371EF414C95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5"/>
          <c:tx>
            <c:strRef>
              <c:f>Jun!$B$121:$C$121</c:f>
              <c:strCache>
                <c:ptCount val="2"/>
                <c:pt idx="0">
                  <c:v>Target to Reach SCA min</c:v>
                </c:pt>
                <c:pt idx="1">
                  <c:v>(Nm3)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Jun!$D$113:$G$113</c:f>
              <c:strCache>
                <c:ptCount val="4"/>
                <c:pt idx="0">
                  <c:v>WEEK 1
(Jun1-7)</c:v>
                </c:pt>
                <c:pt idx="1">
                  <c:v>WEEK 2
(Jun8-14)</c:v>
                </c:pt>
                <c:pt idx="2">
                  <c:v>WEEK 3
(Jun15-21)</c:v>
                </c:pt>
                <c:pt idx="3">
                  <c:v>WEEK 4
(June22-30)</c:v>
                </c:pt>
              </c:strCache>
            </c:strRef>
          </c:cat>
          <c:val>
            <c:numRef>
              <c:f>Jun!$D$121:$G$121</c:f>
              <c:numCache>
                <c:formatCode>_-* #,##0_-;\-* #,##0_-;_-* "-"??_-;_-@_-</c:formatCode>
                <c:ptCount val="4"/>
                <c:pt idx="0">
                  <c:v>213456.81</c:v>
                </c:pt>
                <c:pt idx="1">
                  <c:v>302513.62</c:v>
                </c:pt>
                <c:pt idx="2">
                  <c:v>389946.43000000005</c:v>
                </c:pt>
                <c:pt idx="3">
                  <c:v>556922.9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2A-4E5C-8BDF-371EF414C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786448"/>
        <c:axId val="1745592720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Jun!$B$118:$C$118</c15:sqref>
                        </c15:formulaRef>
                      </c:ext>
                    </c:extLst>
                    <c:strCache>
                      <c:ptCount val="2"/>
                      <c:pt idx="0">
                        <c:v>Total Produced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Jun!$D$113:$G$113</c15:sqref>
                        </c15:formulaRef>
                      </c:ext>
                    </c:extLst>
                    <c:strCache>
                      <c:ptCount val="4"/>
                      <c:pt idx="0">
                        <c:v>WEEK 1
(Jun1-7)</c:v>
                      </c:pt>
                      <c:pt idx="1">
                        <c:v>WEEK 2
(Jun8-14)</c:v>
                      </c:pt>
                      <c:pt idx="2">
                        <c:v>WEEK 3
(Jun15-21)</c:v>
                      </c:pt>
                      <c:pt idx="3">
                        <c:v>WEEK 4
(June22-30)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Jun!$D$118:$G$118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199986.34</c:v>
                      </c:pt>
                      <c:pt idx="1">
                        <c:v>205531.08000000002</c:v>
                      </c:pt>
                      <c:pt idx="2">
                        <c:v>197881.37</c:v>
                      </c:pt>
                      <c:pt idx="3">
                        <c:v>174820.75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F2A-4E5C-8BDF-371EF414C95B}"/>
                  </c:ext>
                </c:extLst>
              </c15:ser>
            </c15:filteredLineSeries>
            <c15:filteredLine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Jun!$B$119:$C$119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Jun!$D$113:$G$113</c15:sqref>
                        </c15:formulaRef>
                      </c:ext>
                    </c:extLst>
                    <c:strCache>
                      <c:ptCount val="4"/>
                      <c:pt idx="0">
                        <c:v>WEEK 1
(Jun1-7)</c:v>
                      </c:pt>
                      <c:pt idx="1">
                        <c:v>WEEK 2
(Jun8-14)</c:v>
                      </c:pt>
                      <c:pt idx="2">
                        <c:v>WEEK 3
(Jun15-21)</c:v>
                      </c:pt>
                      <c:pt idx="3">
                        <c:v>WEEK 4
(June22-30)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Jun!$D$119:$G$119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124400</c:v>
                      </c:pt>
                      <c:pt idx="1">
                        <c:v>250424</c:v>
                      </c:pt>
                      <c:pt idx="2">
                        <c:v>357892</c:v>
                      </c:pt>
                      <c:pt idx="3">
                        <c:v>459563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F2A-4E5C-8BDF-371EF414C95B}"/>
                  </c:ext>
                </c:extLst>
              </c15:ser>
            </c15:filteredLineSeries>
            <c15:filteredLineSeries>
              <c15:ser>
                <c:idx val="6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Jun!$B$120:$C$120</c15:sqref>
                        </c15:formulaRef>
                      </c:ext>
                    </c:extLst>
                    <c:strCache>
                      <c:ptCount val="2"/>
                      <c:pt idx="0">
                        <c:v>Target Gas based on Delivered Substrates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rgbClr val="FFC000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rgbClr val="FFC000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Jun!$D$113:$G$113</c15:sqref>
                        </c15:formulaRef>
                      </c:ext>
                    </c:extLst>
                    <c:strCache>
                      <c:ptCount val="4"/>
                      <c:pt idx="0">
                        <c:v>WEEK 1
(Jun1-7)</c:v>
                      </c:pt>
                      <c:pt idx="1">
                        <c:v>WEEK 2
(Jun8-14)</c:v>
                      </c:pt>
                      <c:pt idx="2">
                        <c:v>WEEK 3
(Jun15-21)</c:v>
                      </c:pt>
                      <c:pt idx="3">
                        <c:v>WEEK 4
(June22-30)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Jun!$D$120:$G$120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142601.61780599999</c:v>
                      </c:pt>
                      <c:pt idx="1">
                        <c:v>159744.57485400001</c:v>
                      </c:pt>
                      <c:pt idx="2">
                        <c:v>128454.955644</c:v>
                      </c:pt>
                      <c:pt idx="3">
                        <c:v>115714.168032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F2A-4E5C-8BDF-371EF414C95B}"/>
                  </c:ext>
                </c:extLst>
              </c15:ser>
            </c15:filteredLineSeries>
          </c:ext>
        </c:extLst>
      </c:lineChart>
      <c:catAx>
        <c:axId val="17237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92720"/>
        <c:crosses val="autoZero"/>
        <c:auto val="1"/>
        <c:lblAlgn val="ctr"/>
        <c:lblOffset val="100"/>
        <c:noMultiLvlLbl val="1"/>
      </c:catAx>
      <c:valAx>
        <c:axId val="17455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(Nm3)</a:t>
                </a:r>
              </a:p>
            </c:rich>
          </c:tx>
          <c:layout>
            <c:manualLayout>
              <c:xMode val="edge"/>
              <c:yMode val="edge"/>
              <c:x val="0.1572054197817343"/>
              <c:y val="0.21039484932677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86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7081569440655"/>
          <c:y val="0.12528405766264164"/>
          <c:w val="0.77286261321270178"/>
          <c:h val="0.59436211738049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Jun!$B$78:$C$78</c:f>
              <c:strCache>
                <c:ptCount val="2"/>
                <c:pt idx="0">
                  <c:v>Delivered</c:v>
                </c:pt>
                <c:pt idx="1">
                  <c:v>(kWh)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Jun!$D$77:$G$77</c:f>
              <c:strCache>
                <c:ptCount val="4"/>
                <c:pt idx="0">
                  <c:v>WEEK 1
(Jun1-7)</c:v>
                </c:pt>
                <c:pt idx="1">
                  <c:v>WEEK 2
(Jun8-14)</c:v>
                </c:pt>
                <c:pt idx="2">
                  <c:v>WEEK 3
(Jun15-21)</c:v>
                </c:pt>
                <c:pt idx="3">
                  <c:v>WEEK 4
(June22-30)</c:v>
                </c:pt>
              </c:strCache>
            </c:strRef>
          </c:cat>
          <c:val>
            <c:numRef>
              <c:f>Jun!$D$78:$G$78</c:f>
              <c:numCache>
                <c:formatCode>_-* #,##0_-;\-* #,##0_-;_-* "-"??_-;_-@_-</c:formatCode>
                <c:ptCount val="4"/>
                <c:pt idx="0">
                  <c:v>160822</c:v>
                </c:pt>
                <c:pt idx="1">
                  <c:v>169164</c:v>
                </c:pt>
                <c:pt idx="2">
                  <c:v>173171</c:v>
                </c:pt>
                <c:pt idx="3">
                  <c:v>149225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A-475C-8D3E-A3186DA20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05608704"/>
        <c:axId val="305574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Jun!$B$79:$C$79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(kWh)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Jun!$D$77:$G$77</c15:sqref>
                        </c15:formulaRef>
                      </c:ext>
                    </c:extLst>
                    <c:strCache>
                      <c:ptCount val="4"/>
                      <c:pt idx="0">
                        <c:v>WEEK 1
(Jun1-7)</c:v>
                      </c:pt>
                      <c:pt idx="1">
                        <c:v>WEEK 2
(Jun8-14)</c:v>
                      </c:pt>
                      <c:pt idx="2">
                        <c:v>WEEK 3
(Jun15-21)</c:v>
                      </c:pt>
                      <c:pt idx="3">
                        <c:v>WEEK 4
(June22-30)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Jun!$D$79:$G$79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160822</c:v>
                      </c:pt>
                      <c:pt idx="1">
                        <c:v>329986</c:v>
                      </c:pt>
                      <c:pt idx="2">
                        <c:v>503157</c:v>
                      </c:pt>
                      <c:pt idx="3">
                        <c:v>652382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22A-475C-8D3E-A3186DA2009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Jun!$B$80:$C$80</c:f>
              <c:strCache>
                <c:ptCount val="2"/>
                <c:pt idx="0">
                  <c:v>Target to Reach SCA Minimum </c:v>
                </c:pt>
                <c:pt idx="1">
                  <c:v>(kWh)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Jun!$D$77:$G$77</c:f>
              <c:strCache>
                <c:ptCount val="4"/>
                <c:pt idx="0">
                  <c:v>WEEK 1
(Jun1-7)</c:v>
                </c:pt>
                <c:pt idx="1">
                  <c:v>WEEK 2
(Jun8-14)</c:v>
                </c:pt>
                <c:pt idx="2">
                  <c:v>WEEK 3
(Jun15-21)</c:v>
                </c:pt>
                <c:pt idx="3">
                  <c:v>WEEK 4
(June22-30)</c:v>
                </c:pt>
              </c:strCache>
            </c:strRef>
          </c:cat>
          <c:val>
            <c:numRef>
              <c:f>Jun!$D$80:$G$80</c:f>
              <c:numCache>
                <c:formatCode>_-* #,##0_-;\-* #,##0_-;_-* "-"??_-;_-@_-</c:formatCode>
                <c:ptCount val="4"/>
                <c:pt idx="0">
                  <c:v>206391.31333333332</c:v>
                </c:pt>
                <c:pt idx="1">
                  <c:v>251960.62666666665</c:v>
                </c:pt>
                <c:pt idx="2">
                  <c:v>289187.93999999994</c:v>
                </c:pt>
                <c:pt idx="3">
                  <c:v>381377.19999999995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22A-475C-8D3E-A3186DA20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08704"/>
        <c:axId val="305574416"/>
        <c:extLst/>
      </c:lineChart>
      <c:catAx>
        <c:axId val="3056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4416"/>
        <c:crosses val="autoZero"/>
        <c:auto val="1"/>
        <c:lblAlgn val="ctr"/>
        <c:lblOffset val="100"/>
        <c:noMultiLvlLbl val="1"/>
      </c:catAx>
      <c:valAx>
        <c:axId val="3055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kWh</a:t>
                </a:r>
              </a:p>
            </c:rich>
          </c:tx>
          <c:layout>
            <c:manualLayout>
              <c:xMode val="edge"/>
              <c:yMode val="edge"/>
              <c:x val="0.16530445088964488"/>
              <c:y val="0.35705801198293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08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69028871391076"/>
          <c:y val="8.5110331300092601E-2"/>
          <c:w val="0.63956741004774031"/>
          <c:h val="0.5909229120624055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Jun!$B$132:$C$132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C83-4639-9A26-21E56CEAE3F5}"/>
              </c:ext>
            </c:extLst>
          </c:dPt>
          <c:cat>
            <c:strRef>
              <c:f>Jun!$D$128:$G$128</c:f>
              <c:strCache>
                <c:ptCount val="4"/>
                <c:pt idx="0">
                  <c:v>WEEK 1
(Jun1-7)</c:v>
                </c:pt>
                <c:pt idx="1">
                  <c:v>WEEK 2
(Jun8-14)</c:v>
                </c:pt>
                <c:pt idx="2">
                  <c:v>WEEK 3
(Jun15-21)</c:v>
                </c:pt>
                <c:pt idx="3">
                  <c:v>WEEK 4
(June22-30)</c:v>
                </c:pt>
              </c:strCache>
            </c:strRef>
          </c:cat>
          <c:val>
            <c:numRef>
              <c:f>Jun!$D$132:$G$132</c:f>
              <c:numCache>
                <c:formatCode>_-* #,##0_-;\-* #,##0_-;_-* "-"??_-;_-@_-</c:formatCode>
                <c:ptCount val="4"/>
                <c:pt idx="0">
                  <c:v>199986.34</c:v>
                </c:pt>
                <c:pt idx="1">
                  <c:v>205531.08000000002</c:v>
                </c:pt>
                <c:pt idx="2">
                  <c:v>197881.37</c:v>
                </c:pt>
                <c:pt idx="3">
                  <c:v>174820.75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83-4639-9A26-21E56CEAE3F5}"/>
            </c:ext>
          </c:extLst>
        </c:ser>
        <c:ser>
          <c:idx val="1"/>
          <c:order val="1"/>
          <c:tx>
            <c:strRef>
              <c:f>Jun!$B$131:$C$131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Jun!$D$128:$G$128</c:f>
              <c:strCache>
                <c:ptCount val="4"/>
                <c:pt idx="0">
                  <c:v>WEEK 1
(Jun1-7)</c:v>
                </c:pt>
                <c:pt idx="1">
                  <c:v>WEEK 2
(Jun8-14)</c:v>
                </c:pt>
                <c:pt idx="2">
                  <c:v>WEEK 3
(Jun15-21)</c:v>
                </c:pt>
                <c:pt idx="3">
                  <c:v>WEEK 4
(June22-30)</c:v>
                </c:pt>
              </c:strCache>
            </c:strRef>
          </c:cat>
          <c:val>
            <c:numRef>
              <c:f>Jun!$D$131:$G$131</c:f>
              <c:numCache>
                <c:formatCode>_-* #,##0_-;\-* #,##0_-;_-* "-"??_-;_-@_-</c:formatCode>
                <c:ptCount val="4"/>
                <c:pt idx="0">
                  <c:v>181843.43</c:v>
                </c:pt>
                <c:pt idx="1">
                  <c:v>203703.87</c:v>
                </c:pt>
                <c:pt idx="2">
                  <c:v>163803.82</c:v>
                </c:pt>
                <c:pt idx="3">
                  <c:v>147556.96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83-4639-9A26-21E56CEAE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Jun!$B$130:$C$130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Jun!$D$128:$G$128</c15:sqref>
                        </c15:formulaRef>
                      </c:ext>
                    </c:extLst>
                    <c:strCache>
                      <c:ptCount val="4"/>
                      <c:pt idx="0">
                        <c:v>WEEK 1
(Jun1-7)</c:v>
                      </c:pt>
                      <c:pt idx="1">
                        <c:v>WEEK 2
(Jun8-14)</c:v>
                      </c:pt>
                      <c:pt idx="2">
                        <c:v>WEEK 3
(Jun15-21)</c:v>
                      </c:pt>
                      <c:pt idx="3">
                        <c:v>WEEK 4
(June22-30)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Jun!$D$130:$G$130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1800.43</c:v>
                      </c:pt>
                      <c:pt idx="1">
                        <c:v>2016.87</c:v>
                      </c:pt>
                      <c:pt idx="2">
                        <c:v>1621.82</c:v>
                      </c:pt>
                      <c:pt idx="3">
                        <c:v>1460.96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4C83-4639-9A26-21E56CEAE3F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Jun!$B$133:$C$133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Jun!$D$128:$G$128</c:f>
              <c:strCache>
                <c:ptCount val="4"/>
                <c:pt idx="0">
                  <c:v>WEEK 1
(Jun1-7)</c:v>
                </c:pt>
                <c:pt idx="1">
                  <c:v>WEEK 2
(Jun8-14)</c:v>
                </c:pt>
                <c:pt idx="2">
                  <c:v>WEEK 3
(Jun15-21)</c:v>
                </c:pt>
                <c:pt idx="3">
                  <c:v>WEEK 4
(June22-30)</c:v>
                </c:pt>
              </c:strCache>
            </c:strRef>
          </c:cat>
          <c:val>
            <c:numRef>
              <c:f>Jun!$D$133:$G$133</c:f>
              <c:numCache>
                <c:formatCode>_-* #,##0_-;\-* #,##0_-;_-* "-"??_-;_-@_-</c:formatCode>
                <c:ptCount val="4"/>
                <c:pt idx="0">
                  <c:v>111.07698716417744</c:v>
                </c:pt>
                <c:pt idx="1">
                  <c:v>101.9059632004046</c:v>
                </c:pt>
                <c:pt idx="2">
                  <c:v>122.01191870861132</c:v>
                </c:pt>
                <c:pt idx="3">
                  <c:v>119.66155815354287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83-4639-9A26-21E56CEAE3F5}"/>
            </c:ext>
          </c:extLst>
        </c:ser>
        <c:ser>
          <c:idx val="4"/>
          <c:order val="4"/>
          <c:tx>
            <c:strRef>
              <c:f>Jun!$B$134:$C$134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Jun!$D$128:$G$128</c:f>
              <c:strCache>
                <c:ptCount val="4"/>
                <c:pt idx="0">
                  <c:v>WEEK 1
(Jun1-7)</c:v>
                </c:pt>
                <c:pt idx="1">
                  <c:v>WEEK 2
(Jun8-14)</c:v>
                </c:pt>
                <c:pt idx="2">
                  <c:v>WEEK 3
(Jun15-21)</c:v>
                </c:pt>
                <c:pt idx="3">
                  <c:v>WEEK 4
(June22-30)</c:v>
                </c:pt>
              </c:strCache>
            </c:strRef>
          </c:cat>
          <c:val>
            <c:numRef>
              <c:f>Jun!$D$134:$G$134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83-4639-9A26-21E56CEAE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253760"/>
        <c:axId val="740266720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baseline="0"/>
                  <a:t>(</a:t>
                </a:r>
                <a:r>
                  <a:rPr lang="en-PH"/>
                  <a:t>Nm3)</a:t>
                </a:r>
              </a:p>
            </c:rich>
          </c:tx>
          <c:layout>
            <c:manualLayout>
              <c:xMode val="edge"/>
              <c:yMode val="edge"/>
              <c:x val="0.13632107956496156"/>
              <c:y val="0.309808368406482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740266720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53760"/>
        <c:crosses val="max"/>
        <c:crossBetween val="between"/>
      </c:valAx>
      <c:catAx>
        <c:axId val="740253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02667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Biogas Conversion (Yield) - Factoring the DS Content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94307296004804"/>
          <c:y val="7.2393844182113795E-2"/>
          <c:w val="0.64755261890531735"/>
          <c:h val="0.595684440389846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Jun!$B$174:$C$174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Jun!$D$128:$G$128</c:f>
              <c:strCache>
                <c:ptCount val="4"/>
                <c:pt idx="0">
                  <c:v>WEEK 1
(Jun1-7)</c:v>
                </c:pt>
                <c:pt idx="1">
                  <c:v>WEEK 2
(Jun8-14)</c:v>
                </c:pt>
                <c:pt idx="2">
                  <c:v>WEEK 3
(Jun15-21)</c:v>
                </c:pt>
                <c:pt idx="3">
                  <c:v>WEEK 4
(June22-30)</c:v>
                </c:pt>
              </c:strCache>
            </c:strRef>
          </c:cat>
          <c:val>
            <c:numRef>
              <c:f>Jun!$D$174:$G$174</c:f>
              <c:numCache>
                <c:formatCode>_-* #,##0_-;\-* #,##0_-;_-* "-"??_-;_-@_-</c:formatCode>
                <c:ptCount val="4"/>
                <c:pt idx="0">
                  <c:v>199986.34</c:v>
                </c:pt>
                <c:pt idx="1">
                  <c:v>205531.08000000002</c:v>
                </c:pt>
                <c:pt idx="2">
                  <c:v>197881.37</c:v>
                </c:pt>
                <c:pt idx="3">
                  <c:v>174820.75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1-488F-9EDB-A70873DDD583}"/>
            </c:ext>
          </c:extLst>
        </c:ser>
        <c:ser>
          <c:idx val="1"/>
          <c:order val="1"/>
          <c:tx>
            <c:strRef>
              <c:f>Jun!$B$173:$C$173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Jun!$D$128:$G$128</c:f>
              <c:strCache>
                <c:ptCount val="4"/>
                <c:pt idx="0">
                  <c:v>WEEK 1
(Jun1-7)</c:v>
                </c:pt>
                <c:pt idx="1">
                  <c:v>WEEK 2
(Jun8-14)</c:v>
                </c:pt>
                <c:pt idx="2">
                  <c:v>WEEK 3
(Jun15-21)</c:v>
                </c:pt>
                <c:pt idx="3">
                  <c:v>WEEK 4
(June22-30)</c:v>
                </c:pt>
              </c:strCache>
            </c:strRef>
          </c:cat>
          <c:val>
            <c:numRef>
              <c:f>Jun!$D$173:$G$173</c:f>
              <c:numCache>
                <c:formatCode>_-* #,##0_-;\-* #,##0_-;_-* "-"??_-;_-@_-</c:formatCode>
                <c:ptCount val="4"/>
                <c:pt idx="0">
                  <c:v>181206.97799500002</c:v>
                </c:pt>
                <c:pt idx="1">
                  <c:v>202889.05452000001</c:v>
                </c:pt>
                <c:pt idx="2">
                  <c:v>163312.40854</c:v>
                </c:pt>
                <c:pt idx="3">
                  <c:v>147209.1471657143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D1-488F-9EDB-A70873DDD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Jun!$B$130:$C$130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Jun!$D$128:$G$128</c15:sqref>
                        </c15:formulaRef>
                      </c:ext>
                    </c:extLst>
                    <c:strCache>
                      <c:ptCount val="4"/>
                      <c:pt idx="0">
                        <c:v>WEEK 1
(Jun1-7)</c:v>
                      </c:pt>
                      <c:pt idx="1">
                        <c:v>WEEK 2
(Jun8-14)</c:v>
                      </c:pt>
                      <c:pt idx="2">
                        <c:v>WEEK 3
(Jun15-21)</c:v>
                      </c:pt>
                      <c:pt idx="3">
                        <c:v>WEEK 4
(June22-30)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Jun!$D$130:$G$130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1800.43</c:v>
                      </c:pt>
                      <c:pt idx="1">
                        <c:v>2016.87</c:v>
                      </c:pt>
                      <c:pt idx="2">
                        <c:v>1621.82</c:v>
                      </c:pt>
                      <c:pt idx="3">
                        <c:v>1460.96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30D1-488F-9EDB-A70873DDD58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Jun!$B$176:$C$176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2.0278921618298227E-2"/>
                  <c:y val="-3.1348240859611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D1-488F-9EDB-A70873DDD583}"/>
                </c:ext>
              </c:extLst>
            </c:dLbl>
            <c:dLbl>
              <c:idx val="1"/>
              <c:layout>
                <c:manualLayout>
                  <c:x val="-1.3075589999027718E-3"/>
                  <c:y val="-2.4146229705798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D1-488F-9EDB-A70873DDD583}"/>
                </c:ext>
              </c:extLst>
            </c:dLbl>
            <c:dLbl>
              <c:idx val="2"/>
              <c:layout>
                <c:manualLayout>
                  <c:x val="-2.4536084465953872E-2"/>
                  <c:y val="-2.6102545666180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D1-488F-9EDB-A70873DDD5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Jun!$D$128:$G$128</c:f>
              <c:strCache>
                <c:ptCount val="4"/>
                <c:pt idx="0">
                  <c:v>WEEK 1
(Jun1-7)</c:v>
                </c:pt>
                <c:pt idx="1">
                  <c:v>WEEK 2
(Jun8-14)</c:v>
                </c:pt>
                <c:pt idx="2">
                  <c:v>WEEK 3
(Jun15-21)</c:v>
                </c:pt>
                <c:pt idx="3">
                  <c:v>WEEK 4
(June22-30)</c:v>
                </c:pt>
              </c:strCache>
            </c:strRef>
          </c:cat>
          <c:val>
            <c:numRef>
              <c:f>Jun!$D$176:$G$176</c:f>
              <c:numCache>
                <c:formatCode>_-* #,##0_-;\-* #,##0_-;_-* "-"??_-;_-@_-</c:formatCode>
                <c:ptCount val="4"/>
                <c:pt idx="0">
                  <c:v>111.46712209149767</c:v>
                </c:pt>
                <c:pt idx="1">
                  <c:v>102.31522409679175</c:v>
                </c:pt>
                <c:pt idx="2">
                  <c:v>122.37905587624003</c:v>
                </c:pt>
                <c:pt idx="3">
                  <c:v>119.94428396574784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D1-488F-9EDB-A70873DDD583}"/>
            </c:ext>
          </c:extLst>
        </c:ser>
        <c:ser>
          <c:idx val="4"/>
          <c:order val="4"/>
          <c:tx>
            <c:strRef>
              <c:f>Jun!$B$177:$C$177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Jun!$D$128:$G$128</c:f>
              <c:strCache>
                <c:ptCount val="4"/>
                <c:pt idx="0">
                  <c:v>WEEK 1
(Jun1-7)</c:v>
                </c:pt>
                <c:pt idx="1">
                  <c:v>WEEK 2
(Jun8-14)</c:v>
                </c:pt>
                <c:pt idx="2">
                  <c:v>WEEK 3
(Jun15-21)</c:v>
                </c:pt>
                <c:pt idx="3">
                  <c:v>WEEK 4
(June22-30)</c:v>
                </c:pt>
              </c:strCache>
            </c:strRef>
          </c:cat>
          <c:val>
            <c:numRef>
              <c:f>Jun!$D$177:$G$177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D1-488F-9EDB-A70873DDD583}"/>
            </c:ext>
          </c:extLst>
        </c:ser>
        <c:ser>
          <c:idx val="5"/>
          <c:order val="5"/>
          <c:tx>
            <c:strRef>
              <c:f>Jun!$B$175</c:f>
              <c:strCache>
                <c:ptCount val="1"/>
                <c:pt idx="0">
                  <c:v>%DS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Jun!$D$175:$G$175</c:f>
              <c:numCache>
                <c:formatCode>_(* #,##0.00_);_(* \(#,##0.00\);_(* "-"??_);_(@_)</c:formatCode>
                <c:ptCount val="4"/>
                <c:pt idx="0">
                  <c:v>13.951000000000001</c:v>
                </c:pt>
                <c:pt idx="1">
                  <c:v>13.944000000000001</c:v>
                </c:pt>
                <c:pt idx="2">
                  <c:v>13.958</c:v>
                </c:pt>
                <c:pt idx="3">
                  <c:v>13.967000000000001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D1-488F-9EDB-A70873DDD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</a:t>
                </a:r>
              </a:p>
            </c:rich>
          </c:tx>
          <c:layout>
            <c:manualLayout>
              <c:xMode val="edge"/>
              <c:yMode val="edge"/>
              <c:x val="0.1338963604146387"/>
              <c:y val="0.38583079407906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Nm3/ton</a:t>
                </a:r>
              </a:p>
            </c:rich>
          </c:tx>
          <c:layout>
            <c:manualLayout>
              <c:xMode val="edge"/>
              <c:yMode val="edge"/>
              <c:x val="0.95544679367650542"/>
              <c:y val="0.412100607226448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037413340212502"/>
          <c:y val="0.11640982453860035"/>
          <c:w val="0.74370088205263363"/>
          <c:h val="0.45822964421204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Jul!$B$36:$C$36</c:f>
              <c:strCache>
                <c:ptCount val="2"/>
                <c:pt idx="0">
                  <c:v>Delivered (DPO)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Jul!$D$34:$H$34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Jul!$D$36:$H$36</c:f>
              <c:numCache>
                <c:formatCode>_-* #,##0_-;\-* #,##0_-;_-* "-"??_-;_-@_-</c:formatCode>
                <c:ptCount val="5"/>
                <c:pt idx="0">
                  <c:v>942.07</c:v>
                </c:pt>
                <c:pt idx="1">
                  <c:v>2020.91</c:v>
                </c:pt>
                <c:pt idx="2">
                  <c:v>1376.38</c:v>
                </c:pt>
                <c:pt idx="3">
                  <c:v>1366.86</c:v>
                </c:pt>
                <c:pt idx="4">
                  <c:v>846.19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4-4BA9-A95D-D20F8DFD90F4}"/>
            </c:ext>
          </c:extLst>
        </c:ser>
        <c:ser>
          <c:idx val="2"/>
          <c:order val="1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Jul!$D$34:$H$34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'Mar actual FM vol'!$D$37:$H$37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8764-4BA9-A95D-D20F8DFD90F4}"/>
            </c:ext>
          </c:extLst>
        </c:ser>
        <c:ser>
          <c:idx val="5"/>
          <c:order val="4"/>
          <c:tx>
            <c:strRef>
              <c:f>Jul!$B$37</c:f>
              <c:strCache>
                <c:ptCount val="1"/>
                <c:pt idx="0">
                  <c:v>Diverted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Jul!$D$34:$H$34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Jul!$D$37:$H$37</c:f>
              <c:numCache>
                <c:formatCode>_-* #,##0.0_-;\-* #,##0.0_-;_-* "-"??_-;_-@_-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8764-4BA9-A95D-D20F8DFD9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"/>
        <c:axId val="1931926304"/>
        <c:axId val="1732677184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Jul!$B$40:$C$40</c15:sqref>
                        </c15:formulaRef>
                      </c:ext>
                    </c:extLst>
                    <c:strCache>
                      <c:ptCount val="2"/>
                      <c:pt idx="0">
                        <c:v>Monthly Accumulative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Jul!$D$34:$H$34</c15:sqref>
                        </c15:formulaRef>
                      </c:ext>
                    </c:extLst>
                    <c:strCache>
                      <c:ptCount val="5"/>
                      <c:pt idx="0">
                        <c:v>WEEK 1
(Jul1-5)</c:v>
                      </c:pt>
                      <c:pt idx="1">
                        <c:v>WEEK 2
(Jul6-12)</c:v>
                      </c:pt>
                      <c:pt idx="2">
                        <c:v>WEEK 3
(Jul13-19)</c:v>
                      </c:pt>
                      <c:pt idx="3">
                        <c:v>WEEK 4
(Jul20-26)</c:v>
                      </c:pt>
                      <c:pt idx="4">
                        <c:v>WEEK 5
(Jul27-31)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Jul!$D$40:$H$40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942.07</c:v>
                      </c:pt>
                      <c:pt idx="1">
                        <c:v>2962.98</c:v>
                      </c:pt>
                      <c:pt idx="2">
                        <c:v>4339.3600000000006</c:v>
                      </c:pt>
                      <c:pt idx="3">
                        <c:v>5706.22</c:v>
                      </c:pt>
                      <c:pt idx="4">
                        <c:v>6552.41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8764-4BA9-A95D-D20F8DFD90F4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3"/>
          <c:tx>
            <c:strRef>
              <c:f>Jul!$B$41:$C$41</c:f>
              <c:strCache>
                <c:ptCount val="2"/>
                <c:pt idx="0">
                  <c:v>Target to Reach SCA Minimum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Jul!$D$34:$H$34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Jul!$D$41:$H$41</c:f>
              <c:numCache>
                <c:formatCode>_-* #,##0_-;\-* #,##0_-;_-* "-"??_-;_-@_-</c:formatCode>
                <c:ptCount val="5"/>
                <c:pt idx="0">
                  <c:v>2186.7275985663077</c:v>
                </c:pt>
                <c:pt idx="1">
                  <c:v>4306.076236559139</c:v>
                </c:pt>
                <c:pt idx="2">
                  <c:v>5346.5848745519706</c:v>
                </c:pt>
                <c:pt idx="3">
                  <c:v>7031.6235125448002</c:v>
                </c:pt>
                <c:pt idx="4" formatCode="_(* #,##0.00_);_(* \(#,##0.00\);_(* &quot;-&quot;??_);_(@_)">
                  <c:v>7851.4911111111096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764-4BA9-A95D-D20F8DFD90F4}"/>
            </c:ext>
          </c:extLst>
        </c:ser>
        <c:ser>
          <c:idx val="6"/>
          <c:order val="5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Jul!$D$34:$H$34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'Mar actual FM vol'!$D$37:$H$37</c:f>
            </c:numRef>
          </c:val>
          <c:smooth val="0"/>
          <c:extLst>
            <c:ext xmlns:c16="http://schemas.microsoft.com/office/drawing/2014/chart" uri="{C3380CC4-5D6E-409C-BE32-E72D297353CC}">
              <c16:uniqueId val="{00000004-8764-4BA9-A95D-D20F8DFD9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6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931926304"/>
        <c:axId val="1732677184"/>
      </c:lineChart>
      <c:catAx>
        <c:axId val="193192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77184"/>
        <c:crosses val="autoZero"/>
        <c:auto val="1"/>
        <c:lblAlgn val="ctr"/>
        <c:lblOffset val="100"/>
        <c:noMultiLvlLbl val="1"/>
      </c:catAx>
      <c:valAx>
        <c:axId val="1732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MT</a:t>
                </a:r>
              </a:p>
            </c:rich>
          </c:tx>
          <c:layout>
            <c:manualLayout>
              <c:xMode val="edge"/>
              <c:yMode val="edge"/>
              <c:x val="0.19272070118622903"/>
              <c:y val="0.24359459230956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263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279257464172775"/>
          <c:y val="0.10060281860125968"/>
          <c:w val="0.67317823439612146"/>
          <c:h val="0.34991922607897613"/>
        </c:manualLayout>
      </c:layout>
      <c:barChart>
        <c:barDir val="col"/>
        <c:grouping val="stacked"/>
        <c:varyColors val="0"/>
        <c:ser>
          <c:idx val="7"/>
          <c:order val="0"/>
          <c:tx>
            <c:strRef>
              <c:f>Jul!$B$116:$C$116</c:f>
              <c:strCache>
                <c:ptCount val="2"/>
                <c:pt idx="0">
                  <c:v>CO2 Testing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Jul!$D$113:$H$113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Jul!$D$116:$H$116</c:f>
              <c:numCache>
                <c:formatCode>_-* #,##0_-;\-* #,##0_-;_-* "-"??_-;_-@_-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5B6E-40FD-9B2F-E998B9DC4D4A}"/>
            </c:ext>
          </c:extLst>
        </c:ser>
        <c:ser>
          <c:idx val="1"/>
          <c:order val="1"/>
          <c:tx>
            <c:strRef>
              <c:f>Jul!$B$117:$C$117</c:f>
              <c:strCache>
                <c:ptCount val="2"/>
                <c:pt idx="0">
                  <c:v>Flared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Jul!$D$113:$H$113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Jul!$D$117:$H$117</c:f>
              <c:numCache>
                <c:formatCode>_-* #,##0_-;\-* #,##0_-;_-* "-"??_-;_-@_-</c:formatCode>
                <c:ptCount val="5"/>
                <c:pt idx="1">
                  <c:v>5860</c:v>
                </c:pt>
                <c:pt idx="4">
                  <c:v>1444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6E-40FD-9B2F-E998B9DC4D4A}"/>
            </c:ext>
          </c:extLst>
        </c:ser>
        <c:ser>
          <c:idx val="0"/>
          <c:order val="2"/>
          <c:tx>
            <c:strRef>
              <c:f>Jul!$B$114:$C$114</c:f>
              <c:strCache>
                <c:ptCount val="2"/>
                <c:pt idx="0">
                  <c:v>Delivered to Boilers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Jul!$D$113:$H$113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Jul!$D$114:$H$114</c:f>
              <c:numCache>
                <c:formatCode>_-* #,##0_-;\-* #,##0_-;_-* "-"??_-;_-@_-</c:formatCode>
                <c:ptCount val="5"/>
                <c:pt idx="0">
                  <c:v>58901</c:v>
                </c:pt>
                <c:pt idx="1">
                  <c:v>147832</c:v>
                </c:pt>
                <c:pt idx="2">
                  <c:v>108594</c:v>
                </c:pt>
                <c:pt idx="3">
                  <c:v>78273</c:v>
                </c:pt>
                <c:pt idx="4">
                  <c:v>29885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6E-40FD-9B2F-E998B9DC4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786448"/>
        <c:axId val="1745592720"/>
        <c:extLst>
          <c:ext xmlns:c15="http://schemas.microsoft.com/office/drawing/2012/chart" uri="{02D57815-91ED-43cb-92C2-25804820EDAC}">
            <c15:filteredBarSeries>
              <c15:ser>
                <c:idx val="5"/>
                <c:order val="6"/>
                <c:tx>
                  <c:strRef>
                    <c:extLst>
                      <c:ext uri="{02D57815-91ED-43cb-92C2-25804820EDAC}">
                        <c15:formulaRef>
                          <c15:sqref>Jul!$B$115:$C$115</c15:sqref>
                        </c15:formulaRef>
                      </c:ext>
                    </c:extLst>
                    <c:strCache>
                      <c:ptCount val="2"/>
                      <c:pt idx="0">
                        <c:v>Delivered to Engine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Jul!$D$113:$H$113</c15:sqref>
                        </c15:formulaRef>
                      </c:ext>
                    </c:extLst>
                    <c:strCache>
                      <c:ptCount val="5"/>
                      <c:pt idx="0">
                        <c:v>WEEK 1
(Jul1-5)</c:v>
                      </c:pt>
                      <c:pt idx="1">
                        <c:v>WEEK 2
(Jul6-12)</c:v>
                      </c:pt>
                      <c:pt idx="2">
                        <c:v>WEEK 3
(Jul13-19)</c:v>
                      </c:pt>
                      <c:pt idx="3">
                        <c:v>WEEK 4
(Jul20-26)</c:v>
                      </c:pt>
                      <c:pt idx="4">
                        <c:v>WEEK 5
(Jul27-31)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Jul!$D$115:$G$115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14993.939999999999</c:v>
                      </c:pt>
                      <c:pt idx="1">
                        <c:v>17254.169999999998</c:v>
                      </c:pt>
                      <c:pt idx="2">
                        <c:v>43224.02</c:v>
                      </c:pt>
                      <c:pt idx="3">
                        <c:v>46006.42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5B6E-40FD-9B2F-E998B9DC4D4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5"/>
          <c:tx>
            <c:strRef>
              <c:f>Jul!$B$121:$C$121</c:f>
              <c:strCache>
                <c:ptCount val="2"/>
                <c:pt idx="0">
                  <c:v>Target to Reach SCA min</c:v>
                </c:pt>
                <c:pt idx="1">
                  <c:v>(Nm3)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Jul!$D$113:$H$113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Jul!$D$121:$H$121</c:f>
              <c:numCache>
                <c:formatCode>_-* #,##0_-;\-* #,##0_-;_-* "-"??_-;_-@_-</c:formatCode>
                <c:ptCount val="5"/>
                <c:pt idx="0">
                  <c:v>147550.79032258067</c:v>
                </c:pt>
                <c:pt idx="1">
                  <c:v>295220.89677419356</c:v>
                </c:pt>
                <c:pt idx="2">
                  <c:v>353960.00322580652</c:v>
                </c:pt>
                <c:pt idx="3">
                  <c:v>451937.10967741942</c:v>
                </c:pt>
                <c:pt idx="4">
                  <c:v>521214.9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6E-40FD-9B2F-E998B9DC4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786448"/>
        <c:axId val="1745592720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Jul!$B$118:$C$118</c15:sqref>
                        </c15:formulaRef>
                      </c:ext>
                    </c:extLst>
                    <c:strCache>
                      <c:ptCount val="2"/>
                      <c:pt idx="0">
                        <c:v>Total Produced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Jul!$D$113:$H$113</c15:sqref>
                        </c15:formulaRef>
                      </c:ext>
                    </c:extLst>
                    <c:strCache>
                      <c:ptCount val="5"/>
                      <c:pt idx="0">
                        <c:v>WEEK 1
(Jul1-5)</c:v>
                      </c:pt>
                      <c:pt idx="1">
                        <c:v>WEEK 2
(Jul6-12)</c:v>
                      </c:pt>
                      <c:pt idx="2">
                        <c:v>WEEK 3
(Jul13-19)</c:v>
                      </c:pt>
                      <c:pt idx="3">
                        <c:v>WEEK 4
(Jul20-26)</c:v>
                      </c:pt>
                      <c:pt idx="4">
                        <c:v>WEEK 5
(Jul27-31)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Jul!$D$118:$G$118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73894.94</c:v>
                      </c:pt>
                      <c:pt idx="1">
                        <c:v>170946.16999999998</c:v>
                      </c:pt>
                      <c:pt idx="2">
                        <c:v>151818.01999999999</c:v>
                      </c:pt>
                      <c:pt idx="3">
                        <c:v>124279.42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B6E-40FD-9B2F-E998B9DC4D4A}"/>
                  </c:ext>
                </c:extLst>
              </c15:ser>
            </c15:filteredLineSeries>
            <c15:filteredLine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Jul!$B$119:$C$119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Jul!$D$113:$H$113</c15:sqref>
                        </c15:formulaRef>
                      </c:ext>
                    </c:extLst>
                    <c:strCache>
                      <c:ptCount val="5"/>
                      <c:pt idx="0">
                        <c:v>WEEK 1
(Jul1-5)</c:v>
                      </c:pt>
                      <c:pt idx="1">
                        <c:v>WEEK 2
(Jul6-12)</c:v>
                      </c:pt>
                      <c:pt idx="2">
                        <c:v>WEEK 3
(Jul13-19)</c:v>
                      </c:pt>
                      <c:pt idx="3">
                        <c:v>WEEK 4
(Jul20-26)</c:v>
                      </c:pt>
                      <c:pt idx="4">
                        <c:v>WEEK 5
(Jul27-31)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Jul!$D$119:$G$119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58901</c:v>
                      </c:pt>
                      <c:pt idx="1">
                        <c:v>206733</c:v>
                      </c:pt>
                      <c:pt idx="2">
                        <c:v>315327</c:v>
                      </c:pt>
                      <c:pt idx="3">
                        <c:v>393600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B6E-40FD-9B2F-E998B9DC4D4A}"/>
                  </c:ext>
                </c:extLst>
              </c15:ser>
            </c15:filteredLineSeries>
            <c15:filteredLineSeries>
              <c15:ser>
                <c:idx val="6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Jul!$B$120:$C$120</c15:sqref>
                        </c15:formulaRef>
                      </c:ext>
                    </c:extLst>
                    <c:strCache>
                      <c:ptCount val="2"/>
                      <c:pt idx="0">
                        <c:v>Target Gas based on Delivered Substrates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rgbClr val="FFC000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rgbClr val="FFC000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Jul!$D$113:$H$113</c15:sqref>
                        </c15:formulaRef>
                      </c:ext>
                    </c:extLst>
                    <c:strCache>
                      <c:ptCount val="5"/>
                      <c:pt idx="0">
                        <c:v>WEEK 1
(Jul1-5)</c:v>
                      </c:pt>
                      <c:pt idx="1">
                        <c:v>WEEK 2
(Jul6-12)</c:v>
                      </c:pt>
                      <c:pt idx="2">
                        <c:v>WEEK 3
(Jul13-19)</c:v>
                      </c:pt>
                      <c:pt idx="3">
                        <c:v>WEEK 4
(Jul20-26)</c:v>
                      </c:pt>
                      <c:pt idx="4">
                        <c:v>WEEK 5
(Jul27-31)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Jul!$D$120:$G$120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74615.900694000011</c:v>
                      </c:pt>
                      <c:pt idx="1">
                        <c:v>160064.55982200001</c:v>
                      </c:pt>
                      <c:pt idx="2">
                        <c:v>109015.07679600001</c:v>
                      </c:pt>
                      <c:pt idx="3">
                        <c:v>108261.05281199999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B6E-40FD-9B2F-E998B9DC4D4A}"/>
                  </c:ext>
                </c:extLst>
              </c15:ser>
            </c15:filteredLineSeries>
          </c:ext>
        </c:extLst>
      </c:lineChart>
      <c:catAx>
        <c:axId val="17237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92720"/>
        <c:crosses val="autoZero"/>
        <c:auto val="1"/>
        <c:lblAlgn val="ctr"/>
        <c:lblOffset val="100"/>
        <c:noMultiLvlLbl val="1"/>
      </c:catAx>
      <c:valAx>
        <c:axId val="17455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(Nm3)</a:t>
                </a:r>
              </a:p>
            </c:rich>
          </c:tx>
          <c:layout>
            <c:manualLayout>
              <c:xMode val="edge"/>
              <c:yMode val="edge"/>
              <c:x val="0.1572054197817343"/>
              <c:y val="0.21039484932677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86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7081569440655"/>
          <c:y val="0.12528405766264164"/>
          <c:w val="0.77286261321270178"/>
          <c:h val="0.59436211738049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Jul!$B$78:$C$78</c:f>
              <c:strCache>
                <c:ptCount val="2"/>
                <c:pt idx="0">
                  <c:v>Delivered</c:v>
                </c:pt>
                <c:pt idx="1">
                  <c:v>(kWh)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Jul!$D$77:$H$77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Jul!$D$78:$H$78</c:f>
              <c:numCache>
                <c:formatCode>_-* #,##0_-;\-* #,##0_-;_-* "-"??_-;_-@_-</c:formatCode>
                <c:ptCount val="5"/>
                <c:pt idx="0">
                  <c:v>31902</c:v>
                </c:pt>
                <c:pt idx="1">
                  <c:v>36711</c:v>
                </c:pt>
                <c:pt idx="2">
                  <c:v>91966</c:v>
                </c:pt>
                <c:pt idx="3">
                  <c:v>97886</c:v>
                </c:pt>
                <c:pt idx="4">
                  <c:v>84824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5-4435-98FB-438788C6E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05608704"/>
        <c:axId val="305574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Jul!$B$79:$C$79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(kWh)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Jul!$D$77:$H$77</c15:sqref>
                        </c15:formulaRef>
                      </c:ext>
                    </c:extLst>
                    <c:strCache>
                      <c:ptCount val="5"/>
                      <c:pt idx="0">
                        <c:v>WEEK 1
(Jul1-5)</c:v>
                      </c:pt>
                      <c:pt idx="1">
                        <c:v>WEEK 2
(Jul6-12)</c:v>
                      </c:pt>
                      <c:pt idx="2">
                        <c:v>WEEK 3
(Jul13-19)</c:v>
                      </c:pt>
                      <c:pt idx="3">
                        <c:v>WEEK 4
(Jul20-26)</c:v>
                      </c:pt>
                      <c:pt idx="4">
                        <c:v>WEEK 5
(Jul27-31)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Jul!$D$79:$G$79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31902</c:v>
                      </c:pt>
                      <c:pt idx="1">
                        <c:v>68613</c:v>
                      </c:pt>
                      <c:pt idx="2">
                        <c:v>160579</c:v>
                      </c:pt>
                      <c:pt idx="3">
                        <c:v>258465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705-4435-98FB-438788C6ECC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Jul!$B$80:$C$80</c:f>
              <c:strCache>
                <c:ptCount val="2"/>
                <c:pt idx="0">
                  <c:v>Target to Reach SCA Minimum </c:v>
                </c:pt>
                <c:pt idx="1">
                  <c:v>(kWh)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Jul!$D$77:$H$77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Jul!$D$80:$H$80</c:f>
              <c:numCache>
                <c:formatCode>_-* #,##0_-;\-* #,##0_-;_-* "-"??_-;_-@_-</c:formatCode>
                <c:ptCount val="5"/>
                <c:pt idx="0">
                  <c:v>146827.24014336918</c:v>
                </c:pt>
                <c:pt idx="1">
                  <c:v>320483.37634408602</c:v>
                </c:pt>
                <c:pt idx="2">
                  <c:v>489330.51254480286</c:v>
                </c:pt>
                <c:pt idx="3">
                  <c:v>602922.64874551969</c:v>
                </c:pt>
                <c:pt idx="4">
                  <c:v>651863.88888888888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705-4435-98FB-438788C6E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08704"/>
        <c:axId val="305574416"/>
        <c:extLst/>
      </c:lineChart>
      <c:catAx>
        <c:axId val="3056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4416"/>
        <c:crosses val="autoZero"/>
        <c:auto val="1"/>
        <c:lblAlgn val="ctr"/>
        <c:lblOffset val="100"/>
        <c:noMultiLvlLbl val="1"/>
      </c:catAx>
      <c:valAx>
        <c:axId val="3055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kWh</a:t>
                </a:r>
              </a:p>
            </c:rich>
          </c:tx>
          <c:layout>
            <c:manualLayout>
              <c:xMode val="edge"/>
              <c:yMode val="edge"/>
              <c:x val="0.16530445088964488"/>
              <c:y val="0.35705801198293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08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69028871391076"/>
          <c:y val="8.5110331300092601E-2"/>
          <c:w val="0.63956741004774031"/>
          <c:h val="0.5909229120624055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Jul!$B$132:$C$132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667-4875-9B8C-E9F1EFA98DF3}"/>
              </c:ext>
            </c:extLst>
          </c:dPt>
          <c:cat>
            <c:strRef>
              <c:f>Jul!$D$128:$G$128</c:f>
              <c:strCache>
                <c:ptCount val="4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</c:strCache>
            </c:strRef>
          </c:cat>
          <c:val>
            <c:numRef>
              <c:f>Jul!$D$132:$G$132</c:f>
              <c:numCache>
                <c:formatCode>_-* #,##0_-;\-* #,##0_-;_-* "-"??_-;_-@_-</c:formatCode>
                <c:ptCount val="4"/>
                <c:pt idx="0">
                  <c:v>73894.94</c:v>
                </c:pt>
                <c:pt idx="1">
                  <c:v>170946.16999999998</c:v>
                </c:pt>
                <c:pt idx="2">
                  <c:v>151818.01999999999</c:v>
                </c:pt>
                <c:pt idx="3">
                  <c:v>124279.42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67-4875-9B8C-E9F1EFA98DF3}"/>
            </c:ext>
          </c:extLst>
        </c:ser>
        <c:ser>
          <c:idx val="1"/>
          <c:order val="1"/>
          <c:tx>
            <c:strRef>
              <c:f>Jul!$B$131:$C$131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Jul!$D$128:$G$128</c:f>
              <c:strCache>
                <c:ptCount val="4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</c:strCache>
            </c:strRef>
          </c:cat>
          <c:val>
            <c:numRef>
              <c:f>Jul!$D$131:$G$131</c:f>
              <c:numCache>
                <c:formatCode>_-* #,##0_-;\-* #,##0_-;_-* "-"??_-;_-@_-</c:formatCode>
                <c:ptCount val="4"/>
                <c:pt idx="0">
                  <c:v>95149.07</c:v>
                </c:pt>
                <c:pt idx="1">
                  <c:v>204111.91</c:v>
                </c:pt>
                <c:pt idx="2">
                  <c:v>139014.38</c:v>
                </c:pt>
                <c:pt idx="3">
                  <c:v>138052.85999999999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67-4875-9B8C-E9F1EFA98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Jul!$B$130:$C$130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Jul!$D$128:$G$128</c15:sqref>
                        </c15:formulaRef>
                      </c:ext>
                    </c:extLst>
                    <c:strCache>
                      <c:ptCount val="4"/>
                      <c:pt idx="0">
                        <c:v>WEEK 1
(Jul1-5)</c:v>
                      </c:pt>
                      <c:pt idx="1">
                        <c:v>WEEK 2
(Jul6-12)</c:v>
                      </c:pt>
                      <c:pt idx="2">
                        <c:v>WEEK 3
(Jul13-19)</c:v>
                      </c:pt>
                      <c:pt idx="3">
                        <c:v>WEEK 4
(Jul20-26)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Jul!$D$130:$G$130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942.07</c:v>
                      </c:pt>
                      <c:pt idx="1">
                        <c:v>2020.91</c:v>
                      </c:pt>
                      <c:pt idx="2">
                        <c:v>1376.38</c:v>
                      </c:pt>
                      <c:pt idx="3">
                        <c:v>1366.86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7667-4875-9B8C-E9F1EFA98DF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Jul!$B$133:$C$133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Jul!$D$128:$G$128</c:f>
              <c:strCache>
                <c:ptCount val="4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</c:strCache>
            </c:strRef>
          </c:cat>
          <c:val>
            <c:numRef>
              <c:f>Jul!$D$133:$G$133</c:f>
              <c:numCache>
                <c:formatCode>_-* #,##0_-;\-* #,##0_-;_-* "-"??_-;_-@_-</c:formatCode>
                <c:ptCount val="4"/>
                <c:pt idx="0">
                  <c:v>78.438905813793028</c:v>
                </c:pt>
                <c:pt idx="1">
                  <c:v>84.588710036567676</c:v>
                </c:pt>
                <c:pt idx="2">
                  <c:v>110.30240195294903</c:v>
                </c:pt>
                <c:pt idx="3">
                  <c:v>90.92329865531218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67-4875-9B8C-E9F1EFA98DF3}"/>
            </c:ext>
          </c:extLst>
        </c:ser>
        <c:ser>
          <c:idx val="4"/>
          <c:order val="4"/>
          <c:tx>
            <c:strRef>
              <c:f>Jul!$B$134:$C$134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Jul!$D$128:$G$128</c:f>
              <c:strCache>
                <c:ptCount val="4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</c:strCache>
            </c:strRef>
          </c:cat>
          <c:val>
            <c:numRef>
              <c:f>Jul!$D$134:$G$134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67-4875-9B8C-E9F1EFA98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253760"/>
        <c:axId val="740266720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baseline="0"/>
                  <a:t>(</a:t>
                </a:r>
                <a:r>
                  <a:rPr lang="en-PH"/>
                  <a:t>Nm3)</a:t>
                </a:r>
              </a:p>
            </c:rich>
          </c:tx>
          <c:layout>
            <c:manualLayout>
              <c:xMode val="edge"/>
              <c:yMode val="edge"/>
              <c:x val="0.13632107956496156"/>
              <c:y val="0.309808368406482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740266720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53760"/>
        <c:crosses val="max"/>
        <c:crossBetween val="between"/>
      </c:valAx>
      <c:catAx>
        <c:axId val="740253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02667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Biogas Conversion (Yield) - Factoring the DS Content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94307296004804"/>
          <c:y val="7.2393844182113795E-2"/>
          <c:w val="0.64755261890531735"/>
          <c:h val="0.595684440389846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Jul!$B$174:$C$174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Jul!$D$128:$H$128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Jul!$D$174:$H$174</c:f>
              <c:numCache>
                <c:formatCode>_-* #,##0_-;\-* #,##0_-;_-* "-"??_-;_-@_-</c:formatCode>
                <c:ptCount val="5"/>
                <c:pt idx="0">
                  <c:v>73894.94</c:v>
                </c:pt>
                <c:pt idx="1">
                  <c:v>170946.16999999998</c:v>
                </c:pt>
                <c:pt idx="2">
                  <c:v>151818.01999999999</c:v>
                </c:pt>
                <c:pt idx="3">
                  <c:v>124279.42</c:v>
                </c:pt>
                <c:pt idx="4">
                  <c:v>71196.28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9-429C-9D8C-414DF783BC69}"/>
            </c:ext>
          </c:extLst>
        </c:ser>
        <c:ser>
          <c:idx val="1"/>
          <c:order val="1"/>
          <c:tx>
            <c:strRef>
              <c:f>Jul!$B$173:$C$173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Jul!$D$128:$H$128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Jul!$D$173:$H$173</c:f>
              <c:numCache>
                <c:formatCode>_-* #,##0_-;\-* #,##0_-;_-* "-"??_-;_-@_-</c:formatCode>
                <c:ptCount val="5"/>
                <c:pt idx="0">
                  <c:v>94333.50654285714</c:v>
                </c:pt>
                <c:pt idx="1">
                  <c:v>203105.92987214285</c:v>
                </c:pt>
                <c:pt idx="2">
                  <c:v>137654.02499571428</c:v>
                </c:pt>
                <c:pt idx="3">
                  <c:v>137875.36346571427</c:v>
                </c:pt>
                <c:pt idx="4">
                  <c:v>85068.387332142869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59-429C-9D8C-414DF783B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Jul!$B$130:$C$130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Jul!$D$128:$H$128</c15:sqref>
                        </c15:formulaRef>
                      </c:ext>
                    </c:extLst>
                    <c:strCache>
                      <c:ptCount val="5"/>
                      <c:pt idx="0">
                        <c:v>WEEK 1
(Jul1-5)</c:v>
                      </c:pt>
                      <c:pt idx="1">
                        <c:v>WEEK 2
(Jul6-12)</c:v>
                      </c:pt>
                      <c:pt idx="2">
                        <c:v>WEEK 3
(Jul13-19)</c:v>
                      </c:pt>
                      <c:pt idx="3">
                        <c:v>WEEK 4
(Jul20-26)</c:v>
                      </c:pt>
                      <c:pt idx="4">
                        <c:v>WEEK 5
(Jul27-31)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Jul!$D$130:$G$130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942.07</c:v>
                      </c:pt>
                      <c:pt idx="1">
                        <c:v>2020.91</c:v>
                      </c:pt>
                      <c:pt idx="2">
                        <c:v>1376.38</c:v>
                      </c:pt>
                      <c:pt idx="3">
                        <c:v>1366.86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B059-429C-9D8C-414DF783BC6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Jul!$B$176:$C$176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2.0278921618298227E-2"/>
                  <c:y val="-3.1348240859611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59-429C-9D8C-414DF783BC69}"/>
                </c:ext>
              </c:extLst>
            </c:dLbl>
            <c:dLbl>
              <c:idx val="1"/>
              <c:layout>
                <c:manualLayout>
                  <c:x val="-1.3075589999027718E-3"/>
                  <c:y val="-2.4146229705798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59-429C-9D8C-414DF783BC69}"/>
                </c:ext>
              </c:extLst>
            </c:dLbl>
            <c:dLbl>
              <c:idx val="2"/>
              <c:layout>
                <c:manualLayout>
                  <c:x val="-2.4536084465953872E-2"/>
                  <c:y val="-2.6102545666180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59-429C-9D8C-414DF783BC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Jul!$D$128:$H$128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Jul!$D$176:$H$176</c:f>
              <c:numCache>
                <c:formatCode>_-* #,##0_-;\-* #,##0_-;_-* "-"??_-;_-@_-</c:formatCode>
                <c:ptCount val="5"/>
                <c:pt idx="0">
                  <c:v>79.117051973566461</c:v>
                </c:pt>
                <c:pt idx="1">
                  <c:v>85.007676441888421</c:v>
                </c:pt>
                <c:pt idx="2">
                  <c:v>111.39245670787611</c:v>
                </c:pt>
                <c:pt idx="3">
                  <c:v>91.040350534570919</c:v>
                </c:pt>
                <c:pt idx="4">
                  <c:v>84.52992357694508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59-429C-9D8C-414DF783BC69}"/>
            </c:ext>
          </c:extLst>
        </c:ser>
        <c:ser>
          <c:idx val="4"/>
          <c:order val="4"/>
          <c:tx>
            <c:strRef>
              <c:f>Jul!$B$177:$C$177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Jul!$D$128:$H$128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Jul!$D$177:$H$177</c:f>
              <c:numCache>
                <c:formatCode>_-* #,##0_-;\-* #,##0_-;_-* "-"??_-;_-@_-</c:formatCode>
                <c:ptCount val="5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  <c:pt idx="4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59-429C-9D8C-414DF783BC69}"/>
            </c:ext>
          </c:extLst>
        </c:ser>
        <c:ser>
          <c:idx val="5"/>
          <c:order val="5"/>
          <c:tx>
            <c:strRef>
              <c:f>Jul!$B$175</c:f>
              <c:strCache>
                <c:ptCount val="1"/>
                <c:pt idx="0">
                  <c:v>%DS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Jul!$D$128:$H$128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Jul!$D$175:$H$175</c:f>
              <c:numCache>
                <c:formatCode>_(* #,##0.00_);_(* \(#,##0.00\);_(* "-"??_);_(@_)</c:formatCode>
                <c:ptCount val="5"/>
                <c:pt idx="0">
                  <c:v>13.88</c:v>
                </c:pt>
                <c:pt idx="1">
                  <c:v>13.930999999999999</c:v>
                </c:pt>
                <c:pt idx="2">
                  <c:v>13.863</c:v>
                </c:pt>
                <c:pt idx="3">
                  <c:v>13.981999999999999</c:v>
                </c:pt>
                <c:pt idx="4">
                  <c:v>13.935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59-429C-9D8C-414DF783B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</a:t>
                </a:r>
              </a:p>
            </c:rich>
          </c:tx>
          <c:layout>
            <c:manualLayout>
              <c:xMode val="edge"/>
              <c:yMode val="edge"/>
              <c:x val="0.1338963604146387"/>
              <c:y val="0.38583079407906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Nm3/ton</a:t>
                </a:r>
              </a:p>
            </c:rich>
          </c:tx>
          <c:layout>
            <c:manualLayout>
              <c:xMode val="edge"/>
              <c:yMode val="edge"/>
              <c:x val="0.95544679367650542"/>
              <c:y val="0.412100607226448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037413340212502"/>
          <c:y val="0.11640982453860035"/>
          <c:w val="0.74370088205263363"/>
          <c:h val="0.45822964421204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Aug!$B$36:$C$36</c:f>
              <c:strCache>
                <c:ptCount val="2"/>
                <c:pt idx="0">
                  <c:v>Delivered (DPO)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Aug!$D$34:$H$34</c:f>
              <c:strCache>
                <c:ptCount val="4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</c:strCache>
            </c:strRef>
          </c:cat>
          <c:val>
            <c:numRef>
              <c:f>Aug!$D$36:$G$36</c:f>
              <c:numCache>
                <c:formatCode>_-* #,##0_-;\-* #,##0_-;_-* "-"??_-;_-@_-</c:formatCode>
                <c:ptCount val="4"/>
                <c:pt idx="0">
                  <c:v>2217.0100000000002</c:v>
                </c:pt>
                <c:pt idx="1">
                  <c:v>1745.6</c:v>
                </c:pt>
                <c:pt idx="2">
                  <c:v>1794.13</c:v>
                </c:pt>
                <c:pt idx="3">
                  <c:v>1837.59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2-43EB-B0BA-74BE39F9B58E}"/>
            </c:ext>
          </c:extLst>
        </c:ser>
        <c:ser>
          <c:idx val="2"/>
          <c:order val="1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Jul!$D$34:$H$34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'Mar actual FM vol'!$D$37:$H$37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15D2-43EB-B0BA-74BE39F9B58E}"/>
            </c:ext>
          </c:extLst>
        </c:ser>
        <c:ser>
          <c:idx val="5"/>
          <c:order val="4"/>
          <c:tx>
            <c:strRef>
              <c:f>Aug!$B$37</c:f>
              <c:strCache>
                <c:ptCount val="1"/>
                <c:pt idx="0">
                  <c:v>Diverted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Aug!$D$34:$H$34</c:f>
              <c:strCache>
                <c:ptCount val="4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</c:strCache>
            </c:strRef>
          </c:cat>
          <c:val>
            <c:numRef>
              <c:f>Aug!$D$37:$G$37</c:f>
              <c:numCache>
                <c:formatCode>_-* #,##0.0_-;\-* #,##0.0_-;_-* "-"??_-;_-@_-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15D2-43EB-B0BA-74BE39F9B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"/>
        <c:axId val="1931926304"/>
        <c:axId val="1732677184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Aug!$B$40:$C$40</c15:sqref>
                        </c15:formulaRef>
                      </c:ext>
                    </c:extLst>
                    <c:strCache>
                      <c:ptCount val="2"/>
                      <c:pt idx="0">
                        <c:v>Monthly Accumulative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Aug!$D$34:$H$34</c15:sqref>
                        </c15:formulaRef>
                      </c:ext>
                    </c:extLst>
                    <c:strCache>
                      <c:ptCount val="4"/>
                      <c:pt idx="0">
                        <c:v>WEEK 1
(Aug1-9)</c:v>
                      </c:pt>
                      <c:pt idx="1">
                        <c:v>WEEK 2
(Aug10-16)</c:v>
                      </c:pt>
                      <c:pt idx="2">
                        <c:v>WEEK 3
(Aug17-23)</c:v>
                      </c:pt>
                      <c:pt idx="3">
                        <c:v>WEEK 4
(Aug24-31)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Aug!$D$40:$H$40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2217.0100000000002</c:v>
                      </c:pt>
                      <c:pt idx="1">
                        <c:v>3962.61</c:v>
                      </c:pt>
                      <c:pt idx="2">
                        <c:v>5756.74</c:v>
                      </c:pt>
                      <c:pt idx="3">
                        <c:v>7594.33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15D2-43EB-B0BA-74BE39F9B58E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3"/>
          <c:tx>
            <c:strRef>
              <c:f>Aug!$B$41:$C$41</c:f>
              <c:strCache>
                <c:ptCount val="2"/>
                <c:pt idx="0">
                  <c:v>Target to Reach SCA Minimum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Aug!$D$34:$H$34</c:f>
              <c:strCache>
                <c:ptCount val="4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</c:strCache>
            </c:strRef>
          </c:cat>
          <c:val>
            <c:numRef>
              <c:f>Aug!$D$41:$G$41</c:f>
              <c:numCache>
                <c:formatCode>_-* #,##0_-;\-* #,##0_-;_-* "-"??_-;_-@_-</c:formatCode>
                <c:ptCount val="4"/>
                <c:pt idx="0">
                  <c:v>4190.3343145161289</c:v>
                </c:pt>
                <c:pt idx="1">
                  <c:v>5232.4732258064505</c:v>
                </c:pt>
                <c:pt idx="2">
                  <c:v>6746.022137096772</c:v>
                </c:pt>
                <c:pt idx="3">
                  <c:v>8676.6337499999991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5D2-43EB-B0BA-74BE39F9B58E}"/>
            </c:ext>
          </c:extLst>
        </c:ser>
        <c:ser>
          <c:idx val="6"/>
          <c:order val="5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Jul!$D$34:$H$34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'Mar actual FM vol'!$D$37:$H$37</c:f>
            </c:numRef>
          </c:val>
          <c:smooth val="0"/>
          <c:extLst>
            <c:ext xmlns:c16="http://schemas.microsoft.com/office/drawing/2014/chart" uri="{C3380CC4-5D6E-409C-BE32-E72D297353CC}">
              <c16:uniqueId val="{00000004-15D2-43EB-B0BA-74BE39F9B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6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931926304"/>
        <c:axId val="1732677184"/>
      </c:lineChart>
      <c:catAx>
        <c:axId val="193192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77184"/>
        <c:crosses val="autoZero"/>
        <c:auto val="1"/>
        <c:lblAlgn val="ctr"/>
        <c:lblOffset val="100"/>
        <c:noMultiLvlLbl val="1"/>
      </c:catAx>
      <c:valAx>
        <c:axId val="1732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MT</a:t>
                </a:r>
              </a:p>
            </c:rich>
          </c:tx>
          <c:layout>
            <c:manualLayout>
              <c:xMode val="edge"/>
              <c:yMode val="edge"/>
              <c:x val="0.19272070118622903"/>
              <c:y val="0.24359459230956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263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279257464172775"/>
          <c:y val="0.10060281860125968"/>
          <c:w val="0.67317823439612146"/>
          <c:h val="0.34991922607897613"/>
        </c:manualLayout>
      </c:layout>
      <c:barChart>
        <c:barDir val="col"/>
        <c:grouping val="stacked"/>
        <c:varyColors val="0"/>
        <c:ser>
          <c:idx val="7"/>
          <c:order val="0"/>
          <c:tx>
            <c:strRef>
              <c:f>Aug!$B$116:$C$116</c:f>
              <c:strCache>
                <c:ptCount val="2"/>
                <c:pt idx="0">
                  <c:v>CO2 Testing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Aug!$D$113:$H$113</c:f>
              <c:strCache>
                <c:ptCount val="4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</c:strCache>
            </c:strRef>
          </c:cat>
          <c:val>
            <c:numRef>
              <c:f>Aug!$D$116:$G$116</c:f>
              <c:numCache>
                <c:formatCode>_-* #,##0_-;\-* #,##0_-;_-* "-"??_-;_-@_-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FA60-455C-90BA-3B51CDDBE689}"/>
            </c:ext>
          </c:extLst>
        </c:ser>
        <c:ser>
          <c:idx val="1"/>
          <c:order val="1"/>
          <c:tx>
            <c:strRef>
              <c:f>Aug!$B$117:$C$117</c:f>
              <c:strCache>
                <c:ptCount val="2"/>
                <c:pt idx="0">
                  <c:v>Flared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Aug!$D$113:$H$113</c:f>
              <c:strCache>
                <c:ptCount val="4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</c:strCache>
            </c:strRef>
          </c:cat>
          <c:val>
            <c:numRef>
              <c:f>Aug!$D$117:$G$117</c:f>
              <c:numCache>
                <c:formatCode>_-* #,##0_-;\-* #,##0_-;_-* "-"??_-;_-@_-</c:formatCode>
                <c:ptCount val="4"/>
                <c:pt idx="0">
                  <c:v>20724</c:v>
                </c:pt>
                <c:pt idx="2">
                  <c:v>18468</c:v>
                </c:pt>
                <c:pt idx="3">
                  <c:v>18535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60-455C-90BA-3B51CDDBE689}"/>
            </c:ext>
          </c:extLst>
        </c:ser>
        <c:ser>
          <c:idx val="0"/>
          <c:order val="2"/>
          <c:tx>
            <c:strRef>
              <c:f>Aug!$B$114:$C$114</c:f>
              <c:strCache>
                <c:ptCount val="2"/>
                <c:pt idx="0">
                  <c:v>Delivered to Boilers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Aug!$D$113:$H$113</c:f>
              <c:strCache>
                <c:ptCount val="4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</c:strCache>
            </c:strRef>
          </c:cat>
          <c:val>
            <c:numRef>
              <c:f>Aug!$D$114:$G$114</c:f>
              <c:numCache>
                <c:formatCode>_-* #,##0_-;\-* #,##0_-;_-* "-"??_-;_-@_-</c:formatCode>
                <c:ptCount val="4"/>
                <c:pt idx="0">
                  <c:v>138448</c:v>
                </c:pt>
                <c:pt idx="1">
                  <c:v>128514</c:v>
                </c:pt>
                <c:pt idx="2">
                  <c:v>124782</c:v>
                </c:pt>
                <c:pt idx="3">
                  <c:v>112134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60-455C-90BA-3B51CDDBE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786448"/>
        <c:axId val="1745592720"/>
        <c:extLst>
          <c:ext xmlns:c15="http://schemas.microsoft.com/office/drawing/2012/chart" uri="{02D57815-91ED-43cb-92C2-25804820EDAC}">
            <c15:filteredBarSeries>
              <c15:ser>
                <c:idx val="5"/>
                <c:order val="6"/>
                <c:tx>
                  <c:strRef>
                    <c:extLst>
                      <c:ext uri="{02D57815-91ED-43cb-92C2-25804820EDAC}">
                        <c15:formulaRef>
                          <c15:sqref>Aug!$B$115:$C$115</c15:sqref>
                        </c15:formulaRef>
                      </c:ext>
                    </c:extLst>
                    <c:strCache>
                      <c:ptCount val="2"/>
                      <c:pt idx="0">
                        <c:v>Delivered to Engine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Aug!$D$113:$H$113</c15:sqref>
                        </c15:formulaRef>
                      </c:ext>
                    </c:extLst>
                    <c:strCache>
                      <c:ptCount val="4"/>
                      <c:pt idx="0">
                        <c:v>WEEK 1
(Aug1-9)</c:v>
                      </c:pt>
                      <c:pt idx="1">
                        <c:v>WEEK 2
(Aug10-16)</c:v>
                      </c:pt>
                      <c:pt idx="2">
                        <c:v>WEEK 3
(Aug17-23)</c:v>
                      </c:pt>
                      <c:pt idx="3">
                        <c:v>WEEK 4
(Aug24-31)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Aug!$D$115:$G$115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29335.989999999998</c:v>
                      </c:pt>
                      <c:pt idx="1">
                        <c:v>64715.71</c:v>
                      </c:pt>
                      <c:pt idx="2">
                        <c:v>29022.5</c:v>
                      </c:pt>
                      <c:pt idx="3">
                        <c:v>65651.009999999995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A60-455C-90BA-3B51CDDBE68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5"/>
          <c:tx>
            <c:strRef>
              <c:f>Aug!$B$121:$C$121</c:f>
              <c:strCache>
                <c:ptCount val="2"/>
                <c:pt idx="0">
                  <c:v>Target to Reach SCA min</c:v>
                </c:pt>
                <c:pt idx="1">
                  <c:v>(Nm3)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Aug!$D$113:$H$113</c:f>
              <c:strCache>
                <c:ptCount val="4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</c:strCache>
            </c:strRef>
          </c:cat>
          <c:val>
            <c:numRef>
              <c:f>Aug!$D$121:$G$121</c:f>
              <c:numCache>
                <c:formatCode>_-* #,##0_-;\-* #,##0_-;_-* "-"??_-;_-@_-</c:formatCode>
                <c:ptCount val="4"/>
                <c:pt idx="0">
                  <c:v>299943.18145161291</c:v>
                </c:pt>
                <c:pt idx="1">
                  <c:v>394784.32258064521</c:v>
                </c:pt>
                <c:pt idx="2">
                  <c:v>499559.46370967745</c:v>
                </c:pt>
                <c:pt idx="3">
                  <c:v>641393.62500000012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60-455C-90BA-3B51CDDBE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786448"/>
        <c:axId val="1745592720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Aug!$B$118:$C$118</c15:sqref>
                        </c15:formulaRef>
                      </c:ext>
                    </c:extLst>
                    <c:strCache>
                      <c:ptCount val="2"/>
                      <c:pt idx="0">
                        <c:v>Total Produced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Aug!$D$113:$H$113</c15:sqref>
                        </c15:formulaRef>
                      </c:ext>
                    </c:extLst>
                    <c:strCache>
                      <c:ptCount val="4"/>
                      <c:pt idx="0">
                        <c:v>WEEK 1
(Aug1-9)</c:v>
                      </c:pt>
                      <c:pt idx="1">
                        <c:v>WEEK 2
(Aug10-16)</c:v>
                      </c:pt>
                      <c:pt idx="2">
                        <c:v>WEEK 3
(Aug17-23)</c:v>
                      </c:pt>
                      <c:pt idx="3">
                        <c:v>WEEK 4
(Aug24-31)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Aug!$D$118:$G$118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188507.99</c:v>
                      </c:pt>
                      <c:pt idx="1">
                        <c:v>193229.71</c:v>
                      </c:pt>
                      <c:pt idx="2">
                        <c:v>172272.5</c:v>
                      </c:pt>
                      <c:pt idx="3">
                        <c:v>196320.01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A60-455C-90BA-3B51CDDBE689}"/>
                  </c:ext>
                </c:extLst>
              </c15:ser>
            </c15:filteredLineSeries>
            <c15:filteredLine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Aug!$B$119:$C$119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Aug!$D$113:$H$113</c15:sqref>
                        </c15:formulaRef>
                      </c:ext>
                    </c:extLst>
                    <c:strCache>
                      <c:ptCount val="4"/>
                      <c:pt idx="0">
                        <c:v>WEEK 1
(Aug1-9)</c:v>
                      </c:pt>
                      <c:pt idx="1">
                        <c:v>WEEK 2
(Aug10-16)</c:v>
                      </c:pt>
                      <c:pt idx="2">
                        <c:v>WEEK 3
(Aug17-23)</c:v>
                      </c:pt>
                      <c:pt idx="3">
                        <c:v>WEEK 4
(Aug24-31)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Aug!$D$119:$G$119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138448</c:v>
                      </c:pt>
                      <c:pt idx="1">
                        <c:v>266962</c:v>
                      </c:pt>
                      <c:pt idx="2">
                        <c:v>391744</c:v>
                      </c:pt>
                      <c:pt idx="3">
                        <c:v>503878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A60-455C-90BA-3B51CDDBE689}"/>
                  </c:ext>
                </c:extLst>
              </c15:ser>
            </c15:filteredLineSeries>
            <c15:filteredLineSeries>
              <c15:ser>
                <c:idx val="6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Aug!$B$120:$C$120</c15:sqref>
                        </c15:formulaRef>
                      </c:ext>
                    </c:extLst>
                    <c:strCache>
                      <c:ptCount val="2"/>
                      <c:pt idx="0">
                        <c:v>Target Gas based on Delivered Substrates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rgbClr val="FFC000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rgbClr val="FFC000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Aug!$D$113:$H$113</c15:sqref>
                        </c15:formulaRef>
                      </c:ext>
                    </c:extLst>
                    <c:strCache>
                      <c:ptCount val="4"/>
                      <c:pt idx="0">
                        <c:v>WEEK 1
(Aug1-9)</c:v>
                      </c:pt>
                      <c:pt idx="1">
                        <c:v>WEEK 2
(Aug10-16)</c:v>
                      </c:pt>
                      <c:pt idx="2">
                        <c:v>WEEK 3
(Aug17-23)</c:v>
                      </c:pt>
                      <c:pt idx="3">
                        <c:v>WEEK 4
(Aug24-31)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Aug!$D$120:$G$120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175596.50344200002</c:v>
                      </c:pt>
                      <c:pt idx="1">
                        <c:v>138258.85152</c:v>
                      </c:pt>
                      <c:pt idx="2">
                        <c:v>142102.63134600001</c:v>
                      </c:pt>
                      <c:pt idx="3">
                        <c:v>145544.84587799999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A60-455C-90BA-3B51CDDBE689}"/>
                  </c:ext>
                </c:extLst>
              </c15:ser>
            </c15:filteredLineSeries>
          </c:ext>
        </c:extLst>
      </c:lineChart>
      <c:catAx>
        <c:axId val="17237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92720"/>
        <c:crosses val="autoZero"/>
        <c:auto val="1"/>
        <c:lblAlgn val="ctr"/>
        <c:lblOffset val="100"/>
        <c:noMultiLvlLbl val="1"/>
      </c:catAx>
      <c:valAx>
        <c:axId val="17455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(Nm3)</a:t>
                </a:r>
              </a:p>
            </c:rich>
          </c:tx>
          <c:layout>
            <c:manualLayout>
              <c:xMode val="edge"/>
              <c:yMode val="edge"/>
              <c:x val="0.1572054197817343"/>
              <c:y val="0.21039484932677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86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7081569440655"/>
          <c:y val="0.12528405766264164"/>
          <c:w val="0.77286261321270178"/>
          <c:h val="0.59436211738049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Aug!$B$78:$C$78</c:f>
              <c:strCache>
                <c:ptCount val="2"/>
                <c:pt idx="0">
                  <c:v>Delivered</c:v>
                </c:pt>
                <c:pt idx="1">
                  <c:v>(kWh)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Aug!$D$77:$H$77</c:f>
              <c:strCache>
                <c:ptCount val="4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</c:strCache>
            </c:strRef>
          </c:cat>
          <c:val>
            <c:numRef>
              <c:f>Aug!$D$78:$G$78</c:f>
              <c:numCache>
                <c:formatCode>_-* #,##0_-;\-* #,##0_-;_-* "-"??_-;_-@_-</c:formatCode>
                <c:ptCount val="4"/>
                <c:pt idx="0">
                  <c:v>62417</c:v>
                </c:pt>
                <c:pt idx="1">
                  <c:v>137693</c:v>
                </c:pt>
                <c:pt idx="2">
                  <c:v>61750</c:v>
                </c:pt>
                <c:pt idx="3">
                  <c:v>139683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D-4E2B-B272-E0B3AD3E7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05608704"/>
        <c:axId val="305574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Aug!$B$79:$C$79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(kWh)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Aug!$D$77:$H$77</c15:sqref>
                        </c15:formulaRef>
                      </c:ext>
                    </c:extLst>
                    <c:strCache>
                      <c:ptCount val="4"/>
                      <c:pt idx="0">
                        <c:v>WEEK 1
(Aug1-9)</c:v>
                      </c:pt>
                      <c:pt idx="1">
                        <c:v>WEEK 2
(Aug10-16)</c:v>
                      </c:pt>
                      <c:pt idx="2">
                        <c:v>WEEK 3
(Aug17-23)</c:v>
                      </c:pt>
                      <c:pt idx="3">
                        <c:v>WEEK 4
(Aug24-31)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Aug!$D$79:$G$79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62417</c:v>
                      </c:pt>
                      <c:pt idx="1">
                        <c:v>200110</c:v>
                      </c:pt>
                      <c:pt idx="2">
                        <c:v>261860</c:v>
                      </c:pt>
                      <c:pt idx="3">
                        <c:v>401543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75D-4E2B-B272-E0B3AD3E772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Aug!$B$80:$C$80</c:f>
              <c:strCache>
                <c:ptCount val="2"/>
                <c:pt idx="0">
                  <c:v>Target to Reach SCA Minimum </c:v>
                </c:pt>
                <c:pt idx="1">
                  <c:v>(kWh)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Aug!$D$77:$H$77</c:f>
              <c:strCache>
                <c:ptCount val="4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</c:strCache>
            </c:strRef>
          </c:cat>
          <c:val>
            <c:numRef>
              <c:f>Aug!$D$80:$G$80</c:f>
              <c:numCache>
                <c:formatCode>_-* #,##0_-;\-* #,##0_-;_-* "-"??_-;_-@_-</c:formatCode>
                <c:ptCount val="4"/>
                <c:pt idx="0">
                  <c:v>284867.09274193546</c:v>
                </c:pt>
                <c:pt idx="1">
                  <c:v>444013.38709677418</c:v>
                </c:pt>
                <c:pt idx="2">
                  <c:v>527883.68145161285</c:v>
                </c:pt>
                <c:pt idx="3">
                  <c:v>719348.875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75D-4E2B-B272-E0B3AD3E7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08704"/>
        <c:axId val="305574416"/>
        <c:extLst/>
      </c:lineChart>
      <c:catAx>
        <c:axId val="3056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4416"/>
        <c:crosses val="autoZero"/>
        <c:auto val="1"/>
        <c:lblAlgn val="ctr"/>
        <c:lblOffset val="100"/>
        <c:noMultiLvlLbl val="1"/>
      </c:catAx>
      <c:valAx>
        <c:axId val="3055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kWh</a:t>
                </a:r>
              </a:p>
            </c:rich>
          </c:tx>
          <c:layout>
            <c:manualLayout>
              <c:xMode val="edge"/>
              <c:yMode val="edge"/>
              <c:x val="0.16530445088964488"/>
              <c:y val="0.35705801198293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08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69028871391076"/>
          <c:y val="8.5110331300092601E-2"/>
          <c:w val="0.63956741004774031"/>
          <c:h val="0.5909229120624055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Aug!$B$132:$C$132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F136-4768-8918-8D6C09E56C31}"/>
              </c:ext>
            </c:extLst>
          </c:dPt>
          <c:cat>
            <c:strRef>
              <c:f>Aug!$D$128:$G$128</c:f>
              <c:strCache>
                <c:ptCount val="4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</c:strCache>
            </c:strRef>
          </c:cat>
          <c:val>
            <c:numRef>
              <c:f>Aug!$D$132:$G$132</c:f>
              <c:numCache>
                <c:formatCode>_-* #,##0_-;\-* #,##0_-;_-* "-"??_-;_-@_-</c:formatCode>
                <c:ptCount val="4"/>
                <c:pt idx="0">
                  <c:v>188507.99</c:v>
                </c:pt>
                <c:pt idx="1">
                  <c:v>193229.71</c:v>
                </c:pt>
                <c:pt idx="2">
                  <c:v>172272.5</c:v>
                </c:pt>
                <c:pt idx="3">
                  <c:v>196320.01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36-4768-8918-8D6C09E56C31}"/>
            </c:ext>
          </c:extLst>
        </c:ser>
        <c:ser>
          <c:idx val="1"/>
          <c:order val="1"/>
          <c:tx>
            <c:strRef>
              <c:f>Aug!$B$131:$C$131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Aug!$D$128:$G$128</c:f>
              <c:strCache>
                <c:ptCount val="4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</c:strCache>
            </c:strRef>
          </c:cat>
          <c:val>
            <c:numRef>
              <c:f>Aug!$D$131:$G$131</c:f>
              <c:numCache>
                <c:formatCode>_-* #,##0_-;\-* #,##0_-;_-* "-"??_-;_-@_-</c:formatCode>
                <c:ptCount val="4"/>
                <c:pt idx="0">
                  <c:v>223918.01</c:v>
                </c:pt>
                <c:pt idx="1">
                  <c:v>176305.59999999998</c:v>
                </c:pt>
                <c:pt idx="2">
                  <c:v>181207.13</c:v>
                </c:pt>
                <c:pt idx="3">
                  <c:v>185596.59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36-4768-8918-8D6C09E56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Aug!$B$130:$C$130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Aug!$D$128:$G$128</c15:sqref>
                        </c15:formulaRef>
                      </c:ext>
                    </c:extLst>
                    <c:strCache>
                      <c:ptCount val="4"/>
                      <c:pt idx="0">
                        <c:v>WEEK 1
(Aug1-9)</c:v>
                      </c:pt>
                      <c:pt idx="1">
                        <c:v>WEEK 2
(Aug10-16)</c:v>
                      </c:pt>
                      <c:pt idx="2">
                        <c:v>WEEK 3
(Aug17-23)</c:v>
                      </c:pt>
                      <c:pt idx="3">
                        <c:v>WEEK 4
(Aug24-31)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Aug!$D$130:$G$130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2217.0100000000002</c:v>
                      </c:pt>
                      <c:pt idx="1">
                        <c:v>1745.6</c:v>
                      </c:pt>
                      <c:pt idx="2">
                        <c:v>1794.13</c:v>
                      </c:pt>
                      <c:pt idx="3">
                        <c:v>1837.59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F136-4768-8918-8D6C09E56C3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Aug!$B$133:$C$133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Aug!$D$128:$G$128</c:f>
              <c:strCache>
                <c:ptCount val="4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</c:strCache>
            </c:strRef>
          </c:cat>
          <c:val>
            <c:numRef>
              <c:f>Aug!$D$133:$G$133</c:f>
              <c:numCache>
                <c:formatCode>_-* #,##0_-;\-* #,##0_-;_-* "-"??_-;_-@_-</c:formatCode>
                <c:ptCount val="4"/>
                <c:pt idx="0">
                  <c:v>85.028028741412967</c:v>
                </c:pt>
                <c:pt idx="1">
                  <c:v>110.69529674610449</c:v>
                </c:pt>
                <c:pt idx="2">
                  <c:v>96.020076583079259</c:v>
                </c:pt>
                <c:pt idx="3">
                  <c:v>106.83558900516438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36-4768-8918-8D6C09E56C31}"/>
            </c:ext>
          </c:extLst>
        </c:ser>
        <c:ser>
          <c:idx val="4"/>
          <c:order val="4"/>
          <c:tx>
            <c:strRef>
              <c:f>Aug!$B$134:$C$134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Aug!$D$128:$G$128</c:f>
              <c:strCache>
                <c:ptCount val="4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</c:strCache>
            </c:strRef>
          </c:cat>
          <c:val>
            <c:numRef>
              <c:f>Aug!$D$134:$G$134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36-4768-8918-8D6C09E56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253760"/>
        <c:axId val="740266720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baseline="0"/>
                  <a:t>(</a:t>
                </a:r>
                <a:r>
                  <a:rPr lang="en-PH"/>
                  <a:t>Nm3)</a:t>
                </a:r>
              </a:p>
            </c:rich>
          </c:tx>
          <c:layout>
            <c:manualLayout>
              <c:xMode val="edge"/>
              <c:yMode val="edge"/>
              <c:x val="0.13632107956496156"/>
              <c:y val="0.309808368406482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740266720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53760"/>
        <c:crosses val="max"/>
        <c:crossBetween val="between"/>
      </c:valAx>
      <c:catAx>
        <c:axId val="740253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02667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Biogas Conversion (Yield) - Factoring the DS Content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94307296004804"/>
          <c:y val="7.2393844182113795E-2"/>
          <c:w val="0.64755261890531735"/>
          <c:h val="0.595684440389846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Aug!$B$174:$C$174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Aug!$D$128:$H$128</c:f>
              <c:strCache>
                <c:ptCount val="5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  <c:pt idx="4">
                  <c:v>Jan-00</c:v>
                </c:pt>
              </c:strCache>
            </c:strRef>
          </c:cat>
          <c:val>
            <c:numRef>
              <c:f>Aug!$D$174:$G$174</c:f>
              <c:numCache>
                <c:formatCode>_-* #,##0_-;\-* #,##0_-;_-* "-"??_-;_-@_-</c:formatCode>
                <c:ptCount val="4"/>
                <c:pt idx="0">
                  <c:v>188507.99</c:v>
                </c:pt>
                <c:pt idx="1">
                  <c:v>193229.71</c:v>
                </c:pt>
                <c:pt idx="2">
                  <c:v>172272.5</c:v>
                </c:pt>
                <c:pt idx="3">
                  <c:v>196320.01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5-4DFF-9FD2-3CFFB1831595}"/>
            </c:ext>
          </c:extLst>
        </c:ser>
        <c:ser>
          <c:idx val="1"/>
          <c:order val="1"/>
          <c:tx>
            <c:strRef>
              <c:f>Aug!$B$173:$C$173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Aug!$D$128:$H$128</c:f>
              <c:strCache>
                <c:ptCount val="5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  <c:pt idx="4">
                  <c:v>Jan-00</c:v>
                </c:pt>
              </c:strCache>
            </c:strRef>
          </c:cat>
          <c:val>
            <c:numRef>
              <c:f>Aug!$D$173:$G$173</c:f>
              <c:numCache>
                <c:formatCode>_-* #,##0_-;\-* #,##0_-;_-* "-"??_-;_-@_-</c:formatCode>
                <c:ptCount val="4"/>
                <c:pt idx="0">
                  <c:v>222958.36138571429</c:v>
                </c:pt>
                <c:pt idx="1">
                  <c:v>175927.80228571428</c:v>
                </c:pt>
                <c:pt idx="2">
                  <c:v>181012.97950357143</c:v>
                </c:pt>
                <c:pt idx="3">
                  <c:v>185132.59852499998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45-4DFF-9FD2-3CFFB1831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Aug!$B$130:$C$130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Aug!$D$128:$H$128</c15:sqref>
                        </c15:formulaRef>
                      </c:ext>
                    </c:extLst>
                    <c:strCache>
                      <c:ptCount val="5"/>
                      <c:pt idx="0">
                        <c:v>WEEK 1
(Aug1-9)</c:v>
                      </c:pt>
                      <c:pt idx="1">
                        <c:v>WEEK 2
(Aug10-16)</c:v>
                      </c:pt>
                      <c:pt idx="2">
                        <c:v>WEEK 3
(Aug17-23)</c:v>
                      </c:pt>
                      <c:pt idx="3">
                        <c:v>WEEK 4
(Aug24-31)</c:v>
                      </c:pt>
                      <c:pt idx="4">
                        <c:v>Jan-00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Aug!$D$130:$G$130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2217.0100000000002</c:v>
                      </c:pt>
                      <c:pt idx="1">
                        <c:v>1745.6</c:v>
                      </c:pt>
                      <c:pt idx="2">
                        <c:v>1794.13</c:v>
                      </c:pt>
                      <c:pt idx="3">
                        <c:v>1837.59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6E45-4DFF-9FD2-3CFFB183159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Aug!$B$176:$C$176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2.0278921618298227E-2"/>
                  <c:y val="-3.1348240859611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45-4DFF-9FD2-3CFFB1831595}"/>
                </c:ext>
              </c:extLst>
            </c:dLbl>
            <c:dLbl>
              <c:idx val="1"/>
              <c:layout>
                <c:manualLayout>
                  <c:x val="-1.3075589999027718E-3"/>
                  <c:y val="-2.4146229705798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45-4DFF-9FD2-3CFFB1831595}"/>
                </c:ext>
              </c:extLst>
            </c:dLbl>
            <c:dLbl>
              <c:idx val="2"/>
              <c:layout>
                <c:manualLayout>
                  <c:x val="-2.4536084465953872E-2"/>
                  <c:y val="-2.6102545666180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45-4DFF-9FD2-3CFFB18315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Aug!$D$128:$H$128</c:f>
              <c:strCache>
                <c:ptCount val="5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  <c:pt idx="4">
                  <c:v>Jan-00</c:v>
                </c:pt>
              </c:strCache>
            </c:strRef>
          </c:cat>
          <c:val>
            <c:numRef>
              <c:f>Aug!$D$176:$G$176</c:f>
              <c:numCache>
                <c:formatCode>_-* #,##0_-;\-* #,##0_-;_-* "-"??_-;_-@_-</c:formatCode>
                <c:ptCount val="4"/>
                <c:pt idx="0">
                  <c:v>85.394003040156505</c:v>
                </c:pt>
                <c:pt idx="1">
                  <c:v>110.93301033968955</c:v>
                </c:pt>
                <c:pt idx="2">
                  <c:v>96.123065581917032</c:v>
                </c:pt>
                <c:pt idx="3">
                  <c:v>107.10334737359838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45-4DFF-9FD2-3CFFB1831595}"/>
            </c:ext>
          </c:extLst>
        </c:ser>
        <c:ser>
          <c:idx val="4"/>
          <c:order val="4"/>
          <c:tx>
            <c:strRef>
              <c:f>Aug!$B$177:$C$177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Aug!$D$128:$H$128</c:f>
              <c:strCache>
                <c:ptCount val="5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  <c:pt idx="4">
                  <c:v>Jan-00</c:v>
                </c:pt>
              </c:strCache>
            </c:strRef>
          </c:cat>
          <c:val>
            <c:numRef>
              <c:f>Aug!$D$177:$G$177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45-4DFF-9FD2-3CFFB1831595}"/>
            </c:ext>
          </c:extLst>
        </c:ser>
        <c:ser>
          <c:idx val="5"/>
          <c:order val="5"/>
          <c:tx>
            <c:strRef>
              <c:f>Aug!$B$175</c:f>
              <c:strCache>
                <c:ptCount val="1"/>
                <c:pt idx="0">
                  <c:v>%DS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Aug!$D$128:$H$128</c:f>
              <c:strCache>
                <c:ptCount val="5"/>
                <c:pt idx="0">
                  <c:v>WEEK 1
(Aug1-9)</c:v>
                </c:pt>
                <c:pt idx="1">
                  <c:v>WEEK 2
(Aug10-16)</c:v>
                </c:pt>
                <c:pt idx="2">
                  <c:v>WEEK 3
(Aug17-23)</c:v>
                </c:pt>
                <c:pt idx="3">
                  <c:v>WEEK 4
(Aug24-31)</c:v>
                </c:pt>
                <c:pt idx="4">
                  <c:v>Jan-00</c:v>
                </c:pt>
              </c:strCache>
            </c:strRef>
          </c:cat>
          <c:val>
            <c:numRef>
              <c:f>Aug!$D$175:$G$175</c:f>
              <c:numCache>
                <c:formatCode>_(* #,##0.00_);_(* \(#,##0.00\);_(* "-"??_);_(@_)</c:formatCode>
                <c:ptCount val="4"/>
                <c:pt idx="0">
                  <c:v>13.94</c:v>
                </c:pt>
                <c:pt idx="1">
                  <c:v>13.97</c:v>
                </c:pt>
                <c:pt idx="2">
                  <c:v>13.984999999999999</c:v>
                </c:pt>
                <c:pt idx="3">
                  <c:v>13.965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45-4DFF-9FD2-3CFFB1831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</a:t>
                </a:r>
              </a:p>
            </c:rich>
          </c:tx>
          <c:layout>
            <c:manualLayout>
              <c:xMode val="edge"/>
              <c:yMode val="edge"/>
              <c:x val="0.1338963604146387"/>
              <c:y val="0.38583079407906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Nm3/ton</a:t>
                </a:r>
              </a:p>
            </c:rich>
          </c:tx>
          <c:layout>
            <c:manualLayout>
              <c:xMode val="edge"/>
              <c:yMode val="edge"/>
              <c:x val="0.95544679367650542"/>
              <c:y val="0.412100607226448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037413340212502"/>
          <c:y val="0.11640982453860035"/>
          <c:w val="0.74370088205263363"/>
          <c:h val="0.45822964421204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Sep!$B$36:$C$36</c:f>
              <c:strCache>
                <c:ptCount val="2"/>
                <c:pt idx="0">
                  <c:v>Delivered (DPO)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Sep!$D$34:$H$34</c:f>
              <c:strCache>
                <c:ptCount val="4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</c:strCache>
            </c:strRef>
          </c:cat>
          <c:val>
            <c:numRef>
              <c:f>Sep!$D$36:$G$36</c:f>
              <c:numCache>
                <c:formatCode>_-* #,##0_-;\-* #,##0_-;_-* "-"??_-;_-@_-</c:formatCode>
                <c:ptCount val="4"/>
                <c:pt idx="0">
                  <c:v>1725.57</c:v>
                </c:pt>
                <c:pt idx="1">
                  <c:v>1454.34</c:v>
                </c:pt>
                <c:pt idx="2">
                  <c:v>1239.49</c:v>
                </c:pt>
                <c:pt idx="3">
                  <c:v>2215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9-4192-BDAB-98F7C250723F}"/>
            </c:ext>
          </c:extLst>
        </c:ser>
        <c:ser>
          <c:idx val="2"/>
          <c:order val="1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Jul!$D$34:$H$34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'Mar actual FM vol'!$D$37:$H$37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6329-4192-BDAB-98F7C250723F}"/>
            </c:ext>
          </c:extLst>
        </c:ser>
        <c:ser>
          <c:idx val="5"/>
          <c:order val="4"/>
          <c:tx>
            <c:strRef>
              <c:f>Sep!$B$37</c:f>
              <c:strCache>
                <c:ptCount val="1"/>
                <c:pt idx="0">
                  <c:v>Diverted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Sep!$D$34:$H$34</c:f>
              <c:strCache>
                <c:ptCount val="4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</c:strCache>
            </c:strRef>
          </c:cat>
          <c:val>
            <c:numRef>
              <c:f>Sep!$D$37:$G$37</c:f>
              <c:numCache>
                <c:formatCode>_-* #,##0.0_-;\-* #,##0.0_-;_-* "-"??_-;_-@_-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6329-4192-BDAB-98F7C2507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"/>
        <c:axId val="1931926304"/>
        <c:axId val="1732677184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Sep!$B$40:$C$40</c15:sqref>
                        </c15:formulaRef>
                      </c:ext>
                    </c:extLst>
                    <c:strCache>
                      <c:ptCount val="2"/>
                      <c:pt idx="0">
                        <c:v>Monthly Accumulative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Sep!$D$34:$H$34</c15:sqref>
                        </c15:formulaRef>
                      </c:ext>
                    </c:extLst>
                    <c:strCache>
                      <c:ptCount val="4"/>
                      <c:pt idx="0">
                        <c:v>WEEK 1
(Sep1-6)</c:v>
                      </c:pt>
                      <c:pt idx="1">
                        <c:v>WEEK 2
(Sep7-13)</c:v>
                      </c:pt>
                      <c:pt idx="2">
                        <c:v>WEEK 3
(Sep14-20)</c:v>
                      </c:pt>
                      <c:pt idx="3">
                        <c:v>WEEK 4
(Sep21-30)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Sep!$D$40:$H$40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1725.57</c:v>
                      </c:pt>
                      <c:pt idx="1">
                        <c:v>3179.91</c:v>
                      </c:pt>
                      <c:pt idx="2">
                        <c:v>4419.3999999999996</c:v>
                      </c:pt>
                      <c:pt idx="3">
                        <c:v>6634.4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6329-4192-BDAB-98F7C250723F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3"/>
          <c:tx>
            <c:strRef>
              <c:f>Sep!$B$41:$C$41</c:f>
              <c:strCache>
                <c:ptCount val="2"/>
                <c:pt idx="0">
                  <c:v>Target to Reach SCA Minimum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Sep!$D$34:$H$34</c:f>
              <c:strCache>
                <c:ptCount val="4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</c:strCache>
            </c:strRef>
          </c:cat>
          <c:val>
            <c:numRef>
              <c:f>Sep!$D$41:$G$41</c:f>
              <c:numCache>
                <c:formatCode>_-* #,##0_-;\-* #,##0_-;_-* "-"??_-;_-@_-</c:formatCode>
                <c:ptCount val="4"/>
                <c:pt idx="0">
                  <c:v>3082.076</c:v>
                </c:pt>
                <c:pt idx="1">
                  <c:v>4952.2613333333338</c:v>
                </c:pt>
                <c:pt idx="2">
                  <c:v>7093.6766666666681</c:v>
                </c:pt>
                <c:pt idx="3">
                  <c:v>10990.980000000001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329-4192-BDAB-98F7C250723F}"/>
            </c:ext>
          </c:extLst>
        </c:ser>
        <c:ser>
          <c:idx val="6"/>
          <c:order val="5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Jul!$D$34:$H$34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'Mar actual FM vol'!$D$37:$H$37</c:f>
            </c:numRef>
          </c:val>
          <c:smooth val="0"/>
          <c:extLst>
            <c:ext xmlns:c16="http://schemas.microsoft.com/office/drawing/2014/chart" uri="{C3380CC4-5D6E-409C-BE32-E72D297353CC}">
              <c16:uniqueId val="{00000004-6329-4192-BDAB-98F7C2507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6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931926304"/>
        <c:axId val="1732677184"/>
      </c:lineChart>
      <c:catAx>
        <c:axId val="193192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77184"/>
        <c:crosses val="autoZero"/>
        <c:auto val="1"/>
        <c:lblAlgn val="ctr"/>
        <c:lblOffset val="100"/>
        <c:noMultiLvlLbl val="1"/>
      </c:catAx>
      <c:valAx>
        <c:axId val="1732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MT</a:t>
                </a:r>
              </a:p>
            </c:rich>
          </c:tx>
          <c:layout>
            <c:manualLayout>
              <c:xMode val="edge"/>
              <c:yMode val="edge"/>
              <c:x val="0.19272070118622903"/>
              <c:y val="0.24359459230956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263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279257464172775"/>
          <c:y val="0.10060281860125968"/>
          <c:w val="0.67317823439612146"/>
          <c:h val="0.34991922607897613"/>
        </c:manualLayout>
      </c:layout>
      <c:barChart>
        <c:barDir val="col"/>
        <c:grouping val="stacked"/>
        <c:varyColors val="0"/>
        <c:ser>
          <c:idx val="7"/>
          <c:order val="0"/>
          <c:tx>
            <c:strRef>
              <c:f>Sep!$B$116:$C$116</c:f>
              <c:strCache>
                <c:ptCount val="2"/>
                <c:pt idx="0">
                  <c:v>CO2 Operation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Sep!$D$113:$H$113</c:f>
              <c:strCache>
                <c:ptCount val="4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</c:strCache>
            </c:strRef>
          </c:cat>
          <c:val>
            <c:numRef>
              <c:f>Sep!$D$116:$G$116</c:f>
              <c:numCache>
                <c:formatCode>_-* #,##0_-;\-* #,##0_-;_-* "-"??_-;_-@_-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9910-498A-9B5A-3818528C4248}"/>
            </c:ext>
          </c:extLst>
        </c:ser>
        <c:ser>
          <c:idx val="1"/>
          <c:order val="1"/>
          <c:tx>
            <c:strRef>
              <c:f>Sep!$B$117:$C$117</c:f>
              <c:strCache>
                <c:ptCount val="2"/>
                <c:pt idx="0">
                  <c:v>Flared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Sep!$D$113:$H$113</c:f>
              <c:strCache>
                <c:ptCount val="4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</c:strCache>
            </c:strRef>
          </c:cat>
          <c:val>
            <c:numRef>
              <c:f>Sep!$D$117:$G$117</c:f>
              <c:numCache>
                <c:formatCode>_-* #,##0_-;\-* #,##0_-;_-* "-"??_-;_-@_-</c:formatCode>
                <c:ptCount val="4"/>
                <c:pt idx="0">
                  <c:v>16696</c:v>
                </c:pt>
                <c:pt idx="1">
                  <c:v>14168</c:v>
                </c:pt>
                <c:pt idx="2">
                  <c:v>5084</c:v>
                </c:pt>
                <c:pt idx="3">
                  <c:v>13784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10-498A-9B5A-3818528C4248}"/>
            </c:ext>
          </c:extLst>
        </c:ser>
        <c:ser>
          <c:idx val="0"/>
          <c:order val="2"/>
          <c:tx>
            <c:strRef>
              <c:f>Sep!$B$114:$C$114</c:f>
              <c:strCache>
                <c:ptCount val="2"/>
                <c:pt idx="0">
                  <c:v>Delivered to Boilers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Sep!$D$113:$H$113</c:f>
              <c:strCache>
                <c:ptCount val="4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</c:strCache>
            </c:strRef>
          </c:cat>
          <c:val>
            <c:numRef>
              <c:f>Sep!$D$114:$G$114</c:f>
              <c:numCache>
                <c:formatCode>_-* #,##0_-;\-* #,##0_-;_-* "-"??_-;_-@_-</c:formatCode>
                <c:ptCount val="4"/>
                <c:pt idx="0">
                  <c:v>95184</c:v>
                </c:pt>
                <c:pt idx="1">
                  <c:v>99875</c:v>
                </c:pt>
                <c:pt idx="2">
                  <c:v>83860</c:v>
                </c:pt>
                <c:pt idx="3">
                  <c:v>194133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10-498A-9B5A-3818528C4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786448"/>
        <c:axId val="1745592720"/>
        <c:extLst/>
      </c:barChart>
      <c:lineChart>
        <c:grouping val="standard"/>
        <c:varyColors val="0"/>
        <c:ser>
          <c:idx val="4"/>
          <c:order val="5"/>
          <c:tx>
            <c:strRef>
              <c:f>Sep!$B$121:$C$121</c:f>
              <c:strCache>
                <c:ptCount val="2"/>
                <c:pt idx="0">
                  <c:v>Target to Reach SCA (Boiler)</c:v>
                </c:pt>
                <c:pt idx="1">
                  <c:v>(Nm3)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Sep!$D$113:$H$113</c:f>
              <c:strCache>
                <c:ptCount val="4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</c:strCache>
            </c:strRef>
          </c:cat>
          <c:val>
            <c:numRef>
              <c:f>Sep!$D$121:$G$121</c:f>
              <c:numCache>
                <c:formatCode>_-* #,##0_-;\-* #,##0_-;_-* "-"??_-;_-@_-</c:formatCode>
                <c:ptCount val="4"/>
                <c:pt idx="0">
                  <c:v>321894.0414746544</c:v>
                </c:pt>
                <c:pt idx="1">
                  <c:v>477072.07373271894</c:v>
                </c:pt>
                <c:pt idx="2">
                  <c:v>627559.10599078343</c:v>
                </c:pt>
                <c:pt idx="3">
                  <c:v>829827.14285714296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10-498A-9B5A-3818528C4248}"/>
            </c:ext>
          </c:extLst>
        </c:ser>
        <c:ser>
          <c:idx val="6"/>
          <c:order val="6"/>
          <c:tx>
            <c:strRef>
              <c:f>Sep!$B$120:$C$120</c:f>
              <c:strCache>
                <c:ptCount val="2"/>
                <c:pt idx="0">
                  <c:v>Target Gas based on Delivered Substrates</c:v>
                </c:pt>
                <c:pt idx="1">
                  <c:v>(Nm3)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Sep!$D$113:$H$113</c:f>
              <c:strCache>
                <c:ptCount val="4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</c:strCache>
              <c:extLst xmlns:c15="http://schemas.microsoft.com/office/drawing/2012/chart"/>
            </c:strRef>
          </c:cat>
          <c:val>
            <c:numRef>
              <c:f>Sep!$D$120:$G$120</c:f>
              <c:numCache>
                <c:formatCode>_-* #,##0_-;\-* #,##0_-;_-* "-"??_-;_-@_-</c:formatCode>
                <c:ptCount val="4"/>
                <c:pt idx="0">
                  <c:v>136672.39139400001</c:v>
                </c:pt>
                <c:pt idx="1">
                  <c:v>115189.836228</c:v>
                </c:pt>
                <c:pt idx="2">
                  <c:v>98172.813858000009</c:v>
                </c:pt>
                <c:pt idx="3">
                  <c:v>175437.30300000001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910-498A-9B5A-3818528C4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786448"/>
        <c:axId val="1745592720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Sep!$B$118:$C$118</c15:sqref>
                        </c15:formulaRef>
                      </c:ext>
                    </c:extLst>
                    <c:strCache>
                      <c:ptCount val="2"/>
                      <c:pt idx="0">
                        <c:v>Total Produced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Sep!$D$113:$H$113</c15:sqref>
                        </c15:formulaRef>
                      </c:ext>
                    </c:extLst>
                    <c:strCache>
                      <c:ptCount val="4"/>
                      <c:pt idx="0">
                        <c:v>WEEK 1
(Sep1-6)</c:v>
                      </c:pt>
                      <c:pt idx="1">
                        <c:v>WEEK 2
(Sep7-13)</c:v>
                      </c:pt>
                      <c:pt idx="2">
                        <c:v>WEEK 3
(Sep14-20)</c:v>
                      </c:pt>
                      <c:pt idx="3">
                        <c:v>WEEK 4
(Sep21-30)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Sep!$D$118:$G$118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172525.03999999998</c:v>
                      </c:pt>
                      <c:pt idx="1">
                        <c:v>143730.54999999999</c:v>
                      </c:pt>
                      <c:pt idx="2">
                        <c:v>110234.53</c:v>
                      </c:pt>
                      <c:pt idx="3">
                        <c:v>237630.87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910-498A-9B5A-3818528C4248}"/>
                  </c:ext>
                </c:extLst>
              </c15:ser>
            </c15:filteredLineSeries>
            <c15:filteredLine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Sep!$B$119:$C$119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Sep!$D$113:$H$113</c15:sqref>
                        </c15:formulaRef>
                      </c:ext>
                    </c:extLst>
                    <c:strCache>
                      <c:ptCount val="4"/>
                      <c:pt idx="0">
                        <c:v>WEEK 1
(Sep1-6)</c:v>
                      </c:pt>
                      <c:pt idx="1">
                        <c:v>WEEK 2
(Sep7-13)</c:v>
                      </c:pt>
                      <c:pt idx="2">
                        <c:v>WEEK 3
(Sep14-20)</c:v>
                      </c:pt>
                      <c:pt idx="3">
                        <c:v>WEEK 4
(Sep21-30)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Sep!$D$119:$G$119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95184</c:v>
                      </c:pt>
                      <c:pt idx="1">
                        <c:v>195059</c:v>
                      </c:pt>
                      <c:pt idx="2">
                        <c:v>278919</c:v>
                      </c:pt>
                      <c:pt idx="3">
                        <c:v>473052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910-498A-9B5A-3818528C4248}"/>
                  </c:ext>
                </c:extLst>
              </c15:ser>
            </c15:filteredLineSeries>
          </c:ext>
        </c:extLst>
      </c:lineChart>
      <c:catAx>
        <c:axId val="17237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92720"/>
        <c:crosses val="autoZero"/>
        <c:auto val="1"/>
        <c:lblAlgn val="ctr"/>
        <c:lblOffset val="100"/>
        <c:noMultiLvlLbl val="1"/>
      </c:catAx>
      <c:valAx>
        <c:axId val="17455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(Nm3)</a:t>
                </a:r>
              </a:p>
            </c:rich>
          </c:tx>
          <c:layout>
            <c:manualLayout>
              <c:xMode val="edge"/>
              <c:yMode val="edge"/>
              <c:x val="0.1572054197817343"/>
              <c:y val="0.21039484932677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86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7081569440655"/>
          <c:y val="0.12528405766264164"/>
          <c:w val="0.77286261321270178"/>
          <c:h val="0.59436211738049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Sep!$B$78:$C$78</c:f>
              <c:strCache>
                <c:ptCount val="2"/>
                <c:pt idx="0">
                  <c:v>Delivered</c:v>
                </c:pt>
                <c:pt idx="1">
                  <c:v>(kWh)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Sep!$D$77:$H$77</c:f>
              <c:strCache>
                <c:ptCount val="4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</c:strCache>
            </c:strRef>
          </c:cat>
          <c:val>
            <c:numRef>
              <c:f>Sep!$D$78:$G$78</c:f>
              <c:numCache>
                <c:formatCode>_-* #,##0_-;\-* #,##0_-;_-* "-"??_-;_-@_-</c:formatCode>
                <c:ptCount val="4"/>
                <c:pt idx="0">
                  <c:v>129032</c:v>
                </c:pt>
                <c:pt idx="1">
                  <c:v>63165</c:v>
                </c:pt>
                <c:pt idx="2">
                  <c:v>45299</c:v>
                </c:pt>
                <c:pt idx="3">
                  <c:v>63221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9-4937-A16E-36AEC14FE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05608704"/>
        <c:axId val="305574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Sep!$B$79:$C$79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(kWh)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Sep!$D$77:$H$77</c15:sqref>
                        </c15:formulaRef>
                      </c:ext>
                    </c:extLst>
                    <c:strCache>
                      <c:ptCount val="4"/>
                      <c:pt idx="0">
                        <c:v>WEEK 1
(Sep1-6)</c:v>
                      </c:pt>
                      <c:pt idx="1">
                        <c:v>WEEK 2
(Sep7-13)</c:v>
                      </c:pt>
                      <c:pt idx="2">
                        <c:v>WEEK 3
(Sep14-20)</c:v>
                      </c:pt>
                      <c:pt idx="3">
                        <c:v>WEEK 4
(Sep21-30)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Sep!$D$79:$G$79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129032</c:v>
                      </c:pt>
                      <c:pt idx="1">
                        <c:v>192197</c:v>
                      </c:pt>
                      <c:pt idx="2">
                        <c:v>237496</c:v>
                      </c:pt>
                      <c:pt idx="3">
                        <c:v>300717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6D9-4937-A16E-36AEC14FE51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Sep!$B$80:$C$80</c:f>
              <c:strCache>
                <c:ptCount val="2"/>
                <c:pt idx="0">
                  <c:v>Target to Reach SCA Minimum </c:v>
                </c:pt>
                <c:pt idx="1">
                  <c:v>(kWh)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Sep!$D$77:$H$77</c:f>
              <c:strCache>
                <c:ptCount val="4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</c:strCache>
            </c:strRef>
          </c:cat>
          <c:val>
            <c:numRef>
              <c:f>Sep!$D$80:$G$80</c:f>
              <c:numCache>
                <c:formatCode>_-* #,##0_-;\-* #,##0_-;_-* "-"??_-;_-@_-</c:formatCode>
                <c:ptCount val="4"/>
                <c:pt idx="0">
                  <c:v>212803.65714285712</c:v>
                </c:pt>
                <c:pt idx="1">
                  <c:v>332042.59047619044</c:v>
                </c:pt>
                <c:pt idx="2">
                  <c:v>517148.52380952379</c:v>
                </c:pt>
                <c:pt idx="3">
                  <c:v>826522.28571428568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6D9-4937-A16E-36AEC14FE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08704"/>
        <c:axId val="305574416"/>
        <c:extLst/>
      </c:lineChart>
      <c:catAx>
        <c:axId val="3056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4416"/>
        <c:crosses val="autoZero"/>
        <c:auto val="1"/>
        <c:lblAlgn val="ctr"/>
        <c:lblOffset val="100"/>
        <c:noMultiLvlLbl val="1"/>
      </c:catAx>
      <c:valAx>
        <c:axId val="3055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kWh</a:t>
                </a:r>
              </a:p>
            </c:rich>
          </c:tx>
          <c:layout>
            <c:manualLayout>
              <c:xMode val="edge"/>
              <c:yMode val="edge"/>
              <c:x val="0.16530445088964488"/>
              <c:y val="0.35705801198293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08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69028871391076"/>
          <c:y val="8.5110331300092601E-2"/>
          <c:w val="0.63956741004774031"/>
          <c:h val="0.5909229120624055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Sep!$B$132:$C$132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327-4D10-894A-7C3B345D25AA}"/>
              </c:ext>
            </c:extLst>
          </c:dPt>
          <c:cat>
            <c:strRef>
              <c:f>Sep!$D$128:$G$128</c:f>
              <c:strCache>
                <c:ptCount val="4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</c:strCache>
            </c:strRef>
          </c:cat>
          <c:val>
            <c:numRef>
              <c:f>Sep!$D$132:$G$132</c:f>
              <c:numCache>
                <c:formatCode>_-* #,##0_-;\-* #,##0_-;_-* "-"??_-;_-@_-</c:formatCode>
                <c:ptCount val="4"/>
                <c:pt idx="0">
                  <c:v>172525.03999999998</c:v>
                </c:pt>
                <c:pt idx="1">
                  <c:v>143730.54999999999</c:v>
                </c:pt>
                <c:pt idx="2">
                  <c:v>110234.53</c:v>
                </c:pt>
                <c:pt idx="3">
                  <c:v>237630.87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27-4D10-894A-7C3B345D25AA}"/>
            </c:ext>
          </c:extLst>
        </c:ser>
        <c:ser>
          <c:idx val="1"/>
          <c:order val="1"/>
          <c:tx>
            <c:strRef>
              <c:f>Sep!$B$131:$C$131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Sep!$D$128:$G$128</c:f>
              <c:strCache>
                <c:ptCount val="4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</c:strCache>
            </c:strRef>
          </c:cat>
          <c:val>
            <c:numRef>
              <c:f>Sep!$D$131:$G$131</c:f>
              <c:numCache>
                <c:formatCode>_-* #,##0_-;\-* #,##0_-;_-* "-"??_-;_-@_-</c:formatCode>
                <c:ptCount val="4"/>
                <c:pt idx="0">
                  <c:v>174282.57</c:v>
                </c:pt>
                <c:pt idx="1">
                  <c:v>146888.34</c:v>
                </c:pt>
                <c:pt idx="2">
                  <c:v>125188.49</c:v>
                </c:pt>
                <c:pt idx="3">
                  <c:v>223715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27-4D10-894A-7C3B345D2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Sep!$B$130:$C$130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Sep!$D$128:$G$128</c15:sqref>
                        </c15:formulaRef>
                      </c:ext>
                    </c:extLst>
                    <c:strCache>
                      <c:ptCount val="4"/>
                      <c:pt idx="0">
                        <c:v>WEEK 1
(Sep1-6)</c:v>
                      </c:pt>
                      <c:pt idx="1">
                        <c:v>WEEK 2
(Sep7-13)</c:v>
                      </c:pt>
                      <c:pt idx="2">
                        <c:v>WEEK 3
(Sep14-20)</c:v>
                      </c:pt>
                      <c:pt idx="3">
                        <c:v>WEEK 4
(Sep21-30)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Sep!$D$130:$G$130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1725.57</c:v>
                      </c:pt>
                      <c:pt idx="1">
                        <c:v>1454.34</c:v>
                      </c:pt>
                      <c:pt idx="2">
                        <c:v>1239.49</c:v>
                      </c:pt>
                      <c:pt idx="3">
                        <c:v>2215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7327-4D10-894A-7C3B345D25A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Sep!$B$133:$C$133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Sep!$D$128:$G$128</c:f>
              <c:strCache>
                <c:ptCount val="4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</c:strCache>
            </c:strRef>
          </c:cat>
          <c:val>
            <c:numRef>
              <c:f>Sep!$D$133:$G$133</c:f>
              <c:numCache>
                <c:formatCode>_-* #,##0_-;\-* #,##0_-;_-* "-"??_-;_-@_-</c:formatCode>
                <c:ptCount val="4"/>
                <c:pt idx="0">
                  <c:v>99.981478583888219</c:v>
                </c:pt>
                <c:pt idx="1">
                  <c:v>98.828712680666143</c:v>
                </c:pt>
                <c:pt idx="2">
                  <c:v>88.935392782515393</c:v>
                </c:pt>
                <c:pt idx="3">
                  <c:v>107.28255981941309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27-4D10-894A-7C3B345D25AA}"/>
            </c:ext>
          </c:extLst>
        </c:ser>
        <c:ser>
          <c:idx val="4"/>
          <c:order val="4"/>
          <c:tx>
            <c:strRef>
              <c:f>Sep!$B$134:$C$134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Sep!$D$128:$G$128</c:f>
              <c:strCache>
                <c:ptCount val="4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</c:strCache>
            </c:strRef>
          </c:cat>
          <c:val>
            <c:numRef>
              <c:f>Sep!$D$134:$G$134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27-4D10-894A-7C3B345D2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253760"/>
        <c:axId val="740266720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baseline="0"/>
                  <a:t>(</a:t>
                </a:r>
                <a:r>
                  <a:rPr lang="en-PH"/>
                  <a:t>Nm3)</a:t>
                </a:r>
              </a:p>
            </c:rich>
          </c:tx>
          <c:layout>
            <c:manualLayout>
              <c:xMode val="edge"/>
              <c:yMode val="edge"/>
              <c:x val="0.13632107956496156"/>
              <c:y val="0.309808368406482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740266720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53760"/>
        <c:crosses val="max"/>
        <c:crossBetween val="between"/>
      </c:valAx>
      <c:catAx>
        <c:axId val="740253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02667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Biogas Conversion (Yield) - Factoring the DS Content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94307296004804"/>
          <c:y val="7.2393844182113795E-2"/>
          <c:w val="0.64755261890531735"/>
          <c:h val="0.595684440389846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Sep!$B$174:$C$174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Sep!$D$128:$H$128</c:f>
              <c:strCache>
                <c:ptCount val="5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  <c:pt idx="4">
                  <c:v>Jan-00</c:v>
                </c:pt>
              </c:strCache>
            </c:strRef>
          </c:cat>
          <c:val>
            <c:numRef>
              <c:f>Sep!$D$174:$G$174</c:f>
              <c:numCache>
                <c:formatCode>_-* #,##0_-;\-* #,##0_-;_-* "-"??_-;_-@_-</c:formatCode>
                <c:ptCount val="4"/>
                <c:pt idx="0">
                  <c:v>172525.03999999998</c:v>
                </c:pt>
                <c:pt idx="1">
                  <c:v>143730.54999999999</c:v>
                </c:pt>
                <c:pt idx="2">
                  <c:v>110234.53</c:v>
                </c:pt>
                <c:pt idx="3">
                  <c:v>237630.87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3-46F0-A3E7-2C27E53C65E9}"/>
            </c:ext>
          </c:extLst>
        </c:ser>
        <c:ser>
          <c:idx val="1"/>
          <c:order val="1"/>
          <c:tx>
            <c:strRef>
              <c:f>Sep!$B$173:$C$173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Sep!$D$128:$H$128</c:f>
              <c:strCache>
                <c:ptCount val="5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  <c:pt idx="4">
                  <c:v>Jan-00</c:v>
                </c:pt>
              </c:strCache>
            </c:strRef>
          </c:cat>
          <c:val>
            <c:numRef>
              <c:f>Sep!$D$173:$G$173</c:f>
              <c:numCache>
                <c:formatCode>_-* #,##0_-;\-* #,##0_-;_-* "-"??_-;_-@_-</c:formatCode>
                <c:ptCount val="4"/>
                <c:pt idx="0">
                  <c:v>173535.64469999998</c:v>
                </c:pt>
                <c:pt idx="1">
                  <c:v>145576.8369642857</c:v>
                </c:pt>
                <c:pt idx="2">
                  <c:v>123587.865735</c:v>
                </c:pt>
                <c:pt idx="3">
                  <c:v>222916.01785714281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13-46F0-A3E7-2C27E53C6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Sep!$B$130:$C$130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Sep!$D$128:$H$128</c15:sqref>
                        </c15:formulaRef>
                      </c:ext>
                    </c:extLst>
                    <c:strCache>
                      <c:ptCount val="5"/>
                      <c:pt idx="0">
                        <c:v>WEEK 1
(Sep1-6)</c:v>
                      </c:pt>
                      <c:pt idx="1">
                        <c:v>WEEK 2
(Sep7-13)</c:v>
                      </c:pt>
                      <c:pt idx="2">
                        <c:v>WEEK 3
(Sep14-20)</c:v>
                      </c:pt>
                      <c:pt idx="3">
                        <c:v>WEEK 4
(Sep21-30)</c:v>
                      </c:pt>
                      <c:pt idx="4">
                        <c:v>Jan-00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Sep!$D$130:$G$130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1725.57</c:v>
                      </c:pt>
                      <c:pt idx="1">
                        <c:v>1454.34</c:v>
                      </c:pt>
                      <c:pt idx="2">
                        <c:v>1239.49</c:v>
                      </c:pt>
                      <c:pt idx="3">
                        <c:v>2215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B713-46F0-A3E7-2C27E53C65E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Sep!$B$176:$C$176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2.0278921618298227E-2"/>
                  <c:y val="-3.1348240859611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13-46F0-A3E7-2C27E53C65E9}"/>
                </c:ext>
              </c:extLst>
            </c:dLbl>
            <c:dLbl>
              <c:idx val="1"/>
              <c:layout>
                <c:manualLayout>
                  <c:x val="-1.3075589999027718E-3"/>
                  <c:y val="-2.4146229705798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13-46F0-A3E7-2C27E53C65E9}"/>
                </c:ext>
              </c:extLst>
            </c:dLbl>
            <c:dLbl>
              <c:idx val="2"/>
              <c:layout>
                <c:manualLayout>
                  <c:x val="-2.4536084465953872E-2"/>
                  <c:y val="-2.6102545666180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13-46F0-A3E7-2C27E53C65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Sep!$D$128:$H$128</c:f>
              <c:strCache>
                <c:ptCount val="5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  <c:pt idx="4">
                  <c:v>Jan-00</c:v>
                </c:pt>
              </c:strCache>
            </c:strRef>
          </c:cat>
          <c:val>
            <c:numRef>
              <c:f>Sep!$D$176:$G$176</c:f>
              <c:numCache>
                <c:formatCode>_-* #,##0_-;\-* #,##0_-;_-* "-"??_-;_-@_-</c:formatCode>
                <c:ptCount val="4"/>
                <c:pt idx="0">
                  <c:v>100.41181493360367</c:v>
                </c:pt>
                <c:pt idx="1">
                  <c:v>99.719061443555034</c:v>
                </c:pt>
                <c:pt idx="2">
                  <c:v>90.087222267217669</c:v>
                </c:pt>
                <c:pt idx="3">
                  <c:v>107.66708512342534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13-46F0-A3E7-2C27E53C65E9}"/>
            </c:ext>
          </c:extLst>
        </c:ser>
        <c:ser>
          <c:idx val="4"/>
          <c:order val="4"/>
          <c:tx>
            <c:strRef>
              <c:f>Sep!$B$177:$C$177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Sep!$D$128:$H$128</c:f>
              <c:strCache>
                <c:ptCount val="5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  <c:pt idx="4">
                  <c:v>Jan-00</c:v>
                </c:pt>
              </c:strCache>
            </c:strRef>
          </c:cat>
          <c:val>
            <c:numRef>
              <c:f>Sep!$D$177:$G$177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13-46F0-A3E7-2C27E53C65E9}"/>
            </c:ext>
          </c:extLst>
        </c:ser>
        <c:ser>
          <c:idx val="5"/>
          <c:order val="5"/>
          <c:tx>
            <c:strRef>
              <c:f>Sep!$B$175</c:f>
              <c:strCache>
                <c:ptCount val="1"/>
                <c:pt idx="0">
                  <c:v>%DS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Sep!$D$128:$H$128</c:f>
              <c:strCache>
                <c:ptCount val="5"/>
                <c:pt idx="0">
                  <c:v>WEEK 1
(Sep1-6)</c:v>
                </c:pt>
                <c:pt idx="1">
                  <c:v>WEEK 2
(Sep7-13)</c:v>
                </c:pt>
                <c:pt idx="2">
                  <c:v>WEEK 3
(Sep14-20)</c:v>
                </c:pt>
                <c:pt idx="3">
                  <c:v>WEEK 4
(Sep21-30)</c:v>
                </c:pt>
                <c:pt idx="4">
                  <c:v>Jan-00</c:v>
                </c:pt>
              </c:strCache>
            </c:strRef>
          </c:cat>
          <c:val>
            <c:numRef>
              <c:f>Sep!$D$175:$G$175</c:f>
              <c:numCache>
                <c:formatCode>_(* #,##0.00_);_(* \(#,##0.00\);_(* "-"??_);_(@_)</c:formatCode>
                <c:ptCount val="4"/>
                <c:pt idx="0">
                  <c:v>13.94</c:v>
                </c:pt>
                <c:pt idx="1">
                  <c:v>13.875</c:v>
                </c:pt>
                <c:pt idx="2">
                  <c:v>13.821</c:v>
                </c:pt>
                <c:pt idx="3">
                  <c:v>13.95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13-46F0-A3E7-2C27E53C6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</a:t>
                </a:r>
              </a:p>
            </c:rich>
          </c:tx>
          <c:layout>
            <c:manualLayout>
              <c:xMode val="edge"/>
              <c:yMode val="edge"/>
              <c:x val="0.1338963604146387"/>
              <c:y val="0.38583079407906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Nm3/ton</a:t>
                </a:r>
              </a:p>
            </c:rich>
          </c:tx>
          <c:layout>
            <c:manualLayout>
              <c:xMode val="edge"/>
              <c:yMode val="edge"/>
              <c:x val="0.95544679367650542"/>
              <c:y val="0.412100607226448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037413340212502"/>
          <c:y val="0.11640982453860035"/>
          <c:w val="0.74370088205263363"/>
          <c:h val="0.45822964421204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Oct!$B$36:$C$36</c:f>
              <c:strCache>
                <c:ptCount val="2"/>
                <c:pt idx="0">
                  <c:v>Delivered (DPO)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Oct!$D$34:$H$34</c:f>
              <c:strCache>
                <c:ptCount val="5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  <c:pt idx="4">
                  <c:v>WEEK 5
(Oct26-31)</c:v>
                </c:pt>
              </c:strCache>
            </c:strRef>
          </c:cat>
          <c:val>
            <c:numRef>
              <c:f>Oct!$D$36:$H$36</c:f>
              <c:numCache>
                <c:formatCode>_-* #,##0_-;\-* #,##0_-;_-* "-"??_-;_-@_-</c:formatCode>
                <c:ptCount val="5"/>
                <c:pt idx="0">
                  <c:v>1038.26</c:v>
                </c:pt>
                <c:pt idx="1">
                  <c:v>1866.1</c:v>
                </c:pt>
                <c:pt idx="2">
                  <c:v>905.65</c:v>
                </c:pt>
                <c:pt idx="3">
                  <c:v>757.79</c:v>
                </c:pt>
                <c:pt idx="4">
                  <c:v>1421.07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3-47F7-A8AB-FA262C7B3E69}"/>
            </c:ext>
          </c:extLst>
        </c:ser>
        <c:ser>
          <c:idx val="2"/>
          <c:order val="1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Jul!$D$34:$H$34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'Mar actual FM vol'!$D$37:$H$37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8CD3-47F7-A8AB-FA262C7B3E69}"/>
            </c:ext>
          </c:extLst>
        </c:ser>
        <c:ser>
          <c:idx val="5"/>
          <c:order val="4"/>
          <c:tx>
            <c:strRef>
              <c:f>Oct!$B$37</c:f>
              <c:strCache>
                <c:ptCount val="1"/>
                <c:pt idx="0">
                  <c:v>Diverted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Oct!$D$34:$H$34</c:f>
              <c:strCache>
                <c:ptCount val="5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  <c:pt idx="4">
                  <c:v>WEEK 5
(Oct26-31)</c:v>
                </c:pt>
              </c:strCache>
            </c:strRef>
          </c:cat>
          <c:val>
            <c:numRef>
              <c:f>Oct!$D$37:$H$37</c:f>
              <c:numCache>
                <c:formatCode>_-* #,##0.0_-;\-* #,##0.0_-;_-* "-"??_-;_-@_-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8CD3-47F7-A8AB-FA262C7B3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"/>
        <c:axId val="1931926304"/>
        <c:axId val="1732677184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Oct!$B$40:$C$40</c15:sqref>
                        </c15:formulaRef>
                      </c:ext>
                    </c:extLst>
                    <c:strCache>
                      <c:ptCount val="2"/>
                      <c:pt idx="0">
                        <c:v>Monthly Accumulative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Oct!$D$34:$H$34</c15:sqref>
                        </c15:formulaRef>
                      </c:ext>
                    </c:extLst>
                    <c:strCache>
                      <c:ptCount val="5"/>
                      <c:pt idx="0">
                        <c:v>WEEK 1
(Oct1-4)</c:v>
                      </c:pt>
                      <c:pt idx="1">
                        <c:v>WEEK 2
(Oct5-11)</c:v>
                      </c:pt>
                      <c:pt idx="2">
                        <c:v>WEEK 3
(Oct12-18)</c:v>
                      </c:pt>
                      <c:pt idx="3">
                        <c:v>WEEK 4
(Oct19-25)</c:v>
                      </c:pt>
                      <c:pt idx="4">
                        <c:v>WEEK 5
(Oct26-31)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Oct!$D$40:$H$40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1038.26</c:v>
                      </c:pt>
                      <c:pt idx="1">
                        <c:v>2904.3599999999997</c:v>
                      </c:pt>
                      <c:pt idx="2">
                        <c:v>3810.0099999999998</c:v>
                      </c:pt>
                      <c:pt idx="3">
                        <c:v>4567.7999999999993</c:v>
                      </c:pt>
                      <c:pt idx="4">
                        <c:v>5988.869999999999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8CD3-47F7-A8AB-FA262C7B3E69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3"/>
          <c:tx>
            <c:strRef>
              <c:f>Oct!$B$41:$C$41</c:f>
              <c:strCache>
                <c:ptCount val="2"/>
                <c:pt idx="0">
                  <c:v>Target to Reach SCA Minimum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Oct!$D$34:$H$34</c:f>
              <c:strCache>
                <c:ptCount val="5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  <c:pt idx="4">
                  <c:v>WEEK 5
(Oct26-31)</c:v>
                </c:pt>
              </c:strCache>
            </c:strRef>
          </c:cat>
          <c:val>
            <c:numRef>
              <c:f>Oct!$D$41:$H$41</c:f>
              <c:numCache>
                <c:formatCode>_-* #,##0_-;\-* #,##0_-;_-* "-"??_-;_-@_-</c:formatCode>
                <c:ptCount val="5"/>
                <c:pt idx="0">
                  <c:v>2177.16688172043</c:v>
                </c:pt>
                <c:pt idx="1">
                  <c:v>4948.9489247311822</c:v>
                </c:pt>
                <c:pt idx="2">
                  <c:v>6892.8909677419351</c:v>
                </c:pt>
                <c:pt idx="3">
                  <c:v>9797.2830107526879</c:v>
                </c:pt>
                <c:pt idx="4">
                  <c:v>12305.243333333332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CD3-47F7-A8AB-FA262C7B3E69}"/>
            </c:ext>
          </c:extLst>
        </c:ser>
        <c:ser>
          <c:idx val="6"/>
          <c:order val="5"/>
          <c:tx>
            <c:strRef>
              <c:f>'Mar actual FM vol'!$B$37:$C$37</c:f>
              <c:strCache>
                <c:ptCount val="2"/>
                <c:pt idx="0">
                  <c:v>Total Available </c:v>
                </c:pt>
                <c:pt idx="1">
                  <c:v>(mtons)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Jul!$D$34:$H$34</c:f>
              <c:strCache>
                <c:ptCount val="5"/>
                <c:pt idx="0">
                  <c:v>WEEK 1
(Jul1-5)</c:v>
                </c:pt>
                <c:pt idx="1">
                  <c:v>WEEK 2
(Jul6-12)</c:v>
                </c:pt>
                <c:pt idx="2">
                  <c:v>WEEK 3
(Jul13-19)</c:v>
                </c:pt>
                <c:pt idx="3">
                  <c:v>WEEK 4
(Jul20-26)</c:v>
                </c:pt>
                <c:pt idx="4">
                  <c:v>WEEK 5
(Jul27-31)</c:v>
                </c:pt>
              </c:strCache>
            </c:strRef>
          </c:cat>
          <c:val>
            <c:numRef>
              <c:f>'Mar actual FM vol'!$D$37:$H$37</c:f>
            </c:numRef>
          </c:val>
          <c:smooth val="0"/>
          <c:extLst>
            <c:ext xmlns:c16="http://schemas.microsoft.com/office/drawing/2014/chart" uri="{C3380CC4-5D6E-409C-BE32-E72D297353CC}">
              <c16:uniqueId val="{00000004-8CD3-47F7-A8AB-FA262C7B3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6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931926304"/>
        <c:axId val="1732677184"/>
      </c:lineChart>
      <c:catAx>
        <c:axId val="193192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77184"/>
        <c:crosses val="autoZero"/>
        <c:auto val="1"/>
        <c:lblAlgn val="ctr"/>
        <c:lblOffset val="100"/>
        <c:noMultiLvlLbl val="1"/>
      </c:catAx>
      <c:valAx>
        <c:axId val="1732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MT</a:t>
                </a:r>
              </a:p>
            </c:rich>
          </c:tx>
          <c:layout>
            <c:manualLayout>
              <c:xMode val="edge"/>
              <c:yMode val="edge"/>
              <c:x val="0.19272070118622903"/>
              <c:y val="0.24359459230956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263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279257464172775"/>
          <c:y val="0.10060281860125968"/>
          <c:w val="0.67317823439612146"/>
          <c:h val="0.34991922607897613"/>
        </c:manualLayout>
      </c:layout>
      <c:barChart>
        <c:barDir val="col"/>
        <c:grouping val="stacked"/>
        <c:varyColors val="0"/>
        <c:ser>
          <c:idx val="7"/>
          <c:order val="0"/>
          <c:tx>
            <c:strRef>
              <c:f>Oct!$B$116:$C$116</c:f>
              <c:strCache>
                <c:ptCount val="2"/>
                <c:pt idx="0">
                  <c:v>CO2 Operation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Oct!$D$113:$H$113</c:f>
              <c:strCache>
                <c:ptCount val="5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  <c:pt idx="4">
                  <c:v>WEEK 5
(Oct26-31)</c:v>
                </c:pt>
              </c:strCache>
            </c:strRef>
          </c:cat>
          <c:val>
            <c:numRef>
              <c:f>Oct!$D$116:$H$116</c:f>
              <c:numCache>
                <c:formatCode>_-* #,##0_-;\-* #,##0_-;_-* "-"??_-;_-@_-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7D65-401D-906E-6678CFE53DC8}"/>
            </c:ext>
          </c:extLst>
        </c:ser>
        <c:ser>
          <c:idx val="1"/>
          <c:order val="1"/>
          <c:tx>
            <c:strRef>
              <c:f>Oct!$B$117:$C$117</c:f>
              <c:strCache>
                <c:ptCount val="2"/>
                <c:pt idx="0">
                  <c:v>Flared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Oct!$D$113:$H$113</c:f>
              <c:strCache>
                <c:ptCount val="5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  <c:pt idx="4">
                  <c:v>WEEK 5
(Oct26-31)</c:v>
                </c:pt>
              </c:strCache>
            </c:strRef>
          </c:cat>
          <c:val>
            <c:numRef>
              <c:f>Oct!$D$117:$H$117</c:f>
              <c:numCache>
                <c:formatCode>_-* #,##0_-;\-* #,##0_-;_-* "-"??_-;_-@_-</c:formatCode>
                <c:ptCount val="5"/>
                <c:pt idx="1">
                  <c:v>13978</c:v>
                </c:pt>
                <c:pt idx="2">
                  <c:v>36093</c:v>
                </c:pt>
                <c:pt idx="4">
                  <c:v>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65-401D-906E-6678CFE53DC8}"/>
            </c:ext>
          </c:extLst>
        </c:ser>
        <c:ser>
          <c:idx val="0"/>
          <c:order val="2"/>
          <c:tx>
            <c:strRef>
              <c:f>Oct!$B$114:$C$114</c:f>
              <c:strCache>
                <c:ptCount val="2"/>
                <c:pt idx="0">
                  <c:v>Delivered to Boilers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Oct!$D$113:$H$113</c:f>
              <c:strCache>
                <c:ptCount val="5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  <c:pt idx="4">
                  <c:v>WEEK 5
(Oct26-31)</c:v>
                </c:pt>
              </c:strCache>
            </c:strRef>
          </c:cat>
          <c:val>
            <c:numRef>
              <c:f>Oct!$D$114:$H$114</c:f>
              <c:numCache>
                <c:formatCode>_-* #,##0_-;\-* #,##0_-;_-* "-"??_-;_-@_-</c:formatCode>
                <c:ptCount val="5"/>
                <c:pt idx="0">
                  <c:v>77966</c:v>
                </c:pt>
                <c:pt idx="1">
                  <c:v>116791</c:v>
                </c:pt>
                <c:pt idx="2">
                  <c:v>21893</c:v>
                </c:pt>
                <c:pt idx="3">
                  <c:v>93475</c:v>
                </c:pt>
                <c:pt idx="4">
                  <c:v>141089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65-401D-906E-6678CFE53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786448"/>
        <c:axId val="1745592720"/>
        <c:extLst/>
      </c:barChart>
      <c:lineChart>
        <c:grouping val="standard"/>
        <c:varyColors val="0"/>
        <c:ser>
          <c:idx val="4"/>
          <c:order val="5"/>
          <c:tx>
            <c:strRef>
              <c:f>Oct!$B$121:$C$121</c:f>
              <c:strCache>
                <c:ptCount val="2"/>
                <c:pt idx="0">
                  <c:v>Target to Reach SCA (Boiler)</c:v>
                </c:pt>
                <c:pt idx="1">
                  <c:v>(Nm3)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Oct!$D$113:$H$113</c:f>
              <c:strCache>
                <c:ptCount val="5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  <c:pt idx="4">
                  <c:v>WEEK 5
(Oct26-31)</c:v>
                </c:pt>
              </c:strCache>
            </c:strRef>
          </c:cat>
          <c:val>
            <c:numRef>
              <c:f>Oct!$D$121:$H$121</c:f>
              <c:numCache>
                <c:formatCode>_-* #,##0_-;\-* #,##0_-;_-* "-"??_-;_-@_-</c:formatCode>
                <c:ptCount val="5"/>
                <c:pt idx="0">
                  <c:v>156734.86021505378</c:v>
                </c:pt>
                <c:pt idx="1">
                  <c:v>353054.86559139786</c:v>
                </c:pt>
                <c:pt idx="2">
                  <c:v>510549.87096774206</c:v>
                </c:pt>
                <c:pt idx="3">
                  <c:v>762942.87634408614</c:v>
                </c:pt>
                <c:pt idx="4">
                  <c:v>904570.16666666674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65-401D-906E-6678CFE53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786448"/>
        <c:axId val="1745592720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Oct!$B$118:$C$118</c15:sqref>
                        </c15:formulaRef>
                      </c:ext>
                    </c:extLst>
                    <c:strCache>
                      <c:ptCount val="2"/>
                      <c:pt idx="0">
                        <c:v>Total Produced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Oct!$D$113:$H$113</c15:sqref>
                        </c15:formulaRef>
                      </c:ext>
                    </c:extLst>
                    <c:strCache>
                      <c:ptCount val="5"/>
                      <c:pt idx="0">
                        <c:v>WEEK 1
(Oct1-4)</c:v>
                      </c:pt>
                      <c:pt idx="1">
                        <c:v>WEEK 2
(Oct5-11)</c:v>
                      </c:pt>
                      <c:pt idx="2">
                        <c:v>WEEK 3
(Oct12-18)</c:v>
                      </c:pt>
                      <c:pt idx="3">
                        <c:v>WEEK 4
(Oct19-25)</c:v>
                      </c:pt>
                      <c:pt idx="4">
                        <c:v>WEEK 5
(Oct26-31)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Oct!$D$118:$G$118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77966</c:v>
                      </c:pt>
                      <c:pt idx="1">
                        <c:v>156388.70000000001</c:v>
                      </c:pt>
                      <c:pt idx="2">
                        <c:v>89093.42</c:v>
                      </c:pt>
                      <c:pt idx="3">
                        <c:v>95894.09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D65-401D-906E-6678CFE53DC8}"/>
                  </c:ext>
                </c:extLst>
              </c15:ser>
            </c15:filteredLineSeries>
            <c15:filteredLine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Oct!$B$119:$C$119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Oct!$D$113:$H$113</c15:sqref>
                        </c15:formulaRef>
                      </c:ext>
                    </c:extLst>
                    <c:strCache>
                      <c:ptCount val="5"/>
                      <c:pt idx="0">
                        <c:v>WEEK 1
(Oct1-4)</c:v>
                      </c:pt>
                      <c:pt idx="1">
                        <c:v>WEEK 2
(Oct5-11)</c:v>
                      </c:pt>
                      <c:pt idx="2">
                        <c:v>WEEK 3
(Oct12-18)</c:v>
                      </c:pt>
                      <c:pt idx="3">
                        <c:v>WEEK 4
(Oct19-25)</c:v>
                      </c:pt>
                      <c:pt idx="4">
                        <c:v>WEEK 5
(Oct26-31)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Oct!$D$119:$G$119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77966</c:v>
                      </c:pt>
                      <c:pt idx="1">
                        <c:v>194757</c:v>
                      </c:pt>
                      <c:pt idx="2">
                        <c:v>216650</c:v>
                      </c:pt>
                      <c:pt idx="3">
                        <c:v>310125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D65-401D-906E-6678CFE53DC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Oct!$B$120:$C$120</c15:sqref>
                        </c15:formulaRef>
                      </c:ext>
                    </c:extLst>
                    <c:strCache>
                      <c:ptCount val="2"/>
                      <c:pt idx="0">
                        <c:v>Target Gas based on Delivered Substrates</c:v>
                      </c:pt>
                      <c:pt idx="1">
                        <c:v>(Nm3)</c:v>
                      </c:pt>
                    </c:strCache>
                  </c:strRef>
                </c:tx>
                <c:spPr>
                  <a:ln w="349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Oct!$D$113:$H$113</c15:sqref>
                        </c15:formulaRef>
                      </c:ext>
                    </c:extLst>
                    <c:strCache>
                      <c:ptCount val="5"/>
                      <c:pt idx="0">
                        <c:v>WEEK 1
(Oct1-4)</c:v>
                      </c:pt>
                      <c:pt idx="1">
                        <c:v>WEEK 2
(Oct5-11)</c:v>
                      </c:pt>
                      <c:pt idx="2">
                        <c:v>WEEK 3
(Oct12-18)</c:v>
                      </c:pt>
                      <c:pt idx="3">
                        <c:v>WEEK 4
(Oct19-25)</c:v>
                      </c:pt>
                      <c:pt idx="4">
                        <c:v>WEEK 5
(Oct26-31)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Oct!$D$120:$H$120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82234.552691999997</c:v>
                      </c:pt>
                      <c:pt idx="1">
                        <c:v>147802.95761999997</c:v>
                      </c:pt>
                      <c:pt idx="2">
                        <c:v>71731.283729999996</c:v>
                      </c:pt>
                      <c:pt idx="3">
                        <c:v>60020.150717999997</c:v>
                      </c:pt>
                      <c:pt idx="4">
                        <c:v>112554.71249400001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D65-401D-906E-6678CFE53DC8}"/>
                  </c:ext>
                </c:extLst>
              </c15:ser>
            </c15:filteredLineSeries>
          </c:ext>
        </c:extLst>
      </c:lineChart>
      <c:catAx>
        <c:axId val="17237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92720"/>
        <c:crosses val="autoZero"/>
        <c:auto val="1"/>
        <c:lblAlgn val="ctr"/>
        <c:lblOffset val="100"/>
        <c:noMultiLvlLbl val="1"/>
      </c:catAx>
      <c:valAx>
        <c:axId val="17455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(Nm3)</a:t>
                </a:r>
              </a:p>
            </c:rich>
          </c:tx>
          <c:layout>
            <c:manualLayout>
              <c:xMode val="edge"/>
              <c:yMode val="edge"/>
              <c:x val="0.1572054197817343"/>
              <c:y val="0.21039484932677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86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7081569440655"/>
          <c:y val="0.12528405766264164"/>
          <c:w val="0.77286261321270178"/>
          <c:h val="0.59436211738049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Oct!$B$78:$C$78</c:f>
              <c:strCache>
                <c:ptCount val="2"/>
                <c:pt idx="0">
                  <c:v>Delivered</c:v>
                </c:pt>
                <c:pt idx="1">
                  <c:v>(kWh)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Oct!$D$77:$H$77</c:f>
              <c:strCache>
                <c:ptCount val="5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  <c:pt idx="4">
                  <c:v>WEEK 5
(Oct26-31)</c:v>
                </c:pt>
              </c:strCache>
            </c:strRef>
          </c:cat>
          <c:val>
            <c:numRef>
              <c:f>Oct!$D$78:$H$78</c:f>
              <c:numCache>
                <c:formatCode>_-* #,##0_-;\-* #,##0_-;_-* "-"??_-;_-@_-</c:formatCode>
                <c:ptCount val="5"/>
                <c:pt idx="1">
                  <c:v>54510</c:v>
                </c:pt>
                <c:pt idx="2">
                  <c:v>66186</c:v>
                </c:pt>
                <c:pt idx="3">
                  <c:v>5147</c:v>
                </c:pt>
                <c:pt idx="4">
                  <c:v>79561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C-4499-B958-D7E945CD4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05608704"/>
        <c:axId val="305574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Oct!$B$79:$C$79</c15:sqref>
                        </c15:formulaRef>
                      </c:ext>
                    </c:extLst>
                    <c:strCache>
                      <c:ptCount val="2"/>
                      <c:pt idx="0">
                        <c:v>Accumulative</c:v>
                      </c:pt>
                      <c:pt idx="1">
                        <c:v>(kWh)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Oct!$D$77:$H$77</c15:sqref>
                        </c15:formulaRef>
                      </c:ext>
                    </c:extLst>
                    <c:strCache>
                      <c:ptCount val="5"/>
                      <c:pt idx="0">
                        <c:v>WEEK 1
(Oct1-4)</c:v>
                      </c:pt>
                      <c:pt idx="1">
                        <c:v>WEEK 2
(Oct5-11)</c:v>
                      </c:pt>
                      <c:pt idx="2">
                        <c:v>WEEK 3
(Oct12-18)</c:v>
                      </c:pt>
                      <c:pt idx="3">
                        <c:v>WEEK 4
(Oct19-25)</c:v>
                      </c:pt>
                      <c:pt idx="4">
                        <c:v>WEEK 5
(Oct26-31)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Oct!$D$79:$G$79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0</c:v>
                      </c:pt>
                      <c:pt idx="1">
                        <c:v>54510</c:v>
                      </c:pt>
                      <c:pt idx="2">
                        <c:v>120696</c:v>
                      </c:pt>
                      <c:pt idx="3">
                        <c:v>125843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4BC-4499-B958-D7E945CD4F4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Oct!$B$80:$C$80</c:f>
              <c:strCache>
                <c:ptCount val="2"/>
                <c:pt idx="0">
                  <c:v>Target to Reach SCA Minimum </c:v>
                </c:pt>
                <c:pt idx="1">
                  <c:v>(kWh)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Oct!$D$77:$H$77</c:f>
              <c:strCache>
                <c:ptCount val="5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  <c:pt idx="4">
                  <c:v>WEEK 5
(Oct26-31)</c:v>
                </c:pt>
              </c:strCache>
            </c:strRef>
          </c:cat>
          <c:val>
            <c:numRef>
              <c:f>Oct!$D$80:$H$80</c:f>
              <c:numCache>
                <c:formatCode>_-* #,##0_-;\-* #,##0_-;_-* "-"??_-;_-@_-</c:formatCode>
                <c:ptCount val="5"/>
                <c:pt idx="0">
                  <c:v>153707.76344086023</c:v>
                </c:pt>
                <c:pt idx="1">
                  <c:v>422696.34946236562</c:v>
                </c:pt>
                <c:pt idx="2">
                  <c:v>637174.93548387103</c:v>
                </c:pt>
                <c:pt idx="3">
                  <c:v>839977.52150537644</c:v>
                </c:pt>
                <c:pt idx="4">
                  <c:v>1065392.1666666667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BC-4499-B958-D7E945CD4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08704"/>
        <c:axId val="305574416"/>
        <c:extLst/>
      </c:lineChart>
      <c:catAx>
        <c:axId val="3056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4416"/>
        <c:crosses val="autoZero"/>
        <c:auto val="1"/>
        <c:lblAlgn val="ctr"/>
        <c:lblOffset val="100"/>
        <c:noMultiLvlLbl val="1"/>
      </c:catAx>
      <c:valAx>
        <c:axId val="3055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kWh</a:t>
                </a:r>
              </a:p>
            </c:rich>
          </c:tx>
          <c:layout>
            <c:manualLayout>
              <c:xMode val="edge"/>
              <c:yMode val="edge"/>
              <c:x val="0.16530445088964488"/>
              <c:y val="0.35705801198293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08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69028871391076"/>
          <c:y val="8.5110331300092601E-2"/>
          <c:w val="0.63956741004774031"/>
          <c:h val="0.5909229120624055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Oct!$B$132:$C$132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870-4009-A656-8BD9E605B2CD}"/>
              </c:ext>
            </c:extLst>
          </c:dPt>
          <c:cat>
            <c:strRef>
              <c:f>Oct!$D$128:$G$128</c:f>
              <c:strCache>
                <c:ptCount val="4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</c:strCache>
            </c:strRef>
          </c:cat>
          <c:val>
            <c:numRef>
              <c:f>Oct!$D$132:$G$132</c:f>
              <c:numCache>
                <c:formatCode>_-* #,##0_-;\-* #,##0_-;_-* "-"??_-;_-@_-</c:formatCode>
                <c:ptCount val="4"/>
                <c:pt idx="0">
                  <c:v>77966</c:v>
                </c:pt>
                <c:pt idx="1">
                  <c:v>156388.70000000001</c:v>
                </c:pt>
                <c:pt idx="2">
                  <c:v>89093.42</c:v>
                </c:pt>
                <c:pt idx="3">
                  <c:v>95894.09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70-4009-A656-8BD9E605B2CD}"/>
            </c:ext>
          </c:extLst>
        </c:ser>
        <c:ser>
          <c:idx val="1"/>
          <c:order val="1"/>
          <c:tx>
            <c:strRef>
              <c:f>Oct!$B$131:$C$131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Oct!$D$128:$G$128</c:f>
              <c:strCache>
                <c:ptCount val="4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</c:strCache>
            </c:strRef>
          </c:cat>
          <c:val>
            <c:numRef>
              <c:f>Oct!$D$131:$G$131</c:f>
              <c:numCache>
                <c:formatCode>_-* #,##0_-;\-* #,##0_-;_-* "-"??_-;_-@_-</c:formatCode>
                <c:ptCount val="4"/>
                <c:pt idx="0">
                  <c:v>104864.26</c:v>
                </c:pt>
                <c:pt idx="1">
                  <c:v>188476.09999999998</c:v>
                </c:pt>
                <c:pt idx="2">
                  <c:v>91470.65</c:v>
                </c:pt>
                <c:pt idx="3">
                  <c:v>76536.789999999994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70-4009-A656-8BD9E605B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Oct!$B$130:$C$130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Oct!$D$128:$G$128</c15:sqref>
                        </c15:formulaRef>
                      </c:ext>
                    </c:extLst>
                    <c:strCache>
                      <c:ptCount val="4"/>
                      <c:pt idx="0">
                        <c:v>WEEK 1
(Oct1-4)</c:v>
                      </c:pt>
                      <c:pt idx="1">
                        <c:v>WEEK 2
(Oct5-11)</c:v>
                      </c:pt>
                      <c:pt idx="2">
                        <c:v>WEEK 3
(Oct12-18)</c:v>
                      </c:pt>
                      <c:pt idx="3">
                        <c:v>WEEK 4
(Oct19-25)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Oct!$D$130:$G$130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1038.26</c:v>
                      </c:pt>
                      <c:pt idx="1">
                        <c:v>1866.1</c:v>
                      </c:pt>
                      <c:pt idx="2">
                        <c:v>905.65</c:v>
                      </c:pt>
                      <c:pt idx="3">
                        <c:v>757.79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9870-4009-A656-8BD9E605B2C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Oct!$B$133:$C$133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Oct!$D$128:$G$128</c:f>
              <c:strCache>
                <c:ptCount val="4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</c:strCache>
            </c:strRef>
          </c:cat>
          <c:val>
            <c:numRef>
              <c:f>Oct!$D$133:$G$133</c:f>
              <c:numCache>
                <c:formatCode>_-* #,##0_-;\-* #,##0_-;_-* "-"??_-;_-@_-</c:formatCode>
                <c:ptCount val="4"/>
                <c:pt idx="0">
                  <c:v>75.092943963939675</c:v>
                </c:pt>
                <c:pt idx="1">
                  <c:v>83.805101548684434</c:v>
                </c:pt>
                <c:pt idx="2">
                  <c:v>98.375111798156027</c:v>
                </c:pt>
                <c:pt idx="3">
                  <c:v>126.54441204027501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70-4009-A656-8BD9E605B2CD}"/>
            </c:ext>
          </c:extLst>
        </c:ser>
        <c:ser>
          <c:idx val="4"/>
          <c:order val="4"/>
          <c:tx>
            <c:strRef>
              <c:f>Oct!$B$134:$C$134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Oct!$D$128:$G$128</c:f>
              <c:strCache>
                <c:ptCount val="4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</c:strCache>
            </c:strRef>
          </c:cat>
          <c:val>
            <c:numRef>
              <c:f>Oct!$D$134:$G$134</c:f>
              <c:numCache>
                <c:formatCode>_-* #,##0_-;\-* #,##0_-;_-* "-"??_-;_-@_-</c:formatCode>
                <c:ptCount val="4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70-4009-A656-8BD9E605B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253760"/>
        <c:axId val="740266720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baseline="0"/>
                  <a:t>(</a:t>
                </a:r>
                <a:r>
                  <a:rPr lang="en-PH"/>
                  <a:t>Nm3)</a:t>
                </a:r>
              </a:p>
            </c:rich>
          </c:tx>
          <c:layout>
            <c:manualLayout>
              <c:xMode val="edge"/>
              <c:yMode val="edge"/>
              <c:x val="0.13632107956496156"/>
              <c:y val="0.309808368406482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740266720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53760"/>
        <c:crosses val="max"/>
        <c:crossBetween val="between"/>
      </c:valAx>
      <c:catAx>
        <c:axId val="740253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02667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Biogas Conversion (Yield) - Factoring the DS Content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94307296004804"/>
          <c:y val="7.2393844182113795E-2"/>
          <c:w val="0.64755261890531735"/>
          <c:h val="0.595684440389846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Oct!$B$174:$C$174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Oct!$D$128:$H$128</c:f>
              <c:strCache>
                <c:ptCount val="5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  <c:pt idx="4">
                  <c:v>WEEK 5
(Oct26-31)</c:v>
                </c:pt>
              </c:strCache>
            </c:strRef>
          </c:cat>
          <c:val>
            <c:numRef>
              <c:f>Oct!$D$174:$H$174</c:f>
              <c:numCache>
                <c:formatCode>_-* #,##0_-;\-* #,##0_-;_-* "-"??_-;_-@_-</c:formatCode>
                <c:ptCount val="5"/>
                <c:pt idx="0">
                  <c:v>77966</c:v>
                </c:pt>
                <c:pt idx="1">
                  <c:v>156388.70000000001</c:v>
                </c:pt>
                <c:pt idx="2">
                  <c:v>89093.42</c:v>
                </c:pt>
                <c:pt idx="3">
                  <c:v>95894.09</c:v>
                </c:pt>
                <c:pt idx="4">
                  <c:v>180584.66999999998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C-4EAC-818B-B08AE52157E4}"/>
            </c:ext>
          </c:extLst>
        </c:ser>
        <c:ser>
          <c:idx val="1"/>
          <c:order val="1"/>
          <c:tx>
            <c:strRef>
              <c:f>Oct!$B$173:$C$173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Oct!$D$128:$H$128</c:f>
              <c:strCache>
                <c:ptCount val="5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  <c:pt idx="4">
                  <c:v>WEEK 5
(Oct26-31)</c:v>
                </c:pt>
              </c:strCache>
            </c:strRef>
          </c:cat>
          <c:val>
            <c:numRef>
              <c:f>Oct!$D$173:$H$173</c:f>
              <c:numCache>
                <c:formatCode>_-* #,##0_-;\-* #,##0_-;_-* "-"??_-;_-@_-</c:formatCode>
                <c:ptCount val="5"/>
                <c:pt idx="0">
                  <c:v>104721.94421857143</c:v>
                </c:pt>
                <c:pt idx="1">
                  <c:v>187129.84214285715</c:v>
                </c:pt>
                <c:pt idx="2">
                  <c:v>91470.65</c:v>
                </c:pt>
                <c:pt idx="3">
                  <c:v>76476.653950714288</c:v>
                </c:pt>
                <c:pt idx="4">
                  <c:v>143076.98178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1C-4EAC-818B-B08AE5215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Oct!$B$130:$C$130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Oct!$D$128:$H$128</c15:sqref>
                        </c15:formulaRef>
                      </c:ext>
                    </c:extLst>
                    <c:strCache>
                      <c:ptCount val="5"/>
                      <c:pt idx="0">
                        <c:v>WEEK 1
(Oct1-4)</c:v>
                      </c:pt>
                      <c:pt idx="1">
                        <c:v>WEEK 2
(Oct5-11)</c:v>
                      </c:pt>
                      <c:pt idx="2">
                        <c:v>WEEK 3
(Oct12-18)</c:v>
                      </c:pt>
                      <c:pt idx="3">
                        <c:v>WEEK 4
(Oct19-25)</c:v>
                      </c:pt>
                      <c:pt idx="4">
                        <c:v>WEEK 5
(Oct26-31)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Oct!$D$130:$G$130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1038.26</c:v>
                      </c:pt>
                      <c:pt idx="1">
                        <c:v>1866.1</c:v>
                      </c:pt>
                      <c:pt idx="2">
                        <c:v>905.65</c:v>
                      </c:pt>
                      <c:pt idx="3">
                        <c:v>757.79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6B1C-4EAC-818B-B08AE52157E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Oct!$B$176:$C$176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Oct!$D$128:$H$128</c:f>
              <c:strCache>
                <c:ptCount val="5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  <c:pt idx="4">
                  <c:v>WEEK 5
(Oct26-31)</c:v>
                </c:pt>
              </c:strCache>
            </c:strRef>
          </c:cat>
          <c:val>
            <c:numRef>
              <c:f>Oct!$D$176:$H$176</c:f>
              <c:numCache>
                <c:formatCode>_-* #,##0_-;\-* #,##0_-;_-* "-"??_-;_-@_-</c:formatCode>
                <c:ptCount val="5"/>
                <c:pt idx="0">
                  <c:v>75.194994313364944</c:v>
                </c:pt>
                <c:pt idx="1">
                  <c:v>84.408015948315253</c:v>
                </c:pt>
                <c:pt idx="2">
                  <c:v>98.375111798156027</c:v>
                </c:pt>
                <c:pt idx="3">
                  <c:v>126.64391797582745</c:v>
                </c:pt>
                <c:pt idx="4">
                  <c:v>127.47719055218107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1C-4EAC-818B-B08AE52157E4}"/>
            </c:ext>
          </c:extLst>
        </c:ser>
        <c:ser>
          <c:idx val="4"/>
          <c:order val="4"/>
          <c:tx>
            <c:strRef>
              <c:f>Oct!$B$177:$C$177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Oct!$D$128:$H$128</c:f>
              <c:strCache>
                <c:ptCount val="5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  <c:pt idx="4">
                  <c:v>WEEK 5
(Oct26-31)</c:v>
                </c:pt>
              </c:strCache>
            </c:strRef>
          </c:cat>
          <c:val>
            <c:numRef>
              <c:f>Oct!$D$177:$H$177</c:f>
              <c:numCache>
                <c:formatCode>_-* #,##0_-;\-* #,##0_-;_-* "-"??_-;_-@_-</c:formatCode>
                <c:ptCount val="5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  <c:pt idx="4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1C-4EAC-818B-B08AE52157E4}"/>
            </c:ext>
          </c:extLst>
        </c:ser>
        <c:ser>
          <c:idx val="5"/>
          <c:order val="5"/>
          <c:tx>
            <c:strRef>
              <c:f>Oct!$B$175</c:f>
              <c:strCache>
                <c:ptCount val="1"/>
                <c:pt idx="0">
                  <c:v>%DS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Oct!$D$128:$H$128</c:f>
              <c:strCache>
                <c:ptCount val="5"/>
                <c:pt idx="0">
                  <c:v>WEEK 1
(Oct1-4)</c:v>
                </c:pt>
                <c:pt idx="1">
                  <c:v>WEEK 2
(Oct5-11)</c:v>
                </c:pt>
                <c:pt idx="2">
                  <c:v>WEEK 3
(Oct12-18)</c:v>
                </c:pt>
                <c:pt idx="3">
                  <c:v>WEEK 4
(Oct19-25)</c:v>
                </c:pt>
                <c:pt idx="4">
                  <c:v>WEEK 5
(Oct26-31)</c:v>
                </c:pt>
              </c:strCache>
            </c:strRef>
          </c:cat>
          <c:val>
            <c:numRef>
              <c:f>Oct!$D$175:$H$175</c:f>
              <c:numCache>
                <c:formatCode>_(* #,##0.00_);_(* \(#,##0.00\);_(* "-"??_);_(@_)</c:formatCode>
                <c:ptCount val="5"/>
                <c:pt idx="0">
                  <c:v>13.981</c:v>
                </c:pt>
                <c:pt idx="1">
                  <c:v>13.9</c:v>
                </c:pt>
                <c:pt idx="2">
                  <c:v>14</c:v>
                </c:pt>
                <c:pt idx="3">
                  <c:v>13.989000000000001</c:v>
                </c:pt>
                <c:pt idx="4">
                  <c:v>13.956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1C-4EAC-818B-B08AE5215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</a:t>
                </a:r>
              </a:p>
            </c:rich>
          </c:tx>
          <c:layout>
            <c:manualLayout>
              <c:xMode val="edge"/>
              <c:yMode val="edge"/>
              <c:x val="0.1338963604146387"/>
              <c:y val="0.38583079407906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Nm3/ton</a:t>
                </a:r>
              </a:p>
            </c:rich>
          </c:tx>
          <c:layout>
            <c:manualLayout>
              <c:xMode val="edge"/>
              <c:yMode val="edge"/>
              <c:x val="0.95544679367650542"/>
              <c:y val="0.412100607226448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Monthly vs. YTD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'CY Yield'!$G$3</c:f>
              <c:strCache>
                <c:ptCount val="1"/>
                <c:pt idx="0">
                  <c:v>Actual Yield (Monthly)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'CY Yield'!$A$4:$A$15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'CY Yield'!$G$4:$G$15</c:f>
              <c:numCache>
                <c:formatCode>0</c:formatCode>
                <c:ptCount val="12"/>
                <c:pt idx="0">
                  <c:v>109.50237205868378</c:v>
                </c:pt>
                <c:pt idx="1">
                  <c:v>117.46556804335115</c:v>
                </c:pt>
                <c:pt idx="2">
                  <c:v>111.64678590930447</c:v>
                </c:pt>
                <c:pt idx="3">
                  <c:v>88.853199114801654</c:v>
                </c:pt>
                <c:pt idx="4">
                  <c:v>102.07902487505694</c:v>
                </c:pt>
                <c:pt idx="5">
                  <c:v>112.76914080004521</c:v>
                </c:pt>
                <c:pt idx="6">
                  <c:v>89.366155580021839</c:v>
                </c:pt>
                <c:pt idx="7">
                  <c:v>99.118614545325258</c:v>
                </c:pt>
                <c:pt idx="8">
                  <c:v>100.37460689738334</c:v>
                </c:pt>
                <c:pt idx="9">
                  <c:v>100.37942115958438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2-42E2-AF8F-F079C3287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8514352"/>
        <c:axId val="1838516272"/>
      </c:barChart>
      <c:lineChart>
        <c:grouping val="standard"/>
        <c:varyColors val="0"/>
        <c:ser>
          <c:idx val="1"/>
          <c:order val="1"/>
          <c:tx>
            <c:strRef>
              <c:f>'CY Yield'!$H$3</c:f>
              <c:strCache>
                <c:ptCount val="1"/>
                <c:pt idx="0">
                  <c:v>YTD 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'CY Yield'!$A$4:$A$15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'CY Yield'!$H$4:$H$15</c:f>
              <c:numCache>
                <c:formatCode>0</c:formatCode>
                <c:ptCount val="12"/>
                <c:pt idx="0">
                  <c:v>109.50237205868378</c:v>
                </c:pt>
                <c:pt idx="1">
                  <c:v>112.82925517488013</c:v>
                </c:pt>
                <c:pt idx="2">
                  <c:v>112.50177631766068</c:v>
                </c:pt>
                <c:pt idx="3">
                  <c:v>107.36575128549589</c:v>
                </c:pt>
                <c:pt idx="4">
                  <c:v>106.27677807767004</c:v>
                </c:pt>
                <c:pt idx="5">
                  <c:v>107.31116525904525</c:v>
                </c:pt>
                <c:pt idx="6">
                  <c:v>104.97029284050188</c:v>
                </c:pt>
                <c:pt idx="7">
                  <c:v>104.19953572714439</c:v>
                </c:pt>
                <c:pt idx="8">
                  <c:v>103.80483144545381</c:v>
                </c:pt>
                <c:pt idx="9">
                  <c:v>103.51293836724946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B2-42E2-AF8F-F079C3287131}"/>
            </c:ext>
          </c:extLst>
        </c:ser>
        <c:ser>
          <c:idx val="3"/>
          <c:order val="2"/>
          <c:tx>
            <c:strRef>
              <c:f>'CY Yield'!$I$3</c:f>
              <c:strCache>
                <c:ptCount val="1"/>
                <c:pt idx="0">
                  <c:v>YTD CY4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'CY Yield'!$I$4:$I$15</c:f>
              <c:numCache>
                <c:formatCode>0</c:formatCode>
                <c:ptCount val="12"/>
                <c:pt idx="3">
                  <c:v>88.853199114801654</c:v>
                </c:pt>
                <c:pt idx="4">
                  <c:v>96.052158632856234</c:v>
                </c:pt>
                <c:pt idx="5">
                  <c:v>101.63045919420901</c:v>
                </c:pt>
                <c:pt idx="6">
                  <c:v>98.698322783352708</c:v>
                </c:pt>
                <c:pt idx="7">
                  <c:v>98.789753932029896</c:v>
                </c:pt>
                <c:pt idx="8">
                  <c:v>99.04284757230532</c:v>
                </c:pt>
                <c:pt idx="9">
                  <c:v>99.211247838184889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5C-4278-90BD-91171B010114}"/>
            </c:ext>
          </c:extLst>
        </c:ser>
        <c:ser>
          <c:idx val="2"/>
          <c:order val="3"/>
          <c:tx>
            <c:strRef>
              <c:f>'CY Yield'!$J$3</c:f>
              <c:strCache>
                <c:ptCount val="1"/>
                <c:pt idx="0">
                  <c:v>Target Yield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'CY Yield'!$A$4:$A$15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'CY Yield'!$J$4:$J$15</c:f>
              <c:numCache>
                <c:formatCode>General</c:formatCode>
                <c:ptCount val="12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  <c:pt idx="4">
                  <c:v>101</c:v>
                </c:pt>
                <c:pt idx="5">
                  <c:v>101</c:v>
                </c:pt>
                <c:pt idx="6">
                  <c:v>101</c:v>
                </c:pt>
                <c:pt idx="7">
                  <c:v>101</c:v>
                </c:pt>
                <c:pt idx="8">
                  <c:v>101</c:v>
                </c:pt>
                <c:pt idx="9">
                  <c:v>101</c:v>
                </c:pt>
                <c:pt idx="10">
                  <c:v>101</c:v>
                </c:pt>
                <c:pt idx="11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B2-42E2-AF8F-F079C3287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514352"/>
        <c:axId val="1838516272"/>
      </c:lineChart>
      <c:dateAx>
        <c:axId val="18385143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516272"/>
        <c:crosses val="autoZero"/>
        <c:auto val="1"/>
        <c:lblOffset val="100"/>
        <c:baseTimeUnit val="months"/>
      </c:dateAx>
      <c:valAx>
        <c:axId val="183851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5143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PH" sz="1600" b="1">
                <a:solidFill>
                  <a:schemeClr val="tx1"/>
                </a:solidFill>
              </a:rPr>
              <a:t>Biogas Conversion (Yield) - Considering Original Weight </a:t>
            </a:r>
          </a:p>
        </c:rich>
      </c:tx>
      <c:layout>
        <c:manualLayout>
          <c:xMode val="edge"/>
          <c:yMode val="edge"/>
          <c:x val="0.23685254604579473"/>
          <c:y val="6.42750716641743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269028871391076"/>
          <c:y val="8.5110331300092601E-2"/>
          <c:w val="0.63956741004774031"/>
          <c:h val="0.5909229120624055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'YTD Yield'!$B$11:$C$11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55-4615-8731-FDB16D169332}"/>
              </c:ext>
            </c:extLst>
          </c:dPt>
          <c:dLbls>
            <c:dLbl>
              <c:idx val="0"/>
              <c:layout>
                <c:manualLayout>
                  <c:x val="-5.0159257011218347E-17"/>
                  <c:y val="3.4736384687681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55-4615-8731-FDB16D169332}"/>
                </c:ext>
              </c:extLst>
            </c:dLbl>
            <c:dLbl>
              <c:idx val="1"/>
              <c:layout>
                <c:manualLayout>
                  <c:x val="-5.4747663338159089E-17"/>
                  <c:y val="4.74115259640617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55-4615-8731-FDB16D169332}"/>
                </c:ext>
              </c:extLst>
            </c:dLbl>
            <c:dLbl>
              <c:idx val="2"/>
              <c:layout>
                <c:manualLayout>
                  <c:x val="0"/>
                  <c:y val="3.4736384687681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55-4615-8731-FDB16D169332}"/>
                </c:ext>
              </c:extLst>
            </c:dLbl>
            <c:dLbl>
              <c:idx val="4"/>
              <c:layout>
                <c:manualLayout>
                  <c:x val="0"/>
                  <c:y val="3.80647596455201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4A3-4095-A7D0-CB11FE99141F}"/>
                </c:ext>
              </c:extLst>
            </c:dLbl>
            <c:dLbl>
              <c:idx val="6"/>
              <c:layout>
                <c:manualLayout>
                  <c:x val="9.9573254122156305E-4"/>
                  <c:y val="5.32906635037282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4A3-4095-A7D0-CB11FE99141F}"/>
                </c:ext>
              </c:extLst>
            </c:dLbl>
            <c:dLbl>
              <c:idx val="7"/>
              <c:layout>
                <c:manualLayout>
                  <c:x val="-1.4603908565651642E-16"/>
                  <c:y val="5.32906635037282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4A3-4095-A7D0-CB11FE99141F}"/>
                </c:ext>
              </c:extLst>
            </c:dLbl>
            <c:dLbl>
              <c:idx val="8"/>
              <c:layout>
                <c:manualLayout>
                  <c:x val="0"/>
                  <c:y val="4.31400609315894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4A3-4095-A7D0-CB11FE99141F}"/>
                </c:ext>
              </c:extLst>
            </c:dLbl>
            <c:dLbl>
              <c:idx val="9"/>
              <c:layout>
                <c:manualLayout>
                  <c:x val="0"/>
                  <c:y val="3.2989458359450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A3-4095-A7D0-CB11FE9914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'YTD Yield'!$D$7:$M$7</c:f>
              <c:strCache>
                <c:ptCount val="10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SEPT 2024</c:v>
                </c:pt>
                <c:pt idx="9">
                  <c:v>OCT 2024</c:v>
                </c:pt>
              </c:strCache>
            </c:strRef>
          </c:cat>
          <c:val>
            <c:numRef>
              <c:f>'YTD Yield'!$D$11:$M$11</c:f>
              <c:numCache>
                <c:formatCode>_-* #,##0_-;\-* #,##0_-;_-* "-"??_-;_-@_-</c:formatCode>
                <c:ptCount val="10"/>
                <c:pt idx="0">
                  <c:v>420112</c:v>
                </c:pt>
                <c:pt idx="1">
                  <c:v>197627</c:v>
                </c:pt>
                <c:pt idx="2">
                  <c:v>260566</c:v>
                </c:pt>
                <c:pt idx="3">
                  <c:v>302350</c:v>
                </c:pt>
                <c:pt idx="4">
                  <c:v>185820</c:v>
                </c:pt>
                <c:pt idx="5">
                  <c:v>331386</c:v>
                </c:pt>
                <c:pt idx="6">
                  <c:v>339193</c:v>
                </c:pt>
                <c:pt idx="7">
                  <c:v>330696</c:v>
                </c:pt>
                <c:pt idx="8">
                  <c:v>286237</c:v>
                </c:pt>
                <c:pt idx="9">
                  <c:v>297862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55-4615-8731-FDB16D169332}"/>
            </c:ext>
          </c:extLst>
        </c:ser>
        <c:ser>
          <c:idx val="1"/>
          <c:order val="1"/>
          <c:tx>
            <c:strRef>
              <c:f>'YTD Yield'!$B$10:$C$10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679955396882434E-3"/>
                  <c:y val="3.4736384687681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55-4615-8731-FDB16D169332}"/>
                </c:ext>
              </c:extLst>
            </c:dLbl>
            <c:dLbl>
              <c:idx val="1"/>
              <c:layout>
                <c:manualLayout>
                  <c:x val="1.4931353396683029E-3"/>
                  <c:y val="6.06651853712476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855-4615-8731-FDB16D169332}"/>
                </c:ext>
              </c:extLst>
            </c:dLbl>
            <c:dLbl>
              <c:idx val="2"/>
              <c:layout>
                <c:manualLayout>
                  <c:x val="0"/>
                  <c:y val="3.4736384687681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855-4615-8731-FDB16D169332}"/>
                </c:ext>
              </c:extLst>
            </c:dLbl>
            <c:dLbl>
              <c:idx val="3"/>
              <c:layout>
                <c:manualLayout>
                  <c:x val="-7.3019542828258209E-17"/>
                  <c:y val="5.07530128606935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4A3-4095-A7D0-CB11FE99141F}"/>
                </c:ext>
              </c:extLst>
            </c:dLbl>
            <c:dLbl>
              <c:idx val="4"/>
              <c:layout>
                <c:manualLayout>
                  <c:x val="1.9914650824430532E-3"/>
                  <c:y val="5.07530128606935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4A3-4095-A7D0-CB11FE99141F}"/>
                </c:ext>
              </c:extLst>
            </c:dLbl>
            <c:dLbl>
              <c:idx val="5"/>
              <c:layout>
                <c:manualLayout>
                  <c:x val="-9.9573254122156305E-4"/>
                  <c:y val="6.0903615432832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4A3-4095-A7D0-CB11FE99141F}"/>
                </c:ext>
              </c:extLst>
            </c:dLbl>
            <c:dLbl>
              <c:idx val="6"/>
              <c:layout>
                <c:manualLayout>
                  <c:x val="-1.4603908565651642E-16"/>
                  <c:y val="4.06024102885548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A3-4095-A7D0-CB11FE99141F}"/>
                </c:ext>
              </c:extLst>
            </c:dLbl>
            <c:dLbl>
              <c:idx val="7"/>
              <c:layout>
                <c:manualLayout>
                  <c:x val="0"/>
                  <c:y val="6.34412660758669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4A3-4095-A7D0-CB11FE99141F}"/>
                </c:ext>
              </c:extLst>
            </c:dLbl>
            <c:dLbl>
              <c:idx val="8"/>
              <c:layout>
                <c:manualLayout>
                  <c:x val="0"/>
                  <c:y val="6.8516567361936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A3-4095-A7D0-CB11FE99141F}"/>
                </c:ext>
              </c:extLst>
            </c:dLbl>
            <c:dLbl>
              <c:idx val="9"/>
              <c:layout>
                <c:manualLayout>
                  <c:x val="0"/>
                  <c:y val="4.28500550049624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F6-4D8F-9740-4A9A2A8C54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'YTD Yield'!$D$7:$M$7</c:f>
              <c:strCache>
                <c:ptCount val="10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SEPT 2024</c:v>
                </c:pt>
                <c:pt idx="9">
                  <c:v>OCT 2024</c:v>
                </c:pt>
              </c:strCache>
            </c:strRef>
          </c:cat>
          <c:val>
            <c:numRef>
              <c:f>'YTD Yield'!$D$10:$M$10</c:f>
              <c:numCache>
                <c:formatCode>_-* #,##0_-;\-* #,##0_-;_-* "-"??_-;_-@_-</c:formatCode>
                <c:ptCount val="10"/>
                <c:pt idx="0">
                  <c:v>556839.14999999991</c:v>
                </c:pt>
                <c:pt idx="1">
                  <c:v>185220</c:v>
                </c:pt>
                <c:pt idx="2">
                  <c:v>327862.5</c:v>
                </c:pt>
                <c:pt idx="3">
                  <c:v>427665</c:v>
                </c:pt>
                <c:pt idx="4">
                  <c:v>275520</c:v>
                </c:pt>
                <c:pt idx="5">
                  <c:v>407715</c:v>
                </c:pt>
                <c:pt idx="6">
                  <c:v>460530</c:v>
                </c:pt>
                <c:pt idx="7">
                  <c:v>426300</c:v>
                </c:pt>
                <c:pt idx="8">
                  <c:v>395640</c:v>
                </c:pt>
                <c:pt idx="9">
                  <c:v>327915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855-4615-8731-FDB16D169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'YTD Yield'!$B$9:$C$9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'YTD Yield'!$D$7:$M$7</c15:sqref>
                        </c15:formulaRef>
                      </c:ext>
                    </c:extLst>
                    <c:strCache>
                      <c:ptCount val="10"/>
                      <c:pt idx="0">
                        <c:v>JAN 2024</c:v>
                      </c:pt>
                      <c:pt idx="1">
                        <c:v>FEB 2024</c:v>
                      </c:pt>
                      <c:pt idx="2">
                        <c:v>MAR 2024</c:v>
                      </c:pt>
                      <c:pt idx="3">
                        <c:v>APR 2024</c:v>
                      </c:pt>
                      <c:pt idx="4">
                        <c:v>MAY 2024</c:v>
                      </c:pt>
                      <c:pt idx="5">
                        <c:v>JUN 2024</c:v>
                      </c:pt>
                      <c:pt idx="6">
                        <c:v>JUL 2024</c:v>
                      </c:pt>
                      <c:pt idx="7">
                        <c:v>AUG 2024</c:v>
                      </c:pt>
                      <c:pt idx="8">
                        <c:v>SEPT 2024</c:v>
                      </c:pt>
                      <c:pt idx="9">
                        <c:v>OCT 2024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'YTD Yield'!$D$9:$M$9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0"/>
                      <c:pt idx="0">
                        <c:v>5303.23</c:v>
                      </c:pt>
                      <c:pt idx="1">
                        <c:v>1764</c:v>
                      </c:pt>
                      <c:pt idx="2">
                        <c:v>3122.5</c:v>
                      </c:pt>
                      <c:pt idx="3">
                        <c:v>4073</c:v>
                      </c:pt>
                      <c:pt idx="4">
                        <c:v>2624</c:v>
                      </c:pt>
                      <c:pt idx="5">
                        <c:v>3883</c:v>
                      </c:pt>
                      <c:pt idx="6">
                        <c:v>4386</c:v>
                      </c:pt>
                      <c:pt idx="7">
                        <c:v>4060</c:v>
                      </c:pt>
                      <c:pt idx="8">
                        <c:v>3768</c:v>
                      </c:pt>
                      <c:pt idx="9">
                        <c:v>3123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D855-4615-8731-FDB16D16933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'YTD Yield'!$B$12:$C$12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2496942195061646E-2"/>
                  <c:y val="-3.416057414046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855-4615-8731-FDB16D169332}"/>
                </c:ext>
              </c:extLst>
            </c:dLbl>
            <c:dLbl>
              <c:idx val="1"/>
              <c:layout>
                <c:manualLayout>
                  <c:x val="-2.809554625852724E-2"/>
                  <c:y val="-2.7708147796769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855-4615-8731-FDB16D169332}"/>
                </c:ext>
              </c:extLst>
            </c:dLbl>
            <c:dLbl>
              <c:idx val="2"/>
              <c:layout>
                <c:manualLayout>
                  <c:x val="-3.0501090894332729E-3"/>
                  <c:y val="-1.7763554501242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855-4615-8731-FDB16D169332}"/>
                </c:ext>
              </c:extLst>
            </c:dLbl>
            <c:dLbl>
              <c:idx val="6"/>
              <c:layout>
                <c:manualLayout>
                  <c:x val="-2.9871976236646894E-3"/>
                  <c:y val="2.28388557873120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4A3-4095-A7D0-CB11FE99141F}"/>
                </c:ext>
              </c:extLst>
            </c:dLbl>
            <c:dLbl>
              <c:idx val="7"/>
              <c:layout>
                <c:manualLayout>
                  <c:x val="-4.9786627061078155E-3"/>
                  <c:y val="-5.07530128606940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4A3-4095-A7D0-CB11FE9914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'YTD Yield'!$D$7:$M$7</c:f>
              <c:strCache>
                <c:ptCount val="10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SEPT 2024</c:v>
                </c:pt>
                <c:pt idx="9">
                  <c:v>OCT 2024</c:v>
                </c:pt>
              </c:strCache>
            </c:strRef>
          </c:cat>
          <c:val>
            <c:numRef>
              <c:f>'YTD Yield'!$D$12:$M$12</c:f>
              <c:numCache>
                <c:formatCode>_-* #,##0_-;\-* #,##0_-;_-* "-"??_-;_-@_-</c:formatCode>
                <c:ptCount val="10"/>
                <c:pt idx="0">
                  <c:v>79.218136871302974</c:v>
                </c:pt>
                <c:pt idx="1">
                  <c:v>112.03344671201815</c:v>
                </c:pt>
                <c:pt idx="2">
                  <c:v>83.44787830264211</c:v>
                </c:pt>
                <c:pt idx="3">
                  <c:v>74.232752271053272</c:v>
                </c:pt>
                <c:pt idx="4">
                  <c:v>70.815548780487802</c:v>
                </c:pt>
                <c:pt idx="5">
                  <c:v>85.342776203966011</c:v>
                </c:pt>
                <c:pt idx="6">
                  <c:v>77.335385316917467</c:v>
                </c:pt>
                <c:pt idx="7">
                  <c:v>81.452216748768478</c:v>
                </c:pt>
                <c:pt idx="8">
                  <c:v>75.965233545647564</c:v>
                </c:pt>
                <c:pt idx="9">
                  <c:v>95.376881203970541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855-4615-8731-FDB16D169332}"/>
            </c:ext>
          </c:extLst>
        </c:ser>
        <c:ser>
          <c:idx val="4"/>
          <c:order val="4"/>
          <c:tx>
            <c:strRef>
              <c:f>'YTD Yield'!$B$13:$C$13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'YTD Yield'!$D$7:$M$7</c:f>
              <c:strCache>
                <c:ptCount val="10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SEPT 2024</c:v>
                </c:pt>
                <c:pt idx="9">
                  <c:v>OCT 2024</c:v>
                </c:pt>
              </c:strCache>
            </c:strRef>
          </c:cat>
          <c:val>
            <c:numRef>
              <c:f>'YTD Yield'!$D$13:$M$13</c:f>
              <c:numCache>
                <c:formatCode>_-* #,##0_-;\-* #,##0_-;_-* "-"??_-;_-@_-</c:formatCode>
                <c:ptCount val="10"/>
                <c:pt idx="0">
                  <c:v>105</c:v>
                </c:pt>
                <c:pt idx="1">
                  <c:v>105</c:v>
                </c:pt>
                <c:pt idx="2">
                  <c:v>105</c:v>
                </c:pt>
                <c:pt idx="3">
                  <c:v>105</c:v>
                </c:pt>
                <c:pt idx="4">
                  <c:v>105</c:v>
                </c:pt>
                <c:pt idx="5">
                  <c:v>105</c:v>
                </c:pt>
                <c:pt idx="6">
                  <c:v>105</c:v>
                </c:pt>
                <c:pt idx="7">
                  <c:v>105</c:v>
                </c:pt>
                <c:pt idx="8">
                  <c:v>105</c:v>
                </c:pt>
                <c:pt idx="9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855-4615-8731-FDB16D169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600" b="1"/>
                  <a:t>Nm3</a:t>
                </a:r>
              </a:p>
            </c:rich>
          </c:tx>
          <c:layout>
            <c:manualLayout>
              <c:xMode val="edge"/>
              <c:yMode val="edge"/>
              <c:x val="0.17767804423075309"/>
              <c:y val="0.344624146964740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  <c:majorUnit val="50000"/>
      </c:valAx>
      <c:valAx>
        <c:axId val="305566736"/>
        <c:scaling>
          <c:orientation val="minMax"/>
          <c:max val="115"/>
          <c:min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600" b="1"/>
                  <a:t>Nm3/ton</a:t>
                </a:r>
              </a:p>
            </c:rich>
          </c:tx>
          <c:layout>
            <c:manualLayout>
              <c:xMode val="edge"/>
              <c:yMode val="edge"/>
              <c:x val="0.94023519202623673"/>
              <c:y val="0.353237772470247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  <c:majorUnit val="20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344185801529158E-3"/>
          <c:y val="0.92326542036376791"/>
          <c:w val="0.99018879479895583"/>
          <c:h val="6.66609378998529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PH" sz="1600" b="1">
                <a:solidFill>
                  <a:schemeClr val="tx1"/>
                </a:solidFill>
              </a:rPr>
              <a:t>Biogas Conversion (Yield) - Factoring the DS Content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94307296004804"/>
          <c:y val="7.2393844182113795E-2"/>
          <c:w val="0.64755261890531735"/>
          <c:h val="0.595684440389846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'YTD Yield'!$B$53:$C$53</c:f>
              <c:strCache>
                <c:ptCount val="2"/>
                <c:pt idx="0">
                  <c:v>Actual Gas Produced</c:v>
                </c:pt>
                <c:pt idx="1">
                  <c:v>(Nm3)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0308078851395952E-17"/>
                  <c:y val="3.3491986234661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37C-4C0E-BB60-DD1E2F15C266}"/>
                </c:ext>
              </c:extLst>
            </c:dLbl>
            <c:dLbl>
              <c:idx val="1"/>
              <c:layout>
                <c:manualLayout>
                  <c:x val="0"/>
                  <c:y val="7.90373541273648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7C-4C0E-BB60-DD1E2F15C266}"/>
                </c:ext>
              </c:extLst>
            </c:dLbl>
            <c:dLbl>
              <c:idx val="2"/>
              <c:layout>
                <c:manualLayout>
                  <c:x val="-2.9778405522660201E-3"/>
                  <c:y val="4.60778785464542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7C-4C0E-BB60-DD1E2F15C266}"/>
                </c:ext>
              </c:extLst>
            </c:dLbl>
            <c:dLbl>
              <c:idx val="3"/>
              <c:layout>
                <c:manualLayout>
                  <c:x val="0"/>
                  <c:y val="6.0905939887755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37C-4C0E-BB60-DD1E2F15C266}"/>
                </c:ext>
              </c:extLst>
            </c:dLbl>
            <c:dLbl>
              <c:idx val="9"/>
              <c:layout>
                <c:manualLayout>
                  <c:x val="0"/>
                  <c:y val="3.5834113448984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94-49C2-94CF-62FD053073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'YTD Yield'!$D$7:$M$7</c:f>
              <c:strCache>
                <c:ptCount val="10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SEPT 2024</c:v>
                </c:pt>
                <c:pt idx="9">
                  <c:v>OCT 2024</c:v>
                </c:pt>
              </c:strCache>
            </c:strRef>
          </c:cat>
          <c:val>
            <c:numRef>
              <c:f>'YTD Yield'!$D$53:$M$53</c:f>
              <c:numCache>
                <c:formatCode>_-* #,##0_-;\-* #,##0_-;_-* "-"??_-;_-@_-</c:formatCode>
                <c:ptCount val="10"/>
                <c:pt idx="0">
                  <c:v>420112</c:v>
                </c:pt>
                <c:pt idx="1">
                  <c:v>197627</c:v>
                </c:pt>
                <c:pt idx="2">
                  <c:v>260566</c:v>
                </c:pt>
                <c:pt idx="3">
                  <c:v>302350</c:v>
                </c:pt>
                <c:pt idx="4">
                  <c:v>185820</c:v>
                </c:pt>
                <c:pt idx="5">
                  <c:v>331386</c:v>
                </c:pt>
                <c:pt idx="6">
                  <c:v>339193</c:v>
                </c:pt>
                <c:pt idx="7">
                  <c:v>330696</c:v>
                </c:pt>
                <c:pt idx="8">
                  <c:v>286237</c:v>
                </c:pt>
                <c:pt idx="9">
                  <c:v>114718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7C-4C0E-BB60-DD1E2F15C266}"/>
            </c:ext>
          </c:extLst>
        </c:ser>
        <c:ser>
          <c:idx val="1"/>
          <c:order val="1"/>
          <c:tx>
            <c:strRef>
              <c:f>'YTD Yield'!$B$52:$C$52</c:f>
              <c:strCache>
                <c:ptCount val="2"/>
                <c:pt idx="0">
                  <c:v>SCA Gas Equivalent</c:v>
                </c:pt>
                <c:pt idx="1">
                  <c:v>(Nm3)</c:v>
                </c:pt>
              </c:strCache>
            </c:strRef>
          </c:tx>
          <c:spPr>
            <a:solidFill>
              <a:schemeClr val="accent2"/>
            </a:solidFill>
            <a:ln w="762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8031734130258613E-3"/>
                  <c:y val="0.106887541331439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7C-4C0E-BB60-DD1E2F15C266}"/>
                </c:ext>
              </c:extLst>
            </c:dLbl>
            <c:dLbl>
              <c:idx val="1"/>
              <c:layout>
                <c:manualLayout>
                  <c:x val="0"/>
                  <c:y val="4.963818220095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37C-4C0E-BB60-DD1E2F15C266}"/>
                </c:ext>
              </c:extLst>
            </c:dLbl>
            <c:dLbl>
              <c:idx val="2"/>
              <c:layout>
                <c:manualLayout>
                  <c:x val="-1.3720926321837148E-3"/>
                  <c:y val="4.83074852734170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37C-4C0E-BB60-DD1E2F15C266}"/>
                </c:ext>
              </c:extLst>
            </c:dLbl>
            <c:dLbl>
              <c:idx val="9"/>
              <c:layout>
                <c:manualLayout>
                  <c:x val="-1.138838824175861E-16"/>
                  <c:y val="3.7824897529483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94-49C2-94CF-62FD053073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'YTD Yield'!$D$7:$M$7</c:f>
              <c:strCache>
                <c:ptCount val="10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SEPT 2024</c:v>
                </c:pt>
                <c:pt idx="9">
                  <c:v>OCT 2024</c:v>
                </c:pt>
              </c:strCache>
            </c:strRef>
          </c:cat>
          <c:val>
            <c:numRef>
              <c:f>'YTD Yield'!$D$52:$M$52</c:f>
              <c:numCache>
                <c:formatCode>_-* #,##0_-;\-* #,##0_-;_-* "-"??_-;_-@_-</c:formatCode>
                <c:ptCount val="10"/>
                <c:pt idx="0">
                  <c:v>523428.80099999998</c:v>
                </c:pt>
                <c:pt idx="1">
                  <c:v>174106.8</c:v>
                </c:pt>
                <c:pt idx="2">
                  <c:v>310376.5</c:v>
                </c:pt>
                <c:pt idx="3">
                  <c:v>402005.1</c:v>
                </c:pt>
                <c:pt idx="4">
                  <c:v>266336</c:v>
                </c:pt>
                <c:pt idx="5">
                  <c:v>389503.73000000004</c:v>
                </c:pt>
                <c:pt idx="6">
                  <c:v>427064.82</c:v>
                </c:pt>
                <c:pt idx="7">
                  <c:v>398448.39999999997</c:v>
                </c:pt>
                <c:pt idx="8">
                  <c:v>376121.76</c:v>
                </c:pt>
                <c:pt idx="9">
                  <c:v>106027.67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37C-4C0E-BB60-DD1E2F15C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22406128"/>
        <c:axId val="72504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'YTD Yield'!$B$9:$C$9</c15:sqref>
                        </c15:formulaRef>
                      </c:ext>
                    </c:extLst>
                    <c:strCache>
                      <c:ptCount val="2"/>
                      <c:pt idx="0">
                        <c:v>Available Substrate</c:v>
                      </c:pt>
                      <c:pt idx="1">
                        <c:v>(Nm3)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'YTD Yield'!$D$7:$M$7</c15:sqref>
                        </c15:formulaRef>
                      </c:ext>
                    </c:extLst>
                    <c:strCache>
                      <c:ptCount val="10"/>
                      <c:pt idx="0">
                        <c:v>JAN 2024</c:v>
                      </c:pt>
                      <c:pt idx="1">
                        <c:v>FEB 2024</c:v>
                      </c:pt>
                      <c:pt idx="2">
                        <c:v>MAR 2024</c:v>
                      </c:pt>
                      <c:pt idx="3">
                        <c:v>APR 2024</c:v>
                      </c:pt>
                      <c:pt idx="4">
                        <c:v>MAY 2024</c:v>
                      </c:pt>
                      <c:pt idx="5">
                        <c:v>JUN 2024</c:v>
                      </c:pt>
                      <c:pt idx="6">
                        <c:v>JUL 2024</c:v>
                      </c:pt>
                      <c:pt idx="7">
                        <c:v>AUG 2024</c:v>
                      </c:pt>
                      <c:pt idx="8">
                        <c:v>SEPT 2024</c:v>
                      </c:pt>
                      <c:pt idx="9">
                        <c:v>OCT 2024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'YTD Yield'!$D$9:$M$9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0"/>
                      <c:pt idx="0">
                        <c:v>5303.23</c:v>
                      </c:pt>
                      <c:pt idx="1">
                        <c:v>1764</c:v>
                      </c:pt>
                      <c:pt idx="2">
                        <c:v>3122.5</c:v>
                      </c:pt>
                      <c:pt idx="3">
                        <c:v>4073</c:v>
                      </c:pt>
                      <c:pt idx="4">
                        <c:v>2624</c:v>
                      </c:pt>
                      <c:pt idx="5">
                        <c:v>3883</c:v>
                      </c:pt>
                      <c:pt idx="6">
                        <c:v>4386</c:v>
                      </c:pt>
                      <c:pt idx="7">
                        <c:v>4060</c:v>
                      </c:pt>
                      <c:pt idx="8">
                        <c:v>3768</c:v>
                      </c:pt>
                      <c:pt idx="9">
                        <c:v>3123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837C-4C0E-BB60-DD1E2F15C2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'YTD Yield'!$B$55:$C$55</c:f>
              <c:strCache>
                <c:ptCount val="2"/>
                <c:pt idx="0">
                  <c:v>Actual Yield</c:v>
                </c:pt>
                <c:pt idx="1">
                  <c:v>(Nm3/ton)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0278921618298227E-2"/>
                  <c:y val="-3.1348240859611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37C-4C0E-BB60-DD1E2F15C266}"/>
                </c:ext>
              </c:extLst>
            </c:dLbl>
            <c:dLbl>
              <c:idx val="1"/>
              <c:layout>
                <c:manualLayout>
                  <c:x val="-1.3075589999027718E-3"/>
                  <c:y val="-2.4146229705798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37C-4C0E-BB60-DD1E2F15C266}"/>
                </c:ext>
              </c:extLst>
            </c:dLbl>
            <c:dLbl>
              <c:idx val="3"/>
              <c:layout>
                <c:manualLayout>
                  <c:x val="-3.9772728607263899E-3"/>
                  <c:y val="-3.26281820827262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37C-4C0E-BB60-DD1E2F15C2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'YTD Yield'!$D$7:$M$7</c:f>
              <c:strCache>
                <c:ptCount val="10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SEPT 2024</c:v>
                </c:pt>
                <c:pt idx="9">
                  <c:v>OCT 2024</c:v>
                </c:pt>
              </c:strCache>
            </c:strRef>
          </c:cat>
          <c:val>
            <c:numRef>
              <c:f>'YTD Yield'!$D$55:$M$55</c:f>
              <c:numCache>
                <c:formatCode>_-* #,##0_-;\-* #,##0_-;_-* "-"??_-;_-@_-</c:formatCode>
                <c:ptCount val="10"/>
                <c:pt idx="0">
                  <c:v>84.274613692875491</c:v>
                </c:pt>
                <c:pt idx="1">
                  <c:v>119.18451777874272</c:v>
                </c:pt>
                <c:pt idx="2">
                  <c:v>88.149167221100825</c:v>
                </c:pt>
                <c:pt idx="3">
                  <c:v>78.971013054311996</c:v>
                </c:pt>
                <c:pt idx="4">
                  <c:v>73.257464255677036</c:v>
                </c:pt>
                <c:pt idx="5">
                  <c:v>89.332982767584781</c:v>
                </c:pt>
                <c:pt idx="6">
                  <c:v>83.395455050593952</c:v>
                </c:pt>
                <c:pt idx="7">
                  <c:v>87.145738318939166</c:v>
                </c:pt>
                <c:pt idx="8">
                  <c:v>79.907328414075266</c:v>
                </c:pt>
                <c:pt idx="9">
                  <c:v>113.60609923805738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37C-4C0E-BB60-DD1E2F15C266}"/>
            </c:ext>
          </c:extLst>
        </c:ser>
        <c:ser>
          <c:idx val="4"/>
          <c:order val="4"/>
          <c:tx>
            <c:strRef>
              <c:f>'YTD Yield'!$B$56:$C$56</c:f>
              <c:strCache>
                <c:ptCount val="2"/>
                <c:pt idx="0">
                  <c:v>Target Yield</c:v>
                </c:pt>
                <c:pt idx="1">
                  <c:v>(Nm3/ton)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'YTD Yield'!$D$7:$M$7</c:f>
              <c:strCache>
                <c:ptCount val="10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SEPT 2024</c:v>
                </c:pt>
                <c:pt idx="9">
                  <c:v>OCT 2024</c:v>
                </c:pt>
              </c:strCache>
            </c:strRef>
          </c:cat>
          <c:val>
            <c:numRef>
              <c:f>'YTD Yield'!$D$56:$M$56</c:f>
              <c:numCache>
                <c:formatCode>_-* #,##0_-;\-* #,##0_-;_-* "-"??_-;_-@_-</c:formatCode>
                <c:ptCount val="10"/>
                <c:pt idx="0">
                  <c:v>105</c:v>
                </c:pt>
                <c:pt idx="1">
                  <c:v>105</c:v>
                </c:pt>
                <c:pt idx="2">
                  <c:v>105</c:v>
                </c:pt>
                <c:pt idx="3">
                  <c:v>105</c:v>
                </c:pt>
                <c:pt idx="4">
                  <c:v>105</c:v>
                </c:pt>
                <c:pt idx="5">
                  <c:v>105</c:v>
                </c:pt>
                <c:pt idx="6">
                  <c:v>105</c:v>
                </c:pt>
                <c:pt idx="7">
                  <c:v>105</c:v>
                </c:pt>
                <c:pt idx="8">
                  <c:v>105</c:v>
                </c:pt>
                <c:pt idx="9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37C-4C0E-BB60-DD1E2F15C266}"/>
            </c:ext>
          </c:extLst>
        </c:ser>
        <c:ser>
          <c:idx val="5"/>
          <c:order val="5"/>
          <c:tx>
            <c:strRef>
              <c:f>'YTD Yield'!$B$54</c:f>
              <c:strCache>
                <c:ptCount val="1"/>
                <c:pt idx="0">
                  <c:v>%DS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'YTD Yield'!$D$54:$M$54</c:f>
              <c:numCache>
                <c:formatCode>_(* #,##0.00_);_(* \(#,##0.00\);_(* "-"??_);_(@_)</c:formatCode>
                <c:ptCount val="10"/>
                <c:pt idx="0">
                  <c:v>14.1</c:v>
                </c:pt>
                <c:pt idx="1">
                  <c:v>14.1</c:v>
                </c:pt>
                <c:pt idx="2">
                  <c:v>14.2</c:v>
                </c:pt>
                <c:pt idx="3">
                  <c:v>14.1</c:v>
                </c:pt>
                <c:pt idx="4">
                  <c:v>14.5</c:v>
                </c:pt>
                <c:pt idx="5">
                  <c:v>14.33</c:v>
                </c:pt>
                <c:pt idx="6">
                  <c:v>13.91</c:v>
                </c:pt>
                <c:pt idx="7">
                  <c:v>14.02</c:v>
                </c:pt>
                <c:pt idx="8">
                  <c:v>14.26</c:v>
                </c:pt>
                <c:pt idx="9">
                  <c:v>14.33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37C-4C0E-BB60-DD1E2F15C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73440"/>
        <c:axId val="305566736"/>
      </c:lineChart>
      <c:catAx>
        <c:axId val="622406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5043712"/>
        <c:crosses val="autoZero"/>
        <c:auto val="1"/>
        <c:lblAlgn val="ctr"/>
        <c:lblOffset val="100"/>
        <c:noMultiLvlLbl val="1"/>
      </c:catAx>
      <c:valAx>
        <c:axId val="725043712"/>
        <c:scaling>
          <c:orientation val="minMax"/>
          <c:max val="4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600" b="1"/>
                  <a:t>Nm3</a:t>
                </a:r>
              </a:p>
            </c:rich>
          </c:tx>
          <c:layout>
            <c:manualLayout>
              <c:xMode val="edge"/>
              <c:yMode val="edge"/>
              <c:x val="0.17764637988702509"/>
              <c:y val="0.383655524499311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06128"/>
        <c:crosses val="autoZero"/>
        <c:crossBetween val="between"/>
      </c:valAx>
      <c:valAx>
        <c:axId val="305566736"/>
        <c:scaling>
          <c:orientation val="minMax"/>
          <c:max val="125"/>
          <c:min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600" b="1"/>
                  <a:t>Nm3/ton</a:t>
                </a:r>
              </a:p>
            </c:rich>
          </c:tx>
          <c:layout>
            <c:manualLayout>
              <c:xMode val="edge"/>
              <c:yMode val="edge"/>
              <c:x val="0.94848656546908217"/>
              <c:y val="0.3316177703527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73440"/>
        <c:crosses val="max"/>
        <c:crossBetween val="between"/>
        <c:majorUnit val="20"/>
      </c:valAx>
      <c:catAx>
        <c:axId val="61707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5566736"/>
        <c:crossesAt val="50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5698343261860413E-2"/>
          <c:y val="0.93011537715325965"/>
          <c:w val="0.89999989904520317"/>
          <c:h val="6.9555885163036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5" Type="http://schemas.openxmlformats.org/officeDocument/2006/relationships/chart" Target="../charts/chart75.xml"/><Relationship Id="rId4" Type="http://schemas.openxmlformats.org/officeDocument/2006/relationships/chart" Target="../charts/chart7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8.xml"/><Relationship Id="rId1" Type="http://schemas.openxmlformats.org/officeDocument/2006/relationships/chart" Target="../charts/chart7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8581</xdr:colOff>
      <xdr:row>6</xdr:row>
      <xdr:rowOff>21453</xdr:rowOff>
    </xdr:from>
    <xdr:to>
      <xdr:col>7</xdr:col>
      <xdr:colOff>1209933</xdr:colOff>
      <xdr:row>24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FDB873-49C4-440A-BCB0-58DDBD7AE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1559155</xdr:colOff>
      <xdr:row>84</xdr:row>
      <xdr:rowOff>95125</xdr:rowOff>
    </xdr:from>
    <xdr:to>
      <xdr:col>8</xdr:col>
      <xdr:colOff>103187</xdr:colOff>
      <xdr:row>105</xdr:row>
      <xdr:rowOff>166689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72A005-75ED-4593-88E6-DA7699C7D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1539875</xdr:colOff>
      <xdr:row>49</xdr:row>
      <xdr:rowOff>12181</xdr:rowOff>
    </xdr:from>
    <xdr:to>
      <xdr:col>8</xdr:col>
      <xdr:colOff>0</xdr:colOff>
      <xdr:row>69</xdr:row>
      <xdr:rowOff>54161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AC0541-688E-4C6F-A92A-A2F40B9301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1468438</xdr:colOff>
      <xdr:row>128</xdr:row>
      <xdr:rowOff>168353</xdr:rowOff>
    </xdr:from>
    <xdr:to>
      <xdr:col>8</xdr:col>
      <xdr:colOff>634999</xdr:colOff>
      <xdr:row>161</xdr:row>
      <xdr:rowOff>71438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900BB9-6738-4630-996C-FB19CDF36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1562620</xdr:colOff>
      <xdr:row>171</xdr:row>
      <xdr:rowOff>26166</xdr:rowOff>
    </xdr:from>
    <xdr:to>
      <xdr:col>9</xdr:col>
      <xdr:colOff>23813</xdr:colOff>
      <xdr:row>204</xdr:row>
      <xdr:rowOff>146600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39C515-75F8-42FB-A232-A16229298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1362982</xdr:colOff>
      <xdr:row>71</xdr:row>
      <xdr:rowOff>122998</xdr:rowOff>
    </xdr:from>
    <xdr:to>
      <xdr:col>1</xdr:col>
      <xdr:colOff>445633</xdr:colOff>
      <xdr:row>73</xdr:row>
      <xdr:rowOff>38553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756BB57-9B1B-410E-B76D-1346D0BA9BF8}"/>
            </a:ext>
          </a:extLst>
        </xdr:cNvPr>
        <xdr:cNvSpPr/>
      </xdr:nvSpPr>
      <xdr:spPr>
        <a:xfrm>
          <a:off x="1362982" y="12949998"/>
          <a:ext cx="644751" cy="2838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Engine</a:t>
          </a:r>
        </a:p>
      </xdr:txBody>
    </xdr:sp>
    <xdr:clientData/>
  </xdr:twoCellAnchor>
  <xdr:twoCellAnchor>
    <xdr:from>
      <xdr:col>1</xdr:col>
      <xdr:colOff>1139999</xdr:colOff>
      <xdr:row>106</xdr:row>
      <xdr:rowOff>167820</xdr:rowOff>
    </xdr:from>
    <xdr:to>
      <xdr:col>2</xdr:col>
      <xdr:colOff>833438</xdr:colOff>
      <xdr:row>108</xdr:row>
      <xdr:rowOff>92981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81A76E2-3038-47EE-B354-7D0B8F22D26B}"/>
            </a:ext>
          </a:extLst>
        </xdr:cNvPr>
        <xdr:cNvSpPr/>
      </xdr:nvSpPr>
      <xdr:spPr>
        <a:xfrm>
          <a:off x="2702099" y="19840120"/>
          <a:ext cx="1376189" cy="29346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Thermax + CB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8581</xdr:colOff>
      <xdr:row>7</xdr:row>
      <xdr:rowOff>21453</xdr:rowOff>
    </xdr:from>
    <xdr:to>
      <xdr:col>7</xdr:col>
      <xdr:colOff>1209933</xdr:colOff>
      <xdr:row>25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BD09F-F33D-4688-85B1-E79184261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1559155</xdr:colOff>
      <xdr:row>87</xdr:row>
      <xdr:rowOff>95125</xdr:rowOff>
    </xdr:from>
    <xdr:to>
      <xdr:col>8</xdr:col>
      <xdr:colOff>103187</xdr:colOff>
      <xdr:row>108</xdr:row>
      <xdr:rowOff>166689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AD97CD-E876-4CF2-807E-18BE36DAB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1539875</xdr:colOff>
      <xdr:row>51</xdr:row>
      <xdr:rowOff>12181</xdr:rowOff>
    </xdr:from>
    <xdr:to>
      <xdr:col>8</xdr:col>
      <xdr:colOff>0</xdr:colOff>
      <xdr:row>71</xdr:row>
      <xdr:rowOff>54161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F7836A-2B66-4113-B5AB-6787B66D7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1468438</xdr:colOff>
      <xdr:row>131</xdr:row>
      <xdr:rowOff>168353</xdr:rowOff>
    </xdr:from>
    <xdr:to>
      <xdr:col>8</xdr:col>
      <xdr:colOff>634999</xdr:colOff>
      <xdr:row>164</xdr:row>
      <xdr:rowOff>71438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7CB6DC-B28B-4EB7-87E9-642BB5A03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1562620</xdr:colOff>
      <xdr:row>174</xdr:row>
      <xdr:rowOff>26166</xdr:rowOff>
    </xdr:from>
    <xdr:to>
      <xdr:col>9</xdr:col>
      <xdr:colOff>23813</xdr:colOff>
      <xdr:row>207</xdr:row>
      <xdr:rowOff>146600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998A37-5F10-40A3-AB23-CA4C21CA4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1362982</xdr:colOff>
      <xdr:row>73</xdr:row>
      <xdr:rowOff>122998</xdr:rowOff>
    </xdr:from>
    <xdr:to>
      <xdr:col>1</xdr:col>
      <xdr:colOff>445633</xdr:colOff>
      <xdr:row>75</xdr:row>
      <xdr:rowOff>38553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FF7A657-580C-4758-B89D-1F379F2F20FE}"/>
            </a:ext>
          </a:extLst>
        </xdr:cNvPr>
        <xdr:cNvSpPr/>
      </xdr:nvSpPr>
      <xdr:spPr>
        <a:xfrm>
          <a:off x="1362982" y="12765848"/>
          <a:ext cx="644751" cy="2838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Engine</a:t>
          </a:r>
        </a:p>
      </xdr:txBody>
    </xdr:sp>
    <xdr:clientData/>
  </xdr:twoCellAnchor>
  <xdr:twoCellAnchor>
    <xdr:from>
      <xdr:col>1</xdr:col>
      <xdr:colOff>1139999</xdr:colOff>
      <xdr:row>109</xdr:row>
      <xdr:rowOff>167820</xdr:rowOff>
    </xdr:from>
    <xdr:to>
      <xdr:col>2</xdr:col>
      <xdr:colOff>833438</xdr:colOff>
      <xdr:row>111</xdr:row>
      <xdr:rowOff>92981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BD918F7-52BC-4E03-BE16-4E85D70BBF4B}"/>
            </a:ext>
          </a:extLst>
        </xdr:cNvPr>
        <xdr:cNvSpPr/>
      </xdr:nvSpPr>
      <xdr:spPr>
        <a:xfrm>
          <a:off x="2702099" y="19655970"/>
          <a:ext cx="1376189" cy="29346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Thermax + CB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8581</xdr:colOff>
      <xdr:row>7</xdr:row>
      <xdr:rowOff>21453</xdr:rowOff>
    </xdr:from>
    <xdr:to>
      <xdr:col>7</xdr:col>
      <xdr:colOff>1209933</xdr:colOff>
      <xdr:row>25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401349-EC2E-477D-A85C-3C2F1DB5E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1541012</xdr:colOff>
      <xdr:row>86</xdr:row>
      <xdr:rowOff>31625</xdr:rowOff>
    </xdr:from>
    <xdr:to>
      <xdr:col>7</xdr:col>
      <xdr:colOff>1077232</xdr:colOff>
      <xdr:row>107</xdr:row>
      <xdr:rowOff>103189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1B31DD-695E-45C5-B5E2-C00EE82A1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1558018</xdr:colOff>
      <xdr:row>51</xdr:row>
      <xdr:rowOff>39395</xdr:rowOff>
    </xdr:from>
    <xdr:to>
      <xdr:col>8</xdr:col>
      <xdr:colOff>18143</xdr:colOff>
      <xdr:row>71</xdr:row>
      <xdr:rowOff>81375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CC010C-043F-46C6-B20A-6CF4860F4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1545550</xdr:colOff>
      <xdr:row>129</xdr:row>
      <xdr:rowOff>120728</xdr:rowOff>
    </xdr:from>
    <xdr:to>
      <xdr:col>8</xdr:col>
      <xdr:colOff>17014</xdr:colOff>
      <xdr:row>162</xdr:row>
      <xdr:rowOff>23813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EC5F12-9008-4119-A3BF-6CADBF4B8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10270</xdr:colOff>
      <xdr:row>173</xdr:row>
      <xdr:rowOff>39775</xdr:rowOff>
    </xdr:from>
    <xdr:to>
      <xdr:col>8</xdr:col>
      <xdr:colOff>63498</xdr:colOff>
      <xdr:row>206</xdr:row>
      <xdr:rowOff>108857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EAE55B-D60D-4B9B-8797-2DA4EA681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259669</xdr:colOff>
      <xdr:row>74</xdr:row>
      <xdr:rowOff>51561</xdr:rowOff>
    </xdr:from>
    <xdr:to>
      <xdr:col>2</xdr:col>
      <xdr:colOff>906008</xdr:colOff>
      <xdr:row>74</xdr:row>
      <xdr:rowOff>317501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5E33345-EDAA-499D-B0DC-6EEB365CE1BE}"/>
            </a:ext>
          </a:extLst>
        </xdr:cNvPr>
        <xdr:cNvSpPr/>
      </xdr:nvSpPr>
      <xdr:spPr>
        <a:xfrm>
          <a:off x="3504519" y="13399261"/>
          <a:ext cx="646339" cy="2659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Engine</a:t>
          </a:r>
        </a:p>
      </xdr:txBody>
    </xdr:sp>
    <xdr:clientData/>
  </xdr:twoCellAnchor>
  <xdr:twoCellAnchor>
    <xdr:from>
      <xdr:col>1</xdr:col>
      <xdr:colOff>1139999</xdr:colOff>
      <xdr:row>108</xdr:row>
      <xdr:rowOff>167820</xdr:rowOff>
    </xdr:from>
    <xdr:to>
      <xdr:col>2</xdr:col>
      <xdr:colOff>833438</xdr:colOff>
      <xdr:row>109</xdr:row>
      <xdr:rowOff>254000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6E2549A-F6BB-4FE6-B00D-29A56C3107B2}"/>
            </a:ext>
          </a:extLst>
        </xdr:cNvPr>
        <xdr:cNvSpPr/>
      </xdr:nvSpPr>
      <xdr:spPr>
        <a:xfrm>
          <a:off x="2702099" y="20354470"/>
          <a:ext cx="1376189" cy="27033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Thermax + CB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462642</xdr:colOff>
      <xdr:row>8</xdr:row>
      <xdr:rowOff>66809</xdr:rowOff>
    </xdr:from>
    <xdr:to>
      <xdr:col>3</xdr:col>
      <xdr:colOff>1097643</xdr:colOff>
      <xdr:row>26</xdr:row>
      <xdr:rowOff>124731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4DC58-92FA-45BB-9480-9E0E2EC3C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45358</xdr:colOff>
      <xdr:row>90</xdr:row>
      <xdr:rowOff>89647</xdr:rowOff>
    </xdr:from>
    <xdr:to>
      <xdr:col>3</xdr:col>
      <xdr:colOff>1083237</xdr:colOff>
      <xdr:row>111</xdr:row>
      <xdr:rowOff>139475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039062-173B-4CC8-92A4-67503D6C5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393247</xdr:colOff>
      <xdr:row>54</xdr:row>
      <xdr:rowOff>127000</xdr:rowOff>
    </xdr:from>
    <xdr:to>
      <xdr:col>3</xdr:col>
      <xdr:colOff>1095375</xdr:colOff>
      <xdr:row>74</xdr:row>
      <xdr:rowOff>153947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F09C7A-77F3-4766-8DA6-62B189018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268942</xdr:colOff>
      <xdr:row>134</xdr:row>
      <xdr:rowOff>120728</xdr:rowOff>
    </xdr:from>
    <xdr:to>
      <xdr:col>7</xdr:col>
      <xdr:colOff>558800</xdr:colOff>
      <xdr:row>159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8A3EC3-91BE-4190-9902-A2630BE05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45357</xdr:colOff>
      <xdr:row>178</xdr:row>
      <xdr:rowOff>39775</xdr:rowOff>
    </xdr:from>
    <xdr:to>
      <xdr:col>7</xdr:col>
      <xdr:colOff>653142</xdr:colOff>
      <xdr:row>210</xdr:row>
      <xdr:rowOff>72572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64CE16-BDB9-40A4-8B2E-265E95A5A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1891114</xdr:colOff>
      <xdr:row>113</xdr:row>
      <xdr:rowOff>32658</xdr:rowOff>
    </xdr:from>
    <xdr:to>
      <xdr:col>2</xdr:col>
      <xdr:colOff>1012373</xdr:colOff>
      <xdr:row>113</xdr:row>
      <xdr:rowOff>297543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2C1F5AF-53CF-485B-B860-81F22B9AB81D}"/>
            </a:ext>
          </a:extLst>
        </xdr:cNvPr>
        <xdr:cNvSpPr/>
      </xdr:nvSpPr>
      <xdr:spPr>
        <a:xfrm>
          <a:off x="2348314" y="20519572"/>
          <a:ext cx="1048030" cy="2648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Thermax</a:t>
          </a:r>
          <a:r>
            <a:rPr lang="en-US" sz="1100" baseline="0"/>
            <a:t> 1 &amp; 2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462642</xdr:colOff>
      <xdr:row>8</xdr:row>
      <xdr:rowOff>66809</xdr:rowOff>
    </xdr:from>
    <xdr:to>
      <xdr:col>3</xdr:col>
      <xdr:colOff>1097643</xdr:colOff>
      <xdr:row>26</xdr:row>
      <xdr:rowOff>124731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01183B-67EA-4936-99B3-C47F93A0C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45358</xdr:colOff>
      <xdr:row>90</xdr:row>
      <xdr:rowOff>89647</xdr:rowOff>
    </xdr:from>
    <xdr:to>
      <xdr:col>3</xdr:col>
      <xdr:colOff>1083237</xdr:colOff>
      <xdr:row>111</xdr:row>
      <xdr:rowOff>139475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264F96-D3A6-47DA-9E3C-0E7878F17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393247</xdr:colOff>
      <xdr:row>54</xdr:row>
      <xdr:rowOff>127000</xdr:rowOff>
    </xdr:from>
    <xdr:to>
      <xdr:col>3</xdr:col>
      <xdr:colOff>1095375</xdr:colOff>
      <xdr:row>74</xdr:row>
      <xdr:rowOff>153947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EA0607-660B-41B2-AD14-E64D5AB5B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268942</xdr:colOff>
      <xdr:row>134</xdr:row>
      <xdr:rowOff>120728</xdr:rowOff>
    </xdr:from>
    <xdr:to>
      <xdr:col>7</xdr:col>
      <xdr:colOff>558800</xdr:colOff>
      <xdr:row>159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3E1A1D-50A7-4486-91D0-CB68256CD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45357</xdr:colOff>
      <xdr:row>178</xdr:row>
      <xdr:rowOff>39775</xdr:rowOff>
    </xdr:from>
    <xdr:to>
      <xdr:col>7</xdr:col>
      <xdr:colOff>653142</xdr:colOff>
      <xdr:row>210</xdr:row>
      <xdr:rowOff>72572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F65C4B-3D6D-4FB8-83B3-92CC95A39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1891114</xdr:colOff>
      <xdr:row>113</xdr:row>
      <xdr:rowOff>32658</xdr:rowOff>
    </xdr:from>
    <xdr:to>
      <xdr:col>2</xdr:col>
      <xdr:colOff>1012373</xdr:colOff>
      <xdr:row>113</xdr:row>
      <xdr:rowOff>297543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AE60B31-5D62-4DDD-B872-3ACF5AAAD6AC}"/>
            </a:ext>
          </a:extLst>
        </xdr:cNvPr>
        <xdr:cNvSpPr/>
      </xdr:nvSpPr>
      <xdr:spPr>
        <a:xfrm>
          <a:off x="2348314" y="20484738"/>
          <a:ext cx="1049119" cy="2648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Thermax</a:t>
          </a:r>
          <a:r>
            <a:rPr lang="en-US" sz="1100" baseline="0"/>
            <a:t> 1 &amp; 2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462642</xdr:colOff>
      <xdr:row>8</xdr:row>
      <xdr:rowOff>66809</xdr:rowOff>
    </xdr:from>
    <xdr:to>
      <xdr:col>3</xdr:col>
      <xdr:colOff>1097643</xdr:colOff>
      <xdr:row>26</xdr:row>
      <xdr:rowOff>124731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38D477-BA3C-4E94-BA34-D6FDC3892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45358</xdr:colOff>
      <xdr:row>90</xdr:row>
      <xdr:rowOff>89647</xdr:rowOff>
    </xdr:from>
    <xdr:to>
      <xdr:col>3</xdr:col>
      <xdr:colOff>1083237</xdr:colOff>
      <xdr:row>111</xdr:row>
      <xdr:rowOff>139475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ABF683-4B71-406E-BFB3-B09136CE2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393247</xdr:colOff>
      <xdr:row>54</xdr:row>
      <xdr:rowOff>127000</xdr:rowOff>
    </xdr:from>
    <xdr:to>
      <xdr:col>3</xdr:col>
      <xdr:colOff>1095375</xdr:colOff>
      <xdr:row>74</xdr:row>
      <xdr:rowOff>153947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1D9734-D2A7-4CC2-AE49-7EEBC1E19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268942</xdr:colOff>
      <xdr:row>134</xdr:row>
      <xdr:rowOff>120728</xdr:rowOff>
    </xdr:from>
    <xdr:to>
      <xdr:col>7</xdr:col>
      <xdr:colOff>558800</xdr:colOff>
      <xdr:row>159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868BC5-D6FC-4DA5-B973-5E3F4E5A2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45357</xdr:colOff>
      <xdr:row>178</xdr:row>
      <xdr:rowOff>39775</xdr:rowOff>
    </xdr:from>
    <xdr:to>
      <xdr:col>7</xdr:col>
      <xdr:colOff>653142</xdr:colOff>
      <xdr:row>210</xdr:row>
      <xdr:rowOff>72572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67F00E-48F2-4B35-B257-278D47978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1891114</xdr:colOff>
      <xdr:row>113</xdr:row>
      <xdr:rowOff>32658</xdr:rowOff>
    </xdr:from>
    <xdr:to>
      <xdr:col>2</xdr:col>
      <xdr:colOff>1012373</xdr:colOff>
      <xdr:row>113</xdr:row>
      <xdr:rowOff>297543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9F4AFF7-2267-4DE5-8EA6-759D064A4678}"/>
            </a:ext>
          </a:extLst>
        </xdr:cNvPr>
        <xdr:cNvSpPr/>
      </xdr:nvSpPr>
      <xdr:spPr>
        <a:xfrm>
          <a:off x="2348314" y="20484738"/>
          <a:ext cx="1049119" cy="2648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Thermax</a:t>
          </a:r>
          <a:r>
            <a:rPr lang="en-US" sz="1100" baseline="0"/>
            <a:t> 1 &amp; 2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462642</xdr:colOff>
      <xdr:row>8</xdr:row>
      <xdr:rowOff>66809</xdr:rowOff>
    </xdr:from>
    <xdr:to>
      <xdr:col>3</xdr:col>
      <xdr:colOff>1097643</xdr:colOff>
      <xdr:row>26</xdr:row>
      <xdr:rowOff>124731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75C2DA-925D-490F-955B-1F03977B2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45358</xdr:colOff>
      <xdr:row>90</xdr:row>
      <xdr:rowOff>89647</xdr:rowOff>
    </xdr:from>
    <xdr:to>
      <xdr:col>3</xdr:col>
      <xdr:colOff>1083237</xdr:colOff>
      <xdr:row>111</xdr:row>
      <xdr:rowOff>139475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1DBBA4-A2BF-43D9-ACAC-87AAEFE50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393247</xdr:colOff>
      <xdr:row>54</xdr:row>
      <xdr:rowOff>127000</xdr:rowOff>
    </xdr:from>
    <xdr:to>
      <xdr:col>3</xdr:col>
      <xdr:colOff>1095375</xdr:colOff>
      <xdr:row>74</xdr:row>
      <xdr:rowOff>153947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58CB81-C868-4987-A534-3B2017B9B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268942</xdr:colOff>
      <xdr:row>134</xdr:row>
      <xdr:rowOff>120728</xdr:rowOff>
    </xdr:from>
    <xdr:to>
      <xdr:col>7</xdr:col>
      <xdr:colOff>558800</xdr:colOff>
      <xdr:row>159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F1201A-6A86-42D5-B458-89AC62EC1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45357</xdr:colOff>
      <xdr:row>178</xdr:row>
      <xdr:rowOff>39775</xdr:rowOff>
    </xdr:from>
    <xdr:to>
      <xdr:col>7</xdr:col>
      <xdr:colOff>653142</xdr:colOff>
      <xdr:row>210</xdr:row>
      <xdr:rowOff>72572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17F4F4-0BDF-42AC-BB46-DFE5D1B65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1891114</xdr:colOff>
      <xdr:row>113</xdr:row>
      <xdr:rowOff>32658</xdr:rowOff>
    </xdr:from>
    <xdr:to>
      <xdr:col>2</xdr:col>
      <xdr:colOff>1012373</xdr:colOff>
      <xdr:row>113</xdr:row>
      <xdr:rowOff>297543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B28E777-70EF-4E55-B16D-9B4BD3A1B5BF}"/>
            </a:ext>
          </a:extLst>
        </xdr:cNvPr>
        <xdr:cNvSpPr/>
      </xdr:nvSpPr>
      <xdr:spPr>
        <a:xfrm>
          <a:off x="2348314" y="20484738"/>
          <a:ext cx="1049119" cy="2648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Thermax</a:t>
          </a:r>
          <a:r>
            <a:rPr lang="en-US" sz="1100" baseline="0"/>
            <a:t> 1 &amp; 2</a:t>
          </a:r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462642</xdr:colOff>
      <xdr:row>8</xdr:row>
      <xdr:rowOff>66809</xdr:rowOff>
    </xdr:from>
    <xdr:to>
      <xdr:col>3</xdr:col>
      <xdr:colOff>1097643</xdr:colOff>
      <xdr:row>26</xdr:row>
      <xdr:rowOff>124731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7768F-A4D4-4F58-914D-B583827DC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45358</xdr:colOff>
      <xdr:row>89</xdr:row>
      <xdr:rowOff>89647</xdr:rowOff>
    </xdr:from>
    <xdr:to>
      <xdr:col>3</xdr:col>
      <xdr:colOff>1083237</xdr:colOff>
      <xdr:row>110</xdr:row>
      <xdr:rowOff>139475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8135EC-B43B-4858-9DBD-C63380584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393247</xdr:colOff>
      <xdr:row>54</xdr:row>
      <xdr:rowOff>127000</xdr:rowOff>
    </xdr:from>
    <xdr:to>
      <xdr:col>3</xdr:col>
      <xdr:colOff>1095375</xdr:colOff>
      <xdr:row>74</xdr:row>
      <xdr:rowOff>153947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6521EA-CF38-476A-89CB-025CEC10F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268942</xdr:colOff>
      <xdr:row>133</xdr:row>
      <xdr:rowOff>120728</xdr:rowOff>
    </xdr:from>
    <xdr:to>
      <xdr:col>7</xdr:col>
      <xdr:colOff>558800</xdr:colOff>
      <xdr:row>158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0A9180-1AEF-4F37-91BB-91EDA27C4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45357</xdr:colOff>
      <xdr:row>177</xdr:row>
      <xdr:rowOff>39775</xdr:rowOff>
    </xdr:from>
    <xdr:to>
      <xdr:col>7</xdr:col>
      <xdr:colOff>653142</xdr:colOff>
      <xdr:row>209</xdr:row>
      <xdr:rowOff>72572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3AE653-67D2-4432-A0EE-F06F4361F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1891114</xdr:colOff>
      <xdr:row>112</xdr:row>
      <xdr:rowOff>32658</xdr:rowOff>
    </xdr:from>
    <xdr:to>
      <xdr:col>2</xdr:col>
      <xdr:colOff>1012373</xdr:colOff>
      <xdr:row>112</xdr:row>
      <xdr:rowOff>297543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99A13B6-9BF3-4F54-8C6F-61F28954C724}"/>
            </a:ext>
          </a:extLst>
        </xdr:cNvPr>
        <xdr:cNvSpPr/>
      </xdr:nvSpPr>
      <xdr:spPr>
        <a:xfrm>
          <a:off x="2348314" y="20484738"/>
          <a:ext cx="1049119" cy="2648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Thermax</a:t>
          </a:r>
          <a:r>
            <a:rPr lang="en-US" sz="1100" baseline="0"/>
            <a:t> 1 &amp; 2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419163</xdr:colOff>
      <xdr:row>8</xdr:row>
      <xdr:rowOff>66809</xdr:rowOff>
    </xdr:from>
    <xdr:to>
      <xdr:col>3</xdr:col>
      <xdr:colOff>1046544</xdr:colOff>
      <xdr:row>26</xdr:row>
      <xdr:rowOff>124731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4AE673-90C0-4FFA-8EA6-A5C526843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45358</xdr:colOff>
      <xdr:row>90</xdr:row>
      <xdr:rowOff>0</xdr:rowOff>
    </xdr:from>
    <xdr:to>
      <xdr:col>3</xdr:col>
      <xdr:colOff>1083237</xdr:colOff>
      <xdr:row>110</xdr:row>
      <xdr:rowOff>139475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2BA79-D17C-45B7-AFC5-7A8CBDC6F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393247</xdr:colOff>
      <xdr:row>54</xdr:row>
      <xdr:rowOff>127000</xdr:rowOff>
    </xdr:from>
    <xdr:to>
      <xdr:col>3</xdr:col>
      <xdr:colOff>1095375</xdr:colOff>
      <xdr:row>74</xdr:row>
      <xdr:rowOff>153947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968B2F-8247-4DF0-AC8B-C7238A1B9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268942</xdr:colOff>
      <xdr:row>134</xdr:row>
      <xdr:rowOff>120728</xdr:rowOff>
    </xdr:from>
    <xdr:to>
      <xdr:col>7</xdr:col>
      <xdr:colOff>558800</xdr:colOff>
      <xdr:row>159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784DF4-ABD9-4FC1-BA47-9A7EF107B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45357</xdr:colOff>
      <xdr:row>178</xdr:row>
      <xdr:rowOff>39775</xdr:rowOff>
    </xdr:from>
    <xdr:to>
      <xdr:col>7</xdr:col>
      <xdr:colOff>653142</xdr:colOff>
      <xdr:row>210</xdr:row>
      <xdr:rowOff>72572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150D86-9AB2-41BB-8E43-E5969DE08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1891114</xdr:colOff>
      <xdr:row>112</xdr:row>
      <xdr:rowOff>32658</xdr:rowOff>
    </xdr:from>
    <xdr:to>
      <xdr:col>2</xdr:col>
      <xdr:colOff>1012373</xdr:colOff>
      <xdr:row>112</xdr:row>
      <xdr:rowOff>297543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E061F43-B1DF-45E7-B083-BE35319B2EAD}"/>
            </a:ext>
          </a:extLst>
        </xdr:cNvPr>
        <xdr:cNvSpPr/>
      </xdr:nvSpPr>
      <xdr:spPr>
        <a:xfrm>
          <a:off x="2348314" y="20301858"/>
          <a:ext cx="1049119" cy="2648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Thermax</a:t>
          </a:r>
          <a:r>
            <a:rPr lang="en-US" sz="1100" baseline="0"/>
            <a:t> 1 &amp; 2</a:t>
          </a:r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419163</xdr:colOff>
      <xdr:row>8</xdr:row>
      <xdr:rowOff>66809</xdr:rowOff>
    </xdr:from>
    <xdr:to>
      <xdr:col>3</xdr:col>
      <xdr:colOff>1046544</xdr:colOff>
      <xdr:row>26</xdr:row>
      <xdr:rowOff>124731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D68CDE-043A-46B4-AD3B-F871BA1C5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45358</xdr:colOff>
      <xdr:row>90</xdr:row>
      <xdr:rowOff>0</xdr:rowOff>
    </xdr:from>
    <xdr:to>
      <xdr:col>3</xdr:col>
      <xdr:colOff>1083237</xdr:colOff>
      <xdr:row>110</xdr:row>
      <xdr:rowOff>139475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1EFED8-741A-4F18-8A72-CB51ACA27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393247</xdr:colOff>
      <xdr:row>54</xdr:row>
      <xdr:rowOff>127000</xdr:rowOff>
    </xdr:from>
    <xdr:to>
      <xdr:col>3</xdr:col>
      <xdr:colOff>1095375</xdr:colOff>
      <xdr:row>74</xdr:row>
      <xdr:rowOff>153947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23C94E-82AB-4212-B53C-5F59B0F7A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268942</xdr:colOff>
      <xdr:row>134</xdr:row>
      <xdr:rowOff>120728</xdr:rowOff>
    </xdr:from>
    <xdr:to>
      <xdr:col>7</xdr:col>
      <xdr:colOff>0</xdr:colOff>
      <xdr:row>159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87D513-A6DE-4BEB-BEB0-A883BA75AC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45357</xdr:colOff>
      <xdr:row>178</xdr:row>
      <xdr:rowOff>39775</xdr:rowOff>
    </xdr:from>
    <xdr:to>
      <xdr:col>7</xdr:col>
      <xdr:colOff>0</xdr:colOff>
      <xdr:row>210</xdr:row>
      <xdr:rowOff>72572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7C4BE5-433A-4BEA-A287-9A431D466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1891114</xdr:colOff>
      <xdr:row>112</xdr:row>
      <xdr:rowOff>32658</xdr:rowOff>
    </xdr:from>
    <xdr:to>
      <xdr:col>2</xdr:col>
      <xdr:colOff>1012373</xdr:colOff>
      <xdr:row>112</xdr:row>
      <xdr:rowOff>297543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65AC62F-0824-4166-83EE-8E3583CCFFA0}"/>
            </a:ext>
          </a:extLst>
        </xdr:cNvPr>
        <xdr:cNvSpPr/>
      </xdr:nvSpPr>
      <xdr:spPr>
        <a:xfrm>
          <a:off x="2348314" y="20301858"/>
          <a:ext cx="1049119" cy="2648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Thermax</a:t>
          </a:r>
          <a:r>
            <a:rPr lang="en-US" sz="1100" baseline="0"/>
            <a:t> 1 &amp; 2</a:t>
          </a:r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419163</xdr:colOff>
      <xdr:row>8</xdr:row>
      <xdr:rowOff>66809</xdr:rowOff>
    </xdr:from>
    <xdr:to>
      <xdr:col>3</xdr:col>
      <xdr:colOff>1046544</xdr:colOff>
      <xdr:row>26</xdr:row>
      <xdr:rowOff>124731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EAD19-D03C-47D8-8FE2-453CFF375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45358</xdr:colOff>
      <xdr:row>90</xdr:row>
      <xdr:rowOff>0</xdr:rowOff>
    </xdr:from>
    <xdr:to>
      <xdr:col>3</xdr:col>
      <xdr:colOff>1083237</xdr:colOff>
      <xdr:row>110</xdr:row>
      <xdr:rowOff>139475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5CE35A-94DC-4FAA-B9A6-BB07AC113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393247</xdr:colOff>
      <xdr:row>54</xdr:row>
      <xdr:rowOff>127000</xdr:rowOff>
    </xdr:from>
    <xdr:to>
      <xdr:col>3</xdr:col>
      <xdr:colOff>1095375</xdr:colOff>
      <xdr:row>74</xdr:row>
      <xdr:rowOff>153947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6B7285-521F-4085-BCA3-82889615F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268942</xdr:colOff>
      <xdr:row>134</xdr:row>
      <xdr:rowOff>120728</xdr:rowOff>
    </xdr:from>
    <xdr:to>
      <xdr:col>7</xdr:col>
      <xdr:colOff>0</xdr:colOff>
      <xdr:row>159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4B3A2D-F236-43E1-A859-C1B430ABE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45357</xdr:colOff>
      <xdr:row>178</xdr:row>
      <xdr:rowOff>39775</xdr:rowOff>
    </xdr:from>
    <xdr:to>
      <xdr:col>7</xdr:col>
      <xdr:colOff>0</xdr:colOff>
      <xdr:row>210</xdr:row>
      <xdr:rowOff>72572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CA43B6-B3CD-47A6-82B3-44B4E1814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1891114</xdr:colOff>
      <xdr:row>112</xdr:row>
      <xdr:rowOff>32658</xdr:rowOff>
    </xdr:from>
    <xdr:to>
      <xdr:col>2</xdr:col>
      <xdr:colOff>1012373</xdr:colOff>
      <xdr:row>112</xdr:row>
      <xdr:rowOff>297543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3B3C7CD-5A0F-48A9-84BB-52057D495CF2}"/>
            </a:ext>
          </a:extLst>
        </xdr:cNvPr>
        <xdr:cNvSpPr/>
      </xdr:nvSpPr>
      <xdr:spPr>
        <a:xfrm>
          <a:off x="2348314" y="20301858"/>
          <a:ext cx="1049119" cy="2648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Thermax</a:t>
          </a:r>
          <a:r>
            <a:rPr lang="en-US" sz="1100" baseline="0"/>
            <a:t> 1 &amp; 2</a:t>
          </a:r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419163</xdr:colOff>
      <xdr:row>8</xdr:row>
      <xdr:rowOff>66809</xdr:rowOff>
    </xdr:from>
    <xdr:to>
      <xdr:col>3</xdr:col>
      <xdr:colOff>1046544</xdr:colOff>
      <xdr:row>26</xdr:row>
      <xdr:rowOff>124731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12E73-9C87-4D3B-A8C5-47D049742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45358</xdr:colOff>
      <xdr:row>90</xdr:row>
      <xdr:rowOff>0</xdr:rowOff>
    </xdr:from>
    <xdr:to>
      <xdr:col>4</xdr:col>
      <xdr:colOff>639097</xdr:colOff>
      <xdr:row>110</xdr:row>
      <xdr:rowOff>139475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AC4ADB-20AA-4107-994B-9222BAD2D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393247</xdr:colOff>
      <xdr:row>54</xdr:row>
      <xdr:rowOff>127000</xdr:rowOff>
    </xdr:from>
    <xdr:to>
      <xdr:col>3</xdr:col>
      <xdr:colOff>1095375</xdr:colOff>
      <xdr:row>74</xdr:row>
      <xdr:rowOff>153947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9135B9-2535-4737-8DD7-734506933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268942</xdr:colOff>
      <xdr:row>134</xdr:row>
      <xdr:rowOff>120728</xdr:rowOff>
    </xdr:from>
    <xdr:to>
      <xdr:col>7</xdr:col>
      <xdr:colOff>0</xdr:colOff>
      <xdr:row>159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B0CCD0-5AE9-4633-A635-8B5155E87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45357</xdr:colOff>
      <xdr:row>178</xdr:row>
      <xdr:rowOff>39775</xdr:rowOff>
    </xdr:from>
    <xdr:to>
      <xdr:col>7</xdr:col>
      <xdr:colOff>0</xdr:colOff>
      <xdr:row>210</xdr:row>
      <xdr:rowOff>72572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C2C006-2B28-44FC-99D4-339C78014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1891114</xdr:colOff>
      <xdr:row>112</xdr:row>
      <xdr:rowOff>32658</xdr:rowOff>
    </xdr:from>
    <xdr:to>
      <xdr:col>2</xdr:col>
      <xdr:colOff>1012373</xdr:colOff>
      <xdr:row>112</xdr:row>
      <xdr:rowOff>297543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1F6EE0B-5803-4185-A1D4-44C77588BBDF}"/>
            </a:ext>
          </a:extLst>
        </xdr:cNvPr>
        <xdr:cNvSpPr/>
      </xdr:nvSpPr>
      <xdr:spPr>
        <a:xfrm>
          <a:off x="2348314" y="20301858"/>
          <a:ext cx="1049119" cy="2648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Thermax</a:t>
          </a:r>
          <a:r>
            <a:rPr lang="en-US" sz="1100" baseline="0"/>
            <a:t> 1 &amp; 2</a:t>
          </a:r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419163</xdr:colOff>
      <xdr:row>8</xdr:row>
      <xdr:rowOff>66809</xdr:rowOff>
    </xdr:from>
    <xdr:to>
      <xdr:col>3</xdr:col>
      <xdr:colOff>1046544</xdr:colOff>
      <xdr:row>26</xdr:row>
      <xdr:rowOff>124731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67180B-C25E-4783-993A-8073A05CB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45358</xdr:colOff>
      <xdr:row>90</xdr:row>
      <xdr:rowOff>0</xdr:rowOff>
    </xdr:from>
    <xdr:to>
      <xdr:col>4</xdr:col>
      <xdr:colOff>639097</xdr:colOff>
      <xdr:row>110</xdr:row>
      <xdr:rowOff>139475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79526D-B716-4B43-9064-C40003374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393247</xdr:colOff>
      <xdr:row>54</xdr:row>
      <xdr:rowOff>127000</xdr:rowOff>
    </xdr:from>
    <xdr:to>
      <xdr:col>3</xdr:col>
      <xdr:colOff>1095375</xdr:colOff>
      <xdr:row>74</xdr:row>
      <xdr:rowOff>153947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A95598-F36A-4220-ABD1-6689FF13C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268942</xdr:colOff>
      <xdr:row>134</xdr:row>
      <xdr:rowOff>120728</xdr:rowOff>
    </xdr:from>
    <xdr:to>
      <xdr:col>7</xdr:col>
      <xdr:colOff>0</xdr:colOff>
      <xdr:row>159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53F6D4-45AE-4444-8B9B-395B255E9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45357</xdr:colOff>
      <xdr:row>178</xdr:row>
      <xdr:rowOff>39775</xdr:rowOff>
    </xdr:from>
    <xdr:to>
      <xdr:col>7</xdr:col>
      <xdr:colOff>0</xdr:colOff>
      <xdr:row>210</xdr:row>
      <xdr:rowOff>72572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42C68C-129F-4E32-B972-216CD97FF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1891114</xdr:colOff>
      <xdr:row>108</xdr:row>
      <xdr:rowOff>155561</xdr:rowOff>
    </xdr:from>
    <xdr:to>
      <xdr:col>2</xdr:col>
      <xdr:colOff>1012373</xdr:colOff>
      <xdr:row>110</xdr:row>
      <xdr:rowOff>59930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259AE18-843E-4AC6-AC98-C9D77F300214}"/>
            </a:ext>
          </a:extLst>
        </xdr:cNvPr>
        <xdr:cNvSpPr/>
      </xdr:nvSpPr>
      <xdr:spPr>
        <a:xfrm>
          <a:off x="2349953" y="19467755"/>
          <a:ext cx="1046743" cy="2648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Thermax</a:t>
          </a:r>
          <a:r>
            <a:rPr lang="en-US" sz="1100" baseline="0"/>
            <a:t> 1 &amp; 2</a:t>
          </a:r>
          <a:endParaRPr 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419163</xdr:colOff>
      <xdr:row>8</xdr:row>
      <xdr:rowOff>66809</xdr:rowOff>
    </xdr:from>
    <xdr:to>
      <xdr:col>3</xdr:col>
      <xdr:colOff>1046544</xdr:colOff>
      <xdr:row>26</xdr:row>
      <xdr:rowOff>124731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A40EE-DBF1-47EB-BDDB-9DD5C164D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45358</xdr:colOff>
      <xdr:row>90</xdr:row>
      <xdr:rowOff>0</xdr:rowOff>
    </xdr:from>
    <xdr:to>
      <xdr:col>4</xdr:col>
      <xdr:colOff>639097</xdr:colOff>
      <xdr:row>110</xdr:row>
      <xdr:rowOff>139475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6D9070-71C4-4859-B46B-05FC4E7D2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393247</xdr:colOff>
      <xdr:row>54</xdr:row>
      <xdr:rowOff>102681</xdr:rowOff>
    </xdr:from>
    <xdr:to>
      <xdr:col>4</xdr:col>
      <xdr:colOff>1986</xdr:colOff>
      <xdr:row>74</xdr:row>
      <xdr:rowOff>129628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5381AE-FCAA-4029-8CAB-187555CE8F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268942</xdr:colOff>
      <xdr:row>134</xdr:row>
      <xdr:rowOff>120728</xdr:rowOff>
    </xdr:from>
    <xdr:to>
      <xdr:col>7</xdr:col>
      <xdr:colOff>0</xdr:colOff>
      <xdr:row>159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2393DF-7DDC-4CB5-9787-9979C0B84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45357</xdr:colOff>
      <xdr:row>178</xdr:row>
      <xdr:rowOff>39775</xdr:rowOff>
    </xdr:from>
    <xdr:to>
      <xdr:col>7</xdr:col>
      <xdr:colOff>0</xdr:colOff>
      <xdr:row>210</xdr:row>
      <xdr:rowOff>72572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91AB4B-7721-408C-873F-E27569DBD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1891114</xdr:colOff>
      <xdr:row>112</xdr:row>
      <xdr:rowOff>32658</xdr:rowOff>
    </xdr:from>
    <xdr:to>
      <xdr:col>2</xdr:col>
      <xdr:colOff>1012373</xdr:colOff>
      <xdr:row>112</xdr:row>
      <xdr:rowOff>297543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3EF4D13-7598-4649-B606-9055C7EB8AE7}"/>
            </a:ext>
          </a:extLst>
        </xdr:cNvPr>
        <xdr:cNvSpPr/>
      </xdr:nvSpPr>
      <xdr:spPr>
        <a:xfrm>
          <a:off x="2345071" y="20590445"/>
          <a:ext cx="1050579" cy="2648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Thermax</a:t>
          </a:r>
          <a:r>
            <a:rPr lang="en-US" sz="1100" baseline="0"/>
            <a:t> 1 &amp; 2</a:t>
          </a:r>
          <a:endParaRPr 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419163</xdr:colOff>
      <xdr:row>8</xdr:row>
      <xdr:rowOff>66809</xdr:rowOff>
    </xdr:from>
    <xdr:to>
      <xdr:col>3</xdr:col>
      <xdr:colOff>1046544</xdr:colOff>
      <xdr:row>26</xdr:row>
      <xdr:rowOff>124731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AFC6D6-E63A-4C10-9194-A0DC240032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45358</xdr:colOff>
      <xdr:row>90</xdr:row>
      <xdr:rowOff>0</xdr:rowOff>
    </xdr:from>
    <xdr:to>
      <xdr:col>4</xdr:col>
      <xdr:colOff>639097</xdr:colOff>
      <xdr:row>110</xdr:row>
      <xdr:rowOff>139475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E3752A-058D-45D7-BE3C-96EE0F74A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393247</xdr:colOff>
      <xdr:row>54</xdr:row>
      <xdr:rowOff>102681</xdr:rowOff>
    </xdr:from>
    <xdr:to>
      <xdr:col>4</xdr:col>
      <xdr:colOff>1986</xdr:colOff>
      <xdr:row>74</xdr:row>
      <xdr:rowOff>129628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ED0803-AA19-43AC-8B86-66BF58088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268942</xdr:colOff>
      <xdr:row>134</xdr:row>
      <xdr:rowOff>120728</xdr:rowOff>
    </xdr:from>
    <xdr:to>
      <xdr:col>7</xdr:col>
      <xdr:colOff>0</xdr:colOff>
      <xdr:row>159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F64579-A9D2-4CFE-852B-8B13DE58B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45357</xdr:colOff>
      <xdr:row>178</xdr:row>
      <xdr:rowOff>39775</xdr:rowOff>
    </xdr:from>
    <xdr:to>
      <xdr:col>7</xdr:col>
      <xdr:colOff>0</xdr:colOff>
      <xdr:row>210</xdr:row>
      <xdr:rowOff>72572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88B82E-305A-43AA-B86F-8B0527B4A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1891114</xdr:colOff>
      <xdr:row>112</xdr:row>
      <xdr:rowOff>32658</xdr:rowOff>
    </xdr:from>
    <xdr:to>
      <xdr:col>2</xdr:col>
      <xdr:colOff>1012373</xdr:colOff>
      <xdr:row>112</xdr:row>
      <xdr:rowOff>297543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F84B30E-18B2-4C4A-BD99-2065DC1CB871}"/>
            </a:ext>
          </a:extLst>
        </xdr:cNvPr>
        <xdr:cNvSpPr/>
      </xdr:nvSpPr>
      <xdr:spPr>
        <a:xfrm>
          <a:off x="2348314" y="20301858"/>
          <a:ext cx="1049119" cy="2648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Thermax</a:t>
          </a:r>
          <a:r>
            <a:rPr lang="en-US" sz="1100" baseline="0"/>
            <a:t> 1 &amp; 2</a:t>
          </a:r>
          <a:endParaRPr 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556260</xdr:colOff>
      <xdr:row>1</xdr:row>
      <xdr:rowOff>118110</xdr:rowOff>
    </xdr:from>
    <xdr:to>
      <xdr:col>19</xdr:col>
      <xdr:colOff>220980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88C541-2AA5-5CC6-C9B3-DD1D3E2F8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</xdr:colOff>
      <xdr:row>13</xdr:row>
      <xdr:rowOff>120728</xdr:rowOff>
    </xdr:from>
    <xdr:to>
      <xdr:col>13</xdr:col>
      <xdr:colOff>616857</xdr:colOff>
      <xdr:row>41</xdr:row>
      <xdr:rowOff>45357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F7E5AA-A0B4-480E-A2C3-1911A9E32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45357</xdr:colOff>
      <xdr:row>57</xdr:row>
      <xdr:rowOff>39775</xdr:rowOff>
    </xdr:from>
    <xdr:to>
      <xdr:col>13</xdr:col>
      <xdr:colOff>653142</xdr:colOff>
      <xdr:row>89</xdr:row>
      <xdr:rowOff>72572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B1061E-F7CD-4137-96DF-A861B2242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943429</xdr:colOff>
      <xdr:row>26</xdr:row>
      <xdr:rowOff>90714</xdr:rowOff>
    </xdr:from>
    <xdr:to>
      <xdr:col>5</xdr:col>
      <xdr:colOff>743857</xdr:colOff>
      <xdr:row>33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F2550B8-26B9-8E27-8DA5-72362B166B69}"/>
            </a:ext>
          </a:extLst>
        </xdr:cNvPr>
        <xdr:cNvSpPr/>
      </xdr:nvSpPr>
      <xdr:spPr>
        <a:xfrm>
          <a:off x="4671786" y="4644571"/>
          <a:ext cx="789214" cy="1179286"/>
        </a:xfrm>
        <a:prstGeom prst="roundRect">
          <a:avLst/>
        </a:prstGeom>
        <a:noFill/>
        <a:ln w="19050">
          <a:solidFill>
            <a:srgbClr val="0000FF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861785</xdr:colOff>
      <xdr:row>24</xdr:row>
      <xdr:rowOff>154214</xdr:rowOff>
    </xdr:from>
    <xdr:ext cx="97436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39274E8-E760-4C76-C807-62D8EC8FBA0E}"/>
            </a:ext>
          </a:extLst>
        </xdr:cNvPr>
        <xdr:cNvSpPr txBox="1"/>
      </xdr:nvSpPr>
      <xdr:spPr>
        <a:xfrm>
          <a:off x="4590142" y="4345214"/>
          <a:ext cx="9743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00FF"/>
              </a:solidFill>
            </a:rPr>
            <a:t>Biology Upset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VictoriaLMonta&#241;o\SBVC%20Files\Operation\Surallah%20Operation%20Records\Performance%20Report%20-%20Dashboard\2024\Monthly%20Data%20Surallah%202024.xlsx" TargetMode="External"/><Relationship Id="rId1" Type="http://schemas.openxmlformats.org/officeDocument/2006/relationships/externalLinkPath" Target="/Users/MaVictoriaLMonta&#241;o/SBVC%20Files/Operation/Surallah%20Operation%20Records/Performance%20Report%20-%20Dashboard/2024/Monthly%20Data%20Surallah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VictoriaLMonta&#241;o\SBVC%20Files\Operation\Surallah%20Operation%20Records\Performance%20Report%20-%20Dashboard\Monthly%20Data%20-%20Surallah.xlsx" TargetMode="External"/><Relationship Id="rId1" Type="http://schemas.openxmlformats.org/officeDocument/2006/relationships/externalLinkPath" Target="/Users/MaVictoriaLMonta&#241;o/SBVC%20Files/Operation/Surallah%20Operation%20Records/Performance%20Report%20-%20Dashboard/Monthly%20Data%20-%20Suralla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2024"/>
      <sheetName val="Feb2024"/>
      <sheetName val="Mar2024"/>
      <sheetName val="Apr2024"/>
      <sheetName val="May2024"/>
      <sheetName val="June2024"/>
      <sheetName val="Jul2024"/>
      <sheetName val="Aug2024"/>
      <sheetName val="Sep2024"/>
      <sheetName val="Oct2024"/>
      <sheetName val="Nov2024"/>
      <sheetName val="Sheet2"/>
    </sheetNames>
    <sheetDataSet>
      <sheetData sheetId="0">
        <row r="42">
          <cell r="G42">
            <v>13.837083333333334</v>
          </cell>
        </row>
      </sheetData>
      <sheetData sheetId="1">
        <row r="42">
          <cell r="G42">
            <v>13.625944444444446</v>
          </cell>
        </row>
      </sheetData>
      <sheetData sheetId="2">
        <row r="22">
          <cell r="H22">
            <v>253.45400000000001</v>
          </cell>
        </row>
        <row r="42">
          <cell r="C42" t="e">
            <v>#REF!</v>
          </cell>
          <cell r="G42">
            <v>13.968333333333334</v>
          </cell>
          <cell r="H42">
            <v>1323.5190000000002</v>
          </cell>
          <cell r="I42">
            <v>1017.8299999999999</v>
          </cell>
          <cell r="J42">
            <v>72734</v>
          </cell>
          <cell r="M42">
            <v>36006.930693069306</v>
          </cell>
          <cell r="N42">
            <v>15993</v>
          </cell>
          <cell r="O42">
            <v>0</v>
          </cell>
        </row>
        <row r="43">
          <cell r="C43" t="e">
            <v>#REF!</v>
          </cell>
          <cell r="G43">
            <v>14.433285714285715</v>
          </cell>
          <cell r="H43">
            <v>1583.27</v>
          </cell>
          <cell r="I43">
            <v>311.012</v>
          </cell>
          <cell r="J43">
            <v>63351</v>
          </cell>
          <cell r="M43">
            <v>31361.881188118812</v>
          </cell>
          <cell r="N43">
            <v>46342</v>
          </cell>
          <cell r="O43">
            <v>0</v>
          </cell>
        </row>
      </sheetData>
      <sheetData sheetId="3">
        <row r="42">
          <cell r="C42">
            <v>556.20000000000005</v>
          </cell>
        </row>
      </sheetData>
      <sheetData sheetId="4">
        <row r="42">
          <cell r="M42">
            <v>19293.88412525463</v>
          </cell>
        </row>
      </sheetData>
      <sheetData sheetId="5">
        <row r="42">
          <cell r="G42">
            <v>14.419309523809522</v>
          </cell>
        </row>
      </sheetData>
      <sheetData sheetId="6">
        <row r="42">
          <cell r="G42">
            <v>13.182142857142857</v>
          </cell>
        </row>
      </sheetData>
      <sheetData sheetId="7">
        <row r="42">
          <cell r="G42">
            <v>14.371162878787878</v>
          </cell>
        </row>
      </sheetData>
      <sheetData sheetId="8">
        <row r="42">
          <cell r="F42">
            <v>1041.5999999999999</v>
          </cell>
        </row>
      </sheetData>
      <sheetData sheetId="9">
        <row r="42">
          <cell r="F42">
            <v>726.22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2023"/>
      <sheetName val="Sept2023"/>
      <sheetName val="Oct2023"/>
      <sheetName val="Nov2023"/>
      <sheetName val="Dec2023"/>
      <sheetName val="Sheet2"/>
      <sheetName val="Oct2023 (2)"/>
      <sheetName val="Oct2023 (3)"/>
      <sheetName val="Sheet1"/>
    </sheetNames>
    <sheetDataSet>
      <sheetData sheetId="0">
        <row r="40">
          <cell r="B40">
            <v>39262</v>
          </cell>
        </row>
      </sheetData>
      <sheetData sheetId="1">
        <row r="41">
          <cell r="C41">
            <v>10343.145</v>
          </cell>
        </row>
      </sheetData>
      <sheetData sheetId="2">
        <row r="42">
          <cell r="C42">
            <v>36645.644999999997</v>
          </cell>
        </row>
      </sheetData>
      <sheetData sheetId="3">
        <row r="42">
          <cell r="G42">
            <v>1251.5749999999998</v>
          </cell>
        </row>
      </sheetData>
      <sheetData sheetId="4">
        <row r="42">
          <cell r="G42">
            <v>244.51000000000002</v>
          </cell>
        </row>
        <row r="45">
          <cell r="I45">
            <v>0</v>
          </cell>
        </row>
      </sheetData>
      <sheetData sheetId="5"/>
      <sheetData sheetId="6"/>
      <sheetData sheetId="7"/>
      <sheetData sheetId="8">
        <row r="40">
          <cell r="B40">
            <v>39262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. Victoria L. Montaño" id="{B3C78D64-FABF-421E-96D2-3A5E2D22760B}" userId="S::victoria.montano@metpower-operation.net::e5ea9ead-eaf3-4d34-b231-c8afb14ed3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1" dT="2024-10-15T11:46:11.89" personId="{B3C78D64-FABF-421E-96D2-3A5E2D22760B}" id="{A6EDDCE8-43EF-4286-ABC9-02FE0F874805}">
    <text>Assuming engine will run by Nov 2024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E38D1-E039-4BBC-AC4D-A8CAF29F077C}">
  <sheetPr>
    <tabColor rgb="FF00B050"/>
    <pageSetUpPr autoPageBreaks="0"/>
  </sheetPr>
  <dimension ref="B2:L238"/>
  <sheetViews>
    <sheetView showGridLines="0" topLeftCell="A23" zoomScale="80" zoomScaleNormal="80" zoomScaleSheetLayoutView="115" workbookViewId="0">
      <selection activeCell="B42" sqref="B41:B42"/>
    </sheetView>
  </sheetViews>
  <sheetFormatPr defaultColWidth="22.33203125" defaultRowHeight="14.4" x14ac:dyDescent="0.3"/>
  <cols>
    <col min="2" max="2" width="24.109375" customWidth="1"/>
    <col min="3" max="3" width="13.88671875" customWidth="1"/>
    <col min="4" max="8" width="15.88671875" customWidth="1"/>
    <col min="9" max="9" width="9.77734375" customWidth="1"/>
    <col min="10" max="10" width="11.6640625" customWidth="1"/>
  </cols>
  <sheetData>
    <row r="2" spans="2:12" ht="25.8" x14ac:dyDescent="0.5">
      <c r="B2" s="246" t="s">
        <v>0</v>
      </c>
      <c r="C2" s="246"/>
      <c r="D2" s="246"/>
      <c r="E2" s="246"/>
      <c r="F2" s="246"/>
      <c r="G2" s="246"/>
      <c r="H2" s="246"/>
    </row>
    <row r="3" spans="2:12" ht="4.5" customHeight="1" x14ac:dyDescent="0.3"/>
    <row r="4" spans="2:12" x14ac:dyDescent="0.3">
      <c r="B4" s="14" t="s">
        <v>30</v>
      </c>
      <c r="C4" s="15">
        <f>62000/12</f>
        <v>5166.666666666667</v>
      </c>
      <c r="D4" s="16" t="s">
        <v>4</v>
      </c>
      <c r="J4" s="67"/>
    </row>
    <row r="5" spans="2:12" x14ac:dyDescent="0.3">
      <c r="B5" s="14" t="s">
        <v>6</v>
      </c>
      <c r="C5" s="17">
        <f>SUM(D34:H34)</f>
        <v>2906.7890000000002</v>
      </c>
      <c r="D5" s="16" t="s">
        <v>4</v>
      </c>
    </row>
    <row r="6" spans="2:12" x14ac:dyDescent="0.3">
      <c r="B6" s="14" t="s">
        <v>2</v>
      </c>
      <c r="C6" s="17">
        <f>SUM(D36:H36)</f>
        <v>0</v>
      </c>
      <c r="D6" s="16" t="s">
        <v>4</v>
      </c>
      <c r="F6" s="3"/>
    </row>
    <row r="8" spans="2:12" x14ac:dyDescent="0.3">
      <c r="D8" s="2"/>
      <c r="E8" s="2"/>
      <c r="F8" s="2"/>
      <c r="G8" s="2"/>
      <c r="H8" s="2"/>
    </row>
    <row r="9" spans="2:12" x14ac:dyDescent="0.3">
      <c r="D9" s="2"/>
      <c r="E9" s="2"/>
      <c r="F9" s="2"/>
      <c r="G9" s="2"/>
      <c r="H9" s="2"/>
    </row>
    <row r="10" spans="2:12" x14ac:dyDescent="0.3">
      <c r="D10" s="2"/>
      <c r="E10" s="2"/>
      <c r="F10" s="2"/>
      <c r="G10" s="2"/>
      <c r="H10" s="2"/>
    </row>
    <row r="11" spans="2:12" x14ac:dyDescent="0.3">
      <c r="L11" s="57"/>
    </row>
    <row r="26" spans="2:8" x14ac:dyDescent="0.3">
      <c r="C26" s="57">
        <f>477/5167</f>
        <v>9.2316624733888131E-2</v>
      </c>
      <c r="D26" s="57"/>
      <c r="E26" s="57">
        <f>E27/5167</f>
        <v>0.29998064640990901</v>
      </c>
      <c r="F26" s="57">
        <f>F27/5167</f>
        <v>0.55196438939423265</v>
      </c>
      <c r="G26" s="57">
        <f>G27/5167</f>
        <v>0.78923940390942515</v>
      </c>
    </row>
    <row r="27" spans="2:8" x14ac:dyDescent="0.3">
      <c r="C27">
        <f>477</f>
        <v>477</v>
      </c>
      <c r="D27" s="56"/>
      <c r="E27">
        <f>477+1073</f>
        <v>1550</v>
      </c>
      <c r="F27">
        <f>1550+1302</f>
        <v>2852</v>
      </c>
      <c r="G27">
        <f>2852+1226</f>
        <v>4078</v>
      </c>
    </row>
    <row r="28" spans="2:8" hidden="1" x14ac:dyDescent="0.3"/>
    <row r="29" spans="2:8" hidden="1" x14ac:dyDescent="0.3"/>
    <row r="30" spans="2:8" hidden="1" x14ac:dyDescent="0.3"/>
    <row r="31" spans="2:8" ht="16.5" customHeight="1" x14ac:dyDescent="0.3">
      <c r="D31" s="60"/>
      <c r="E31" s="60"/>
      <c r="F31" s="60"/>
      <c r="G31" s="60"/>
      <c r="H31" s="60"/>
    </row>
    <row r="32" spans="2:8" x14ac:dyDescent="0.3">
      <c r="B32" s="1"/>
      <c r="C32" s="1"/>
      <c r="D32" s="43" t="s">
        <v>32</v>
      </c>
      <c r="E32" s="43" t="s">
        <v>33</v>
      </c>
      <c r="F32" s="43" t="s">
        <v>34</v>
      </c>
      <c r="G32" s="43" t="s">
        <v>35</v>
      </c>
      <c r="H32" s="43"/>
    </row>
    <row r="33" spans="2:10" ht="15" thickBot="1" x14ac:dyDescent="0.35">
      <c r="B33" s="1"/>
      <c r="C33" s="1"/>
      <c r="D33" s="43" t="s">
        <v>51</v>
      </c>
      <c r="E33" s="43" t="s">
        <v>47</v>
      </c>
      <c r="F33" s="43" t="s">
        <v>48</v>
      </c>
      <c r="G33" s="43" t="s">
        <v>49</v>
      </c>
      <c r="H33" s="43"/>
      <c r="J33" s="57"/>
    </row>
    <row r="34" spans="2:10" ht="16.95" customHeight="1" x14ac:dyDescent="0.3">
      <c r="B34" s="12" t="s">
        <v>38</v>
      </c>
      <c r="C34" s="6" t="s">
        <v>4</v>
      </c>
      <c r="D34" s="44">
        <f>[1]Mar2024!$H$42</f>
        <v>1323.5190000000002</v>
      </c>
      <c r="E34" s="45">
        <f>[1]Mar2024!$H$43</f>
        <v>1583.27</v>
      </c>
      <c r="F34" s="45"/>
      <c r="G34" s="45"/>
      <c r="H34" s="46"/>
      <c r="I34" s="56"/>
      <c r="J34" s="95"/>
    </row>
    <row r="35" spans="2:10" x14ac:dyDescent="0.3">
      <c r="B35" s="12" t="s">
        <v>50</v>
      </c>
      <c r="C35" s="6"/>
      <c r="D35" s="53">
        <f>[1]Mar2024!$I$42</f>
        <v>1017.8299999999999</v>
      </c>
      <c r="E35" s="54">
        <f>[1]Mar2024!$I$43</f>
        <v>311.012</v>
      </c>
      <c r="F35" s="54"/>
      <c r="G35" s="54"/>
      <c r="H35" s="55"/>
      <c r="I35" s="56"/>
      <c r="J35" s="57"/>
    </row>
    <row r="36" spans="2:10" ht="15" hidden="1" thickBot="1" x14ac:dyDescent="0.35">
      <c r="B36" s="12" t="s">
        <v>50</v>
      </c>
      <c r="C36" s="6" t="s">
        <v>4</v>
      </c>
      <c r="D36" s="47">
        <v>0</v>
      </c>
      <c r="E36" s="48">
        <v>0</v>
      </c>
      <c r="F36" s="48">
        <v>0</v>
      </c>
      <c r="G36" s="48">
        <v>0</v>
      </c>
      <c r="H36" s="49">
        <v>0</v>
      </c>
    </row>
    <row r="37" spans="2:10" hidden="1" x14ac:dyDescent="0.3">
      <c r="B37" s="12" t="s">
        <v>3</v>
      </c>
      <c r="C37" s="6" t="s">
        <v>4</v>
      </c>
      <c r="D37" s="75"/>
      <c r="E37" s="75"/>
      <c r="F37" s="75"/>
      <c r="G37" s="75">
        <f>G34+G35+G36</f>
        <v>0</v>
      </c>
      <c r="H37" s="75">
        <f>H34+H35+H36</f>
        <v>0</v>
      </c>
      <c r="I37" s="56"/>
      <c r="J37" s="57"/>
    </row>
    <row r="38" spans="2:10" x14ac:dyDescent="0.3">
      <c r="B38" s="13" t="s">
        <v>5</v>
      </c>
      <c r="C38" s="8"/>
      <c r="D38" s="76">
        <f>D37</f>
        <v>0</v>
      </c>
      <c r="E38" s="76">
        <f>D38+E37</f>
        <v>0</v>
      </c>
      <c r="F38" s="76">
        <f>E38+F37</f>
        <v>0</v>
      </c>
      <c r="G38" s="76">
        <f>F38+G37</f>
        <v>0</v>
      </c>
      <c r="H38" s="76">
        <f>G38+H37</f>
        <v>0</v>
      </c>
      <c r="I38" s="56"/>
    </row>
    <row r="39" spans="2:10" ht="28.8" x14ac:dyDescent="0.3">
      <c r="B39" s="12" t="s">
        <v>9</v>
      </c>
      <c r="C39" s="6" t="s">
        <v>4</v>
      </c>
      <c r="D39" s="75">
        <f>C4/5</f>
        <v>1033.3333333333335</v>
      </c>
      <c r="E39" s="75">
        <f>(C4-D38)/4</f>
        <v>1291.6666666666667</v>
      </c>
      <c r="F39" s="75">
        <f>(C$4-E38)/3</f>
        <v>1722.2222222222224</v>
      </c>
      <c r="G39" s="84">
        <f>(C$4-F38)/2</f>
        <v>2583.3333333333335</v>
      </c>
      <c r="H39" s="84">
        <f>($C$4-G38)</f>
        <v>5166.666666666667</v>
      </c>
      <c r="I39" s="56"/>
      <c r="J39" s="67"/>
    </row>
    <row r="40" spans="2:10" x14ac:dyDescent="0.3">
      <c r="B40" s="21"/>
      <c r="C40" s="85" t="s">
        <v>44</v>
      </c>
      <c r="D40" s="86">
        <f>C4-D37</f>
        <v>5166.666666666667</v>
      </c>
      <c r="E40" s="86">
        <f>D40-E37</f>
        <v>5166.666666666667</v>
      </c>
      <c r="F40" s="86">
        <f>E40-F37</f>
        <v>5166.666666666667</v>
      </c>
      <c r="G40" s="86">
        <f>F40-G37</f>
        <v>5166.666666666667</v>
      </c>
      <c r="H40" s="86">
        <f>G40-H37</f>
        <v>5166.666666666667</v>
      </c>
      <c r="I40" s="56"/>
      <c r="J40" s="67"/>
    </row>
    <row r="41" spans="2:10" x14ac:dyDescent="0.3">
      <c r="B41" s="21"/>
      <c r="C41" s="85"/>
      <c r="D41" s="86"/>
      <c r="E41" s="86"/>
      <c r="F41" s="86"/>
      <c r="G41" s="86"/>
      <c r="H41" s="86"/>
      <c r="I41" s="56"/>
    </row>
    <row r="42" spans="2:10" s="4" customFormat="1" ht="15" thickBot="1" x14ac:dyDescent="0.35">
      <c r="D42" s="59"/>
      <c r="E42" s="59"/>
      <c r="F42" s="59"/>
      <c r="G42" s="59"/>
      <c r="H42" s="59"/>
    </row>
    <row r="43" spans="2:10" ht="15" thickTop="1" x14ac:dyDescent="0.3">
      <c r="D43" s="67"/>
      <c r="E43" s="67"/>
      <c r="F43" s="67"/>
    </row>
    <row r="45" spans="2:10" ht="25.8" x14ac:dyDescent="0.5">
      <c r="B45" s="246" t="s">
        <v>7</v>
      </c>
      <c r="C45" s="246"/>
      <c r="D45" s="246"/>
      <c r="E45" s="246"/>
      <c r="F45" s="246"/>
      <c r="G45" s="246"/>
      <c r="H45" s="246"/>
    </row>
    <row r="46" spans="2:10" ht="4.95" customHeight="1" x14ac:dyDescent="0.3"/>
    <row r="47" spans="2:10" x14ac:dyDescent="0.3">
      <c r="B47" s="14" t="s">
        <v>31</v>
      </c>
      <c r="C47" s="15">
        <f>4953600/12</f>
        <v>412800</v>
      </c>
      <c r="D47" s="16" t="s">
        <v>8</v>
      </c>
    </row>
    <row r="48" spans="2:10" x14ac:dyDescent="0.3">
      <c r="B48" s="14" t="s">
        <v>6</v>
      </c>
      <c r="C48" s="17">
        <f>SUM(D75:H75)</f>
        <v>136085</v>
      </c>
      <c r="D48" s="16" t="s">
        <v>8</v>
      </c>
    </row>
    <row r="49" spans="2:4" ht="28.8" x14ac:dyDescent="0.3">
      <c r="B49" s="18" t="s">
        <v>9</v>
      </c>
      <c r="C49" s="17">
        <f>C47-C48</f>
        <v>276715</v>
      </c>
      <c r="D49" s="16" t="s">
        <v>8</v>
      </c>
    </row>
    <row r="73" spans="2:9" x14ac:dyDescent="0.3">
      <c r="B73" s="1"/>
      <c r="C73" s="1"/>
      <c r="D73" s="43" t="s">
        <v>32</v>
      </c>
      <c r="E73" s="43" t="s">
        <v>33</v>
      </c>
      <c r="F73" s="43" t="s">
        <v>34</v>
      </c>
      <c r="G73" s="43" t="s">
        <v>35</v>
      </c>
      <c r="H73" s="43" t="s">
        <v>36</v>
      </c>
    </row>
    <row r="74" spans="2:9" ht="15" thickBot="1" x14ac:dyDescent="0.35">
      <c r="B74" s="1"/>
      <c r="C74" s="1"/>
      <c r="D74" s="43" t="s">
        <v>51</v>
      </c>
      <c r="E74" s="43" t="s">
        <v>47</v>
      </c>
      <c r="F74" s="43" t="s">
        <v>48</v>
      </c>
      <c r="G74" s="43" t="s">
        <v>49</v>
      </c>
      <c r="H74" s="43"/>
    </row>
    <row r="75" spans="2:9" ht="15" thickBot="1" x14ac:dyDescent="0.35">
      <c r="B75" s="5" t="s">
        <v>1</v>
      </c>
      <c r="C75" s="9" t="s">
        <v>8</v>
      </c>
      <c r="D75" s="40">
        <f>[1]Mar2024!$J$42</f>
        <v>72734</v>
      </c>
      <c r="E75" s="41">
        <f>[1]Mar2024!$J$43</f>
        <v>63351</v>
      </c>
      <c r="F75" s="41"/>
      <c r="G75" s="41">
        <f>[2]Dec2023!$I$45</f>
        <v>0</v>
      </c>
      <c r="H75" s="42"/>
      <c r="I75" s="56">
        <f>SUM(D75:H75)</f>
        <v>136085</v>
      </c>
    </row>
    <row r="76" spans="2:9" x14ac:dyDescent="0.3">
      <c r="B76" s="7" t="s">
        <v>5</v>
      </c>
      <c r="C76" s="9" t="s">
        <v>8</v>
      </c>
      <c r="D76" s="39">
        <f>D75</f>
        <v>72734</v>
      </c>
      <c r="E76" s="39">
        <f>D76+E75</f>
        <v>136085</v>
      </c>
      <c r="F76" s="39">
        <f>E76+F75</f>
        <v>136085</v>
      </c>
      <c r="G76" s="39">
        <f>F76+G75</f>
        <v>136085</v>
      </c>
      <c r="H76" s="39">
        <f>G76+H75</f>
        <v>136085</v>
      </c>
    </row>
    <row r="77" spans="2:9" ht="28.8" x14ac:dyDescent="0.3">
      <c r="B77" s="5" t="s">
        <v>9</v>
      </c>
      <c r="C77" s="9" t="s">
        <v>8</v>
      </c>
      <c r="D77" s="39">
        <f>C47/5</f>
        <v>82560</v>
      </c>
      <c r="E77" s="39">
        <f>(C47-D77)/4</f>
        <v>82560</v>
      </c>
      <c r="F77" s="39">
        <f>($C$47-E76)/3</f>
        <v>92238.333333333328</v>
      </c>
      <c r="G77" s="39">
        <f>($C$47-F76)/2</f>
        <v>138357.5</v>
      </c>
      <c r="H77" s="39">
        <f>($C$47-G76)/1</f>
        <v>276715</v>
      </c>
      <c r="I77" s="56"/>
    </row>
    <row r="78" spans="2:9" s="4" customFormat="1" ht="15" thickBot="1" x14ac:dyDescent="0.35"/>
    <row r="79" spans="2:9" ht="15" thickTop="1" x14ac:dyDescent="0.3"/>
    <row r="80" spans="2:9" ht="25.8" x14ac:dyDescent="0.5">
      <c r="B80" s="246" t="s">
        <v>29</v>
      </c>
      <c r="C80" s="246"/>
      <c r="D80" s="246"/>
      <c r="E80" s="246"/>
      <c r="F80" s="246"/>
      <c r="G80" s="246"/>
      <c r="H80" s="246"/>
    </row>
    <row r="81" spans="2:4" ht="6.45" customHeight="1" x14ac:dyDescent="0.3"/>
    <row r="82" spans="2:4" ht="16.2" x14ac:dyDescent="0.3">
      <c r="B82" s="14" t="s">
        <v>31</v>
      </c>
      <c r="C82" s="15">
        <f>4140528/12</f>
        <v>345044</v>
      </c>
      <c r="D82" s="16" t="s">
        <v>11</v>
      </c>
    </row>
    <row r="83" spans="2:4" ht="16.2" x14ac:dyDescent="0.3">
      <c r="B83" s="14" t="s">
        <v>6</v>
      </c>
      <c r="C83" s="17">
        <f>SUM(D113:H113)</f>
        <v>129703.81188118813</v>
      </c>
      <c r="D83" s="16" t="s">
        <v>11</v>
      </c>
    </row>
    <row r="84" spans="2:4" ht="28.8" x14ac:dyDescent="0.3">
      <c r="B84" s="14" t="s">
        <v>9</v>
      </c>
      <c r="C84" s="17">
        <f>C82-C83</f>
        <v>215340.18811881187</v>
      </c>
      <c r="D84" s="16" t="s">
        <v>11</v>
      </c>
    </row>
    <row r="85" spans="2:4" ht="7.5" customHeight="1" x14ac:dyDescent="0.3"/>
    <row r="108" spans="2:10" x14ac:dyDescent="0.3">
      <c r="B108" s="1"/>
      <c r="C108" s="1"/>
      <c r="D108" s="80" t="s">
        <v>32</v>
      </c>
      <c r="E108" s="80" t="s">
        <v>33</v>
      </c>
      <c r="F108" s="80" t="s">
        <v>42</v>
      </c>
      <c r="G108" s="80" t="s">
        <v>35</v>
      </c>
      <c r="H108" s="80" t="s">
        <v>36</v>
      </c>
      <c r="I108" s="247" t="s">
        <v>37</v>
      </c>
      <c r="J108" s="74"/>
    </row>
    <row r="109" spans="2:10" ht="15" thickBot="1" x14ac:dyDescent="0.35">
      <c r="B109" s="1"/>
      <c r="C109" s="1"/>
      <c r="D109" s="43" t="s">
        <v>51</v>
      </c>
      <c r="E109" s="43" t="s">
        <v>47</v>
      </c>
      <c r="F109" s="43" t="s">
        <v>48</v>
      </c>
      <c r="G109" s="43" t="s">
        <v>49</v>
      </c>
      <c r="H109" s="43"/>
      <c r="I109" s="247"/>
      <c r="J109" s="74"/>
    </row>
    <row r="110" spans="2:10" ht="16.2" x14ac:dyDescent="0.3">
      <c r="B110" s="79" t="s">
        <v>43</v>
      </c>
      <c r="C110" s="9" t="s">
        <v>11</v>
      </c>
      <c r="D110" s="58">
        <f>[1]Mar2024!$N$42</f>
        <v>15993</v>
      </c>
      <c r="E110" s="50">
        <f>[1]Mar2024!$N$43</f>
        <v>46342</v>
      </c>
      <c r="F110" s="50"/>
      <c r="G110" s="50"/>
      <c r="H110" s="51"/>
      <c r="I110" s="61">
        <f>SUM(D110:H110)</f>
        <v>62335</v>
      </c>
      <c r="J110" s="77"/>
    </row>
    <row r="111" spans="2:10" ht="16.2" x14ac:dyDescent="0.3">
      <c r="B111" s="79" t="s">
        <v>41</v>
      </c>
      <c r="C111" s="9" t="s">
        <v>11</v>
      </c>
      <c r="D111" s="83">
        <f>[1]Mar2024!$M$42</f>
        <v>36006.930693069306</v>
      </c>
      <c r="E111" s="69">
        <f>[1]Mar2024!$M$43</f>
        <v>31361.881188118812</v>
      </c>
      <c r="F111" s="69"/>
      <c r="G111" s="69"/>
      <c r="H111" s="70"/>
      <c r="I111" s="61">
        <f>SUM(D111:H111)</f>
        <v>67368.811881188114</v>
      </c>
      <c r="J111" s="88"/>
    </row>
    <row r="112" spans="2:10" ht="16.2" x14ac:dyDescent="0.3">
      <c r="B112" s="12" t="s">
        <v>12</v>
      </c>
      <c r="C112" s="9" t="s">
        <v>11</v>
      </c>
      <c r="D112" s="68">
        <f>[1]Mar2024!$O$42</f>
        <v>0</v>
      </c>
      <c r="E112" s="69">
        <f>[1]Mar2024!$O$43</f>
        <v>0</v>
      </c>
      <c r="F112" s="69"/>
      <c r="G112" s="69"/>
      <c r="H112" s="70"/>
      <c r="I112" s="61">
        <f>SUM(D112:H112)</f>
        <v>0</v>
      </c>
      <c r="J112" s="77"/>
    </row>
    <row r="113" spans="2:11" x14ac:dyDescent="0.3">
      <c r="B113" s="72" t="s">
        <v>13</v>
      </c>
      <c r="C113" s="73" t="s">
        <v>10</v>
      </c>
      <c r="D113" s="71">
        <f>SUM(D110:D112)</f>
        <v>51999.930693069306</v>
      </c>
      <c r="E113" s="71">
        <f>SUM(E110:E112)</f>
        <v>77703.881188118816</v>
      </c>
      <c r="F113" s="71">
        <f>SUM(F110:F112)</f>
        <v>0</v>
      </c>
      <c r="G113" s="71">
        <f>SUM(G110:G112)</f>
        <v>0</v>
      </c>
      <c r="H113" s="71">
        <f>SUM(H110:H112)</f>
        <v>0</v>
      </c>
      <c r="I113" s="61">
        <f>SUM(D113:H113)</f>
        <v>129703.81188118813</v>
      </c>
      <c r="J113" s="94"/>
    </row>
    <row r="114" spans="2:11" x14ac:dyDescent="0.3">
      <c r="B114" s="13" t="s">
        <v>5</v>
      </c>
      <c r="C114" s="9" t="s">
        <v>10</v>
      </c>
      <c r="D114" s="52">
        <f>D113</f>
        <v>51999.930693069306</v>
      </c>
      <c r="E114" s="52">
        <f>D114+E113</f>
        <v>129703.81188118813</v>
      </c>
      <c r="F114" s="52">
        <f>E114+F113</f>
        <v>129703.81188118813</v>
      </c>
      <c r="G114" s="52">
        <f>F114+G113</f>
        <v>129703.81188118813</v>
      </c>
      <c r="H114" s="52">
        <f>G114+H113</f>
        <v>129703.81188118813</v>
      </c>
      <c r="I114" s="61"/>
      <c r="J114" s="61"/>
    </row>
    <row r="115" spans="2:11" ht="28.8" x14ac:dyDescent="0.3">
      <c r="B115" s="12" t="s">
        <v>9</v>
      </c>
      <c r="C115" s="9" t="s">
        <v>10</v>
      </c>
      <c r="D115" s="52">
        <f>$C$82/5</f>
        <v>69008.800000000003</v>
      </c>
      <c r="E115" s="52">
        <f>($C$82-D114)/4</f>
        <v>73261.017326732675</v>
      </c>
      <c r="F115" s="52">
        <f>($C$82-E114)/3</f>
        <v>71780.062706270619</v>
      </c>
      <c r="G115" s="52">
        <f>($C$82-F114)/2</f>
        <v>107670.09405940594</v>
      </c>
      <c r="H115" s="52">
        <f>C82-H114</f>
        <v>215340.18811881187</v>
      </c>
      <c r="I115" s="61">
        <f>C82</f>
        <v>345044</v>
      </c>
      <c r="J115" s="61"/>
    </row>
    <row r="116" spans="2:11" s="4" customFormat="1" ht="15" thickBot="1" x14ac:dyDescent="0.35"/>
    <row r="117" spans="2:11" ht="15" thickTop="1" x14ac:dyDescent="0.3"/>
    <row r="118" spans="2:11" ht="25.8" x14ac:dyDescent="0.5">
      <c r="B118" s="246" t="s">
        <v>14</v>
      </c>
      <c r="C118" s="246"/>
      <c r="D118" s="246"/>
      <c r="E118" s="246"/>
      <c r="F118" s="246"/>
      <c r="G118" s="246"/>
      <c r="H118" s="246"/>
      <c r="I118" s="246"/>
    </row>
    <row r="119" spans="2:11" ht="7.05" customHeight="1" x14ac:dyDescent="0.3">
      <c r="B119" s="20"/>
      <c r="C119" s="20"/>
      <c r="D119" s="20"/>
      <c r="E119" s="20"/>
      <c r="F119" s="20"/>
      <c r="G119" s="20"/>
      <c r="H119" s="20"/>
    </row>
    <row r="120" spans="2:11" ht="14.55" hidden="1" customHeight="1" x14ac:dyDescent="0.3">
      <c r="B120" s="244" t="s">
        <v>20</v>
      </c>
      <c r="C120" s="244"/>
      <c r="D120" s="244"/>
      <c r="E120" s="244"/>
      <c r="F120" s="244"/>
      <c r="G120" s="244"/>
      <c r="H120" s="244"/>
    </row>
    <row r="121" spans="2:11" hidden="1" x14ac:dyDescent="0.3">
      <c r="D121" s="19">
        <v>105</v>
      </c>
      <c r="E121" s="19" t="s">
        <v>18</v>
      </c>
    </row>
    <row r="122" spans="2:11" x14ac:dyDescent="0.3">
      <c r="D122" s="43" t="s">
        <v>51</v>
      </c>
      <c r="E122" s="43" t="s">
        <v>47</v>
      </c>
      <c r="F122" s="43" t="s">
        <v>48</v>
      </c>
      <c r="G122" s="43" t="s">
        <v>49</v>
      </c>
      <c r="H122" s="43"/>
      <c r="I122" s="43" t="s">
        <v>37</v>
      </c>
      <c r="J122" s="74"/>
    </row>
    <row r="123" spans="2:11" hidden="1" x14ac:dyDescent="0.3">
      <c r="D123" s="10"/>
      <c r="E123" s="10"/>
      <c r="F123" s="10"/>
      <c r="G123" s="10"/>
      <c r="H123" s="10"/>
      <c r="I123" s="10"/>
      <c r="J123" s="74"/>
    </row>
    <row r="124" spans="2:11" x14ac:dyDescent="0.3">
      <c r="B124" s="12" t="s">
        <v>15</v>
      </c>
      <c r="C124" s="9" t="s">
        <v>10</v>
      </c>
      <c r="D124" s="66" t="e">
        <f>[1]Mar2024!$C$42</f>
        <v>#REF!</v>
      </c>
      <c r="E124" s="66" t="e">
        <f>[1]Mar2024!$C$43</f>
        <v>#REF!</v>
      </c>
      <c r="F124" s="66"/>
      <c r="G124" s="66"/>
      <c r="H124" s="66"/>
      <c r="I124" s="81" t="e">
        <f>SUM(D124:H124)</f>
        <v>#REF!</v>
      </c>
      <c r="J124" s="62"/>
    </row>
    <row r="125" spans="2:11" x14ac:dyDescent="0.3">
      <c r="B125" s="12" t="s">
        <v>17</v>
      </c>
      <c r="C125" s="9" t="s">
        <v>10</v>
      </c>
      <c r="D125" s="66" t="e">
        <f>D128*D124</f>
        <v>#REF!</v>
      </c>
      <c r="E125" s="66" t="e">
        <f>E128*E124</f>
        <v>#REF!</v>
      </c>
      <c r="F125" s="66">
        <f>F128*F124</f>
        <v>0</v>
      </c>
      <c r="G125" s="66">
        <f>G128*G124</f>
        <v>0</v>
      </c>
      <c r="H125" s="66"/>
      <c r="I125" s="81" t="e">
        <f>$D$121*I124</f>
        <v>#REF!</v>
      </c>
      <c r="J125" s="63"/>
    </row>
    <row r="126" spans="2:11" x14ac:dyDescent="0.3">
      <c r="B126" s="12" t="s">
        <v>16</v>
      </c>
      <c r="C126" s="9" t="s">
        <v>10</v>
      </c>
      <c r="D126" s="11">
        <f>D113</f>
        <v>51999.930693069306</v>
      </c>
      <c r="E126" s="11">
        <f>E113</f>
        <v>77703.881188118816</v>
      </c>
      <c r="F126" s="11">
        <f>F113</f>
        <v>0</v>
      </c>
      <c r="G126" s="11">
        <f>G113</f>
        <v>0</v>
      </c>
      <c r="H126" s="11">
        <f>H113</f>
        <v>0</v>
      </c>
      <c r="I126" s="82">
        <f>SUM(D126:H126)</f>
        <v>129703.81188118813</v>
      </c>
      <c r="J126" s="62"/>
      <c r="K126" s="56"/>
    </row>
    <row r="127" spans="2:11" x14ac:dyDescent="0.3">
      <c r="B127" s="12" t="s">
        <v>22</v>
      </c>
      <c r="C127" s="9" t="s">
        <v>19</v>
      </c>
      <c r="D127" s="66" t="e">
        <f>D126/D124</f>
        <v>#REF!</v>
      </c>
      <c r="E127" s="66" t="e">
        <f>E126/E124</f>
        <v>#REF!</v>
      </c>
      <c r="F127" s="66" t="str">
        <f>IFERROR(F126/F124,"")</f>
        <v/>
      </c>
      <c r="G127" s="66" t="str">
        <f>IFERROR(G126/G124,"")</f>
        <v/>
      </c>
      <c r="H127" s="66" t="str">
        <f>IFERROR(H126/H124,"")</f>
        <v/>
      </c>
      <c r="I127" s="81" t="e">
        <f>I126/I124</f>
        <v>#REF!</v>
      </c>
      <c r="J127" s="63"/>
      <c r="K127" s="67"/>
    </row>
    <row r="128" spans="2:11" x14ac:dyDescent="0.3">
      <c r="B128" s="12" t="s">
        <v>23</v>
      </c>
      <c r="C128" s="9" t="s">
        <v>19</v>
      </c>
      <c r="D128" s="66">
        <v>105</v>
      </c>
      <c r="E128" s="66">
        <v>105</v>
      </c>
      <c r="F128" s="66">
        <v>105</v>
      </c>
      <c r="G128" s="66">
        <v>105</v>
      </c>
      <c r="H128" s="66">
        <v>105</v>
      </c>
      <c r="I128" s="81">
        <v>105</v>
      </c>
      <c r="J128" s="78"/>
    </row>
    <row r="129" spans="2:9" x14ac:dyDescent="0.3">
      <c r="B129" s="21"/>
      <c r="C129" s="22"/>
      <c r="D129" s="23"/>
      <c r="E129" s="23"/>
      <c r="F129" s="23"/>
      <c r="G129" s="23"/>
      <c r="H129" s="23"/>
      <c r="I129" s="57"/>
    </row>
    <row r="130" spans="2:9" x14ac:dyDescent="0.3">
      <c r="B130" s="21"/>
      <c r="C130" s="22"/>
      <c r="D130" s="23"/>
      <c r="E130" s="23"/>
      <c r="F130" s="23"/>
      <c r="G130" s="23"/>
      <c r="H130" s="23"/>
    </row>
    <row r="131" spans="2:9" x14ac:dyDescent="0.3">
      <c r="B131" s="21"/>
      <c r="C131" s="22"/>
      <c r="D131" s="23"/>
      <c r="E131" s="23"/>
      <c r="F131" s="23"/>
      <c r="G131" s="23"/>
      <c r="H131" s="23"/>
    </row>
    <row r="132" spans="2:9" x14ac:dyDescent="0.3">
      <c r="B132" s="21"/>
      <c r="C132" s="22"/>
      <c r="D132" s="23"/>
      <c r="E132" s="23"/>
      <c r="F132" s="23"/>
      <c r="G132" s="23"/>
      <c r="H132" s="23"/>
    </row>
    <row r="133" spans="2:9" x14ac:dyDescent="0.3">
      <c r="B133" s="21"/>
      <c r="C133" s="22"/>
      <c r="D133" s="23"/>
      <c r="E133" s="23"/>
      <c r="F133" s="23"/>
      <c r="G133" s="23"/>
      <c r="H133" s="23"/>
    </row>
    <row r="134" spans="2:9" x14ac:dyDescent="0.3">
      <c r="B134" s="21"/>
      <c r="C134" s="22"/>
      <c r="D134" s="23"/>
      <c r="E134" s="23"/>
      <c r="F134" s="23"/>
      <c r="G134" s="23"/>
      <c r="H134" s="23"/>
    </row>
    <row r="135" spans="2:9" x14ac:dyDescent="0.3">
      <c r="B135" s="21"/>
      <c r="C135" s="22"/>
      <c r="D135" s="23"/>
      <c r="E135" s="23"/>
      <c r="F135" s="23"/>
      <c r="G135" s="23"/>
      <c r="H135" s="23"/>
    </row>
    <row r="136" spans="2:9" x14ac:dyDescent="0.3">
      <c r="B136" s="21"/>
      <c r="C136" s="22"/>
      <c r="D136" s="23"/>
      <c r="E136" s="23"/>
      <c r="F136" s="23"/>
      <c r="G136" s="23"/>
      <c r="H136" s="23"/>
    </row>
    <row r="137" spans="2:9" x14ac:dyDescent="0.3">
      <c r="B137" s="21"/>
      <c r="C137" s="22"/>
      <c r="D137" s="23"/>
      <c r="E137" s="23"/>
      <c r="F137" s="23"/>
      <c r="G137" s="23"/>
      <c r="H137" s="23"/>
    </row>
    <row r="138" spans="2:9" x14ac:dyDescent="0.3">
      <c r="B138" s="21"/>
      <c r="C138" s="22"/>
      <c r="D138" s="23"/>
      <c r="E138" s="23"/>
      <c r="F138" s="23"/>
      <c r="G138" s="23"/>
      <c r="H138" s="23"/>
    </row>
    <row r="139" spans="2:9" x14ac:dyDescent="0.3">
      <c r="B139" s="21"/>
      <c r="C139" s="22"/>
      <c r="D139" s="23"/>
      <c r="E139" s="23"/>
      <c r="F139" s="23"/>
      <c r="G139" s="23"/>
      <c r="H139" s="23"/>
    </row>
    <row r="140" spans="2:9" x14ac:dyDescent="0.3">
      <c r="B140" s="21"/>
      <c r="C140" s="22"/>
      <c r="D140" s="23"/>
      <c r="E140" s="23"/>
      <c r="F140" s="23"/>
      <c r="G140" s="23"/>
      <c r="H140" s="23"/>
    </row>
    <row r="141" spans="2:9" x14ac:dyDescent="0.3">
      <c r="B141" s="21"/>
      <c r="C141" s="22"/>
      <c r="D141" s="23"/>
      <c r="E141" s="23"/>
      <c r="F141" s="23"/>
      <c r="G141" s="23"/>
      <c r="H141" s="23"/>
    </row>
    <row r="142" spans="2:9" x14ac:dyDescent="0.3">
      <c r="B142" s="21"/>
      <c r="C142" s="22"/>
      <c r="D142" s="23"/>
      <c r="E142" s="23"/>
      <c r="F142" s="23"/>
      <c r="G142" s="23"/>
      <c r="H142" s="23"/>
    </row>
    <row r="143" spans="2:9" x14ac:dyDescent="0.3">
      <c r="B143" s="21"/>
      <c r="C143" s="22"/>
      <c r="D143" s="23"/>
      <c r="E143" s="23"/>
      <c r="F143" s="23"/>
      <c r="G143" s="23"/>
      <c r="H143" s="23"/>
    </row>
    <row r="144" spans="2:9" x14ac:dyDescent="0.3">
      <c r="B144" s="21"/>
      <c r="C144" s="22"/>
      <c r="D144" s="23"/>
      <c r="E144" s="23"/>
      <c r="F144" s="23"/>
      <c r="G144" s="23"/>
      <c r="H144" s="23"/>
    </row>
    <row r="145" spans="2:10" x14ac:dyDescent="0.3">
      <c r="B145" s="21"/>
      <c r="C145" s="22"/>
      <c r="D145" s="23"/>
      <c r="E145" s="23"/>
      <c r="F145" s="23"/>
      <c r="G145" s="23"/>
      <c r="H145" s="23"/>
    </row>
    <row r="146" spans="2:10" x14ac:dyDescent="0.3">
      <c r="B146" s="21"/>
      <c r="C146" s="22"/>
      <c r="D146" s="23"/>
      <c r="E146" s="23"/>
      <c r="F146" s="23"/>
      <c r="G146" s="23"/>
      <c r="H146" s="23"/>
    </row>
    <row r="147" spans="2:10" x14ac:dyDescent="0.3">
      <c r="B147" s="21"/>
      <c r="C147" s="22"/>
      <c r="D147" s="23"/>
      <c r="E147" s="23"/>
      <c r="F147" s="23"/>
      <c r="G147" s="23"/>
      <c r="H147" s="23"/>
    </row>
    <row r="148" spans="2:10" x14ac:dyDescent="0.3">
      <c r="B148" s="21"/>
      <c r="C148" s="22"/>
      <c r="D148" s="23"/>
      <c r="E148" s="23"/>
      <c r="F148" s="23"/>
      <c r="G148" s="23"/>
      <c r="H148" s="23"/>
    </row>
    <row r="149" spans="2:10" x14ac:dyDescent="0.3">
      <c r="B149" s="21"/>
      <c r="C149" s="22"/>
      <c r="D149" s="23"/>
      <c r="E149" s="23"/>
      <c r="F149" s="23"/>
      <c r="G149" s="23"/>
      <c r="H149" s="23"/>
    </row>
    <row r="150" spans="2:10" x14ac:dyDescent="0.3">
      <c r="B150" s="21"/>
      <c r="C150" s="22"/>
      <c r="D150" s="23"/>
      <c r="E150" s="23"/>
      <c r="F150" s="23"/>
      <c r="G150" s="23"/>
      <c r="H150" s="23"/>
    </row>
    <row r="151" spans="2:10" x14ac:dyDescent="0.3">
      <c r="B151" s="21"/>
      <c r="C151" s="22"/>
      <c r="D151" s="23"/>
      <c r="E151" s="23"/>
      <c r="F151" s="23"/>
      <c r="G151" s="23"/>
      <c r="H151" s="23"/>
    </row>
    <row r="152" spans="2:10" x14ac:dyDescent="0.3">
      <c r="B152" s="21"/>
      <c r="C152" s="22"/>
      <c r="D152" s="23"/>
      <c r="E152" s="23"/>
      <c r="F152" s="23"/>
      <c r="G152" s="23"/>
      <c r="H152" s="23"/>
    </row>
    <row r="153" spans="2:10" x14ac:dyDescent="0.3">
      <c r="B153" s="21"/>
      <c r="C153" s="22"/>
      <c r="D153" s="23"/>
      <c r="E153" s="23"/>
      <c r="F153" s="23"/>
      <c r="G153" s="23"/>
      <c r="H153" s="23"/>
    </row>
    <row r="154" spans="2:10" x14ac:dyDescent="0.3">
      <c r="B154" s="21"/>
      <c r="C154" s="22"/>
      <c r="D154" s="23"/>
      <c r="E154" s="23"/>
      <c r="F154" s="23"/>
      <c r="G154" s="23"/>
      <c r="H154" s="23"/>
    </row>
    <row r="155" spans="2:10" x14ac:dyDescent="0.3">
      <c r="B155" s="21"/>
      <c r="C155" s="22"/>
      <c r="D155" s="23"/>
      <c r="E155" s="23"/>
      <c r="F155" s="23"/>
      <c r="G155" s="23"/>
      <c r="H155" s="23"/>
    </row>
    <row r="156" spans="2:10" x14ac:dyDescent="0.3">
      <c r="B156" s="21"/>
      <c r="C156" s="22"/>
      <c r="D156" s="23"/>
      <c r="E156" s="23"/>
      <c r="F156" s="23"/>
      <c r="G156" s="23"/>
      <c r="H156" s="23"/>
    </row>
    <row r="157" spans="2:10" x14ac:dyDescent="0.3">
      <c r="B157" s="21"/>
      <c r="C157" s="22"/>
      <c r="D157" s="23"/>
      <c r="E157" s="23"/>
      <c r="F157" s="23"/>
      <c r="G157" s="23"/>
      <c r="H157" s="23"/>
    </row>
    <row r="158" spans="2:10" x14ac:dyDescent="0.3">
      <c r="B158" s="21"/>
      <c r="C158" s="22"/>
      <c r="D158" s="23"/>
      <c r="E158" s="23"/>
      <c r="F158" s="23"/>
      <c r="G158" s="23"/>
      <c r="H158" s="23"/>
    </row>
    <row r="159" spans="2:10" x14ac:dyDescent="0.3">
      <c r="I159" s="57"/>
      <c r="J159" s="57"/>
    </row>
    <row r="163" spans="2:11" ht="15.6" x14ac:dyDescent="0.3">
      <c r="B163" s="245" t="s">
        <v>21</v>
      </c>
      <c r="C163" s="245"/>
      <c r="D163" s="245"/>
      <c r="E163" s="245"/>
      <c r="F163" s="245"/>
      <c r="G163" s="245"/>
      <c r="H163" s="245"/>
    </row>
    <row r="164" spans="2:11" x14ac:dyDescent="0.3">
      <c r="D164" s="43" t="s">
        <v>45</v>
      </c>
      <c r="E164" s="43" t="s">
        <v>46</v>
      </c>
      <c r="F164" s="43" t="s">
        <v>47</v>
      </c>
      <c r="G164" s="43" t="s">
        <v>48</v>
      </c>
      <c r="H164" s="43" t="s">
        <v>49</v>
      </c>
      <c r="I164" s="43" t="s">
        <v>37</v>
      </c>
      <c r="J164" s="64"/>
    </row>
    <row r="165" spans="2:11" x14ac:dyDescent="0.3">
      <c r="B165" s="25" t="s">
        <v>15</v>
      </c>
      <c r="C165" s="16" t="s">
        <v>10</v>
      </c>
      <c r="D165" s="66" t="e">
        <f>D124*(D168/15)</f>
        <v>#REF!</v>
      </c>
      <c r="E165" s="66" t="e">
        <f>E124*(E168/15)</f>
        <v>#REF!</v>
      </c>
      <c r="F165" s="66">
        <f>F124*(F168/15)</f>
        <v>0</v>
      </c>
      <c r="G165" s="66">
        <f>G124*(G168/15)</f>
        <v>0</v>
      </c>
      <c r="H165" s="66">
        <f>H124*(H168/15)</f>
        <v>0</v>
      </c>
      <c r="I165" s="81" t="e">
        <f>SUM(D165:H165)</f>
        <v>#REF!</v>
      </c>
      <c r="J165" s="61"/>
      <c r="K165" s="56"/>
    </row>
    <row r="166" spans="2:11" x14ac:dyDescent="0.3">
      <c r="B166" s="25" t="s">
        <v>17</v>
      </c>
      <c r="C166" s="16" t="s">
        <v>10</v>
      </c>
      <c r="D166" s="66" t="e">
        <f>D165*$D$121</f>
        <v>#REF!</v>
      </c>
      <c r="E166" s="66" t="e">
        <f>E165*$D$121</f>
        <v>#REF!</v>
      </c>
      <c r="F166" s="66">
        <f>F165*$D$121</f>
        <v>0</v>
      </c>
      <c r="G166" s="66">
        <f>G165*$D$121</f>
        <v>0</v>
      </c>
      <c r="H166" s="66">
        <f>H165*$D$121</f>
        <v>0</v>
      </c>
      <c r="I166" s="81" t="e">
        <f>I165*105</f>
        <v>#REF!</v>
      </c>
      <c r="J166" s="63"/>
    </row>
    <row r="167" spans="2:11" x14ac:dyDescent="0.3">
      <c r="B167" s="25" t="s">
        <v>16</v>
      </c>
      <c r="C167" s="16" t="s">
        <v>10</v>
      </c>
      <c r="D167" s="11">
        <f t="shared" ref="D167:I167" si="0">D126</f>
        <v>51999.930693069306</v>
      </c>
      <c r="E167" s="11">
        <f t="shared" si="0"/>
        <v>77703.881188118816</v>
      </c>
      <c r="F167" s="11">
        <f t="shared" si="0"/>
        <v>0</v>
      </c>
      <c r="G167" s="11">
        <f t="shared" si="0"/>
        <v>0</v>
      </c>
      <c r="H167" s="11">
        <f t="shared" si="0"/>
        <v>0</v>
      </c>
      <c r="I167" s="82">
        <f t="shared" si="0"/>
        <v>129703.81188118813</v>
      </c>
      <c r="J167" s="63"/>
      <c r="K167" s="56"/>
    </row>
    <row r="168" spans="2:11" x14ac:dyDescent="0.3">
      <c r="B168" s="25" t="s">
        <v>39</v>
      </c>
      <c r="C168" s="16"/>
      <c r="D168" s="93">
        <f>[1]Mar2024!$G$42</f>
        <v>13.968333333333334</v>
      </c>
      <c r="E168" s="93">
        <f>[1]Mar2024!$G$43</f>
        <v>14.433285714285715</v>
      </c>
      <c r="F168" s="93"/>
      <c r="G168" s="93"/>
      <c r="H168" s="93"/>
      <c r="I168" s="93">
        <f>AVERAGE(D168:H168)</f>
        <v>14.200809523809525</v>
      </c>
      <c r="J168" s="87"/>
    </row>
    <row r="169" spans="2:11" x14ac:dyDescent="0.3">
      <c r="B169" s="12" t="s">
        <v>22</v>
      </c>
      <c r="C169" s="9" t="s">
        <v>19</v>
      </c>
      <c r="D169" s="66" t="e">
        <f>D167/D165</f>
        <v>#REF!</v>
      </c>
      <c r="E169" s="66" t="str">
        <f>IFERROR(E167/E165,"")</f>
        <v/>
      </c>
      <c r="F169" s="66" t="str">
        <f>IFERROR(F167/F165,"")</f>
        <v/>
      </c>
      <c r="G169" s="66" t="str">
        <f>IFERROR(G167/G165,"")</f>
        <v/>
      </c>
      <c r="H169" s="66" t="str">
        <f>IFERROR(H167/H165,"")</f>
        <v/>
      </c>
      <c r="I169" s="81" t="e">
        <f>I167/I165</f>
        <v>#REF!</v>
      </c>
      <c r="J169" s="65"/>
    </row>
    <row r="170" spans="2:11" x14ac:dyDescent="0.3">
      <c r="B170" s="12" t="s">
        <v>23</v>
      </c>
      <c r="C170" s="9" t="s">
        <v>19</v>
      </c>
      <c r="D170" s="66">
        <v>105</v>
      </c>
      <c r="E170" s="66">
        <v>105</v>
      </c>
      <c r="F170" s="66">
        <v>105</v>
      </c>
      <c r="G170" s="66">
        <v>105</v>
      </c>
      <c r="H170" s="66">
        <v>105</v>
      </c>
      <c r="I170" s="81">
        <f>H170</f>
        <v>105</v>
      </c>
      <c r="J170" s="65"/>
    </row>
    <row r="171" spans="2:11" x14ac:dyDescent="0.3">
      <c r="D171" s="24" t="s">
        <v>40</v>
      </c>
      <c r="I171" s="57"/>
    </row>
    <row r="208" s="4" customFormat="1" ht="15" thickBot="1" x14ac:dyDescent="0.35"/>
    <row r="209" spans="2:8" ht="15" thickTop="1" x14ac:dyDescent="0.3"/>
    <row r="214" spans="2:8" ht="25.8" hidden="1" x14ac:dyDescent="0.5">
      <c r="B214" s="246" t="s">
        <v>24</v>
      </c>
      <c r="C214" s="246"/>
      <c r="D214" s="246"/>
      <c r="E214" s="246"/>
      <c r="F214" s="246"/>
      <c r="G214" s="246"/>
      <c r="H214" s="246"/>
    </row>
    <row r="215" spans="2:8" hidden="1" x14ac:dyDescent="0.3"/>
    <row r="216" spans="2:8" ht="22.8" hidden="1" thickBot="1" x14ac:dyDescent="0.5">
      <c r="B216" s="28" t="s">
        <v>25</v>
      </c>
      <c r="C216" s="29" t="s">
        <v>26</v>
      </c>
      <c r="D216" s="29" t="s">
        <v>27</v>
      </c>
      <c r="E216" s="30" t="s">
        <v>28</v>
      </c>
    </row>
    <row r="217" spans="2:8" ht="23.4" hidden="1" x14ac:dyDescent="0.45">
      <c r="B217" s="31"/>
      <c r="C217" s="26"/>
      <c r="D217" s="26"/>
      <c r="E217" s="32"/>
    </row>
    <row r="218" spans="2:8" ht="22.2" hidden="1" x14ac:dyDescent="0.45">
      <c r="B218" s="33">
        <v>44743</v>
      </c>
      <c r="C218" s="89">
        <v>1056523.5</v>
      </c>
      <c r="D218" s="90">
        <v>1501785</v>
      </c>
      <c r="E218" s="91">
        <f>C218+D218</f>
        <v>2558308.5</v>
      </c>
    </row>
    <row r="219" spans="2:8" ht="22.2" hidden="1" x14ac:dyDescent="0.45">
      <c r="B219" s="33">
        <v>44774</v>
      </c>
      <c r="C219" s="92">
        <v>1649443.5</v>
      </c>
      <c r="D219" s="92">
        <v>863715</v>
      </c>
      <c r="E219" s="91">
        <f t="shared" ref="E219:E229" si="1">C219+D219</f>
        <v>2513158.5</v>
      </c>
    </row>
    <row r="220" spans="2:8" ht="22.2" hidden="1" x14ac:dyDescent="0.45">
      <c r="B220" s="33">
        <v>44805</v>
      </c>
      <c r="C220" s="92">
        <v>1346098.5</v>
      </c>
      <c r="D220" s="92">
        <v>1119105</v>
      </c>
      <c r="E220" s="91">
        <f t="shared" si="1"/>
        <v>2465203.5</v>
      </c>
    </row>
    <row r="221" spans="2:8" ht="22.2" hidden="1" x14ac:dyDescent="0.45">
      <c r="B221" s="33">
        <v>44835</v>
      </c>
      <c r="C221" s="92">
        <v>2573653.5</v>
      </c>
      <c r="D221" s="92">
        <v>0</v>
      </c>
      <c r="E221" s="91">
        <f t="shared" si="1"/>
        <v>2573653.5</v>
      </c>
    </row>
    <row r="222" spans="2:8" ht="22.2" hidden="1" x14ac:dyDescent="0.45">
      <c r="B222" s="33">
        <v>44866</v>
      </c>
      <c r="C222" s="92">
        <v>2239123.5</v>
      </c>
      <c r="D222" s="92">
        <v>0</v>
      </c>
      <c r="E222" s="91">
        <f t="shared" si="1"/>
        <v>2239123.5</v>
      </c>
    </row>
    <row r="223" spans="2:8" ht="22.2" hidden="1" x14ac:dyDescent="0.45">
      <c r="B223" s="33">
        <v>44896</v>
      </c>
      <c r="C223" s="92">
        <v>3815869.5</v>
      </c>
      <c r="D223" s="92">
        <v>0</v>
      </c>
      <c r="E223" s="91">
        <f t="shared" si="1"/>
        <v>3815869.5</v>
      </c>
    </row>
    <row r="224" spans="2:8" ht="22.2" hidden="1" x14ac:dyDescent="0.45">
      <c r="B224" s="33">
        <v>44927</v>
      </c>
      <c r="C224" s="92">
        <v>3876876</v>
      </c>
      <c r="D224" s="92">
        <v>0</v>
      </c>
      <c r="E224" s="91">
        <f t="shared" si="1"/>
        <v>3876876</v>
      </c>
    </row>
    <row r="225" spans="2:5" ht="22.2" hidden="1" x14ac:dyDescent="0.45">
      <c r="B225" s="33">
        <v>44958</v>
      </c>
      <c r="C225" s="92">
        <v>2565432</v>
      </c>
      <c r="D225" s="92">
        <v>427935</v>
      </c>
      <c r="E225" s="91">
        <f t="shared" si="1"/>
        <v>2993367</v>
      </c>
    </row>
    <row r="226" spans="2:5" ht="22.2" hidden="1" x14ac:dyDescent="0.45">
      <c r="B226" s="33">
        <v>44986</v>
      </c>
      <c r="C226" s="92">
        <v>2163847.5</v>
      </c>
      <c r="D226" s="92">
        <v>0</v>
      </c>
      <c r="E226" s="91">
        <f t="shared" si="1"/>
        <v>2163847.5</v>
      </c>
    </row>
    <row r="227" spans="2:5" ht="22.2" hidden="1" x14ac:dyDescent="0.45">
      <c r="B227" s="33">
        <v>45017</v>
      </c>
      <c r="C227" s="92">
        <v>1103476.5</v>
      </c>
      <c r="D227" s="92">
        <v>0</v>
      </c>
      <c r="E227" s="91">
        <f t="shared" si="1"/>
        <v>1103476.5</v>
      </c>
    </row>
    <row r="228" spans="2:5" ht="22.2" hidden="1" x14ac:dyDescent="0.45">
      <c r="B228" s="33">
        <v>45047</v>
      </c>
      <c r="C228" s="92">
        <v>1210167</v>
      </c>
      <c r="D228" s="92">
        <v>0</v>
      </c>
      <c r="E228" s="91">
        <f t="shared" si="1"/>
        <v>1210167</v>
      </c>
    </row>
    <row r="229" spans="2:5" ht="22.2" hidden="1" x14ac:dyDescent="0.45">
      <c r="B229" s="33">
        <v>45078</v>
      </c>
      <c r="C229" s="92">
        <v>2359260</v>
      </c>
      <c r="D229" s="92">
        <v>0</v>
      </c>
      <c r="E229" s="91">
        <f t="shared" si="1"/>
        <v>2359260</v>
      </c>
    </row>
    <row r="230" spans="2:5" ht="22.8" hidden="1" thickBot="1" x14ac:dyDescent="0.5">
      <c r="B230" s="34"/>
      <c r="C230" s="27"/>
      <c r="D230" s="27"/>
      <c r="E230" s="35"/>
    </row>
    <row r="231" spans="2:5" ht="23.4" hidden="1" thickTop="1" thickBot="1" x14ac:dyDescent="0.5">
      <c r="B231" s="36"/>
      <c r="C231" s="37">
        <f>SUM(C218:C229)</f>
        <v>25959771</v>
      </c>
      <c r="D231" s="37">
        <f>SUM(D218:D229)</f>
        <v>3912540</v>
      </c>
      <c r="E231" s="38">
        <f>SUM(E218:E229)</f>
        <v>29872311</v>
      </c>
    </row>
    <row r="232" spans="2:5" hidden="1" x14ac:dyDescent="0.3"/>
    <row r="233" spans="2:5" hidden="1" x14ac:dyDescent="0.3"/>
    <row r="234" spans="2:5" hidden="1" x14ac:dyDescent="0.3"/>
    <row r="235" spans="2:5" hidden="1" x14ac:dyDescent="0.3"/>
    <row r="236" spans="2:5" hidden="1" x14ac:dyDescent="0.3"/>
    <row r="237" spans="2:5" hidden="1" x14ac:dyDescent="0.3"/>
    <row r="238" spans="2:5" hidden="1" x14ac:dyDescent="0.3"/>
  </sheetData>
  <dataConsolidate/>
  <mergeCells count="8">
    <mergeCell ref="I108:I109"/>
    <mergeCell ref="B118:I118"/>
    <mergeCell ref="B120:H120"/>
    <mergeCell ref="B163:H163"/>
    <mergeCell ref="B214:H214"/>
    <mergeCell ref="B2:H2"/>
    <mergeCell ref="B45:H45"/>
    <mergeCell ref="B80:H8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3C98-7E26-4E98-8025-93E912B5D05E}">
  <sheetPr>
    <tabColor rgb="FF00B050"/>
    <pageSetUpPr autoPageBreaks="0"/>
  </sheetPr>
  <dimension ref="B2:L241"/>
  <sheetViews>
    <sheetView showGridLines="0" zoomScale="70" zoomScaleNormal="70" zoomScaleSheetLayoutView="115" workbookViewId="0">
      <selection activeCell="K17" sqref="K17"/>
    </sheetView>
  </sheetViews>
  <sheetFormatPr defaultColWidth="22.33203125" defaultRowHeight="14.4" x14ac:dyDescent="0.3"/>
  <cols>
    <col min="2" max="2" width="24.109375" customWidth="1"/>
    <col min="3" max="3" width="13.88671875" customWidth="1"/>
    <col min="4" max="8" width="15.88671875" customWidth="1"/>
    <col min="9" max="9" width="9.77734375" customWidth="1"/>
    <col min="10" max="10" width="16.5546875" customWidth="1"/>
  </cols>
  <sheetData>
    <row r="2" spans="2:12" ht="25.8" x14ac:dyDescent="0.5">
      <c r="B2" s="246" t="s">
        <v>0</v>
      </c>
      <c r="C2" s="246"/>
      <c r="D2" s="246"/>
      <c r="E2" s="246"/>
      <c r="F2" s="246"/>
      <c r="G2" s="246"/>
      <c r="H2" s="246"/>
    </row>
    <row r="3" spans="2:12" ht="4.5" customHeight="1" x14ac:dyDescent="0.3"/>
    <row r="4" spans="2:12" x14ac:dyDescent="0.3">
      <c r="B4" s="14" t="s">
        <v>30</v>
      </c>
      <c r="C4" s="15">
        <f>(62000-36999)/4</f>
        <v>6250.25</v>
      </c>
      <c r="D4" s="16" t="s">
        <v>4</v>
      </c>
      <c r="J4" s="67"/>
    </row>
    <row r="5" spans="2:12" x14ac:dyDescent="0.3">
      <c r="B5" s="14" t="s">
        <v>52</v>
      </c>
      <c r="C5" s="15">
        <v>62000</v>
      </c>
      <c r="D5" s="16" t="s">
        <v>4</v>
      </c>
      <c r="J5" s="67"/>
    </row>
    <row r="6" spans="2:12" x14ac:dyDescent="0.3">
      <c r="B6" s="14" t="s">
        <v>6</v>
      </c>
      <c r="C6" s="17">
        <f>SUM(D35:H35)</f>
        <v>2906.7890000000002</v>
      </c>
      <c r="D6" s="16" t="s">
        <v>4</v>
      </c>
    </row>
    <row r="7" spans="2:12" x14ac:dyDescent="0.3">
      <c r="B7" s="14" t="s">
        <v>2</v>
      </c>
      <c r="C7" s="17">
        <f>SUM(D37:H37)</f>
        <v>0</v>
      </c>
      <c r="D7" s="16" t="s">
        <v>4</v>
      </c>
      <c r="F7" s="3"/>
    </row>
    <row r="9" spans="2:12" x14ac:dyDescent="0.3">
      <c r="D9" s="2"/>
      <c r="E9" s="2"/>
      <c r="F9" s="2"/>
      <c r="G9" s="2"/>
      <c r="H9" s="2"/>
    </row>
    <row r="10" spans="2:12" x14ac:dyDescent="0.3">
      <c r="D10" s="2"/>
      <c r="E10" s="2"/>
      <c r="F10" s="2"/>
      <c r="G10" s="2"/>
      <c r="H10" s="2"/>
    </row>
    <row r="11" spans="2:12" x14ac:dyDescent="0.3">
      <c r="D11" s="2"/>
      <c r="E11" s="2"/>
      <c r="F11" s="2"/>
      <c r="G11" s="2"/>
      <c r="H11" s="2"/>
    </row>
    <row r="12" spans="2:12" x14ac:dyDescent="0.3">
      <c r="L12" s="57"/>
    </row>
    <row r="27" spans="3:8" x14ac:dyDescent="0.3">
      <c r="C27" s="57">
        <f>477/5167</f>
        <v>9.2316624733888131E-2</v>
      </c>
      <c r="D27" s="57"/>
      <c r="E27" s="57">
        <f>E28/5167</f>
        <v>0.29998064640990901</v>
      </c>
      <c r="F27" s="57">
        <f>F28/5167</f>
        <v>0.55196438939423265</v>
      </c>
      <c r="G27" s="57">
        <f>G28/5167</f>
        <v>0.78923940390942515</v>
      </c>
    </row>
    <row r="28" spans="3:8" x14ac:dyDescent="0.3">
      <c r="C28">
        <f>477</f>
        <v>477</v>
      </c>
      <c r="D28" s="56"/>
      <c r="E28">
        <f>477+1073</f>
        <v>1550</v>
      </c>
      <c r="F28">
        <f>1550+1302</f>
        <v>2852</v>
      </c>
      <c r="G28">
        <f>2852+1226</f>
        <v>4078</v>
      </c>
    </row>
    <row r="29" spans="3:8" hidden="1" x14ac:dyDescent="0.3"/>
    <row r="30" spans="3:8" hidden="1" x14ac:dyDescent="0.3"/>
    <row r="31" spans="3:8" hidden="1" x14ac:dyDescent="0.3"/>
    <row r="32" spans="3:8" ht="16.5" customHeight="1" x14ac:dyDescent="0.3">
      <c r="D32" s="60"/>
      <c r="E32" s="60"/>
      <c r="F32" s="60"/>
      <c r="G32" s="60"/>
      <c r="H32" s="60"/>
    </row>
    <row r="33" spans="2:10" x14ac:dyDescent="0.3">
      <c r="B33" s="1"/>
      <c r="C33" s="1"/>
      <c r="D33" s="43" t="s">
        <v>32</v>
      </c>
      <c r="E33" s="43" t="s">
        <v>33</v>
      </c>
      <c r="F33" s="43" t="s">
        <v>34</v>
      </c>
      <c r="G33" s="43" t="s">
        <v>35</v>
      </c>
      <c r="H33" s="43"/>
    </row>
    <row r="34" spans="2:10" ht="15" thickBot="1" x14ac:dyDescent="0.35">
      <c r="B34" s="1"/>
      <c r="C34" s="1"/>
      <c r="D34" s="43" t="s">
        <v>51</v>
      </c>
      <c r="E34" s="43" t="s">
        <v>47</v>
      </c>
      <c r="F34" s="43" t="s">
        <v>48</v>
      </c>
      <c r="G34" s="43" t="s">
        <v>49</v>
      </c>
      <c r="H34" s="43"/>
      <c r="J34" s="57"/>
    </row>
    <row r="35" spans="2:10" ht="16.95" customHeight="1" x14ac:dyDescent="0.3">
      <c r="B35" s="12" t="s">
        <v>38</v>
      </c>
      <c r="C35" s="6" t="s">
        <v>4</v>
      </c>
      <c r="D35" s="44">
        <f>[1]Mar2024!$H$42</f>
        <v>1323.5190000000002</v>
      </c>
      <c r="E35" s="45">
        <f>[1]Mar2024!$H$43</f>
        <v>1583.27</v>
      </c>
      <c r="F35" s="45"/>
      <c r="G35" s="45"/>
      <c r="H35" s="46"/>
      <c r="I35" s="56"/>
      <c r="J35" s="57">
        <f>D35/C4</f>
        <v>0.21175456981720736</v>
      </c>
    </row>
    <row r="36" spans="2:10" x14ac:dyDescent="0.3">
      <c r="B36" s="12" t="s">
        <v>50</v>
      </c>
      <c r="C36" s="6"/>
      <c r="D36" s="53">
        <f>[1]Mar2024!$I$42</f>
        <v>1017.8299999999999</v>
      </c>
      <c r="E36" s="54">
        <f>[1]Mar2024!$I$43</f>
        <v>311.012</v>
      </c>
      <c r="F36" s="54"/>
      <c r="G36" s="54"/>
      <c r="H36" s="55"/>
      <c r="I36" s="56"/>
      <c r="J36" s="57"/>
    </row>
    <row r="37" spans="2:10" ht="15" hidden="1" thickBot="1" x14ac:dyDescent="0.35">
      <c r="B37" s="12" t="s">
        <v>50</v>
      </c>
      <c r="C37" s="6" t="s">
        <v>4</v>
      </c>
      <c r="D37" s="47">
        <v>0</v>
      </c>
      <c r="E37" s="48">
        <v>0</v>
      </c>
      <c r="F37" s="48">
        <v>0</v>
      </c>
      <c r="G37" s="48">
        <v>0</v>
      </c>
      <c r="H37" s="49">
        <v>0</v>
      </c>
    </row>
    <row r="38" spans="2:10" hidden="1" x14ac:dyDescent="0.3">
      <c r="B38" s="12" t="s">
        <v>3</v>
      </c>
      <c r="C38" s="6" t="s">
        <v>4</v>
      </c>
      <c r="D38" s="75"/>
      <c r="E38" s="75"/>
      <c r="F38" s="75"/>
      <c r="G38" s="75">
        <f>G35+G36+G37</f>
        <v>0</v>
      </c>
      <c r="H38" s="75">
        <f>H35+H36+H37</f>
        <v>0</v>
      </c>
      <c r="I38" s="56"/>
      <c r="J38" s="57"/>
    </row>
    <row r="39" spans="2:10" x14ac:dyDescent="0.3">
      <c r="B39" s="13" t="s">
        <v>5</v>
      </c>
      <c r="C39" s="8"/>
      <c r="D39" s="76">
        <f>D38</f>
        <v>0</v>
      </c>
      <c r="E39" s="76">
        <f>D39+E38</f>
        <v>0</v>
      </c>
      <c r="F39" s="76">
        <f>E39+F38</f>
        <v>0</v>
      </c>
      <c r="G39" s="76">
        <f>F39+G38</f>
        <v>0</v>
      </c>
      <c r="H39" s="76">
        <f>G39+H38</f>
        <v>0</v>
      </c>
      <c r="I39" s="56"/>
    </row>
    <row r="40" spans="2:10" ht="28.8" x14ac:dyDescent="0.3">
      <c r="B40" s="12" t="s">
        <v>9</v>
      </c>
      <c r="C40" s="6" t="s">
        <v>4</v>
      </c>
      <c r="D40" s="75">
        <f>C4/5</f>
        <v>1250.05</v>
      </c>
      <c r="E40" s="75">
        <f>(C4-D39)/4</f>
        <v>1562.5625</v>
      </c>
      <c r="F40" s="75">
        <f>(C$4-E39)/3</f>
        <v>2083.4166666666665</v>
      </c>
      <c r="G40" s="84">
        <f>(C$4-F39)/2</f>
        <v>3125.125</v>
      </c>
      <c r="H40" s="84">
        <f>($C$4-G39)</f>
        <v>6250.25</v>
      </c>
      <c r="I40" s="56"/>
      <c r="J40" s="67"/>
    </row>
    <row r="41" spans="2:10" x14ac:dyDescent="0.3">
      <c r="B41" s="21"/>
      <c r="C41" s="85" t="s">
        <v>44</v>
      </c>
      <c r="D41" s="86">
        <f>C4-D38</f>
        <v>6250.25</v>
      </c>
      <c r="E41" s="86">
        <f>D41-E38</f>
        <v>6250.25</v>
      </c>
      <c r="F41" s="86">
        <f>E41-F38</f>
        <v>6250.25</v>
      </c>
      <c r="G41" s="86">
        <f>F41-G38</f>
        <v>6250.25</v>
      </c>
      <c r="H41" s="86">
        <f>G41-H38</f>
        <v>6250.25</v>
      </c>
      <c r="I41" s="56"/>
      <c r="J41" s="67"/>
    </row>
    <row r="42" spans="2:10" x14ac:dyDescent="0.3">
      <c r="B42" s="21"/>
      <c r="C42" s="85"/>
      <c r="D42" s="86"/>
      <c r="E42" s="86"/>
      <c r="F42" s="86"/>
      <c r="G42" s="86"/>
      <c r="H42" s="86"/>
      <c r="I42" s="56"/>
    </row>
    <row r="43" spans="2:10" s="4" customFormat="1" ht="15" thickBot="1" x14ac:dyDescent="0.35">
      <c r="D43" s="59"/>
      <c r="E43" s="59"/>
      <c r="F43" s="59"/>
      <c r="G43" s="59"/>
      <c r="H43" s="59"/>
    </row>
    <row r="44" spans="2:10" ht="15" thickTop="1" x14ac:dyDescent="0.3">
      <c r="D44" s="67"/>
      <c r="E44" s="67"/>
      <c r="F44" s="67"/>
    </row>
    <row r="46" spans="2:10" ht="25.8" x14ac:dyDescent="0.5">
      <c r="B46" s="246" t="s">
        <v>7</v>
      </c>
      <c r="C46" s="246"/>
      <c r="D46" s="246"/>
      <c r="E46" s="246"/>
      <c r="F46" s="246"/>
      <c r="G46" s="246"/>
      <c r="H46" s="246"/>
    </row>
    <row r="47" spans="2:10" ht="4.95" customHeight="1" x14ac:dyDescent="0.3"/>
    <row r="48" spans="2:10" x14ac:dyDescent="0.3">
      <c r="B48" s="14" t="s">
        <v>31</v>
      </c>
      <c r="C48" s="15">
        <f>(4953600-305990)/4</f>
        <v>1161902.5</v>
      </c>
      <c r="D48" s="16" t="s">
        <v>8</v>
      </c>
      <c r="J48" s="96"/>
    </row>
    <row r="49" spans="2:10" x14ac:dyDescent="0.3">
      <c r="B49" s="14" t="s">
        <v>52</v>
      </c>
      <c r="C49" s="15">
        <v>4953600</v>
      </c>
      <c r="D49" s="16" t="s">
        <v>8</v>
      </c>
      <c r="J49" s="96"/>
    </row>
    <row r="50" spans="2:10" x14ac:dyDescent="0.3">
      <c r="B50" s="14" t="s">
        <v>6</v>
      </c>
      <c r="C50" s="17">
        <f>SUM(D77:H77)</f>
        <v>136085</v>
      </c>
      <c r="D50" s="16" t="s">
        <v>8</v>
      </c>
      <c r="E50" s="57"/>
    </row>
    <row r="51" spans="2:10" ht="28.8" x14ac:dyDescent="0.3">
      <c r="B51" s="18" t="s">
        <v>9</v>
      </c>
      <c r="C51" s="17">
        <f>C48-C50</f>
        <v>1025817.5</v>
      </c>
      <c r="D51" s="16" t="s">
        <v>8</v>
      </c>
    </row>
    <row r="75" spans="2:9" x14ac:dyDescent="0.3">
      <c r="B75" s="1"/>
      <c r="C75" s="1"/>
      <c r="D75" s="43" t="s">
        <v>32</v>
      </c>
      <c r="E75" s="43" t="s">
        <v>33</v>
      </c>
      <c r="F75" s="43" t="s">
        <v>34</v>
      </c>
      <c r="G75" s="43" t="s">
        <v>35</v>
      </c>
      <c r="H75" s="43" t="s">
        <v>36</v>
      </c>
    </row>
    <row r="76" spans="2:9" ht="15" thickBot="1" x14ac:dyDescent="0.35">
      <c r="B76" s="1"/>
      <c r="C76" s="1"/>
      <c r="D76" s="43" t="s">
        <v>51</v>
      </c>
      <c r="E76" s="43" t="s">
        <v>47</v>
      </c>
      <c r="F76" s="43" t="s">
        <v>48</v>
      </c>
      <c r="G76" s="43" t="s">
        <v>49</v>
      </c>
      <c r="H76" s="43"/>
    </row>
    <row r="77" spans="2:9" ht="15" thickBot="1" x14ac:dyDescent="0.35">
      <c r="B77" s="5" t="s">
        <v>1</v>
      </c>
      <c r="C77" s="9" t="s">
        <v>8</v>
      </c>
      <c r="D77" s="40">
        <f>[1]Mar2024!$J$42</f>
        <v>72734</v>
      </c>
      <c r="E77" s="41">
        <f>[1]Mar2024!$J$43</f>
        <v>63351</v>
      </c>
      <c r="F77" s="41"/>
      <c r="G77" s="41">
        <f>[2]Dec2023!$I$45</f>
        <v>0</v>
      </c>
      <c r="H77" s="42"/>
      <c r="I77" s="56">
        <f>SUM(D77:H77)</f>
        <v>136085</v>
      </c>
    </row>
    <row r="78" spans="2:9" x14ac:dyDescent="0.3">
      <c r="B78" s="7" t="s">
        <v>5</v>
      </c>
      <c r="C78" s="9" t="s">
        <v>8</v>
      </c>
      <c r="D78" s="39">
        <f>D77</f>
        <v>72734</v>
      </c>
      <c r="E78" s="39">
        <f>D78+E77</f>
        <v>136085</v>
      </c>
      <c r="F78" s="39">
        <f>E78+F77</f>
        <v>136085</v>
      </c>
      <c r="G78" s="39">
        <f>F78+G77</f>
        <v>136085</v>
      </c>
      <c r="H78" s="39">
        <f>G78+H77</f>
        <v>136085</v>
      </c>
    </row>
    <row r="79" spans="2:9" ht="28.8" x14ac:dyDescent="0.3">
      <c r="B79" s="5" t="s">
        <v>9</v>
      </c>
      <c r="C79" s="9" t="s">
        <v>8</v>
      </c>
      <c r="D79" s="39">
        <f>C48/5</f>
        <v>232380.5</v>
      </c>
      <c r="E79" s="39">
        <f>(C48-D79)/4</f>
        <v>232380.5</v>
      </c>
      <c r="F79" s="39">
        <f>($C$48-E78)/3</f>
        <v>341939.16666666669</v>
      </c>
      <c r="G79" s="39">
        <f>($C$48-F78)/2</f>
        <v>512908.75</v>
      </c>
      <c r="H79" s="39">
        <f>($C$48-G78)/1</f>
        <v>1025817.5</v>
      </c>
      <c r="I79" s="56"/>
    </row>
    <row r="80" spans="2:9" s="4" customFormat="1" ht="15" thickBot="1" x14ac:dyDescent="0.35"/>
    <row r="81" spans="2:8" ht="15" thickTop="1" x14ac:dyDescent="0.3"/>
    <row r="82" spans="2:8" ht="25.8" x14ac:dyDescent="0.5">
      <c r="B82" s="246" t="s">
        <v>29</v>
      </c>
      <c r="C82" s="246"/>
      <c r="D82" s="246"/>
      <c r="E82" s="246"/>
      <c r="F82" s="246"/>
      <c r="G82" s="246"/>
      <c r="H82" s="246"/>
    </row>
    <row r="83" spans="2:8" ht="6.45" customHeight="1" x14ac:dyDescent="0.3"/>
    <row r="84" spans="2:8" ht="16.2" x14ac:dyDescent="0.3">
      <c r="B84" s="14" t="s">
        <v>31</v>
      </c>
      <c r="C84" s="15">
        <f>(4140528-2484001)/4</f>
        <v>414131.75</v>
      </c>
      <c r="D84" s="16" t="s">
        <v>11</v>
      </c>
    </row>
    <row r="85" spans="2:8" ht="16.2" x14ac:dyDescent="0.3">
      <c r="B85" s="14" t="s">
        <v>52</v>
      </c>
      <c r="C85" s="15">
        <v>4140528</v>
      </c>
      <c r="D85" s="16" t="s">
        <v>11</v>
      </c>
    </row>
    <row r="86" spans="2:8" ht="16.2" x14ac:dyDescent="0.3">
      <c r="B86" s="14" t="s">
        <v>6</v>
      </c>
      <c r="C86" s="17">
        <f>SUM(D116:H116)</f>
        <v>129703.81188118813</v>
      </c>
      <c r="D86" s="16" t="s">
        <v>11</v>
      </c>
      <c r="E86" s="57"/>
    </row>
    <row r="87" spans="2:8" ht="28.8" x14ac:dyDescent="0.3">
      <c r="B87" s="14" t="s">
        <v>9</v>
      </c>
      <c r="C87" s="17">
        <f>C84-C86</f>
        <v>284427.93811881187</v>
      </c>
      <c r="D87" s="16" t="s">
        <v>11</v>
      </c>
    </row>
    <row r="88" spans="2:8" ht="7.5" customHeight="1" x14ac:dyDescent="0.3"/>
    <row r="101" spans="2:10" x14ac:dyDescent="0.3">
      <c r="J101" s="57"/>
    </row>
    <row r="111" spans="2:10" x14ac:dyDescent="0.3">
      <c r="B111" s="1"/>
      <c r="C111" s="1"/>
      <c r="D111" s="80" t="s">
        <v>32</v>
      </c>
      <c r="E111" s="80" t="s">
        <v>33</v>
      </c>
      <c r="F111" s="80" t="s">
        <v>42</v>
      </c>
      <c r="G111" s="80" t="s">
        <v>35</v>
      </c>
      <c r="H111" s="80" t="s">
        <v>36</v>
      </c>
      <c r="I111" s="247" t="s">
        <v>37</v>
      </c>
      <c r="J111" s="74"/>
    </row>
    <row r="112" spans="2:10" ht="15" thickBot="1" x14ac:dyDescent="0.35">
      <c r="B112" s="1"/>
      <c r="C112" s="1"/>
      <c r="D112" s="43" t="s">
        <v>51</v>
      </c>
      <c r="E112" s="43" t="s">
        <v>47</v>
      </c>
      <c r="F112" s="43" t="s">
        <v>48</v>
      </c>
      <c r="G112" s="43" t="s">
        <v>49</v>
      </c>
      <c r="H112" s="43"/>
      <c r="I112" s="247"/>
      <c r="J112" s="74"/>
    </row>
    <row r="113" spans="2:11" ht="16.2" x14ac:dyDescent="0.3">
      <c r="B113" s="79" t="s">
        <v>43</v>
      </c>
      <c r="C113" s="9" t="s">
        <v>11</v>
      </c>
      <c r="D113" s="58">
        <f>[1]Mar2024!$N$42</f>
        <v>15993</v>
      </c>
      <c r="E113" s="50">
        <f>[1]Mar2024!$N$43</f>
        <v>46342</v>
      </c>
      <c r="F113" s="50"/>
      <c r="G113" s="50"/>
      <c r="H113" s="51"/>
      <c r="I113" s="61">
        <f>SUM(D113:H113)</f>
        <v>62335</v>
      </c>
      <c r="J113" s="77"/>
      <c r="K113">
        <f>I113/D116</f>
        <v>1.1987515977268057</v>
      </c>
    </row>
    <row r="114" spans="2:11" ht="16.2" x14ac:dyDescent="0.3">
      <c r="B114" s="79" t="s">
        <v>41</v>
      </c>
      <c r="C114" s="9" t="s">
        <v>11</v>
      </c>
      <c r="D114" s="83">
        <f>[1]Mar2024!$M$42</f>
        <v>36006.930693069306</v>
      </c>
      <c r="E114" s="69">
        <f>[1]Mar2024!$M$43</f>
        <v>31361.881188118812</v>
      </c>
      <c r="F114" s="69"/>
      <c r="G114" s="69"/>
      <c r="H114" s="70"/>
      <c r="I114" s="61">
        <f>SUM(D114:H114)</f>
        <v>67368.811881188114</v>
      </c>
      <c r="J114" s="88"/>
    </row>
    <row r="115" spans="2:11" ht="16.2" x14ac:dyDescent="0.3">
      <c r="B115" s="12" t="s">
        <v>12</v>
      </c>
      <c r="C115" s="9" t="s">
        <v>11</v>
      </c>
      <c r="D115" s="68">
        <f>[1]Mar2024!$O$42</f>
        <v>0</v>
      </c>
      <c r="E115" s="69">
        <f>[1]Mar2024!$O$43</f>
        <v>0</v>
      </c>
      <c r="F115" s="69"/>
      <c r="G115" s="69"/>
      <c r="H115" s="70"/>
      <c r="I115" s="61">
        <f>SUM(D115:H115)</f>
        <v>0</v>
      </c>
      <c r="J115" s="77"/>
    </row>
    <row r="116" spans="2:11" x14ac:dyDescent="0.3">
      <c r="B116" s="72" t="s">
        <v>13</v>
      </c>
      <c r="C116" s="73" t="s">
        <v>10</v>
      </c>
      <c r="D116" s="71">
        <f>SUM(D113:D115)</f>
        <v>51999.930693069306</v>
      </c>
      <c r="E116" s="71">
        <f>SUM(E113:E115)</f>
        <v>77703.881188118816</v>
      </c>
      <c r="F116" s="71">
        <f>SUM(F113:F115)</f>
        <v>0</v>
      </c>
      <c r="G116" s="71">
        <f>SUM(G113:G115)</f>
        <v>0</v>
      </c>
      <c r="H116" s="71">
        <f>SUM(H113:H115)</f>
        <v>0</v>
      </c>
      <c r="I116" s="61">
        <f>SUM(D116:H116)</f>
        <v>129703.81188118813</v>
      </c>
      <c r="J116" s="94"/>
    </row>
    <row r="117" spans="2:11" x14ac:dyDescent="0.3">
      <c r="B117" s="13" t="s">
        <v>5</v>
      </c>
      <c r="C117" s="9" t="s">
        <v>10</v>
      </c>
      <c r="D117" s="52">
        <f>D116</f>
        <v>51999.930693069306</v>
      </c>
      <c r="E117" s="52">
        <f>D117+E116</f>
        <v>129703.81188118813</v>
      </c>
      <c r="F117" s="52">
        <f>E117+F116</f>
        <v>129703.81188118813</v>
      </c>
      <c r="G117" s="52">
        <f>F117+G116</f>
        <v>129703.81188118813</v>
      </c>
      <c r="H117" s="52">
        <f>G117+H116</f>
        <v>129703.81188118813</v>
      </c>
      <c r="I117" s="61"/>
      <c r="J117" s="61"/>
    </row>
    <row r="118" spans="2:11" ht="28.8" x14ac:dyDescent="0.3">
      <c r="B118" s="12" t="s">
        <v>9</v>
      </c>
      <c r="C118" s="9" t="s">
        <v>10</v>
      </c>
      <c r="D118" s="52">
        <f>$C$84/5</f>
        <v>82826.350000000006</v>
      </c>
      <c r="E118" s="52">
        <f>($C$84-D117)/4</f>
        <v>90532.954826732675</v>
      </c>
      <c r="F118" s="52">
        <f>($C$84-E117)/3</f>
        <v>94809.312706270619</v>
      </c>
      <c r="G118" s="52">
        <f>($C$84-F117)/2</f>
        <v>142213.96905940594</v>
      </c>
      <c r="H118" s="52">
        <f>C84-H117</f>
        <v>284427.93811881187</v>
      </c>
      <c r="I118" s="61">
        <f>C84</f>
        <v>414131.75</v>
      </c>
      <c r="J118" s="61"/>
    </row>
    <row r="119" spans="2:11" s="4" customFormat="1" ht="15" thickBot="1" x14ac:dyDescent="0.35"/>
    <row r="120" spans="2:11" ht="15" thickTop="1" x14ac:dyDescent="0.3"/>
    <row r="121" spans="2:11" ht="25.8" x14ac:dyDescent="0.5">
      <c r="B121" s="246" t="s">
        <v>14</v>
      </c>
      <c r="C121" s="246"/>
      <c r="D121" s="246"/>
      <c r="E121" s="246"/>
      <c r="F121" s="246"/>
      <c r="G121" s="246"/>
      <c r="H121" s="246"/>
      <c r="I121" s="246"/>
    </row>
    <row r="122" spans="2:11" ht="7.05" customHeight="1" x14ac:dyDescent="0.3">
      <c r="B122" s="20"/>
      <c r="C122" s="20"/>
      <c r="D122" s="20"/>
      <c r="E122" s="20"/>
      <c r="F122" s="20"/>
      <c r="G122" s="20"/>
      <c r="H122" s="20"/>
    </row>
    <row r="123" spans="2:11" ht="14.55" hidden="1" customHeight="1" x14ac:dyDescent="0.3">
      <c r="B123" s="244" t="s">
        <v>20</v>
      </c>
      <c r="C123" s="244"/>
      <c r="D123" s="244"/>
      <c r="E123" s="244"/>
      <c r="F123" s="244"/>
      <c r="G123" s="244"/>
      <c r="H123" s="244"/>
    </row>
    <row r="124" spans="2:11" hidden="1" x14ac:dyDescent="0.3">
      <c r="D124" s="19">
        <v>105</v>
      </c>
      <c r="E124" s="19" t="s">
        <v>18</v>
      </c>
    </row>
    <row r="125" spans="2:11" x14ac:dyDescent="0.3">
      <c r="D125" s="43" t="s">
        <v>51</v>
      </c>
      <c r="E125" s="43" t="s">
        <v>47</v>
      </c>
      <c r="F125" s="43" t="s">
        <v>48</v>
      </c>
      <c r="G125" s="43" t="s">
        <v>49</v>
      </c>
      <c r="H125" s="43"/>
      <c r="I125" s="43" t="s">
        <v>37</v>
      </c>
      <c r="J125" s="74"/>
    </row>
    <row r="126" spans="2:11" hidden="1" x14ac:dyDescent="0.3">
      <c r="D126" s="10"/>
      <c r="E126" s="10"/>
      <c r="F126" s="10"/>
      <c r="G126" s="10"/>
      <c r="H126" s="10"/>
      <c r="I126" s="10"/>
      <c r="J126" s="74"/>
    </row>
    <row r="127" spans="2:11" x14ac:dyDescent="0.3">
      <c r="B127" s="12" t="s">
        <v>15</v>
      </c>
      <c r="C127" s="9" t="s">
        <v>10</v>
      </c>
      <c r="D127" s="66" t="e">
        <f>[1]Mar2024!$C$42</f>
        <v>#REF!</v>
      </c>
      <c r="E127" s="66" t="e">
        <f>[1]Mar2024!$C$43</f>
        <v>#REF!</v>
      </c>
      <c r="F127" s="66"/>
      <c r="G127" s="66"/>
      <c r="H127" s="66"/>
      <c r="I127" s="81" t="e">
        <f>SUM(D127:H127)</f>
        <v>#REF!</v>
      </c>
      <c r="J127" s="62"/>
    </row>
    <row r="128" spans="2:11" x14ac:dyDescent="0.3">
      <c r="B128" s="12" t="s">
        <v>17</v>
      </c>
      <c r="C128" s="9" t="s">
        <v>10</v>
      </c>
      <c r="D128" s="66" t="e">
        <f>D131*D127</f>
        <v>#REF!</v>
      </c>
      <c r="E128" s="66" t="e">
        <f>E131*E127</f>
        <v>#REF!</v>
      </c>
      <c r="F128" s="66">
        <f>F131*F127</f>
        <v>0</v>
      </c>
      <c r="G128" s="66">
        <f>G131*G127</f>
        <v>0</v>
      </c>
      <c r="H128" s="66"/>
      <c r="I128" s="81" t="e">
        <f>$D$124*I127</f>
        <v>#REF!</v>
      </c>
      <c r="J128" s="63"/>
    </row>
    <row r="129" spans="2:11" x14ac:dyDescent="0.3">
      <c r="B129" s="12" t="s">
        <v>16</v>
      </c>
      <c r="C129" s="9" t="s">
        <v>10</v>
      </c>
      <c r="D129" s="11">
        <f>D116</f>
        <v>51999.930693069306</v>
      </c>
      <c r="E129" s="11">
        <f>E116</f>
        <v>77703.881188118816</v>
      </c>
      <c r="F129" s="11">
        <f>F116</f>
        <v>0</v>
      </c>
      <c r="G129" s="11">
        <f>G116</f>
        <v>0</v>
      </c>
      <c r="H129" s="11">
        <f>H116</f>
        <v>0</v>
      </c>
      <c r="I129" s="82">
        <f>SUM(D129:H129)</f>
        <v>129703.81188118813</v>
      </c>
      <c r="J129" s="62"/>
      <c r="K129" s="56"/>
    </row>
    <row r="130" spans="2:11" x14ac:dyDescent="0.3">
      <c r="B130" s="12" t="s">
        <v>22</v>
      </c>
      <c r="C130" s="9" t="s">
        <v>19</v>
      </c>
      <c r="D130" s="66" t="e">
        <f>D129/D127</f>
        <v>#REF!</v>
      </c>
      <c r="E130" s="66" t="e">
        <f>E129/E127</f>
        <v>#REF!</v>
      </c>
      <c r="F130" s="66" t="str">
        <f>IFERROR(F129/F127,"")</f>
        <v/>
      </c>
      <c r="G130" s="66" t="str">
        <f>IFERROR(G129/G127,"")</f>
        <v/>
      </c>
      <c r="H130" s="66" t="str">
        <f>IFERROR(H129/H127,"")</f>
        <v/>
      </c>
      <c r="I130" s="81" t="e">
        <f>I129/I127</f>
        <v>#REF!</v>
      </c>
      <c r="J130" s="63"/>
    </row>
    <row r="131" spans="2:11" x14ac:dyDescent="0.3">
      <c r="B131" s="12" t="s">
        <v>23</v>
      </c>
      <c r="C131" s="9" t="s">
        <v>19</v>
      </c>
      <c r="D131" s="66">
        <v>105</v>
      </c>
      <c r="E131" s="66">
        <v>105</v>
      </c>
      <c r="F131" s="66">
        <v>105</v>
      </c>
      <c r="G131" s="66">
        <v>105</v>
      </c>
      <c r="H131" s="66">
        <v>105</v>
      </c>
      <c r="I131" s="81">
        <v>105</v>
      </c>
      <c r="J131" s="78"/>
      <c r="K131" s="67"/>
    </row>
    <row r="132" spans="2:11" x14ac:dyDescent="0.3">
      <c r="B132" s="21"/>
      <c r="C132" s="22"/>
      <c r="D132" s="23"/>
      <c r="E132" s="23"/>
      <c r="F132" s="23"/>
      <c r="G132" s="23"/>
      <c r="H132" s="23"/>
      <c r="I132" s="57"/>
    </row>
    <row r="133" spans="2:11" x14ac:dyDescent="0.3">
      <c r="B133" s="21"/>
      <c r="C133" s="22"/>
      <c r="D133" s="23"/>
      <c r="E133" s="23"/>
      <c r="F133" s="23"/>
      <c r="G133" s="23"/>
      <c r="H133" s="23"/>
    </row>
    <row r="134" spans="2:11" x14ac:dyDescent="0.3">
      <c r="B134" s="21"/>
      <c r="C134" s="22"/>
      <c r="D134" s="23"/>
      <c r="E134" s="23"/>
      <c r="F134" s="23"/>
      <c r="G134" s="23"/>
      <c r="H134" s="23"/>
    </row>
    <row r="135" spans="2:11" x14ac:dyDescent="0.3">
      <c r="B135" s="21"/>
      <c r="C135" s="22"/>
      <c r="D135" s="23"/>
      <c r="E135" s="23"/>
      <c r="F135" s="23"/>
      <c r="G135" s="23"/>
      <c r="H135" s="23"/>
    </row>
    <row r="136" spans="2:11" x14ac:dyDescent="0.3">
      <c r="B136" s="21"/>
      <c r="C136" s="22"/>
      <c r="D136" s="23"/>
      <c r="E136" s="23"/>
      <c r="F136" s="23"/>
      <c r="G136" s="23"/>
      <c r="H136" s="23"/>
    </row>
    <row r="137" spans="2:11" x14ac:dyDescent="0.3">
      <c r="B137" s="21"/>
      <c r="C137" s="22"/>
      <c r="D137" s="23"/>
      <c r="E137" s="23"/>
      <c r="F137" s="23"/>
      <c r="G137" s="23"/>
      <c r="H137" s="23"/>
    </row>
    <row r="138" spans="2:11" x14ac:dyDescent="0.3">
      <c r="B138" s="21"/>
      <c r="C138" s="22"/>
      <c r="D138" s="23"/>
      <c r="E138" s="23"/>
      <c r="F138" s="23"/>
      <c r="G138" s="23"/>
      <c r="H138" s="23"/>
    </row>
    <row r="139" spans="2:11" x14ac:dyDescent="0.3">
      <c r="B139" s="21"/>
      <c r="C139" s="22"/>
      <c r="D139" s="23"/>
      <c r="E139" s="23"/>
      <c r="F139" s="23"/>
      <c r="G139" s="23"/>
      <c r="H139" s="23"/>
    </row>
    <row r="140" spans="2:11" x14ac:dyDescent="0.3">
      <c r="B140" s="21"/>
      <c r="C140" s="22"/>
      <c r="D140" s="23"/>
      <c r="E140" s="23"/>
      <c r="F140" s="23"/>
      <c r="G140" s="23"/>
      <c r="H140" s="23"/>
    </row>
    <row r="141" spans="2:11" x14ac:dyDescent="0.3">
      <c r="B141" s="21"/>
      <c r="C141" s="22"/>
      <c r="D141" s="23"/>
      <c r="E141" s="23"/>
      <c r="F141" s="23"/>
      <c r="G141" s="23"/>
      <c r="H141" s="23"/>
    </row>
    <row r="142" spans="2:11" x14ac:dyDescent="0.3">
      <c r="B142" s="21"/>
      <c r="C142" s="22"/>
      <c r="D142" s="23"/>
      <c r="E142" s="23"/>
      <c r="F142" s="23"/>
      <c r="G142" s="23"/>
      <c r="H142" s="23"/>
    </row>
    <row r="143" spans="2:11" x14ac:dyDescent="0.3">
      <c r="B143" s="21"/>
      <c r="C143" s="22"/>
      <c r="D143" s="23"/>
      <c r="E143" s="23"/>
      <c r="F143" s="23"/>
      <c r="G143" s="23"/>
      <c r="H143" s="23"/>
    </row>
    <row r="144" spans="2:11" x14ac:dyDescent="0.3">
      <c r="B144" s="21"/>
      <c r="C144" s="22"/>
      <c r="D144" s="23"/>
      <c r="E144" s="23"/>
      <c r="F144" s="23"/>
      <c r="G144" s="23"/>
      <c r="H144" s="23"/>
    </row>
    <row r="145" spans="2:8" x14ac:dyDescent="0.3">
      <c r="B145" s="21"/>
      <c r="C145" s="22"/>
      <c r="D145" s="23"/>
      <c r="E145" s="23"/>
      <c r="F145" s="23"/>
      <c r="G145" s="23"/>
      <c r="H145" s="23"/>
    </row>
    <row r="146" spans="2:8" x14ac:dyDescent="0.3">
      <c r="B146" s="21"/>
      <c r="C146" s="22"/>
      <c r="D146" s="23"/>
      <c r="E146" s="23"/>
      <c r="F146" s="23"/>
      <c r="G146" s="23"/>
      <c r="H146" s="23"/>
    </row>
    <row r="147" spans="2:8" x14ac:dyDescent="0.3">
      <c r="B147" s="21"/>
      <c r="C147" s="22"/>
      <c r="D147" s="23"/>
      <c r="E147" s="23"/>
      <c r="F147" s="23"/>
      <c r="G147" s="23"/>
      <c r="H147" s="23"/>
    </row>
    <row r="148" spans="2:8" x14ac:dyDescent="0.3">
      <c r="B148" s="21"/>
      <c r="C148" s="22"/>
      <c r="D148" s="23"/>
      <c r="E148" s="23"/>
      <c r="F148" s="23"/>
      <c r="G148" s="23"/>
      <c r="H148" s="23"/>
    </row>
    <row r="149" spans="2:8" x14ac:dyDescent="0.3">
      <c r="B149" s="21"/>
      <c r="C149" s="22"/>
      <c r="D149" s="23"/>
      <c r="E149" s="23"/>
      <c r="F149" s="23"/>
      <c r="G149" s="23"/>
      <c r="H149" s="23"/>
    </row>
    <row r="150" spans="2:8" x14ac:dyDescent="0.3">
      <c r="B150" s="21"/>
      <c r="C150" s="22"/>
      <c r="D150" s="23"/>
      <c r="E150" s="23"/>
      <c r="F150" s="23"/>
      <c r="G150" s="23"/>
      <c r="H150" s="23"/>
    </row>
    <row r="151" spans="2:8" x14ac:dyDescent="0.3">
      <c r="B151" s="21"/>
      <c r="C151" s="22"/>
      <c r="D151" s="23"/>
      <c r="E151" s="23"/>
      <c r="F151" s="23"/>
      <c r="G151" s="23"/>
      <c r="H151" s="23"/>
    </row>
    <row r="152" spans="2:8" x14ac:dyDescent="0.3">
      <c r="B152" s="21"/>
      <c r="C152" s="22"/>
      <c r="D152" s="23"/>
      <c r="E152" s="23"/>
      <c r="F152" s="23"/>
      <c r="G152" s="23"/>
      <c r="H152" s="23"/>
    </row>
    <row r="153" spans="2:8" x14ac:dyDescent="0.3">
      <c r="B153" s="21"/>
      <c r="C153" s="22"/>
      <c r="D153" s="23"/>
      <c r="E153" s="23"/>
      <c r="F153" s="23"/>
      <c r="G153" s="23"/>
      <c r="H153" s="23"/>
    </row>
    <row r="154" spans="2:8" x14ac:dyDescent="0.3">
      <c r="B154" s="21"/>
      <c r="C154" s="22"/>
      <c r="D154" s="23"/>
      <c r="E154" s="23"/>
      <c r="F154" s="23"/>
      <c r="G154" s="23"/>
      <c r="H154" s="23"/>
    </row>
    <row r="155" spans="2:8" x14ac:dyDescent="0.3">
      <c r="B155" s="21"/>
      <c r="C155" s="22"/>
      <c r="D155" s="23"/>
      <c r="E155" s="23"/>
      <c r="F155" s="23"/>
      <c r="G155" s="23"/>
      <c r="H155" s="23"/>
    </row>
    <row r="156" spans="2:8" x14ac:dyDescent="0.3">
      <c r="B156" s="21"/>
      <c r="C156" s="22"/>
      <c r="D156" s="23"/>
      <c r="E156" s="23"/>
      <c r="F156" s="23"/>
      <c r="G156" s="23"/>
      <c r="H156" s="23"/>
    </row>
    <row r="157" spans="2:8" x14ac:dyDescent="0.3">
      <c r="B157" s="21"/>
      <c r="C157" s="22"/>
      <c r="D157" s="23"/>
      <c r="E157" s="23"/>
      <c r="F157" s="23"/>
      <c r="G157" s="23"/>
      <c r="H157" s="23"/>
    </row>
    <row r="158" spans="2:8" x14ac:dyDescent="0.3">
      <c r="B158" s="21"/>
      <c r="C158" s="22"/>
      <c r="D158" s="23"/>
      <c r="E158" s="23"/>
      <c r="F158" s="23"/>
      <c r="G158" s="23"/>
      <c r="H158" s="23"/>
    </row>
    <row r="159" spans="2:8" x14ac:dyDescent="0.3">
      <c r="B159" s="21"/>
      <c r="C159" s="22"/>
      <c r="D159" s="23"/>
      <c r="E159" s="23"/>
      <c r="F159" s="23"/>
      <c r="G159" s="23"/>
      <c r="H159" s="23"/>
    </row>
    <row r="160" spans="2:8" x14ac:dyDescent="0.3">
      <c r="B160" s="21"/>
      <c r="C160" s="22"/>
      <c r="D160" s="23"/>
      <c r="E160" s="23"/>
      <c r="F160" s="23"/>
      <c r="G160" s="23"/>
      <c r="H160" s="23"/>
    </row>
    <row r="161" spans="2:11" x14ac:dyDescent="0.3">
      <c r="B161" s="21"/>
      <c r="C161" s="22"/>
      <c r="D161" s="23"/>
      <c r="E161" s="23"/>
      <c r="F161" s="23"/>
      <c r="G161" s="23"/>
      <c r="H161" s="23"/>
    </row>
    <row r="162" spans="2:11" x14ac:dyDescent="0.3">
      <c r="I162" s="57"/>
      <c r="J162" s="57"/>
    </row>
    <row r="166" spans="2:11" ht="15.6" x14ac:dyDescent="0.3">
      <c r="B166" s="245" t="s">
        <v>21</v>
      </c>
      <c r="C166" s="245"/>
      <c r="D166" s="245"/>
      <c r="E166" s="245"/>
      <c r="F166" s="245"/>
      <c r="G166" s="245"/>
      <c r="H166" s="245"/>
    </row>
    <row r="167" spans="2:11" x14ac:dyDescent="0.3">
      <c r="D167" s="43" t="s">
        <v>51</v>
      </c>
      <c r="E167" s="43" t="s">
        <v>47</v>
      </c>
      <c r="F167" s="43" t="s">
        <v>48</v>
      </c>
      <c r="G167" s="43" t="s">
        <v>49</v>
      </c>
      <c r="H167" s="43" t="s">
        <v>49</v>
      </c>
      <c r="I167" s="43" t="s">
        <v>37</v>
      </c>
      <c r="J167" s="64"/>
    </row>
    <row r="168" spans="2:11" x14ac:dyDescent="0.3">
      <c r="B168" s="25" t="s">
        <v>15</v>
      </c>
      <c r="C168" s="16" t="s">
        <v>10</v>
      </c>
      <c r="D168" s="66" t="e">
        <f>D127*(D171/15)</f>
        <v>#REF!</v>
      </c>
      <c r="E168" s="66" t="e">
        <f>E127*(E171/15)</f>
        <v>#REF!</v>
      </c>
      <c r="F168" s="66">
        <f>F127*(F171/15)</f>
        <v>0</v>
      </c>
      <c r="G168" s="66">
        <f>G127*(G171/15)</f>
        <v>0</v>
      </c>
      <c r="H168" s="66">
        <f>H127*(H171/15)</f>
        <v>0</v>
      </c>
      <c r="I168" s="81" t="e">
        <f>SUM(D168:H168)</f>
        <v>#REF!</v>
      </c>
      <c r="J168" s="61"/>
      <c r="K168" s="56"/>
    </row>
    <row r="169" spans="2:11" x14ac:dyDescent="0.3">
      <c r="B169" s="25" t="s">
        <v>17</v>
      </c>
      <c r="C169" s="16" t="s">
        <v>10</v>
      </c>
      <c r="D169" s="66" t="e">
        <f>D168*$D$124</f>
        <v>#REF!</v>
      </c>
      <c r="E169" s="66" t="e">
        <f>E168*$D$124</f>
        <v>#REF!</v>
      </c>
      <c r="F169" s="66">
        <f>F168*$D$124</f>
        <v>0</v>
      </c>
      <c r="G169" s="66">
        <f>G168*$D$124</f>
        <v>0</v>
      </c>
      <c r="H169" s="66">
        <f>H168*$D$124</f>
        <v>0</v>
      </c>
      <c r="I169" s="81" t="e">
        <f>I168*105</f>
        <v>#REF!</v>
      </c>
      <c r="J169" s="63"/>
    </row>
    <row r="170" spans="2:11" x14ac:dyDescent="0.3">
      <c r="B170" s="25" t="s">
        <v>16</v>
      </c>
      <c r="C170" s="16" t="s">
        <v>10</v>
      </c>
      <c r="D170" s="11">
        <f t="shared" ref="D170:I170" si="0">D129</f>
        <v>51999.930693069306</v>
      </c>
      <c r="E170" s="11">
        <f t="shared" si="0"/>
        <v>77703.881188118816</v>
      </c>
      <c r="F170" s="11">
        <f t="shared" si="0"/>
        <v>0</v>
      </c>
      <c r="G170" s="11">
        <f t="shared" si="0"/>
        <v>0</v>
      </c>
      <c r="H170" s="11">
        <f t="shared" si="0"/>
        <v>0</v>
      </c>
      <c r="I170" s="82">
        <f t="shared" si="0"/>
        <v>129703.81188118813</v>
      </c>
      <c r="J170" s="63"/>
      <c r="K170" s="56"/>
    </row>
    <row r="171" spans="2:11" x14ac:dyDescent="0.3">
      <c r="B171" s="25" t="s">
        <v>39</v>
      </c>
      <c r="C171" s="16"/>
      <c r="D171" s="93">
        <f>[1]Mar2024!$G$42</f>
        <v>13.968333333333334</v>
      </c>
      <c r="E171" s="93">
        <f>[1]Mar2024!$G$43</f>
        <v>14.433285714285715</v>
      </c>
      <c r="F171" s="93"/>
      <c r="G171" s="93"/>
      <c r="H171" s="93"/>
      <c r="I171" s="93">
        <f>AVERAGE(D171:H171)</f>
        <v>14.200809523809525</v>
      </c>
      <c r="J171" s="87"/>
    </row>
    <row r="172" spans="2:11" x14ac:dyDescent="0.3">
      <c r="B172" s="12" t="s">
        <v>22</v>
      </c>
      <c r="C172" s="9" t="s">
        <v>19</v>
      </c>
      <c r="D172" s="66" t="e">
        <f>D170/D168</f>
        <v>#REF!</v>
      </c>
      <c r="E172" s="66" t="str">
        <f>IFERROR(E170/E168,"")</f>
        <v/>
      </c>
      <c r="F172" s="66" t="str">
        <f>IFERROR(F170/F168,"")</f>
        <v/>
      </c>
      <c r="G172" s="66" t="str">
        <f>IFERROR(G170/G168,"")</f>
        <v/>
      </c>
      <c r="H172" s="66" t="str">
        <f>IFERROR(H170/H168,"")</f>
        <v/>
      </c>
      <c r="I172" s="81" t="e">
        <f>I170/I168</f>
        <v>#REF!</v>
      </c>
      <c r="J172" s="65"/>
    </row>
    <row r="173" spans="2:11" x14ac:dyDescent="0.3">
      <c r="B173" s="12" t="s">
        <v>23</v>
      </c>
      <c r="C173" s="9" t="s">
        <v>19</v>
      </c>
      <c r="D173" s="66">
        <v>105</v>
      </c>
      <c r="E173" s="66">
        <v>105</v>
      </c>
      <c r="F173" s="66">
        <v>105</v>
      </c>
      <c r="G173" s="66">
        <v>105</v>
      </c>
      <c r="H173" s="66">
        <v>105</v>
      </c>
      <c r="I173" s="81">
        <f>H173</f>
        <v>105</v>
      </c>
      <c r="J173" s="65"/>
    </row>
    <row r="174" spans="2:11" x14ac:dyDescent="0.3">
      <c r="D174" s="24" t="s">
        <v>40</v>
      </c>
      <c r="I174" s="57"/>
    </row>
    <row r="211" spans="2:8" s="4" customFormat="1" ht="15" thickBot="1" x14ac:dyDescent="0.35"/>
    <row r="212" spans="2:8" ht="15" thickTop="1" x14ac:dyDescent="0.3"/>
    <row r="217" spans="2:8" ht="25.8" hidden="1" x14ac:dyDescent="0.5">
      <c r="B217" s="246" t="s">
        <v>24</v>
      </c>
      <c r="C217" s="246"/>
      <c r="D217" s="246"/>
      <c r="E217" s="246"/>
      <c r="F217" s="246"/>
      <c r="G217" s="246"/>
      <c r="H217" s="246"/>
    </row>
    <row r="218" spans="2:8" hidden="1" x14ac:dyDescent="0.3"/>
    <row r="219" spans="2:8" ht="22.8" hidden="1" thickBot="1" x14ac:dyDescent="0.5">
      <c r="B219" s="28" t="s">
        <v>25</v>
      </c>
      <c r="C219" s="29" t="s">
        <v>26</v>
      </c>
      <c r="D219" s="29" t="s">
        <v>27</v>
      </c>
      <c r="E219" s="30" t="s">
        <v>28</v>
      </c>
    </row>
    <row r="220" spans="2:8" ht="23.4" hidden="1" x14ac:dyDescent="0.45">
      <c r="B220" s="31"/>
      <c r="C220" s="26"/>
      <c r="D220" s="26"/>
      <c r="E220" s="32"/>
    </row>
    <row r="221" spans="2:8" ht="22.2" hidden="1" x14ac:dyDescent="0.45">
      <c r="B221" s="33">
        <v>44743</v>
      </c>
      <c r="C221" s="89">
        <v>1056523.5</v>
      </c>
      <c r="D221" s="90">
        <v>1501785</v>
      </c>
      <c r="E221" s="91">
        <f>C221+D221</f>
        <v>2558308.5</v>
      </c>
    </row>
    <row r="222" spans="2:8" ht="22.2" hidden="1" x14ac:dyDescent="0.45">
      <c r="B222" s="33">
        <v>44774</v>
      </c>
      <c r="C222" s="92">
        <v>1649443.5</v>
      </c>
      <c r="D222" s="92">
        <v>863715</v>
      </c>
      <c r="E222" s="91">
        <f t="shared" ref="E222:E232" si="1">C222+D222</f>
        <v>2513158.5</v>
      </c>
    </row>
    <row r="223" spans="2:8" ht="22.2" hidden="1" x14ac:dyDescent="0.45">
      <c r="B223" s="33">
        <v>44805</v>
      </c>
      <c r="C223" s="92">
        <v>1346098.5</v>
      </c>
      <c r="D223" s="92">
        <v>1119105</v>
      </c>
      <c r="E223" s="91">
        <f t="shared" si="1"/>
        <v>2465203.5</v>
      </c>
    </row>
    <row r="224" spans="2:8" ht="22.2" hidden="1" x14ac:dyDescent="0.45">
      <c r="B224" s="33">
        <v>44835</v>
      </c>
      <c r="C224" s="92">
        <v>2573653.5</v>
      </c>
      <c r="D224" s="92">
        <v>0</v>
      </c>
      <c r="E224" s="91">
        <f t="shared" si="1"/>
        <v>2573653.5</v>
      </c>
    </row>
    <row r="225" spans="2:5" ht="22.2" hidden="1" x14ac:dyDescent="0.45">
      <c r="B225" s="33">
        <v>44866</v>
      </c>
      <c r="C225" s="92">
        <v>2239123.5</v>
      </c>
      <c r="D225" s="92">
        <v>0</v>
      </c>
      <c r="E225" s="91">
        <f t="shared" si="1"/>
        <v>2239123.5</v>
      </c>
    </row>
    <row r="226" spans="2:5" ht="22.2" hidden="1" x14ac:dyDescent="0.45">
      <c r="B226" s="33">
        <v>44896</v>
      </c>
      <c r="C226" s="92">
        <v>3815869.5</v>
      </c>
      <c r="D226" s="92">
        <v>0</v>
      </c>
      <c r="E226" s="91">
        <f t="shared" si="1"/>
        <v>3815869.5</v>
      </c>
    </row>
    <row r="227" spans="2:5" ht="22.2" hidden="1" x14ac:dyDescent="0.45">
      <c r="B227" s="33">
        <v>44927</v>
      </c>
      <c r="C227" s="92">
        <v>3876876</v>
      </c>
      <c r="D227" s="92">
        <v>0</v>
      </c>
      <c r="E227" s="91">
        <f t="shared" si="1"/>
        <v>3876876</v>
      </c>
    </row>
    <row r="228" spans="2:5" ht="22.2" hidden="1" x14ac:dyDescent="0.45">
      <c r="B228" s="33">
        <v>44958</v>
      </c>
      <c r="C228" s="92">
        <v>2565432</v>
      </c>
      <c r="D228" s="92">
        <v>427935</v>
      </c>
      <c r="E228" s="91">
        <f t="shared" si="1"/>
        <v>2993367</v>
      </c>
    </row>
    <row r="229" spans="2:5" ht="22.2" hidden="1" x14ac:dyDescent="0.45">
      <c r="B229" s="33">
        <v>44986</v>
      </c>
      <c r="C229" s="92">
        <v>2163847.5</v>
      </c>
      <c r="D229" s="92">
        <v>0</v>
      </c>
      <c r="E229" s="91">
        <f t="shared" si="1"/>
        <v>2163847.5</v>
      </c>
    </row>
    <row r="230" spans="2:5" ht="22.2" hidden="1" x14ac:dyDescent="0.45">
      <c r="B230" s="33">
        <v>45017</v>
      </c>
      <c r="C230" s="92">
        <v>1103476.5</v>
      </c>
      <c r="D230" s="92">
        <v>0</v>
      </c>
      <c r="E230" s="91">
        <f t="shared" si="1"/>
        <v>1103476.5</v>
      </c>
    </row>
    <row r="231" spans="2:5" ht="22.2" hidden="1" x14ac:dyDescent="0.45">
      <c r="B231" s="33">
        <v>45047</v>
      </c>
      <c r="C231" s="92">
        <v>1210167</v>
      </c>
      <c r="D231" s="92">
        <v>0</v>
      </c>
      <c r="E231" s="91">
        <f t="shared" si="1"/>
        <v>1210167</v>
      </c>
    </row>
    <row r="232" spans="2:5" ht="22.2" hidden="1" x14ac:dyDescent="0.45">
      <c r="B232" s="33">
        <v>45078</v>
      </c>
      <c r="C232" s="92">
        <v>2359260</v>
      </c>
      <c r="D232" s="92">
        <v>0</v>
      </c>
      <c r="E232" s="91">
        <f t="shared" si="1"/>
        <v>2359260</v>
      </c>
    </row>
    <row r="233" spans="2:5" ht="22.8" hidden="1" thickBot="1" x14ac:dyDescent="0.5">
      <c r="B233" s="34"/>
      <c r="C233" s="27"/>
      <c r="D233" s="27"/>
      <c r="E233" s="35"/>
    </row>
    <row r="234" spans="2:5" ht="23.4" hidden="1" thickTop="1" thickBot="1" x14ac:dyDescent="0.5">
      <c r="B234" s="36"/>
      <c r="C234" s="37">
        <f>SUM(C221:C232)</f>
        <v>25959771</v>
      </c>
      <c r="D234" s="37">
        <f>SUM(D221:D232)</f>
        <v>3912540</v>
      </c>
      <c r="E234" s="38">
        <f>SUM(E221:E232)</f>
        <v>29872311</v>
      </c>
    </row>
    <row r="235" spans="2:5" hidden="1" x14ac:dyDescent="0.3"/>
    <row r="236" spans="2:5" hidden="1" x14ac:dyDescent="0.3"/>
    <row r="237" spans="2:5" hidden="1" x14ac:dyDescent="0.3"/>
    <row r="238" spans="2:5" hidden="1" x14ac:dyDescent="0.3"/>
    <row r="239" spans="2:5" hidden="1" x14ac:dyDescent="0.3"/>
    <row r="240" spans="2:5" hidden="1" x14ac:dyDescent="0.3"/>
    <row r="241" hidden="1" x14ac:dyDescent="0.3"/>
  </sheetData>
  <dataConsolidate/>
  <mergeCells count="8">
    <mergeCell ref="B123:H123"/>
    <mergeCell ref="B166:H166"/>
    <mergeCell ref="B217:H217"/>
    <mergeCell ref="B2:H2"/>
    <mergeCell ref="B46:H46"/>
    <mergeCell ref="B82:H82"/>
    <mergeCell ref="I111:I112"/>
    <mergeCell ref="B121:I121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AA9E-F300-4A12-BBB4-DB9870AEEAF7}">
  <sheetPr>
    <tabColor rgb="FF00B050"/>
    <pageSetUpPr autoPageBreaks="0"/>
  </sheetPr>
  <dimension ref="B2:L240"/>
  <sheetViews>
    <sheetView showGridLines="0" topLeftCell="A126" zoomScale="70" zoomScaleNormal="70" zoomScaleSheetLayoutView="115" workbookViewId="0">
      <selection activeCell="K181" sqref="K181"/>
    </sheetView>
  </sheetViews>
  <sheetFormatPr defaultColWidth="22.33203125" defaultRowHeight="14.4" x14ac:dyDescent="0.3"/>
  <cols>
    <col min="2" max="2" width="24.109375" customWidth="1"/>
    <col min="3" max="3" width="13.88671875" customWidth="1"/>
    <col min="4" max="8" width="15.88671875" customWidth="1"/>
    <col min="9" max="9" width="9.77734375" style="101" customWidth="1"/>
    <col min="10" max="10" width="16.5546875" customWidth="1"/>
  </cols>
  <sheetData>
    <row r="2" spans="2:12" ht="25.8" x14ac:dyDescent="0.5">
      <c r="B2" s="246" t="s">
        <v>0</v>
      </c>
      <c r="C2" s="246"/>
      <c r="D2" s="246"/>
      <c r="E2" s="246"/>
      <c r="F2" s="246"/>
      <c r="G2" s="246"/>
      <c r="H2" s="246"/>
    </row>
    <row r="3" spans="2:12" ht="4.5" customHeight="1" x14ac:dyDescent="0.3"/>
    <row r="4" spans="2:12" x14ac:dyDescent="0.3">
      <c r="B4" s="14" t="s">
        <v>30</v>
      </c>
      <c r="C4" s="15">
        <f>(62000-24055+4168+4544)/2</f>
        <v>23328.5</v>
      </c>
      <c r="D4" s="16" t="s">
        <v>4</v>
      </c>
      <c r="E4" t="s">
        <v>54</v>
      </c>
      <c r="I4" s="102"/>
      <c r="J4" s="67"/>
    </row>
    <row r="5" spans="2:12" x14ac:dyDescent="0.3">
      <c r="B5" s="14" t="s">
        <v>52</v>
      </c>
      <c r="C5" s="15">
        <v>62000</v>
      </c>
      <c r="D5" s="16" t="s">
        <v>4</v>
      </c>
      <c r="J5" s="67"/>
    </row>
    <row r="6" spans="2:12" x14ac:dyDescent="0.3">
      <c r="B6" s="14" t="s">
        <v>6</v>
      </c>
      <c r="C6" s="17">
        <f>SUM(D35:H35)</f>
        <v>426.56</v>
      </c>
      <c r="D6" s="16" t="s">
        <v>4</v>
      </c>
    </row>
    <row r="7" spans="2:12" x14ac:dyDescent="0.3">
      <c r="B7" s="14" t="s">
        <v>2</v>
      </c>
      <c r="C7" s="17">
        <f>SUM(D37:H37)</f>
        <v>0</v>
      </c>
      <c r="D7" s="16" t="s">
        <v>4</v>
      </c>
      <c r="F7" s="3"/>
    </row>
    <row r="9" spans="2:12" x14ac:dyDescent="0.3">
      <c r="D9" s="2"/>
      <c r="E9" s="2"/>
      <c r="F9" s="2"/>
      <c r="G9" s="2"/>
      <c r="H9" s="2"/>
    </row>
    <row r="10" spans="2:12" x14ac:dyDescent="0.3">
      <c r="D10" s="2"/>
      <c r="E10" s="2"/>
      <c r="F10" s="2"/>
      <c r="G10" s="2"/>
      <c r="H10" s="2"/>
    </row>
    <row r="11" spans="2:12" x14ac:dyDescent="0.3">
      <c r="D11" s="2"/>
      <c r="E11" s="2"/>
      <c r="F11" s="2"/>
      <c r="G11" s="2"/>
      <c r="H11" s="2"/>
    </row>
    <row r="12" spans="2:12" x14ac:dyDescent="0.3">
      <c r="L12" s="57"/>
    </row>
    <row r="27" spans="3:8" x14ac:dyDescent="0.3">
      <c r="C27" s="57"/>
      <c r="D27" s="57"/>
      <c r="E27" s="57"/>
      <c r="F27" s="57"/>
      <c r="G27" s="57"/>
    </row>
    <row r="28" spans="3:8" x14ac:dyDescent="0.3">
      <c r="D28" s="56"/>
    </row>
    <row r="29" spans="3:8" hidden="1" x14ac:dyDescent="0.3"/>
    <row r="30" spans="3:8" hidden="1" x14ac:dyDescent="0.3"/>
    <row r="31" spans="3:8" hidden="1" x14ac:dyDescent="0.3"/>
    <row r="32" spans="3:8" ht="16.5" customHeight="1" x14ac:dyDescent="0.3">
      <c r="D32" s="60"/>
      <c r="E32" s="60"/>
      <c r="F32" s="60"/>
      <c r="G32" s="60"/>
      <c r="H32" s="60"/>
    </row>
    <row r="33" spans="2:10" ht="28.2" thickBot="1" x14ac:dyDescent="0.35">
      <c r="B33" s="1"/>
      <c r="C33" s="1"/>
      <c r="D33" s="97" t="s">
        <v>56</v>
      </c>
      <c r="E33" s="97" t="s">
        <v>57</v>
      </c>
      <c r="F33" s="97" t="s">
        <v>58</v>
      </c>
      <c r="G33" s="97" t="s">
        <v>59</v>
      </c>
      <c r="H33" s="97" t="s">
        <v>60</v>
      </c>
    </row>
    <row r="34" spans="2:10" ht="15" hidden="1" thickBot="1" x14ac:dyDescent="0.35">
      <c r="B34" s="1"/>
      <c r="C34" s="1"/>
      <c r="D34" s="43"/>
      <c r="E34" s="43"/>
      <c r="F34" s="43"/>
      <c r="G34" s="43"/>
      <c r="H34" s="43"/>
      <c r="J34" s="57"/>
    </row>
    <row r="35" spans="2:10" ht="16.95" customHeight="1" x14ac:dyDescent="0.3">
      <c r="B35" s="12" t="s">
        <v>38</v>
      </c>
      <c r="C35" s="6" t="s">
        <v>4</v>
      </c>
      <c r="D35" s="44">
        <v>12.39</v>
      </c>
      <c r="E35" s="45">
        <v>414.17</v>
      </c>
      <c r="F35" s="45"/>
      <c r="G35" s="45"/>
      <c r="H35" s="46"/>
      <c r="I35" s="103"/>
      <c r="J35" s="57"/>
    </row>
    <row r="36" spans="2:10" x14ac:dyDescent="0.3">
      <c r="B36" s="12" t="s">
        <v>55</v>
      </c>
      <c r="C36" s="6"/>
      <c r="D36" s="53">
        <v>51.49</v>
      </c>
      <c r="E36" s="54">
        <v>102.92</v>
      </c>
      <c r="F36" s="54"/>
      <c r="G36" s="54"/>
      <c r="H36" s="55"/>
      <c r="I36" s="104">
        <f>170*11</f>
        <v>1870</v>
      </c>
      <c r="J36" s="57"/>
    </row>
    <row r="37" spans="2:10" ht="15" hidden="1" thickBot="1" x14ac:dyDescent="0.35">
      <c r="B37" s="12"/>
      <c r="C37" s="6"/>
      <c r="D37" s="47"/>
      <c r="E37" s="48"/>
      <c r="F37" s="48"/>
      <c r="G37" s="48"/>
      <c r="H37" s="49"/>
    </row>
    <row r="38" spans="2:10" x14ac:dyDescent="0.3">
      <c r="B38" s="12" t="s">
        <v>3</v>
      </c>
      <c r="C38" s="6" t="s">
        <v>4</v>
      </c>
      <c r="D38" s="75">
        <f>D36+D35</f>
        <v>63.88</v>
      </c>
      <c r="E38" s="75">
        <f>E36+E35</f>
        <v>517.09</v>
      </c>
      <c r="F38" s="75">
        <f>F35</f>
        <v>0</v>
      </c>
      <c r="G38" s="75">
        <f>G35</f>
        <v>0</v>
      </c>
      <c r="H38" s="75">
        <f>H35</f>
        <v>0</v>
      </c>
      <c r="I38" s="104">
        <f>SUM(D38:H38)</f>
        <v>580.97</v>
      </c>
      <c r="J38" s="57"/>
    </row>
    <row r="39" spans="2:10" x14ac:dyDescent="0.3">
      <c r="B39" s="13" t="s">
        <v>5</v>
      </c>
      <c r="C39" s="8"/>
      <c r="D39" s="76">
        <f>D38</f>
        <v>63.88</v>
      </c>
      <c r="E39" s="76">
        <f>D39+E38</f>
        <v>580.97</v>
      </c>
      <c r="F39" s="76">
        <f>E39+F38</f>
        <v>580.97</v>
      </c>
      <c r="G39" s="76">
        <f>F39+G38</f>
        <v>580.97</v>
      </c>
      <c r="H39" s="76">
        <f>G39+H38</f>
        <v>580.97</v>
      </c>
      <c r="I39" s="118">
        <f>I38-I36</f>
        <v>-1289.03</v>
      </c>
    </row>
    <row r="40" spans="2:10" ht="28.8" x14ac:dyDescent="0.3">
      <c r="B40" s="12" t="s">
        <v>9</v>
      </c>
      <c r="C40" s="6" t="s">
        <v>4</v>
      </c>
      <c r="D40" s="75">
        <f>C4/5</f>
        <v>4665.7</v>
      </c>
      <c r="E40" s="75">
        <f>(C4-D39)/4</f>
        <v>5816.1549999999997</v>
      </c>
      <c r="F40" s="75">
        <f>(C$4-E39)/3</f>
        <v>7582.5099999999993</v>
      </c>
      <c r="G40" s="84">
        <f>(C$4-F39)/2</f>
        <v>11373.764999999999</v>
      </c>
      <c r="H40" s="84">
        <f>($C$4-G39)</f>
        <v>22747.53</v>
      </c>
      <c r="I40" s="104"/>
      <c r="J40" s="67"/>
    </row>
    <row r="41" spans="2:10" x14ac:dyDescent="0.3">
      <c r="B41" s="21"/>
      <c r="C41" s="85" t="s">
        <v>44</v>
      </c>
      <c r="D41" s="86">
        <f>C4-D38</f>
        <v>23264.62</v>
      </c>
      <c r="E41" s="86">
        <f>D41-E38</f>
        <v>22747.53</v>
      </c>
      <c r="F41" s="86">
        <f>E41-F38</f>
        <v>22747.53</v>
      </c>
      <c r="G41" s="86">
        <f>F41-G38</f>
        <v>22747.53</v>
      </c>
      <c r="H41" s="86">
        <f>G41-H38</f>
        <v>22747.53</v>
      </c>
      <c r="I41" s="104"/>
      <c r="J41" s="67"/>
    </row>
    <row r="42" spans="2:10" x14ac:dyDescent="0.3">
      <c r="B42" s="21"/>
      <c r="C42" s="85"/>
      <c r="D42" s="86"/>
      <c r="E42" s="86"/>
      <c r="F42" s="86"/>
      <c r="G42" s="86"/>
      <c r="H42" s="86"/>
      <c r="I42" s="104"/>
    </row>
    <row r="43" spans="2:10" s="4" customFormat="1" ht="15" thickBot="1" x14ac:dyDescent="0.35">
      <c r="D43" s="59"/>
      <c r="E43" s="59"/>
      <c r="F43" s="59"/>
      <c r="G43" s="59"/>
      <c r="H43" s="59"/>
      <c r="I43" s="105"/>
    </row>
    <row r="44" spans="2:10" ht="15" thickTop="1" x14ac:dyDescent="0.3">
      <c r="D44" s="67"/>
      <c r="E44" s="67"/>
      <c r="F44" s="67"/>
    </row>
    <row r="46" spans="2:10" ht="25.8" x14ac:dyDescent="0.5">
      <c r="B46" s="246" t="s">
        <v>7</v>
      </c>
      <c r="C46" s="246"/>
      <c r="D46" s="246"/>
      <c r="E46" s="246"/>
      <c r="F46" s="246"/>
      <c r="G46" s="246"/>
      <c r="H46" s="246"/>
    </row>
    <row r="47" spans="2:10" ht="4.95" customHeight="1" x14ac:dyDescent="0.3"/>
    <row r="48" spans="2:10" x14ac:dyDescent="0.3">
      <c r="B48" s="14" t="s">
        <v>31</v>
      </c>
      <c r="C48" s="15">
        <f>(4953600-(305990+227497+112081))/2</f>
        <v>2154016</v>
      </c>
      <c r="D48" s="16" t="s">
        <v>8</v>
      </c>
      <c r="J48" s="96"/>
    </row>
    <row r="49" spans="2:10" x14ac:dyDescent="0.3">
      <c r="B49" s="14" t="s">
        <v>52</v>
      </c>
      <c r="C49" s="15">
        <v>4953600</v>
      </c>
      <c r="D49" s="16" t="s">
        <v>8</v>
      </c>
      <c r="J49" s="96"/>
    </row>
    <row r="50" spans="2:10" x14ac:dyDescent="0.3">
      <c r="B50" s="14" t="s">
        <v>6</v>
      </c>
      <c r="C50" s="17">
        <f>SUM(D76:H76)</f>
        <v>81343</v>
      </c>
      <c r="D50" s="16" t="s">
        <v>8</v>
      </c>
      <c r="E50" s="57"/>
    </row>
    <row r="51" spans="2:10" ht="28.8" x14ac:dyDescent="0.3">
      <c r="B51" s="18" t="s">
        <v>9</v>
      </c>
      <c r="C51" s="17">
        <f>C48-C50</f>
        <v>2072673</v>
      </c>
      <c r="D51" s="16" t="s">
        <v>8</v>
      </c>
    </row>
    <row r="75" spans="2:9" ht="28.2" thickBot="1" x14ac:dyDescent="0.35">
      <c r="B75" s="1"/>
      <c r="C75" s="1"/>
      <c r="D75" s="97" t="s">
        <v>56</v>
      </c>
      <c r="E75" s="97" t="s">
        <v>57</v>
      </c>
      <c r="F75" s="97" t="s">
        <v>58</v>
      </c>
      <c r="G75" s="97" t="s">
        <v>59</v>
      </c>
      <c r="H75" s="97" t="s">
        <v>60</v>
      </c>
    </row>
    <row r="76" spans="2:9" ht="15" thickBot="1" x14ac:dyDescent="0.35">
      <c r="B76" s="5" t="s">
        <v>1</v>
      </c>
      <c r="C76" s="9" t="s">
        <v>8</v>
      </c>
      <c r="D76" s="40">
        <v>39342</v>
      </c>
      <c r="E76" s="41">
        <v>42001</v>
      </c>
      <c r="F76" s="41"/>
      <c r="G76" s="41"/>
      <c r="H76" s="42"/>
      <c r="I76" s="117"/>
    </row>
    <row r="77" spans="2:9" x14ac:dyDescent="0.3">
      <c r="B77" s="7" t="s">
        <v>5</v>
      </c>
      <c r="C77" s="9" t="s">
        <v>8</v>
      </c>
      <c r="D77" s="98">
        <f>D76</f>
        <v>39342</v>
      </c>
      <c r="E77" s="98">
        <f>D77+E76</f>
        <v>81343</v>
      </c>
      <c r="F77" s="98">
        <f>E77+F76</f>
        <v>81343</v>
      </c>
      <c r="G77" s="98">
        <f>F77+G76</f>
        <v>81343</v>
      </c>
      <c r="H77" s="98">
        <f>G77+G76</f>
        <v>81343</v>
      </c>
      <c r="I77" s="106">
        <f>H77/C48</f>
        <v>3.7763414942135989E-2</v>
      </c>
    </row>
    <row r="78" spans="2:9" ht="28.8" x14ac:dyDescent="0.3">
      <c r="B78" s="5" t="s">
        <v>9</v>
      </c>
      <c r="C78" s="9" t="s">
        <v>8</v>
      </c>
      <c r="D78" s="98">
        <f>C48/5</f>
        <v>430803.20000000001</v>
      </c>
      <c r="E78" s="98">
        <f>(C48-D77)/4</f>
        <v>528668.5</v>
      </c>
      <c r="F78" s="98">
        <f>($C$48-E77)/3</f>
        <v>690891</v>
      </c>
      <c r="G78" s="98">
        <f>($C$48-F77)/2</f>
        <v>1036336.5</v>
      </c>
      <c r="H78" s="98">
        <f>(C48-G78)/1</f>
        <v>1117679.5</v>
      </c>
      <c r="I78" s="104"/>
    </row>
    <row r="79" spans="2:9" s="4" customFormat="1" ht="15" thickBot="1" x14ac:dyDescent="0.35">
      <c r="I79" s="105"/>
    </row>
    <row r="80" spans="2:9" ht="15" thickTop="1" x14ac:dyDescent="0.3"/>
    <row r="81" spans="2:8" ht="25.8" x14ac:dyDescent="0.5">
      <c r="B81" s="246" t="s">
        <v>29</v>
      </c>
      <c r="C81" s="246"/>
      <c r="D81" s="246"/>
      <c r="E81" s="246"/>
      <c r="F81" s="246"/>
      <c r="G81" s="246"/>
      <c r="H81" s="246"/>
    </row>
    <row r="82" spans="2:8" ht="6.45" customHeight="1" x14ac:dyDescent="0.3"/>
    <row r="83" spans="2:8" ht="16.2" x14ac:dyDescent="0.3">
      <c r="B83" s="14" t="s">
        <v>31</v>
      </c>
      <c r="C83" s="15">
        <f>(4140528-(2484001+148391+302350))/2</f>
        <v>602893</v>
      </c>
      <c r="D83" s="16" t="s">
        <v>11</v>
      </c>
    </row>
    <row r="84" spans="2:8" ht="16.2" x14ac:dyDescent="0.3">
      <c r="B84" s="14" t="s">
        <v>52</v>
      </c>
      <c r="C84" s="15">
        <v>4140528</v>
      </c>
      <c r="D84" s="16" t="s">
        <v>11</v>
      </c>
    </row>
    <row r="85" spans="2:8" ht="16.2" x14ac:dyDescent="0.3">
      <c r="B85" s="14" t="s">
        <v>6</v>
      </c>
      <c r="C85" s="17">
        <f>SUM(D114:H114)</f>
        <v>117942</v>
      </c>
      <c r="D85" s="16" t="s">
        <v>11</v>
      </c>
      <c r="E85" s="57"/>
    </row>
    <row r="86" spans="2:8" ht="28.8" x14ac:dyDescent="0.3">
      <c r="B86" s="14" t="s">
        <v>9</v>
      </c>
      <c r="C86" s="17">
        <f>C83-C85</f>
        <v>484951</v>
      </c>
      <c r="D86" s="16" t="s">
        <v>11</v>
      </c>
    </row>
    <row r="87" spans="2:8" ht="7.5" customHeight="1" x14ac:dyDescent="0.3"/>
    <row r="100" spans="2:11" x14ac:dyDescent="0.3">
      <c r="J100" s="57"/>
    </row>
    <row r="110" spans="2:11" ht="28.2" thickBot="1" x14ac:dyDescent="0.35">
      <c r="B110" s="1"/>
      <c r="C110" s="1"/>
      <c r="D110" s="97" t="s">
        <v>56</v>
      </c>
      <c r="E110" s="97" t="s">
        <v>57</v>
      </c>
      <c r="F110" s="97" t="s">
        <v>58</v>
      </c>
      <c r="G110" s="97" t="s">
        <v>59</v>
      </c>
      <c r="H110" s="97" t="s">
        <v>60</v>
      </c>
      <c r="I110" s="111"/>
      <c r="J110" s="74"/>
    </row>
    <row r="111" spans="2:11" ht="16.2" x14ac:dyDescent="0.3">
      <c r="B111" s="79" t="s">
        <v>43</v>
      </c>
      <c r="C111" s="9" t="s">
        <v>11</v>
      </c>
      <c r="D111" s="58">
        <v>23322</v>
      </c>
      <c r="E111" s="50">
        <v>54533</v>
      </c>
      <c r="F111" s="50"/>
      <c r="G111" s="50"/>
      <c r="H111" s="51"/>
      <c r="I111" s="108">
        <f>SUM(D111:H111)</f>
        <v>77855</v>
      </c>
      <c r="J111" s="77"/>
      <c r="K111" s="57"/>
    </row>
    <row r="112" spans="2:11" ht="16.2" x14ac:dyDescent="0.3">
      <c r="B112" s="79" t="s">
        <v>41</v>
      </c>
      <c r="C112" s="9" t="s">
        <v>11</v>
      </c>
      <c r="D112" s="83">
        <v>19294</v>
      </c>
      <c r="E112" s="69">
        <v>20793</v>
      </c>
      <c r="F112" s="69"/>
      <c r="G112" s="69"/>
      <c r="H112" s="70"/>
      <c r="I112" s="108">
        <f>SUM(D112:H112)</f>
        <v>40087</v>
      </c>
      <c r="J112" s="57"/>
    </row>
    <row r="113" spans="2:11" ht="16.2" x14ac:dyDescent="0.3">
      <c r="B113" s="12" t="s">
        <v>12</v>
      </c>
      <c r="C113" s="9" t="s">
        <v>11</v>
      </c>
      <c r="D113" s="68"/>
      <c r="E113" s="69"/>
      <c r="F113" s="69"/>
      <c r="G113" s="69"/>
      <c r="H113" s="70"/>
      <c r="I113" s="108">
        <f>SUM(D113:H113)</f>
        <v>0</v>
      </c>
      <c r="J113" s="77"/>
    </row>
    <row r="114" spans="2:11" x14ac:dyDescent="0.3">
      <c r="B114" s="72" t="s">
        <v>13</v>
      </c>
      <c r="C114" s="73" t="s">
        <v>10</v>
      </c>
      <c r="D114" s="71">
        <f>SUM(D111:D113)</f>
        <v>42616</v>
      </c>
      <c r="E114" s="71">
        <f>SUM(E111:E113)</f>
        <v>75326</v>
      </c>
      <c r="F114" s="71">
        <f>SUM(F111:F113)</f>
        <v>0</v>
      </c>
      <c r="G114" s="71">
        <f>SUM(G111:G113)</f>
        <v>0</v>
      </c>
      <c r="H114" s="71">
        <f>SUM(H111:H113)</f>
        <v>0</v>
      </c>
      <c r="I114" s="108"/>
      <c r="J114" s="61"/>
    </row>
    <row r="115" spans="2:11" x14ac:dyDescent="0.3">
      <c r="B115" s="13" t="s">
        <v>5</v>
      </c>
      <c r="C115" s="9" t="s">
        <v>10</v>
      </c>
      <c r="D115" s="99">
        <f>D114</f>
        <v>42616</v>
      </c>
      <c r="E115" s="99">
        <f>D115+E114</f>
        <v>117942</v>
      </c>
      <c r="F115" s="99">
        <f>E115+F114</f>
        <v>117942</v>
      </c>
      <c r="G115" s="99">
        <f>F115+G114</f>
        <v>117942</v>
      </c>
      <c r="H115" s="99">
        <f>G115+H114</f>
        <v>117942</v>
      </c>
      <c r="I115" s="108"/>
      <c r="J115" s="61"/>
    </row>
    <row r="116" spans="2:11" x14ac:dyDescent="0.3">
      <c r="B116" s="12" t="s">
        <v>53</v>
      </c>
      <c r="C116" s="9" t="s">
        <v>10</v>
      </c>
      <c r="D116" s="99">
        <f>$C$83/5</f>
        <v>120578.6</v>
      </c>
      <c r="E116" s="99">
        <f>($C$83-D115)/4</f>
        <v>140069.25</v>
      </c>
      <c r="F116" s="99">
        <f>($C$83-E115)/3</f>
        <v>161650.33333333334</v>
      </c>
      <c r="G116" s="99">
        <f>($C$83-F115)/2</f>
        <v>242475.5</v>
      </c>
      <c r="H116" s="99">
        <f>($C$83-G115)/1</f>
        <v>484951</v>
      </c>
      <c r="I116" s="108"/>
      <c r="J116" s="61"/>
    </row>
    <row r="117" spans="2:11" s="4" customFormat="1" ht="15" thickBot="1" x14ac:dyDescent="0.35">
      <c r="I117" s="105"/>
    </row>
    <row r="118" spans="2:11" ht="15" thickTop="1" x14ac:dyDescent="0.3"/>
    <row r="119" spans="2:11" ht="25.8" x14ac:dyDescent="0.5">
      <c r="B119" s="246" t="s">
        <v>14</v>
      </c>
      <c r="C119" s="246"/>
      <c r="D119" s="246"/>
      <c r="E119" s="246"/>
      <c r="F119" s="246"/>
      <c r="G119" s="246"/>
      <c r="H119" s="246"/>
    </row>
    <row r="120" spans="2:11" ht="7.05" customHeight="1" x14ac:dyDescent="0.3">
      <c r="B120" s="20"/>
      <c r="C120" s="20"/>
      <c r="D120" s="20"/>
      <c r="E120" s="20"/>
      <c r="F120" s="20"/>
      <c r="G120" s="20"/>
      <c r="H120" s="20"/>
    </row>
    <row r="121" spans="2:11" ht="14.55" customHeight="1" x14ac:dyDescent="0.3">
      <c r="B121" s="244" t="s">
        <v>20</v>
      </c>
      <c r="C121" s="244"/>
      <c r="D121" s="244"/>
      <c r="E121" s="244"/>
      <c r="F121" s="244"/>
      <c r="G121" s="244"/>
      <c r="H121" s="244"/>
    </row>
    <row r="122" spans="2:11" x14ac:dyDescent="0.3">
      <c r="D122" s="19">
        <v>105</v>
      </c>
      <c r="E122" s="19" t="s">
        <v>18</v>
      </c>
    </row>
    <row r="123" spans="2:11" ht="27.6" x14ac:dyDescent="0.3">
      <c r="D123" s="97" t="s">
        <v>63</v>
      </c>
      <c r="E123" s="97" t="s">
        <v>62</v>
      </c>
      <c r="F123" s="97" t="s">
        <v>61</v>
      </c>
      <c r="G123" s="97" t="s">
        <v>64</v>
      </c>
      <c r="H123" s="97" t="s">
        <v>65</v>
      </c>
      <c r="I123" s="111" t="s">
        <v>37</v>
      </c>
      <c r="J123" s="74"/>
    </row>
    <row r="124" spans="2:11" hidden="1" x14ac:dyDescent="0.3">
      <c r="D124" s="10"/>
      <c r="E124" s="10"/>
      <c r="F124" s="10"/>
      <c r="G124" s="10"/>
      <c r="H124" s="10"/>
      <c r="I124" s="107"/>
      <c r="J124" s="74"/>
    </row>
    <row r="125" spans="2:11" x14ac:dyDescent="0.3">
      <c r="B125" s="12" t="s">
        <v>15</v>
      </c>
      <c r="C125" s="9" t="s">
        <v>10</v>
      </c>
      <c r="D125" s="66">
        <v>416</v>
      </c>
      <c r="E125" s="66">
        <v>872</v>
      </c>
      <c r="F125" s="66"/>
      <c r="G125" s="66"/>
      <c r="H125" s="66"/>
      <c r="I125" s="109">
        <f>SUM(D125:H125)</f>
        <v>1288</v>
      </c>
      <c r="J125" s="62"/>
    </row>
    <row r="126" spans="2:11" x14ac:dyDescent="0.3">
      <c r="B126" s="12" t="s">
        <v>17</v>
      </c>
      <c r="C126" s="9" t="s">
        <v>10</v>
      </c>
      <c r="D126" s="66">
        <f t="shared" ref="D126:I126" si="0">D129*D125</f>
        <v>43680</v>
      </c>
      <c r="E126" s="66">
        <f t="shared" si="0"/>
        <v>91560</v>
      </c>
      <c r="F126" s="66">
        <f t="shared" si="0"/>
        <v>0</v>
      </c>
      <c r="G126" s="66">
        <f t="shared" si="0"/>
        <v>0</v>
      </c>
      <c r="H126" s="66">
        <f t="shared" si="0"/>
        <v>0</v>
      </c>
      <c r="I126" s="110">
        <f t="shared" si="0"/>
        <v>135240</v>
      </c>
      <c r="J126" s="63"/>
    </row>
    <row r="127" spans="2:11" x14ac:dyDescent="0.3">
      <c r="B127" s="12" t="s">
        <v>16</v>
      </c>
      <c r="C127" s="9" t="s">
        <v>10</v>
      </c>
      <c r="D127" s="11">
        <f>D114</f>
        <v>42616</v>
      </c>
      <c r="E127" s="11">
        <f>E114</f>
        <v>75326</v>
      </c>
      <c r="F127" s="11">
        <f>F114</f>
        <v>0</v>
      </c>
      <c r="G127" s="11">
        <f>G114</f>
        <v>0</v>
      </c>
      <c r="H127" s="11">
        <f>H114</f>
        <v>0</v>
      </c>
      <c r="I127" s="109">
        <f>SUM(D127:H127)</f>
        <v>117942</v>
      </c>
      <c r="J127" s="100"/>
      <c r="K127" s="56"/>
    </row>
    <row r="128" spans="2:11" x14ac:dyDescent="0.3">
      <c r="B128" s="12" t="s">
        <v>22</v>
      </c>
      <c r="C128" s="9" t="s">
        <v>19</v>
      </c>
      <c r="D128" s="66">
        <f>D127/D125</f>
        <v>102.44230769230769</v>
      </c>
      <c r="E128" s="66">
        <f>E127/E125</f>
        <v>86.383027522935777</v>
      </c>
      <c r="F128" s="66" t="str">
        <f>IFERROR(F127/F125,"")</f>
        <v/>
      </c>
      <c r="G128" s="66" t="str">
        <f>IFERROR(G127/G125,"")</f>
        <v/>
      </c>
      <c r="H128" s="66" t="str">
        <f>IFERROR(H127/H125,"")</f>
        <v/>
      </c>
      <c r="I128" s="110">
        <f>I127/I125</f>
        <v>91.56987577639751</v>
      </c>
      <c r="J128" s="63"/>
    </row>
    <row r="129" spans="2:11" x14ac:dyDescent="0.3">
      <c r="B129" s="12" t="s">
        <v>23</v>
      </c>
      <c r="C129" s="9" t="s">
        <v>19</v>
      </c>
      <c r="D129" s="66">
        <v>105</v>
      </c>
      <c r="E129" s="66">
        <v>105</v>
      </c>
      <c r="F129" s="66">
        <v>105</v>
      </c>
      <c r="G129" s="66">
        <v>105</v>
      </c>
      <c r="H129" s="115">
        <v>105</v>
      </c>
      <c r="I129" s="116">
        <v>105</v>
      </c>
      <c r="J129" s="78"/>
      <c r="K129" s="67"/>
    </row>
    <row r="130" spans="2:11" x14ac:dyDescent="0.3">
      <c r="B130" s="21"/>
      <c r="C130" s="22"/>
      <c r="D130" s="23"/>
      <c r="E130" s="23"/>
      <c r="F130" s="23"/>
      <c r="G130" s="23"/>
      <c r="H130" s="23"/>
      <c r="I130" s="103"/>
    </row>
    <row r="131" spans="2:11" x14ac:dyDescent="0.3">
      <c r="B131" s="21"/>
      <c r="C131" s="22"/>
      <c r="D131" s="23"/>
      <c r="E131" s="23"/>
      <c r="F131" s="23"/>
      <c r="G131" s="23"/>
      <c r="H131" s="23"/>
    </row>
    <row r="132" spans="2:11" x14ac:dyDescent="0.3">
      <c r="B132" s="21"/>
      <c r="C132" s="22"/>
      <c r="D132" s="23"/>
      <c r="E132" s="23"/>
      <c r="F132" s="23"/>
      <c r="G132" s="23"/>
      <c r="H132" s="23"/>
    </row>
    <row r="133" spans="2:11" x14ac:dyDescent="0.3">
      <c r="B133" s="21"/>
      <c r="C133" s="22"/>
      <c r="D133" s="23"/>
      <c r="E133" s="23"/>
      <c r="F133" s="23"/>
      <c r="G133" s="23"/>
      <c r="H133" s="23"/>
    </row>
    <row r="134" spans="2:11" x14ac:dyDescent="0.3">
      <c r="B134" s="21"/>
      <c r="C134" s="22"/>
      <c r="D134" s="23"/>
      <c r="E134" s="23"/>
      <c r="F134" s="23"/>
      <c r="G134" s="23"/>
      <c r="H134" s="23"/>
    </row>
    <row r="135" spans="2:11" x14ac:dyDescent="0.3">
      <c r="B135" s="21"/>
      <c r="C135" s="22"/>
      <c r="D135" s="23"/>
      <c r="E135" s="23"/>
      <c r="F135" s="23"/>
      <c r="G135" s="23"/>
      <c r="H135" s="23"/>
    </row>
    <row r="136" spans="2:11" x14ac:dyDescent="0.3">
      <c r="B136" s="21"/>
      <c r="C136" s="22"/>
      <c r="D136" s="23"/>
      <c r="E136" s="23"/>
      <c r="F136" s="23"/>
      <c r="G136" s="23"/>
      <c r="H136" s="23"/>
    </row>
    <row r="137" spans="2:11" x14ac:dyDescent="0.3">
      <c r="B137" s="21"/>
      <c r="C137" s="22"/>
      <c r="D137" s="23"/>
      <c r="E137" s="23"/>
      <c r="F137" s="23"/>
      <c r="G137" s="23"/>
      <c r="H137" s="23"/>
    </row>
    <row r="138" spans="2:11" x14ac:dyDescent="0.3">
      <c r="B138" s="21"/>
      <c r="C138" s="22"/>
      <c r="D138" s="23"/>
      <c r="E138" s="23"/>
      <c r="F138" s="23"/>
      <c r="G138" s="23"/>
      <c r="H138" s="23"/>
    </row>
    <row r="139" spans="2:11" x14ac:dyDescent="0.3">
      <c r="B139" s="21"/>
      <c r="C139" s="22"/>
      <c r="D139" s="23"/>
      <c r="E139" s="23"/>
      <c r="F139" s="23"/>
      <c r="G139" s="23"/>
      <c r="H139" s="23"/>
    </row>
    <row r="140" spans="2:11" x14ac:dyDescent="0.3">
      <c r="B140" s="21"/>
      <c r="C140" s="22"/>
      <c r="D140" s="23"/>
      <c r="E140" s="23"/>
      <c r="F140" s="23"/>
      <c r="G140" s="23"/>
      <c r="H140" s="23"/>
    </row>
    <row r="141" spans="2:11" x14ac:dyDescent="0.3">
      <c r="B141" s="21"/>
      <c r="C141" s="22"/>
      <c r="D141" s="23"/>
      <c r="E141" s="23"/>
      <c r="F141" s="23"/>
      <c r="G141" s="23"/>
      <c r="H141" s="23"/>
    </row>
    <row r="142" spans="2:11" x14ac:dyDescent="0.3">
      <c r="B142" s="21"/>
      <c r="C142" s="22"/>
      <c r="D142" s="23"/>
      <c r="E142" s="23"/>
      <c r="F142" s="23"/>
      <c r="G142" s="23"/>
      <c r="H142" s="23"/>
    </row>
    <row r="143" spans="2:11" x14ac:dyDescent="0.3">
      <c r="B143" s="21"/>
      <c r="C143" s="22"/>
      <c r="D143" s="23"/>
      <c r="E143" s="23"/>
      <c r="F143" s="23"/>
      <c r="G143" s="23"/>
      <c r="H143" s="23"/>
    </row>
    <row r="144" spans="2:11" x14ac:dyDescent="0.3">
      <c r="B144" s="21"/>
      <c r="C144" s="22"/>
      <c r="D144" s="23"/>
      <c r="E144" s="23"/>
      <c r="F144" s="23"/>
      <c r="G144" s="23"/>
      <c r="H144" s="23"/>
    </row>
    <row r="145" spans="2:10" x14ac:dyDescent="0.3">
      <c r="B145" s="21"/>
      <c r="C145" s="22"/>
      <c r="D145" s="23"/>
      <c r="E145" s="23"/>
      <c r="F145" s="23"/>
      <c r="G145" s="23"/>
      <c r="H145" s="23"/>
    </row>
    <row r="146" spans="2:10" x14ac:dyDescent="0.3">
      <c r="B146" s="21"/>
      <c r="C146" s="22"/>
      <c r="D146" s="23"/>
      <c r="E146" s="23"/>
      <c r="F146" s="23"/>
      <c r="G146" s="23"/>
      <c r="H146" s="23"/>
    </row>
    <row r="147" spans="2:10" x14ac:dyDescent="0.3">
      <c r="B147" s="21"/>
      <c r="C147" s="22"/>
      <c r="D147" s="23"/>
      <c r="E147" s="23"/>
      <c r="F147" s="23"/>
      <c r="G147" s="23"/>
      <c r="H147" s="23"/>
    </row>
    <row r="148" spans="2:10" x14ac:dyDescent="0.3">
      <c r="B148" s="21"/>
      <c r="C148" s="22"/>
      <c r="D148" s="23"/>
      <c r="E148" s="23"/>
      <c r="F148" s="23"/>
      <c r="G148" s="23"/>
      <c r="H148" s="23"/>
    </row>
    <row r="149" spans="2:10" x14ac:dyDescent="0.3">
      <c r="B149" s="21"/>
      <c r="C149" s="22"/>
      <c r="D149" s="23"/>
      <c r="E149" s="23"/>
      <c r="F149" s="23"/>
      <c r="G149" s="23"/>
      <c r="H149" s="23"/>
    </row>
    <row r="150" spans="2:10" x14ac:dyDescent="0.3">
      <c r="B150" s="21"/>
      <c r="C150" s="22"/>
      <c r="D150" s="23"/>
      <c r="E150" s="23"/>
      <c r="F150" s="23"/>
      <c r="G150" s="23"/>
      <c r="H150" s="23"/>
    </row>
    <row r="151" spans="2:10" x14ac:dyDescent="0.3">
      <c r="B151" s="21"/>
      <c r="C151" s="22"/>
      <c r="D151" s="23"/>
      <c r="E151" s="23"/>
      <c r="F151" s="23"/>
      <c r="G151" s="23"/>
      <c r="H151" s="23"/>
    </row>
    <row r="152" spans="2:10" x14ac:dyDescent="0.3">
      <c r="B152" s="21"/>
      <c r="C152" s="22"/>
      <c r="D152" s="23"/>
      <c r="E152" s="23"/>
      <c r="F152" s="23"/>
      <c r="G152" s="23"/>
      <c r="H152" s="23"/>
    </row>
    <row r="153" spans="2:10" x14ac:dyDescent="0.3">
      <c r="B153" s="21"/>
      <c r="C153" s="22"/>
      <c r="D153" s="23"/>
      <c r="E153" s="23"/>
      <c r="F153" s="23"/>
      <c r="G153" s="23"/>
      <c r="H153" s="23"/>
    </row>
    <row r="154" spans="2:10" x14ac:dyDescent="0.3">
      <c r="B154" s="21"/>
      <c r="C154" s="22"/>
      <c r="D154" s="23"/>
      <c r="E154" s="23"/>
      <c r="F154" s="23"/>
      <c r="G154" s="23"/>
      <c r="H154" s="23"/>
    </row>
    <row r="155" spans="2:10" x14ac:dyDescent="0.3">
      <c r="B155" s="21"/>
      <c r="C155" s="22"/>
      <c r="D155" s="23"/>
      <c r="E155" s="23"/>
      <c r="F155" s="23"/>
      <c r="G155" s="23"/>
      <c r="H155" s="23"/>
    </row>
    <row r="156" spans="2:10" x14ac:dyDescent="0.3">
      <c r="B156" s="21"/>
      <c r="C156" s="22"/>
      <c r="D156" s="23"/>
      <c r="E156" s="23"/>
      <c r="F156" s="23"/>
      <c r="G156" s="23"/>
      <c r="H156" s="23"/>
    </row>
    <row r="157" spans="2:10" x14ac:dyDescent="0.3">
      <c r="B157" s="21"/>
      <c r="C157" s="22"/>
      <c r="D157" s="23"/>
      <c r="E157" s="23"/>
      <c r="F157" s="23"/>
      <c r="G157" s="23"/>
      <c r="H157" s="23"/>
    </row>
    <row r="158" spans="2:10" x14ac:dyDescent="0.3">
      <c r="B158" s="21"/>
      <c r="C158" s="22"/>
      <c r="D158" s="23"/>
      <c r="E158" s="23"/>
      <c r="F158" s="23"/>
      <c r="G158" s="23"/>
      <c r="H158" s="23"/>
    </row>
    <row r="159" spans="2:10" x14ac:dyDescent="0.3">
      <c r="B159" s="21"/>
      <c r="C159" s="22"/>
      <c r="D159" s="23"/>
      <c r="E159" s="23"/>
      <c r="F159" s="23"/>
      <c r="G159" s="23"/>
      <c r="H159" s="23"/>
    </row>
    <row r="160" spans="2:10" x14ac:dyDescent="0.3">
      <c r="I160" s="103"/>
      <c r="J160" s="57"/>
    </row>
    <row r="165" spans="2:11" ht="15.6" x14ac:dyDescent="0.3">
      <c r="B165" s="245" t="s">
        <v>21</v>
      </c>
      <c r="C165" s="245"/>
      <c r="D165" s="245"/>
      <c r="E165" s="245"/>
      <c r="F165" s="245"/>
      <c r="G165" s="245"/>
      <c r="H165" s="245"/>
    </row>
    <row r="166" spans="2:11" ht="27.6" x14ac:dyDescent="0.3">
      <c r="D166" s="97" t="s">
        <v>63</v>
      </c>
      <c r="E166" s="97" t="s">
        <v>62</v>
      </c>
      <c r="F166" s="97" t="s">
        <v>61</v>
      </c>
      <c r="G166" s="97" t="s">
        <v>64</v>
      </c>
      <c r="H166" s="97" t="s">
        <v>65</v>
      </c>
      <c r="I166" s="111" t="s">
        <v>37</v>
      </c>
      <c r="J166" s="64"/>
    </row>
    <row r="167" spans="2:11" x14ac:dyDescent="0.3">
      <c r="B167" s="25" t="s">
        <v>15</v>
      </c>
      <c r="C167" s="16" t="s">
        <v>10</v>
      </c>
      <c r="D167" s="66">
        <f>D125*(D170/15)</f>
        <v>427.37066666666669</v>
      </c>
      <c r="E167" s="66">
        <f>E125*(E170/15)</f>
        <v>791.77599999999995</v>
      </c>
      <c r="F167" s="66">
        <f>F125*(F170/15)</f>
        <v>0</v>
      </c>
      <c r="G167" s="66">
        <f>G125*(G170/15)</f>
        <v>0</v>
      </c>
      <c r="H167" s="66">
        <f>H125*(H170/15)</f>
        <v>0</v>
      </c>
      <c r="I167" s="108">
        <f>SUM(D167:H167)</f>
        <v>1219.1466666666665</v>
      </c>
      <c r="J167" s="61"/>
      <c r="K167" s="56"/>
    </row>
    <row r="168" spans="2:11" x14ac:dyDescent="0.3">
      <c r="B168" s="25" t="s">
        <v>17</v>
      </c>
      <c r="C168" s="16" t="s">
        <v>10</v>
      </c>
      <c r="D168" s="66">
        <f>D167*$D$122</f>
        <v>44873.920000000006</v>
      </c>
      <c r="E168" s="66">
        <f>E167*$D$122</f>
        <v>83136.479999999996</v>
      </c>
      <c r="F168" s="66">
        <f>F167*$D$122</f>
        <v>0</v>
      </c>
      <c r="G168" s="66">
        <f>G167*$D$122</f>
        <v>0</v>
      </c>
      <c r="H168" s="66">
        <f>H167*$D$122</f>
        <v>0</v>
      </c>
      <c r="I168" s="110">
        <f>I167*105</f>
        <v>128010.39999999998</v>
      </c>
      <c r="J168" s="63"/>
    </row>
    <row r="169" spans="2:11" x14ac:dyDescent="0.3">
      <c r="B169" s="25" t="s">
        <v>16</v>
      </c>
      <c r="C169" s="16" t="s">
        <v>10</v>
      </c>
      <c r="D169" s="11">
        <f>D127</f>
        <v>42616</v>
      </c>
      <c r="E169" s="11">
        <f>E127</f>
        <v>75326</v>
      </c>
      <c r="F169" s="11">
        <f>F127</f>
        <v>0</v>
      </c>
      <c r="G169" s="11">
        <f>G127</f>
        <v>0</v>
      </c>
      <c r="H169" s="11">
        <f>H127</f>
        <v>0</v>
      </c>
      <c r="I169" s="112">
        <f>SUM(D169:H169)</f>
        <v>117942</v>
      </c>
      <c r="J169" s="63"/>
      <c r="K169" s="56"/>
    </row>
    <row r="170" spans="2:11" x14ac:dyDescent="0.3">
      <c r="B170" s="25" t="s">
        <v>39</v>
      </c>
      <c r="C170" s="16"/>
      <c r="D170" s="93">
        <v>15.41</v>
      </c>
      <c r="E170" s="93">
        <v>13.62</v>
      </c>
      <c r="F170" s="93"/>
      <c r="G170" s="93"/>
      <c r="H170" s="93"/>
      <c r="I170" s="113">
        <f>AVERAGE(D170:H170)</f>
        <v>14.515000000000001</v>
      </c>
      <c r="J170" s="87"/>
    </row>
    <row r="171" spans="2:11" x14ac:dyDescent="0.3">
      <c r="B171" s="12" t="s">
        <v>22</v>
      </c>
      <c r="C171" s="9" t="s">
        <v>19</v>
      </c>
      <c r="D171" s="66">
        <f>D169/D167</f>
        <v>99.716717416263165</v>
      </c>
      <c r="E171" s="66">
        <f>IFERROR(E169/E167,"")</f>
        <v>95.135492866669367</v>
      </c>
      <c r="F171" s="66" t="str">
        <f>IFERROR(F169/F167,"")</f>
        <v/>
      </c>
      <c r="G171" s="66" t="str">
        <f>IFERROR(G169/G167,"")</f>
        <v/>
      </c>
      <c r="H171" s="66" t="str">
        <f>IFERROR(H169/H167,"")</f>
        <v/>
      </c>
      <c r="I171" s="112">
        <f>IFERROR(I169/I167,"")</f>
        <v>96.741436633273551</v>
      </c>
      <c r="J171" s="65"/>
    </row>
    <row r="172" spans="2:11" x14ac:dyDescent="0.3">
      <c r="B172" s="12" t="s">
        <v>23</v>
      </c>
      <c r="C172" s="9" t="s">
        <v>19</v>
      </c>
      <c r="D172" s="66">
        <v>105</v>
      </c>
      <c r="E172" s="66">
        <v>105</v>
      </c>
      <c r="F172" s="66">
        <v>105</v>
      </c>
      <c r="G172" s="66">
        <v>105</v>
      </c>
      <c r="H172" s="66">
        <v>105</v>
      </c>
      <c r="I172" s="114">
        <v>105</v>
      </c>
      <c r="J172" s="65"/>
    </row>
    <row r="173" spans="2:11" x14ac:dyDescent="0.3">
      <c r="D173" s="24" t="s">
        <v>40</v>
      </c>
      <c r="I173" s="103"/>
    </row>
    <row r="210" spans="2:9" s="4" customFormat="1" ht="15" thickBot="1" x14ac:dyDescent="0.35">
      <c r="I210" s="105"/>
    </row>
    <row r="211" spans="2:9" ht="15" thickTop="1" x14ac:dyDescent="0.3"/>
    <row r="216" spans="2:9" ht="25.8" hidden="1" x14ac:dyDescent="0.5">
      <c r="B216" s="246" t="s">
        <v>24</v>
      </c>
      <c r="C216" s="246"/>
      <c r="D216" s="246"/>
      <c r="E216" s="246"/>
      <c r="F216" s="246"/>
      <c r="G216" s="246"/>
      <c r="H216" s="246"/>
    </row>
    <row r="217" spans="2:9" hidden="1" x14ac:dyDescent="0.3"/>
    <row r="218" spans="2:9" ht="22.8" hidden="1" thickBot="1" x14ac:dyDescent="0.5">
      <c r="B218" s="28" t="s">
        <v>25</v>
      </c>
      <c r="C218" s="29" t="s">
        <v>26</v>
      </c>
      <c r="D218" s="29" t="s">
        <v>27</v>
      </c>
      <c r="E218" s="30" t="s">
        <v>28</v>
      </c>
    </row>
    <row r="219" spans="2:9" ht="23.4" hidden="1" x14ac:dyDescent="0.45">
      <c r="B219" s="31"/>
      <c r="C219" s="26"/>
      <c r="D219" s="26"/>
      <c r="E219" s="32"/>
    </row>
    <row r="220" spans="2:9" ht="22.2" hidden="1" x14ac:dyDescent="0.45">
      <c r="B220" s="33">
        <v>44743</v>
      </c>
      <c r="C220" s="89">
        <v>1056523.5</v>
      </c>
      <c r="D220" s="90">
        <v>1501785</v>
      </c>
      <c r="E220" s="91">
        <f>C220+D220</f>
        <v>2558308.5</v>
      </c>
    </row>
    <row r="221" spans="2:9" ht="22.2" hidden="1" x14ac:dyDescent="0.45">
      <c r="B221" s="33">
        <v>44774</v>
      </c>
      <c r="C221" s="92">
        <v>1649443.5</v>
      </c>
      <c r="D221" s="92">
        <v>863715</v>
      </c>
      <c r="E221" s="91">
        <f t="shared" ref="E221:E231" si="1">C221+D221</f>
        <v>2513158.5</v>
      </c>
    </row>
    <row r="222" spans="2:9" ht="22.2" hidden="1" x14ac:dyDescent="0.45">
      <c r="B222" s="33">
        <v>44805</v>
      </c>
      <c r="C222" s="92">
        <v>1346098.5</v>
      </c>
      <c r="D222" s="92">
        <v>1119105</v>
      </c>
      <c r="E222" s="91">
        <f t="shared" si="1"/>
        <v>2465203.5</v>
      </c>
    </row>
    <row r="223" spans="2:9" ht="22.2" hidden="1" x14ac:dyDescent="0.45">
      <c r="B223" s="33">
        <v>44835</v>
      </c>
      <c r="C223" s="92">
        <v>2573653.5</v>
      </c>
      <c r="D223" s="92">
        <v>0</v>
      </c>
      <c r="E223" s="91">
        <f t="shared" si="1"/>
        <v>2573653.5</v>
      </c>
    </row>
    <row r="224" spans="2:9" ht="22.2" hidden="1" x14ac:dyDescent="0.45">
      <c r="B224" s="33">
        <v>44866</v>
      </c>
      <c r="C224" s="92">
        <v>2239123.5</v>
      </c>
      <c r="D224" s="92">
        <v>0</v>
      </c>
      <c r="E224" s="91">
        <f t="shared" si="1"/>
        <v>2239123.5</v>
      </c>
    </row>
    <row r="225" spans="2:5" ht="22.2" hidden="1" x14ac:dyDescent="0.45">
      <c r="B225" s="33">
        <v>44896</v>
      </c>
      <c r="C225" s="92">
        <v>3815869.5</v>
      </c>
      <c r="D225" s="92">
        <v>0</v>
      </c>
      <c r="E225" s="91">
        <f t="shared" si="1"/>
        <v>3815869.5</v>
      </c>
    </row>
    <row r="226" spans="2:5" ht="22.2" hidden="1" x14ac:dyDescent="0.45">
      <c r="B226" s="33">
        <v>44927</v>
      </c>
      <c r="C226" s="92">
        <v>3876876</v>
      </c>
      <c r="D226" s="92">
        <v>0</v>
      </c>
      <c r="E226" s="91">
        <f t="shared" si="1"/>
        <v>3876876</v>
      </c>
    </row>
    <row r="227" spans="2:5" ht="22.2" hidden="1" x14ac:dyDescent="0.45">
      <c r="B227" s="33">
        <v>44958</v>
      </c>
      <c r="C227" s="92">
        <v>2565432</v>
      </c>
      <c r="D227" s="92">
        <v>427935</v>
      </c>
      <c r="E227" s="91">
        <f t="shared" si="1"/>
        <v>2993367</v>
      </c>
    </row>
    <row r="228" spans="2:5" ht="22.2" hidden="1" x14ac:dyDescent="0.45">
      <c r="B228" s="33">
        <v>44986</v>
      </c>
      <c r="C228" s="92">
        <v>2163847.5</v>
      </c>
      <c r="D228" s="92">
        <v>0</v>
      </c>
      <c r="E228" s="91">
        <f t="shared" si="1"/>
        <v>2163847.5</v>
      </c>
    </row>
    <row r="229" spans="2:5" ht="22.2" hidden="1" x14ac:dyDescent="0.45">
      <c r="B229" s="33">
        <v>45017</v>
      </c>
      <c r="C229" s="92">
        <v>1103476.5</v>
      </c>
      <c r="D229" s="92">
        <v>0</v>
      </c>
      <c r="E229" s="91">
        <f t="shared" si="1"/>
        <v>1103476.5</v>
      </c>
    </row>
    <row r="230" spans="2:5" ht="22.2" hidden="1" x14ac:dyDescent="0.45">
      <c r="B230" s="33">
        <v>45047</v>
      </c>
      <c r="C230" s="92">
        <v>1210167</v>
      </c>
      <c r="D230" s="92">
        <v>0</v>
      </c>
      <c r="E230" s="91">
        <f t="shared" si="1"/>
        <v>1210167</v>
      </c>
    </row>
    <row r="231" spans="2:5" ht="22.2" hidden="1" x14ac:dyDescent="0.45">
      <c r="B231" s="33">
        <v>45078</v>
      </c>
      <c r="C231" s="92">
        <v>2359260</v>
      </c>
      <c r="D231" s="92">
        <v>0</v>
      </c>
      <c r="E231" s="91">
        <f t="shared" si="1"/>
        <v>2359260</v>
      </c>
    </row>
    <row r="232" spans="2:5" ht="22.8" hidden="1" thickBot="1" x14ac:dyDescent="0.5">
      <c r="B232" s="34"/>
      <c r="C232" s="27"/>
      <c r="D232" s="27"/>
      <c r="E232" s="35"/>
    </row>
    <row r="233" spans="2:5" ht="23.4" hidden="1" thickTop="1" thickBot="1" x14ac:dyDescent="0.5">
      <c r="B233" s="36"/>
      <c r="C233" s="37">
        <f>SUM(C220:C231)</f>
        <v>25959771</v>
      </c>
      <c r="D233" s="37">
        <f>SUM(D220:D231)</f>
        <v>3912540</v>
      </c>
      <c r="E233" s="38">
        <f>SUM(E220:E231)</f>
        <v>29872311</v>
      </c>
    </row>
    <row r="234" spans="2:5" hidden="1" x14ac:dyDescent="0.3"/>
    <row r="235" spans="2:5" hidden="1" x14ac:dyDescent="0.3"/>
    <row r="236" spans="2:5" hidden="1" x14ac:dyDescent="0.3"/>
    <row r="237" spans="2:5" hidden="1" x14ac:dyDescent="0.3"/>
    <row r="238" spans="2:5" hidden="1" x14ac:dyDescent="0.3"/>
    <row r="239" spans="2:5" hidden="1" x14ac:dyDescent="0.3"/>
    <row r="240" spans="2:5" hidden="1" x14ac:dyDescent="0.3"/>
  </sheetData>
  <dataConsolidate/>
  <mergeCells count="7">
    <mergeCell ref="B216:H216"/>
    <mergeCell ref="B2:H2"/>
    <mergeCell ref="B46:H46"/>
    <mergeCell ref="B81:H81"/>
    <mergeCell ref="B119:H119"/>
    <mergeCell ref="B121:H121"/>
    <mergeCell ref="B165:H165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B437-4B39-47B6-AFCC-73F73A53B4DA}">
  <sheetPr>
    <tabColor rgb="FF00B050"/>
    <pageSetUpPr autoPageBreaks="0"/>
  </sheetPr>
  <dimension ref="B2:M245"/>
  <sheetViews>
    <sheetView showGridLines="0" topLeftCell="A117" zoomScale="85" zoomScaleNormal="85" zoomScaleSheetLayoutView="115" workbookViewId="0">
      <selection activeCell="D115" sqref="D115"/>
    </sheetView>
  </sheetViews>
  <sheetFormatPr defaultColWidth="22.33203125" defaultRowHeight="14.4" x14ac:dyDescent="0.3"/>
  <cols>
    <col min="1" max="1" width="6.6640625" customWidth="1"/>
    <col min="2" max="2" width="28.109375" customWidth="1"/>
    <col min="3" max="3" width="17.109375" customWidth="1"/>
    <col min="4" max="4" width="15.77734375" customWidth="1"/>
    <col min="5" max="5" width="11.6640625" customWidth="1"/>
    <col min="6" max="6" width="11.33203125" customWidth="1"/>
    <col min="7" max="7" width="10.77734375" customWidth="1"/>
    <col min="8" max="8" width="12.33203125" style="101" customWidth="1"/>
    <col min="9" max="9" width="16.5546875" customWidth="1"/>
    <col min="10" max="12" width="22.33203125" style="157"/>
    <col min="13" max="13" width="22.33203125" style="126"/>
  </cols>
  <sheetData>
    <row r="2" spans="2:12" ht="25.8" x14ac:dyDescent="0.5">
      <c r="B2" s="246" t="s">
        <v>68</v>
      </c>
      <c r="C2" s="246"/>
      <c r="D2" s="246"/>
      <c r="E2" s="246"/>
      <c r="F2" s="246"/>
      <c r="G2" s="246"/>
      <c r="J2" s="155"/>
      <c r="K2" s="158"/>
    </row>
    <row r="3" spans="2:12" ht="4.5" customHeight="1" x14ac:dyDescent="0.3"/>
    <row r="4" spans="2:12" x14ac:dyDescent="0.3">
      <c r="B4" s="21" t="s">
        <v>52</v>
      </c>
      <c r="C4" s="168">
        <v>143000</v>
      </c>
      <c r="D4" s="22" t="s">
        <v>4</v>
      </c>
      <c r="E4" s="173"/>
      <c r="H4" s="102"/>
      <c r="I4" s="67"/>
      <c r="J4" s="156"/>
    </row>
    <row r="5" spans="2:12" ht="28.8" x14ac:dyDescent="0.3">
      <c r="B5" s="21" t="s">
        <v>107</v>
      </c>
      <c r="C5" s="168">
        <f>(C4-C7)/7</f>
        <v>15378.428571428571</v>
      </c>
      <c r="D5" s="22" t="s">
        <v>4</v>
      </c>
      <c r="I5" s="67"/>
    </row>
    <row r="6" spans="2:12" x14ac:dyDescent="0.3">
      <c r="B6" s="21" t="s">
        <v>6</v>
      </c>
      <c r="C6" s="171">
        <f>SUM(D36:G36)</f>
        <v>9710.35</v>
      </c>
      <c r="D6" s="22" t="s">
        <v>4</v>
      </c>
      <c r="E6" s="173"/>
      <c r="I6" s="67"/>
      <c r="J6" s="159"/>
    </row>
    <row r="7" spans="2:12" x14ac:dyDescent="0.3">
      <c r="B7" s="21" t="s">
        <v>66</v>
      </c>
      <c r="C7" s="171">
        <v>35351</v>
      </c>
      <c r="D7" s="22" t="s">
        <v>4</v>
      </c>
      <c r="E7" s="174"/>
      <c r="I7" s="67"/>
    </row>
    <row r="8" spans="2:12" x14ac:dyDescent="0.3">
      <c r="B8" s="21" t="s">
        <v>2</v>
      </c>
      <c r="C8" s="171">
        <f>SUM(D38:G38)</f>
        <v>0</v>
      </c>
      <c r="D8" s="22" t="s">
        <v>4</v>
      </c>
      <c r="F8" s="3"/>
    </row>
    <row r="10" spans="2:12" x14ac:dyDescent="0.3">
      <c r="D10" s="2"/>
      <c r="E10" s="175"/>
      <c r="F10" s="2"/>
      <c r="G10" s="2"/>
      <c r="J10" s="159"/>
    </row>
    <row r="11" spans="2:12" x14ac:dyDescent="0.3">
      <c r="D11" s="2"/>
      <c r="E11" s="175"/>
      <c r="F11" s="2"/>
      <c r="G11" s="2"/>
    </row>
    <row r="12" spans="2:12" x14ac:dyDescent="0.3">
      <c r="D12" s="2"/>
      <c r="E12" s="175"/>
      <c r="F12" s="2"/>
      <c r="G12" s="2"/>
    </row>
    <row r="13" spans="2:12" x14ac:dyDescent="0.3">
      <c r="K13" s="160"/>
      <c r="L13" s="160"/>
    </row>
    <row r="19" spans="2:13" x14ac:dyDescent="0.3">
      <c r="I19" s="67"/>
    </row>
    <row r="28" spans="2:13" s="101" customFormat="1" x14ac:dyDescent="0.3">
      <c r="B28"/>
      <c r="C28" s="57"/>
      <c r="D28" s="57"/>
      <c r="E28" s="173"/>
      <c r="F28" s="57"/>
      <c r="G28"/>
      <c r="I28"/>
      <c r="J28" s="157"/>
      <c r="K28" s="157"/>
      <c r="L28" s="161"/>
      <c r="M28" s="149"/>
    </row>
    <row r="29" spans="2:13" s="101" customFormat="1" x14ac:dyDescent="0.3">
      <c r="B29"/>
      <c r="C29"/>
      <c r="D29" s="56"/>
      <c r="E29"/>
      <c r="F29"/>
      <c r="G29"/>
      <c r="I29"/>
      <c r="J29" s="157"/>
      <c r="K29" s="157"/>
      <c r="L29" s="161"/>
      <c r="M29" s="149"/>
    </row>
    <row r="30" spans="2:13" s="101" customFormat="1" hidden="1" x14ac:dyDescent="0.3">
      <c r="B30"/>
      <c r="C30"/>
      <c r="D30"/>
      <c r="E30"/>
      <c r="F30"/>
      <c r="G30"/>
      <c r="I30"/>
      <c r="J30" s="157"/>
      <c r="K30" s="157"/>
      <c r="L30" s="161"/>
      <c r="M30" s="149"/>
    </row>
    <row r="31" spans="2:13" s="101" customFormat="1" hidden="1" x14ac:dyDescent="0.3">
      <c r="B31"/>
      <c r="C31"/>
      <c r="D31"/>
      <c r="E31"/>
      <c r="F31"/>
      <c r="G31"/>
      <c r="I31"/>
      <c r="J31" s="157"/>
      <c r="K31" s="157"/>
      <c r="L31" s="161"/>
      <c r="M31" s="149"/>
    </row>
    <row r="32" spans="2:13" s="101" customFormat="1" hidden="1" x14ac:dyDescent="0.3">
      <c r="B32"/>
      <c r="C32"/>
      <c r="D32"/>
      <c r="E32"/>
      <c r="F32"/>
      <c r="G32"/>
      <c r="I32"/>
      <c r="J32" s="157"/>
      <c r="K32" s="157"/>
      <c r="L32" s="161"/>
      <c r="M32" s="149"/>
    </row>
    <row r="33" spans="2:13" s="101" customFormat="1" ht="16.5" customHeight="1" x14ac:dyDescent="0.3">
      <c r="B33"/>
      <c r="C33"/>
      <c r="D33" s="57"/>
      <c r="E33" s="173"/>
      <c r="F33" s="57"/>
      <c r="G33" s="57"/>
      <c r="I33"/>
      <c r="J33" s="157"/>
      <c r="K33" s="157"/>
      <c r="L33" s="161"/>
      <c r="M33" s="149"/>
    </row>
    <row r="34" spans="2:13" ht="27.6" x14ac:dyDescent="0.3">
      <c r="B34" s="1"/>
      <c r="C34" s="1"/>
      <c r="D34" s="97" t="s">
        <v>102</v>
      </c>
      <c r="E34" s="97" t="s">
        <v>103</v>
      </c>
      <c r="F34" s="97" t="s">
        <v>104</v>
      </c>
      <c r="G34" s="97" t="s">
        <v>105</v>
      </c>
      <c r="I34" s="56"/>
    </row>
    <row r="35" spans="2:13" ht="15" hidden="1" thickBot="1" x14ac:dyDescent="0.35">
      <c r="B35" s="1"/>
      <c r="C35" s="1"/>
      <c r="D35" s="43"/>
      <c r="E35" s="177"/>
      <c r="F35" s="43"/>
      <c r="G35" s="43"/>
      <c r="I35" s="57"/>
    </row>
    <row r="36" spans="2:13" ht="16.95" customHeight="1" x14ac:dyDescent="0.3">
      <c r="B36" s="12" t="s">
        <v>38</v>
      </c>
      <c r="C36" s="6" t="s">
        <v>4</v>
      </c>
      <c r="D36" s="54">
        <v>2093</v>
      </c>
      <c r="E36" s="54">
        <v>2267.4899999999998</v>
      </c>
      <c r="F36" s="54">
        <v>2410.3000000000002</v>
      </c>
      <c r="G36" s="54">
        <v>2939.56</v>
      </c>
      <c r="H36" s="169"/>
      <c r="I36" s="103"/>
    </row>
    <row r="37" spans="2:13" x14ac:dyDescent="0.3">
      <c r="B37" s="12" t="s">
        <v>110</v>
      </c>
      <c r="C37" s="6"/>
      <c r="D37" s="119"/>
      <c r="E37" s="119"/>
      <c r="F37" s="119"/>
      <c r="G37" s="119"/>
      <c r="H37" s="125"/>
      <c r="I37" s="103"/>
    </row>
    <row r="38" spans="2:13" ht="15" hidden="1" thickBot="1" x14ac:dyDescent="0.35">
      <c r="B38" s="12"/>
      <c r="C38" s="6"/>
      <c r="D38" s="120"/>
      <c r="E38" s="178"/>
      <c r="F38" s="121"/>
      <c r="G38" s="122"/>
      <c r="I38" s="104"/>
    </row>
    <row r="39" spans="2:13" x14ac:dyDescent="0.3">
      <c r="B39" s="12" t="s">
        <v>3</v>
      </c>
      <c r="C39" s="6" t="s">
        <v>4</v>
      </c>
      <c r="D39" s="75">
        <f>D37+D36</f>
        <v>2093</v>
      </c>
      <c r="E39" s="75">
        <f>IF(E37+E36="",0,E37+E36)</f>
        <v>2267.4899999999998</v>
      </c>
      <c r="F39" s="123">
        <f>F36</f>
        <v>2410.3000000000002</v>
      </c>
      <c r="G39" s="123">
        <f>G36</f>
        <v>2939.56</v>
      </c>
      <c r="H39" s="104"/>
      <c r="I39" s="103"/>
      <c r="J39" s="162"/>
      <c r="K39" s="159"/>
    </row>
    <row r="40" spans="2:13" x14ac:dyDescent="0.3">
      <c r="B40" s="12" t="s">
        <v>108</v>
      </c>
      <c r="C40" s="8"/>
      <c r="D40" s="76">
        <f>D39</f>
        <v>2093</v>
      </c>
      <c r="E40" s="76">
        <f>E39+D40</f>
        <v>4360.49</v>
      </c>
      <c r="F40" s="76">
        <f>F39+E40</f>
        <v>6770.79</v>
      </c>
      <c r="G40" s="76">
        <f>G39+F40</f>
        <v>9710.35</v>
      </c>
      <c r="H40" s="118"/>
      <c r="J40" s="162"/>
    </row>
    <row r="41" spans="2:13" x14ac:dyDescent="0.3">
      <c r="B41" s="12" t="s">
        <v>109</v>
      </c>
      <c r="C41" s="6" t="s">
        <v>4</v>
      </c>
      <c r="D41" s="75">
        <f>(C5/31)*7</f>
        <v>3472.5483870967741</v>
      </c>
      <c r="E41" s="75">
        <f>((C5/31)*14)-D40</f>
        <v>4852.0967741935483</v>
      </c>
      <c r="F41" s="75">
        <f>((C5/31)*21)-E40</f>
        <v>6057.1551612903222</v>
      </c>
      <c r="G41" s="75">
        <f>((C5/31)*31)-F40</f>
        <v>8607.6385714285716</v>
      </c>
      <c r="H41" s="104"/>
      <c r="I41" s="67"/>
    </row>
    <row r="42" spans="2:13" x14ac:dyDescent="0.3">
      <c r="B42" s="21"/>
      <c r="C42" s="85"/>
      <c r="D42" s="86"/>
      <c r="E42" s="86"/>
      <c r="F42" s="86"/>
      <c r="G42" s="86"/>
      <c r="H42" s="104"/>
      <c r="I42" s="67"/>
    </row>
    <row r="43" spans="2:13" x14ac:dyDescent="0.3">
      <c r="B43" s="21"/>
      <c r="C43" s="85"/>
      <c r="D43" s="86"/>
      <c r="E43" s="86"/>
      <c r="F43" s="86"/>
      <c r="G43" s="86"/>
      <c r="H43" s="104"/>
    </row>
    <row r="44" spans="2:13" s="4" customFormat="1" ht="15" thickBot="1" x14ac:dyDescent="0.35">
      <c r="D44" s="59"/>
      <c r="E44" s="59"/>
      <c r="F44" s="59"/>
      <c r="G44" s="59"/>
      <c r="H44" s="105"/>
      <c r="J44" s="163"/>
      <c r="K44" s="163"/>
      <c r="L44" s="163"/>
      <c r="M44" s="151"/>
    </row>
    <row r="45" spans="2:13" ht="15" thickTop="1" x14ac:dyDescent="0.3">
      <c r="D45" s="67"/>
      <c r="E45" s="67"/>
      <c r="F45" s="67"/>
    </row>
    <row r="47" spans="2:13" ht="25.8" x14ac:dyDescent="0.5">
      <c r="B47" s="246" t="s">
        <v>69</v>
      </c>
      <c r="C47" s="246"/>
      <c r="D47" s="246"/>
      <c r="E47" s="246"/>
      <c r="F47" s="246"/>
      <c r="G47" s="246"/>
      <c r="J47" s="159"/>
      <c r="K47" s="162"/>
    </row>
    <row r="48" spans="2:13" ht="4.95" customHeight="1" x14ac:dyDescent="0.3"/>
    <row r="49" spans="2:9" x14ac:dyDescent="0.3">
      <c r="B49" s="21" t="s">
        <v>52</v>
      </c>
      <c r="C49" s="168">
        <v>9907200</v>
      </c>
      <c r="D49" s="22" t="s">
        <v>8</v>
      </c>
      <c r="I49" s="96"/>
    </row>
    <row r="50" spans="2:9" x14ac:dyDescent="0.3">
      <c r="B50" s="21" t="s">
        <v>31</v>
      </c>
      <c r="C50" s="168">
        <f>(C49-C52)/7</f>
        <v>1153958.857142857</v>
      </c>
      <c r="D50" s="22" t="s">
        <v>8</v>
      </c>
    </row>
    <row r="51" spans="2:9" x14ac:dyDescent="0.3">
      <c r="B51" s="21" t="s">
        <v>6</v>
      </c>
      <c r="C51" s="171">
        <f>SUM(D78:G78)</f>
        <v>817937</v>
      </c>
      <c r="D51" s="22" t="s">
        <v>8</v>
      </c>
      <c r="E51" s="173"/>
    </row>
    <row r="52" spans="2:9" x14ac:dyDescent="0.3">
      <c r="B52" s="21" t="s">
        <v>67</v>
      </c>
      <c r="C52" s="171">
        <v>1829488</v>
      </c>
      <c r="D52" s="22" t="s">
        <v>8</v>
      </c>
      <c r="E52" s="173"/>
    </row>
    <row r="53" spans="2:9" x14ac:dyDescent="0.3">
      <c r="B53" s="21" t="s">
        <v>9</v>
      </c>
      <c r="C53" s="171">
        <f>C50-C51</f>
        <v>336021.85714285704</v>
      </c>
      <c r="D53" s="22" t="s">
        <v>8</v>
      </c>
    </row>
    <row r="60" spans="2:9" x14ac:dyDescent="0.3">
      <c r="E60" s="22" t="s">
        <v>8</v>
      </c>
    </row>
    <row r="77" spans="2:9" ht="27.6" x14ac:dyDescent="0.3">
      <c r="B77" s="1"/>
      <c r="C77" s="1"/>
      <c r="D77" s="97" t="s">
        <v>102</v>
      </c>
      <c r="E77" s="97" t="s">
        <v>103</v>
      </c>
      <c r="F77" s="97" t="s">
        <v>104</v>
      </c>
      <c r="G77" s="97" t="s">
        <v>105</v>
      </c>
    </row>
    <row r="78" spans="2:9" x14ac:dyDescent="0.3">
      <c r="B78" s="5" t="s">
        <v>1</v>
      </c>
      <c r="C78" s="9" t="s">
        <v>8</v>
      </c>
      <c r="D78" s="184">
        <v>207561</v>
      </c>
      <c r="E78" s="184">
        <v>204464</v>
      </c>
      <c r="F78" s="184">
        <v>207039</v>
      </c>
      <c r="G78" s="184">
        <v>198873</v>
      </c>
      <c r="H78" s="118"/>
      <c r="I78" s="57"/>
    </row>
    <row r="79" spans="2:9" x14ac:dyDescent="0.3">
      <c r="B79" s="7" t="s">
        <v>5</v>
      </c>
      <c r="C79" s="9" t="s">
        <v>8</v>
      </c>
      <c r="D79" s="98">
        <f>D78</f>
        <v>207561</v>
      </c>
      <c r="E79" s="98">
        <f>D79+E78</f>
        <v>412025</v>
      </c>
      <c r="F79" s="98">
        <f>E79+F78</f>
        <v>619064</v>
      </c>
      <c r="G79" s="98">
        <f>F79+G78</f>
        <v>817937</v>
      </c>
      <c r="H79" s="106"/>
    </row>
    <row r="80" spans="2:9" x14ac:dyDescent="0.3">
      <c r="B80" s="5" t="s">
        <v>9</v>
      </c>
      <c r="C80" s="9" t="s">
        <v>8</v>
      </c>
      <c r="D80" s="98">
        <f>C50/4</f>
        <v>288489.71428571426</v>
      </c>
      <c r="E80" s="98">
        <f>(C50-D79)/3</f>
        <v>315465.95238095237</v>
      </c>
      <c r="F80" s="98">
        <f>($C$50-E79)/2</f>
        <v>370966.92857142852</v>
      </c>
      <c r="G80" s="98">
        <f>(C50-F79)/1</f>
        <v>534894.85714285704</v>
      </c>
      <c r="H80" s="104"/>
    </row>
    <row r="81" spans="2:13" x14ac:dyDescent="0.3">
      <c r="B81" s="5"/>
      <c r="C81" s="9"/>
      <c r="D81" s="98"/>
      <c r="E81" s="98"/>
      <c r="F81" s="98"/>
      <c r="G81" s="98"/>
      <c r="H81" s="104"/>
      <c r="I81" s="3"/>
      <c r="J81" s="3"/>
      <c r="K81" s="3"/>
      <c r="L81" s="3"/>
    </row>
    <row r="82" spans="2:13" s="4" customFormat="1" ht="15" thickBot="1" x14ac:dyDescent="0.35">
      <c r="H82" s="105"/>
      <c r="J82" s="163"/>
      <c r="K82" s="163"/>
      <c r="L82" s="163"/>
      <c r="M82" s="151"/>
    </row>
    <row r="83" spans="2:13" ht="15" thickTop="1" x14ac:dyDescent="0.3"/>
    <row r="84" spans="2:13" s="101" customFormat="1" ht="25.8" x14ac:dyDescent="0.5">
      <c r="B84" s="246" t="s">
        <v>70</v>
      </c>
      <c r="C84" s="246"/>
      <c r="D84" s="246"/>
      <c r="E84" s="246"/>
      <c r="F84" s="246"/>
      <c r="G84" s="246"/>
      <c r="H84" s="246"/>
      <c r="I84"/>
      <c r="J84" s="157"/>
      <c r="K84" s="157"/>
      <c r="L84" s="161"/>
      <c r="M84" s="149"/>
    </row>
    <row r="85" spans="2:13" s="101" customFormat="1" ht="6.45" customHeight="1" x14ac:dyDescent="0.3">
      <c r="B85"/>
      <c r="C85"/>
      <c r="D85"/>
      <c r="E85"/>
      <c r="F85"/>
      <c r="G85"/>
      <c r="I85"/>
      <c r="J85" s="157"/>
      <c r="K85" s="157"/>
      <c r="L85" s="161"/>
      <c r="M85" s="149"/>
    </row>
    <row r="86" spans="2:13" s="101" customFormat="1" ht="16.2" x14ac:dyDescent="0.3">
      <c r="B86" s="172" t="s">
        <v>52</v>
      </c>
      <c r="C86" s="168">
        <v>10000000</v>
      </c>
      <c r="D86" s="22" t="s">
        <v>11</v>
      </c>
      <c r="E86"/>
      <c r="F86"/>
      <c r="G86"/>
      <c r="I86"/>
      <c r="J86" s="157"/>
      <c r="K86" s="157"/>
      <c r="L86" s="161"/>
      <c r="M86" s="149"/>
    </row>
    <row r="87" spans="2:13" s="101" customFormat="1" ht="16.2" x14ac:dyDescent="0.3">
      <c r="B87" s="172" t="s">
        <v>31</v>
      </c>
      <c r="C87" s="168">
        <f>(C86-C89)/7</f>
        <v>1203413</v>
      </c>
      <c r="D87" s="22" t="s">
        <v>11</v>
      </c>
      <c r="E87"/>
      <c r="I87"/>
      <c r="J87" s="157"/>
      <c r="K87" s="157"/>
      <c r="L87" s="161"/>
      <c r="M87" s="149"/>
    </row>
    <row r="88" spans="2:13" s="101" customFormat="1" ht="16.2" x14ac:dyDescent="0.3">
      <c r="B88" s="172" t="s">
        <v>1</v>
      </c>
      <c r="C88" s="171">
        <f>SUM(D115:G115,D117:G117)</f>
        <v>616747</v>
      </c>
      <c r="D88" s="22" t="s">
        <v>11</v>
      </c>
      <c r="E88" s="173"/>
      <c r="F88"/>
      <c r="G88"/>
      <c r="I88"/>
      <c r="J88" s="157"/>
      <c r="K88" s="157"/>
      <c r="L88" s="161"/>
      <c r="M88" s="149"/>
    </row>
    <row r="89" spans="2:13" s="101" customFormat="1" ht="16.2" x14ac:dyDescent="0.3">
      <c r="B89" s="172" t="s">
        <v>67</v>
      </c>
      <c r="C89" s="171">
        <v>1576109</v>
      </c>
      <c r="D89" s="22" t="s">
        <v>11</v>
      </c>
      <c r="E89" s="173"/>
      <c r="F89"/>
      <c r="G89"/>
      <c r="I89"/>
      <c r="J89" s="157"/>
      <c r="K89" s="157"/>
      <c r="L89" s="161"/>
      <c r="M89" s="149"/>
    </row>
    <row r="90" spans="2:13" s="101" customFormat="1" ht="16.2" x14ac:dyDescent="0.3">
      <c r="B90" s="172" t="s">
        <v>9</v>
      </c>
      <c r="C90" s="171">
        <f>C87-C88</f>
        <v>586666</v>
      </c>
      <c r="D90" s="22" t="s">
        <v>11</v>
      </c>
      <c r="E90" s="67"/>
      <c r="F90"/>
      <c r="G90"/>
      <c r="I90"/>
      <c r="J90" s="157"/>
      <c r="K90" s="157"/>
      <c r="L90" s="161"/>
      <c r="M90" s="149"/>
    </row>
    <row r="91" spans="2:13" s="101" customFormat="1" ht="7.5" customHeight="1" x14ac:dyDescent="0.3">
      <c r="B91"/>
      <c r="C91"/>
      <c r="D91"/>
      <c r="E91"/>
      <c r="F91"/>
      <c r="G91"/>
      <c r="I91"/>
      <c r="J91" s="157"/>
      <c r="K91" s="157"/>
      <c r="L91" s="161"/>
      <c r="M91" s="149"/>
    </row>
    <row r="104" spans="9:9" x14ac:dyDescent="0.3">
      <c r="I104" s="57"/>
    </row>
    <row r="113" spans="2:13" x14ac:dyDescent="0.3">
      <c r="D113" s="67"/>
      <c r="E113" s="67"/>
      <c r="F113" s="67"/>
    </row>
    <row r="114" spans="2:13" ht="27.6" x14ac:dyDescent="0.3">
      <c r="B114" s="1"/>
      <c r="C114" s="1"/>
      <c r="D114" s="97" t="s">
        <v>102</v>
      </c>
      <c r="E114" s="97" t="s">
        <v>103</v>
      </c>
      <c r="F114" s="97" t="s">
        <v>104</v>
      </c>
      <c r="G114" s="97" t="s">
        <v>105</v>
      </c>
      <c r="H114" s="111"/>
      <c r="I114" s="74"/>
      <c r="J114" s="162"/>
    </row>
    <row r="115" spans="2:13" ht="16.2" x14ac:dyDescent="0.3">
      <c r="B115" s="79" t="s">
        <v>43</v>
      </c>
      <c r="C115" s="9" t="s">
        <v>11</v>
      </c>
      <c r="D115" s="184">
        <v>97252</v>
      </c>
      <c r="E115" s="69">
        <v>121037</v>
      </c>
      <c r="F115" s="69">
        <v>174921</v>
      </c>
      <c r="G115" s="69">
        <v>215191</v>
      </c>
      <c r="H115" s="108"/>
      <c r="I115" s="77"/>
      <c r="J115" s="164"/>
      <c r="K115" s="162"/>
    </row>
    <row r="116" spans="2:13" ht="16.2" x14ac:dyDescent="0.3">
      <c r="B116" s="79" t="s">
        <v>41</v>
      </c>
      <c r="C116" s="9" t="s">
        <v>11</v>
      </c>
      <c r="D116" s="184">
        <f>D78*0.47</f>
        <v>97553.67</v>
      </c>
      <c r="E116" s="184">
        <f>E78*0.47</f>
        <v>96098.08</v>
      </c>
      <c r="F116" s="184">
        <f>F78*0.47</f>
        <v>97308.33</v>
      </c>
      <c r="G116" s="184">
        <f>G78*0.47</f>
        <v>93470.31</v>
      </c>
      <c r="H116" s="108"/>
      <c r="I116" s="57"/>
    </row>
    <row r="117" spans="2:13" ht="16.2" x14ac:dyDescent="0.3">
      <c r="B117" s="12" t="s">
        <v>12</v>
      </c>
      <c r="C117" s="9" t="s">
        <v>11</v>
      </c>
      <c r="D117" s="69"/>
      <c r="E117" s="69">
        <v>2105</v>
      </c>
      <c r="F117" s="69"/>
      <c r="G117" s="69">
        <v>6241</v>
      </c>
      <c r="H117" s="108"/>
      <c r="I117" s="77"/>
      <c r="J117" s="164"/>
    </row>
    <row r="118" spans="2:13" x14ac:dyDescent="0.3">
      <c r="B118" s="12" t="s">
        <v>13</v>
      </c>
      <c r="C118" s="9" t="s">
        <v>10</v>
      </c>
      <c r="D118" s="69">
        <f>D115+D117</f>
        <v>97252</v>
      </c>
      <c r="E118" s="69">
        <f>E115+E117</f>
        <v>123142</v>
      </c>
      <c r="F118" s="69">
        <f>SUM(F115:F117)</f>
        <v>272229.33</v>
      </c>
      <c r="G118" s="69">
        <f>SUM(G115:G117)</f>
        <v>314902.31</v>
      </c>
      <c r="H118" s="108"/>
      <c r="I118" s="77"/>
    </row>
    <row r="119" spans="2:13" x14ac:dyDescent="0.3">
      <c r="B119" s="13" t="s">
        <v>5</v>
      </c>
      <c r="C119" s="9" t="s">
        <v>10</v>
      </c>
      <c r="D119" s="185">
        <f>D118</f>
        <v>97252</v>
      </c>
      <c r="E119" s="185">
        <f>D119+E118</f>
        <v>220394</v>
      </c>
      <c r="F119" s="185">
        <f>E119+F118</f>
        <v>492623.33</v>
      </c>
      <c r="G119" s="185">
        <f>F119+G118</f>
        <v>807525.64</v>
      </c>
      <c r="H119" s="108"/>
    </row>
    <row r="120" spans="2:13" ht="28.8" x14ac:dyDescent="0.3">
      <c r="B120" s="187" t="s">
        <v>111</v>
      </c>
      <c r="C120" s="9" t="s">
        <v>10</v>
      </c>
      <c r="D120" s="188">
        <f>D36*101*0.7842</f>
        <v>165774.39060000001</v>
      </c>
      <c r="E120" s="188">
        <f>E36*101*0.7842</f>
        <v>179594.73145799999</v>
      </c>
      <c r="F120" s="188">
        <f>F36*101*0.7842</f>
        <v>190905.88326</v>
      </c>
      <c r="G120" s="188">
        <f>G36*101*0.7842</f>
        <v>232825.49815200001</v>
      </c>
      <c r="H120" s="108"/>
    </row>
    <row r="121" spans="2:13" x14ac:dyDescent="0.3">
      <c r="B121" s="12" t="s">
        <v>53</v>
      </c>
      <c r="C121" s="9" t="s">
        <v>10</v>
      </c>
      <c r="D121" s="185">
        <f>$C$87/4</f>
        <v>300853.25</v>
      </c>
      <c r="E121" s="185">
        <f>($C$87-D119)/3</f>
        <v>368720.33333333331</v>
      </c>
      <c r="F121" s="185">
        <f>($C$87-E119)/2</f>
        <v>491509.5</v>
      </c>
      <c r="G121" s="185">
        <f>($C$87-F119)/1</f>
        <v>710789.66999999993</v>
      </c>
      <c r="H121" s="108"/>
      <c r="I121" s="61"/>
    </row>
    <row r="122" spans="2:13" s="4" customFormat="1" ht="15" thickBot="1" x14ac:dyDescent="0.35">
      <c r="H122" s="105"/>
      <c r="J122" s="163"/>
      <c r="K122" s="163"/>
      <c r="L122" s="163"/>
      <c r="M122" s="151"/>
    </row>
    <row r="123" spans="2:13" ht="15" thickTop="1" x14ac:dyDescent="0.3"/>
    <row r="124" spans="2:13" ht="25.8" x14ac:dyDescent="0.5">
      <c r="B124" s="246" t="s">
        <v>71</v>
      </c>
      <c r="C124" s="246"/>
      <c r="D124" s="246"/>
      <c r="E124" s="246"/>
      <c r="F124" s="246"/>
      <c r="G124" s="246"/>
    </row>
    <row r="125" spans="2:13" ht="4.05" customHeight="1" x14ac:dyDescent="0.3">
      <c r="B125" s="20"/>
      <c r="C125" s="20"/>
      <c r="D125" s="20"/>
      <c r="E125" s="20"/>
      <c r="F125" s="20"/>
      <c r="G125" s="20"/>
    </row>
    <row r="126" spans="2:13" ht="14.55" customHeight="1" x14ac:dyDescent="0.3">
      <c r="B126" s="244" t="s">
        <v>20</v>
      </c>
      <c r="C126" s="244"/>
      <c r="D126" s="244"/>
      <c r="E126" s="244"/>
      <c r="F126" s="244"/>
      <c r="G126" s="244"/>
    </row>
    <row r="127" spans="2:13" x14ac:dyDescent="0.3">
      <c r="D127" s="19">
        <v>101</v>
      </c>
      <c r="E127" s="19" t="s">
        <v>18</v>
      </c>
    </row>
    <row r="128" spans="2:13" ht="27.6" x14ac:dyDescent="0.3">
      <c r="D128" s="176" t="s">
        <v>102</v>
      </c>
      <c r="E128" s="176" t="s">
        <v>103</v>
      </c>
      <c r="F128" s="176" t="s">
        <v>104</v>
      </c>
      <c r="G128" s="176" t="s">
        <v>105</v>
      </c>
      <c r="H128" s="182" t="s">
        <v>37</v>
      </c>
      <c r="I128" s="74"/>
    </row>
    <row r="129" spans="2:10" hidden="1" x14ac:dyDescent="0.3">
      <c r="D129" s="10"/>
      <c r="E129" s="179"/>
      <c r="F129" s="10"/>
      <c r="G129" s="10"/>
      <c r="H129" s="107"/>
      <c r="I129" s="74"/>
    </row>
    <row r="130" spans="2:10" x14ac:dyDescent="0.3">
      <c r="B130" s="172" t="s">
        <v>15</v>
      </c>
      <c r="C130" s="22" t="s">
        <v>10</v>
      </c>
      <c r="D130" s="23">
        <f>D36</f>
        <v>2093</v>
      </c>
      <c r="E130" s="23">
        <f>E36</f>
        <v>2267.4899999999998</v>
      </c>
      <c r="F130" s="23">
        <f>F36</f>
        <v>2410.3000000000002</v>
      </c>
      <c r="G130" s="23">
        <f>G36</f>
        <v>2939.56</v>
      </c>
      <c r="H130" s="109">
        <f>SUM(D130:G130)</f>
        <v>9710.35</v>
      </c>
      <c r="I130" s="78"/>
    </row>
    <row r="131" spans="2:10" x14ac:dyDescent="0.3">
      <c r="B131" s="172" t="s">
        <v>17</v>
      </c>
      <c r="C131" s="22" t="s">
        <v>10</v>
      </c>
      <c r="D131" s="23">
        <f>D134*D130</f>
        <v>211393</v>
      </c>
      <c r="E131" s="23">
        <f>E134*E130</f>
        <v>229016.49</v>
      </c>
      <c r="F131" s="23">
        <f>F134*F130</f>
        <v>243440.30000000002</v>
      </c>
      <c r="G131" s="23">
        <f>G134*G130</f>
        <v>296895.56</v>
      </c>
      <c r="H131" s="110">
        <f>H134*H130</f>
        <v>980745.35000000009</v>
      </c>
      <c r="I131" s="63"/>
    </row>
    <row r="132" spans="2:10" x14ac:dyDescent="0.3">
      <c r="B132" s="172" t="s">
        <v>16</v>
      </c>
      <c r="C132" s="22" t="s">
        <v>10</v>
      </c>
      <c r="D132" s="23">
        <f>D118+D78*0.47</f>
        <v>194805.66999999998</v>
      </c>
      <c r="E132" s="23">
        <f>E118+E78*0.47</f>
        <v>219240.08000000002</v>
      </c>
      <c r="F132" s="23">
        <f>F118</f>
        <v>272229.33</v>
      </c>
      <c r="G132" s="23">
        <f>G118</f>
        <v>314902.31</v>
      </c>
      <c r="H132" s="109">
        <f>SUM(D132:G132)</f>
        <v>1001177.3900000001</v>
      </c>
      <c r="I132" s="62"/>
      <c r="J132" s="159"/>
    </row>
    <row r="133" spans="2:10" x14ac:dyDescent="0.3">
      <c r="B133" s="172" t="s">
        <v>22</v>
      </c>
      <c r="C133" s="22" t="s">
        <v>19</v>
      </c>
      <c r="D133" s="23">
        <f>IFERROR(D132/D130,"")</f>
        <v>93.074854276158618</v>
      </c>
      <c r="E133" s="23">
        <f>IFERROR(E132/E130,"")</f>
        <v>96.688444050469926</v>
      </c>
      <c r="F133" s="23">
        <f>IFERROR(F132/F130,"")</f>
        <v>112.94416877567107</v>
      </c>
      <c r="G133" s="23">
        <f>IFERROR(G132/G130,"")</f>
        <v>107.12566166365035</v>
      </c>
      <c r="H133" s="110">
        <f>H132/H130</f>
        <v>103.104150725772</v>
      </c>
      <c r="I133" s="63"/>
    </row>
    <row r="134" spans="2:10" x14ac:dyDescent="0.3">
      <c r="B134" s="172" t="s">
        <v>23</v>
      </c>
      <c r="C134" s="22" t="s">
        <v>19</v>
      </c>
      <c r="D134" s="23">
        <v>101</v>
      </c>
      <c r="E134" s="23">
        <v>101</v>
      </c>
      <c r="F134" s="23">
        <v>101</v>
      </c>
      <c r="G134" s="23">
        <v>101</v>
      </c>
      <c r="H134" s="116">
        <v>101</v>
      </c>
      <c r="I134" s="78"/>
      <c r="J134" s="162"/>
    </row>
    <row r="135" spans="2:10" x14ac:dyDescent="0.3">
      <c r="B135" s="21"/>
      <c r="C135" s="22"/>
      <c r="D135" s="23"/>
      <c r="E135" s="23"/>
      <c r="F135" s="23"/>
      <c r="G135" s="23"/>
      <c r="H135" s="103"/>
    </row>
    <row r="136" spans="2:10" x14ac:dyDescent="0.3">
      <c r="B136" s="21"/>
      <c r="C136" s="22"/>
      <c r="D136" s="23"/>
      <c r="E136" s="23"/>
      <c r="F136" s="23"/>
      <c r="G136" s="23"/>
    </row>
    <row r="137" spans="2:10" x14ac:dyDescent="0.3">
      <c r="B137" s="21"/>
      <c r="C137" s="22"/>
      <c r="D137" s="23"/>
      <c r="E137" s="23"/>
      <c r="F137" s="23"/>
      <c r="G137" s="23"/>
    </row>
    <row r="138" spans="2:10" x14ac:dyDescent="0.3">
      <c r="B138" s="21"/>
      <c r="C138" s="22"/>
      <c r="D138" s="23"/>
      <c r="E138" s="23"/>
      <c r="F138" s="23"/>
      <c r="G138" s="23"/>
    </row>
    <row r="139" spans="2:10" x14ac:dyDescent="0.3">
      <c r="B139" s="21"/>
      <c r="C139" s="22"/>
      <c r="D139" s="23"/>
      <c r="E139" s="23"/>
      <c r="F139" s="23"/>
      <c r="G139" s="23"/>
    </row>
    <row r="140" spans="2:10" x14ac:dyDescent="0.3">
      <c r="B140" s="21"/>
      <c r="C140" s="22"/>
      <c r="D140" s="23"/>
      <c r="E140" s="23"/>
      <c r="F140" s="23"/>
      <c r="G140" s="23"/>
    </row>
    <row r="141" spans="2:10" x14ac:dyDescent="0.3">
      <c r="B141" s="21"/>
      <c r="C141" s="22"/>
      <c r="D141" s="23"/>
      <c r="E141" s="23"/>
      <c r="F141" s="23"/>
      <c r="G141" s="23"/>
    </row>
    <row r="142" spans="2:10" x14ac:dyDescent="0.3">
      <c r="B142" s="21"/>
      <c r="C142" s="22"/>
      <c r="D142" s="23"/>
      <c r="E142" s="23"/>
      <c r="F142" s="23"/>
      <c r="G142" s="23"/>
    </row>
    <row r="143" spans="2:10" x14ac:dyDescent="0.3">
      <c r="B143" s="21"/>
      <c r="C143" s="22"/>
      <c r="D143" s="23"/>
      <c r="E143" s="23"/>
      <c r="F143" s="23"/>
      <c r="G143" s="23"/>
    </row>
    <row r="144" spans="2:10" x14ac:dyDescent="0.3">
      <c r="B144" s="21"/>
      <c r="C144" s="22"/>
      <c r="D144" s="23"/>
      <c r="E144" s="23"/>
      <c r="F144" s="23"/>
      <c r="G144" s="23"/>
      <c r="J144" s="183"/>
    </row>
    <row r="145" spans="2:7" x14ac:dyDescent="0.3">
      <c r="B145" s="21"/>
      <c r="C145" s="22"/>
      <c r="D145" s="23"/>
      <c r="E145" s="23"/>
      <c r="F145" s="23"/>
      <c r="G145" s="23"/>
    </row>
    <row r="146" spans="2:7" x14ac:dyDescent="0.3">
      <c r="B146" s="21"/>
      <c r="C146" s="22"/>
      <c r="D146" s="23"/>
      <c r="E146" s="23"/>
      <c r="F146" s="23"/>
      <c r="G146" s="23"/>
    </row>
    <row r="147" spans="2:7" x14ac:dyDescent="0.3">
      <c r="B147" s="21"/>
      <c r="C147" s="22"/>
      <c r="D147" s="23"/>
      <c r="E147" s="23"/>
      <c r="F147" s="23"/>
      <c r="G147" s="23"/>
    </row>
    <row r="148" spans="2:7" x14ac:dyDescent="0.3">
      <c r="B148" s="21"/>
      <c r="C148" s="22"/>
      <c r="D148" s="23"/>
      <c r="E148" s="23"/>
      <c r="F148" s="23"/>
      <c r="G148" s="23"/>
    </row>
    <row r="149" spans="2:7" x14ac:dyDescent="0.3">
      <c r="B149" s="21"/>
      <c r="C149" s="22"/>
      <c r="D149" s="23"/>
      <c r="E149" s="23"/>
      <c r="F149" s="23"/>
      <c r="G149" s="23"/>
    </row>
    <row r="150" spans="2:7" x14ac:dyDescent="0.3">
      <c r="B150" s="21"/>
      <c r="C150" s="22"/>
      <c r="D150" s="23"/>
      <c r="E150" s="23"/>
      <c r="F150" s="23"/>
      <c r="G150" s="23"/>
    </row>
    <row r="151" spans="2:7" x14ac:dyDescent="0.3">
      <c r="B151" s="21"/>
      <c r="C151" s="22"/>
      <c r="D151" s="23"/>
      <c r="E151" s="23"/>
      <c r="F151" s="23"/>
      <c r="G151" s="23"/>
    </row>
    <row r="152" spans="2:7" x14ac:dyDescent="0.3">
      <c r="B152" s="21"/>
      <c r="C152" s="22"/>
      <c r="D152" s="23"/>
      <c r="E152" s="23"/>
      <c r="F152" s="23"/>
      <c r="G152" s="23"/>
    </row>
    <row r="153" spans="2:7" x14ac:dyDescent="0.3">
      <c r="B153" s="21"/>
      <c r="C153" s="22"/>
      <c r="D153" s="23"/>
      <c r="E153" s="23"/>
      <c r="F153" s="23"/>
      <c r="G153" s="23"/>
    </row>
    <row r="154" spans="2:7" x14ac:dyDescent="0.3">
      <c r="B154" s="21"/>
      <c r="C154" s="22"/>
      <c r="D154" s="23"/>
      <c r="E154" s="23"/>
      <c r="F154" s="23"/>
      <c r="G154" s="23"/>
    </row>
    <row r="155" spans="2:7" x14ac:dyDescent="0.3">
      <c r="B155" s="21"/>
      <c r="C155" s="22"/>
      <c r="D155" s="23"/>
      <c r="E155" s="23"/>
      <c r="F155" s="23"/>
      <c r="G155" s="23"/>
    </row>
    <row r="156" spans="2:7" x14ac:dyDescent="0.3">
      <c r="B156" s="21"/>
      <c r="C156" s="22"/>
      <c r="D156" s="23"/>
      <c r="E156" s="23"/>
      <c r="F156" s="23"/>
      <c r="G156" s="23"/>
    </row>
    <row r="157" spans="2:7" x14ac:dyDescent="0.3">
      <c r="B157" s="21"/>
      <c r="C157" s="22"/>
      <c r="D157" s="23"/>
      <c r="E157" s="23"/>
      <c r="F157" s="23"/>
      <c r="G157" s="23"/>
    </row>
    <row r="158" spans="2:7" x14ac:dyDescent="0.3">
      <c r="B158" s="21"/>
      <c r="C158" s="22"/>
      <c r="D158" s="23"/>
      <c r="E158" s="23"/>
      <c r="F158" s="23"/>
      <c r="G158" s="23"/>
    </row>
    <row r="159" spans="2:7" x14ac:dyDescent="0.3">
      <c r="B159" s="21"/>
      <c r="C159" s="22"/>
      <c r="D159" s="23"/>
      <c r="E159" s="23"/>
      <c r="F159" s="23"/>
      <c r="G159" s="23"/>
    </row>
    <row r="160" spans="2:7" x14ac:dyDescent="0.3">
      <c r="B160" s="21"/>
      <c r="C160" s="22"/>
      <c r="D160" s="23"/>
      <c r="E160" s="23"/>
      <c r="F160" s="23"/>
      <c r="G160" s="23"/>
    </row>
    <row r="161" spans="2:10" x14ac:dyDescent="0.3">
      <c r="B161" s="21"/>
      <c r="C161" s="22"/>
      <c r="D161" s="23"/>
      <c r="E161" s="23"/>
      <c r="F161" s="23"/>
      <c r="G161" s="23"/>
    </row>
    <row r="162" spans="2:10" x14ac:dyDescent="0.3">
      <c r="B162" s="21"/>
      <c r="C162" s="22"/>
      <c r="D162" s="23"/>
      <c r="E162" s="23"/>
      <c r="F162" s="23"/>
      <c r="G162" s="23"/>
    </row>
    <row r="163" spans="2:10" x14ac:dyDescent="0.3">
      <c r="B163" s="21"/>
      <c r="C163" s="22"/>
      <c r="D163" s="23"/>
      <c r="E163" s="23"/>
      <c r="F163" s="23"/>
      <c r="G163" s="23"/>
    </row>
    <row r="164" spans="2:10" x14ac:dyDescent="0.3">
      <c r="B164" s="21"/>
      <c r="C164" s="22"/>
      <c r="D164" s="23"/>
      <c r="E164" s="23"/>
      <c r="F164" s="23"/>
      <c r="G164" s="23"/>
    </row>
    <row r="165" spans="2:10" x14ac:dyDescent="0.3">
      <c r="H165" s="103"/>
      <c r="I165" s="57"/>
    </row>
    <row r="170" spans="2:10" ht="15.6" x14ac:dyDescent="0.3">
      <c r="B170" s="245" t="s">
        <v>21</v>
      </c>
      <c r="C170" s="245"/>
      <c r="D170" s="245"/>
      <c r="E170" s="245"/>
      <c r="F170" s="245"/>
      <c r="G170" s="245"/>
    </row>
    <row r="171" spans="2:10" ht="27.6" x14ac:dyDescent="0.3">
      <c r="D171" s="176" t="s">
        <v>102</v>
      </c>
      <c r="E171" s="176" t="s">
        <v>103</v>
      </c>
      <c r="F171" s="176" t="s">
        <v>104</v>
      </c>
      <c r="G171" s="176" t="s">
        <v>105</v>
      </c>
      <c r="H171" s="111" t="s">
        <v>37</v>
      </c>
      <c r="I171" s="64"/>
    </row>
    <row r="172" spans="2:10" x14ac:dyDescent="0.3">
      <c r="B172" s="64" t="s">
        <v>15</v>
      </c>
      <c r="C172" s="22" t="s">
        <v>10</v>
      </c>
      <c r="D172" s="23">
        <f>D130*(D175/15)</f>
        <v>2000.9079999999999</v>
      </c>
      <c r="E172" s="23">
        <f>E130*(E175/15)</f>
        <v>2130.9871019999996</v>
      </c>
      <c r="F172" s="23">
        <f>F130*(F175/15)</f>
        <v>2356.4699666666666</v>
      </c>
      <c r="G172" s="23">
        <f>G130*(G175/15)</f>
        <v>2814.1387733333331</v>
      </c>
      <c r="H172" s="108">
        <f>SUM(D172:G172)</f>
        <v>9302.5038419999983</v>
      </c>
      <c r="I172" s="61"/>
      <c r="J172" s="165"/>
    </row>
    <row r="173" spans="2:10" x14ac:dyDescent="0.3">
      <c r="B173" s="64" t="s">
        <v>17</v>
      </c>
      <c r="C173" s="22" t="s">
        <v>10</v>
      </c>
      <c r="D173" s="23">
        <f>D172*$D$127</f>
        <v>202091.70799999998</v>
      </c>
      <c r="E173" s="23">
        <f>E172*$D$127</f>
        <v>215229.69730199996</v>
      </c>
      <c r="F173" s="23">
        <f>F172*$D$127</f>
        <v>238003.46663333333</v>
      </c>
      <c r="G173" s="23">
        <f>G172*$D$127</f>
        <v>284228.01610666665</v>
      </c>
      <c r="H173" s="110">
        <f>H172*105</f>
        <v>976762.9034099998</v>
      </c>
      <c r="I173" s="63"/>
    </row>
    <row r="174" spans="2:10" x14ac:dyDescent="0.3">
      <c r="B174" s="64" t="s">
        <v>16</v>
      </c>
      <c r="C174" s="22" t="s">
        <v>10</v>
      </c>
      <c r="D174" s="23">
        <f>D132</f>
        <v>194805.66999999998</v>
      </c>
      <c r="E174" s="23">
        <f>E132</f>
        <v>219240.08000000002</v>
      </c>
      <c r="F174" s="23">
        <f>F132</f>
        <v>272229.33</v>
      </c>
      <c r="G174" s="23">
        <f>G132</f>
        <v>314902.31</v>
      </c>
      <c r="H174" s="112">
        <f>SUM(D174:G174)</f>
        <v>1001177.3900000001</v>
      </c>
      <c r="I174" s="63"/>
      <c r="J174" s="159"/>
    </row>
    <row r="175" spans="2:10" x14ac:dyDescent="0.3">
      <c r="B175" s="64" t="s">
        <v>39</v>
      </c>
      <c r="C175" s="22"/>
      <c r="D175" s="186">
        <v>14.34</v>
      </c>
      <c r="E175" s="186">
        <v>14.097</v>
      </c>
      <c r="F175" s="186">
        <v>14.664999999999999</v>
      </c>
      <c r="G175" s="186">
        <v>14.36</v>
      </c>
      <c r="H175" s="113">
        <f>AVERAGE(D175:G175)</f>
        <v>14.365499999999999</v>
      </c>
      <c r="I175" s="87"/>
    </row>
    <row r="176" spans="2:10" x14ac:dyDescent="0.3">
      <c r="B176" s="21" t="s">
        <v>22</v>
      </c>
      <c r="C176" s="22" t="s">
        <v>19</v>
      </c>
      <c r="D176" s="23">
        <f>IFERROR(D174/D172,"")</f>
        <v>97.358634180082234</v>
      </c>
      <c r="E176" s="23">
        <f>IFERROR(E174/E172,"")</f>
        <v>102.88193663595439</v>
      </c>
      <c r="F176" s="23">
        <f>IFERROR(F174/F172,"")</f>
        <v>115.52420945346515</v>
      </c>
      <c r="G176" s="23">
        <f>IFERROR(G174/G172,"")</f>
        <v>111.90006441189104</v>
      </c>
      <c r="H176" s="112">
        <f>H174/H172</f>
        <v>107.62450701495774</v>
      </c>
      <c r="I176" s="65"/>
    </row>
    <row r="177" spans="2:9" x14ac:dyDescent="0.3">
      <c r="B177" s="21" t="s">
        <v>23</v>
      </c>
      <c r="C177" s="22" t="s">
        <v>19</v>
      </c>
      <c r="D177" s="23">
        <v>101</v>
      </c>
      <c r="E177" s="23">
        <v>101</v>
      </c>
      <c r="F177" s="23">
        <v>101</v>
      </c>
      <c r="G177" s="23">
        <v>101</v>
      </c>
      <c r="H177" s="114">
        <v>105</v>
      </c>
      <c r="I177" s="65"/>
    </row>
    <row r="178" spans="2:9" x14ac:dyDescent="0.3">
      <c r="D178" s="24" t="s">
        <v>40</v>
      </c>
      <c r="H178" s="103"/>
    </row>
    <row r="215" spans="2:13" s="4" customFormat="1" ht="15" thickBot="1" x14ac:dyDescent="0.35">
      <c r="H215" s="105"/>
      <c r="J215" s="163"/>
      <c r="K215" s="163"/>
      <c r="L215" s="163"/>
      <c r="M215" s="151"/>
    </row>
    <row r="216" spans="2:13" ht="15" thickTop="1" x14ac:dyDescent="0.3"/>
    <row r="221" spans="2:13" ht="25.8" hidden="1" x14ac:dyDescent="0.5">
      <c r="B221" s="246" t="s">
        <v>24</v>
      </c>
      <c r="C221" s="246"/>
      <c r="D221" s="246"/>
      <c r="E221" s="246"/>
      <c r="F221" s="246"/>
      <c r="G221" s="246"/>
    </row>
    <row r="222" spans="2:13" hidden="1" x14ac:dyDescent="0.3"/>
    <row r="223" spans="2:13" ht="22.8" hidden="1" thickBot="1" x14ac:dyDescent="0.5">
      <c r="B223" s="28" t="s">
        <v>25</v>
      </c>
      <c r="C223" s="29" t="s">
        <v>26</v>
      </c>
      <c r="D223" s="29" t="s">
        <v>27</v>
      </c>
      <c r="E223" s="180" t="s">
        <v>28</v>
      </c>
    </row>
    <row r="224" spans="2:13" ht="23.4" hidden="1" x14ac:dyDescent="0.45">
      <c r="B224" s="31"/>
      <c r="C224" s="26"/>
      <c r="D224" s="26"/>
      <c r="E224" s="32"/>
    </row>
    <row r="225" spans="2:5" ht="22.2" hidden="1" x14ac:dyDescent="0.45">
      <c r="B225" s="33">
        <v>44743</v>
      </c>
      <c r="C225" s="89">
        <v>1056523.5</v>
      </c>
      <c r="D225" s="90">
        <v>1501785</v>
      </c>
      <c r="E225" s="181">
        <f>C225+D225</f>
        <v>2558308.5</v>
      </c>
    </row>
    <row r="226" spans="2:5" ht="22.2" hidden="1" x14ac:dyDescent="0.45">
      <c r="B226" s="33">
        <v>44774</v>
      </c>
      <c r="C226" s="92">
        <v>1649443.5</v>
      </c>
      <c r="D226" s="92">
        <v>863715</v>
      </c>
      <c r="E226" s="181">
        <f t="shared" ref="E226:E236" si="0">C226+D226</f>
        <v>2513158.5</v>
      </c>
    </row>
    <row r="227" spans="2:5" ht="22.2" hidden="1" x14ac:dyDescent="0.45">
      <c r="B227" s="33">
        <v>44805</v>
      </c>
      <c r="C227" s="92">
        <v>1346098.5</v>
      </c>
      <c r="D227" s="92">
        <v>1119105</v>
      </c>
      <c r="E227" s="181">
        <f t="shared" si="0"/>
        <v>2465203.5</v>
      </c>
    </row>
    <row r="228" spans="2:5" ht="22.2" hidden="1" x14ac:dyDescent="0.45">
      <c r="B228" s="33">
        <v>44835</v>
      </c>
      <c r="C228" s="92">
        <v>2573653.5</v>
      </c>
      <c r="D228" s="92">
        <v>0</v>
      </c>
      <c r="E228" s="181">
        <f t="shared" si="0"/>
        <v>2573653.5</v>
      </c>
    </row>
    <row r="229" spans="2:5" ht="22.2" hidden="1" x14ac:dyDescent="0.45">
      <c r="B229" s="33">
        <v>44866</v>
      </c>
      <c r="C229" s="92">
        <v>2239123.5</v>
      </c>
      <c r="D229" s="92">
        <v>0</v>
      </c>
      <c r="E229" s="181">
        <f t="shared" si="0"/>
        <v>2239123.5</v>
      </c>
    </row>
    <row r="230" spans="2:5" ht="22.2" hidden="1" x14ac:dyDescent="0.45">
      <c r="B230" s="33">
        <v>44896</v>
      </c>
      <c r="C230" s="92">
        <v>3815869.5</v>
      </c>
      <c r="D230" s="92">
        <v>0</v>
      </c>
      <c r="E230" s="181">
        <f t="shared" si="0"/>
        <v>3815869.5</v>
      </c>
    </row>
    <row r="231" spans="2:5" ht="22.2" hidden="1" x14ac:dyDescent="0.45">
      <c r="B231" s="33">
        <v>44927</v>
      </c>
      <c r="C231" s="92">
        <v>3876876</v>
      </c>
      <c r="D231" s="92">
        <v>0</v>
      </c>
      <c r="E231" s="181">
        <f t="shared" si="0"/>
        <v>3876876</v>
      </c>
    </row>
    <row r="232" spans="2:5" ht="22.2" hidden="1" x14ac:dyDescent="0.45">
      <c r="B232" s="33">
        <v>44958</v>
      </c>
      <c r="C232" s="92">
        <v>2565432</v>
      </c>
      <c r="D232" s="92">
        <v>427935</v>
      </c>
      <c r="E232" s="181">
        <f t="shared" si="0"/>
        <v>2993367</v>
      </c>
    </row>
    <row r="233" spans="2:5" ht="22.2" hidden="1" x14ac:dyDescent="0.45">
      <c r="B233" s="33">
        <v>44986</v>
      </c>
      <c r="C233" s="92">
        <v>2163847.5</v>
      </c>
      <c r="D233" s="92">
        <v>0</v>
      </c>
      <c r="E233" s="181">
        <f t="shared" si="0"/>
        <v>2163847.5</v>
      </c>
    </row>
    <row r="234" spans="2:5" ht="22.2" hidden="1" x14ac:dyDescent="0.45">
      <c r="B234" s="33">
        <v>45017</v>
      </c>
      <c r="C234" s="92">
        <v>1103476.5</v>
      </c>
      <c r="D234" s="92">
        <v>0</v>
      </c>
      <c r="E234" s="181">
        <f t="shared" si="0"/>
        <v>1103476.5</v>
      </c>
    </row>
    <row r="235" spans="2:5" ht="22.2" hidden="1" x14ac:dyDescent="0.45">
      <c r="B235" s="33">
        <v>45047</v>
      </c>
      <c r="C235" s="92">
        <v>1210167</v>
      </c>
      <c r="D235" s="92">
        <v>0</v>
      </c>
      <c r="E235" s="181">
        <f t="shared" si="0"/>
        <v>1210167</v>
      </c>
    </row>
    <row r="236" spans="2:5" ht="22.2" hidden="1" x14ac:dyDescent="0.45">
      <c r="B236" s="33">
        <v>45078</v>
      </c>
      <c r="C236" s="92">
        <v>2359260</v>
      </c>
      <c r="D236" s="92">
        <v>0</v>
      </c>
      <c r="E236" s="181">
        <f t="shared" si="0"/>
        <v>2359260</v>
      </c>
    </row>
    <row r="237" spans="2:5" ht="22.8" hidden="1" thickBot="1" x14ac:dyDescent="0.5">
      <c r="B237" s="34"/>
      <c r="C237" s="27"/>
      <c r="D237" s="27"/>
      <c r="E237" s="35"/>
    </row>
    <row r="238" spans="2:5" ht="23.4" hidden="1" thickTop="1" thickBot="1" x14ac:dyDescent="0.5">
      <c r="B238" s="36"/>
      <c r="C238" s="37">
        <f>SUM(C225:C236)</f>
        <v>25959771</v>
      </c>
      <c r="D238" s="37">
        <f>SUM(D225:D236)</f>
        <v>3912540</v>
      </c>
      <c r="E238" s="38">
        <f>SUM(E225:E236)</f>
        <v>29872311</v>
      </c>
    </row>
    <row r="239" spans="2:5" hidden="1" x14ac:dyDescent="0.3"/>
    <row r="240" spans="2:5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</sheetData>
  <dataConsolidate/>
  <mergeCells count="7">
    <mergeCell ref="B221:G221"/>
    <mergeCell ref="B2:G2"/>
    <mergeCell ref="B47:G47"/>
    <mergeCell ref="B84:H84"/>
    <mergeCell ref="B124:G124"/>
    <mergeCell ref="B126:G126"/>
    <mergeCell ref="B170:G170"/>
  </mergeCells>
  <conditionalFormatting sqref="C4:D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{54674FA7-2C6C-47DD-86A1-81F6459AACF2}</x14:id>
        </ext>
      </extLst>
    </cfRule>
  </conditionalFormatting>
  <conditionalFormatting sqref="C49:D53 E6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{6FC2EA3D-8160-4D87-A162-FC7D58E2DEA0}</x14:id>
        </ext>
      </extLst>
    </cfRule>
  </conditionalFormatting>
  <conditionalFormatting sqref="C86:D9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{09F30F4B-53E3-441A-9489-520C9EB3FFB9}</x14:id>
        </ext>
      </extLst>
    </cfRule>
  </conditionalFormatting>
  <conditionalFormatting sqref="C129:H1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{B02C3C16-0BE8-4825-A08C-AEE0AE92F017}</x14:id>
        </ext>
      </extLst>
    </cfRule>
  </conditionalFormatting>
  <pageMargins left="0.7" right="0.7" top="0.75" bottom="0.75" header="0.3" footer="0.3"/>
  <pageSetup paperSize="9" orientation="portrait" horizontalDpi="360" verticalDpi="360" r:id="rId1"/>
  <ignoredErrors>
    <ignoredError sqref="F173:G173 H131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674FA7-2C6C-47DD-86A1-81F6459AAC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C4:D8</xm:sqref>
        </x14:conditionalFormatting>
        <x14:conditionalFormatting xmlns:xm="http://schemas.microsoft.com/office/excel/2006/main">
          <x14:cfRule type="dataBar" id="{6FC2EA3D-8160-4D87-A162-FC7D58E2DE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C49:D53 E60</xm:sqref>
        </x14:conditionalFormatting>
        <x14:conditionalFormatting xmlns:xm="http://schemas.microsoft.com/office/excel/2006/main">
          <x14:cfRule type="dataBar" id="{09F30F4B-53E3-441A-9489-520C9EB3FF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C86:D91</xm:sqref>
        </x14:conditionalFormatting>
        <x14:conditionalFormatting xmlns:xm="http://schemas.microsoft.com/office/excel/2006/main">
          <x14:cfRule type="dataBar" id="{B02C3C16-0BE8-4825-A08C-AEE0AE92F0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C129:H129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19900-260E-435F-B3E7-D3F9CE44E9D2}">
  <sheetPr>
    <tabColor rgb="FF00B050"/>
    <pageSetUpPr autoPageBreaks="0"/>
  </sheetPr>
  <dimension ref="B2:M245"/>
  <sheetViews>
    <sheetView showGridLines="0" zoomScale="85" zoomScaleNormal="85" zoomScaleSheetLayoutView="115" workbookViewId="0">
      <selection activeCell="G10" sqref="G10"/>
    </sheetView>
  </sheetViews>
  <sheetFormatPr defaultColWidth="22.33203125" defaultRowHeight="14.4" x14ac:dyDescent="0.3"/>
  <cols>
    <col min="1" max="1" width="6.6640625" customWidth="1"/>
    <col min="2" max="2" width="28.109375" customWidth="1"/>
    <col min="3" max="3" width="17.109375" customWidth="1"/>
    <col min="4" max="4" width="15.77734375" customWidth="1"/>
    <col min="5" max="5" width="11.6640625" customWidth="1"/>
    <col min="6" max="6" width="11.33203125" customWidth="1"/>
    <col min="7" max="7" width="10.77734375" customWidth="1"/>
    <col min="8" max="8" width="12.33203125" style="101" customWidth="1"/>
    <col min="9" max="9" width="16.5546875" customWidth="1"/>
    <col min="10" max="12" width="22.33203125" style="157"/>
    <col min="13" max="13" width="22.33203125" style="126"/>
  </cols>
  <sheetData>
    <row r="2" spans="2:12" ht="25.8" x14ac:dyDescent="0.5">
      <c r="B2" s="246" t="s">
        <v>68</v>
      </c>
      <c r="C2" s="246"/>
      <c r="D2" s="246"/>
      <c r="E2" s="246"/>
      <c r="F2" s="246"/>
      <c r="G2" s="246"/>
      <c r="J2" s="155"/>
      <c r="K2" s="158"/>
    </row>
    <row r="3" spans="2:12" ht="4.5" customHeight="1" x14ac:dyDescent="0.3"/>
    <row r="4" spans="2:12" x14ac:dyDescent="0.3">
      <c r="B4" s="21" t="s">
        <v>52</v>
      </c>
      <c r="C4" s="168">
        <v>143000</v>
      </c>
      <c r="D4" s="22" t="s">
        <v>4</v>
      </c>
      <c r="E4" s="173"/>
      <c r="H4" s="102"/>
      <c r="I4" s="67"/>
      <c r="J4" s="156"/>
    </row>
    <row r="5" spans="2:12" ht="28.8" x14ac:dyDescent="0.3">
      <c r="B5" s="21" t="s">
        <v>107</v>
      </c>
      <c r="C5" s="168">
        <f>(C4-C7)/6</f>
        <v>16323.166666666666</v>
      </c>
      <c r="D5" s="22" t="s">
        <v>4</v>
      </c>
      <c r="I5" s="67"/>
    </row>
    <row r="6" spans="2:12" x14ac:dyDescent="0.3">
      <c r="B6" s="21" t="s">
        <v>6</v>
      </c>
      <c r="C6" s="171">
        <f>SUM(D36:G36)</f>
        <v>9589.1</v>
      </c>
      <c r="D6" s="22" t="s">
        <v>4</v>
      </c>
      <c r="E6" s="173"/>
      <c r="I6" s="67"/>
      <c r="J6" s="159"/>
    </row>
    <row r="7" spans="2:12" x14ac:dyDescent="0.3">
      <c r="B7" s="21" t="s">
        <v>66</v>
      </c>
      <c r="C7" s="171">
        <f>35351+9710</f>
        <v>45061</v>
      </c>
      <c r="D7" s="22" t="s">
        <v>4</v>
      </c>
      <c r="E7" s="174"/>
      <c r="I7" s="67"/>
    </row>
    <row r="8" spans="2:12" x14ac:dyDescent="0.3">
      <c r="B8" s="21" t="s">
        <v>2</v>
      </c>
      <c r="C8" s="171">
        <f>SUM(D38:G38)</f>
        <v>0</v>
      </c>
      <c r="D8" s="22" t="s">
        <v>4</v>
      </c>
      <c r="F8" s="3"/>
    </row>
    <row r="10" spans="2:12" x14ac:dyDescent="0.3">
      <c r="D10" s="2"/>
      <c r="E10" s="175"/>
      <c r="F10" s="2"/>
      <c r="G10" s="2"/>
      <c r="J10" s="159"/>
    </row>
    <row r="11" spans="2:12" x14ac:dyDescent="0.3">
      <c r="D11" s="2"/>
      <c r="E11" s="175"/>
      <c r="F11" s="2"/>
      <c r="G11" s="2"/>
    </row>
    <row r="12" spans="2:12" x14ac:dyDescent="0.3">
      <c r="D12" s="2"/>
      <c r="E12" s="175"/>
      <c r="F12" s="2"/>
      <c r="G12" s="2"/>
    </row>
    <row r="13" spans="2:12" x14ac:dyDescent="0.3">
      <c r="K13" s="160"/>
      <c r="L13" s="160"/>
    </row>
    <row r="19" spans="2:13" x14ac:dyDescent="0.3">
      <c r="I19" s="67"/>
    </row>
    <row r="28" spans="2:13" s="101" customFormat="1" x14ac:dyDescent="0.3">
      <c r="B28"/>
      <c r="C28" s="57"/>
      <c r="D28" s="57"/>
      <c r="E28" s="173"/>
      <c r="F28" s="57"/>
      <c r="G28"/>
      <c r="I28"/>
      <c r="J28" s="157"/>
      <c r="K28" s="157"/>
      <c r="L28" s="161"/>
      <c r="M28" s="149"/>
    </row>
    <row r="29" spans="2:13" s="101" customFormat="1" x14ac:dyDescent="0.3">
      <c r="B29"/>
      <c r="C29"/>
      <c r="D29" s="56"/>
      <c r="E29"/>
      <c r="F29"/>
      <c r="G29"/>
      <c r="I29"/>
      <c r="J29" s="157"/>
      <c r="K29" s="157"/>
      <c r="L29" s="161"/>
      <c r="M29" s="149"/>
    </row>
    <row r="30" spans="2:13" s="101" customFormat="1" hidden="1" x14ac:dyDescent="0.3">
      <c r="B30"/>
      <c r="C30"/>
      <c r="D30"/>
      <c r="E30"/>
      <c r="F30"/>
      <c r="G30"/>
      <c r="I30"/>
      <c r="J30" s="157"/>
      <c r="K30" s="157"/>
      <c r="L30" s="161"/>
      <c r="M30" s="149"/>
    </row>
    <row r="31" spans="2:13" s="101" customFormat="1" hidden="1" x14ac:dyDescent="0.3">
      <c r="B31"/>
      <c r="C31"/>
      <c r="D31"/>
      <c r="E31"/>
      <c r="F31"/>
      <c r="G31"/>
      <c r="I31"/>
      <c r="J31" s="157"/>
      <c r="K31" s="157"/>
      <c r="L31" s="161"/>
      <c r="M31" s="149"/>
    </row>
    <row r="32" spans="2:13" s="101" customFormat="1" hidden="1" x14ac:dyDescent="0.3">
      <c r="B32"/>
      <c r="C32"/>
      <c r="D32"/>
      <c r="E32"/>
      <c r="F32"/>
      <c r="G32"/>
      <c r="I32"/>
      <c r="J32" s="157"/>
      <c r="K32" s="157"/>
      <c r="L32" s="161"/>
      <c r="M32" s="149"/>
    </row>
    <row r="33" spans="2:13" s="101" customFormat="1" ht="16.5" customHeight="1" x14ac:dyDescent="0.3">
      <c r="B33"/>
      <c r="C33"/>
      <c r="D33" s="57"/>
      <c r="E33" s="173"/>
      <c r="F33" s="57"/>
      <c r="G33" s="57"/>
      <c r="I33"/>
      <c r="J33" s="157"/>
      <c r="K33" s="157"/>
      <c r="L33" s="161"/>
      <c r="M33" s="149"/>
    </row>
    <row r="34" spans="2:13" ht="27.6" x14ac:dyDescent="0.3">
      <c r="B34" s="1"/>
      <c r="C34" s="1"/>
      <c r="D34" s="97" t="s">
        <v>112</v>
      </c>
      <c r="E34" s="97" t="s">
        <v>113</v>
      </c>
      <c r="F34" s="97" t="s">
        <v>114</v>
      </c>
      <c r="G34" s="97" t="s">
        <v>115</v>
      </c>
      <c r="I34" s="56"/>
    </row>
    <row r="35" spans="2:13" hidden="1" x14ac:dyDescent="0.3">
      <c r="B35" s="1"/>
      <c r="C35" s="1"/>
      <c r="D35" s="43"/>
      <c r="E35" s="177"/>
      <c r="F35" s="43"/>
      <c r="G35" s="43"/>
      <c r="I35" s="57"/>
    </row>
    <row r="36" spans="2:13" ht="16.95" customHeight="1" x14ac:dyDescent="0.3">
      <c r="B36" s="12" t="s">
        <v>38</v>
      </c>
      <c r="C36" s="6" t="s">
        <v>4</v>
      </c>
      <c r="D36" s="54">
        <v>3453.98</v>
      </c>
      <c r="E36" s="54">
        <v>1987.72</v>
      </c>
      <c r="F36" s="54">
        <v>2311.7600000000002</v>
      </c>
      <c r="G36" s="54">
        <v>1835.64</v>
      </c>
      <c r="H36" s="169"/>
      <c r="I36" s="103"/>
    </row>
    <row r="37" spans="2:13" x14ac:dyDescent="0.3">
      <c r="B37" s="12" t="s">
        <v>110</v>
      </c>
      <c r="C37" s="6"/>
      <c r="D37" s="119"/>
      <c r="E37" s="119"/>
      <c r="F37" s="119"/>
      <c r="G37" s="119"/>
      <c r="H37" s="125"/>
      <c r="I37" s="103"/>
    </row>
    <row r="38" spans="2:13" ht="15" hidden="1" thickBot="1" x14ac:dyDescent="0.35">
      <c r="B38" s="12"/>
      <c r="C38" s="6"/>
      <c r="D38" s="120"/>
      <c r="E38" s="178"/>
      <c r="F38" s="121"/>
      <c r="G38" s="122"/>
      <c r="I38" s="104"/>
    </row>
    <row r="39" spans="2:13" x14ac:dyDescent="0.3">
      <c r="B39" s="12" t="s">
        <v>3</v>
      </c>
      <c r="C39" s="6" t="s">
        <v>4</v>
      </c>
      <c r="D39" s="75">
        <f>D37+D36</f>
        <v>3453.98</v>
      </c>
      <c r="E39" s="75">
        <f>IF(E37+E36="",0,E37+E36)</f>
        <v>1987.72</v>
      </c>
      <c r="F39" s="123">
        <f>F36</f>
        <v>2311.7600000000002</v>
      </c>
      <c r="G39" s="123">
        <f>G36</f>
        <v>1835.64</v>
      </c>
      <c r="H39" s="104"/>
      <c r="I39" s="103"/>
      <c r="J39" s="162"/>
      <c r="K39" s="159"/>
    </row>
    <row r="40" spans="2:13" x14ac:dyDescent="0.3">
      <c r="B40" s="12" t="s">
        <v>108</v>
      </c>
      <c r="C40" s="8"/>
      <c r="D40" s="76">
        <f>D39</f>
        <v>3453.98</v>
      </c>
      <c r="E40" s="76">
        <f>E39+D40</f>
        <v>5441.7</v>
      </c>
      <c r="F40" s="76">
        <f>F39+E40</f>
        <v>7753.46</v>
      </c>
      <c r="G40" s="76">
        <f>G39+F40</f>
        <v>9589.1</v>
      </c>
      <c r="H40" s="118"/>
      <c r="J40" s="162"/>
    </row>
    <row r="41" spans="2:13" x14ac:dyDescent="0.3">
      <c r="B41" s="12" t="s">
        <v>109</v>
      </c>
      <c r="C41" s="6" t="s">
        <v>4</v>
      </c>
      <c r="D41" s="75">
        <f>(C5/31)*7</f>
        <v>3685.8763440860212</v>
      </c>
      <c r="E41" s="75">
        <f>((C5/31)*14)-D40</f>
        <v>3917.7726881720423</v>
      </c>
      <c r="F41" s="75">
        <f>((C5/31)*21)-E40</f>
        <v>5615.9290322580646</v>
      </c>
      <c r="G41" s="75">
        <f>((C5/31)*31)-F40</f>
        <v>8569.7066666666651</v>
      </c>
      <c r="H41" s="104"/>
      <c r="I41" s="67"/>
    </row>
    <row r="42" spans="2:13" x14ac:dyDescent="0.3">
      <c r="B42" s="21"/>
      <c r="C42" s="85"/>
      <c r="D42" s="86"/>
      <c r="E42" s="86"/>
      <c r="F42" s="86"/>
      <c r="G42" s="86"/>
      <c r="H42" s="104"/>
      <c r="I42" s="67"/>
    </row>
    <row r="43" spans="2:13" x14ac:dyDescent="0.3">
      <c r="B43" s="21"/>
      <c r="C43" s="85"/>
      <c r="D43" s="86"/>
      <c r="E43" s="86"/>
      <c r="F43" s="86"/>
      <c r="G43" s="86"/>
      <c r="H43" s="104"/>
    </row>
    <row r="44" spans="2:13" s="4" customFormat="1" ht="15" thickBot="1" x14ac:dyDescent="0.35">
      <c r="D44" s="59"/>
      <c r="E44" s="59"/>
      <c r="F44" s="59"/>
      <c r="G44" s="59"/>
      <c r="H44" s="105"/>
      <c r="J44" s="163"/>
      <c r="K44" s="163"/>
      <c r="L44" s="163"/>
      <c r="M44" s="151"/>
    </row>
    <row r="45" spans="2:13" ht="15" thickTop="1" x14ac:dyDescent="0.3">
      <c r="D45" s="67"/>
      <c r="E45" s="67"/>
      <c r="F45" s="67"/>
    </row>
    <row r="47" spans="2:13" ht="25.8" x14ac:dyDescent="0.5">
      <c r="B47" s="246" t="s">
        <v>69</v>
      </c>
      <c r="C47" s="246"/>
      <c r="D47" s="246"/>
      <c r="E47" s="246"/>
      <c r="F47" s="246"/>
      <c r="G47" s="246"/>
      <c r="J47" s="159"/>
      <c r="K47" s="162"/>
    </row>
    <row r="48" spans="2:13" ht="4.95" customHeight="1" x14ac:dyDescent="0.3"/>
    <row r="49" spans="2:9" x14ac:dyDescent="0.3">
      <c r="B49" s="21" t="s">
        <v>52</v>
      </c>
      <c r="C49" s="168">
        <v>9907200</v>
      </c>
      <c r="D49" s="22" t="s">
        <v>8</v>
      </c>
      <c r="I49" s="96"/>
    </row>
    <row r="50" spans="2:9" x14ac:dyDescent="0.3">
      <c r="B50" s="21" t="s">
        <v>31</v>
      </c>
      <c r="C50" s="168">
        <f>(C49-C52)/6</f>
        <v>1209962.5</v>
      </c>
      <c r="D50" s="22" t="s">
        <v>8</v>
      </c>
    </row>
    <row r="51" spans="2:9" x14ac:dyDescent="0.3">
      <c r="B51" s="21" t="s">
        <v>6</v>
      </c>
      <c r="C51" s="171">
        <f>SUM(D78:G78)</f>
        <v>596387</v>
      </c>
      <c r="D51" s="22" t="s">
        <v>8</v>
      </c>
      <c r="E51" s="173"/>
    </row>
    <row r="52" spans="2:9" x14ac:dyDescent="0.3">
      <c r="B52" s="21" t="s">
        <v>67</v>
      </c>
      <c r="C52" s="171">
        <f>1829488+817937</f>
        <v>2647425</v>
      </c>
      <c r="D52" s="22" t="s">
        <v>8</v>
      </c>
      <c r="E52" s="173"/>
    </row>
    <row r="53" spans="2:9" x14ac:dyDescent="0.3">
      <c r="B53" s="21" t="s">
        <v>9</v>
      </c>
      <c r="C53" s="171">
        <f>C50-C51</f>
        <v>613575.5</v>
      </c>
      <c r="D53" s="22" t="s">
        <v>8</v>
      </c>
    </row>
    <row r="60" spans="2:9" x14ac:dyDescent="0.3">
      <c r="E60" s="22" t="s">
        <v>8</v>
      </c>
    </row>
    <row r="77" spans="2:9" ht="27.6" x14ac:dyDescent="0.3">
      <c r="B77" s="1"/>
      <c r="C77" s="1"/>
      <c r="D77" s="97" t="str">
        <f>D34</f>
        <v>WEEK 1
(Jan1-11)</v>
      </c>
      <c r="E77" s="97" t="str">
        <f>E34</f>
        <v>WEEK 2
(Jan12-18)</v>
      </c>
      <c r="F77" s="97" t="str">
        <f>F34</f>
        <v>WEEk 3
(Jan19-25)</v>
      </c>
      <c r="G77" s="97" t="str">
        <f>G34</f>
        <v>WEEk 4
(Jan26-31)</v>
      </c>
    </row>
    <row r="78" spans="2:9" x14ac:dyDescent="0.3">
      <c r="B78" s="5" t="s">
        <v>1</v>
      </c>
      <c r="C78" s="9" t="s">
        <v>8</v>
      </c>
      <c r="D78" s="184">
        <v>234896</v>
      </c>
      <c r="E78" s="184">
        <v>53486</v>
      </c>
      <c r="F78" s="184">
        <v>173215</v>
      </c>
      <c r="G78" s="184">
        <v>134790</v>
      </c>
      <c r="H78" s="118"/>
      <c r="I78" s="57"/>
    </row>
    <row r="79" spans="2:9" x14ac:dyDescent="0.3">
      <c r="B79" s="7" t="s">
        <v>5</v>
      </c>
      <c r="C79" s="9" t="s">
        <v>8</v>
      </c>
      <c r="D79" s="98">
        <f>D78</f>
        <v>234896</v>
      </c>
      <c r="E79" s="98">
        <f>D79+E78</f>
        <v>288382</v>
      </c>
      <c r="F79" s="98">
        <f>E79+F78</f>
        <v>461597</v>
      </c>
      <c r="G79" s="98">
        <f>F79+G78</f>
        <v>596387</v>
      </c>
      <c r="H79" s="106"/>
    </row>
    <row r="80" spans="2:9" x14ac:dyDescent="0.3">
      <c r="B80" s="5" t="s">
        <v>9</v>
      </c>
      <c r="C80" s="9" t="s">
        <v>8</v>
      </c>
      <c r="D80" s="98">
        <f>C50/4</f>
        <v>302490.625</v>
      </c>
      <c r="E80" s="98">
        <f>(C50-D79)/3</f>
        <v>325022.16666666669</v>
      </c>
      <c r="F80" s="98">
        <f>($C$50-E79)/2</f>
        <v>460790.25</v>
      </c>
      <c r="G80" s="98">
        <f>(C50-F79)/1</f>
        <v>748365.5</v>
      </c>
      <c r="H80" s="104"/>
    </row>
    <row r="81" spans="2:13" x14ac:dyDescent="0.3">
      <c r="B81" s="5"/>
      <c r="C81" s="9"/>
      <c r="D81" s="98"/>
      <c r="E81" s="98"/>
      <c r="F81" s="98"/>
      <c r="G81" s="98"/>
      <c r="H81" s="104"/>
      <c r="I81" s="3"/>
      <c r="J81" s="3"/>
      <c r="K81" s="3"/>
      <c r="L81" s="3"/>
    </row>
    <row r="82" spans="2:13" s="4" customFormat="1" ht="15" thickBot="1" x14ac:dyDescent="0.35">
      <c r="H82" s="105"/>
      <c r="J82" s="163"/>
      <c r="K82" s="163"/>
      <c r="L82" s="163"/>
      <c r="M82" s="151"/>
    </row>
    <row r="83" spans="2:13" ht="15" thickTop="1" x14ac:dyDescent="0.3"/>
    <row r="84" spans="2:13" s="101" customFormat="1" ht="25.8" x14ac:dyDescent="0.5">
      <c r="B84" s="246" t="s">
        <v>70</v>
      </c>
      <c r="C84" s="246"/>
      <c r="D84" s="246"/>
      <c r="E84" s="246"/>
      <c r="F84" s="246"/>
      <c r="G84" s="246"/>
      <c r="H84" s="246"/>
      <c r="I84"/>
      <c r="J84" s="157"/>
      <c r="K84" s="157"/>
      <c r="L84" s="161"/>
      <c r="M84" s="149"/>
    </row>
    <row r="85" spans="2:13" s="101" customFormat="1" ht="6.45" customHeight="1" x14ac:dyDescent="0.3">
      <c r="B85"/>
      <c r="C85"/>
      <c r="D85"/>
      <c r="E85"/>
      <c r="F85"/>
      <c r="G85"/>
      <c r="I85"/>
      <c r="J85" s="157"/>
      <c r="K85" s="157"/>
      <c r="L85" s="161"/>
      <c r="M85" s="149"/>
    </row>
    <row r="86" spans="2:13" s="101" customFormat="1" ht="16.2" x14ac:dyDescent="0.3">
      <c r="B86" s="172" t="s">
        <v>52</v>
      </c>
      <c r="C86" s="168">
        <v>10000000</v>
      </c>
      <c r="D86" s="22" t="s">
        <v>11</v>
      </c>
      <c r="E86"/>
      <c r="F86"/>
      <c r="G86"/>
      <c r="I86"/>
      <c r="J86" s="157"/>
      <c r="K86" s="157"/>
      <c r="L86" s="161"/>
      <c r="M86" s="149"/>
    </row>
    <row r="87" spans="2:13" s="101" customFormat="1" ht="16.2" x14ac:dyDescent="0.3">
      <c r="B87" s="172" t="s">
        <v>31</v>
      </c>
      <c r="C87" s="168">
        <f>(C86-C89)/6</f>
        <v>1301190.6666666667</v>
      </c>
      <c r="D87" s="22" t="s">
        <v>11</v>
      </c>
      <c r="E87"/>
      <c r="I87"/>
      <c r="J87" s="157"/>
      <c r="K87" s="157"/>
      <c r="L87" s="161"/>
      <c r="M87" s="149"/>
    </row>
    <row r="88" spans="2:13" s="101" customFormat="1" ht="16.2" x14ac:dyDescent="0.3">
      <c r="B88" s="172" t="s">
        <v>1</v>
      </c>
      <c r="C88" s="171">
        <f>SUM(D115:G115,D117:G117)</f>
        <v>808557</v>
      </c>
      <c r="D88" s="22" t="s">
        <v>11</v>
      </c>
      <c r="E88" s="173"/>
      <c r="F88"/>
      <c r="G88"/>
      <c r="I88"/>
      <c r="J88" s="157"/>
      <c r="K88" s="157"/>
      <c r="L88" s="161"/>
      <c r="M88" s="149"/>
    </row>
    <row r="89" spans="2:13" s="101" customFormat="1" ht="16.2" x14ac:dyDescent="0.3">
      <c r="B89" s="172" t="s">
        <v>67</v>
      </c>
      <c r="C89" s="171">
        <f>1576109+616747</f>
        <v>2192856</v>
      </c>
      <c r="D89" s="22" t="s">
        <v>11</v>
      </c>
      <c r="E89" s="173"/>
      <c r="F89"/>
      <c r="G89"/>
      <c r="I89"/>
      <c r="J89" s="157"/>
      <c r="K89" s="157"/>
      <c r="L89" s="161"/>
      <c r="M89" s="149"/>
    </row>
    <row r="90" spans="2:13" s="101" customFormat="1" ht="16.2" x14ac:dyDescent="0.3">
      <c r="B90" s="172" t="s">
        <v>9</v>
      </c>
      <c r="C90" s="171">
        <f>C87-C88</f>
        <v>492633.66666666674</v>
      </c>
      <c r="D90" s="22" t="s">
        <v>11</v>
      </c>
      <c r="E90" s="67"/>
      <c r="F90"/>
      <c r="G90"/>
      <c r="I90"/>
      <c r="J90" s="157"/>
      <c r="K90" s="157"/>
      <c r="L90" s="161"/>
      <c r="M90" s="149"/>
    </row>
    <row r="91" spans="2:13" s="101" customFormat="1" ht="7.5" customHeight="1" x14ac:dyDescent="0.3">
      <c r="B91"/>
      <c r="C91"/>
      <c r="D91"/>
      <c r="E91"/>
      <c r="F91"/>
      <c r="G91"/>
      <c r="I91"/>
      <c r="J91" s="157"/>
      <c r="K91" s="157"/>
      <c r="L91" s="161"/>
      <c r="M91" s="149"/>
    </row>
    <row r="104" spans="9:9" x14ac:dyDescent="0.3">
      <c r="I104" s="57"/>
    </row>
    <row r="113" spans="2:13" x14ac:dyDescent="0.3">
      <c r="D113" s="67"/>
      <c r="E113" s="67"/>
      <c r="F113" s="67"/>
    </row>
    <row r="114" spans="2:13" ht="27.6" x14ac:dyDescent="0.3">
      <c r="B114" s="1"/>
      <c r="C114" s="1"/>
      <c r="D114" s="97" t="str">
        <f>D77</f>
        <v>WEEK 1
(Jan1-11)</v>
      </c>
      <c r="E114" s="97" t="str">
        <f>E77</f>
        <v>WEEK 2
(Jan12-18)</v>
      </c>
      <c r="F114" s="97" t="str">
        <f>F77</f>
        <v>WEEk 3
(Jan19-25)</v>
      </c>
      <c r="G114" s="97" t="str">
        <f>G77</f>
        <v>WEEk 4
(Jan26-31)</v>
      </c>
      <c r="H114" s="111"/>
      <c r="I114" s="74"/>
      <c r="J114" s="162"/>
    </row>
    <row r="115" spans="2:13" ht="16.2" x14ac:dyDescent="0.3">
      <c r="B115" s="79" t="s">
        <v>43</v>
      </c>
      <c r="C115" s="9" t="s">
        <v>11</v>
      </c>
      <c r="D115" s="184">
        <v>285984</v>
      </c>
      <c r="E115" s="69">
        <v>182163</v>
      </c>
      <c r="F115" s="69">
        <v>145287</v>
      </c>
      <c r="G115" s="69">
        <v>155496</v>
      </c>
      <c r="H115" s="108"/>
      <c r="I115" s="77"/>
      <c r="J115" s="164"/>
      <c r="K115" s="162"/>
    </row>
    <row r="116" spans="2:13" ht="16.2" x14ac:dyDescent="0.3">
      <c r="B116" s="79" t="s">
        <v>41</v>
      </c>
      <c r="C116" s="9" t="s">
        <v>11</v>
      </c>
      <c r="D116" s="184">
        <f>D78*0.47</f>
        <v>110401.12</v>
      </c>
      <c r="E116" s="184">
        <f>E78*0.47</f>
        <v>25138.42</v>
      </c>
      <c r="F116" s="184">
        <f>F78*0.47</f>
        <v>81411.049999999988</v>
      </c>
      <c r="G116" s="184">
        <f>G78*0.47</f>
        <v>63351.299999999996</v>
      </c>
      <c r="H116" s="108"/>
      <c r="I116" s="57"/>
    </row>
    <row r="117" spans="2:13" ht="16.2" x14ac:dyDescent="0.3">
      <c r="B117" s="12" t="s">
        <v>12</v>
      </c>
      <c r="C117" s="9" t="s">
        <v>11</v>
      </c>
      <c r="D117" s="69">
        <v>12742</v>
      </c>
      <c r="E117" s="69">
        <v>19766</v>
      </c>
      <c r="F117" s="69">
        <v>7119</v>
      </c>
      <c r="G117" s="69"/>
      <c r="H117" s="108"/>
      <c r="I117" s="77"/>
      <c r="J117" s="164"/>
    </row>
    <row r="118" spans="2:13" x14ac:dyDescent="0.3">
      <c r="B118" s="12" t="s">
        <v>13</v>
      </c>
      <c r="C118" s="9" t="s">
        <v>10</v>
      </c>
      <c r="D118" s="69">
        <f>D115+D117</f>
        <v>298726</v>
      </c>
      <c r="E118" s="69">
        <f>E115+E117</f>
        <v>201929</v>
      </c>
      <c r="F118" s="69">
        <f>SUM(F115:F117)</f>
        <v>233817.05</v>
      </c>
      <c r="G118" s="69">
        <f>SUM(G115:G117)</f>
        <v>218847.3</v>
      </c>
      <c r="H118" s="108"/>
      <c r="I118" s="77"/>
    </row>
    <row r="119" spans="2:13" x14ac:dyDescent="0.3">
      <c r="B119" s="13" t="s">
        <v>5</v>
      </c>
      <c r="C119" s="9" t="s">
        <v>10</v>
      </c>
      <c r="D119" s="185">
        <f>D118</f>
        <v>298726</v>
      </c>
      <c r="E119" s="185">
        <f>D119+E118</f>
        <v>500655</v>
      </c>
      <c r="F119" s="185">
        <f>E119+F118</f>
        <v>734472.05</v>
      </c>
      <c r="G119" s="185">
        <f>F119+G118</f>
        <v>953319.35000000009</v>
      </c>
      <c r="H119" s="108"/>
    </row>
    <row r="120" spans="2:13" ht="28.8" x14ac:dyDescent="0.3">
      <c r="B120" s="187" t="s">
        <v>130</v>
      </c>
      <c r="C120" s="9" t="s">
        <v>10</v>
      </c>
      <c r="D120" s="188">
        <f>D36*101*0.7842</f>
        <v>273569.72271599999</v>
      </c>
      <c r="E120" s="188">
        <f>E36*101*0.7842</f>
        <v>157435.772424</v>
      </c>
      <c r="F120" s="188">
        <f>F36*101*0.7842</f>
        <v>183101.10139200001</v>
      </c>
      <c r="G120" s="188">
        <f>G36*101*0.7842</f>
        <v>145390.39768800003</v>
      </c>
      <c r="H120" s="108"/>
    </row>
    <row r="121" spans="2:13" x14ac:dyDescent="0.3">
      <c r="B121" s="12" t="s">
        <v>53</v>
      </c>
      <c r="C121" s="9" t="s">
        <v>10</v>
      </c>
      <c r="D121" s="185">
        <f>$C$87/4</f>
        <v>325297.66666666669</v>
      </c>
      <c r="E121" s="185">
        <f>($C$87-D119)/3</f>
        <v>334154.88888888893</v>
      </c>
      <c r="F121" s="185">
        <f>($C$87-E119)/2</f>
        <v>400267.83333333337</v>
      </c>
      <c r="G121" s="185">
        <f>($C$87-F119)/1</f>
        <v>566718.6166666667</v>
      </c>
      <c r="H121" s="108"/>
      <c r="I121" s="61"/>
    </row>
    <row r="122" spans="2:13" s="4" customFormat="1" ht="15" thickBot="1" x14ac:dyDescent="0.35">
      <c r="H122" s="105"/>
      <c r="J122" s="163"/>
      <c r="K122" s="163"/>
      <c r="L122" s="163"/>
      <c r="M122" s="151"/>
    </row>
    <row r="123" spans="2:13" ht="15" thickTop="1" x14ac:dyDescent="0.3"/>
    <row r="124" spans="2:13" ht="25.8" x14ac:dyDescent="0.5">
      <c r="B124" s="246" t="s">
        <v>71</v>
      </c>
      <c r="C124" s="246"/>
      <c r="D124" s="246"/>
      <c r="E124" s="246"/>
      <c r="F124" s="246"/>
      <c r="G124" s="246"/>
    </row>
    <row r="125" spans="2:13" ht="4.05" customHeight="1" x14ac:dyDescent="0.3">
      <c r="B125" s="20"/>
      <c r="C125" s="20"/>
      <c r="D125" s="20"/>
      <c r="E125" s="20"/>
      <c r="F125" s="20"/>
      <c r="G125" s="20"/>
    </row>
    <row r="126" spans="2:13" ht="14.55" customHeight="1" x14ac:dyDescent="0.3">
      <c r="B126" s="244" t="s">
        <v>20</v>
      </c>
      <c r="C126" s="244"/>
      <c r="D126" s="244"/>
      <c r="E126" s="244"/>
      <c r="F126" s="244"/>
      <c r="G126" s="244"/>
    </row>
    <row r="127" spans="2:13" x14ac:dyDescent="0.3">
      <c r="D127" s="19">
        <v>101</v>
      </c>
      <c r="E127" s="19" t="s">
        <v>18</v>
      </c>
    </row>
    <row r="128" spans="2:13" ht="27.6" x14ac:dyDescent="0.3">
      <c r="D128" s="176" t="str">
        <f>D77</f>
        <v>WEEK 1
(Jan1-11)</v>
      </c>
      <c r="E128" s="176" t="str">
        <f>E77</f>
        <v>WEEK 2
(Jan12-18)</v>
      </c>
      <c r="F128" s="176" t="str">
        <f>F77</f>
        <v>WEEk 3
(Jan19-25)</v>
      </c>
      <c r="G128" s="176" t="str">
        <f>G77</f>
        <v>WEEk 4
(Jan26-31)</v>
      </c>
      <c r="H128" s="182" t="s">
        <v>37</v>
      </c>
      <c r="I128" s="74"/>
    </row>
    <row r="129" spans="2:10" hidden="1" x14ac:dyDescent="0.3">
      <c r="D129" s="10"/>
      <c r="E129" s="179"/>
      <c r="F129" s="10"/>
      <c r="G129" s="10"/>
      <c r="H129" s="107"/>
      <c r="I129" s="74"/>
    </row>
    <row r="130" spans="2:10" x14ac:dyDescent="0.3">
      <c r="B130" s="172" t="s">
        <v>15</v>
      </c>
      <c r="C130" s="22" t="s">
        <v>10</v>
      </c>
      <c r="D130" s="23">
        <f>D36</f>
        <v>3453.98</v>
      </c>
      <c r="E130" s="23">
        <f>E36</f>
        <v>1987.72</v>
      </c>
      <c r="F130" s="23">
        <f>F36</f>
        <v>2311.7600000000002</v>
      </c>
      <c r="G130" s="23">
        <f>G36</f>
        <v>1835.64</v>
      </c>
      <c r="H130" s="109">
        <f>SUM(D130:G130)</f>
        <v>9589.1</v>
      </c>
      <c r="I130" s="78"/>
    </row>
    <row r="131" spans="2:10" x14ac:dyDescent="0.3">
      <c r="B131" s="172" t="s">
        <v>17</v>
      </c>
      <c r="C131" s="22" t="s">
        <v>10</v>
      </c>
      <c r="D131" s="23">
        <f>D134*D130</f>
        <v>348851.98</v>
      </c>
      <c r="E131" s="23">
        <f>E134*E130</f>
        <v>200759.72</v>
      </c>
      <c r="F131" s="23">
        <f>F134*F130</f>
        <v>233487.76</v>
      </c>
      <c r="G131" s="23">
        <f>G134*G130</f>
        <v>185399.64</v>
      </c>
      <c r="H131" s="110">
        <f>H134*H130</f>
        <v>968499.10000000009</v>
      </c>
      <c r="I131" s="63"/>
    </row>
    <row r="132" spans="2:10" x14ac:dyDescent="0.3">
      <c r="B132" s="172" t="s">
        <v>16</v>
      </c>
      <c r="C132" s="22" t="s">
        <v>10</v>
      </c>
      <c r="D132" s="23">
        <f>D118+D78*0.47</f>
        <v>409127.12</v>
      </c>
      <c r="E132" s="23">
        <f>E118+E78*0.47</f>
        <v>227067.41999999998</v>
      </c>
      <c r="F132" s="23">
        <f>F118</f>
        <v>233817.05</v>
      </c>
      <c r="G132" s="23">
        <f>G118</f>
        <v>218847.3</v>
      </c>
      <c r="H132" s="109">
        <f>SUM(D132:G132)</f>
        <v>1088858.8900000001</v>
      </c>
      <c r="I132" s="62"/>
      <c r="J132" s="159"/>
    </row>
    <row r="133" spans="2:10" x14ac:dyDescent="0.3">
      <c r="B133" s="172" t="s">
        <v>22</v>
      </c>
      <c r="C133" s="22" t="s">
        <v>19</v>
      </c>
      <c r="D133" s="23">
        <f>IFERROR(D132/D130,"")</f>
        <v>118.45092328270574</v>
      </c>
      <c r="E133" s="23">
        <f>IFERROR(E132/E130,"")</f>
        <v>114.23511359748856</v>
      </c>
      <c r="F133" s="23">
        <f>IFERROR(F132/F130,"")</f>
        <v>101.14244125687786</v>
      </c>
      <c r="G133" s="23">
        <f>IFERROR(G132/G130,"")</f>
        <v>119.22125253317643</v>
      </c>
      <c r="H133" s="110">
        <f>H132/H130</f>
        <v>113.55172956794695</v>
      </c>
      <c r="I133" s="63"/>
    </row>
    <row r="134" spans="2:10" x14ac:dyDescent="0.3">
      <c r="B134" s="172" t="s">
        <v>23</v>
      </c>
      <c r="C134" s="22" t="s">
        <v>19</v>
      </c>
      <c r="D134" s="23">
        <v>101</v>
      </c>
      <c r="E134" s="23">
        <v>101</v>
      </c>
      <c r="F134" s="23">
        <v>101</v>
      </c>
      <c r="G134" s="23">
        <v>101</v>
      </c>
      <c r="H134" s="116">
        <v>101</v>
      </c>
      <c r="I134" s="78"/>
      <c r="J134" s="162"/>
    </row>
    <row r="135" spans="2:10" x14ac:dyDescent="0.3">
      <c r="B135" s="21"/>
      <c r="C135" s="22"/>
      <c r="D135" s="23"/>
      <c r="E135" s="23"/>
      <c r="F135" s="23"/>
      <c r="G135" s="23"/>
      <c r="H135" s="103"/>
    </row>
    <row r="136" spans="2:10" x14ac:dyDescent="0.3">
      <c r="B136" s="21"/>
      <c r="C136" s="22"/>
      <c r="D136" s="23"/>
      <c r="E136" s="23"/>
      <c r="F136" s="23"/>
      <c r="G136" s="23"/>
    </row>
    <row r="137" spans="2:10" x14ac:dyDescent="0.3">
      <c r="B137" s="21"/>
      <c r="C137" s="22"/>
      <c r="D137" s="23"/>
      <c r="E137" s="23"/>
      <c r="F137" s="23"/>
      <c r="G137" s="23"/>
    </row>
    <row r="138" spans="2:10" x14ac:dyDescent="0.3">
      <c r="B138" s="21"/>
      <c r="C138" s="22"/>
      <c r="D138" s="23"/>
      <c r="E138" s="23"/>
      <c r="F138" s="23"/>
      <c r="G138" s="23"/>
    </row>
    <row r="139" spans="2:10" x14ac:dyDescent="0.3">
      <c r="B139" s="21"/>
      <c r="C139" s="22"/>
      <c r="D139" s="23"/>
      <c r="E139" s="23"/>
      <c r="F139" s="23"/>
      <c r="G139" s="23"/>
    </row>
    <row r="140" spans="2:10" x14ac:dyDescent="0.3">
      <c r="B140" s="21"/>
      <c r="C140" s="22"/>
      <c r="D140" s="23"/>
      <c r="E140" s="23"/>
      <c r="F140" s="23"/>
      <c r="G140" s="23"/>
    </row>
    <row r="141" spans="2:10" x14ac:dyDescent="0.3">
      <c r="B141" s="21"/>
      <c r="C141" s="22"/>
      <c r="D141" s="23"/>
      <c r="E141" s="23"/>
      <c r="F141" s="23"/>
      <c r="G141" s="23"/>
    </row>
    <row r="142" spans="2:10" x14ac:dyDescent="0.3">
      <c r="B142" s="21"/>
      <c r="C142" s="22"/>
      <c r="D142" s="23"/>
      <c r="E142" s="23"/>
      <c r="F142" s="23"/>
      <c r="G142" s="23"/>
    </row>
    <row r="143" spans="2:10" x14ac:dyDescent="0.3">
      <c r="B143" s="21"/>
      <c r="C143" s="22"/>
      <c r="D143" s="23"/>
      <c r="E143" s="23"/>
      <c r="F143" s="23"/>
      <c r="G143" s="23"/>
    </row>
    <row r="144" spans="2:10" x14ac:dyDescent="0.3">
      <c r="B144" s="21"/>
      <c r="C144" s="22"/>
      <c r="D144" s="23"/>
      <c r="E144" s="23"/>
      <c r="F144" s="23"/>
      <c r="G144" s="23"/>
      <c r="J144" s="183"/>
    </row>
    <row r="145" spans="2:7" x14ac:dyDescent="0.3">
      <c r="B145" s="21"/>
      <c r="C145" s="22"/>
      <c r="D145" s="23"/>
      <c r="E145" s="23"/>
      <c r="F145" s="23"/>
      <c r="G145" s="23"/>
    </row>
    <row r="146" spans="2:7" x14ac:dyDescent="0.3">
      <c r="B146" s="21"/>
      <c r="C146" s="22"/>
      <c r="D146" s="23"/>
      <c r="E146" s="23"/>
      <c r="F146" s="23"/>
      <c r="G146" s="23"/>
    </row>
    <row r="147" spans="2:7" x14ac:dyDescent="0.3">
      <c r="B147" s="21"/>
      <c r="C147" s="22"/>
      <c r="D147" s="23"/>
      <c r="E147" s="23"/>
      <c r="F147" s="23"/>
      <c r="G147" s="23"/>
    </row>
    <row r="148" spans="2:7" x14ac:dyDescent="0.3">
      <c r="B148" s="21"/>
      <c r="C148" s="22"/>
      <c r="D148" s="23"/>
      <c r="E148" s="23"/>
      <c r="F148" s="23"/>
      <c r="G148" s="23"/>
    </row>
    <row r="149" spans="2:7" x14ac:dyDescent="0.3">
      <c r="B149" s="21"/>
      <c r="C149" s="22"/>
      <c r="D149" s="23"/>
      <c r="E149" s="23"/>
      <c r="F149" s="23"/>
      <c r="G149" s="23"/>
    </row>
    <row r="150" spans="2:7" x14ac:dyDescent="0.3">
      <c r="B150" s="21"/>
      <c r="C150" s="22"/>
      <c r="D150" s="23"/>
      <c r="E150" s="23"/>
      <c r="F150" s="23"/>
      <c r="G150" s="23"/>
    </row>
    <row r="151" spans="2:7" x14ac:dyDescent="0.3">
      <c r="B151" s="21"/>
      <c r="C151" s="22"/>
      <c r="D151" s="23"/>
      <c r="E151" s="23"/>
      <c r="F151" s="23"/>
      <c r="G151" s="23"/>
    </row>
    <row r="152" spans="2:7" x14ac:dyDescent="0.3">
      <c r="B152" s="21"/>
      <c r="C152" s="22"/>
      <c r="D152" s="23"/>
      <c r="E152" s="23"/>
      <c r="F152" s="23"/>
      <c r="G152" s="23"/>
    </row>
    <row r="153" spans="2:7" x14ac:dyDescent="0.3">
      <c r="B153" s="21"/>
      <c r="C153" s="22"/>
      <c r="D153" s="23"/>
      <c r="E153" s="23"/>
      <c r="F153" s="23"/>
      <c r="G153" s="23"/>
    </row>
    <row r="154" spans="2:7" x14ac:dyDescent="0.3">
      <c r="B154" s="21"/>
      <c r="C154" s="22"/>
      <c r="D154" s="23"/>
      <c r="E154" s="23"/>
      <c r="F154" s="23"/>
      <c r="G154" s="23"/>
    </row>
    <row r="155" spans="2:7" x14ac:dyDescent="0.3">
      <c r="B155" s="21"/>
      <c r="C155" s="22"/>
      <c r="D155" s="23"/>
      <c r="E155" s="23"/>
      <c r="F155" s="23"/>
      <c r="G155" s="23"/>
    </row>
    <row r="156" spans="2:7" x14ac:dyDescent="0.3">
      <c r="B156" s="21"/>
      <c r="C156" s="22"/>
      <c r="D156" s="23"/>
      <c r="E156" s="23"/>
      <c r="F156" s="23"/>
      <c r="G156" s="23"/>
    </row>
    <row r="157" spans="2:7" x14ac:dyDescent="0.3">
      <c r="B157" s="21"/>
      <c r="C157" s="22"/>
      <c r="D157" s="23"/>
      <c r="E157" s="23"/>
      <c r="F157" s="23"/>
      <c r="G157" s="23"/>
    </row>
    <row r="158" spans="2:7" x14ac:dyDescent="0.3">
      <c r="B158" s="21"/>
      <c r="C158" s="22"/>
      <c r="D158" s="23"/>
      <c r="E158" s="23"/>
      <c r="F158" s="23"/>
      <c r="G158" s="23"/>
    </row>
    <row r="159" spans="2:7" x14ac:dyDescent="0.3">
      <c r="B159" s="21"/>
      <c r="C159" s="22"/>
      <c r="D159" s="23"/>
      <c r="E159" s="23"/>
      <c r="F159" s="23"/>
      <c r="G159" s="23"/>
    </row>
    <row r="160" spans="2:7" x14ac:dyDescent="0.3">
      <c r="B160" s="21"/>
      <c r="C160" s="22"/>
      <c r="D160" s="23"/>
      <c r="E160" s="23"/>
      <c r="F160" s="23"/>
      <c r="G160" s="23"/>
    </row>
    <row r="161" spans="2:10" x14ac:dyDescent="0.3">
      <c r="B161" s="21"/>
      <c r="C161" s="22"/>
      <c r="D161" s="23"/>
      <c r="E161" s="23"/>
      <c r="F161" s="23"/>
      <c r="G161" s="23"/>
    </row>
    <row r="162" spans="2:10" x14ac:dyDescent="0.3">
      <c r="B162" s="21"/>
      <c r="C162" s="22"/>
      <c r="D162" s="23"/>
      <c r="E162" s="23"/>
      <c r="F162" s="23"/>
      <c r="G162" s="23"/>
    </row>
    <row r="163" spans="2:10" x14ac:dyDescent="0.3">
      <c r="B163" s="21"/>
      <c r="C163" s="22"/>
      <c r="D163" s="23"/>
      <c r="E163" s="23"/>
      <c r="F163" s="23"/>
      <c r="G163" s="23"/>
    </row>
    <row r="164" spans="2:10" x14ac:dyDescent="0.3">
      <c r="B164" s="21"/>
      <c r="C164" s="22"/>
      <c r="D164" s="23"/>
      <c r="E164" s="23"/>
      <c r="F164" s="23"/>
      <c r="G164" s="23"/>
    </row>
    <row r="165" spans="2:10" x14ac:dyDescent="0.3">
      <c r="H165" s="103"/>
      <c r="I165" s="57"/>
    </row>
    <row r="170" spans="2:10" ht="15.6" x14ac:dyDescent="0.3">
      <c r="B170" s="245" t="s">
        <v>21</v>
      </c>
      <c r="C170" s="245"/>
      <c r="D170" s="245"/>
      <c r="E170" s="245"/>
      <c r="F170" s="245"/>
      <c r="G170" s="245"/>
    </row>
    <row r="171" spans="2:10" ht="27.6" x14ac:dyDescent="0.3">
      <c r="D171" s="176" t="str">
        <f>D128</f>
        <v>WEEK 1
(Jan1-11)</v>
      </c>
      <c r="E171" s="176" t="str">
        <f>E128</f>
        <v>WEEK 2
(Jan12-18)</v>
      </c>
      <c r="F171" s="176" t="str">
        <f>F128</f>
        <v>WEEk 3
(Jan19-25)</v>
      </c>
      <c r="G171" s="176" t="str">
        <f>G128</f>
        <v>WEEk 4
(Jan26-31)</v>
      </c>
      <c r="H171" s="111" t="s">
        <v>37</v>
      </c>
      <c r="I171" s="64"/>
    </row>
    <row r="172" spans="2:10" x14ac:dyDescent="0.3">
      <c r="B172" s="64" t="s">
        <v>15</v>
      </c>
      <c r="C172" s="22" t="s">
        <v>10</v>
      </c>
      <c r="D172" s="23">
        <f>D130*(D175/15)</f>
        <v>3322.4984946666664</v>
      </c>
      <c r="E172" s="23">
        <f>E130*(E175/15)</f>
        <v>1923.3178719999999</v>
      </c>
      <c r="F172" s="23">
        <f>F130*(F175/15)</f>
        <v>2258.58952</v>
      </c>
      <c r="G172" s="23">
        <f>G130*(G175/15)</f>
        <v>1756.585104</v>
      </c>
      <c r="H172" s="108">
        <f>SUM(D172:G172)</f>
        <v>9260.9909906666653</v>
      </c>
      <c r="I172" s="61"/>
      <c r="J172" s="165"/>
    </row>
    <row r="173" spans="2:10" x14ac:dyDescent="0.3">
      <c r="B173" s="64" t="s">
        <v>17</v>
      </c>
      <c r="C173" s="22" t="s">
        <v>10</v>
      </c>
      <c r="D173" s="23">
        <f>D172*$D$127</f>
        <v>335572.34796133329</v>
      </c>
      <c r="E173" s="23">
        <f>E172*$D$127</f>
        <v>194255.10507199998</v>
      </c>
      <c r="F173" s="23">
        <f>F172*$D$127</f>
        <v>228117.54152</v>
      </c>
      <c r="G173" s="23">
        <f>G172*$D$127</f>
        <v>177415.095504</v>
      </c>
      <c r="H173" s="110">
        <f>H172*105</f>
        <v>972404.05401999981</v>
      </c>
      <c r="I173" s="63"/>
    </row>
    <row r="174" spans="2:10" x14ac:dyDescent="0.3">
      <c r="B174" s="64" t="s">
        <v>16</v>
      </c>
      <c r="C174" s="22" t="s">
        <v>10</v>
      </c>
      <c r="D174" s="23">
        <f>D132</f>
        <v>409127.12</v>
      </c>
      <c r="E174" s="23">
        <f>E132</f>
        <v>227067.41999999998</v>
      </c>
      <c r="F174" s="23">
        <f>F132</f>
        <v>233817.05</v>
      </c>
      <c r="G174" s="23">
        <f>G132</f>
        <v>218847.3</v>
      </c>
      <c r="H174" s="112">
        <f>SUM(D174:G174)</f>
        <v>1088858.8900000001</v>
      </c>
      <c r="I174" s="63"/>
      <c r="J174" s="159"/>
    </row>
    <row r="175" spans="2:10" x14ac:dyDescent="0.3">
      <c r="B175" s="64" t="s">
        <v>39</v>
      </c>
      <c r="C175" s="22"/>
      <c r="D175" s="186">
        <v>14.429</v>
      </c>
      <c r="E175" s="186">
        <v>14.513999999999999</v>
      </c>
      <c r="F175" s="186">
        <v>14.654999999999999</v>
      </c>
      <c r="G175" s="186">
        <v>14.353999999999999</v>
      </c>
      <c r="H175" s="113">
        <f>AVERAGE(D175:G175)</f>
        <v>14.488</v>
      </c>
      <c r="I175" s="87"/>
    </row>
    <row r="176" spans="2:10" x14ac:dyDescent="0.3">
      <c r="B176" s="21" t="s">
        <v>22</v>
      </c>
      <c r="C176" s="22" t="s">
        <v>19</v>
      </c>
      <c r="D176" s="23">
        <f>IFERROR(D174/D172,"")</f>
        <v>123.13839138128674</v>
      </c>
      <c r="E176" s="23">
        <f>IFERROR(E174/E172,"")</f>
        <v>118.06026622311759</v>
      </c>
      <c r="F176" s="23">
        <f>IFERROR(F174/F172,"")</f>
        <v>103.52348132740826</v>
      </c>
      <c r="G176" s="23">
        <f>IFERROR(G174/G172,"")</f>
        <v>124.58679030219078</v>
      </c>
      <c r="H176" s="112">
        <f>H174/H172</f>
        <v>117.57477046434499</v>
      </c>
      <c r="I176" s="65"/>
    </row>
    <row r="177" spans="2:9" x14ac:dyDescent="0.3">
      <c r="B177" s="21" t="s">
        <v>23</v>
      </c>
      <c r="C177" s="22" t="s">
        <v>19</v>
      </c>
      <c r="D177" s="23">
        <v>101</v>
      </c>
      <c r="E177" s="23">
        <v>101</v>
      </c>
      <c r="F177" s="23">
        <v>101</v>
      </c>
      <c r="G177" s="23">
        <v>101</v>
      </c>
      <c r="H177" s="114">
        <v>105</v>
      </c>
      <c r="I177" s="65"/>
    </row>
    <row r="178" spans="2:9" x14ac:dyDescent="0.3">
      <c r="D178" s="24" t="s">
        <v>40</v>
      </c>
      <c r="H178" s="103"/>
    </row>
    <row r="215" spans="2:13" s="4" customFormat="1" ht="15" thickBot="1" x14ac:dyDescent="0.35">
      <c r="H215" s="105"/>
      <c r="J215" s="163"/>
      <c r="K215" s="163"/>
      <c r="L215" s="163"/>
      <c r="M215" s="151"/>
    </row>
    <row r="216" spans="2:13" ht="15" thickTop="1" x14ac:dyDescent="0.3"/>
    <row r="221" spans="2:13" ht="25.8" hidden="1" x14ac:dyDescent="0.5">
      <c r="B221" s="246" t="s">
        <v>24</v>
      </c>
      <c r="C221" s="246"/>
      <c r="D221" s="246"/>
      <c r="E221" s="246"/>
      <c r="F221" s="246"/>
      <c r="G221" s="246"/>
    </row>
    <row r="222" spans="2:13" hidden="1" x14ac:dyDescent="0.3"/>
    <row r="223" spans="2:13" ht="22.8" hidden="1" thickBot="1" x14ac:dyDescent="0.5">
      <c r="B223" s="28" t="s">
        <v>25</v>
      </c>
      <c r="C223" s="29" t="s">
        <v>26</v>
      </c>
      <c r="D223" s="29" t="s">
        <v>27</v>
      </c>
      <c r="E223" s="180" t="s">
        <v>28</v>
      </c>
    </row>
    <row r="224" spans="2:13" ht="23.4" hidden="1" x14ac:dyDescent="0.45">
      <c r="B224" s="31"/>
      <c r="C224" s="26"/>
      <c r="D224" s="26"/>
      <c r="E224" s="32"/>
    </row>
    <row r="225" spans="2:5" ht="22.2" hidden="1" x14ac:dyDescent="0.45">
      <c r="B225" s="33">
        <v>44743</v>
      </c>
      <c r="C225" s="89">
        <v>1056523.5</v>
      </c>
      <c r="D225" s="90">
        <v>1501785</v>
      </c>
      <c r="E225" s="181">
        <f>C225+D225</f>
        <v>2558308.5</v>
      </c>
    </row>
    <row r="226" spans="2:5" ht="22.2" hidden="1" x14ac:dyDescent="0.45">
      <c r="B226" s="33">
        <v>44774</v>
      </c>
      <c r="C226" s="92">
        <v>1649443.5</v>
      </c>
      <c r="D226" s="92">
        <v>863715</v>
      </c>
      <c r="E226" s="181">
        <f t="shared" ref="E226:E236" si="0">C226+D226</f>
        <v>2513158.5</v>
      </c>
    </row>
    <row r="227" spans="2:5" ht="22.2" hidden="1" x14ac:dyDescent="0.45">
      <c r="B227" s="33">
        <v>44805</v>
      </c>
      <c r="C227" s="92">
        <v>1346098.5</v>
      </c>
      <c r="D227" s="92">
        <v>1119105</v>
      </c>
      <c r="E227" s="181">
        <f t="shared" si="0"/>
        <v>2465203.5</v>
      </c>
    </row>
    <row r="228" spans="2:5" ht="22.2" hidden="1" x14ac:dyDescent="0.45">
      <c r="B228" s="33">
        <v>44835</v>
      </c>
      <c r="C228" s="92">
        <v>2573653.5</v>
      </c>
      <c r="D228" s="92">
        <v>0</v>
      </c>
      <c r="E228" s="181">
        <f t="shared" si="0"/>
        <v>2573653.5</v>
      </c>
    </row>
    <row r="229" spans="2:5" ht="22.2" hidden="1" x14ac:dyDescent="0.45">
      <c r="B229" s="33">
        <v>44866</v>
      </c>
      <c r="C229" s="92">
        <v>2239123.5</v>
      </c>
      <c r="D229" s="92">
        <v>0</v>
      </c>
      <c r="E229" s="181">
        <f t="shared" si="0"/>
        <v>2239123.5</v>
      </c>
    </row>
    <row r="230" spans="2:5" ht="22.2" hidden="1" x14ac:dyDescent="0.45">
      <c r="B230" s="33">
        <v>44896</v>
      </c>
      <c r="C230" s="92">
        <v>3815869.5</v>
      </c>
      <c r="D230" s="92">
        <v>0</v>
      </c>
      <c r="E230" s="181">
        <f t="shared" si="0"/>
        <v>3815869.5</v>
      </c>
    </row>
    <row r="231" spans="2:5" ht="22.2" hidden="1" x14ac:dyDescent="0.45">
      <c r="B231" s="33">
        <v>44927</v>
      </c>
      <c r="C231" s="92">
        <v>3876876</v>
      </c>
      <c r="D231" s="92">
        <v>0</v>
      </c>
      <c r="E231" s="181">
        <f t="shared" si="0"/>
        <v>3876876</v>
      </c>
    </row>
    <row r="232" spans="2:5" ht="22.2" hidden="1" x14ac:dyDescent="0.45">
      <c r="B232" s="33">
        <v>44958</v>
      </c>
      <c r="C232" s="92">
        <v>2565432</v>
      </c>
      <c r="D232" s="92">
        <v>427935</v>
      </c>
      <c r="E232" s="181">
        <f t="shared" si="0"/>
        <v>2993367</v>
      </c>
    </row>
    <row r="233" spans="2:5" ht="22.2" hidden="1" x14ac:dyDescent="0.45">
      <c r="B233" s="33">
        <v>44986</v>
      </c>
      <c r="C233" s="92">
        <v>2163847.5</v>
      </c>
      <c r="D233" s="92">
        <v>0</v>
      </c>
      <c r="E233" s="181">
        <f t="shared" si="0"/>
        <v>2163847.5</v>
      </c>
    </row>
    <row r="234" spans="2:5" ht="22.2" hidden="1" x14ac:dyDescent="0.45">
      <c r="B234" s="33">
        <v>45017</v>
      </c>
      <c r="C234" s="92">
        <v>1103476.5</v>
      </c>
      <c r="D234" s="92">
        <v>0</v>
      </c>
      <c r="E234" s="181">
        <f t="shared" si="0"/>
        <v>1103476.5</v>
      </c>
    </row>
    <row r="235" spans="2:5" ht="22.2" hidden="1" x14ac:dyDescent="0.45">
      <c r="B235" s="33">
        <v>45047</v>
      </c>
      <c r="C235" s="92">
        <v>1210167</v>
      </c>
      <c r="D235" s="92">
        <v>0</v>
      </c>
      <c r="E235" s="181">
        <f t="shared" si="0"/>
        <v>1210167</v>
      </c>
    </row>
    <row r="236" spans="2:5" ht="22.2" hidden="1" x14ac:dyDescent="0.45">
      <c r="B236" s="33">
        <v>45078</v>
      </c>
      <c r="C236" s="92">
        <v>2359260</v>
      </c>
      <c r="D236" s="92">
        <v>0</v>
      </c>
      <c r="E236" s="181">
        <f t="shared" si="0"/>
        <v>2359260</v>
      </c>
    </row>
    <row r="237" spans="2:5" ht="22.8" hidden="1" thickBot="1" x14ac:dyDescent="0.5">
      <c r="B237" s="34"/>
      <c r="C237" s="27"/>
      <c r="D237" s="27"/>
      <c r="E237" s="35"/>
    </row>
    <row r="238" spans="2:5" ht="23.4" hidden="1" thickTop="1" thickBot="1" x14ac:dyDescent="0.5">
      <c r="B238" s="36"/>
      <c r="C238" s="37">
        <f>SUM(C225:C236)</f>
        <v>25959771</v>
      </c>
      <c r="D238" s="37">
        <f>SUM(D225:D236)</f>
        <v>3912540</v>
      </c>
      <c r="E238" s="38">
        <f>SUM(E225:E236)</f>
        <v>29872311</v>
      </c>
    </row>
    <row r="239" spans="2:5" hidden="1" x14ac:dyDescent="0.3"/>
    <row r="240" spans="2:5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</sheetData>
  <dataConsolidate/>
  <mergeCells count="7">
    <mergeCell ref="B221:G221"/>
    <mergeCell ref="B2:G2"/>
    <mergeCell ref="B47:G47"/>
    <mergeCell ref="B84:H84"/>
    <mergeCell ref="B124:G124"/>
    <mergeCell ref="B126:G126"/>
    <mergeCell ref="B170:G170"/>
  </mergeCells>
  <conditionalFormatting sqref="C4:D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{24D7929D-5C11-4CC7-AA73-F1AEB25D5C03}</x14:id>
        </ext>
      </extLst>
    </cfRule>
  </conditionalFormatting>
  <conditionalFormatting sqref="C49:D53 E6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{FFA0FA00-2C8D-4941-83EF-6AD2646C6644}</x14:id>
        </ext>
      </extLst>
    </cfRule>
  </conditionalFormatting>
  <conditionalFormatting sqref="C86:D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{E03B7583-4338-4318-95FB-EB11FC76D68E}</x14:id>
        </ext>
      </extLst>
    </cfRule>
  </conditionalFormatting>
  <conditionalFormatting sqref="C129:H1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{3C407BCA-3B8F-4B9B-95C0-570C7DCCE55A}</x14:id>
        </ext>
      </extLst>
    </cfRule>
  </conditionalFormatting>
  <pageMargins left="0.7" right="0.7" top="0.75" bottom="0.75" header="0.3" footer="0.3"/>
  <pageSetup paperSize="9" orientation="portrait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D7929D-5C11-4CC7-AA73-F1AEB25D5C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C4:D8</xm:sqref>
        </x14:conditionalFormatting>
        <x14:conditionalFormatting xmlns:xm="http://schemas.microsoft.com/office/excel/2006/main">
          <x14:cfRule type="dataBar" id="{FFA0FA00-2C8D-4941-83EF-6AD2646C66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C49:D53 E60</xm:sqref>
        </x14:conditionalFormatting>
        <x14:conditionalFormatting xmlns:xm="http://schemas.microsoft.com/office/excel/2006/main">
          <x14:cfRule type="dataBar" id="{E03B7583-4338-4318-95FB-EB11FC76D6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C86:D91</xm:sqref>
        </x14:conditionalFormatting>
        <x14:conditionalFormatting xmlns:xm="http://schemas.microsoft.com/office/excel/2006/main">
          <x14:cfRule type="dataBar" id="{3C407BCA-3B8F-4B9B-95C0-570C7DCCE5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C129:H129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0AB44-1C7D-41C8-9FC6-93185A46D968}">
  <sheetPr>
    <tabColor rgb="FF00B050"/>
    <pageSetUpPr autoPageBreaks="0"/>
  </sheetPr>
  <dimension ref="B2:M245"/>
  <sheetViews>
    <sheetView showGridLines="0" zoomScale="85" zoomScaleNormal="85" zoomScaleSheetLayoutView="115" workbookViewId="0">
      <selection activeCell="D131" sqref="D131:G131"/>
    </sheetView>
  </sheetViews>
  <sheetFormatPr defaultColWidth="22.33203125" defaultRowHeight="14.4" x14ac:dyDescent="0.3"/>
  <cols>
    <col min="1" max="1" width="6.6640625" customWidth="1"/>
    <col min="2" max="2" width="28.109375" customWidth="1"/>
    <col min="3" max="3" width="17.109375" customWidth="1"/>
    <col min="4" max="4" width="15.77734375" customWidth="1"/>
    <col min="5" max="5" width="11.6640625" customWidth="1"/>
    <col min="6" max="6" width="11.33203125" customWidth="1"/>
    <col min="7" max="7" width="10.77734375" customWidth="1"/>
    <col min="8" max="8" width="12.33203125" style="101" customWidth="1"/>
    <col min="9" max="9" width="16.5546875" customWidth="1"/>
    <col min="10" max="12" width="22.33203125" style="157"/>
    <col min="13" max="13" width="22.33203125" style="126"/>
  </cols>
  <sheetData>
    <row r="2" spans="2:12" ht="25.8" x14ac:dyDescent="0.5">
      <c r="B2" s="246" t="s">
        <v>68</v>
      </c>
      <c r="C2" s="246"/>
      <c r="D2" s="246"/>
      <c r="E2" s="246"/>
      <c r="F2" s="246"/>
      <c r="G2" s="246"/>
      <c r="J2" s="155"/>
      <c r="K2" s="158"/>
    </row>
    <row r="3" spans="2:12" ht="4.5" customHeight="1" x14ac:dyDescent="0.3"/>
    <row r="4" spans="2:12" x14ac:dyDescent="0.3">
      <c r="B4" s="21" t="s">
        <v>52</v>
      </c>
      <c r="C4" s="168">
        <v>143000</v>
      </c>
      <c r="D4" s="22" t="s">
        <v>4</v>
      </c>
      <c r="E4" s="173"/>
      <c r="H4" s="102"/>
      <c r="I4" s="67"/>
      <c r="J4" s="156"/>
    </row>
    <row r="5" spans="2:12" ht="28.8" x14ac:dyDescent="0.3">
      <c r="B5" s="21" t="s">
        <v>107</v>
      </c>
      <c r="C5" s="168">
        <f>(C4-C7)/5</f>
        <v>17670</v>
      </c>
      <c r="D5" s="22" t="s">
        <v>4</v>
      </c>
      <c r="I5" s="67"/>
    </row>
    <row r="6" spans="2:12" x14ac:dyDescent="0.3">
      <c r="B6" s="21" t="s">
        <v>6</v>
      </c>
      <c r="C6" s="171">
        <f>SUM(D36:G36)</f>
        <v>6797.42</v>
      </c>
      <c r="D6" s="22" t="s">
        <v>4</v>
      </c>
      <c r="E6" s="173"/>
      <c r="I6" s="67"/>
      <c r="J6" s="159"/>
    </row>
    <row r="7" spans="2:12" x14ac:dyDescent="0.3">
      <c r="B7" s="21" t="s">
        <v>66</v>
      </c>
      <c r="C7" s="171">
        <f>35351+9710+9589</f>
        <v>54650</v>
      </c>
      <c r="D7" s="22" t="s">
        <v>4</v>
      </c>
      <c r="E7" s="174"/>
      <c r="I7" s="67"/>
    </row>
    <row r="8" spans="2:12" x14ac:dyDescent="0.3">
      <c r="B8" s="21" t="s">
        <v>2</v>
      </c>
      <c r="C8" s="171">
        <f>SUM(D38:G38)</f>
        <v>0</v>
      </c>
      <c r="D8" s="22" t="s">
        <v>4</v>
      </c>
      <c r="F8" s="3"/>
    </row>
    <row r="10" spans="2:12" x14ac:dyDescent="0.3">
      <c r="D10" s="2"/>
      <c r="E10" s="175"/>
      <c r="F10" s="2"/>
      <c r="G10" s="2"/>
      <c r="J10" s="159"/>
    </row>
    <row r="11" spans="2:12" x14ac:dyDescent="0.3">
      <c r="D11" s="2"/>
      <c r="E11" s="175"/>
      <c r="F11" s="2"/>
      <c r="G11" s="2"/>
    </row>
    <row r="12" spans="2:12" x14ac:dyDescent="0.3">
      <c r="D12" s="2"/>
      <c r="E12" s="175"/>
      <c r="F12" s="2"/>
      <c r="G12" s="2"/>
    </row>
    <row r="13" spans="2:12" x14ac:dyDescent="0.3">
      <c r="K13" s="160"/>
      <c r="L13" s="160"/>
    </row>
    <row r="19" spans="2:13" x14ac:dyDescent="0.3">
      <c r="I19" s="67"/>
    </row>
    <row r="28" spans="2:13" s="101" customFormat="1" x14ac:dyDescent="0.3">
      <c r="B28"/>
      <c r="C28" s="57"/>
      <c r="D28" s="57"/>
      <c r="E28" s="173"/>
      <c r="F28" s="57"/>
      <c r="G28"/>
      <c r="I28"/>
      <c r="J28" s="157"/>
      <c r="K28" s="157"/>
      <c r="L28" s="161"/>
      <c r="M28" s="149"/>
    </row>
    <row r="29" spans="2:13" s="101" customFormat="1" x14ac:dyDescent="0.3">
      <c r="B29"/>
      <c r="C29"/>
      <c r="D29" s="56"/>
      <c r="E29"/>
      <c r="F29"/>
      <c r="G29"/>
      <c r="I29"/>
      <c r="J29" s="157"/>
      <c r="K29" s="157"/>
      <c r="L29" s="161"/>
      <c r="M29" s="149"/>
    </row>
    <row r="30" spans="2:13" s="101" customFormat="1" hidden="1" x14ac:dyDescent="0.3">
      <c r="B30"/>
      <c r="C30"/>
      <c r="D30"/>
      <c r="E30"/>
      <c r="F30"/>
      <c r="G30"/>
      <c r="I30"/>
      <c r="J30" s="157"/>
      <c r="K30" s="157"/>
      <c r="L30" s="161"/>
      <c r="M30" s="149"/>
    </row>
    <row r="31" spans="2:13" s="101" customFormat="1" hidden="1" x14ac:dyDescent="0.3">
      <c r="B31"/>
      <c r="C31"/>
      <c r="D31"/>
      <c r="E31"/>
      <c r="F31"/>
      <c r="G31"/>
      <c r="I31"/>
      <c r="J31" s="157"/>
      <c r="K31" s="157"/>
      <c r="L31" s="161"/>
      <c r="M31" s="149"/>
    </row>
    <row r="32" spans="2:13" s="101" customFormat="1" hidden="1" x14ac:dyDescent="0.3">
      <c r="B32"/>
      <c r="C32"/>
      <c r="D32"/>
      <c r="E32"/>
      <c r="F32"/>
      <c r="G32"/>
      <c r="I32"/>
      <c r="J32" s="157"/>
      <c r="K32" s="157"/>
      <c r="L32" s="161"/>
      <c r="M32" s="149"/>
    </row>
    <row r="33" spans="2:13" s="101" customFormat="1" ht="16.5" customHeight="1" x14ac:dyDescent="0.3">
      <c r="B33"/>
      <c r="C33"/>
      <c r="D33" s="57"/>
      <c r="E33" s="173"/>
      <c r="F33" s="57"/>
      <c r="G33" s="57"/>
      <c r="I33"/>
      <c r="J33" s="157"/>
      <c r="K33" s="157"/>
      <c r="L33" s="161"/>
      <c r="M33" s="149"/>
    </row>
    <row r="34" spans="2:13" ht="27.6" x14ac:dyDescent="0.3">
      <c r="B34" s="1"/>
      <c r="C34" s="1"/>
      <c r="D34" s="97" t="s">
        <v>131</v>
      </c>
      <c r="E34" s="97" t="s">
        <v>132</v>
      </c>
      <c r="F34" s="97" t="s">
        <v>133</v>
      </c>
      <c r="G34" s="97" t="s">
        <v>134</v>
      </c>
      <c r="I34" s="56"/>
    </row>
    <row r="35" spans="2:13" hidden="1" x14ac:dyDescent="0.3">
      <c r="B35" s="1"/>
      <c r="C35" s="1"/>
      <c r="D35" s="43"/>
      <c r="E35" s="177"/>
      <c r="F35" s="43"/>
      <c r="G35" s="43"/>
      <c r="I35" s="57"/>
    </row>
    <row r="36" spans="2:13" ht="16.95" customHeight="1" x14ac:dyDescent="0.3">
      <c r="B36" s="12" t="s">
        <v>135</v>
      </c>
      <c r="C36" s="6" t="s">
        <v>4</v>
      </c>
      <c r="D36" s="54">
        <v>1822.01</v>
      </c>
      <c r="E36" s="54">
        <v>1793.46</v>
      </c>
      <c r="F36" s="54">
        <v>1719.49</v>
      </c>
      <c r="G36" s="54">
        <v>1462.46</v>
      </c>
      <c r="H36" s="169"/>
      <c r="I36" s="103"/>
    </row>
    <row r="37" spans="2:13" x14ac:dyDescent="0.3">
      <c r="B37" s="12" t="s">
        <v>110</v>
      </c>
      <c r="C37" s="6"/>
      <c r="D37" s="119"/>
      <c r="E37" s="119"/>
      <c r="F37" s="119"/>
      <c r="G37" s="119"/>
      <c r="H37" s="125"/>
      <c r="I37" s="103"/>
    </row>
    <row r="38" spans="2:13" ht="15" hidden="1" thickBot="1" x14ac:dyDescent="0.35">
      <c r="B38" s="12"/>
      <c r="C38" s="6"/>
      <c r="D38" s="120"/>
      <c r="E38" s="178"/>
      <c r="F38" s="121"/>
      <c r="G38" s="122"/>
      <c r="I38" s="104"/>
    </row>
    <row r="39" spans="2:13" x14ac:dyDescent="0.3">
      <c r="B39" s="12" t="s">
        <v>3</v>
      </c>
      <c r="C39" s="6" t="s">
        <v>4</v>
      </c>
      <c r="D39" s="75">
        <f>D37+D36</f>
        <v>1822.01</v>
      </c>
      <c r="E39" s="75">
        <f>IF(E37+E36="",0,E37+E36)</f>
        <v>1793.46</v>
      </c>
      <c r="F39" s="123">
        <f>F36</f>
        <v>1719.49</v>
      </c>
      <c r="G39" s="123">
        <f>G36</f>
        <v>1462.46</v>
      </c>
      <c r="H39" s="104"/>
      <c r="I39" s="103"/>
      <c r="J39" s="162"/>
      <c r="K39" s="159"/>
    </row>
    <row r="40" spans="2:13" x14ac:dyDescent="0.3">
      <c r="B40" s="12" t="s">
        <v>108</v>
      </c>
      <c r="C40" s="8"/>
      <c r="D40" s="76">
        <f>D39</f>
        <v>1822.01</v>
      </c>
      <c r="E40" s="76">
        <f>E39+D40</f>
        <v>3615.4700000000003</v>
      </c>
      <c r="F40" s="76">
        <f>F39+E40</f>
        <v>5334.96</v>
      </c>
      <c r="G40" s="76">
        <f>G39+F40</f>
        <v>6797.42</v>
      </c>
      <c r="H40" s="118"/>
      <c r="J40" s="162"/>
    </row>
    <row r="41" spans="2:13" x14ac:dyDescent="0.3">
      <c r="B41" s="12" t="s">
        <v>109</v>
      </c>
      <c r="C41" s="6" t="s">
        <v>4</v>
      </c>
      <c r="D41" s="75">
        <f>(C5/31)*7</f>
        <v>3990</v>
      </c>
      <c r="E41" s="75">
        <f>((C5/31)*14)-D40</f>
        <v>6157.99</v>
      </c>
      <c r="F41" s="75">
        <f>((C5/31)*21)-E40</f>
        <v>8354.5299999999988</v>
      </c>
      <c r="G41" s="75">
        <f>((C5/31)*31)-F40</f>
        <v>12335.04</v>
      </c>
      <c r="H41" s="104"/>
      <c r="I41" s="67"/>
    </row>
    <row r="42" spans="2:13" x14ac:dyDescent="0.3">
      <c r="B42" s="21"/>
      <c r="C42" s="85"/>
      <c r="D42" s="86"/>
      <c r="E42" s="86"/>
      <c r="F42" s="86"/>
      <c r="G42" s="86"/>
      <c r="H42" s="104"/>
      <c r="I42" s="67"/>
    </row>
    <row r="43" spans="2:13" x14ac:dyDescent="0.3">
      <c r="B43" s="21"/>
      <c r="C43" s="85"/>
      <c r="D43" s="86"/>
      <c r="E43" s="86"/>
      <c r="F43" s="86"/>
      <c r="G43" s="86"/>
      <c r="H43" s="104"/>
    </row>
    <row r="44" spans="2:13" s="4" customFormat="1" ht="15" thickBot="1" x14ac:dyDescent="0.35">
      <c r="D44" s="59"/>
      <c r="E44" s="59"/>
      <c r="F44" s="59"/>
      <c r="G44" s="59"/>
      <c r="H44" s="105"/>
      <c r="J44" s="163"/>
      <c r="K44" s="163"/>
      <c r="L44" s="163"/>
      <c r="M44" s="151"/>
    </row>
    <row r="45" spans="2:13" ht="15" thickTop="1" x14ac:dyDescent="0.3">
      <c r="D45" s="67"/>
      <c r="E45" s="67"/>
      <c r="F45" s="67"/>
    </row>
    <row r="47" spans="2:13" ht="25.8" x14ac:dyDescent="0.5">
      <c r="B47" s="246" t="s">
        <v>69</v>
      </c>
      <c r="C47" s="246"/>
      <c r="D47" s="246"/>
      <c r="E47" s="246"/>
      <c r="F47" s="246"/>
      <c r="G47" s="246"/>
      <c r="J47" s="159"/>
      <c r="K47" s="162"/>
    </row>
    <row r="48" spans="2:13" ht="4.95" customHeight="1" x14ac:dyDescent="0.3"/>
    <row r="49" spans="2:9" x14ac:dyDescent="0.3">
      <c r="B49" s="21" t="s">
        <v>52</v>
      </c>
      <c r="C49" s="168">
        <v>9907200</v>
      </c>
      <c r="D49" s="22" t="s">
        <v>8</v>
      </c>
      <c r="I49" s="96"/>
    </row>
    <row r="50" spans="2:9" x14ac:dyDescent="0.3">
      <c r="B50" s="21" t="s">
        <v>31</v>
      </c>
      <c r="C50" s="168">
        <f>(C49-C52)/5</f>
        <v>1332677.6000000001</v>
      </c>
      <c r="D50" s="22" t="s">
        <v>8</v>
      </c>
    </row>
    <row r="51" spans="2:9" x14ac:dyDescent="0.3">
      <c r="B51" s="21" t="s">
        <v>6</v>
      </c>
      <c r="C51" s="171">
        <f>SUM(D78:G78)</f>
        <v>557424</v>
      </c>
      <c r="D51" s="22" t="s">
        <v>8</v>
      </c>
      <c r="E51" s="173"/>
    </row>
    <row r="52" spans="2:9" x14ac:dyDescent="0.3">
      <c r="B52" s="21" t="s">
        <v>67</v>
      </c>
      <c r="C52" s="171">
        <f>1829488+817937+596387</f>
        <v>3243812</v>
      </c>
      <c r="D52" s="22" t="s">
        <v>8</v>
      </c>
      <c r="E52" s="173"/>
    </row>
    <row r="53" spans="2:9" x14ac:dyDescent="0.3">
      <c r="B53" s="21" t="s">
        <v>9</v>
      </c>
      <c r="C53" s="171">
        <f>C50-C51</f>
        <v>775253.60000000009</v>
      </c>
      <c r="D53" s="22" t="s">
        <v>8</v>
      </c>
    </row>
    <row r="60" spans="2:9" x14ac:dyDescent="0.3">
      <c r="E60" s="22" t="s">
        <v>8</v>
      </c>
    </row>
    <row r="77" spans="2:9" ht="27.6" x14ac:dyDescent="0.3">
      <c r="B77" s="1"/>
      <c r="C77" s="1"/>
      <c r="D77" s="97" t="str">
        <f>D34</f>
        <v>WEEK 1
(Feb1-8)</v>
      </c>
      <c r="E77" s="97" t="str">
        <f>E34</f>
        <v>WEEK 2
(Feb9-15)</v>
      </c>
      <c r="F77" s="97" t="str">
        <f>F34</f>
        <v>WEEk 3
(Feb16-22)</v>
      </c>
      <c r="G77" s="97" t="str">
        <f>G34</f>
        <v>WEEk 4
(Feb23-28)</v>
      </c>
    </row>
    <row r="78" spans="2:9" x14ac:dyDescent="0.3">
      <c r="B78" s="5" t="s">
        <v>1</v>
      </c>
      <c r="C78" s="9" t="s">
        <v>8</v>
      </c>
      <c r="D78" s="184">
        <v>80667</v>
      </c>
      <c r="E78" s="184">
        <v>163084</v>
      </c>
      <c r="F78" s="184">
        <v>173423</v>
      </c>
      <c r="G78" s="184">
        <v>140250</v>
      </c>
      <c r="H78" s="118"/>
      <c r="I78" s="57"/>
    </row>
    <row r="79" spans="2:9" x14ac:dyDescent="0.3">
      <c r="B79" s="7" t="s">
        <v>5</v>
      </c>
      <c r="C79" s="9" t="s">
        <v>8</v>
      </c>
      <c r="D79" s="98">
        <f>D78</f>
        <v>80667</v>
      </c>
      <c r="E79" s="98">
        <f>D79+E78</f>
        <v>243751</v>
      </c>
      <c r="F79" s="98">
        <f>E79+F78</f>
        <v>417174</v>
      </c>
      <c r="G79" s="98">
        <f>F79+G78</f>
        <v>557424</v>
      </c>
      <c r="H79" s="106"/>
    </row>
    <row r="80" spans="2:9" x14ac:dyDescent="0.3">
      <c r="B80" s="5" t="s">
        <v>9</v>
      </c>
      <c r="C80" s="9" t="s">
        <v>8</v>
      </c>
      <c r="D80" s="98">
        <f>C50/4</f>
        <v>333169.40000000002</v>
      </c>
      <c r="E80" s="98">
        <f>(C50-D79)/3</f>
        <v>417336.8666666667</v>
      </c>
      <c r="F80" s="98">
        <f>($C$50-E79)/2</f>
        <v>544463.30000000005</v>
      </c>
      <c r="G80" s="98">
        <f>(C50-F79)/1</f>
        <v>915503.60000000009</v>
      </c>
      <c r="H80" s="104"/>
    </row>
    <row r="81" spans="2:13" x14ac:dyDescent="0.3">
      <c r="B81" s="5"/>
      <c r="C81" s="9"/>
      <c r="D81" s="98"/>
      <c r="E81" s="98"/>
      <c r="F81" s="98"/>
      <c r="G81" s="98"/>
      <c r="H81" s="104"/>
      <c r="I81" s="3"/>
      <c r="J81" s="3"/>
      <c r="K81" s="3"/>
      <c r="L81" s="3"/>
    </row>
    <row r="82" spans="2:13" s="4" customFormat="1" ht="15" thickBot="1" x14ac:dyDescent="0.35">
      <c r="H82" s="105"/>
      <c r="J82" s="163"/>
      <c r="K82" s="163"/>
      <c r="L82" s="163"/>
      <c r="M82" s="151"/>
    </row>
    <row r="83" spans="2:13" ht="15" thickTop="1" x14ac:dyDescent="0.3"/>
    <row r="84" spans="2:13" s="101" customFormat="1" ht="25.8" x14ac:dyDescent="0.5">
      <c r="B84" s="246" t="s">
        <v>70</v>
      </c>
      <c r="C84" s="246"/>
      <c r="D84" s="246"/>
      <c r="E84" s="246"/>
      <c r="F84" s="246"/>
      <c r="G84" s="246"/>
      <c r="H84" s="246"/>
      <c r="I84"/>
      <c r="J84" s="157"/>
      <c r="K84" s="157"/>
      <c r="L84" s="161"/>
      <c r="M84" s="149"/>
    </row>
    <row r="85" spans="2:13" s="101" customFormat="1" ht="6.45" customHeight="1" x14ac:dyDescent="0.3">
      <c r="B85"/>
      <c r="C85"/>
      <c r="D85"/>
      <c r="E85"/>
      <c r="F85"/>
      <c r="G85"/>
      <c r="I85"/>
      <c r="J85" s="157"/>
      <c r="K85" s="157"/>
      <c r="L85" s="161"/>
      <c r="M85" s="149"/>
    </row>
    <row r="86" spans="2:13" s="101" customFormat="1" ht="16.2" x14ac:dyDescent="0.3">
      <c r="B86" s="172" t="s">
        <v>52</v>
      </c>
      <c r="C86" s="168">
        <v>10000000</v>
      </c>
      <c r="D86" s="22" t="s">
        <v>11</v>
      </c>
      <c r="E86"/>
      <c r="F86"/>
      <c r="G86"/>
      <c r="I86"/>
      <c r="J86" s="157"/>
      <c r="K86" s="157"/>
      <c r="L86" s="161"/>
      <c r="M86" s="149"/>
    </row>
    <row r="87" spans="2:13" s="101" customFormat="1" ht="16.2" x14ac:dyDescent="0.3">
      <c r="B87" s="172" t="s">
        <v>31</v>
      </c>
      <c r="C87" s="168">
        <f>(C86-C89)/5</f>
        <v>1399717.4</v>
      </c>
      <c r="D87" s="22" t="s">
        <v>11</v>
      </c>
      <c r="E87"/>
      <c r="I87"/>
      <c r="J87" s="157"/>
      <c r="K87" s="157"/>
      <c r="L87" s="161"/>
      <c r="M87" s="149"/>
    </row>
    <row r="88" spans="2:13" s="101" customFormat="1" ht="16.2" x14ac:dyDescent="0.3">
      <c r="B88" s="172" t="s">
        <v>1</v>
      </c>
      <c r="C88" s="171">
        <f>SUM(D115:G115,D117:G117)</f>
        <v>512424</v>
      </c>
      <c r="D88" s="22" t="s">
        <v>11</v>
      </c>
      <c r="E88" s="173"/>
      <c r="F88"/>
      <c r="G88"/>
      <c r="I88"/>
      <c r="J88" s="157"/>
      <c r="K88" s="157"/>
      <c r="L88" s="161"/>
      <c r="M88" s="149"/>
    </row>
    <row r="89" spans="2:13" s="101" customFormat="1" ht="16.2" x14ac:dyDescent="0.3">
      <c r="B89" s="172" t="s">
        <v>67</v>
      </c>
      <c r="C89" s="171">
        <f>1576109+616747+808557</f>
        <v>3001413</v>
      </c>
      <c r="D89" s="22" t="s">
        <v>11</v>
      </c>
      <c r="E89" s="173"/>
      <c r="F89"/>
      <c r="G89"/>
      <c r="I89"/>
      <c r="J89" s="157"/>
      <c r="K89" s="157"/>
      <c r="L89" s="161"/>
      <c r="M89" s="149"/>
    </row>
    <row r="90" spans="2:13" s="101" customFormat="1" ht="16.2" x14ac:dyDescent="0.3">
      <c r="B90" s="172" t="s">
        <v>9</v>
      </c>
      <c r="C90" s="171">
        <f>C87-C88</f>
        <v>887293.39999999991</v>
      </c>
      <c r="D90" s="22" t="s">
        <v>11</v>
      </c>
      <c r="E90" s="67"/>
      <c r="F90"/>
      <c r="G90"/>
      <c r="I90"/>
      <c r="J90" s="157"/>
      <c r="K90" s="157"/>
      <c r="L90" s="161"/>
      <c r="M90" s="149"/>
    </row>
    <row r="91" spans="2:13" s="101" customFormat="1" ht="7.5" customHeight="1" x14ac:dyDescent="0.3">
      <c r="B91"/>
      <c r="C91"/>
      <c r="D91"/>
      <c r="E91"/>
      <c r="F91"/>
      <c r="G91"/>
      <c r="I91"/>
      <c r="J91" s="157"/>
      <c r="K91" s="157"/>
      <c r="L91" s="161"/>
      <c r="M91" s="149"/>
    </row>
    <row r="104" spans="9:9" x14ac:dyDescent="0.3">
      <c r="I104" s="57"/>
    </row>
    <row r="113" spans="2:13" x14ac:dyDescent="0.3">
      <c r="D113" s="67"/>
      <c r="E113" s="67"/>
      <c r="F113" s="67"/>
    </row>
    <row r="114" spans="2:13" ht="27.6" x14ac:dyDescent="0.3">
      <c r="B114" s="1"/>
      <c r="C114" s="1"/>
      <c r="D114" s="97" t="str">
        <f>D77</f>
        <v>WEEK 1
(Feb1-8)</v>
      </c>
      <c r="E114" s="97" t="str">
        <f>E77</f>
        <v>WEEK 2
(Feb9-15)</v>
      </c>
      <c r="F114" s="97" t="str">
        <f>F77</f>
        <v>WEEk 3
(Feb16-22)</v>
      </c>
      <c r="G114" s="97" t="str">
        <f>G77</f>
        <v>WEEk 4
(Feb23-28)</v>
      </c>
      <c r="H114" s="111"/>
      <c r="I114" s="74"/>
      <c r="J114" s="162"/>
    </row>
    <row r="115" spans="2:13" ht="16.2" x14ac:dyDescent="0.3">
      <c r="B115" s="79" t="s">
        <v>43</v>
      </c>
      <c r="C115" s="9" t="s">
        <v>11</v>
      </c>
      <c r="D115" s="184">
        <v>141882</v>
      </c>
      <c r="E115" s="69">
        <v>137632</v>
      </c>
      <c r="F115" s="69">
        <v>124817</v>
      </c>
      <c r="G115" s="69">
        <v>99417</v>
      </c>
      <c r="H115" s="108"/>
      <c r="I115" s="77"/>
      <c r="J115" s="164"/>
      <c r="K115" s="162"/>
    </row>
    <row r="116" spans="2:13" ht="16.2" x14ac:dyDescent="0.3">
      <c r="B116" s="79" t="s">
        <v>41</v>
      </c>
      <c r="C116" s="9" t="s">
        <v>11</v>
      </c>
      <c r="D116" s="184">
        <f>D78*0.47</f>
        <v>37913.49</v>
      </c>
      <c r="E116" s="184">
        <f>E78*0.47</f>
        <v>76649.48</v>
      </c>
      <c r="F116" s="184">
        <f>F78*0.47</f>
        <v>81508.81</v>
      </c>
      <c r="G116" s="184">
        <f>G78*0.47</f>
        <v>65917.5</v>
      </c>
      <c r="H116" s="108"/>
      <c r="I116" s="57"/>
    </row>
    <row r="117" spans="2:13" ht="16.2" x14ac:dyDescent="0.3">
      <c r="B117" s="12" t="s">
        <v>12</v>
      </c>
      <c r="C117" s="9" t="s">
        <v>11</v>
      </c>
      <c r="D117" s="69">
        <v>8676</v>
      </c>
      <c r="E117" s="69"/>
      <c r="F117" s="69"/>
      <c r="G117" s="69"/>
      <c r="H117" s="108"/>
      <c r="I117" s="77"/>
      <c r="J117" s="164"/>
    </row>
    <row r="118" spans="2:13" x14ac:dyDescent="0.3">
      <c r="B118" s="12" t="s">
        <v>13</v>
      </c>
      <c r="C118" s="9" t="s">
        <v>10</v>
      </c>
      <c r="D118" s="69">
        <f>D115+D117</f>
        <v>150558</v>
      </c>
      <c r="E118" s="69">
        <f>E115+E117</f>
        <v>137632</v>
      </c>
      <c r="F118" s="69">
        <f>SUM(F115:F117)</f>
        <v>206325.81</v>
      </c>
      <c r="G118" s="69">
        <f>SUM(G115:G117)</f>
        <v>165334.5</v>
      </c>
      <c r="H118" s="108"/>
      <c r="I118" s="77"/>
    </row>
    <row r="119" spans="2:13" x14ac:dyDescent="0.3">
      <c r="B119" s="13" t="s">
        <v>5</v>
      </c>
      <c r="C119" s="9" t="s">
        <v>10</v>
      </c>
      <c r="D119" s="185">
        <f>D118</f>
        <v>150558</v>
      </c>
      <c r="E119" s="185">
        <f>D119+E118</f>
        <v>288190</v>
      </c>
      <c r="F119" s="185">
        <f>E119+F118</f>
        <v>494515.81</v>
      </c>
      <c r="G119" s="185">
        <f>F119+G118</f>
        <v>659850.31000000006</v>
      </c>
      <c r="H119" s="108"/>
    </row>
    <row r="120" spans="2:13" ht="28.8" x14ac:dyDescent="0.3">
      <c r="B120" s="187" t="s">
        <v>130</v>
      </c>
      <c r="C120" s="9" t="s">
        <v>10</v>
      </c>
      <c r="D120" s="188">
        <f>D36*101*0.7842</f>
        <v>144310.844442</v>
      </c>
      <c r="E120" s="188">
        <f>E36*101*0.7842</f>
        <v>142049.56453199999</v>
      </c>
      <c r="F120" s="188">
        <f>F36*101*0.7842</f>
        <v>136190.82985799998</v>
      </c>
      <c r="G120" s="188">
        <f>G36*101*0.7842</f>
        <v>115832.974332</v>
      </c>
      <c r="H120" s="108"/>
    </row>
    <row r="121" spans="2:13" x14ac:dyDescent="0.3">
      <c r="B121" s="12" t="s">
        <v>53</v>
      </c>
      <c r="C121" s="9" t="s">
        <v>10</v>
      </c>
      <c r="D121" s="185">
        <f>$C$87/4</f>
        <v>349929.35</v>
      </c>
      <c r="E121" s="185">
        <f>($C$87-D119)/3</f>
        <v>416386.46666666662</v>
      </c>
      <c r="F121" s="185">
        <f>($C$87-E119)/2</f>
        <v>555763.69999999995</v>
      </c>
      <c r="G121" s="185">
        <f>($C$87-F119)/1</f>
        <v>905201.58999999985</v>
      </c>
      <c r="H121" s="108"/>
      <c r="I121" s="61"/>
    </row>
    <row r="122" spans="2:13" s="4" customFormat="1" ht="15" thickBot="1" x14ac:dyDescent="0.35">
      <c r="H122" s="105"/>
      <c r="J122" s="163"/>
      <c r="K122" s="163"/>
      <c r="L122" s="163"/>
      <c r="M122" s="151"/>
    </row>
    <row r="123" spans="2:13" ht="15" thickTop="1" x14ac:dyDescent="0.3"/>
    <row r="124" spans="2:13" ht="25.8" x14ac:dyDescent="0.5">
      <c r="B124" s="246" t="s">
        <v>71</v>
      </c>
      <c r="C124" s="246"/>
      <c r="D124" s="246"/>
      <c r="E124" s="246"/>
      <c r="F124" s="246"/>
      <c r="G124" s="246"/>
    </row>
    <row r="125" spans="2:13" ht="4.05" customHeight="1" x14ac:dyDescent="0.3">
      <c r="B125" s="20"/>
      <c r="C125" s="20"/>
      <c r="D125" s="20"/>
      <c r="E125" s="20"/>
      <c r="F125" s="20"/>
      <c r="G125" s="20"/>
    </row>
    <row r="126" spans="2:13" ht="14.55" customHeight="1" x14ac:dyDescent="0.3">
      <c r="B126" s="244" t="s">
        <v>20</v>
      </c>
      <c r="C126" s="244"/>
      <c r="D126" s="244"/>
      <c r="E126" s="244"/>
      <c r="F126" s="244"/>
      <c r="G126" s="244"/>
    </row>
    <row r="127" spans="2:13" x14ac:dyDescent="0.3">
      <c r="D127" s="19">
        <v>101</v>
      </c>
      <c r="E127" s="19" t="s">
        <v>18</v>
      </c>
    </row>
    <row r="128" spans="2:13" ht="27.6" x14ac:dyDescent="0.3">
      <c r="D128" s="176" t="str">
        <f>D77</f>
        <v>WEEK 1
(Feb1-8)</v>
      </c>
      <c r="E128" s="176" t="str">
        <f>E77</f>
        <v>WEEK 2
(Feb9-15)</v>
      </c>
      <c r="F128" s="176" t="str">
        <f>F77</f>
        <v>WEEk 3
(Feb16-22)</v>
      </c>
      <c r="G128" s="176" t="str">
        <f>G77</f>
        <v>WEEk 4
(Feb23-28)</v>
      </c>
      <c r="H128" s="182" t="s">
        <v>37</v>
      </c>
      <c r="I128" s="74"/>
    </row>
    <row r="129" spans="2:10" hidden="1" x14ac:dyDescent="0.3">
      <c r="D129" s="10"/>
      <c r="E129" s="179"/>
      <c r="F129" s="10"/>
      <c r="G129" s="10"/>
      <c r="H129" s="107"/>
      <c r="I129" s="74"/>
    </row>
    <row r="130" spans="2:10" x14ac:dyDescent="0.3">
      <c r="B130" s="172" t="s">
        <v>15</v>
      </c>
      <c r="C130" s="22" t="s">
        <v>10</v>
      </c>
      <c r="D130" s="23">
        <f>D36</f>
        <v>1822.01</v>
      </c>
      <c r="E130" s="23">
        <f>E36</f>
        <v>1793.46</v>
      </c>
      <c r="F130" s="23">
        <f>F36</f>
        <v>1719.49</v>
      </c>
      <c r="G130" s="23">
        <f>G36</f>
        <v>1462.46</v>
      </c>
      <c r="H130" s="109">
        <f>SUM(D130:G130)</f>
        <v>6797.42</v>
      </c>
      <c r="I130" s="78"/>
    </row>
    <row r="131" spans="2:10" x14ac:dyDescent="0.3">
      <c r="B131" s="172" t="s">
        <v>17</v>
      </c>
      <c r="C131" s="22" t="s">
        <v>10</v>
      </c>
      <c r="D131" s="23">
        <f>D134*D130</f>
        <v>184023.01</v>
      </c>
      <c r="E131" s="23">
        <f>E134*E130</f>
        <v>181139.46</v>
      </c>
      <c r="F131" s="23">
        <f>F134*F130</f>
        <v>173668.49</v>
      </c>
      <c r="G131" s="23">
        <f>G134*G130</f>
        <v>147708.46</v>
      </c>
      <c r="H131" s="110">
        <f>H134*H130</f>
        <v>686539.42</v>
      </c>
      <c r="I131" s="63"/>
    </row>
    <row r="132" spans="2:10" x14ac:dyDescent="0.3">
      <c r="B132" s="172" t="s">
        <v>16</v>
      </c>
      <c r="C132" s="22" t="s">
        <v>10</v>
      </c>
      <c r="D132" s="23">
        <f>D118+D78*0.47</f>
        <v>188471.49</v>
      </c>
      <c r="E132" s="23">
        <f>E118+E78*0.47</f>
        <v>214281.47999999998</v>
      </c>
      <c r="F132" s="23">
        <f>F118</f>
        <v>206325.81</v>
      </c>
      <c r="G132" s="23">
        <f>G118</f>
        <v>165334.5</v>
      </c>
      <c r="H132" s="109">
        <f>SUM(D132:G132)</f>
        <v>774413.28</v>
      </c>
      <c r="I132" s="62"/>
      <c r="J132" s="159"/>
    </row>
    <row r="133" spans="2:10" x14ac:dyDescent="0.3">
      <c r="B133" s="172" t="s">
        <v>22</v>
      </c>
      <c r="C133" s="22" t="s">
        <v>19</v>
      </c>
      <c r="D133" s="23">
        <f>IFERROR(D132/D130,"")</f>
        <v>103.44152337253911</v>
      </c>
      <c r="E133" s="23">
        <f>IFERROR(E132/E130,"")</f>
        <v>119.4793750627279</v>
      </c>
      <c r="F133" s="23">
        <f>IFERROR(F132/F130,"")</f>
        <v>119.99244543440206</v>
      </c>
      <c r="G133" s="23">
        <f>IFERROR(G132/G130,"")</f>
        <v>113.05232279857226</v>
      </c>
      <c r="H133" s="110">
        <f>H132/H130</f>
        <v>113.92753132806271</v>
      </c>
      <c r="I133" s="63"/>
    </row>
    <row r="134" spans="2:10" x14ac:dyDescent="0.3">
      <c r="B134" s="172" t="s">
        <v>23</v>
      </c>
      <c r="C134" s="22" t="s">
        <v>19</v>
      </c>
      <c r="D134" s="23">
        <v>101</v>
      </c>
      <c r="E134" s="23">
        <v>101</v>
      </c>
      <c r="F134" s="23">
        <v>101</v>
      </c>
      <c r="G134" s="23">
        <v>101</v>
      </c>
      <c r="H134" s="116">
        <v>101</v>
      </c>
      <c r="I134" s="78"/>
      <c r="J134" s="162"/>
    </row>
    <row r="135" spans="2:10" x14ac:dyDescent="0.3">
      <c r="B135" s="21"/>
      <c r="C135" s="22"/>
      <c r="D135" s="23"/>
      <c r="E135" s="23"/>
      <c r="F135" s="23"/>
      <c r="G135" s="23"/>
      <c r="H135" s="103"/>
    </row>
    <row r="136" spans="2:10" x14ac:dyDescent="0.3">
      <c r="B136" s="21"/>
      <c r="C136" s="22"/>
      <c r="D136" s="23"/>
      <c r="E136" s="23"/>
      <c r="F136" s="23"/>
      <c r="G136" s="23"/>
    </row>
    <row r="137" spans="2:10" x14ac:dyDescent="0.3">
      <c r="B137" s="21"/>
      <c r="C137" s="22"/>
      <c r="D137" s="23"/>
      <c r="E137" s="23"/>
      <c r="F137" s="23"/>
      <c r="G137" s="23"/>
    </row>
    <row r="138" spans="2:10" x14ac:dyDescent="0.3">
      <c r="B138" s="21"/>
      <c r="C138" s="22"/>
      <c r="D138" s="23"/>
      <c r="E138" s="23"/>
      <c r="F138" s="23"/>
      <c r="G138" s="23"/>
    </row>
    <row r="139" spans="2:10" x14ac:dyDescent="0.3">
      <c r="B139" s="21"/>
      <c r="C139" s="22"/>
      <c r="D139" s="23"/>
      <c r="E139" s="23"/>
      <c r="F139" s="23"/>
      <c r="G139" s="23"/>
    </row>
    <row r="140" spans="2:10" x14ac:dyDescent="0.3">
      <c r="B140" s="21"/>
      <c r="C140" s="22"/>
      <c r="D140" s="23"/>
      <c r="E140" s="23"/>
      <c r="F140" s="23"/>
      <c r="G140" s="23"/>
    </row>
    <row r="141" spans="2:10" x14ac:dyDescent="0.3">
      <c r="B141" s="21"/>
      <c r="C141" s="22"/>
      <c r="D141" s="23"/>
      <c r="E141" s="23"/>
      <c r="F141" s="23"/>
      <c r="G141" s="23"/>
    </row>
    <row r="142" spans="2:10" x14ac:dyDescent="0.3">
      <c r="B142" s="21"/>
      <c r="C142" s="22"/>
      <c r="D142" s="23"/>
      <c r="E142" s="23"/>
      <c r="F142" s="23"/>
      <c r="G142" s="23"/>
    </row>
    <row r="143" spans="2:10" x14ac:dyDescent="0.3">
      <c r="B143" s="21"/>
      <c r="C143" s="22"/>
      <c r="D143" s="23"/>
      <c r="E143" s="23"/>
      <c r="F143" s="23"/>
      <c r="G143" s="23"/>
    </row>
    <row r="144" spans="2:10" x14ac:dyDescent="0.3">
      <c r="B144" s="21"/>
      <c r="C144" s="22"/>
      <c r="D144" s="23"/>
      <c r="E144" s="23"/>
      <c r="F144" s="23"/>
      <c r="G144" s="23"/>
      <c r="J144" s="183"/>
    </row>
    <row r="145" spans="2:7" x14ac:dyDescent="0.3">
      <c r="B145" s="21"/>
      <c r="C145" s="22"/>
      <c r="D145" s="23"/>
      <c r="E145" s="23"/>
      <c r="F145" s="23"/>
      <c r="G145" s="23"/>
    </row>
    <row r="146" spans="2:7" x14ac:dyDescent="0.3">
      <c r="B146" s="21"/>
      <c r="C146" s="22"/>
      <c r="D146" s="23"/>
      <c r="E146" s="23"/>
      <c r="F146" s="23"/>
      <c r="G146" s="23"/>
    </row>
    <row r="147" spans="2:7" x14ac:dyDescent="0.3">
      <c r="B147" s="21"/>
      <c r="C147" s="22"/>
      <c r="D147" s="23"/>
      <c r="E147" s="23"/>
      <c r="F147" s="23"/>
      <c r="G147" s="23"/>
    </row>
    <row r="148" spans="2:7" x14ac:dyDescent="0.3">
      <c r="B148" s="21"/>
      <c r="C148" s="22"/>
      <c r="D148" s="23"/>
      <c r="E148" s="23"/>
      <c r="F148" s="23"/>
      <c r="G148" s="23"/>
    </row>
    <row r="149" spans="2:7" x14ac:dyDescent="0.3">
      <c r="B149" s="21"/>
      <c r="C149" s="22"/>
      <c r="D149" s="23"/>
      <c r="E149" s="23"/>
      <c r="F149" s="23"/>
      <c r="G149" s="23"/>
    </row>
    <row r="150" spans="2:7" x14ac:dyDescent="0.3">
      <c r="B150" s="21"/>
      <c r="C150" s="22"/>
      <c r="D150" s="23"/>
      <c r="E150" s="23"/>
      <c r="F150" s="23"/>
      <c r="G150" s="23"/>
    </row>
    <row r="151" spans="2:7" x14ac:dyDescent="0.3">
      <c r="B151" s="21"/>
      <c r="C151" s="22"/>
      <c r="D151" s="23"/>
      <c r="E151" s="23"/>
      <c r="F151" s="23"/>
      <c r="G151" s="23"/>
    </row>
    <row r="152" spans="2:7" x14ac:dyDescent="0.3">
      <c r="B152" s="21"/>
      <c r="C152" s="22"/>
      <c r="D152" s="23"/>
      <c r="E152" s="23"/>
      <c r="F152" s="23"/>
      <c r="G152" s="23"/>
    </row>
    <row r="153" spans="2:7" x14ac:dyDescent="0.3">
      <c r="B153" s="21"/>
      <c r="C153" s="22"/>
      <c r="D153" s="23"/>
      <c r="E153" s="23"/>
      <c r="F153" s="23"/>
      <c r="G153" s="23"/>
    </row>
    <row r="154" spans="2:7" x14ac:dyDescent="0.3">
      <c r="B154" s="21"/>
      <c r="C154" s="22"/>
      <c r="D154" s="23"/>
      <c r="E154" s="23"/>
      <c r="F154" s="23"/>
      <c r="G154" s="23"/>
    </row>
    <row r="155" spans="2:7" x14ac:dyDescent="0.3">
      <c r="B155" s="21"/>
      <c r="C155" s="22"/>
      <c r="D155" s="23"/>
      <c r="E155" s="23"/>
      <c r="F155" s="23"/>
      <c r="G155" s="23"/>
    </row>
    <row r="156" spans="2:7" x14ac:dyDescent="0.3">
      <c r="B156" s="21"/>
      <c r="C156" s="22"/>
      <c r="D156" s="23"/>
      <c r="E156" s="23"/>
      <c r="F156" s="23"/>
      <c r="G156" s="23"/>
    </row>
    <row r="157" spans="2:7" x14ac:dyDescent="0.3">
      <c r="B157" s="21"/>
      <c r="C157" s="22"/>
      <c r="D157" s="23"/>
      <c r="E157" s="23"/>
      <c r="F157" s="23"/>
      <c r="G157" s="23"/>
    </row>
    <row r="158" spans="2:7" x14ac:dyDescent="0.3">
      <c r="B158" s="21"/>
      <c r="C158" s="22"/>
      <c r="D158" s="23"/>
      <c r="E158" s="23"/>
      <c r="F158" s="23"/>
      <c r="G158" s="23"/>
    </row>
    <row r="159" spans="2:7" x14ac:dyDescent="0.3">
      <c r="B159" s="21"/>
      <c r="C159" s="22"/>
      <c r="D159" s="23"/>
      <c r="E159" s="23"/>
      <c r="F159" s="23"/>
      <c r="G159" s="23"/>
    </row>
    <row r="160" spans="2:7" x14ac:dyDescent="0.3">
      <c r="B160" s="21"/>
      <c r="C160" s="22"/>
      <c r="D160" s="23"/>
      <c r="E160" s="23"/>
      <c r="F160" s="23"/>
      <c r="G160" s="23"/>
    </row>
    <row r="161" spans="2:10" x14ac:dyDescent="0.3">
      <c r="B161" s="21"/>
      <c r="C161" s="22"/>
      <c r="D161" s="23"/>
      <c r="E161" s="23"/>
      <c r="F161" s="23"/>
      <c r="G161" s="23"/>
    </row>
    <row r="162" spans="2:10" x14ac:dyDescent="0.3">
      <c r="B162" s="21"/>
      <c r="C162" s="22"/>
      <c r="D162" s="23"/>
      <c r="E162" s="23"/>
      <c r="F162" s="23"/>
      <c r="G162" s="23"/>
    </row>
    <row r="163" spans="2:10" x14ac:dyDescent="0.3">
      <c r="B163" s="21"/>
      <c r="C163" s="22"/>
      <c r="D163" s="23"/>
      <c r="E163" s="23"/>
      <c r="F163" s="23"/>
      <c r="G163" s="23"/>
    </row>
    <row r="164" spans="2:10" x14ac:dyDescent="0.3">
      <c r="B164" s="21"/>
      <c r="C164" s="22"/>
      <c r="D164" s="23"/>
      <c r="E164" s="23"/>
      <c r="F164" s="23"/>
      <c r="G164" s="23"/>
    </row>
    <row r="165" spans="2:10" x14ac:dyDescent="0.3">
      <c r="H165" s="103"/>
      <c r="I165" s="57"/>
    </row>
    <row r="170" spans="2:10" ht="15.6" x14ac:dyDescent="0.3">
      <c r="B170" s="245" t="s">
        <v>21</v>
      </c>
      <c r="C170" s="245"/>
      <c r="D170" s="245"/>
      <c r="E170" s="245"/>
      <c r="F170" s="245"/>
      <c r="G170" s="245"/>
    </row>
    <row r="171" spans="2:10" ht="27.6" x14ac:dyDescent="0.3">
      <c r="D171" s="176" t="str">
        <f>D128</f>
        <v>WEEK 1
(Feb1-8)</v>
      </c>
      <c r="E171" s="176" t="str">
        <f>E128</f>
        <v>WEEK 2
(Feb9-15)</v>
      </c>
      <c r="F171" s="176" t="str">
        <f>F128</f>
        <v>WEEk 3
(Feb16-22)</v>
      </c>
      <c r="G171" s="176" t="str">
        <f>G128</f>
        <v>WEEk 4
(Feb23-28)</v>
      </c>
      <c r="H171" s="111" t="s">
        <v>37</v>
      </c>
      <c r="I171" s="64"/>
    </row>
    <row r="172" spans="2:10" x14ac:dyDescent="0.3">
      <c r="B172" s="64" t="s">
        <v>15</v>
      </c>
      <c r="C172" s="22" t="s">
        <v>10</v>
      </c>
      <c r="D172" s="23">
        <f>D130*(D175/15)</f>
        <v>1768.4429059999998</v>
      </c>
      <c r="E172" s="23">
        <f>E130*(E175/15)</f>
        <v>1768.231996</v>
      </c>
      <c r="F172" s="23">
        <f>F130*(F175/15)</f>
        <v>1699.7731813333332</v>
      </c>
      <c r="G172" s="23">
        <f>G130*(G175/15)</f>
        <v>1449.1028653333333</v>
      </c>
      <c r="H172" s="108">
        <f>SUM(D172:G172)</f>
        <v>6685.550948666666</v>
      </c>
      <c r="I172" s="61"/>
      <c r="J172" s="165"/>
    </row>
    <row r="173" spans="2:10" x14ac:dyDescent="0.3">
      <c r="B173" s="64" t="s">
        <v>17</v>
      </c>
      <c r="C173" s="22" t="s">
        <v>10</v>
      </c>
      <c r="D173" s="23">
        <f>D172*$D$127</f>
        <v>178612.73350599999</v>
      </c>
      <c r="E173" s="23">
        <f>E172*$D$127</f>
        <v>178591.43159600001</v>
      </c>
      <c r="F173" s="23">
        <f>F172*$D$127</f>
        <v>171677.09131466667</v>
      </c>
      <c r="G173" s="23">
        <f>G172*$D$127</f>
        <v>146359.38939866665</v>
      </c>
      <c r="H173" s="110">
        <f>H172*105</f>
        <v>701982.84960999992</v>
      </c>
      <c r="I173" s="63"/>
    </row>
    <row r="174" spans="2:10" x14ac:dyDescent="0.3">
      <c r="B174" s="64" t="s">
        <v>16</v>
      </c>
      <c r="C174" s="22" t="s">
        <v>10</v>
      </c>
      <c r="D174" s="23">
        <f>D132</f>
        <v>188471.49</v>
      </c>
      <c r="E174" s="23">
        <f>E132</f>
        <v>214281.47999999998</v>
      </c>
      <c r="F174" s="23">
        <f>F132</f>
        <v>206325.81</v>
      </c>
      <c r="G174" s="23">
        <f>G132</f>
        <v>165334.5</v>
      </c>
      <c r="H174" s="112">
        <f>SUM(D174:G174)</f>
        <v>774413.28</v>
      </c>
      <c r="I174" s="63"/>
      <c r="J174" s="159"/>
    </row>
    <row r="175" spans="2:10" x14ac:dyDescent="0.3">
      <c r="B175" s="64" t="s">
        <v>39</v>
      </c>
      <c r="C175" s="22"/>
      <c r="D175" s="186">
        <v>14.558999999999999</v>
      </c>
      <c r="E175" s="186">
        <v>14.789</v>
      </c>
      <c r="F175" s="186">
        <v>14.827999999999999</v>
      </c>
      <c r="G175" s="186">
        <v>14.863</v>
      </c>
      <c r="H175" s="113">
        <f>AVERAGE(D175:G175)</f>
        <v>14.75975</v>
      </c>
      <c r="I175" s="87"/>
    </row>
    <row r="176" spans="2:10" x14ac:dyDescent="0.3">
      <c r="B176" s="21" t="s">
        <v>22</v>
      </c>
      <c r="C176" s="22" t="s">
        <v>19</v>
      </c>
      <c r="D176" s="23">
        <f>IFERROR(D174/D172,"")</f>
        <v>106.57482317385033</v>
      </c>
      <c r="E176" s="23">
        <f>IFERROR(E174/E172,"")</f>
        <v>121.18403042402586</v>
      </c>
      <c r="F176" s="23">
        <f>IFERROR(F174/F172,"")</f>
        <v>121.38431895845906</v>
      </c>
      <c r="G176" s="23">
        <f>IFERROR(G174/G172,"")</f>
        <v>114.09438484684007</v>
      </c>
      <c r="H176" s="112">
        <f>H174/H172</f>
        <v>115.83387606289131</v>
      </c>
      <c r="I176" s="65"/>
    </row>
    <row r="177" spans="2:9" x14ac:dyDescent="0.3">
      <c r="B177" s="21" t="s">
        <v>23</v>
      </c>
      <c r="C177" s="22" t="s">
        <v>19</v>
      </c>
      <c r="D177" s="23">
        <v>101</v>
      </c>
      <c r="E177" s="23">
        <v>101</v>
      </c>
      <c r="F177" s="23">
        <v>101</v>
      </c>
      <c r="G177" s="23">
        <v>101</v>
      </c>
      <c r="H177" s="114">
        <v>105</v>
      </c>
      <c r="I177" s="65"/>
    </row>
    <row r="178" spans="2:9" x14ac:dyDescent="0.3">
      <c r="D178" s="24" t="s">
        <v>40</v>
      </c>
      <c r="H178" s="103"/>
    </row>
    <row r="215" spans="2:13" s="4" customFormat="1" ht="15" thickBot="1" x14ac:dyDescent="0.35">
      <c r="H215" s="105"/>
      <c r="J215" s="163"/>
      <c r="K215" s="163"/>
      <c r="L215" s="163"/>
      <c r="M215" s="151"/>
    </row>
    <row r="216" spans="2:13" ht="15" thickTop="1" x14ac:dyDescent="0.3"/>
    <row r="221" spans="2:13" ht="25.8" hidden="1" x14ac:dyDescent="0.5">
      <c r="B221" s="246" t="s">
        <v>24</v>
      </c>
      <c r="C221" s="246"/>
      <c r="D221" s="246"/>
      <c r="E221" s="246"/>
      <c r="F221" s="246"/>
      <c r="G221" s="246"/>
    </row>
    <row r="222" spans="2:13" hidden="1" x14ac:dyDescent="0.3"/>
    <row r="223" spans="2:13" ht="22.8" hidden="1" thickBot="1" x14ac:dyDescent="0.5">
      <c r="B223" s="28" t="s">
        <v>25</v>
      </c>
      <c r="C223" s="29" t="s">
        <v>26</v>
      </c>
      <c r="D223" s="29" t="s">
        <v>27</v>
      </c>
      <c r="E223" s="180" t="s">
        <v>28</v>
      </c>
    </row>
    <row r="224" spans="2:13" ht="23.4" hidden="1" x14ac:dyDescent="0.45">
      <c r="B224" s="31"/>
      <c r="C224" s="26"/>
      <c r="D224" s="26"/>
      <c r="E224" s="32"/>
    </row>
    <row r="225" spans="2:5" ht="22.2" hidden="1" x14ac:dyDescent="0.45">
      <c r="B225" s="33">
        <v>44743</v>
      </c>
      <c r="C225" s="89">
        <v>1056523.5</v>
      </c>
      <c r="D225" s="90">
        <v>1501785</v>
      </c>
      <c r="E225" s="181">
        <f>C225+D225</f>
        <v>2558308.5</v>
      </c>
    </row>
    <row r="226" spans="2:5" ht="22.2" hidden="1" x14ac:dyDescent="0.45">
      <c r="B226" s="33">
        <v>44774</v>
      </c>
      <c r="C226" s="92">
        <v>1649443.5</v>
      </c>
      <c r="D226" s="92">
        <v>863715</v>
      </c>
      <c r="E226" s="181">
        <f t="shared" ref="E226:E236" si="0">C226+D226</f>
        <v>2513158.5</v>
      </c>
    </row>
    <row r="227" spans="2:5" ht="22.2" hidden="1" x14ac:dyDescent="0.45">
      <c r="B227" s="33">
        <v>44805</v>
      </c>
      <c r="C227" s="92">
        <v>1346098.5</v>
      </c>
      <c r="D227" s="92">
        <v>1119105</v>
      </c>
      <c r="E227" s="181">
        <f t="shared" si="0"/>
        <v>2465203.5</v>
      </c>
    </row>
    <row r="228" spans="2:5" ht="22.2" hidden="1" x14ac:dyDescent="0.45">
      <c r="B228" s="33">
        <v>44835</v>
      </c>
      <c r="C228" s="92">
        <v>2573653.5</v>
      </c>
      <c r="D228" s="92">
        <v>0</v>
      </c>
      <c r="E228" s="181">
        <f t="shared" si="0"/>
        <v>2573653.5</v>
      </c>
    </row>
    <row r="229" spans="2:5" ht="22.2" hidden="1" x14ac:dyDescent="0.45">
      <c r="B229" s="33">
        <v>44866</v>
      </c>
      <c r="C229" s="92">
        <v>2239123.5</v>
      </c>
      <c r="D229" s="92">
        <v>0</v>
      </c>
      <c r="E229" s="181">
        <f t="shared" si="0"/>
        <v>2239123.5</v>
      </c>
    </row>
    <row r="230" spans="2:5" ht="22.2" hidden="1" x14ac:dyDescent="0.45">
      <c r="B230" s="33">
        <v>44896</v>
      </c>
      <c r="C230" s="92">
        <v>3815869.5</v>
      </c>
      <c r="D230" s="92">
        <v>0</v>
      </c>
      <c r="E230" s="181">
        <f t="shared" si="0"/>
        <v>3815869.5</v>
      </c>
    </row>
    <row r="231" spans="2:5" ht="22.2" hidden="1" x14ac:dyDescent="0.45">
      <c r="B231" s="33">
        <v>44927</v>
      </c>
      <c r="C231" s="92">
        <v>3876876</v>
      </c>
      <c r="D231" s="92">
        <v>0</v>
      </c>
      <c r="E231" s="181">
        <f t="shared" si="0"/>
        <v>3876876</v>
      </c>
    </row>
    <row r="232" spans="2:5" ht="22.2" hidden="1" x14ac:dyDescent="0.45">
      <c r="B232" s="33">
        <v>44958</v>
      </c>
      <c r="C232" s="92">
        <v>2565432</v>
      </c>
      <c r="D232" s="92">
        <v>427935</v>
      </c>
      <c r="E232" s="181">
        <f t="shared" si="0"/>
        <v>2993367</v>
      </c>
    </row>
    <row r="233" spans="2:5" ht="22.2" hidden="1" x14ac:dyDescent="0.45">
      <c r="B233" s="33">
        <v>44986</v>
      </c>
      <c r="C233" s="92">
        <v>2163847.5</v>
      </c>
      <c r="D233" s="92">
        <v>0</v>
      </c>
      <c r="E233" s="181">
        <f t="shared" si="0"/>
        <v>2163847.5</v>
      </c>
    </row>
    <row r="234" spans="2:5" ht="22.2" hidden="1" x14ac:dyDescent="0.45">
      <c r="B234" s="33">
        <v>45017</v>
      </c>
      <c r="C234" s="92">
        <v>1103476.5</v>
      </c>
      <c r="D234" s="92">
        <v>0</v>
      </c>
      <c r="E234" s="181">
        <f t="shared" si="0"/>
        <v>1103476.5</v>
      </c>
    </row>
    <row r="235" spans="2:5" ht="22.2" hidden="1" x14ac:dyDescent="0.45">
      <c r="B235" s="33">
        <v>45047</v>
      </c>
      <c r="C235" s="92">
        <v>1210167</v>
      </c>
      <c r="D235" s="92">
        <v>0</v>
      </c>
      <c r="E235" s="181">
        <f t="shared" si="0"/>
        <v>1210167</v>
      </c>
    </row>
    <row r="236" spans="2:5" ht="22.2" hidden="1" x14ac:dyDescent="0.45">
      <c r="B236" s="33">
        <v>45078</v>
      </c>
      <c r="C236" s="92">
        <v>2359260</v>
      </c>
      <c r="D236" s="92">
        <v>0</v>
      </c>
      <c r="E236" s="181">
        <f t="shared" si="0"/>
        <v>2359260</v>
      </c>
    </row>
    <row r="237" spans="2:5" ht="22.8" hidden="1" thickBot="1" x14ac:dyDescent="0.5">
      <c r="B237" s="34"/>
      <c r="C237" s="27"/>
      <c r="D237" s="27"/>
      <c r="E237" s="35"/>
    </row>
    <row r="238" spans="2:5" ht="23.4" hidden="1" thickTop="1" thickBot="1" x14ac:dyDescent="0.5">
      <c r="B238" s="36"/>
      <c r="C238" s="37">
        <f>SUM(C225:C236)</f>
        <v>25959771</v>
      </c>
      <c r="D238" s="37">
        <f>SUM(D225:D236)</f>
        <v>3912540</v>
      </c>
      <c r="E238" s="38">
        <f>SUM(E225:E236)</f>
        <v>29872311</v>
      </c>
    </row>
    <row r="239" spans="2:5" hidden="1" x14ac:dyDescent="0.3"/>
    <row r="240" spans="2:5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</sheetData>
  <dataConsolidate/>
  <mergeCells count="7">
    <mergeCell ref="B221:G221"/>
    <mergeCell ref="B2:G2"/>
    <mergeCell ref="B47:G47"/>
    <mergeCell ref="B84:H84"/>
    <mergeCell ref="B124:G124"/>
    <mergeCell ref="B126:G126"/>
    <mergeCell ref="B170:G170"/>
  </mergeCells>
  <conditionalFormatting sqref="C4:D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{E39A25E4-0BA6-496A-8DB7-D29DCF482B6E}</x14:id>
        </ext>
      </extLst>
    </cfRule>
  </conditionalFormatting>
  <conditionalFormatting sqref="C49:D53 E6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{CCF9C746-112E-4290-880C-B56DEC21CD4B}</x14:id>
        </ext>
      </extLst>
    </cfRule>
  </conditionalFormatting>
  <conditionalFormatting sqref="C86:D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{815E7007-E49A-4B66-ABE1-27E3100AD2C4}</x14:id>
        </ext>
      </extLst>
    </cfRule>
  </conditionalFormatting>
  <conditionalFormatting sqref="C129:H1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{E5423CE9-B231-4CEA-BA6D-011BFD1FD835}</x14:id>
        </ext>
      </extLst>
    </cfRule>
  </conditionalFormatting>
  <pageMargins left="0.7" right="0.7" top="0.75" bottom="0.75" header="0.3" footer="0.3"/>
  <pageSetup paperSize="9" orientation="portrait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9A25E4-0BA6-496A-8DB7-D29DCF482B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C4:D8</xm:sqref>
        </x14:conditionalFormatting>
        <x14:conditionalFormatting xmlns:xm="http://schemas.microsoft.com/office/excel/2006/main">
          <x14:cfRule type="dataBar" id="{CCF9C746-112E-4290-880C-B56DEC21C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C49:D53 E60</xm:sqref>
        </x14:conditionalFormatting>
        <x14:conditionalFormatting xmlns:xm="http://schemas.microsoft.com/office/excel/2006/main">
          <x14:cfRule type="dataBar" id="{815E7007-E49A-4B66-ABE1-27E3100AD2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C86:D91</xm:sqref>
        </x14:conditionalFormatting>
        <x14:conditionalFormatting xmlns:xm="http://schemas.microsoft.com/office/excel/2006/main">
          <x14:cfRule type="dataBar" id="{E5423CE9-B231-4CEA-BA6D-011BFD1FD8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C129:H129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322C-39D3-444F-BF4F-4CD16875E908}">
  <sheetPr>
    <tabColor rgb="FF00B050"/>
    <pageSetUpPr autoPageBreaks="0"/>
  </sheetPr>
  <dimension ref="B2:M245"/>
  <sheetViews>
    <sheetView showGridLines="0" zoomScale="85" zoomScaleNormal="85" zoomScaleSheetLayoutView="115" workbookViewId="0">
      <selection activeCell="J177" sqref="J177"/>
    </sheetView>
  </sheetViews>
  <sheetFormatPr defaultColWidth="22.33203125" defaultRowHeight="14.4" x14ac:dyDescent="0.3"/>
  <cols>
    <col min="1" max="1" width="6.6640625" customWidth="1"/>
    <col min="2" max="2" width="28.109375" customWidth="1"/>
    <col min="3" max="3" width="17.109375" customWidth="1"/>
    <col min="4" max="4" width="15.77734375" customWidth="1"/>
    <col min="5" max="5" width="11.6640625" customWidth="1"/>
    <col min="6" max="6" width="11.33203125" customWidth="1"/>
    <col min="7" max="7" width="10.77734375" customWidth="1"/>
    <col min="8" max="8" width="12.33203125" style="101" customWidth="1"/>
    <col min="9" max="9" width="16.5546875" customWidth="1"/>
    <col min="10" max="12" width="22.33203125" style="157"/>
    <col min="13" max="13" width="22.33203125" style="126"/>
  </cols>
  <sheetData>
    <row r="2" spans="2:12" ht="25.8" x14ac:dyDescent="0.5">
      <c r="B2" s="246" t="s">
        <v>68</v>
      </c>
      <c r="C2" s="246"/>
      <c r="D2" s="246"/>
      <c r="E2" s="246"/>
      <c r="F2" s="246"/>
      <c r="G2" s="246"/>
      <c r="J2" s="155"/>
      <c r="K2" s="158"/>
    </row>
    <row r="3" spans="2:12" ht="4.5" customHeight="1" x14ac:dyDescent="0.3"/>
    <row r="4" spans="2:12" x14ac:dyDescent="0.3">
      <c r="B4" s="21" t="s">
        <v>52</v>
      </c>
      <c r="C4" s="168">
        <v>143000</v>
      </c>
      <c r="D4" s="22" t="s">
        <v>4</v>
      </c>
      <c r="E4" s="173"/>
      <c r="H4" s="102"/>
      <c r="I4" s="67"/>
      <c r="J4" s="156"/>
    </row>
    <row r="5" spans="2:12" ht="28.8" x14ac:dyDescent="0.3">
      <c r="B5" s="21" t="s">
        <v>107</v>
      </c>
      <c r="C5" s="168">
        <f>(C4-C7)/4</f>
        <v>19347.055</v>
      </c>
      <c r="D5" s="22" t="s">
        <v>4</v>
      </c>
      <c r="I5" s="67"/>
    </row>
    <row r="6" spans="2:12" x14ac:dyDescent="0.3">
      <c r="B6" s="21" t="s">
        <v>6</v>
      </c>
      <c r="C6" s="171">
        <f>SUM(D36:G36)</f>
        <v>6540.16</v>
      </c>
      <c r="D6" s="22" t="s">
        <v>4</v>
      </c>
      <c r="E6" s="173"/>
      <c r="I6" s="67"/>
      <c r="J6" s="159"/>
    </row>
    <row r="7" spans="2:12" x14ac:dyDescent="0.3">
      <c r="B7" s="21" t="s">
        <v>66</v>
      </c>
      <c r="C7" s="171">
        <f>65611.78</f>
        <v>65611.78</v>
      </c>
      <c r="D7" s="22" t="s">
        <v>4</v>
      </c>
      <c r="E7" s="174"/>
      <c r="I7" s="67"/>
    </row>
    <row r="8" spans="2:12" x14ac:dyDescent="0.3">
      <c r="B8" s="21" t="s">
        <v>2</v>
      </c>
      <c r="C8" s="171">
        <f>SUM(D38:G38)</f>
        <v>0</v>
      </c>
      <c r="D8" s="22" t="s">
        <v>4</v>
      </c>
      <c r="F8" s="3"/>
    </row>
    <row r="9" spans="2:12" x14ac:dyDescent="0.3">
      <c r="J9" s="159"/>
    </row>
    <row r="10" spans="2:12" x14ac:dyDescent="0.3">
      <c r="D10" s="2"/>
      <c r="E10" s="175"/>
      <c r="F10" s="2"/>
      <c r="G10" s="2"/>
      <c r="J10" s="159"/>
    </row>
    <row r="11" spans="2:12" x14ac:dyDescent="0.3">
      <c r="D11" s="2"/>
      <c r="E11" s="175"/>
      <c r="F11" s="2"/>
      <c r="G11" s="2"/>
    </row>
    <row r="12" spans="2:12" x14ac:dyDescent="0.3">
      <c r="D12" s="2"/>
      <c r="E12" s="175"/>
      <c r="F12" s="2"/>
      <c r="G12" s="2"/>
    </row>
    <row r="13" spans="2:12" x14ac:dyDescent="0.3">
      <c r="K13" s="160"/>
      <c r="L13" s="160"/>
    </row>
    <row r="19" spans="2:13" x14ac:dyDescent="0.3">
      <c r="I19" s="67"/>
    </row>
    <row r="28" spans="2:13" s="101" customFormat="1" x14ac:dyDescent="0.3">
      <c r="B28"/>
      <c r="C28" s="57"/>
      <c r="D28" s="57"/>
      <c r="E28" s="173"/>
      <c r="F28" s="57"/>
      <c r="G28"/>
      <c r="I28"/>
      <c r="J28" s="157"/>
      <c r="K28" s="157"/>
      <c r="L28" s="161"/>
      <c r="M28" s="149"/>
    </row>
    <row r="29" spans="2:13" s="101" customFormat="1" x14ac:dyDescent="0.3">
      <c r="B29"/>
      <c r="C29"/>
      <c r="D29" s="56"/>
      <c r="E29"/>
      <c r="F29"/>
      <c r="G29"/>
      <c r="I29"/>
      <c r="J29" s="157"/>
      <c r="K29" s="157"/>
      <c r="L29" s="161"/>
      <c r="M29" s="149"/>
    </row>
    <row r="30" spans="2:13" s="101" customFormat="1" hidden="1" x14ac:dyDescent="0.3">
      <c r="B30"/>
      <c r="C30"/>
      <c r="D30"/>
      <c r="E30"/>
      <c r="F30"/>
      <c r="G30"/>
      <c r="I30"/>
      <c r="J30" s="157"/>
      <c r="K30" s="157"/>
      <c r="L30" s="161"/>
      <c r="M30" s="149"/>
    </row>
    <row r="31" spans="2:13" s="101" customFormat="1" hidden="1" x14ac:dyDescent="0.3">
      <c r="B31"/>
      <c r="C31"/>
      <c r="D31"/>
      <c r="E31"/>
      <c r="F31"/>
      <c r="G31"/>
      <c r="I31"/>
      <c r="J31" s="157"/>
      <c r="K31" s="157"/>
      <c r="L31" s="161"/>
      <c r="M31" s="149"/>
    </row>
    <row r="32" spans="2:13" s="101" customFormat="1" hidden="1" x14ac:dyDescent="0.3">
      <c r="B32"/>
      <c r="C32"/>
      <c r="D32"/>
      <c r="E32"/>
      <c r="F32"/>
      <c r="G32"/>
      <c r="I32"/>
      <c r="J32" s="157"/>
      <c r="K32" s="157"/>
      <c r="L32" s="161"/>
      <c r="M32" s="149"/>
    </row>
    <row r="33" spans="2:13" s="101" customFormat="1" ht="16.5" customHeight="1" x14ac:dyDescent="0.3">
      <c r="B33"/>
      <c r="C33"/>
      <c r="D33" s="57"/>
      <c r="E33" s="173"/>
      <c r="F33" s="57"/>
      <c r="G33" s="57"/>
      <c r="I33"/>
      <c r="J33" s="157"/>
      <c r="K33" s="157"/>
      <c r="L33" s="161"/>
      <c r="M33" s="149"/>
    </row>
    <row r="34" spans="2:13" ht="27.6" x14ac:dyDescent="0.3">
      <c r="B34" s="1"/>
      <c r="C34" s="1"/>
      <c r="D34" s="97" t="s">
        <v>142</v>
      </c>
      <c r="E34" s="97" t="s">
        <v>143</v>
      </c>
      <c r="F34" s="97" t="s">
        <v>144</v>
      </c>
      <c r="G34" s="97" t="s">
        <v>145</v>
      </c>
      <c r="I34" s="56"/>
    </row>
    <row r="35" spans="2:13" hidden="1" x14ac:dyDescent="0.3">
      <c r="B35" s="1"/>
      <c r="C35" s="1"/>
      <c r="D35" s="43"/>
      <c r="E35" s="177"/>
      <c r="F35" s="43"/>
      <c r="G35" s="43"/>
      <c r="I35" s="57"/>
    </row>
    <row r="36" spans="2:13" ht="16.95" customHeight="1" x14ac:dyDescent="0.3">
      <c r="B36" s="12" t="s">
        <v>135</v>
      </c>
      <c r="C36" s="6" t="s">
        <v>4</v>
      </c>
      <c r="D36" s="54">
        <v>1848.86</v>
      </c>
      <c r="E36" s="54">
        <v>1560.11</v>
      </c>
      <c r="F36" s="54">
        <v>1715.53</v>
      </c>
      <c r="G36" s="54">
        <v>1415.66</v>
      </c>
      <c r="H36" s="169"/>
      <c r="I36" s="103"/>
    </row>
    <row r="37" spans="2:13" x14ac:dyDescent="0.3">
      <c r="B37" s="12" t="s">
        <v>110</v>
      </c>
      <c r="C37" s="6"/>
      <c r="D37" s="119"/>
      <c r="E37" s="119"/>
      <c r="F37" s="119"/>
      <c r="G37" s="119"/>
      <c r="H37" s="125"/>
      <c r="I37" s="103"/>
    </row>
    <row r="38" spans="2:13" ht="15" hidden="1" thickBot="1" x14ac:dyDescent="0.35">
      <c r="B38" s="12"/>
      <c r="C38" s="6"/>
      <c r="D38" s="120"/>
      <c r="E38" s="178"/>
      <c r="F38" s="121"/>
      <c r="G38" s="122"/>
      <c r="I38" s="104"/>
    </row>
    <row r="39" spans="2:13" x14ac:dyDescent="0.3">
      <c r="B39" s="12" t="s">
        <v>3</v>
      </c>
      <c r="C39" s="6" t="s">
        <v>4</v>
      </c>
      <c r="D39" s="75">
        <f>D37+D36</f>
        <v>1848.86</v>
      </c>
      <c r="E39" s="75">
        <f>IF(E37+E36="",0,E37+E36)</f>
        <v>1560.11</v>
      </c>
      <c r="F39" s="123">
        <f>F36</f>
        <v>1715.53</v>
      </c>
      <c r="G39" s="123">
        <f>G36</f>
        <v>1415.66</v>
      </c>
      <c r="H39" s="104"/>
      <c r="I39" s="103"/>
      <c r="J39" s="162"/>
      <c r="K39" s="159"/>
    </row>
    <row r="40" spans="2:13" x14ac:dyDescent="0.3">
      <c r="B40" s="12" t="s">
        <v>108</v>
      </c>
      <c r="C40" s="8"/>
      <c r="D40" s="76">
        <f>D39</f>
        <v>1848.86</v>
      </c>
      <c r="E40" s="76">
        <f>E39+D40</f>
        <v>3408.97</v>
      </c>
      <c r="F40" s="76">
        <f>F39+E40</f>
        <v>5124.5</v>
      </c>
      <c r="G40" s="76">
        <f>G39+F40</f>
        <v>6540.16</v>
      </c>
      <c r="H40" s="118"/>
      <c r="J40" s="162"/>
    </row>
    <row r="41" spans="2:13" x14ac:dyDescent="0.3">
      <c r="B41" s="12" t="s">
        <v>109</v>
      </c>
      <c r="C41" s="6" t="s">
        <v>4</v>
      </c>
      <c r="D41" s="75">
        <f>(C5/31)*7</f>
        <v>4368.6898387096771</v>
      </c>
      <c r="E41" s="75">
        <f>((C5/31)*14)-D40</f>
        <v>6888.5196774193546</v>
      </c>
      <c r="F41" s="75">
        <f>((C5/31)*21)-E40</f>
        <v>9697.0995161290339</v>
      </c>
      <c r="G41" s="75">
        <f>((C5/31)*31)-F40</f>
        <v>14222.555</v>
      </c>
      <c r="H41" s="104"/>
      <c r="I41" s="67"/>
    </row>
    <row r="42" spans="2:13" x14ac:dyDescent="0.3">
      <c r="B42" s="21"/>
      <c r="C42" s="85"/>
      <c r="D42" s="86"/>
      <c r="E42" s="86"/>
      <c r="F42" s="86"/>
      <c r="G42" s="86"/>
      <c r="H42" s="104"/>
      <c r="I42" s="67"/>
    </row>
    <row r="43" spans="2:13" x14ac:dyDescent="0.3">
      <c r="B43" s="21"/>
      <c r="C43" s="85"/>
      <c r="D43" s="86"/>
      <c r="E43" s="86"/>
      <c r="F43" s="86"/>
      <c r="G43" s="86"/>
      <c r="H43" s="104"/>
    </row>
    <row r="44" spans="2:13" s="4" customFormat="1" ht="15" thickBot="1" x14ac:dyDescent="0.35">
      <c r="D44" s="59"/>
      <c r="E44" s="59"/>
      <c r="F44" s="59"/>
      <c r="G44" s="59"/>
      <c r="H44" s="105"/>
      <c r="J44" s="163"/>
      <c r="K44" s="163"/>
      <c r="L44" s="163"/>
      <c r="M44" s="151"/>
    </row>
    <row r="45" spans="2:13" ht="15" thickTop="1" x14ac:dyDescent="0.3">
      <c r="D45" s="67"/>
      <c r="E45" s="67"/>
      <c r="F45" s="67"/>
    </row>
    <row r="47" spans="2:13" ht="25.8" x14ac:dyDescent="0.5">
      <c r="B47" s="246" t="s">
        <v>69</v>
      </c>
      <c r="C47" s="246"/>
      <c r="D47" s="246"/>
      <c r="E47" s="246"/>
      <c r="F47" s="246"/>
      <c r="G47" s="246"/>
      <c r="J47" s="159"/>
      <c r="K47" s="162"/>
    </row>
    <row r="48" spans="2:13" ht="4.95" customHeight="1" x14ac:dyDescent="0.3"/>
    <row r="49" spans="2:9" x14ac:dyDescent="0.3">
      <c r="B49" s="21" t="s">
        <v>52</v>
      </c>
      <c r="C49" s="168">
        <v>9907200</v>
      </c>
      <c r="D49" s="22" t="s">
        <v>8</v>
      </c>
      <c r="I49" s="96"/>
    </row>
    <row r="50" spans="2:9" x14ac:dyDescent="0.3">
      <c r="B50" s="21" t="s">
        <v>31</v>
      </c>
      <c r="C50" s="168">
        <f>(C49-C52)/4</f>
        <v>1529687.25</v>
      </c>
      <c r="D50" s="22" t="s">
        <v>8</v>
      </c>
    </row>
    <row r="51" spans="2:9" x14ac:dyDescent="0.3">
      <c r="B51" s="21" t="s">
        <v>6</v>
      </c>
      <c r="C51" s="171">
        <f>SUM(D78:G78)</f>
        <v>599535</v>
      </c>
      <c r="D51" s="22" t="s">
        <v>8</v>
      </c>
      <c r="E51" s="173"/>
    </row>
    <row r="52" spans="2:9" x14ac:dyDescent="0.3">
      <c r="B52" s="21" t="s">
        <v>67</v>
      </c>
      <c r="C52" s="171">
        <f>3788451</f>
        <v>3788451</v>
      </c>
      <c r="D52" s="22" t="s">
        <v>8</v>
      </c>
      <c r="E52" s="173"/>
    </row>
    <row r="53" spans="2:9" x14ac:dyDescent="0.3">
      <c r="B53" s="21" t="s">
        <v>9</v>
      </c>
      <c r="C53" s="171">
        <f>C50-C51</f>
        <v>930152.25</v>
      </c>
      <c r="D53" s="22" t="s">
        <v>8</v>
      </c>
    </row>
    <row r="60" spans="2:9" x14ac:dyDescent="0.3">
      <c r="E60" s="22" t="s">
        <v>8</v>
      </c>
    </row>
    <row r="77" spans="2:9" ht="27.6" x14ac:dyDescent="0.3">
      <c r="B77" s="1"/>
      <c r="C77" s="1"/>
      <c r="D77" s="97" t="str">
        <f>D34</f>
        <v>WEEK 1
(Mar1-8)</v>
      </c>
      <c r="E77" s="97" t="str">
        <f>E34</f>
        <v>WEEK 2
(Mar9-15)</v>
      </c>
      <c r="F77" s="97" t="str">
        <f>F34</f>
        <v>WEEk 3
(Mar16-22)</v>
      </c>
      <c r="G77" s="97" t="str">
        <f>G34</f>
        <v>WEEk 4
(Mar23-31)</v>
      </c>
    </row>
    <row r="78" spans="2:9" x14ac:dyDescent="0.3">
      <c r="B78" s="5" t="s">
        <v>1</v>
      </c>
      <c r="C78" s="9" t="s">
        <v>8</v>
      </c>
      <c r="D78" s="184">
        <v>162800</v>
      </c>
      <c r="E78" s="184">
        <v>139997</v>
      </c>
      <c r="F78" s="184">
        <v>151839</v>
      </c>
      <c r="G78" s="184">
        <v>144899</v>
      </c>
      <c r="H78" s="118"/>
      <c r="I78" s="57"/>
    </row>
    <row r="79" spans="2:9" x14ac:dyDescent="0.3">
      <c r="B79" s="7" t="s">
        <v>5</v>
      </c>
      <c r="C79" s="9" t="s">
        <v>8</v>
      </c>
      <c r="D79" s="98">
        <f>D78</f>
        <v>162800</v>
      </c>
      <c r="E79" s="98">
        <f>D79+E78</f>
        <v>302797</v>
      </c>
      <c r="F79" s="98">
        <f>E79+F78</f>
        <v>454636</v>
      </c>
      <c r="G79" s="98">
        <f>F79+G78</f>
        <v>599535</v>
      </c>
      <c r="H79" s="106"/>
    </row>
    <row r="80" spans="2:9" x14ac:dyDescent="0.3">
      <c r="B80" s="5" t="s">
        <v>9</v>
      </c>
      <c r="C80" s="9" t="s">
        <v>8</v>
      </c>
      <c r="D80" s="98">
        <f>C50/4</f>
        <v>382421.8125</v>
      </c>
      <c r="E80" s="98">
        <f>(C50-D79)/3</f>
        <v>455629.08333333331</v>
      </c>
      <c r="F80" s="98">
        <f>($C$50-E79)/2</f>
        <v>613445.125</v>
      </c>
      <c r="G80" s="98">
        <f>(C50-F79)/1</f>
        <v>1075051.25</v>
      </c>
      <c r="H80" s="104"/>
    </row>
    <row r="81" spans="2:13" x14ac:dyDescent="0.3">
      <c r="B81" s="5"/>
      <c r="C81" s="9"/>
      <c r="D81" s="98"/>
      <c r="E81" s="98"/>
      <c r="F81" s="98"/>
      <c r="G81" s="98"/>
      <c r="H81" s="104"/>
      <c r="I81" s="3"/>
      <c r="J81" s="3"/>
      <c r="K81" s="3"/>
      <c r="L81" s="3"/>
    </row>
    <row r="82" spans="2:13" s="4" customFormat="1" ht="15" thickBot="1" x14ac:dyDescent="0.35">
      <c r="H82" s="105"/>
      <c r="J82" s="163"/>
      <c r="K82" s="163"/>
      <c r="L82" s="163"/>
      <c r="M82" s="151"/>
    </row>
    <row r="83" spans="2:13" ht="15" thickTop="1" x14ac:dyDescent="0.3"/>
    <row r="84" spans="2:13" s="101" customFormat="1" ht="25.8" x14ac:dyDescent="0.5">
      <c r="B84" s="246" t="s">
        <v>70</v>
      </c>
      <c r="C84" s="246"/>
      <c r="D84" s="246"/>
      <c r="E84" s="246"/>
      <c r="F84" s="246"/>
      <c r="G84" s="246"/>
      <c r="H84" s="246"/>
      <c r="I84"/>
      <c r="J84" s="157"/>
      <c r="K84" s="157"/>
      <c r="L84" s="161"/>
      <c r="M84" s="149"/>
    </row>
    <row r="85" spans="2:13" s="101" customFormat="1" ht="6.45" customHeight="1" x14ac:dyDescent="0.3">
      <c r="B85"/>
      <c r="C85"/>
      <c r="D85"/>
      <c r="E85"/>
      <c r="F85"/>
      <c r="G85"/>
      <c r="I85"/>
      <c r="J85" s="157"/>
      <c r="K85" s="157"/>
      <c r="L85" s="161"/>
      <c r="M85" s="149"/>
    </row>
    <row r="86" spans="2:13" s="101" customFormat="1" ht="16.2" x14ac:dyDescent="0.3">
      <c r="B86" s="172" t="s">
        <v>52</v>
      </c>
      <c r="C86" s="168">
        <v>10000000</v>
      </c>
      <c r="D86" s="22" t="s">
        <v>11</v>
      </c>
      <c r="E86"/>
      <c r="F86"/>
      <c r="G86"/>
      <c r="I86"/>
      <c r="J86" s="157"/>
      <c r="K86" s="157"/>
      <c r="L86" s="161"/>
      <c r="M86" s="149"/>
    </row>
    <row r="87" spans="2:13" s="101" customFormat="1" ht="16.2" x14ac:dyDescent="0.3">
      <c r="B87" s="172" t="s">
        <v>31</v>
      </c>
      <c r="C87" s="168">
        <f>(C86-C89)/4</f>
        <v>1620903</v>
      </c>
      <c r="D87" s="22" t="s">
        <v>11</v>
      </c>
      <c r="E87"/>
      <c r="I87"/>
      <c r="J87" s="157"/>
      <c r="K87" s="157"/>
      <c r="L87" s="161"/>
      <c r="M87" s="149"/>
    </row>
    <row r="88" spans="2:13" s="101" customFormat="1" ht="16.2" x14ac:dyDescent="0.3">
      <c r="B88" s="172" t="s">
        <v>1</v>
      </c>
      <c r="C88" s="171">
        <f>SUM(D115:G115,D117:G117)</f>
        <v>407206</v>
      </c>
      <c r="D88" s="22" t="s">
        <v>11</v>
      </c>
      <c r="E88" s="173"/>
      <c r="F88"/>
      <c r="G88"/>
      <c r="I88"/>
      <c r="J88" s="157"/>
      <c r="K88" s="157"/>
      <c r="L88" s="161"/>
      <c r="M88" s="149"/>
    </row>
    <row r="89" spans="2:13" s="101" customFormat="1" ht="16.2" x14ac:dyDescent="0.3">
      <c r="B89" s="172" t="s">
        <v>67</v>
      </c>
      <c r="C89" s="171">
        <f>3516388</f>
        <v>3516388</v>
      </c>
      <c r="D89" s="22" t="s">
        <v>11</v>
      </c>
      <c r="E89" s="173"/>
      <c r="F89"/>
      <c r="G89"/>
      <c r="I89"/>
      <c r="J89" s="157"/>
      <c r="K89" s="157"/>
      <c r="L89" s="161"/>
      <c r="M89" s="149"/>
    </row>
    <row r="90" spans="2:13" s="101" customFormat="1" ht="16.2" x14ac:dyDescent="0.3">
      <c r="B90" s="172" t="s">
        <v>9</v>
      </c>
      <c r="C90" s="171">
        <f>C87-C88</f>
        <v>1213697</v>
      </c>
      <c r="D90" s="22" t="s">
        <v>11</v>
      </c>
      <c r="E90" s="67"/>
      <c r="F90"/>
      <c r="G90"/>
      <c r="I90"/>
      <c r="J90" s="157"/>
      <c r="K90" s="157"/>
      <c r="L90" s="161"/>
      <c r="M90" s="149"/>
    </row>
    <row r="91" spans="2:13" s="101" customFormat="1" ht="7.5" customHeight="1" x14ac:dyDescent="0.3">
      <c r="B91"/>
      <c r="C91"/>
      <c r="D91"/>
      <c r="E91"/>
      <c r="F91"/>
      <c r="G91"/>
      <c r="I91"/>
      <c r="J91" s="157"/>
      <c r="K91" s="157"/>
      <c r="L91" s="161"/>
      <c r="M91" s="149"/>
    </row>
    <row r="104" spans="9:9" x14ac:dyDescent="0.3">
      <c r="I104" s="57"/>
    </row>
    <row r="113" spans="2:13" x14ac:dyDescent="0.3">
      <c r="D113" s="67"/>
      <c r="E113" s="67"/>
      <c r="F113" s="67"/>
    </row>
    <row r="114" spans="2:13" ht="27.6" x14ac:dyDescent="0.3">
      <c r="B114" s="1"/>
      <c r="C114" s="1"/>
      <c r="D114" s="97" t="str">
        <f>D77</f>
        <v>WEEK 1
(Mar1-8)</v>
      </c>
      <c r="E114" s="97" t="str">
        <f>E77</f>
        <v>WEEK 2
(Mar9-15)</v>
      </c>
      <c r="F114" s="97" t="str">
        <f>F77</f>
        <v>WEEk 3
(Mar16-22)</v>
      </c>
      <c r="G114" s="97" t="str">
        <f>G77</f>
        <v>WEEk 4
(Mar23-31)</v>
      </c>
      <c r="H114" s="111"/>
      <c r="I114" s="74"/>
      <c r="J114" s="162"/>
    </row>
    <row r="115" spans="2:13" ht="16.2" x14ac:dyDescent="0.3">
      <c r="B115" s="79" t="s">
        <v>43</v>
      </c>
      <c r="C115" s="9" t="s">
        <v>11</v>
      </c>
      <c r="D115" s="184">
        <v>116823</v>
      </c>
      <c r="E115" s="69">
        <v>98963</v>
      </c>
      <c r="F115" s="69">
        <v>103165</v>
      </c>
      <c r="G115" s="69">
        <v>88255</v>
      </c>
      <c r="H115" s="108"/>
      <c r="I115" s="77"/>
      <c r="J115" s="164"/>
      <c r="K115" s="162"/>
    </row>
    <row r="116" spans="2:13" ht="16.2" x14ac:dyDescent="0.3">
      <c r="B116" s="79" t="s">
        <v>41</v>
      </c>
      <c r="C116" s="9" t="s">
        <v>11</v>
      </c>
      <c r="D116" s="184">
        <f>D78*0.47</f>
        <v>76516</v>
      </c>
      <c r="E116" s="184">
        <f>E78*0.47</f>
        <v>65798.59</v>
      </c>
      <c r="F116" s="184">
        <f>F78*0.47</f>
        <v>71364.33</v>
      </c>
      <c r="G116" s="184">
        <f>G78*0.47</f>
        <v>68102.53</v>
      </c>
      <c r="H116" s="108"/>
      <c r="I116" s="57"/>
    </row>
    <row r="117" spans="2:13" ht="16.2" x14ac:dyDescent="0.3">
      <c r="B117" s="12" t="s">
        <v>12</v>
      </c>
      <c r="C117" s="9" t="s">
        <v>11</v>
      </c>
      <c r="D117" s="69"/>
      <c r="E117" s="69"/>
      <c r="F117" s="69"/>
      <c r="G117" s="69"/>
      <c r="H117" s="108"/>
      <c r="I117" s="77"/>
      <c r="J117" s="164"/>
    </row>
    <row r="118" spans="2:13" x14ac:dyDescent="0.3">
      <c r="B118" s="12" t="s">
        <v>13</v>
      </c>
      <c r="C118" s="9" t="s">
        <v>10</v>
      </c>
      <c r="D118" s="69">
        <f>D115+D117</f>
        <v>116823</v>
      </c>
      <c r="E118" s="69">
        <f>E115+E117</f>
        <v>98963</v>
      </c>
      <c r="F118" s="69">
        <f>SUM(F115:F117)</f>
        <v>174529.33000000002</v>
      </c>
      <c r="G118" s="69">
        <f>SUM(G115:G117)</f>
        <v>156357.53</v>
      </c>
      <c r="H118" s="108"/>
      <c r="I118" s="77"/>
    </row>
    <row r="119" spans="2:13" x14ac:dyDescent="0.3">
      <c r="B119" s="13" t="s">
        <v>5</v>
      </c>
      <c r="C119" s="9" t="s">
        <v>10</v>
      </c>
      <c r="D119" s="185">
        <f>D118</f>
        <v>116823</v>
      </c>
      <c r="E119" s="185">
        <f>D119+E118</f>
        <v>215786</v>
      </c>
      <c r="F119" s="185">
        <f>E119+F118</f>
        <v>390315.33</v>
      </c>
      <c r="G119" s="185">
        <f>F119+G118</f>
        <v>546672.86</v>
      </c>
      <c r="H119" s="108"/>
    </row>
    <row r="120" spans="2:13" ht="28.8" x14ac:dyDescent="0.3">
      <c r="B120" s="187" t="s">
        <v>130</v>
      </c>
      <c r="C120" s="9" t="s">
        <v>10</v>
      </c>
      <c r="D120" s="188">
        <f>D36*101*0.7842</f>
        <v>146437.477212</v>
      </c>
      <c r="E120" s="188">
        <f>E36*101*0.7842</f>
        <v>123567.26446199999</v>
      </c>
      <c r="F120" s="188">
        <f>F36*101*0.7842</f>
        <v>135877.18122599999</v>
      </c>
      <c r="G120" s="188">
        <f>G36*101*0.7842</f>
        <v>112126.217772</v>
      </c>
      <c r="H120" s="108"/>
    </row>
    <row r="121" spans="2:13" x14ac:dyDescent="0.3">
      <c r="B121" s="12" t="s">
        <v>53</v>
      </c>
      <c r="C121" s="9" t="s">
        <v>10</v>
      </c>
      <c r="D121" s="185">
        <f>$C$87/4</f>
        <v>405225.75</v>
      </c>
      <c r="E121" s="185">
        <f>($C$87-D119)/3</f>
        <v>501360</v>
      </c>
      <c r="F121" s="185">
        <f>($C$87-E119)/2</f>
        <v>702558.5</v>
      </c>
      <c r="G121" s="185">
        <f>($C$87-F119)/1</f>
        <v>1230587.67</v>
      </c>
      <c r="H121" s="108"/>
      <c r="I121" s="61"/>
    </row>
    <row r="122" spans="2:13" s="4" customFormat="1" ht="15" thickBot="1" x14ac:dyDescent="0.35">
      <c r="H122" s="105"/>
      <c r="J122" s="163"/>
      <c r="K122" s="163"/>
      <c r="L122" s="163"/>
      <c r="M122" s="151"/>
    </row>
    <row r="123" spans="2:13" ht="15" thickTop="1" x14ac:dyDescent="0.3"/>
    <row r="124" spans="2:13" ht="25.8" x14ac:dyDescent="0.5">
      <c r="B124" s="246" t="s">
        <v>71</v>
      </c>
      <c r="C124" s="246"/>
      <c r="D124" s="246"/>
      <c r="E124" s="246"/>
      <c r="F124" s="246"/>
      <c r="G124" s="246"/>
    </row>
    <row r="125" spans="2:13" ht="4.05" customHeight="1" x14ac:dyDescent="0.3">
      <c r="B125" s="20"/>
      <c r="C125" s="20"/>
      <c r="D125" s="20"/>
      <c r="E125" s="20"/>
      <c r="F125" s="20"/>
      <c r="G125" s="20"/>
    </row>
    <row r="126" spans="2:13" ht="14.55" customHeight="1" x14ac:dyDescent="0.3">
      <c r="B126" s="244" t="s">
        <v>20</v>
      </c>
      <c r="C126" s="244"/>
      <c r="D126" s="244"/>
      <c r="E126" s="244"/>
      <c r="F126" s="244"/>
      <c r="G126" s="244"/>
    </row>
    <row r="127" spans="2:13" x14ac:dyDescent="0.3">
      <c r="D127" s="19">
        <v>101</v>
      </c>
      <c r="E127" s="19" t="s">
        <v>18</v>
      </c>
    </row>
    <row r="128" spans="2:13" ht="27.6" x14ac:dyDescent="0.3">
      <c r="D128" s="176" t="str">
        <f>D77</f>
        <v>WEEK 1
(Mar1-8)</v>
      </c>
      <c r="E128" s="176" t="str">
        <f>E77</f>
        <v>WEEK 2
(Mar9-15)</v>
      </c>
      <c r="F128" s="176" t="str">
        <f>F77</f>
        <v>WEEk 3
(Mar16-22)</v>
      </c>
      <c r="G128" s="176" t="str">
        <f>G77</f>
        <v>WEEk 4
(Mar23-31)</v>
      </c>
      <c r="H128" s="182" t="s">
        <v>37</v>
      </c>
      <c r="I128" s="74"/>
    </row>
    <row r="129" spans="2:10" hidden="1" x14ac:dyDescent="0.3">
      <c r="D129" s="10"/>
      <c r="E129" s="179"/>
      <c r="F129" s="10"/>
      <c r="G129" s="10"/>
      <c r="H129" s="107"/>
      <c r="I129" s="74"/>
    </row>
    <row r="130" spans="2:10" x14ac:dyDescent="0.3">
      <c r="B130" s="172" t="s">
        <v>15</v>
      </c>
      <c r="C130" s="22" t="s">
        <v>10</v>
      </c>
      <c r="D130" s="23">
        <f>D36</f>
        <v>1848.86</v>
      </c>
      <c r="E130" s="23">
        <f>E36</f>
        <v>1560.11</v>
      </c>
      <c r="F130" s="23">
        <f>F36</f>
        <v>1715.53</v>
      </c>
      <c r="G130" s="23">
        <f>G36</f>
        <v>1415.66</v>
      </c>
      <c r="H130" s="109">
        <f>SUM(D130:G130)</f>
        <v>6540.16</v>
      </c>
      <c r="I130" s="78"/>
    </row>
    <row r="131" spans="2:10" x14ac:dyDescent="0.3">
      <c r="B131" s="172" t="s">
        <v>17</v>
      </c>
      <c r="C131" s="22" t="s">
        <v>10</v>
      </c>
      <c r="D131" s="23">
        <f>D134*D130</f>
        <v>186734.86</v>
      </c>
      <c r="E131" s="23">
        <f>E134*E130</f>
        <v>157571.10999999999</v>
      </c>
      <c r="F131" s="23">
        <f>F134*F130</f>
        <v>173268.53</v>
      </c>
      <c r="G131" s="23">
        <f>G134*G130</f>
        <v>142981.66</v>
      </c>
      <c r="H131" s="110">
        <f>H134*H130</f>
        <v>660556.16</v>
      </c>
      <c r="I131" s="63"/>
    </row>
    <row r="132" spans="2:10" x14ac:dyDescent="0.3">
      <c r="B132" s="172" t="s">
        <v>16</v>
      </c>
      <c r="C132" s="22" t="s">
        <v>10</v>
      </c>
      <c r="D132" s="23">
        <f>D118+D78*0.47</f>
        <v>193339</v>
      </c>
      <c r="E132" s="23">
        <f>E118+E78*0.47</f>
        <v>164761.59</v>
      </c>
      <c r="F132" s="23">
        <f>F118</f>
        <v>174529.33000000002</v>
      </c>
      <c r="G132" s="23">
        <f>G118</f>
        <v>156357.53</v>
      </c>
      <c r="H132" s="109">
        <f>SUM(D132:G132)</f>
        <v>688987.45</v>
      </c>
      <c r="I132" s="62"/>
      <c r="J132" s="159"/>
    </row>
    <row r="133" spans="2:10" x14ac:dyDescent="0.3">
      <c r="B133" s="172" t="s">
        <v>22</v>
      </c>
      <c r="C133" s="22" t="s">
        <v>19</v>
      </c>
      <c r="D133" s="23">
        <f>IFERROR(D132/D130,"")</f>
        <v>104.57200653375594</v>
      </c>
      <c r="E133" s="23">
        <f>IFERROR(E132/E130,"")</f>
        <v>105.60895706072009</v>
      </c>
      <c r="F133" s="23">
        <f>IFERROR(F132/F130,"")</f>
        <v>101.73493322763228</v>
      </c>
      <c r="G133" s="23">
        <f>IFERROR(G132/G130,"")</f>
        <v>110.4485045844341</v>
      </c>
      <c r="H133" s="110">
        <f>H132/H130</f>
        <v>105.34718569576279</v>
      </c>
      <c r="I133" s="63"/>
    </row>
    <row r="134" spans="2:10" x14ac:dyDescent="0.3">
      <c r="B134" s="172" t="s">
        <v>23</v>
      </c>
      <c r="C134" s="22" t="s">
        <v>19</v>
      </c>
      <c r="D134" s="23">
        <v>101</v>
      </c>
      <c r="E134" s="23">
        <v>101</v>
      </c>
      <c r="F134" s="23">
        <v>101</v>
      </c>
      <c r="G134" s="23">
        <v>101</v>
      </c>
      <c r="H134" s="116">
        <v>101</v>
      </c>
      <c r="I134" s="78"/>
      <c r="J134" s="162"/>
    </row>
    <row r="135" spans="2:10" x14ac:dyDescent="0.3">
      <c r="B135" s="21"/>
      <c r="C135" s="22"/>
      <c r="D135" s="23"/>
      <c r="E135" s="23"/>
      <c r="F135" s="23"/>
      <c r="G135" s="23"/>
      <c r="H135" s="103"/>
    </row>
    <row r="136" spans="2:10" x14ac:dyDescent="0.3">
      <c r="B136" s="21"/>
      <c r="C136" s="22"/>
      <c r="D136" s="23"/>
      <c r="E136" s="23"/>
      <c r="F136" s="23"/>
      <c r="G136" s="23"/>
    </row>
    <row r="137" spans="2:10" x14ac:dyDescent="0.3">
      <c r="B137" s="21"/>
      <c r="C137" s="22"/>
      <c r="D137" s="23"/>
      <c r="E137" s="23"/>
      <c r="F137" s="23"/>
      <c r="G137" s="23"/>
    </row>
    <row r="138" spans="2:10" x14ac:dyDescent="0.3">
      <c r="B138" s="21"/>
      <c r="C138" s="22"/>
      <c r="D138" s="23"/>
      <c r="E138" s="23"/>
      <c r="F138" s="23"/>
      <c r="G138" s="23"/>
    </row>
    <row r="139" spans="2:10" x14ac:dyDescent="0.3">
      <c r="B139" s="21"/>
      <c r="C139" s="22"/>
      <c r="D139" s="23"/>
      <c r="E139" s="23"/>
      <c r="F139" s="23"/>
      <c r="G139" s="23"/>
    </row>
    <row r="140" spans="2:10" x14ac:dyDescent="0.3">
      <c r="B140" s="21"/>
      <c r="C140" s="22"/>
      <c r="D140" s="23"/>
      <c r="E140" s="23"/>
      <c r="F140" s="23"/>
      <c r="G140" s="23"/>
    </row>
    <row r="141" spans="2:10" x14ac:dyDescent="0.3">
      <c r="B141" s="21"/>
      <c r="C141" s="22"/>
      <c r="D141" s="23"/>
      <c r="E141" s="23"/>
      <c r="F141" s="23"/>
      <c r="G141" s="23"/>
    </row>
    <row r="142" spans="2:10" x14ac:dyDescent="0.3">
      <c r="B142" s="21"/>
      <c r="C142" s="22"/>
      <c r="D142" s="23"/>
      <c r="E142" s="23"/>
      <c r="F142" s="23"/>
      <c r="G142" s="23"/>
    </row>
    <row r="143" spans="2:10" x14ac:dyDescent="0.3">
      <c r="B143" s="21"/>
      <c r="C143" s="22"/>
      <c r="D143" s="23"/>
      <c r="E143" s="23"/>
      <c r="F143" s="23"/>
      <c r="G143" s="23"/>
    </row>
    <row r="144" spans="2:10" x14ac:dyDescent="0.3">
      <c r="B144" s="21"/>
      <c r="C144" s="22"/>
      <c r="D144" s="23"/>
      <c r="E144" s="23"/>
      <c r="F144" s="23"/>
      <c r="G144" s="23"/>
      <c r="J144" s="183"/>
    </row>
    <row r="145" spans="2:7" x14ac:dyDescent="0.3">
      <c r="B145" s="21"/>
      <c r="C145" s="22"/>
      <c r="D145" s="23"/>
      <c r="E145" s="23"/>
      <c r="F145" s="23"/>
      <c r="G145" s="23"/>
    </row>
    <row r="146" spans="2:7" x14ac:dyDescent="0.3">
      <c r="B146" s="21"/>
      <c r="C146" s="22"/>
      <c r="D146" s="23"/>
      <c r="E146" s="23"/>
      <c r="F146" s="23"/>
      <c r="G146" s="23"/>
    </row>
    <row r="147" spans="2:7" x14ac:dyDescent="0.3">
      <c r="B147" s="21"/>
      <c r="C147" s="22"/>
      <c r="D147" s="23"/>
      <c r="E147" s="23"/>
      <c r="F147" s="23"/>
      <c r="G147" s="23"/>
    </row>
    <row r="148" spans="2:7" x14ac:dyDescent="0.3">
      <c r="B148" s="21"/>
      <c r="C148" s="22"/>
      <c r="D148" s="23"/>
      <c r="E148" s="23"/>
      <c r="F148" s="23"/>
      <c r="G148" s="23"/>
    </row>
    <row r="149" spans="2:7" x14ac:dyDescent="0.3">
      <c r="B149" s="21"/>
      <c r="C149" s="22"/>
      <c r="D149" s="23"/>
      <c r="E149" s="23"/>
      <c r="F149" s="23"/>
      <c r="G149" s="23"/>
    </row>
    <row r="150" spans="2:7" x14ac:dyDescent="0.3">
      <c r="B150" s="21"/>
      <c r="C150" s="22"/>
      <c r="D150" s="23"/>
      <c r="E150" s="23"/>
      <c r="F150" s="23"/>
      <c r="G150" s="23"/>
    </row>
    <row r="151" spans="2:7" x14ac:dyDescent="0.3">
      <c r="B151" s="21"/>
      <c r="C151" s="22"/>
      <c r="D151" s="23"/>
      <c r="E151" s="23"/>
      <c r="F151" s="23"/>
      <c r="G151" s="23"/>
    </row>
    <row r="152" spans="2:7" x14ac:dyDescent="0.3">
      <c r="B152" s="21"/>
      <c r="C152" s="22"/>
      <c r="D152" s="23"/>
      <c r="E152" s="23"/>
      <c r="F152" s="23"/>
      <c r="G152" s="23"/>
    </row>
    <row r="153" spans="2:7" x14ac:dyDescent="0.3">
      <c r="B153" s="21"/>
      <c r="C153" s="22"/>
      <c r="D153" s="23"/>
      <c r="E153" s="23"/>
      <c r="F153" s="23"/>
      <c r="G153" s="23"/>
    </row>
    <row r="154" spans="2:7" x14ac:dyDescent="0.3">
      <c r="B154" s="21"/>
      <c r="C154" s="22"/>
      <c r="D154" s="23"/>
      <c r="E154" s="23"/>
      <c r="F154" s="23"/>
      <c r="G154" s="23"/>
    </row>
    <row r="155" spans="2:7" x14ac:dyDescent="0.3">
      <c r="B155" s="21"/>
      <c r="C155" s="22"/>
      <c r="D155" s="23"/>
      <c r="E155" s="23"/>
      <c r="F155" s="23"/>
      <c r="G155" s="23"/>
    </row>
    <row r="156" spans="2:7" x14ac:dyDescent="0.3">
      <c r="B156" s="21"/>
      <c r="C156" s="22"/>
      <c r="D156" s="23"/>
      <c r="E156" s="23"/>
      <c r="F156" s="23"/>
      <c r="G156" s="23"/>
    </row>
    <row r="157" spans="2:7" x14ac:dyDescent="0.3">
      <c r="B157" s="21"/>
      <c r="C157" s="22"/>
      <c r="D157" s="23"/>
      <c r="E157" s="23"/>
      <c r="F157" s="23"/>
      <c r="G157" s="23"/>
    </row>
    <row r="158" spans="2:7" x14ac:dyDescent="0.3">
      <c r="B158" s="21"/>
      <c r="C158" s="22"/>
      <c r="D158" s="23"/>
      <c r="E158" s="23"/>
      <c r="F158" s="23"/>
      <c r="G158" s="23"/>
    </row>
    <row r="159" spans="2:7" x14ac:dyDescent="0.3">
      <c r="B159" s="21"/>
      <c r="C159" s="22"/>
      <c r="D159" s="23"/>
      <c r="E159" s="23"/>
      <c r="F159" s="23"/>
      <c r="G159" s="23"/>
    </row>
    <row r="160" spans="2:7" x14ac:dyDescent="0.3">
      <c r="B160" s="21"/>
      <c r="C160" s="22"/>
      <c r="D160" s="23"/>
      <c r="E160" s="23"/>
      <c r="F160" s="23"/>
      <c r="G160" s="23"/>
    </row>
    <row r="161" spans="2:10" x14ac:dyDescent="0.3">
      <c r="B161" s="21"/>
      <c r="C161" s="22"/>
      <c r="D161" s="23"/>
      <c r="E161" s="23"/>
      <c r="F161" s="23"/>
      <c r="G161" s="23"/>
    </row>
    <row r="162" spans="2:10" x14ac:dyDescent="0.3">
      <c r="B162" s="21"/>
      <c r="C162" s="22"/>
      <c r="D162" s="23"/>
      <c r="E162" s="23"/>
      <c r="F162" s="23"/>
      <c r="G162" s="23"/>
    </row>
    <row r="163" spans="2:10" x14ac:dyDescent="0.3">
      <c r="B163" s="21"/>
      <c r="C163" s="22"/>
      <c r="D163" s="23"/>
      <c r="E163" s="23"/>
      <c r="F163" s="23"/>
      <c r="G163" s="23"/>
    </row>
    <row r="164" spans="2:10" x14ac:dyDescent="0.3">
      <c r="B164" s="21"/>
      <c r="C164" s="22"/>
      <c r="D164" s="23"/>
      <c r="E164" s="23"/>
      <c r="F164" s="23"/>
      <c r="G164" s="23"/>
    </row>
    <row r="165" spans="2:10" x14ac:dyDescent="0.3">
      <c r="H165" s="103"/>
      <c r="I165" s="57"/>
    </row>
    <row r="170" spans="2:10" ht="15.6" x14ac:dyDescent="0.3">
      <c r="B170" s="245" t="s">
        <v>21</v>
      </c>
      <c r="C170" s="245"/>
      <c r="D170" s="245"/>
      <c r="E170" s="245"/>
      <c r="F170" s="245"/>
      <c r="G170" s="245"/>
    </row>
    <row r="171" spans="2:10" ht="27.6" x14ac:dyDescent="0.3">
      <c r="D171" s="176" t="str">
        <f>D128</f>
        <v>WEEK 1
(Mar1-8)</v>
      </c>
      <c r="E171" s="176" t="str">
        <f>E128</f>
        <v>WEEK 2
(Mar9-15)</v>
      </c>
      <c r="F171" s="176" t="str">
        <f>F128</f>
        <v>WEEk 3
(Mar16-22)</v>
      </c>
      <c r="G171" s="176" t="str">
        <f>G128</f>
        <v>WEEk 4
(Mar23-31)</v>
      </c>
      <c r="H171" s="111" t="s">
        <v>37</v>
      </c>
      <c r="I171" s="64"/>
    </row>
    <row r="172" spans="2:10" x14ac:dyDescent="0.3">
      <c r="B172" s="64" t="s">
        <v>15</v>
      </c>
      <c r="C172" s="22" t="s">
        <v>10</v>
      </c>
      <c r="D172" s="23">
        <v>1848</v>
      </c>
      <c r="E172" s="23">
        <f>E130</f>
        <v>1560.11</v>
      </c>
      <c r="F172" s="23">
        <f>F130</f>
        <v>1715.53</v>
      </c>
      <c r="G172" s="23">
        <f>G130*(G175/15)</f>
        <v>1362.148052</v>
      </c>
      <c r="H172" s="108">
        <f>SUM(D172:G172)</f>
        <v>6485.7880519999999</v>
      </c>
      <c r="I172" s="61"/>
      <c r="J172" s="165"/>
    </row>
    <row r="173" spans="2:10" x14ac:dyDescent="0.3">
      <c r="B173" s="64" t="s">
        <v>17</v>
      </c>
      <c r="C173" s="22" t="s">
        <v>10</v>
      </c>
      <c r="D173" s="23">
        <f>D172*$D$127</f>
        <v>186648</v>
      </c>
      <c r="E173" s="23">
        <f>E172*$D$127</f>
        <v>157571.10999999999</v>
      </c>
      <c r="F173" s="23">
        <f>F172*$D$127</f>
        <v>173268.53</v>
      </c>
      <c r="G173" s="23">
        <f>G172*$D$127</f>
        <v>137576.95325200001</v>
      </c>
      <c r="H173" s="110">
        <f>H172*105</f>
        <v>681007.74546000001</v>
      </c>
      <c r="I173" s="63"/>
    </row>
    <row r="174" spans="2:10" x14ac:dyDescent="0.3">
      <c r="B174" s="64" t="s">
        <v>16</v>
      </c>
      <c r="C174" s="22" t="s">
        <v>10</v>
      </c>
      <c r="D174" s="23">
        <f>D132</f>
        <v>193339</v>
      </c>
      <c r="E174" s="23">
        <f>E132</f>
        <v>164761.59</v>
      </c>
      <c r="F174" s="23">
        <f>F132</f>
        <v>174529.33000000002</v>
      </c>
      <c r="G174" s="23">
        <f>G132</f>
        <v>156357.53</v>
      </c>
      <c r="H174" s="112">
        <f>SUM(D174:G174)</f>
        <v>688987.45</v>
      </c>
      <c r="I174" s="63"/>
      <c r="J174" s="159"/>
    </row>
    <row r="175" spans="2:10" x14ac:dyDescent="0.3">
      <c r="B175" s="64" t="s">
        <v>39</v>
      </c>
      <c r="C175" s="22"/>
      <c r="D175" s="186">
        <v>17.48</v>
      </c>
      <c r="E175" s="186">
        <v>16.21</v>
      </c>
      <c r="F175" s="186">
        <v>16.03</v>
      </c>
      <c r="G175" s="186">
        <v>14.433</v>
      </c>
      <c r="H175" s="113">
        <f>AVERAGE(D175:G175)</f>
        <v>16.038249999999998</v>
      </c>
      <c r="I175" s="87"/>
    </row>
    <row r="176" spans="2:10" x14ac:dyDescent="0.3">
      <c r="B176" s="21" t="s">
        <v>22</v>
      </c>
      <c r="C176" s="22" t="s">
        <v>19</v>
      </c>
      <c r="D176" s="23">
        <v>105</v>
      </c>
      <c r="E176" s="23">
        <v>106</v>
      </c>
      <c r="F176" s="23">
        <v>102</v>
      </c>
      <c r="G176" s="23">
        <f>IFERROR(G174/G172,"")</f>
        <v>114.7874709877719</v>
      </c>
      <c r="H176" s="112">
        <f>H174/H172</f>
        <v>106.23033692683487</v>
      </c>
      <c r="I176" s="65"/>
    </row>
    <row r="177" spans="2:9" x14ac:dyDescent="0.3">
      <c r="B177" s="21" t="s">
        <v>23</v>
      </c>
      <c r="C177" s="22" t="s">
        <v>19</v>
      </c>
      <c r="D177" s="23">
        <v>101</v>
      </c>
      <c r="E177" s="23">
        <v>101</v>
      </c>
      <c r="F177" s="23">
        <v>101</v>
      </c>
      <c r="G177" s="23">
        <v>101</v>
      </c>
      <c r="H177" s="114">
        <v>105</v>
      </c>
      <c r="I177" s="65"/>
    </row>
    <row r="178" spans="2:9" x14ac:dyDescent="0.3">
      <c r="D178" s="24" t="s">
        <v>40</v>
      </c>
      <c r="H178" s="103"/>
    </row>
    <row r="215" spans="2:13" s="4" customFormat="1" ht="15" thickBot="1" x14ac:dyDescent="0.35">
      <c r="H215" s="105"/>
      <c r="J215" s="163"/>
      <c r="K215" s="163"/>
      <c r="L215" s="163"/>
      <c r="M215" s="151"/>
    </row>
    <row r="216" spans="2:13" ht="15" thickTop="1" x14ac:dyDescent="0.3"/>
    <row r="221" spans="2:13" ht="25.8" hidden="1" x14ac:dyDescent="0.5">
      <c r="B221" s="246" t="s">
        <v>24</v>
      </c>
      <c r="C221" s="246"/>
      <c r="D221" s="246"/>
      <c r="E221" s="246"/>
      <c r="F221" s="246"/>
      <c r="G221" s="246"/>
    </row>
    <row r="222" spans="2:13" hidden="1" x14ac:dyDescent="0.3"/>
    <row r="223" spans="2:13" ht="22.8" hidden="1" thickBot="1" x14ac:dyDescent="0.5">
      <c r="B223" s="28" t="s">
        <v>25</v>
      </c>
      <c r="C223" s="29" t="s">
        <v>26</v>
      </c>
      <c r="D223" s="29" t="s">
        <v>27</v>
      </c>
      <c r="E223" s="180" t="s">
        <v>28</v>
      </c>
    </row>
    <row r="224" spans="2:13" ht="23.4" hidden="1" x14ac:dyDescent="0.45">
      <c r="B224" s="31"/>
      <c r="C224" s="26"/>
      <c r="D224" s="26"/>
      <c r="E224" s="32"/>
    </row>
    <row r="225" spans="2:5" ht="22.2" hidden="1" x14ac:dyDescent="0.45">
      <c r="B225" s="33">
        <v>44743</v>
      </c>
      <c r="C225" s="89">
        <v>1056523.5</v>
      </c>
      <c r="D225" s="90">
        <v>1501785</v>
      </c>
      <c r="E225" s="181">
        <f>C225+D225</f>
        <v>2558308.5</v>
      </c>
    </row>
    <row r="226" spans="2:5" ht="22.2" hidden="1" x14ac:dyDescent="0.45">
      <c r="B226" s="33">
        <v>44774</v>
      </c>
      <c r="C226" s="92">
        <v>1649443.5</v>
      </c>
      <c r="D226" s="92">
        <v>863715</v>
      </c>
      <c r="E226" s="181">
        <f t="shared" ref="E226:E236" si="0">C226+D226</f>
        <v>2513158.5</v>
      </c>
    </row>
    <row r="227" spans="2:5" ht="22.2" hidden="1" x14ac:dyDescent="0.45">
      <c r="B227" s="33">
        <v>44805</v>
      </c>
      <c r="C227" s="92">
        <v>1346098.5</v>
      </c>
      <c r="D227" s="92">
        <v>1119105</v>
      </c>
      <c r="E227" s="181">
        <f t="shared" si="0"/>
        <v>2465203.5</v>
      </c>
    </row>
    <row r="228" spans="2:5" ht="22.2" hidden="1" x14ac:dyDescent="0.45">
      <c r="B228" s="33">
        <v>44835</v>
      </c>
      <c r="C228" s="92">
        <v>2573653.5</v>
      </c>
      <c r="D228" s="92">
        <v>0</v>
      </c>
      <c r="E228" s="181">
        <f t="shared" si="0"/>
        <v>2573653.5</v>
      </c>
    </row>
    <row r="229" spans="2:5" ht="22.2" hidden="1" x14ac:dyDescent="0.45">
      <c r="B229" s="33">
        <v>44866</v>
      </c>
      <c r="C229" s="92">
        <v>2239123.5</v>
      </c>
      <c r="D229" s="92">
        <v>0</v>
      </c>
      <c r="E229" s="181">
        <f t="shared" si="0"/>
        <v>2239123.5</v>
      </c>
    </row>
    <row r="230" spans="2:5" ht="22.2" hidden="1" x14ac:dyDescent="0.45">
      <c r="B230" s="33">
        <v>44896</v>
      </c>
      <c r="C230" s="92">
        <v>3815869.5</v>
      </c>
      <c r="D230" s="92">
        <v>0</v>
      </c>
      <c r="E230" s="181">
        <f t="shared" si="0"/>
        <v>3815869.5</v>
      </c>
    </row>
    <row r="231" spans="2:5" ht="22.2" hidden="1" x14ac:dyDescent="0.45">
      <c r="B231" s="33">
        <v>44927</v>
      </c>
      <c r="C231" s="92">
        <v>3876876</v>
      </c>
      <c r="D231" s="92">
        <v>0</v>
      </c>
      <c r="E231" s="181">
        <f t="shared" si="0"/>
        <v>3876876</v>
      </c>
    </row>
    <row r="232" spans="2:5" ht="22.2" hidden="1" x14ac:dyDescent="0.45">
      <c r="B232" s="33">
        <v>44958</v>
      </c>
      <c r="C232" s="92">
        <v>2565432</v>
      </c>
      <c r="D232" s="92">
        <v>427935</v>
      </c>
      <c r="E232" s="181">
        <f t="shared" si="0"/>
        <v>2993367</v>
      </c>
    </row>
    <row r="233" spans="2:5" ht="22.2" hidden="1" x14ac:dyDescent="0.45">
      <c r="B233" s="33">
        <v>44986</v>
      </c>
      <c r="C233" s="92">
        <v>2163847.5</v>
      </c>
      <c r="D233" s="92">
        <v>0</v>
      </c>
      <c r="E233" s="181">
        <f t="shared" si="0"/>
        <v>2163847.5</v>
      </c>
    </row>
    <row r="234" spans="2:5" ht="22.2" hidden="1" x14ac:dyDescent="0.45">
      <c r="B234" s="33">
        <v>45017</v>
      </c>
      <c r="C234" s="92">
        <v>1103476.5</v>
      </c>
      <c r="D234" s="92">
        <v>0</v>
      </c>
      <c r="E234" s="181">
        <f t="shared" si="0"/>
        <v>1103476.5</v>
      </c>
    </row>
    <row r="235" spans="2:5" ht="22.2" hidden="1" x14ac:dyDescent="0.45">
      <c r="B235" s="33">
        <v>45047</v>
      </c>
      <c r="C235" s="92">
        <v>1210167</v>
      </c>
      <c r="D235" s="92">
        <v>0</v>
      </c>
      <c r="E235" s="181">
        <f t="shared" si="0"/>
        <v>1210167</v>
      </c>
    </row>
    <row r="236" spans="2:5" ht="22.2" hidden="1" x14ac:dyDescent="0.45">
      <c r="B236" s="33">
        <v>45078</v>
      </c>
      <c r="C236" s="92">
        <v>2359260</v>
      </c>
      <c r="D236" s="92">
        <v>0</v>
      </c>
      <c r="E236" s="181">
        <f t="shared" si="0"/>
        <v>2359260</v>
      </c>
    </row>
    <row r="237" spans="2:5" ht="22.8" hidden="1" thickBot="1" x14ac:dyDescent="0.5">
      <c r="B237" s="34"/>
      <c r="C237" s="27"/>
      <c r="D237" s="27"/>
      <c r="E237" s="35"/>
    </row>
    <row r="238" spans="2:5" ht="23.4" hidden="1" thickTop="1" thickBot="1" x14ac:dyDescent="0.5">
      <c r="B238" s="36"/>
      <c r="C238" s="37">
        <f>SUM(C225:C236)</f>
        <v>25959771</v>
      </c>
      <c r="D238" s="37">
        <f>SUM(D225:D236)</f>
        <v>3912540</v>
      </c>
      <c r="E238" s="38">
        <f>SUM(E225:E236)</f>
        <v>29872311</v>
      </c>
    </row>
    <row r="239" spans="2:5" hidden="1" x14ac:dyDescent="0.3"/>
    <row r="240" spans="2:5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</sheetData>
  <dataConsolidate/>
  <mergeCells count="7">
    <mergeCell ref="B221:G221"/>
    <mergeCell ref="B2:G2"/>
    <mergeCell ref="B47:G47"/>
    <mergeCell ref="B84:H84"/>
    <mergeCell ref="B124:G124"/>
    <mergeCell ref="B126:G126"/>
    <mergeCell ref="B170:G170"/>
  </mergeCells>
  <conditionalFormatting sqref="C4:D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{94EDA2B3-5BE4-40BD-B99C-089D61F88C12}</x14:id>
        </ext>
      </extLst>
    </cfRule>
  </conditionalFormatting>
  <conditionalFormatting sqref="C49:D53 E6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{648A32FF-261A-4D9E-A257-F0FB8C896941}</x14:id>
        </ext>
      </extLst>
    </cfRule>
  </conditionalFormatting>
  <conditionalFormatting sqref="C86:D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{81C4891D-AAA5-4831-9296-2D93E59C907E}</x14:id>
        </ext>
      </extLst>
    </cfRule>
  </conditionalFormatting>
  <conditionalFormatting sqref="C129:H1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{E450DAB6-FCF1-423A-BBE0-B94D1B6E3CA2}</x14:id>
        </ext>
      </extLst>
    </cfRule>
  </conditionalFormatting>
  <pageMargins left="0.7" right="0.7" top="0.75" bottom="0.75" header="0.3" footer="0.3"/>
  <pageSetup paperSize="9" orientation="portrait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EDA2B3-5BE4-40BD-B99C-089D61F88C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C4:D8</xm:sqref>
        </x14:conditionalFormatting>
        <x14:conditionalFormatting xmlns:xm="http://schemas.microsoft.com/office/excel/2006/main">
          <x14:cfRule type="dataBar" id="{648A32FF-261A-4D9E-A257-F0FB8C8969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C49:D53 E60</xm:sqref>
        </x14:conditionalFormatting>
        <x14:conditionalFormatting xmlns:xm="http://schemas.microsoft.com/office/excel/2006/main">
          <x14:cfRule type="dataBar" id="{81C4891D-AAA5-4831-9296-2D93E59C90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C86:D91</xm:sqref>
        </x14:conditionalFormatting>
        <x14:conditionalFormatting xmlns:xm="http://schemas.microsoft.com/office/excel/2006/main">
          <x14:cfRule type="dataBar" id="{E450DAB6-FCF1-423A-BBE0-B94D1B6E3C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C129:H129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F9A6-3CC4-461E-A740-312760A60FE9}">
  <sheetPr>
    <tabColor rgb="FF00B050"/>
    <pageSetUpPr autoPageBreaks="0"/>
  </sheetPr>
  <dimension ref="B2:N244"/>
  <sheetViews>
    <sheetView showGridLines="0" zoomScale="85" zoomScaleNormal="85" zoomScaleSheetLayoutView="115" workbookViewId="0">
      <selection activeCell="D114" sqref="D114:H114"/>
    </sheetView>
  </sheetViews>
  <sheetFormatPr defaultColWidth="22.33203125" defaultRowHeight="14.4" x14ac:dyDescent="0.3"/>
  <cols>
    <col min="1" max="1" width="6.6640625" customWidth="1"/>
    <col min="2" max="2" width="28.109375" customWidth="1"/>
    <col min="3" max="3" width="17.109375" customWidth="1"/>
    <col min="4" max="4" width="15.77734375" customWidth="1"/>
    <col min="5" max="5" width="11.6640625" customWidth="1"/>
    <col min="6" max="6" width="11.33203125" customWidth="1"/>
    <col min="7" max="7" width="10.77734375" customWidth="1"/>
    <col min="8" max="8" width="12.33203125" style="101" customWidth="1"/>
    <col min="9" max="9" width="16.5546875" customWidth="1"/>
    <col min="10" max="12" width="22.33203125" style="157"/>
    <col min="13" max="13" width="22.33203125" style="126"/>
  </cols>
  <sheetData>
    <row r="2" spans="2:12" ht="25.8" x14ac:dyDescent="0.5">
      <c r="B2" s="246" t="s">
        <v>68</v>
      </c>
      <c r="C2" s="246"/>
      <c r="D2" s="246"/>
      <c r="E2" s="246"/>
      <c r="F2" s="246"/>
      <c r="G2" s="246"/>
      <c r="J2" s="155"/>
      <c r="K2" s="158"/>
    </row>
    <row r="3" spans="2:12" ht="4.5" customHeight="1" x14ac:dyDescent="0.3"/>
    <row r="4" spans="2:12" x14ac:dyDescent="0.3">
      <c r="B4" s="21" t="s">
        <v>52</v>
      </c>
      <c r="C4" s="168">
        <v>143000</v>
      </c>
      <c r="D4" s="22" t="s">
        <v>4</v>
      </c>
      <c r="E4" s="173"/>
      <c r="H4" s="102"/>
      <c r="I4" s="67"/>
      <c r="J4" s="156"/>
    </row>
    <row r="5" spans="2:12" ht="28.8" x14ac:dyDescent="0.3">
      <c r="B5" s="21" t="s">
        <v>107</v>
      </c>
      <c r="C5" s="168">
        <f>(C4-0)/12</f>
        <v>11916.666666666666</v>
      </c>
      <c r="D5" s="22" t="s">
        <v>4</v>
      </c>
      <c r="I5" s="67"/>
    </row>
    <row r="6" spans="2:12" x14ac:dyDescent="0.3">
      <c r="B6" s="21" t="s">
        <v>6</v>
      </c>
      <c r="C6" s="171">
        <f>SUM(D36:G36)</f>
        <v>5453.7800000000007</v>
      </c>
      <c r="D6" s="22" t="s">
        <v>4</v>
      </c>
      <c r="E6" s="173"/>
      <c r="I6" s="67"/>
      <c r="J6" s="159"/>
    </row>
    <row r="7" spans="2:12" x14ac:dyDescent="0.3">
      <c r="B7" s="21" t="s">
        <v>66</v>
      </c>
      <c r="C7" s="171">
        <f>C6</f>
        <v>5453.7800000000007</v>
      </c>
      <c r="D7" s="22" t="s">
        <v>4</v>
      </c>
      <c r="E7" s="174"/>
      <c r="I7" s="67"/>
    </row>
    <row r="8" spans="2:12" x14ac:dyDescent="0.3">
      <c r="B8" s="21" t="s">
        <v>2</v>
      </c>
      <c r="C8" s="171">
        <f>SUM(D38:G38)</f>
        <v>0</v>
      </c>
      <c r="D8" s="22" t="s">
        <v>4</v>
      </c>
      <c r="F8" s="3"/>
    </row>
    <row r="9" spans="2:12" x14ac:dyDescent="0.3">
      <c r="J9" s="159"/>
    </row>
    <row r="10" spans="2:12" x14ac:dyDescent="0.3">
      <c r="D10" s="2"/>
      <c r="E10" s="175"/>
      <c r="F10" s="2"/>
      <c r="G10" s="2"/>
      <c r="J10" s="159"/>
    </row>
    <row r="11" spans="2:12" x14ac:dyDescent="0.3">
      <c r="D11" s="2"/>
      <c r="E11" s="175"/>
      <c r="F11" s="2"/>
      <c r="G11" s="2"/>
    </row>
    <row r="12" spans="2:12" x14ac:dyDescent="0.3">
      <c r="D12" s="2"/>
      <c r="E12" s="175"/>
      <c r="F12" s="2"/>
      <c r="G12" s="2"/>
    </row>
    <row r="13" spans="2:12" x14ac:dyDescent="0.3">
      <c r="K13" s="160"/>
      <c r="L13" s="160"/>
    </row>
    <row r="19" spans="2:13" x14ac:dyDescent="0.3">
      <c r="I19" s="67"/>
    </row>
    <row r="28" spans="2:13" s="101" customFormat="1" x14ac:dyDescent="0.3">
      <c r="B28"/>
      <c r="C28" s="57"/>
      <c r="D28" s="57"/>
      <c r="E28" s="173"/>
      <c r="F28" s="57"/>
      <c r="G28"/>
      <c r="I28"/>
      <c r="J28" s="157"/>
      <c r="K28" s="157"/>
      <c r="L28" s="161"/>
      <c r="M28" s="149"/>
    </row>
    <row r="29" spans="2:13" s="101" customFormat="1" x14ac:dyDescent="0.3">
      <c r="B29"/>
      <c r="C29"/>
      <c r="D29" s="56"/>
      <c r="E29"/>
      <c r="F29"/>
      <c r="G29"/>
      <c r="I29"/>
      <c r="J29" s="157"/>
      <c r="K29" s="157"/>
      <c r="L29" s="161"/>
      <c r="M29" s="149"/>
    </row>
    <row r="30" spans="2:13" s="101" customFormat="1" hidden="1" x14ac:dyDescent="0.3">
      <c r="B30"/>
      <c r="C30"/>
      <c r="D30"/>
      <c r="E30"/>
      <c r="F30"/>
      <c r="G30"/>
      <c r="I30"/>
      <c r="J30" s="157"/>
      <c r="K30" s="157"/>
      <c r="L30" s="161"/>
      <c r="M30" s="149"/>
    </row>
    <row r="31" spans="2:13" s="101" customFormat="1" hidden="1" x14ac:dyDescent="0.3">
      <c r="B31"/>
      <c r="C31"/>
      <c r="D31"/>
      <c r="E31"/>
      <c r="F31"/>
      <c r="G31"/>
      <c r="I31"/>
      <c r="J31" s="157"/>
      <c r="K31" s="157"/>
      <c r="L31" s="161"/>
      <c r="M31" s="149"/>
    </row>
    <row r="32" spans="2:13" s="101" customFormat="1" hidden="1" x14ac:dyDescent="0.3">
      <c r="B32"/>
      <c r="C32"/>
      <c r="D32"/>
      <c r="E32"/>
      <c r="F32"/>
      <c r="G32"/>
      <c r="I32"/>
      <c r="J32" s="157"/>
      <c r="K32" s="157"/>
      <c r="L32" s="161"/>
      <c r="M32" s="149"/>
    </row>
    <row r="33" spans="2:13" s="101" customFormat="1" ht="16.5" customHeight="1" x14ac:dyDescent="0.3">
      <c r="B33"/>
      <c r="C33"/>
      <c r="D33" s="57"/>
      <c r="E33" s="173"/>
      <c r="F33" s="57"/>
      <c r="G33" s="57"/>
      <c r="I33"/>
      <c r="J33" s="157"/>
      <c r="K33" s="157"/>
      <c r="L33" s="161"/>
      <c r="M33" s="149"/>
    </row>
    <row r="34" spans="2:13" ht="27.6" x14ac:dyDescent="0.3">
      <c r="B34" s="1"/>
      <c r="C34" s="1"/>
      <c r="D34" s="97" t="s">
        <v>146</v>
      </c>
      <c r="E34" s="97" t="s">
        <v>147</v>
      </c>
      <c r="F34" s="97" t="s">
        <v>148</v>
      </c>
      <c r="G34" s="97" t="s">
        <v>149</v>
      </c>
      <c r="H34" s="97" t="s">
        <v>150</v>
      </c>
      <c r="I34" s="56"/>
    </row>
    <row r="35" spans="2:13" hidden="1" x14ac:dyDescent="0.3">
      <c r="B35" s="1"/>
      <c r="C35" s="1"/>
      <c r="D35" s="43"/>
      <c r="E35" s="177"/>
      <c r="F35" s="43"/>
      <c r="G35" s="43"/>
      <c r="H35" s="43"/>
      <c r="I35" s="57"/>
    </row>
    <row r="36" spans="2:13" ht="16.95" customHeight="1" x14ac:dyDescent="0.3">
      <c r="B36" s="12" t="s">
        <v>135</v>
      </c>
      <c r="C36" s="6" t="s">
        <v>4</v>
      </c>
      <c r="D36" s="54">
        <v>1112.79</v>
      </c>
      <c r="E36" s="54">
        <v>1301.55</v>
      </c>
      <c r="F36" s="54">
        <v>1569.69</v>
      </c>
      <c r="G36" s="54">
        <v>1469.75</v>
      </c>
      <c r="H36" s="54">
        <v>947.86</v>
      </c>
      <c r="I36" s="103"/>
    </row>
    <row r="37" spans="2:13" x14ac:dyDescent="0.3">
      <c r="B37" s="12" t="s">
        <v>110</v>
      </c>
      <c r="C37" s="6"/>
      <c r="D37" s="119"/>
      <c r="E37" s="119"/>
      <c r="F37" s="119"/>
      <c r="G37" s="119"/>
      <c r="H37" s="119"/>
      <c r="I37" s="103"/>
    </row>
    <row r="38" spans="2:13" ht="15" hidden="1" thickBot="1" x14ac:dyDescent="0.35">
      <c r="B38" s="12"/>
      <c r="C38" s="6"/>
      <c r="D38" s="120"/>
      <c r="E38" s="178"/>
      <c r="F38" s="121"/>
      <c r="G38" s="122"/>
      <c r="H38" s="122"/>
      <c r="I38" s="104"/>
    </row>
    <row r="39" spans="2:13" x14ac:dyDescent="0.3">
      <c r="B39" s="12" t="s">
        <v>3</v>
      </c>
      <c r="C39" s="6" t="s">
        <v>4</v>
      </c>
      <c r="D39" s="75">
        <f>D37+D36</f>
        <v>1112.79</v>
      </c>
      <c r="E39" s="75">
        <f>IF(E37+E36="",0,E37+E36)</f>
        <v>1301.55</v>
      </c>
      <c r="F39" s="123">
        <f>F36</f>
        <v>1569.69</v>
      </c>
      <c r="G39" s="123">
        <f>G36</f>
        <v>1469.75</v>
      </c>
      <c r="H39" s="123">
        <f>H36</f>
        <v>947.86</v>
      </c>
      <c r="I39" s="103"/>
      <c r="J39" s="162"/>
      <c r="K39" s="159"/>
    </row>
    <row r="40" spans="2:13" x14ac:dyDescent="0.3">
      <c r="B40" s="12" t="s">
        <v>108</v>
      </c>
      <c r="C40" s="8"/>
      <c r="D40" s="76">
        <f>D39</f>
        <v>1112.79</v>
      </c>
      <c r="E40" s="76">
        <f>E39+D40</f>
        <v>2414.34</v>
      </c>
      <c r="F40" s="76">
        <f>F39+E40</f>
        <v>3984.03</v>
      </c>
      <c r="G40" s="76">
        <f>G39+F40</f>
        <v>5453.7800000000007</v>
      </c>
      <c r="H40" s="76">
        <f>H39+G40</f>
        <v>6401.64</v>
      </c>
      <c r="J40" s="162"/>
    </row>
    <row r="41" spans="2:13" x14ac:dyDescent="0.3">
      <c r="B41" s="12" t="s">
        <v>109</v>
      </c>
      <c r="C41" s="6" t="s">
        <v>4</v>
      </c>
      <c r="D41" s="75">
        <f>(C5/30)*5</f>
        <v>1986.1111111111111</v>
      </c>
      <c r="E41" s="75">
        <f>((C5/30)*12)-D40</f>
        <v>3653.876666666667</v>
      </c>
      <c r="F41" s="75">
        <f>((C5/30)*19)-E40</f>
        <v>5132.8822222222225</v>
      </c>
      <c r="G41" s="75">
        <f>((C5/30)*26)-F40</f>
        <v>6343.7477777777767</v>
      </c>
      <c r="H41" s="75">
        <f>((C5/30)*30)-G40</f>
        <v>6462.8866666666654</v>
      </c>
      <c r="I41" s="67"/>
    </row>
    <row r="42" spans="2:13" x14ac:dyDescent="0.3">
      <c r="B42" s="21"/>
      <c r="C42" s="85"/>
      <c r="D42" s="86"/>
      <c r="E42" s="86"/>
      <c r="F42" s="86"/>
      <c r="G42" s="86"/>
      <c r="H42" s="104"/>
      <c r="I42" s="67"/>
    </row>
    <row r="43" spans="2:13" x14ac:dyDescent="0.3">
      <c r="B43" s="21"/>
      <c r="C43" s="85"/>
      <c r="D43" s="86"/>
      <c r="E43" s="86"/>
      <c r="F43" s="86"/>
      <c r="G43" s="86"/>
      <c r="H43" s="104"/>
    </row>
    <row r="44" spans="2:13" s="4" customFormat="1" ht="15" thickBot="1" x14ac:dyDescent="0.35">
      <c r="D44" s="59"/>
      <c r="E44" s="59"/>
      <c r="F44" s="59"/>
      <c r="G44" s="59"/>
      <c r="H44" s="105"/>
      <c r="J44" s="163"/>
      <c r="K44" s="163"/>
      <c r="L44" s="163"/>
      <c r="M44" s="151"/>
    </row>
    <row r="45" spans="2:13" ht="15" thickTop="1" x14ac:dyDescent="0.3">
      <c r="D45" s="67"/>
      <c r="E45" s="67"/>
      <c r="F45" s="67"/>
    </row>
    <row r="47" spans="2:13" ht="25.8" x14ac:dyDescent="0.5">
      <c r="B47" s="246" t="s">
        <v>69</v>
      </c>
      <c r="C47" s="246"/>
      <c r="D47" s="246"/>
      <c r="E47" s="246"/>
      <c r="F47" s="246"/>
      <c r="G47" s="246"/>
      <c r="J47" s="159"/>
      <c r="K47" s="162"/>
    </row>
    <row r="48" spans="2:13" ht="4.95" customHeight="1" x14ac:dyDescent="0.3"/>
    <row r="49" spans="2:9" x14ac:dyDescent="0.3">
      <c r="B49" s="21" t="s">
        <v>52</v>
      </c>
      <c r="C49" s="168">
        <v>9907200</v>
      </c>
      <c r="D49" s="22" t="s">
        <v>8</v>
      </c>
      <c r="I49" s="96"/>
    </row>
    <row r="50" spans="2:9" x14ac:dyDescent="0.3">
      <c r="B50" s="21" t="s">
        <v>31</v>
      </c>
      <c r="C50" s="168">
        <f>(C49-0)/12</f>
        <v>825600</v>
      </c>
      <c r="D50" s="22" t="s">
        <v>8</v>
      </c>
    </row>
    <row r="51" spans="2:9" x14ac:dyDescent="0.3">
      <c r="B51" s="21" t="s">
        <v>6</v>
      </c>
      <c r="C51" s="171">
        <f>SUM(D78:G78)</f>
        <v>444787</v>
      </c>
      <c r="D51" s="22" t="s">
        <v>8</v>
      </c>
      <c r="E51" s="173"/>
    </row>
    <row r="52" spans="2:9" x14ac:dyDescent="0.3">
      <c r="B52" s="21" t="s">
        <v>67</v>
      </c>
      <c r="C52" s="171">
        <f>C51</f>
        <v>444787</v>
      </c>
      <c r="D52" s="22" t="s">
        <v>8</v>
      </c>
      <c r="E52" s="173"/>
    </row>
    <row r="53" spans="2:9" x14ac:dyDescent="0.3">
      <c r="B53" s="21" t="s">
        <v>9</v>
      </c>
      <c r="C53" s="171">
        <f>C50-C51</f>
        <v>380813</v>
      </c>
      <c r="D53" s="22" t="s">
        <v>8</v>
      </c>
    </row>
    <row r="60" spans="2:9" x14ac:dyDescent="0.3">
      <c r="E60" s="22" t="s">
        <v>8</v>
      </c>
    </row>
    <row r="77" spans="2:9" ht="27.6" x14ac:dyDescent="0.3">
      <c r="B77" s="1"/>
      <c r="C77" s="1"/>
      <c r="D77" s="97" t="str">
        <f>D34</f>
        <v>WEEK 1
(Apr1-5)</v>
      </c>
      <c r="E77" s="97" t="str">
        <f>E34</f>
        <v>WEEK 2
(Apr6-12)</v>
      </c>
      <c r="F77" s="97" t="str">
        <f>F34</f>
        <v>WEEK 3
(Apr13-19)</v>
      </c>
      <c r="G77" s="97" t="str">
        <f>G34</f>
        <v>WEEK 4
(Apr20-26)</v>
      </c>
      <c r="H77" s="97" t="str">
        <f>H34</f>
        <v>WEEk 5
(Apr27-30)</v>
      </c>
    </row>
    <row r="78" spans="2:9" x14ac:dyDescent="0.3">
      <c r="B78" s="5" t="s">
        <v>1</v>
      </c>
      <c r="C78" s="9" t="s">
        <v>8</v>
      </c>
      <c r="D78" s="184">
        <v>71832</v>
      </c>
      <c r="E78" s="184">
        <v>145087</v>
      </c>
      <c r="F78" s="184">
        <v>139215</v>
      </c>
      <c r="G78" s="184">
        <v>88653</v>
      </c>
      <c r="H78" s="184">
        <v>87345</v>
      </c>
      <c r="I78" s="57"/>
    </row>
    <row r="79" spans="2:9" x14ac:dyDescent="0.3">
      <c r="B79" s="7" t="s">
        <v>5</v>
      </c>
      <c r="C79" s="9" t="s">
        <v>8</v>
      </c>
      <c r="D79" s="98">
        <f>D78</f>
        <v>71832</v>
      </c>
      <c r="E79" s="98">
        <f>D79+E78</f>
        <v>216919</v>
      </c>
      <c r="F79" s="98">
        <f>E79+F78</f>
        <v>356134</v>
      </c>
      <c r="G79" s="98">
        <f>F79+G78</f>
        <v>444787</v>
      </c>
      <c r="H79" s="98">
        <f>G79+H78</f>
        <v>532132</v>
      </c>
    </row>
    <row r="80" spans="2:9" x14ac:dyDescent="0.3">
      <c r="B80" s="5" t="s">
        <v>9</v>
      </c>
      <c r="C80" s="9" t="s">
        <v>8</v>
      </c>
      <c r="D80" s="98">
        <f>(C50/30)*5</f>
        <v>137600</v>
      </c>
      <c r="E80" s="98">
        <f>(($C50/30)*12)-D79</f>
        <v>258408</v>
      </c>
      <c r="F80" s="98">
        <f>(($C50/30)*19)-E79</f>
        <v>305961</v>
      </c>
      <c r="G80" s="98">
        <f>(($C50/30)*26)-F79</f>
        <v>359386</v>
      </c>
      <c r="H80" s="98">
        <f>(($C50/30)*30)-G79</f>
        <v>380813</v>
      </c>
    </row>
    <row r="81" spans="2:13" s="4" customFormat="1" ht="15" thickBot="1" x14ac:dyDescent="0.35">
      <c r="H81" s="105"/>
      <c r="J81" s="163"/>
      <c r="K81" s="163"/>
      <c r="L81" s="163"/>
      <c r="M81" s="151"/>
    </row>
    <row r="82" spans="2:13" ht="15" thickTop="1" x14ac:dyDescent="0.3"/>
    <row r="83" spans="2:13" s="101" customFormat="1" ht="25.8" x14ac:dyDescent="0.5">
      <c r="B83" s="246" t="s">
        <v>70</v>
      </c>
      <c r="C83" s="246"/>
      <c r="D83" s="246"/>
      <c r="E83" s="246"/>
      <c r="F83" s="246"/>
      <c r="G83" s="246"/>
      <c r="H83" s="246"/>
      <c r="I83"/>
      <c r="J83" s="157"/>
      <c r="K83" s="157"/>
      <c r="L83" s="161"/>
      <c r="M83" s="149"/>
    </row>
    <row r="84" spans="2:13" s="101" customFormat="1" ht="6.45" customHeight="1" x14ac:dyDescent="0.3">
      <c r="B84"/>
      <c r="C84"/>
      <c r="D84"/>
      <c r="E84"/>
      <c r="F84"/>
      <c r="G84"/>
      <c r="I84"/>
      <c r="J84" s="157"/>
      <c r="K84" s="157"/>
      <c r="L84" s="161"/>
      <c r="M84" s="149"/>
    </row>
    <row r="85" spans="2:13" s="101" customFormat="1" ht="16.2" x14ac:dyDescent="0.3">
      <c r="B85" s="172" t="s">
        <v>52</v>
      </c>
      <c r="C85" s="168">
        <v>10000000</v>
      </c>
      <c r="D85" s="22" t="s">
        <v>11</v>
      </c>
      <c r="E85"/>
      <c r="F85"/>
      <c r="G85"/>
      <c r="I85"/>
      <c r="J85" s="157"/>
      <c r="K85" s="157"/>
      <c r="L85" s="161"/>
      <c r="M85" s="149"/>
    </row>
    <row r="86" spans="2:13" s="101" customFormat="1" ht="16.2" x14ac:dyDescent="0.3">
      <c r="B86" s="172" t="s">
        <v>31</v>
      </c>
      <c r="C86" s="168">
        <f>(C85-0)/12</f>
        <v>833333.33333333337</v>
      </c>
      <c r="D86" s="22" t="s">
        <v>11</v>
      </c>
      <c r="E86"/>
      <c r="I86"/>
      <c r="J86" s="157"/>
      <c r="K86" s="157"/>
      <c r="L86" s="161"/>
      <c r="M86" s="149"/>
    </row>
    <row r="87" spans="2:13" s="101" customFormat="1" ht="16.2" x14ac:dyDescent="0.3">
      <c r="B87" s="172" t="s">
        <v>1</v>
      </c>
      <c r="C87" s="171">
        <f>SUM(D114:G114,D116:G116)</f>
        <v>256874</v>
      </c>
      <c r="D87" s="22" t="s">
        <v>11</v>
      </c>
      <c r="E87" s="173"/>
      <c r="F87"/>
      <c r="G87"/>
      <c r="I87"/>
      <c r="J87" s="157"/>
      <c r="K87" s="157"/>
      <c r="L87" s="161"/>
      <c r="M87" s="149"/>
    </row>
    <row r="88" spans="2:13" s="101" customFormat="1" ht="16.2" x14ac:dyDescent="0.3">
      <c r="B88" s="172" t="s">
        <v>67</v>
      </c>
      <c r="C88" s="171">
        <f>C87</f>
        <v>256874</v>
      </c>
      <c r="D88" s="22" t="s">
        <v>11</v>
      </c>
      <c r="E88" s="173"/>
      <c r="F88"/>
      <c r="G88"/>
      <c r="I88"/>
      <c r="J88" s="157"/>
      <c r="K88" s="157"/>
      <c r="L88" s="161"/>
      <c r="M88" s="149"/>
    </row>
    <row r="89" spans="2:13" s="101" customFormat="1" ht="16.2" x14ac:dyDescent="0.3">
      <c r="B89" s="172" t="s">
        <v>9</v>
      </c>
      <c r="C89" s="171">
        <f>C86-C87</f>
        <v>576459.33333333337</v>
      </c>
      <c r="D89" s="22" t="s">
        <v>11</v>
      </c>
      <c r="E89" s="67"/>
      <c r="F89"/>
      <c r="G89"/>
      <c r="I89"/>
      <c r="J89" s="157"/>
      <c r="K89" s="157"/>
      <c r="L89" s="161"/>
      <c r="M89" s="149"/>
    </row>
    <row r="90" spans="2:13" s="101" customFormat="1" ht="7.5" customHeight="1" x14ac:dyDescent="0.3">
      <c r="B90"/>
      <c r="C90"/>
      <c r="D90"/>
      <c r="E90"/>
      <c r="F90"/>
      <c r="G90"/>
      <c r="I90"/>
      <c r="J90" s="157"/>
      <c r="K90" s="157"/>
      <c r="L90" s="161"/>
      <c r="M90" s="149"/>
    </row>
    <row r="103" spans="4:9" x14ac:dyDescent="0.3">
      <c r="I103" s="57"/>
    </row>
    <row r="112" spans="4:9" x14ac:dyDescent="0.3">
      <c r="D112" s="67"/>
      <c r="E112" s="67"/>
      <c r="F112" s="67"/>
    </row>
    <row r="113" spans="2:14" ht="27.6" x14ac:dyDescent="0.3">
      <c r="B113" s="1"/>
      <c r="C113" s="1"/>
      <c r="D113" s="97" t="str">
        <f>D77</f>
        <v>WEEK 1
(Apr1-5)</v>
      </c>
      <c r="E113" s="97" t="str">
        <f>E77</f>
        <v>WEEK 2
(Apr6-12)</v>
      </c>
      <c r="F113" s="97" t="str">
        <f>F77</f>
        <v>WEEK 3
(Apr13-19)</v>
      </c>
      <c r="G113" s="97" t="str">
        <f>G77</f>
        <v>WEEK 4
(Apr20-26)</v>
      </c>
      <c r="H113" s="97" t="str">
        <f>H77</f>
        <v>WEEk 5
(Apr27-30)</v>
      </c>
      <c r="I113" s="74"/>
      <c r="J113" s="162"/>
    </row>
    <row r="114" spans="2:14" ht="16.2" x14ac:dyDescent="0.3">
      <c r="B114" s="79" t="s">
        <v>43</v>
      </c>
      <c r="C114" s="9" t="s">
        <v>11</v>
      </c>
      <c r="D114" s="184">
        <v>62099</v>
      </c>
      <c r="E114" s="69">
        <v>57133</v>
      </c>
      <c r="F114" s="69">
        <v>78237</v>
      </c>
      <c r="G114" s="69">
        <v>59405</v>
      </c>
      <c r="H114" s="69">
        <v>54840</v>
      </c>
      <c r="I114" s="77"/>
      <c r="J114" s="164"/>
      <c r="K114" s="162"/>
    </row>
    <row r="115" spans="2:14" ht="16.2" x14ac:dyDescent="0.3">
      <c r="B115" s="79" t="s">
        <v>41</v>
      </c>
      <c r="C115" s="9" t="s">
        <v>11</v>
      </c>
      <c r="D115" s="184">
        <f>D78*0.47</f>
        <v>33761.040000000001</v>
      </c>
      <c r="E115" s="184">
        <f>E78*0.47</f>
        <v>68190.89</v>
      </c>
      <c r="F115" s="184">
        <f>F78*0.47</f>
        <v>65431.049999999996</v>
      </c>
      <c r="G115" s="184">
        <f>G78*0.47</f>
        <v>41666.909999999996</v>
      </c>
      <c r="H115" s="184">
        <f>H78*0.47</f>
        <v>41052.149999999994</v>
      </c>
      <c r="I115" s="57"/>
    </row>
    <row r="116" spans="2:14" ht="16.2" x14ac:dyDescent="0.3">
      <c r="B116" s="12" t="s">
        <v>12</v>
      </c>
      <c r="C116" s="9" t="s">
        <v>11</v>
      </c>
      <c r="D116" s="69"/>
      <c r="E116" s="69"/>
      <c r="F116" s="69"/>
      <c r="G116" s="69"/>
      <c r="H116" s="69"/>
      <c r="I116" s="77"/>
      <c r="J116" s="164"/>
    </row>
    <row r="117" spans="2:14" x14ac:dyDescent="0.3">
      <c r="B117" s="12" t="s">
        <v>13</v>
      </c>
      <c r="C117" s="9" t="s">
        <v>10</v>
      </c>
      <c r="D117" s="69">
        <f>D114+D116</f>
        <v>62099</v>
      </c>
      <c r="E117" s="69">
        <f>E114+E116</f>
        <v>57133</v>
      </c>
      <c r="F117" s="69">
        <f>SUM(F114:F116)</f>
        <v>143668.04999999999</v>
      </c>
      <c r="G117" s="69">
        <f>SUM(G114:G116)</f>
        <v>101071.91</v>
      </c>
      <c r="H117" s="69">
        <f>SUM(H114:H116)</f>
        <v>95892.15</v>
      </c>
      <c r="I117" s="77"/>
    </row>
    <row r="118" spans="2:14" x14ac:dyDescent="0.3">
      <c r="B118" s="13" t="s">
        <v>5</v>
      </c>
      <c r="C118" s="9" t="s">
        <v>10</v>
      </c>
      <c r="D118" s="185">
        <f>D117</f>
        <v>62099</v>
      </c>
      <c r="E118" s="185">
        <f>D118+E117</f>
        <v>119232</v>
      </c>
      <c r="F118" s="185">
        <f>E118+F117</f>
        <v>262900.05</v>
      </c>
      <c r="G118" s="185">
        <f>F118+G117</f>
        <v>363971.95999999996</v>
      </c>
      <c r="H118" s="185">
        <f>G118+H117</f>
        <v>459864.11</v>
      </c>
    </row>
    <row r="119" spans="2:14" ht="28.8" x14ac:dyDescent="0.3">
      <c r="B119" s="187" t="s">
        <v>130</v>
      </c>
      <c r="C119" s="9" t="s">
        <v>10</v>
      </c>
      <c r="D119" s="188">
        <f>D36*101*0.7842</f>
        <v>88137.641717999999</v>
      </c>
      <c r="E119" s="188">
        <f>E36*101*0.7842</f>
        <v>103088.22650999999</v>
      </c>
      <c r="F119" s="188">
        <f>F36*101*0.7842</f>
        <v>124326.040698</v>
      </c>
      <c r="G119" s="188">
        <f>G36*101*0.7842</f>
        <v>116410.37295</v>
      </c>
      <c r="H119" s="188">
        <f>H36*101*0.7842</f>
        <v>75074.493012000006</v>
      </c>
    </row>
    <row r="120" spans="2:14" x14ac:dyDescent="0.3">
      <c r="B120" s="12" t="s">
        <v>53</v>
      </c>
      <c r="C120" s="9" t="s">
        <v>10</v>
      </c>
      <c r="D120" s="185">
        <f>(($C$86/30)*5)</f>
        <v>138888.88888888888</v>
      </c>
      <c r="E120" s="185">
        <f>(($C$86/30)*12)-D118</f>
        <v>271234.33333333331</v>
      </c>
      <c r="F120" s="185">
        <f>(($C$86/30)*19)-E118</f>
        <v>408545.77777777775</v>
      </c>
      <c r="G120" s="185">
        <f>(($C$86/30)*26)-F118</f>
        <v>459322.17222222226</v>
      </c>
      <c r="H120" s="185">
        <f>(($C$86/30)*30)-G118</f>
        <v>469361.37333333341</v>
      </c>
      <c r="I120" s="61"/>
    </row>
    <row r="121" spans="2:14" s="4" customFormat="1" ht="15" thickBot="1" x14ac:dyDescent="0.35">
      <c r="H121" s="105"/>
      <c r="J121" s="163"/>
      <c r="K121" s="163"/>
      <c r="L121" s="163"/>
      <c r="M121" s="151"/>
    </row>
    <row r="122" spans="2:14" ht="15" thickTop="1" x14ac:dyDescent="0.3"/>
    <row r="123" spans="2:14" ht="25.8" x14ac:dyDescent="0.5">
      <c r="B123" s="246" t="s">
        <v>71</v>
      </c>
      <c r="C123" s="246"/>
      <c r="D123" s="246"/>
      <c r="E123" s="246"/>
      <c r="F123" s="246"/>
      <c r="G123" s="246"/>
    </row>
    <row r="124" spans="2:14" ht="4.05" customHeight="1" x14ac:dyDescent="0.3">
      <c r="B124" s="20"/>
      <c r="C124" s="20"/>
      <c r="D124" s="20"/>
      <c r="E124" s="20"/>
      <c r="F124" s="20"/>
      <c r="G124" s="20"/>
    </row>
    <row r="125" spans="2:14" ht="14.55" customHeight="1" x14ac:dyDescent="0.3">
      <c r="B125" s="244" t="s">
        <v>20</v>
      </c>
      <c r="C125" s="244"/>
      <c r="D125" s="244"/>
      <c r="E125" s="244"/>
      <c r="F125" s="244"/>
      <c r="G125" s="244"/>
    </row>
    <row r="126" spans="2:14" x14ac:dyDescent="0.3">
      <c r="D126" s="19">
        <v>101</v>
      </c>
      <c r="E126" s="19" t="s">
        <v>18</v>
      </c>
    </row>
    <row r="127" spans="2:14" ht="27.6" x14ac:dyDescent="0.3">
      <c r="D127" s="176" t="str">
        <f>D77</f>
        <v>WEEK 1
(Apr1-5)</v>
      </c>
      <c r="E127" s="176" t="str">
        <f>E77</f>
        <v>WEEK 2
(Apr6-12)</v>
      </c>
      <c r="F127" s="176" t="str">
        <f>F77</f>
        <v>WEEK 3
(Apr13-19)</v>
      </c>
      <c r="G127" s="176" t="str">
        <f>G77</f>
        <v>WEEK 4
(Apr20-26)</v>
      </c>
      <c r="H127" s="176" t="str">
        <f>H77</f>
        <v>WEEk 5
(Apr27-30)</v>
      </c>
      <c r="I127" s="182" t="s">
        <v>37</v>
      </c>
      <c r="J127" s="74"/>
      <c r="M127" s="157"/>
      <c r="N127" s="126"/>
    </row>
    <row r="128" spans="2:14" hidden="1" x14ac:dyDescent="0.3">
      <c r="D128" s="10"/>
      <c r="E128" s="179"/>
      <c r="F128" s="10"/>
      <c r="G128" s="10"/>
      <c r="H128" s="10"/>
      <c r="I128" s="107"/>
      <c r="J128" s="74"/>
      <c r="M128" s="157"/>
      <c r="N128" s="126"/>
    </row>
    <row r="129" spans="2:14" x14ac:dyDescent="0.3">
      <c r="B129" s="172" t="s">
        <v>15</v>
      </c>
      <c r="C129" s="22" t="s">
        <v>10</v>
      </c>
      <c r="D129" s="23">
        <f>D36</f>
        <v>1112.79</v>
      </c>
      <c r="E129" s="23">
        <f>E36</f>
        <v>1301.55</v>
      </c>
      <c r="F129" s="23">
        <f>F36</f>
        <v>1569.69</v>
      </c>
      <c r="G129" s="23">
        <f>G36</f>
        <v>1469.75</v>
      </c>
      <c r="H129" s="23">
        <f>H36</f>
        <v>947.86</v>
      </c>
      <c r="I129" s="109">
        <f>SUM(D129:H129)</f>
        <v>6401.64</v>
      </c>
      <c r="J129" s="78"/>
      <c r="M129" s="157"/>
      <c r="N129" s="126"/>
    </row>
    <row r="130" spans="2:14" x14ac:dyDescent="0.3">
      <c r="B130" s="172" t="s">
        <v>17</v>
      </c>
      <c r="C130" s="22" t="s">
        <v>10</v>
      </c>
      <c r="D130" s="23">
        <f t="shared" ref="D130:I130" si="0">D133*D129</f>
        <v>112391.79</v>
      </c>
      <c r="E130" s="23">
        <f t="shared" si="0"/>
        <v>131456.54999999999</v>
      </c>
      <c r="F130" s="23">
        <f t="shared" si="0"/>
        <v>158538.69</v>
      </c>
      <c r="G130" s="23">
        <f t="shared" si="0"/>
        <v>148444.75</v>
      </c>
      <c r="H130" s="23">
        <f t="shared" si="0"/>
        <v>95733.86</v>
      </c>
      <c r="I130" s="110">
        <f t="shared" si="0"/>
        <v>646565.64</v>
      </c>
      <c r="J130" s="63"/>
      <c r="M130" s="157"/>
      <c r="N130" s="126"/>
    </row>
    <row r="131" spans="2:14" x14ac:dyDescent="0.3">
      <c r="B131" s="172" t="s">
        <v>16</v>
      </c>
      <c r="C131" s="22" t="s">
        <v>10</v>
      </c>
      <c r="D131" s="23">
        <f>D117+D78*0.47</f>
        <v>95860.040000000008</v>
      </c>
      <c r="E131" s="23">
        <f>E117+E78*0.47</f>
        <v>125323.89</v>
      </c>
      <c r="F131" s="23">
        <f>F117</f>
        <v>143668.04999999999</v>
      </c>
      <c r="G131" s="23">
        <f>G117</f>
        <v>101071.91</v>
      </c>
      <c r="H131" s="23">
        <f>H117</f>
        <v>95892.15</v>
      </c>
      <c r="I131" s="109">
        <f>SUM(D131:H131)</f>
        <v>561816.04</v>
      </c>
      <c r="J131" s="62"/>
      <c r="K131" s="159"/>
      <c r="M131" s="157"/>
      <c r="N131" s="126"/>
    </row>
    <row r="132" spans="2:14" x14ac:dyDescent="0.3">
      <c r="B132" s="172" t="s">
        <v>22</v>
      </c>
      <c r="C132" s="22" t="s">
        <v>19</v>
      </c>
      <c r="D132" s="23">
        <f>IFERROR(D131/D129,"")</f>
        <v>86.143872608488579</v>
      </c>
      <c r="E132" s="23">
        <f>IFERROR(E131/E129,"")</f>
        <v>96.288187161461337</v>
      </c>
      <c r="F132" s="23">
        <f>IFERROR(F131/F129,"")</f>
        <v>91.526384190508949</v>
      </c>
      <c r="G132" s="23">
        <f>IFERROR(G131/G129,"")</f>
        <v>68.76809661507059</v>
      </c>
      <c r="H132" s="23">
        <f>IFERROR(H131/H129,"")</f>
        <v>101.16699723587871</v>
      </c>
      <c r="I132" s="110">
        <f>I131/I129</f>
        <v>87.761267425222286</v>
      </c>
      <c r="J132" s="63"/>
      <c r="M132" s="157"/>
      <c r="N132" s="126"/>
    </row>
    <row r="133" spans="2:14" x14ac:dyDescent="0.3">
      <c r="B133" s="172" t="s">
        <v>23</v>
      </c>
      <c r="C133" s="22" t="s">
        <v>19</v>
      </c>
      <c r="D133" s="23">
        <v>101</v>
      </c>
      <c r="E133" s="23">
        <v>101</v>
      </c>
      <c r="F133" s="23">
        <v>101</v>
      </c>
      <c r="G133" s="23">
        <v>101</v>
      </c>
      <c r="H133" s="23">
        <v>101</v>
      </c>
      <c r="I133" s="116">
        <v>101</v>
      </c>
      <c r="J133" s="78"/>
      <c r="K133" s="162"/>
      <c r="M133" s="157"/>
      <c r="N133" s="126"/>
    </row>
    <row r="134" spans="2:14" x14ac:dyDescent="0.3">
      <c r="B134" s="21"/>
      <c r="C134" s="22"/>
      <c r="D134" s="23"/>
      <c r="E134" s="23"/>
      <c r="F134" s="23"/>
      <c r="G134" s="23"/>
      <c r="H134" s="103"/>
    </row>
    <row r="135" spans="2:14" x14ac:dyDescent="0.3">
      <c r="B135" s="21"/>
      <c r="C135" s="22"/>
      <c r="D135" s="23"/>
      <c r="E135" s="23"/>
      <c r="F135" s="23"/>
      <c r="G135" s="23"/>
    </row>
    <row r="136" spans="2:14" x14ac:dyDescent="0.3">
      <c r="B136" s="21"/>
      <c r="C136" s="22"/>
      <c r="D136" s="23"/>
      <c r="E136" s="23"/>
      <c r="F136" s="23"/>
      <c r="G136" s="23"/>
    </row>
    <row r="137" spans="2:14" x14ac:dyDescent="0.3">
      <c r="B137" s="21"/>
      <c r="C137" s="22"/>
      <c r="D137" s="23"/>
      <c r="E137" s="23"/>
      <c r="F137" s="23"/>
      <c r="G137" s="23"/>
    </row>
    <row r="138" spans="2:14" x14ac:dyDescent="0.3">
      <c r="B138" s="21"/>
      <c r="C138" s="22"/>
      <c r="D138" s="23"/>
      <c r="E138" s="23"/>
      <c r="F138" s="23"/>
      <c r="G138" s="23"/>
    </row>
    <row r="139" spans="2:14" x14ac:dyDescent="0.3">
      <c r="B139" s="21"/>
      <c r="C139" s="22"/>
      <c r="D139" s="23"/>
      <c r="E139" s="23"/>
      <c r="F139" s="23"/>
      <c r="G139" s="23"/>
    </row>
    <row r="140" spans="2:14" x14ac:dyDescent="0.3">
      <c r="B140" s="21"/>
      <c r="C140" s="22"/>
      <c r="D140" s="23"/>
      <c r="E140" s="23"/>
      <c r="F140" s="23"/>
      <c r="G140" s="23"/>
    </row>
    <row r="141" spans="2:14" x14ac:dyDescent="0.3">
      <c r="B141" s="21"/>
      <c r="C141" s="22"/>
      <c r="D141" s="23"/>
      <c r="E141" s="23"/>
      <c r="F141" s="23"/>
      <c r="G141" s="23"/>
    </row>
    <row r="142" spans="2:14" x14ac:dyDescent="0.3">
      <c r="B142" s="21"/>
      <c r="C142" s="22"/>
      <c r="D142" s="23"/>
      <c r="E142" s="23"/>
      <c r="F142" s="23"/>
      <c r="G142" s="23"/>
    </row>
    <row r="143" spans="2:14" x14ac:dyDescent="0.3">
      <c r="B143" s="21"/>
      <c r="C143" s="22"/>
      <c r="D143" s="23"/>
      <c r="E143" s="23"/>
      <c r="F143" s="23"/>
      <c r="G143" s="23"/>
      <c r="J143" s="183"/>
    </row>
    <row r="144" spans="2:14" x14ac:dyDescent="0.3">
      <c r="B144" s="21"/>
      <c r="C144" s="22"/>
      <c r="D144" s="23"/>
      <c r="E144" s="23"/>
      <c r="F144" s="23"/>
      <c r="G144" s="23"/>
    </row>
    <row r="145" spans="2:7" x14ac:dyDescent="0.3">
      <c r="B145" s="21"/>
      <c r="C145" s="22"/>
      <c r="D145" s="23"/>
      <c r="E145" s="23"/>
      <c r="F145" s="23"/>
      <c r="G145" s="23"/>
    </row>
    <row r="146" spans="2:7" x14ac:dyDescent="0.3">
      <c r="B146" s="21"/>
      <c r="C146" s="22"/>
      <c r="D146" s="23"/>
      <c r="E146" s="23"/>
      <c r="F146" s="23"/>
      <c r="G146" s="23"/>
    </row>
    <row r="147" spans="2:7" x14ac:dyDescent="0.3">
      <c r="B147" s="21"/>
      <c r="C147" s="22"/>
      <c r="D147" s="23"/>
      <c r="E147" s="23"/>
      <c r="F147" s="23"/>
      <c r="G147" s="23"/>
    </row>
    <row r="148" spans="2:7" x14ac:dyDescent="0.3">
      <c r="B148" s="21"/>
      <c r="C148" s="22"/>
      <c r="D148" s="23"/>
      <c r="E148" s="23"/>
      <c r="F148" s="23"/>
      <c r="G148" s="23"/>
    </row>
    <row r="149" spans="2:7" x14ac:dyDescent="0.3">
      <c r="B149" s="21"/>
      <c r="C149" s="22"/>
      <c r="D149" s="23"/>
      <c r="E149" s="23"/>
      <c r="F149" s="23"/>
      <c r="G149" s="23"/>
    </row>
    <row r="150" spans="2:7" x14ac:dyDescent="0.3">
      <c r="B150" s="21"/>
      <c r="C150" s="22"/>
      <c r="D150" s="23"/>
      <c r="E150" s="23"/>
      <c r="F150" s="23"/>
      <c r="G150" s="23"/>
    </row>
    <row r="151" spans="2:7" x14ac:dyDescent="0.3">
      <c r="B151" s="21"/>
      <c r="C151" s="22"/>
      <c r="D151" s="23"/>
      <c r="E151" s="23"/>
      <c r="F151" s="23"/>
      <c r="G151" s="23"/>
    </row>
    <row r="152" spans="2:7" x14ac:dyDescent="0.3">
      <c r="B152" s="21"/>
      <c r="C152" s="22"/>
      <c r="D152" s="23"/>
      <c r="E152" s="23"/>
      <c r="F152" s="23"/>
      <c r="G152" s="23"/>
    </row>
    <row r="153" spans="2:7" x14ac:dyDescent="0.3">
      <c r="B153" s="21"/>
      <c r="C153" s="22"/>
      <c r="D153" s="23"/>
      <c r="E153" s="23"/>
      <c r="F153" s="23"/>
      <c r="G153" s="23"/>
    </row>
    <row r="154" spans="2:7" x14ac:dyDescent="0.3">
      <c r="B154" s="21"/>
      <c r="C154" s="22"/>
      <c r="D154" s="23"/>
      <c r="E154" s="23"/>
      <c r="F154" s="23"/>
      <c r="G154" s="23"/>
    </row>
    <row r="155" spans="2:7" x14ac:dyDescent="0.3">
      <c r="B155" s="21"/>
      <c r="C155" s="22"/>
      <c r="D155" s="23"/>
      <c r="E155" s="23"/>
      <c r="F155" s="23"/>
      <c r="G155" s="23"/>
    </row>
    <row r="156" spans="2:7" x14ac:dyDescent="0.3">
      <c r="B156" s="21"/>
      <c r="C156" s="22"/>
      <c r="D156" s="23"/>
      <c r="E156" s="23"/>
      <c r="F156" s="23"/>
      <c r="G156" s="23"/>
    </row>
    <row r="157" spans="2:7" x14ac:dyDescent="0.3">
      <c r="B157" s="21"/>
      <c r="C157" s="22"/>
      <c r="D157" s="23"/>
      <c r="E157" s="23"/>
      <c r="F157" s="23"/>
      <c r="G157" s="23"/>
    </row>
    <row r="158" spans="2:7" x14ac:dyDescent="0.3">
      <c r="B158" s="21"/>
      <c r="C158" s="22"/>
      <c r="D158" s="23"/>
      <c r="E158" s="23"/>
      <c r="F158" s="23"/>
      <c r="G158" s="23"/>
    </row>
    <row r="159" spans="2:7" x14ac:dyDescent="0.3">
      <c r="B159" s="21"/>
      <c r="C159" s="22"/>
      <c r="D159" s="23"/>
      <c r="E159" s="23"/>
      <c r="F159" s="23"/>
      <c r="G159" s="23"/>
    </row>
    <row r="160" spans="2:7" x14ac:dyDescent="0.3">
      <c r="B160" s="21"/>
      <c r="C160" s="22"/>
      <c r="D160" s="23"/>
      <c r="E160" s="23"/>
      <c r="F160" s="23"/>
      <c r="G160" s="23"/>
    </row>
    <row r="161" spans="2:14" x14ac:dyDescent="0.3">
      <c r="B161" s="21"/>
      <c r="C161" s="22"/>
      <c r="D161" s="23"/>
      <c r="E161" s="23"/>
      <c r="F161" s="23"/>
      <c r="G161" s="23"/>
    </row>
    <row r="162" spans="2:14" x14ac:dyDescent="0.3">
      <c r="B162" s="21"/>
      <c r="C162" s="22"/>
      <c r="D162" s="23"/>
      <c r="E162" s="23"/>
      <c r="F162" s="23"/>
      <c r="G162" s="23"/>
    </row>
    <row r="163" spans="2:14" x14ac:dyDescent="0.3">
      <c r="B163" s="21"/>
      <c r="C163" s="22"/>
      <c r="D163" s="23"/>
      <c r="E163" s="23"/>
      <c r="F163" s="23"/>
      <c r="G163" s="23"/>
    </row>
    <row r="164" spans="2:14" x14ac:dyDescent="0.3">
      <c r="H164" s="103"/>
      <c r="I164" s="57"/>
    </row>
    <row r="169" spans="2:14" ht="15.6" x14ac:dyDescent="0.3">
      <c r="B169" s="245" t="s">
        <v>21</v>
      </c>
      <c r="C169" s="245"/>
      <c r="D169" s="245"/>
      <c r="E169" s="245"/>
      <c r="F169" s="245"/>
      <c r="G169" s="245"/>
      <c r="H169" s="245"/>
    </row>
    <row r="170" spans="2:14" ht="27.6" x14ac:dyDescent="0.3">
      <c r="D170" s="176" t="str">
        <f>D127</f>
        <v>WEEK 1
(Apr1-5)</v>
      </c>
      <c r="E170" s="176" t="str">
        <f>E127</f>
        <v>WEEK 2
(Apr6-12)</v>
      </c>
      <c r="F170" s="176" t="str">
        <f>F127</f>
        <v>WEEK 3
(Apr13-19)</v>
      </c>
      <c r="G170" s="176" t="str">
        <f>G127</f>
        <v>WEEK 4
(Apr20-26)</v>
      </c>
      <c r="H170" s="176" t="str">
        <f>H127</f>
        <v>WEEk 5
(Apr27-30)</v>
      </c>
      <c r="I170" s="111" t="s">
        <v>37</v>
      </c>
      <c r="J170" s="64"/>
      <c r="M170" s="157"/>
      <c r="N170" s="126"/>
    </row>
    <row r="171" spans="2:14" x14ac:dyDescent="0.3">
      <c r="B171" s="64" t="s">
        <v>15</v>
      </c>
      <c r="C171" s="22" t="s">
        <v>10</v>
      </c>
      <c r="D171" s="23">
        <f>D129*(D174/14)</f>
        <v>1101.6621</v>
      </c>
      <c r="E171" s="23">
        <f>E129*(E174/14)</f>
        <v>1263.4331785714285</v>
      </c>
      <c r="F171" s="23">
        <f>F129*(F174/14)</f>
        <v>1537.174992857143</v>
      </c>
      <c r="G171" s="23">
        <f>G129*(G174/14)</f>
        <v>1439.8300892857144</v>
      </c>
      <c r="H171" s="23">
        <f>H129*(H174/14)</f>
        <v>932.08490142857136</v>
      </c>
      <c r="I171" s="108">
        <f>SUM(D171:G171)</f>
        <v>5342.1003607142857</v>
      </c>
      <c r="J171" s="61"/>
      <c r="K171" s="165"/>
      <c r="M171" s="157"/>
      <c r="N171" s="126"/>
    </row>
    <row r="172" spans="2:14" x14ac:dyDescent="0.3">
      <c r="B172" s="64" t="s">
        <v>17</v>
      </c>
      <c r="C172" s="22" t="s">
        <v>10</v>
      </c>
      <c r="D172" s="23">
        <f>D171*$D$126</f>
        <v>111267.87210000001</v>
      </c>
      <c r="E172" s="23">
        <f>E171*$D$126</f>
        <v>127606.75103571427</v>
      </c>
      <c r="F172" s="23">
        <f>F171*$D$126</f>
        <v>155254.67427857145</v>
      </c>
      <c r="G172" s="23">
        <f>G171*$D$126</f>
        <v>145422.83901785716</v>
      </c>
      <c r="H172" s="23">
        <f>H171*$D$126</f>
        <v>94140.57504428571</v>
      </c>
      <c r="I172" s="110">
        <f>I171*105</f>
        <v>560920.53787500004</v>
      </c>
      <c r="J172" s="63"/>
      <c r="M172" s="157"/>
      <c r="N172" s="126"/>
    </row>
    <row r="173" spans="2:14" x14ac:dyDescent="0.3">
      <c r="B173" s="64" t="s">
        <v>16</v>
      </c>
      <c r="C173" s="22" t="s">
        <v>10</v>
      </c>
      <c r="D173" s="23">
        <f>D131</f>
        <v>95860.040000000008</v>
      </c>
      <c r="E173" s="23">
        <f>E131</f>
        <v>125323.89</v>
      </c>
      <c r="F173" s="23">
        <f>F131</f>
        <v>143668.04999999999</v>
      </c>
      <c r="G173" s="23">
        <f>G131</f>
        <v>101071.91</v>
      </c>
      <c r="H173" s="23">
        <f>H131</f>
        <v>95892.15</v>
      </c>
      <c r="I173" s="112">
        <f>SUM(D173:G173)</f>
        <v>465923.89</v>
      </c>
      <c r="J173" s="63"/>
      <c r="K173" s="159"/>
      <c r="M173" s="157"/>
      <c r="N173" s="126"/>
    </row>
    <row r="174" spans="2:14" x14ac:dyDescent="0.3">
      <c r="B174" s="64" t="s">
        <v>39</v>
      </c>
      <c r="C174" s="22"/>
      <c r="D174" s="186">
        <v>13.86</v>
      </c>
      <c r="E174" s="186">
        <v>13.59</v>
      </c>
      <c r="F174" s="186">
        <v>13.71</v>
      </c>
      <c r="G174" s="186">
        <v>13.715</v>
      </c>
      <c r="H174" s="186">
        <v>13.766999999999999</v>
      </c>
      <c r="I174" s="113">
        <f>AVERAGE(D174:H174)</f>
        <v>13.728399999999999</v>
      </c>
      <c r="J174" s="87"/>
      <c r="M174" s="157"/>
      <c r="N174" s="126"/>
    </row>
    <row r="175" spans="2:14" x14ac:dyDescent="0.3">
      <c r="B175" s="21" t="s">
        <v>22</v>
      </c>
      <c r="C175" s="22" t="s">
        <v>19</v>
      </c>
      <c r="D175" s="23">
        <f t="shared" ref="D175:H175" si="1">IFERROR(D173/D171,"")</f>
        <v>87.014012735847047</v>
      </c>
      <c r="E175" s="23">
        <f t="shared" si="1"/>
        <v>99.193128790320728</v>
      </c>
      <c r="F175" s="23">
        <f t="shared" si="1"/>
        <v>93.462390858287748</v>
      </c>
      <c r="G175" s="23">
        <f t="shared" si="1"/>
        <v>70.197109195113981</v>
      </c>
      <c r="H175" s="23">
        <f t="shared" si="1"/>
        <v>102.87920108246547</v>
      </c>
      <c r="I175" s="112">
        <f>I173/I171</f>
        <v>87.217359940744714</v>
      </c>
      <c r="J175" s="65"/>
      <c r="M175" s="157"/>
      <c r="N175" s="126"/>
    </row>
    <row r="176" spans="2:14" x14ac:dyDescent="0.3">
      <c r="B176" s="21" t="s">
        <v>23</v>
      </c>
      <c r="C176" s="22" t="s">
        <v>19</v>
      </c>
      <c r="D176" s="23">
        <v>101</v>
      </c>
      <c r="E176" s="23">
        <v>101</v>
      </c>
      <c r="F176" s="23">
        <v>101</v>
      </c>
      <c r="G176" s="23">
        <v>101</v>
      </c>
      <c r="H176" s="23">
        <v>101</v>
      </c>
      <c r="I176" s="114">
        <v>105</v>
      </c>
      <c r="J176" s="65"/>
      <c r="M176" s="157"/>
      <c r="N176" s="126"/>
    </row>
    <row r="177" spans="4:8" x14ac:dyDescent="0.3">
      <c r="D177" s="24" t="s">
        <v>40</v>
      </c>
      <c r="H177" s="103"/>
    </row>
    <row r="214" spans="2:13" s="4" customFormat="1" ht="15" thickBot="1" x14ac:dyDescent="0.35">
      <c r="H214" s="105"/>
      <c r="J214" s="163"/>
      <c r="K214" s="163"/>
      <c r="L214" s="163"/>
      <c r="M214" s="151"/>
    </row>
    <row r="215" spans="2:13" ht="15" thickTop="1" x14ac:dyDescent="0.3"/>
    <row r="220" spans="2:13" ht="25.8" hidden="1" x14ac:dyDescent="0.5">
      <c r="B220" s="246" t="s">
        <v>24</v>
      </c>
      <c r="C220" s="246"/>
      <c r="D220" s="246"/>
      <c r="E220" s="246"/>
      <c r="F220" s="246"/>
      <c r="G220" s="246"/>
    </row>
    <row r="221" spans="2:13" hidden="1" x14ac:dyDescent="0.3"/>
    <row r="222" spans="2:13" ht="22.8" hidden="1" thickBot="1" x14ac:dyDescent="0.5">
      <c r="B222" s="28" t="s">
        <v>25</v>
      </c>
      <c r="C222" s="29" t="s">
        <v>26</v>
      </c>
      <c r="D222" s="29" t="s">
        <v>27</v>
      </c>
      <c r="E222" s="180" t="s">
        <v>28</v>
      </c>
    </row>
    <row r="223" spans="2:13" ht="23.4" hidden="1" x14ac:dyDescent="0.45">
      <c r="B223" s="31"/>
      <c r="C223" s="26"/>
      <c r="D223" s="26"/>
      <c r="E223" s="32"/>
    </row>
    <row r="224" spans="2:13" ht="22.2" hidden="1" x14ac:dyDescent="0.45">
      <c r="B224" s="33">
        <v>44743</v>
      </c>
      <c r="C224" s="89">
        <v>1056523.5</v>
      </c>
      <c r="D224" s="90">
        <v>1501785</v>
      </c>
      <c r="E224" s="181">
        <f>C224+D224</f>
        <v>2558308.5</v>
      </c>
    </row>
    <row r="225" spans="2:5" ht="22.2" hidden="1" x14ac:dyDescent="0.45">
      <c r="B225" s="33">
        <v>44774</v>
      </c>
      <c r="C225" s="92">
        <v>1649443.5</v>
      </c>
      <c r="D225" s="92">
        <v>863715</v>
      </c>
      <c r="E225" s="181">
        <f t="shared" ref="E225:E235" si="2">C225+D225</f>
        <v>2513158.5</v>
      </c>
    </row>
    <row r="226" spans="2:5" ht="22.2" hidden="1" x14ac:dyDescent="0.45">
      <c r="B226" s="33">
        <v>44805</v>
      </c>
      <c r="C226" s="92">
        <v>1346098.5</v>
      </c>
      <c r="D226" s="92">
        <v>1119105</v>
      </c>
      <c r="E226" s="181">
        <f t="shared" si="2"/>
        <v>2465203.5</v>
      </c>
    </row>
    <row r="227" spans="2:5" ht="22.2" hidden="1" x14ac:dyDescent="0.45">
      <c r="B227" s="33">
        <v>44835</v>
      </c>
      <c r="C227" s="92">
        <v>2573653.5</v>
      </c>
      <c r="D227" s="92">
        <v>0</v>
      </c>
      <c r="E227" s="181">
        <f t="shared" si="2"/>
        <v>2573653.5</v>
      </c>
    </row>
    <row r="228" spans="2:5" ht="22.2" hidden="1" x14ac:dyDescent="0.45">
      <c r="B228" s="33">
        <v>44866</v>
      </c>
      <c r="C228" s="92">
        <v>2239123.5</v>
      </c>
      <c r="D228" s="92">
        <v>0</v>
      </c>
      <c r="E228" s="181">
        <f t="shared" si="2"/>
        <v>2239123.5</v>
      </c>
    </row>
    <row r="229" spans="2:5" ht="22.2" hidden="1" x14ac:dyDescent="0.45">
      <c r="B229" s="33">
        <v>44896</v>
      </c>
      <c r="C229" s="92">
        <v>3815869.5</v>
      </c>
      <c r="D229" s="92">
        <v>0</v>
      </c>
      <c r="E229" s="181">
        <f t="shared" si="2"/>
        <v>3815869.5</v>
      </c>
    </row>
    <row r="230" spans="2:5" ht="22.2" hidden="1" x14ac:dyDescent="0.45">
      <c r="B230" s="33">
        <v>44927</v>
      </c>
      <c r="C230" s="92">
        <v>3876876</v>
      </c>
      <c r="D230" s="92">
        <v>0</v>
      </c>
      <c r="E230" s="181">
        <f t="shared" si="2"/>
        <v>3876876</v>
      </c>
    </row>
    <row r="231" spans="2:5" ht="22.2" hidden="1" x14ac:dyDescent="0.45">
      <c r="B231" s="33">
        <v>44958</v>
      </c>
      <c r="C231" s="92">
        <v>2565432</v>
      </c>
      <c r="D231" s="92">
        <v>427935</v>
      </c>
      <c r="E231" s="181">
        <f t="shared" si="2"/>
        <v>2993367</v>
      </c>
    </row>
    <row r="232" spans="2:5" ht="22.2" hidden="1" x14ac:dyDescent="0.45">
      <c r="B232" s="33">
        <v>44986</v>
      </c>
      <c r="C232" s="92">
        <v>2163847.5</v>
      </c>
      <c r="D232" s="92">
        <v>0</v>
      </c>
      <c r="E232" s="181">
        <f t="shared" si="2"/>
        <v>2163847.5</v>
      </c>
    </row>
    <row r="233" spans="2:5" ht="22.2" hidden="1" x14ac:dyDescent="0.45">
      <c r="B233" s="33">
        <v>45017</v>
      </c>
      <c r="C233" s="92">
        <v>1103476.5</v>
      </c>
      <c r="D233" s="92">
        <v>0</v>
      </c>
      <c r="E233" s="181">
        <f t="shared" si="2"/>
        <v>1103476.5</v>
      </c>
    </row>
    <row r="234" spans="2:5" ht="22.2" hidden="1" x14ac:dyDescent="0.45">
      <c r="B234" s="33">
        <v>45047</v>
      </c>
      <c r="C234" s="92">
        <v>1210167</v>
      </c>
      <c r="D234" s="92">
        <v>0</v>
      </c>
      <c r="E234" s="181">
        <f t="shared" si="2"/>
        <v>1210167</v>
      </c>
    </row>
    <row r="235" spans="2:5" ht="22.2" hidden="1" x14ac:dyDescent="0.45">
      <c r="B235" s="33">
        <v>45078</v>
      </c>
      <c r="C235" s="92">
        <v>2359260</v>
      </c>
      <c r="D235" s="92">
        <v>0</v>
      </c>
      <c r="E235" s="181">
        <f t="shared" si="2"/>
        <v>2359260</v>
      </c>
    </row>
    <row r="236" spans="2:5" ht="22.8" hidden="1" thickBot="1" x14ac:dyDescent="0.5">
      <c r="B236" s="34"/>
      <c r="C236" s="27"/>
      <c r="D236" s="27"/>
      <c r="E236" s="35"/>
    </row>
    <row r="237" spans="2:5" ht="23.4" hidden="1" thickTop="1" thickBot="1" x14ac:dyDescent="0.5">
      <c r="B237" s="36"/>
      <c r="C237" s="37">
        <f>SUM(C224:C235)</f>
        <v>25959771</v>
      </c>
      <c r="D237" s="37">
        <f>SUM(D224:D235)</f>
        <v>3912540</v>
      </c>
      <c r="E237" s="38">
        <f>SUM(E224:E235)</f>
        <v>29872311</v>
      </c>
    </row>
    <row r="238" spans="2:5" hidden="1" x14ac:dyDescent="0.3"/>
    <row r="239" spans="2:5" hidden="1" x14ac:dyDescent="0.3"/>
    <row r="240" spans="2:5" hidden="1" x14ac:dyDescent="0.3"/>
    <row r="241" hidden="1" x14ac:dyDescent="0.3"/>
    <row r="242" hidden="1" x14ac:dyDescent="0.3"/>
    <row r="243" hidden="1" x14ac:dyDescent="0.3"/>
    <row r="244" hidden="1" x14ac:dyDescent="0.3"/>
  </sheetData>
  <dataConsolidate/>
  <mergeCells count="7">
    <mergeCell ref="B220:G220"/>
    <mergeCell ref="B2:G2"/>
    <mergeCell ref="B47:G47"/>
    <mergeCell ref="B83:H83"/>
    <mergeCell ref="B123:G123"/>
    <mergeCell ref="B125:G125"/>
    <mergeCell ref="B169:H169"/>
  </mergeCells>
  <conditionalFormatting sqref="C4:D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{D0DAD0DA-1D0B-4E3B-99BA-7FBFE45610B9}</x14:id>
        </ext>
      </extLst>
    </cfRule>
  </conditionalFormatting>
  <conditionalFormatting sqref="C49:D53 E6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{480B3574-D438-413B-A210-7EFE85F04CAB}</x14:id>
        </ext>
      </extLst>
    </cfRule>
  </conditionalFormatting>
  <conditionalFormatting sqref="C85:D9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{6BA25B92-6A7C-48B1-B5F5-EE97899F6567}</x14:id>
        </ext>
      </extLst>
    </cfRule>
  </conditionalFormatting>
  <conditionalFormatting sqref="C128:I12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{99D53908-21C9-4BD7-90E7-B07010D41842}</x14:id>
        </ext>
      </extLst>
    </cfRule>
  </conditionalFormatting>
  <pageMargins left="0.7" right="0.7" top="0.75" bottom="0.75" header="0.3" footer="0.3"/>
  <pageSetup paperSize="9" orientation="portrait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DAD0DA-1D0B-4E3B-99BA-7FBFE45610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C4:D8</xm:sqref>
        </x14:conditionalFormatting>
        <x14:conditionalFormatting xmlns:xm="http://schemas.microsoft.com/office/excel/2006/main">
          <x14:cfRule type="dataBar" id="{480B3574-D438-413B-A210-7EFE85F04C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C49:D53 E60</xm:sqref>
        </x14:conditionalFormatting>
        <x14:conditionalFormatting xmlns:xm="http://schemas.microsoft.com/office/excel/2006/main">
          <x14:cfRule type="dataBar" id="{6BA25B92-6A7C-48B1-B5F5-EE97899F65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C85:D90</xm:sqref>
        </x14:conditionalFormatting>
        <x14:conditionalFormatting xmlns:xm="http://schemas.microsoft.com/office/excel/2006/main">
          <x14:cfRule type="dataBar" id="{99D53908-21C9-4BD7-90E7-B07010D418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C128:I128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59DE9-C3AD-47E0-9C89-F071F0B31122}">
  <sheetPr>
    <tabColor rgb="FF00B050"/>
    <pageSetUpPr autoPageBreaks="0"/>
  </sheetPr>
  <dimension ref="B2:N245"/>
  <sheetViews>
    <sheetView showGridLines="0" zoomScale="85" zoomScaleNormal="85" zoomScaleSheetLayoutView="115" workbookViewId="0">
      <selection activeCell="D174" sqref="D174:H174"/>
    </sheetView>
  </sheetViews>
  <sheetFormatPr defaultColWidth="22.33203125" defaultRowHeight="14.4" x14ac:dyDescent="0.3"/>
  <cols>
    <col min="1" max="1" width="6.6640625" customWidth="1"/>
    <col min="2" max="2" width="28.109375" customWidth="1"/>
    <col min="3" max="3" width="17.109375" customWidth="1"/>
    <col min="4" max="4" width="15.77734375" customWidth="1"/>
    <col min="5" max="5" width="11.6640625" customWidth="1"/>
    <col min="6" max="6" width="11.33203125" customWidth="1"/>
    <col min="7" max="7" width="10.77734375" customWidth="1"/>
    <col min="8" max="8" width="12.33203125" style="101" customWidth="1"/>
    <col min="9" max="9" width="16.5546875" customWidth="1"/>
    <col min="10" max="12" width="22.33203125" style="157"/>
    <col min="13" max="13" width="22.33203125" style="126"/>
  </cols>
  <sheetData>
    <row r="2" spans="2:12" ht="25.8" x14ac:dyDescent="0.5">
      <c r="B2" s="246" t="s">
        <v>68</v>
      </c>
      <c r="C2" s="246"/>
      <c r="D2" s="246"/>
      <c r="E2" s="246"/>
      <c r="F2" s="246"/>
      <c r="G2" s="246"/>
      <c r="J2" s="155"/>
      <c r="K2" s="158"/>
    </row>
    <row r="3" spans="2:12" ht="4.5" customHeight="1" x14ac:dyDescent="0.3"/>
    <row r="4" spans="2:12" x14ac:dyDescent="0.3">
      <c r="B4" s="21" t="s">
        <v>52</v>
      </c>
      <c r="C4" s="168">
        <v>143000</v>
      </c>
      <c r="D4" s="22" t="s">
        <v>4</v>
      </c>
      <c r="E4" s="173"/>
      <c r="H4" s="102"/>
      <c r="I4" s="67"/>
      <c r="J4" s="156"/>
    </row>
    <row r="5" spans="2:12" ht="28.8" x14ac:dyDescent="0.3">
      <c r="B5" s="21" t="s">
        <v>107</v>
      </c>
      <c r="C5" s="168">
        <f>(C4-0)/12</f>
        <v>11916.666666666666</v>
      </c>
      <c r="D5" s="22" t="s">
        <v>4</v>
      </c>
      <c r="I5" s="67"/>
    </row>
    <row r="6" spans="2:12" x14ac:dyDescent="0.3">
      <c r="B6" s="21" t="s">
        <v>6</v>
      </c>
      <c r="C6" s="171">
        <f>SUM(D36:H36)</f>
        <v>6401.7800000000007</v>
      </c>
      <c r="D6" s="22" t="s">
        <v>4</v>
      </c>
      <c r="E6" s="173"/>
      <c r="I6" s="67"/>
      <c r="J6" s="159"/>
    </row>
    <row r="7" spans="2:12" x14ac:dyDescent="0.3">
      <c r="B7" s="21" t="s">
        <v>66</v>
      </c>
      <c r="C7" s="171">
        <f>C6</f>
        <v>6401.7800000000007</v>
      </c>
      <c r="D7" s="22" t="s">
        <v>4</v>
      </c>
      <c r="E7" s="174"/>
      <c r="I7" s="67"/>
    </row>
    <row r="8" spans="2:12" x14ac:dyDescent="0.3">
      <c r="B8" s="21" t="s">
        <v>2</v>
      </c>
      <c r="C8" s="171">
        <f>SUM(D38:G38)</f>
        <v>0</v>
      </c>
      <c r="D8" s="22" t="s">
        <v>4</v>
      </c>
      <c r="F8" s="3"/>
    </row>
    <row r="9" spans="2:12" x14ac:dyDescent="0.3">
      <c r="J9" s="159"/>
    </row>
    <row r="10" spans="2:12" x14ac:dyDescent="0.3">
      <c r="D10" s="2"/>
      <c r="E10" s="175"/>
      <c r="F10" s="2"/>
      <c r="G10" s="2"/>
      <c r="J10" s="159"/>
    </row>
    <row r="11" spans="2:12" x14ac:dyDescent="0.3">
      <c r="D11" s="2"/>
      <c r="E11" s="175"/>
      <c r="F11" s="2"/>
      <c r="G11" s="2"/>
    </row>
    <row r="12" spans="2:12" x14ac:dyDescent="0.3">
      <c r="D12" s="2"/>
      <c r="E12" s="175"/>
      <c r="F12" s="2"/>
      <c r="G12" s="2"/>
    </row>
    <row r="13" spans="2:12" x14ac:dyDescent="0.3">
      <c r="K13" s="160"/>
      <c r="L13" s="160"/>
    </row>
    <row r="19" spans="2:13" x14ac:dyDescent="0.3">
      <c r="I19" s="67"/>
    </row>
    <row r="28" spans="2:13" s="101" customFormat="1" x14ac:dyDescent="0.3">
      <c r="B28"/>
      <c r="C28" s="57"/>
      <c r="D28" s="57"/>
      <c r="E28" s="173"/>
      <c r="F28" s="57"/>
      <c r="G28"/>
      <c r="I28"/>
      <c r="J28" s="157"/>
      <c r="K28" s="157"/>
      <c r="L28" s="161"/>
      <c r="M28" s="149"/>
    </row>
    <row r="29" spans="2:13" s="101" customFormat="1" x14ac:dyDescent="0.3">
      <c r="B29"/>
      <c r="C29"/>
      <c r="D29" s="56"/>
      <c r="E29"/>
      <c r="F29"/>
      <c r="G29"/>
      <c r="I29"/>
      <c r="J29" s="157"/>
      <c r="K29" s="157"/>
      <c r="L29" s="161"/>
      <c r="M29" s="149"/>
    </row>
    <row r="30" spans="2:13" s="101" customFormat="1" hidden="1" x14ac:dyDescent="0.3">
      <c r="B30"/>
      <c r="C30"/>
      <c r="D30"/>
      <c r="E30"/>
      <c r="F30"/>
      <c r="G30"/>
      <c r="I30"/>
      <c r="J30" s="157"/>
      <c r="K30" s="157"/>
      <c r="L30" s="161"/>
      <c r="M30" s="149"/>
    </row>
    <row r="31" spans="2:13" s="101" customFormat="1" hidden="1" x14ac:dyDescent="0.3">
      <c r="B31"/>
      <c r="C31"/>
      <c r="D31"/>
      <c r="E31"/>
      <c r="F31"/>
      <c r="G31"/>
      <c r="I31"/>
      <c r="J31" s="157"/>
      <c r="K31" s="157"/>
      <c r="L31" s="161"/>
      <c r="M31" s="149"/>
    </row>
    <row r="32" spans="2:13" s="101" customFormat="1" hidden="1" x14ac:dyDescent="0.3">
      <c r="B32"/>
      <c r="C32"/>
      <c r="D32"/>
      <c r="E32"/>
      <c r="F32"/>
      <c r="G32"/>
      <c r="I32"/>
      <c r="J32" s="157"/>
      <c r="K32" s="157"/>
      <c r="L32" s="161"/>
      <c r="M32" s="149"/>
    </row>
    <row r="33" spans="2:13" s="101" customFormat="1" ht="16.5" customHeight="1" x14ac:dyDescent="0.3">
      <c r="B33"/>
      <c r="C33"/>
      <c r="D33" s="57"/>
      <c r="E33" s="173"/>
      <c r="F33" s="57"/>
      <c r="G33" s="57"/>
      <c r="I33"/>
      <c r="J33" s="157"/>
      <c r="K33" s="157"/>
      <c r="L33" s="161"/>
      <c r="M33" s="149"/>
    </row>
    <row r="34" spans="2:13" ht="27.6" x14ac:dyDescent="0.3">
      <c r="B34" s="1"/>
      <c r="C34" s="1"/>
      <c r="D34" s="97" t="s">
        <v>146</v>
      </c>
      <c r="E34" s="97" t="s">
        <v>147</v>
      </c>
      <c r="F34" s="97" t="s">
        <v>148</v>
      </c>
      <c r="G34" s="97" t="s">
        <v>149</v>
      </c>
      <c r="H34" s="97" t="s">
        <v>150</v>
      </c>
      <c r="I34" s="56"/>
    </row>
    <row r="35" spans="2:13" hidden="1" x14ac:dyDescent="0.3">
      <c r="B35" s="1"/>
      <c r="C35" s="1"/>
      <c r="D35" s="43"/>
      <c r="E35" s="177"/>
      <c r="F35" s="43"/>
      <c r="G35" s="43"/>
      <c r="H35" s="43"/>
      <c r="I35" s="57"/>
    </row>
    <row r="36" spans="2:13" ht="16.95" customHeight="1" x14ac:dyDescent="0.3">
      <c r="B36" s="12" t="s">
        <v>135</v>
      </c>
      <c r="C36" s="6" t="s">
        <v>4</v>
      </c>
      <c r="D36" s="54">
        <v>1112.79</v>
      </c>
      <c r="E36" s="54">
        <v>1301.55</v>
      </c>
      <c r="F36" s="54">
        <v>1569.69</v>
      </c>
      <c r="G36" s="54">
        <v>1469.75</v>
      </c>
      <c r="H36" s="54">
        <v>948</v>
      </c>
      <c r="I36" s="103"/>
    </row>
    <row r="37" spans="2:13" x14ac:dyDescent="0.3">
      <c r="B37" s="12" t="s">
        <v>110</v>
      </c>
      <c r="C37" s="6"/>
      <c r="D37" s="119"/>
      <c r="E37" s="119"/>
      <c r="F37" s="119"/>
      <c r="G37" s="119"/>
      <c r="H37" s="119"/>
      <c r="I37" s="103"/>
    </row>
    <row r="38" spans="2:13" ht="15" hidden="1" thickBot="1" x14ac:dyDescent="0.35">
      <c r="B38" s="12"/>
      <c r="C38" s="6"/>
      <c r="D38" s="120"/>
      <c r="E38" s="178"/>
      <c r="F38" s="121"/>
      <c r="G38" s="122"/>
      <c r="H38" s="122"/>
      <c r="I38" s="104"/>
    </row>
    <row r="39" spans="2:13" x14ac:dyDescent="0.3">
      <c r="B39" s="12" t="s">
        <v>3</v>
      </c>
      <c r="C39" s="6" t="s">
        <v>4</v>
      </c>
      <c r="D39" s="75">
        <f>D37+D36</f>
        <v>1112.79</v>
      </c>
      <c r="E39" s="75">
        <f>IF(E37+E36="",0,E37+E36)</f>
        <v>1301.55</v>
      </c>
      <c r="F39" s="123">
        <f>F36</f>
        <v>1569.69</v>
      </c>
      <c r="G39" s="123">
        <f>G36</f>
        <v>1469.75</v>
      </c>
      <c r="H39" s="123">
        <f>H36</f>
        <v>948</v>
      </c>
      <c r="I39" s="103"/>
      <c r="J39" s="162"/>
      <c r="K39" s="159"/>
    </row>
    <row r="40" spans="2:13" x14ac:dyDescent="0.3">
      <c r="B40" s="12" t="s">
        <v>108</v>
      </c>
      <c r="C40" s="8"/>
      <c r="D40" s="76">
        <f>D39</f>
        <v>1112.79</v>
      </c>
      <c r="E40" s="76">
        <f>E39+D40</f>
        <v>2414.34</v>
      </c>
      <c r="F40" s="76">
        <f>F39+E40</f>
        <v>3984.03</v>
      </c>
      <c r="G40" s="76">
        <f>G39+F40</f>
        <v>5453.7800000000007</v>
      </c>
      <c r="H40" s="76">
        <f>H39+G40</f>
        <v>6401.7800000000007</v>
      </c>
      <c r="J40" s="162"/>
    </row>
    <row r="41" spans="2:13" x14ac:dyDescent="0.3">
      <c r="B41" s="12" t="s">
        <v>109</v>
      </c>
      <c r="C41" s="6" t="s">
        <v>4</v>
      </c>
      <c r="D41" s="75">
        <f>(C5/30)*5</f>
        <v>1986.1111111111111</v>
      </c>
      <c r="E41" s="75">
        <f>((C5/30)*12)-D40</f>
        <v>3653.876666666667</v>
      </c>
      <c r="F41" s="75">
        <f>((C5/30)*19)-E40</f>
        <v>5132.8822222222225</v>
      </c>
      <c r="G41" s="75">
        <f>((C5/30)*26)-F40</f>
        <v>6343.7477777777767</v>
      </c>
      <c r="H41" s="75">
        <f>((C5/30)*30)-G40</f>
        <v>6462.8866666666654</v>
      </c>
      <c r="I41" s="67"/>
    </row>
    <row r="42" spans="2:13" x14ac:dyDescent="0.3">
      <c r="B42" s="21"/>
      <c r="C42" s="85"/>
      <c r="D42" s="86"/>
      <c r="E42" s="86"/>
      <c r="F42" s="86"/>
      <c r="G42" s="86"/>
      <c r="H42" s="104"/>
      <c r="I42" s="67"/>
    </row>
    <row r="43" spans="2:13" x14ac:dyDescent="0.3">
      <c r="B43" s="21"/>
      <c r="C43" s="85"/>
      <c r="D43" s="86"/>
      <c r="E43" s="86"/>
      <c r="F43" s="86"/>
      <c r="G43" s="86"/>
      <c r="H43" s="104"/>
    </row>
    <row r="44" spans="2:13" s="4" customFormat="1" ht="15" thickBot="1" x14ac:dyDescent="0.35">
      <c r="D44" s="59"/>
      <c r="E44" s="59"/>
      <c r="F44" s="59"/>
      <c r="G44" s="59"/>
      <c r="H44" s="105"/>
      <c r="J44" s="163"/>
      <c r="K44" s="163"/>
      <c r="L44" s="163"/>
      <c r="M44" s="151"/>
    </row>
    <row r="45" spans="2:13" ht="15" thickTop="1" x14ac:dyDescent="0.3">
      <c r="D45" s="67"/>
      <c r="E45" s="67"/>
      <c r="F45" s="67"/>
    </row>
    <row r="47" spans="2:13" ht="25.8" x14ac:dyDescent="0.5">
      <c r="B47" s="246" t="s">
        <v>69</v>
      </c>
      <c r="C47" s="246"/>
      <c r="D47" s="246"/>
      <c r="E47" s="246"/>
      <c r="F47" s="246"/>
      <c r="G47" s="246"/>
      <c r="J47" s="159"/>
      <c r="K47" s="162"/>
    </row>
    <row r="48" spans="2:13" ht="4.95" customHeight="1" x14ac:dyDescent="0.3"/>
    <row r="49" spans="2:9" x14ac:dyDescent="0.3">
      <c r="B49" s="21" t="s">
        <v>52</v>
      </c>
      <c r="C49" s="168">
        <v>9907200</v>
      </c>
      <c r="D49" s="22" t="s">
        <v>8</v>
      </c>
      <c r="I49" s="96"/>
    </row>
    <row r="50" spans="2:9" x14ac:dyDescent="0.3">
      <c r="B50" s="21" t="s">
        <v>31</v>
      </c>
      <c r="C50" s="168">
        <f>(C49-0)/12</f>
        <v>825600</v>
      </c>
      <c r="D50" s="22" t="s">
        <v>8</v>
      </c>
    </row>
    <row r="51" spans="2:9" x14ac:dyDescent="0.3">
      <c r="B51" s="21" t="s">
        <v>6</v>
      </c>
      <c r="C51" s="171">
        <f>SUM(D78:H78)</f>
        <v>532132</v>
      </c>
      <c r="D51" s="22" t="s">
        <v>8</v>
      </c>
      <c r="E51" s="173"/>
    </row>
    <row r="52" spans="2:9" x14ac:dyDescent="0.3">
      <c r="B52" s="21" t="s">
        <v>67</v>
      </c>
      <c r="C52" s="171">
        <f>C51</f>
        <v>532132</v>
      </c>
      <c r="D52" s="22" t="s">
        <v>8</v>
      </c>
      <c r="E52" s="173"/>
    </row>
    <row r="53" spans="2:9" x14ac:dyDescent="0.3">
      <c r="B53" s="21" t="s">
        <v>9</v>
      </c>
      <c r="C53" s="171">
        <f>C50-C51</f>
        <v>293468</v>
      </c>
      <c r="D53" s="22" t="s">
        <v>8</v>
      </c>
    </row>
    <row r="60" spans="2:9" x14ac:dyDescent="0.3">
      <c r="E60" s="22" t="s">
        <v>8</v>
      </c>
    </row>
    <row r="77" spans="2:9" ht="27.6" x14ac:dyDescent="0.3">
      <c r="B77" s="1"/>
      <c r="C77" s="1"/>
      <c r="D77" s="97" t="str">
        <f>D34</f>
        <v>WEEK 1
(Apr1-5)</v>
      </c>
      <c r="E77" s="97" t="str">
        <f>E34</f>
        <v>WEEK 2
(Apr6-12)</v>
      </c>
      <c r="F77" s="97" t="str">
        <f>F34</f>
        <v>WEEK 3
(Apr13-19)</v>
      </c>
      <c r="G77" s="97" t="str">
        <f>G34</f>
        <v>WEEK 4
(Apr20-26)</v>
      </c>
      <c r="H77" s="97" t="str">
        <f>H34</f>
        <v>WEEk 5
(Apr27-30)</v>
      </c>
    </row>
    <row r="78" spans="2:9" x14ac:dyDescent="0.3">
      <c r="B78" s="5" t="s">
        <v>1</v>
      </c>
      <c r="C78" s="9" t="s">
        <v>8</v>
      </c>
      <c r="D78" s="184">
        <v>71832</v>
      </c>
      <c r="E78" s="184">
        <v>145087</v>
      </c>
      <c r="F78" s="184">
        <v>139215</v>
      </c>
      <c r="G78" s="184">
        <v>88653</v>
      </c>
      <c r="H78" s="184">
        <v>87345</v>
      </c>
      <c r="I78" s="57"/>
    </row>
    <row r="79" spans="2:9" x14ac:dyDescent="0.3">
      <c r="B79" s="7" t="s">
        <v>5</v>
      </c>
      <c r="C79" s="9" t="s">
        <v>8</v>
      </c>
      <c r="D79" s="98">
        <f>D78</f>
        <v>71832</v>
      </c>
      <c r="E79" s="98">
        <f>D79+E78</f>
        <v>216919</v>
      </c>
      <c r="F79" s="98">
        <f>E79+F78</f>
        <v>356134</v>
      </c>
      <c r="G79" s="98">
        <f>F79+G78</f>
        <v>444787</v>
      </c>
      <c r="H79" s="98">
        <f>G79+H78</f>
        <v>532132</v>
      </c>
    </row>
    <row r="80" spans="2:9" x14ac:dyDescent="0.3">
      <c r="B80" s="5" t="s">
        <v>9</v>
      </c>
      <c r="C80" s="9" t="s">
        <v>8</v>
      </c>
      <c r="D80" s="98">
        <f>(C50/30)*5</f>
        <v>137600</v>
      </c>
      <c r="E80" s="98">
        <f>(($C50/30)*12)-D79</f>
        <v>258408</v>
      </c>
      <c r="F80" s="98">
        <f>(($C50/30)*19)-E79</f>
        <v>305961</v>
      </c>
      <c r="G80" s="98">
        <f>(($C50/30)*26)-F79</f>
        <v>359386</v>
      </c>
      <c r="H80" s="98">
        <f>(($C50/30)*30)-G79</f>
        <v>380813</v>
      </c>
    </row>
    <row r="81" spans="2:13" s="4" customFormat="1" ht="15" thickBot="1" x14ac:dyDescent="0.35">
      <c r="H81" s="105"/>
      <c r="J81" s="163"/>
      <c r="K81" s="163"/>
      <c r="L81" s="163"/>
      <c r="M81" s="151"/>
    </row>
    <row r="82" spans="2:13" ht="15" thickTop="1" x14ac:dyDescent="0.3"/>
    <row r="83" spans="2:13" s="101" customFormat="1" ht="25.8" x14ac:dyDescent="0.5">
      <c r="B83" s="246" t="s">
        <v>70</v>
      </c>
      <c r="C83" s="246"/>
      <c r="D83" s="246"/>
      <c r="E83" s="246"/>
      <c r="F83" s="246"/>
      <c r="G83" s="246"/>
      <c r="H83" s="246"/>
      <c r="I83"/>
      <c r="J83" s="157"/>
      <c r="K83" s="157"/>
      <c r="L83" s="161"/>
      <c r="M83" s="149"/>
    </row>
    <row r="84" spans="2:13" s="101" customFormat="1" ht="6.45" customHeight="1" x14ac:dyDescent="0.3">
      <c r="B84"/>
      <c r="C84"/>
      <c r="D84"/>
      <c r="E84"/>
      <c r="F84"/>
      <c r="G84"/>
      <c r="I84"/>
      <c r="J84" s="157"/>
      <c r="K84" s="157"/>
      <c r="L84" s="161"/>
      <c r="M84" s="149"/>
    </row>
    <row r="85" spans="2:13" s="101" customFormat="1" ht="16.2" x14ac:dyDescent="0.3">
      <c r="B85" s="172" t="s">
        <v>52</v>
      </c>
      <c r="C85" s="168">
        <v>10000000</v>
      </c>
      <c r="D85" s="22" t="s">
        <v>11</v>
      </c>
      <c r="E85"/>
      <c r="F85"/>
      <c r="G85"/>
      <c r="I85"/>
      <c r="J85" s="157"/>
      <c r="K85" s="157"/>
      <c r="L85" s="161"/>
      <c r="M85" s="149"/>
    </row>
    <row r="86" spans="2:13" s="101" customFormat="1" ht="16.2" x14ac:dyDescent="0.3">
      <c r="B86" s="172" t="s">
        <v>31</v>
      </c>
      <c r="C86" s="168">
        <f>(C85-0)/12</f>
        <v>833333.33333333337</v>
      </c>
      <c r="D86" s="22" t="s">
        <v>11</v>
      </c>
      <c r="E86"/>
      <c r="I86"/>
      <c r="J86" s="157"/>
      <c r="K86" s="157"/>
      <c r="L86" s="161"/>
      <c r="M86" s="149"/>
    </row>
    <row r="87" spans="2:13" s="101" customFormat="1" ht="16.2" x14ac:dyDescent="0.3">
      <c r="B87" s="172" t="s">
        <v>1</v>
      </c>
      <c r="C87" s="171">
        <f>SUM(D114:H114)</f>
        <v>311714</v>
      </c>
      <c r="D87" s="22" t="s">
        <v>11</v>
      </c>
      <c r="E87" s="173"/>
      <c r="F87"/>
      <c r="G87"/>
      <c r="I87"/>
      <c r="J87" s="157"/>
      <c r="K87" s="157"/>
      <c r="L87" s="161"/>
      <c r="M87" s="149"/>
    </row>
    <row r="88" spans="2:13" s="101" customFormat="1" ht="16.2" x14ac:dyDescent="0.3">
      <c r="B88" s="172" t="s">
        <v>67</v>
      </c>
      <c r="C88" s="171">
        <f>C87</f>
        <v>311714</v>
      </c>
      <c r="D88" s="22" t="s">
        <v>11</v>
      </c>
      <c r="E88" s="173"/>
      <c r="F88"/>
      <c r="G88"/>
      <c r="I88"/>
      <c r="J88" s="157"/>
      <c r="K88" s="157"/>
      <c r="L88" s="161"/>
      <c r="M88" s="149"/>
    </row>
    <row r="89" spans="2:13" s="101" customFormat="1" ht="16.2" x14ac:dyDescent="0.3">
      <c r="B89" s="172" t="s">
        <v>9</v>
      </c>
      <c r="C89" s="171">
        <f>C86-C87</f>
        <v>521619.33333333337</v>
      </c>
      <c r="D89" s="22" t="s">
        <v>11</v>
      </c>
      <c r="E89" s="67"/>
      <c r="F89"/>
      <c r="G89"/>
      <c r="I89"/>
      <c r="J89" s="157"/>
      <c r="K89" s="157"/>
      <c r="L89" s="161"/>
      <c r="M89" s="149"/>
    </row>
    <row r="90" spans="2:13" s="101" customFormat="1" ht="7.5" customHeight="1" x14ac:dyDescent="0.3">
      <c r="B90"/>
      <c r="C90"/>
      <c r="D90"/>
      <c r="E90"/>
      <c r="F90"/>
      <c r="G90"/>
      <c r="I90"/>
      <c r="J90" s="157"/>
      <c r="K90" s="157"/>
      <c r="L90" s="161"/>
      <c r="M90" s="149"/>
    </row>
    <row r="103" spans="4:9" x14ac:dyDescent="0.3">
      <c r="I103" s="57"/>
    </row>
    <row r="112" spans="4:9" x14ac:dyDescent="0.3">
      <c r="D112" s="67"/>
      <c r="E112" s="67"/>
      <c r="F112" s="67"/>
    </row>
    <row r="113" spans="2:14" ht="27.6" x14ac:dyDescent="0.3">
      <c r="B113" s="1"/>
      <c r="C113" s="1"/>
      <c r="D113" s="97" t="str">
        <f>D77</f>
        <v>WEEK 1
(Apr1-5)</v>
      </c>
      <c r="E113" s="97" t="str">
        <f>E77</f>
        <v>WEEK 2
(Apr6-12)</v>
      </c>
      <c r="F113" s="97" t="str">
        <f>F77</f>
        <v>WEEK 3
(Apr13-19)</v>
      </c>
      <c r="G113" s="97" t="str">
        <f>G77</f>
        <v>WEEK 4
(Apr20-26)</v>
      </c>
      <c r="H113" s="97" t="str">
        <f>H77</f>
        <v>WEEk 5
(Apr27-30)</v>
      </c>
      <c r="I113" s="74"/>
      <c r="J113" s="162"/>
    </row>
    <row r="114" spans="2:14" ht="16.2" x14ac:dyDescent="0.3">
      <c r="B114" s="79" t="s">
        <v>43</v>
      </c>
      <c r="C114" s="9" t="s">
        <v>11</v>
      </c>
      <c r="D114" s="184">
        <v>62099</v>
      </c>
      <c r="E114" s="69">
        <v>57133</v>
      </c>
      <c r="F114" s="69">
        <v>78237</v>
      </c>
      <c r="G114" s="69">
        <v>59405</v>
      </c>
      <c r="H114" s="69">
        <v>54840</v>
      </c>
      <c r="I114" s="77"/>
      <c r="J114" s="164"/>
      <c r="K114" s="162"/>
    </row>
    <row r="115" spans="2:14" ht="16.2" x14ac:dyDescent="0.3">
      <c r="B115" s="79" t="s">
        <v>41</v>
      </c>
      <c r="C115" s="9" t="s">
        <v>11</v>
      </c>
      <c r="D115" s="184">
        <f>D78*0.47</f>
        <v>33761.040000000001</v>
      </c>
      <c r="E115" s="184">
        <f>E78*0.47</f>
        <v>68190.89</v>
      </c>
      <c r="F115" s="184">
        <f>F78*0.47</f>
        <v>65431.049999999996</v>
      </c>
      <c r="G115" s="184">
        <f>G78*0.47</f>
        <v>41666.909999999996</v>
      </c>
      <c r="H115" s="184">
        <f>H78*0.47</f>
        <v>41052.149999999994</v>
      </c>
      <c r="I115" s="57"/>
    </row>
    <row r="116" spans="2:14" ht="16.2" x14ac:dyDescent="0.3">
      <c r="B116" s="79" t="s">
        <v>151</v>
      </c>
      <c r="C116" s="9" t="s">
        <v>11</v>
      </c>
      <c r="D116" s="184">
        <v>9758.69</v>
      </c>
      <c r="E116" s="184">
        <v>20204.64</v>
      </c>
      <c r="F116" s="184">
        <v>19915.86</v>
      </c>
      <c r="G116" s="184">
        <v>6315.23</v>
      </c>
      <c r="H116" s="184"/>
      <c r="I116" s="57"/>
    </row>
    <row r="117" spans="2:14" ht="16.2" x14ac:dyDescent="0.3">
      <c r="B117" s="12" t="s">
        <v>12</v>
      </c>
      <c r="C117" s="9" t="s">
        <v>11</v>
      </c>
      <c r="D117" s="69"/>
      <c r="E117" s="69"/>
      <c r="F117" s="69">
        <v>15492.2</v>
      </c>
      <c r="G117" s="69">
        <v>42086.2</v>
      </c>
      <c r="H117" s="69"/>
      <c r="I117" s="77"/>
      <c r="J117" s="164"/>
    </row>
    <row r="118" spans="2:14" x14ac:dyDescent="0.3">
      <c r="B118" s="12" t="s">
        <v>13</v>
      </c>
      <c r="C118" s="9" t="s">
        <v>10</v>
      </c>
      <c r="D118" s="69">
        <f t="shared" ref="D118:E118" si="0">SUM(D114:D117)</f>
        <v>105618.73000000001</v>
      </c>
      <c r="E118" s="69">
        <f t="shared" si="0"/>
        <v>145528.53</v>
      </c>
      <c r="F118" s="69">
        <f>SUM(F114:F117)</f>
        <v>179076.11</v>
      </c>
      <c r="G118" s="69">
        <f>SUM(G114:G117)</f>
        <v>149473.34</v>
      </c>
      <c r="H118" s="69">
        <f>SUM(H114:H117)</f>
        <v>95892.15</v>
      </c>
      <c r="I118" s="77"/>
    </row>
    <row r="119" spans="2:14" x14ac:dyDescent="0.3">
      <c r="B119" s="13" t="s">
        <v>5</v>
      </c>
      <c r="C119" s="9" t="s">
        <v>10</v>
      </c>
      <c r="D119" s="185">
        <f>D118</f>
        <v>105618.73000000001</v>
      </c>
      <c r="E119" s="185">
        <f>D119+E118</f>
        <v>251147.26</v>
      </c>
      <c r="F119" s="185">
        <f>E119+F118</f>
        <v>430223.37</v>
      </c>
      <c r="G119" s="185">
        <f>F119+G118</f>
        <v>579696.71</v>
      </c>
      <c r="H119" s="185">
        <f>G119+H118</f>
        <v>675588.86</v>
      </c>
    </row>
    <row r="120" spans="2:14" ht="28.8" x14ac:dyDescent="0.3">
      <c r="B120" s="187" t="s">
        <v>130</v>
      </c>
      <c r="C120" s="9" t="s">
        <v>10</v>
      </c>
      <c r="D120" s="188">
        <f>D36*101*0.7842</f>
        <v>88137.641717999999</v>
      </c>
      <c r="E120" s="188">
        <f>E36*101*0.7842</f>
        <v>103088.22650999999</v>
      </c>
      <c r="F120" s="188">
        <f>F36*101*0.7842</f>
        <v>124326.040698</v>
      </c>
      <c r="G120" s="188">
        <f>G36*101*0.7842</f>
        <v>116410.37295</v>
      </c>
      <c r="H120" s="188">
        <f>H36*101*0.7842</f>
        <v>75085.581600000005</v>
      </c>
    </row>
    <row r="121" spans="2:14" x14ac:dyDescent="0.3">
      <c r="B121" s="12" t="s">
        <v>53</v>
      </c>
      <c r="C121" s="9" t="s">
        <v>10</v>
      </c>
      <c r="D121" s="185">
        <f>(($C$86/30)*5)</f>
        <v>138888.88888888888</v>
      </c>
      <c r="E121" s="185">
        <f>(($C$86/30)*12)-D119</f>
        <v>227714.6033333333</v>
      </c>
      <c r="F121" s="185">
        <f>(($C$86/30)*19)-E119</f>
        <v>276630.51777777774</v>
      </c>
      <c r="G121" s="185">
        <f>(($C$86/30)*26)-F119</f>
        <v>291998.85222222225</v>
      </c>
      <c r="H121" s="185">
        <f>(($C$86/30)*30)-G119</f>
        <v>253636.62333333341</v>
      </c>
      <c r="I121" s="61"/>
    </row>
    <row r="122" spans="2:14" s="4" customFormat="1" ht="15" thickBot="1" x14ac:dyDescent="0.35">
      <c r="H122" s="105"/>
      <c r="J122" s="163"/>
      <c r="K122" s="163"/>
      <c r="L122" s="163"/>
      <c r="M122" s="151"/>
    </row>
    <row r="123" spans="2:14" ht="15" thickTop="1" x14ac:dyDescent="0.3"/>
    <row r="124" spans="2:14" ht="25.8" x14ac:dyDescent="0.5">
      <c r="B124" s="246" t="s">
        <v>71</v>
      </c>
      <c r="C124" s="246"/>
      <c r="D124" s="246"/>
      <c r="E124" s="246"/>
      <c r="F124" s="246"/>
      <c r="G124" s="246"/>
    </row>
    <row r="125" spans="2:14" ht="4.05" customHeight="1" x14ac:dyDescent="0.3">
      <c r="B125" s="20"/>
      <c r="C125" s="20"/>
      <c r="D125" s="20"/>
      <c r="E125" s="20"/>
      <c r="F125" s="20"/>
      <c r="G125" s="20"/>
    </row>
    <row r="126" spans="2:14" ht="14.55" customHeight="1" x14ac:dyDescent="0.3">
      <c r="B126" s="244" t="s">
        <v>20</v>
      </c>
      <c r="C126" s="244"/>
      <c r="D126" s="244"/>
      <c r="E126" s="244"/>
      <c r="F126" s="244"/>
      <c r="G126" s="244"/>
    </row>
    <row r="127" spans="2:14" x14ac:dyDescent="0.3">
      <c r="D127" s="19">
        <v>101</v>
      </c>
      <c r="E127" s="19" t="s">
        <v>18</v>
      </c>
    </row>
    <row r="128" spans="2:14" ht="27.6" x14ac:dyDescent="0.3">
      <c r="D128" s="176" t="str">
        <f>D77</f>
        <v>WEEK 1
(Apr1-5)</v>
      </c>
      <c r="E128" s="176" t="str">
        <f>E77</f>
        <v>WEEK 2
(Apr6-12)</v>
      </c>
      <c r="F128" s="176" t="str">
        <f>F77</f>
        <v>WEEK 3
(Apr13-19)</v>
      </c>
      <c r="G128" s="176" t="str">
        <f>G77</f>
        <v>WEEK 4
(Apr20-26)</v>
      </c>
      <c r="H128" s="176" t="str">
        <f>H77</f>
        <v>WEEk 5
(Apr27-30)</v>
      </c>
      <c r="I128" s="182" t="s">
        <v>37</v>
      </c>
      <c r="J128" s="74"/>
      <c r="M128" s="157"/>
      <c r="N128" s="126"/>
    </row>
    <row r="129" spans="2:14" hidden="1" x14ac:dyDescent="0.3">
      <c r="D129" s="10"/>
      <c r="E129" s="179"/>
      <c r="F129" s="10"/>
      <c r="G129" s="10"/>
      <c r="H129" s="10"/>
      <c r="I129" s="107"/>
      <c r="J129" s="74"/>
      <c r="M129" s="157"/>
      <c r="N129" s="126"/>
    </row>
    <row r="130" spans="2:14" x14ac:dyDescent="0.3">
      <c r="B130" s="172" t="s">
        <v>15</v>
      </c>
      <c r="C130" s="22" t="s">
        <v>10</v>
      </c>
      <c r="D130" s="23">
        <f>D36</f>
        <v>1112.79</v>
      </c>
      <c r="E130" s="23">
        <f>E36</f>
        <v>1301.55</v>
      </c>
      <c r="F130" s="23">
        <f>F36</f>
        <v>1569.69</v>
      </c>
      <c r="G130" s="23">
        <f>G36</f>
        <v>1469.75</v>
      </c>
      <c r="H130" s="23">
        <f>H36</f>
        <v>948</v>
      </c>
      <c r="I130" s="109">
        <f>SUM(D130:H130)</f>
        <v>6401.7800000000007</v>
      </c>
      <c r="J130" s="78"/>
      <c r="M130" s="157"/>
      <c r="N130" s="126"/>
    </row>
    <row r="131" spans="2:14" x14ac:dyDescent="0.3">
      <c r="B131" s="172" t="s">
        <v>17</v>
      </c>
      <c r="C131" s="22" t="s">
        <v>10</v>
      </c>
      <c r="D131" s="23">
        <f t="shared" ref="D131:I131" si="1">D134*D130</f>
        <v>112391.79</v>
      </c>
      <c r="E131" s="23">
        <f t="shared" si="1"/>
        <v>131456.54999999999</v>
      </c>
      <c r="F131" s="23">
        <f t="shared" si="1"/>
        <v>158538.69</v>
      </c>
      <c r="G131" s="23">
        <f t="shared" si="1"/>
        <v>148444.75</v>
      </c>
      <c r="H131" s="23">
        <f t="shared" si="1"/>
        <v>95748</v>
      </c>
      <c r="I131" s="110">
        <f t="shared" si="1"/>
        <v>646579.78</v>
      </c>
      <c r="J131" s="63"/>
      <c r="M131" s="157"/>
      <c r="N131" s="126"/>
    </row>
    <row r="132" spans="2:14" x14ac:dyDescent="0.3">
      <c r="B132" s="172" t="s">
        <v>16</v>
      </c>
      <c r="C132" s="22" t="s">
        <v>10</v>
      </c>
      <c r="D132" s="23">
        <f t="shared" ref="D132:E132" si="2">D118</f>
        <v>105618.73000000001</v>
      </c>
      <c r="E132" s="23">
        <f t="shared" si="2"/>
        <v>145528.53</v>
      </c>
      <c r="F132" s="23">
        <f>F118</f>
        <v>179076.11</v>
      </c>
      <c r="G132" s="23">
        <f>G118</f>
        <v>149473.34</v>
      </c>
      <c r="H132" s="23">
        <f>H118</f>
        <v>95892.15</v>
      </c>
      <c r="I132" s="109">
        <f>SUM(D132:H132)</f>
        <v>675588.86</v>
      </c>
      <c r="J132" s="62"/>
      <c r="K132" s="159"/>
      <c r="M132" s="157"/>
      <c r="N132" s="126"/>
    </row>
    <row r="133" spans="2:14" x14ac:dyDescent="0.3">
      <c r="B133" s="172" t="s">
        <v>22</v>
      </c>
      <c r="C133" s="22" t="s">
        <v>19</v>
      </c>
      <c r="D133" s="23">
        <f>IFERROR(D132/D130,"")</f>
        <v>94.913442787947417</v>
      </c>
      <c r="E133" s="23">
        <f>IFERROR(E132/E130,"")</f>
        <v>111.81170911605393</v>
      </c>
      <c r="F133" s="23">
        <f>IFERROR(F132/F130,"")</f>
        <v>114.08374264982257</v>
      </c>
      <c r="G133" s="23">
        <f>IFERROR(G132/G130,"")</f>
        <v>101.69984010886205</v>
      </c>
      <c r="H133" s="23">
        <f>IFERROR(H132/H130,"")</f>
        <v>101.15205696202531</v>
      </c>
      <c r="I133" s="110">
        <f>I132/I130</f>
        <v>105.53140845202427</v>
      </c>
      <c r="J133" s="63"/>
      <c r="M133" s="157"/>
      <c r="N133" s="126"/>
    </row>
    <row r="134" spans="2:14" x14ac:dyDescent="0.3">
      <c r="B134" s="172" t="s">
        <v>23</v>
      </c>
      <c r="C134" s="22" t="s">
        <v>19</v>
      </c>
      <c r="D134" s="23">
        <v>101</v>
      </c>
      <c r="E134" s="23">
        <v>101</v>
      </c>
      <c r="F134" s="23">
        <v>101</v>
      </c>
      <c r="G134" s="23">
        <v>101</v>
      </c>
      <c r="H134" s="23">
        <v>101</v>
      </c>
      <c r="I134" s="116">
        <v>101</v>
      </c>
      <c r="J134" s="78"/>
      <c r="K134" s="162"/>
      <c r="M134" s="157"/>
      <c r="N134" s="126"/>
    </row>
    <row r="135" spans="2:14" x14ac:dyDescent="0.3">
      <c r="B135" s="21"/>
      <c r="C135" s="22"/>
      <c r="D135" s="23"/>
      <c r="E135" s="23"/>
      <c r="F135" s="23"/>
      <c r="G135" s="23"/>
      <c r="H135" s="103"/>
    </row>
    <row r="136" spans="2:14" x14ac:dyDescent="0.3">
      <c r="B136" s="21"/>
      <c r="C136" s="22"/>
      <c r="D136" s="23"/>
      <c r="E136" s="23"/>
      <c r="F136" s="23"/>
      <c r="G136" s="23"/>
    </row>
    <row r="137" spans="2:14" x14ac:dyDescent="0.3">
      <c r="B137" s="21"/>
      <c r="C137" s="22"/>
      <c r="D137" s="23"/>
      <c r="E137" s="23"/>
      <c r="F137" s="23"/>
      <c r="G137" s="23"/>
    </row>
    <row r="138" spans="2:14" x14ac:dyDescent="0.3">
      <c r="B138" s="21"/>
      <c r="C138" s="22"/>
      <c r="D138" s="23"/>
      <c r="E138" s="23"/>
      <c r="F138" s="23"/>
      <c r="G138" s="23"/>
    </row>
    <row r="139" spans="2:14" x14ac:dyDescent="0.3">
      <c r="B139" s="21"/>
      <c r="C139" s="22"/>
      <c r="D139" s="23"/>
      <c r="E139" s="23"/>
      <c r="F139" s="23"/>
      <c r="G139" s="23"/>
    </row>
    <row r="140" spans="2:14" x14ac:dyDescent="0.3">
      <c r="B140" s="21"/>
      <c r="C140" s="22"/>
      <c r="D140" s="23"/>
      <c r="E140" s="23"/>
      <c r="F140" s="23"/>
      <c r="G140" s="23"/>
    </row>
    <row r="141" spans="2:14" x14ac:dyDescent="0.3">
      <c r="B141" s="21"/>
      <c r="C141" s="22"/>
      <c r="D141" s="23"/>
      <c r="E141" s="23"/>
      <c r="F141" s="23"/>
      <c r="G141" s="23"/>
    </row>
    <row r="142" spans="2:14" x14ac:dyDescent="0.3">
      <c r="B142" s="21"/>
      <c r="C142" s="22"/>
      <c r="D142" s="23"/>
      <c r="E142" s="23"/>
      <c r="F142" s="23"/>
      <c r="G142" s="23"/>
    </row>
    <row r="143" spans="2:14" x14ac:dyDescent="0.3">
      <c r="B143" s="21"/>
      <c r="C143" s="22"/>
      <c r="D143" s="23"/>
      <c r="E143" s="23"/>
      <c r="F143" s="23"/>
      <c r="G143" s="23"/>
    </row>
    <row r="144" spans="2:14" x14ac:dyDescent="0.3">
      <c r="B144" s="21"/>
      <c r="C144" s="22"/>
      <c r="D144" s="23"/>
      <c r="E144" s="23"/>
      <c r="F144" s="23"/>
      <c r="G144" s="23"/>
      <c r="J144" s="183"/>
    </row>
    <row r="145" spans="2:14" x14ac:dyDescent="0.3">
      <c r="B145" s="21"/>
      <c r="C145" s="22"/>
      <c r="D145" s="23"/>
      <c r="E145" s="23"/>
      <c r="F145" s="23"/>
      <c r="G145" s="23"/>
    </row>
    <row r="146" spans="2:14" s="101" customFormat="1" x14ac:dyDescent="0.3">
      <c r="B146" s="21"/>
      <c r="C146" s="22"/>
      <c r="D146" s="23"/>
      <c r="E146" s="23"/>
      <c r="F146" s="23"/>
      <c r="G146" s="23"/>
      <c r="I146"/>
      <c r="J146" s="157"/>
      <c r="K146" s="157"/>
      <c r="L146" s="157"/>
      <c r="M146" s="126"/>
      <c r="N146"/>
    </row>
    <row r="147" spans="2:14" s="101" customFormat="1" x14ac:dyDescent="0.3">
      <c r="B147" s="21"/>
      <c r="C147" s="22"/>
      <c r="D147" s="23"/>
      <c r="E147" s="23"/>
      <c r="F147" s="23"/>
      <c r="G147" s="23"/>
      <c r="I147"/>
      <c r="J147" s="157"/>
      <c r="K147" s="157"/>
      <c r="L147" s="157"/>
      <c r="M147" s="126"/>
      <c r="N147"/>
    </row>
    <row r="148" spans="2:14" s="101" customFormat="1" x14ac:dyDescent="0.3">
      <c r="B148" s="21"/>
      <c r="C148" s="22"/>
      <c r="D148" s="23"/>
      <c r="E148" s="23"/>
      <c r="F148" s="23"/>
      <c r="G148" s="23"/>
      <c r="I148"/>
      <c r="J148" s="157"/>
      <c r="K148" s="157"/>
      <c r="L148" s="157"/>
      <c r="M148" s="126"/>
      <c r="N148"/>
    </row>
    <row r="149" spans="2:14" s="101" customFormat="1" x14ac:dyDescent="0.3">
      <c r="B149" s="21"/>
      <c r="C149" s="22"/>
      <c r="D149" s="23"/>
      <c r="E149" s="23"/>
      <c r="F149" s="23"/>
      <c r="G149" s="23"/>
      <c r="I149"/>
      <c r="J149" s="157"/>
      <c r="K149" s="157"/>
      <c r="L149" s="157"/>
      <c r="M149" s="126"/>
      <c r="N149"/>
    </row>
    <row r="150" spans="2:14" s="101" customFormat="1" x14ac:dyDescent="0.3">
      <c r="B150" s="21"/>
      <c r="C150" s="22"/>
      <c r="D150" s="23"/>
      <c r="E150" s="23"/>
      <c r="F150" s="23"/>
      <c r="G150" s="23"/>
      <c r="I150"/>
      <c r="J150" s="157"/>
      <c r="K150" s="157"/>
      <c r="L150" s="157"/>
      <c r="M150" s="126"/>
      <c r="N150"/>
    </row>
    <row r="151" spans="2:14" s="101" customFormat="1" x14ac:dyDescent="0.3">
      <c r="B151" s="21"/>
      <c r="C151" s="22"/>
      <c r="D151" s="23"/>
      <c r="E151" s="23"/>
      <c r="F151" s="23"/>
      <c r="G151" s="23"/>
      <c r="I151"/>
      <c r="J151" s="157"/>
      <c r="K151" s="157"/>
      <c r="L151" s="157"/>
      <c r="M151" s="126"/>
      <c r="N151"/>
    </row>
    <row r="152" spans="2:14" s="101" customFormat="1" x14ac:dyDescent="0.3">
      <c r="B152" s="21"/>
      <c r="C152" s="22"/>
      <c r="D152" s="23"/>
      <c r="E152" s="23"/>
      <c r="F152" s="23"/>
      <c r="G152" s="23"/>
      <c r="I152"/>
      <c r="J152" s="157"/>
      <c r="K152" s="157"/>
      <c r="L152" s="157"/>
      <c r="M152" s="126"/>
      <c r="N152"/>
    </row>
    <row r="153" spans="2:14" s="101" customFormat="1" x14ac:dyDescent="0.3">
      <c r="B153" s="21"/>
      <c r="C153" s="22"/>
      <c r="D153" s="23"/>
      <c r="E153" s="23"/>
      <c r="F153" s="23"/>
      <c r="G153" s="23"/>
      <c r="I153"/>
      <c r="J153" s="157"/>
      <c r="K153" s="157"/>
      <c r="L153" s="157"/>
      <c r="M153" s="126"/>
      <c r="N153"/>
    </row>
    <row r="154" spans="2:14" s="101" customFormat="1" x14ac:dyDescent="0.3">
      <c r="B154" s="21"/>
      <c r="C154" s="22"/>
      <c r="D154" s="23"/>
      <c r="E154" s="23"/>
      <c r="F154" s="23"/>
      <c r="G154" s="23"/>
      <c r="I154"/>
      <c r="J154" s="157"/>
      <c r="K154" s="157"/>
      <c r="L154" s="157"/>
      <c r="M154" s="126"/>
      <c r="N154"/>
    </row>
    <row r="155" spans="2:14" s="101" customFormat="1" x14ac:dyDescent="0.3">
      <c r="B155" s="21"/>
      <c r="C155" s="22"/>
      <c r="D155" s="23"/>
      <c r="E155" s="23"/>
      <c r="F155" s="23"/>
      <c r="G155" s="23"/>
      <c r="I155"/>
      <c r="J155" s="157"/>
      <c r="K155" s="157"/>
      <c r="L155" s="157"/>
      <c r="M155" s="126"/>
      <c r="N155"/>
    </row>
    <row r="156" spans="2:14" s="101" customFormat="1" x14ac:dyDescent="0.3">
      <c r="B156" s="21"/>
      <c r="C156" s="22"/>
      <c r="D156" s="23"/>
      <c r="E156" s="23"/>
      <c r="F156" s="23"/>
      <c r="G156" s="23"/>
      <c r="I156"/>
      <c r="J156" s="157"/>
      <c r="K156" s="157"/>
      <c r="L156" s="157"/>
      <c r="M156" s="126"/>
      <c r="N156"/>
    </row>
    <row r="157" spans="2:14" s="101" customFormat="1" x14ac:dyDescent="0.3">
      <c r="B157" s="21"/>
      <c r="C157" s="22"/>
      <c r="D157" s="23"/>
      <c r="E157" s="23"/>
      <c r="F157" s="23"/>
      <c r="G157" s="23"/>
      <c r="I157"/>
      <c r="J157" s="157"/>
      <c r="K157" s="157"/>
      <c r="L157" s="157"/>
      <c r="M157" s="126"/>
      <c r="N157"/>
    </row>
    <row r="158" spans="2:14" s="101" customFormat="1" x14ac:dyDescent="0.3">
      <c r="B158" s="21"/>
      <c r="C158" s="22"/>
      <c r="D158" s="23"/>
      <c r="E158" s="23"/>
      <c r="F158" s="23"/>
      <c r="G158" s="23"/>
      <c r="I158"/>
      <c r="J158" s="157"/>
      <c r="K158" s="157"/>
      <c r="L158" s="157"/>
      <c r="M158" s="126"/>
      <c r="N158"/>
    </row>
    <row r="159" spans="2:14" s="101" customFormat="1" x14ac:dyDescent="0.3">
      <c r="B159" s="21"/>
      <c r="C159" s="22"/>
      <c r="D159" s="23"/>
      <c r="E159" s="23"/>
      <c r="F159" s="23"/>
      <c r="G159" s="23"/>
      <c r="I159"/>
      <c r="J159" s="157"/>
      <c r="K159" s="157"/>
      <c r="L159" s="157"/>
      <c r="M159" s="126"/>
      <c r="N159"/>
    </row>
    <row r="160" spans="2:14" s="101" customFormat="1" x14ac:dyDescent="0.3">
      <c r="B160" s="21"/>
      <c r="C160" s="22"/>
      <c r="D160" s="23"/>
      <c r="E160" s="23"/>
      <c r="F160" s="23"/>
      <c r="G160" s="23"/>
      <c r="I160"/>
      <c r="J160" s="157"/>
      <c r="K160" s="157"/>
      <c r="L160" s="157"/>
      <c r="M160" s="126"/>
      <c r="N160"/>
    </row>
    <row r="161" spans="2:14" s="101" customFormat="1" x14ac:dyDescent="0.3">
      <c r="B161" s="21"/>
      <c r="C161" s="22"/>
      <c r="D161" s="23"/>
      <c r="E161" s="23"/>
      <c r="F161" s="23"/>
      <c r="G161" s="23"/>
      <c r="I161"/>
      <c r="J161" s="157"/>
      <c r="K161" s="157"/>
      <c r="L161" s="157"/>
      <c r="M161" s="126"/>
      <c r="N161"/>
    </row>
    <row r="162" spans="2:14" x14ac:dyDescent="0.3">
      <c r="B162" s="21"/>
      <c r="C162" s="22"/>
      <c r="D162" s="23"/>
      <c r="E162" s="23"/>
      <c r="F162" s="23"/>
      <c r="G162" s="23"/>
    </row>
    <row r="163" spans="2:14" x14ac:dyDescent="0.3">
      <c r="B163" s="21"/>
      <c r="C163" s="22"/>
      <c r="D163" s="23"/>
      <c r="E163" s="23"/>
      <c r="F163" s="23"/>
      <c r="G163" s="23"/>
    </row>
    <row r="164" spans="2:14" x14ac:dyDescent="0.3">
      <c r="B164" s="21"/>
      <c r="C164" s="22"/>
      <c r="D164" s="23"/>
      <c r="E164" s="23"/>
      <c r="F164" s="23"/>
      <c r="G164" s="23"/>
    </row>
    <row r="165" spans="2:14" x14ac:dyDescent="0.3">
      <c r="H165" s="103"/>
      <c r="I165" s="57"/>
    </row>
    <row r="170" spans="2:14" ht="15.6" x14ac:dyDescent="0.3">
      <c r="B170" s="245" t="s">
        <v>21</v>
      </c>
      <c r="C170" s="245"/>
      <c r="D170" s="245"/>
      <c r="E170" s="245"/>
      <c r="F170" s="245"/>
      <c r="G170" s="245"/>
      <c r="H170" s="245"/>
    </row>
    <row r="171" spans="2:14" ht="27.6" x14ac:dyDescent="0.3">
      <c r="D171" s="176" t="str">
        <f>D128</f>
        <v>WEEK 1
(Apr1-5)</v>
      </c>
      <c r="E171" s="176" t="str">
        <f>E128</f>
        <v>WEEK 2
(Apr6-12)</v>
      </c>
      <c r="F171" s="176" t="str">
        <f>F128</f>
        <v>WEEK 3
(Apr13-19)</v>
      </c>
      <c r="G171" s="176" t="str">
        <f>G128</f>
        <v>WEEK 4
(Apr20-26)</v>
      </c>
      <c r="H171" s="176" t="str">
        <f>H128</f>
        <v>WEEk 5
(Apr27-30)</v>
      </c>
      <c r="I171" s="111" t="s">
        <v>37</v>
      </c>
      <c r="J171" s="64"/>
      <c r="M171" s="157"/>
      <c r="N171" s="126"/>
    </row>
    <row r="172" spans="2:14" x14ac:dyDescent="0.3">
      <c r="B172" s="64" t="s">
        <v>15</v>
      </c>
      <c r="C172" s="22" t="s">
        <v>10</v>
      </c>
      <c r="D172" s="23">
        <f>D130*(D175/14)</f>
        <v>1101.6621</v>
      </c>
      <c r="E172" s="23">
        <f>E130*(E175/14)</f>
        <v>1263.6191142857142</v>
      </c>
      <c r="F172" s="23">
        <f>F130*(F175/14)</f>
        <v>1536.6143892857144</v>
      </c>
      <c r="G172" s="23">
        <f>G130*(G175/14)</f>
        <v>1439.8300892857144</v>
      </c>
      <c r="H172" s="23">
        <f>H130*(H175/14)</f>
        <v>932.22257142857143</v>
      </c>
      <c r="I172" s="108">
        <f>SUM(D172:H172)</f>
        <v>6273.9482642857147</v>
      </c>
      <c r="J172" s="61"/>
      <c r="K172" s="165"/>
      <c r="M172" s="157"/>
      <c r="N172" s="126"/>
    </row>
    <row r="173" spans="2:14" x14ac:dyDescent="0.3">
      <c r="B173" s="64" t="s">
        <v>17</v>
      </c>
      <c r="C173" s="22" t="s">
        <v>10</v>
      </c>
      <c r="D173" s="23">
        <f>D172*$D$127</f>
        <v>111267.87210000001</v>
      </c>
      <c r="E173" s="23">
        <f>E172*$D$127</f>
        <v>127625.53054285713</v>
      </c>
      <c r="F173" s="23">
        <f>F172*$D$127</f>
        <v>155198.05331785715</v>
      </c>
      <c r="G173" s="23">
        <f>G172*$D$127</f>
        <v>145422.83901785716</v>
      </c>
      <c r="H173" s="23">
        <f>H172*$D$127</f>
        <v>94154.479714285713</v>
      </c>
      <c r="I173" s="110">
        <f>I172*105</f>
        <v>658764.56775000005</v>
      </c>
      <c r="J173" s="63"/>
      <c r="M173" s="157"/>
      <c r="N173" s="126"/>
    </row>
    <row r="174" spans="2:14" x14ac:dyDescent="0.3">
      <c r="B174" s="64" t="s">
        <v>16</v>
      </c>
      <c r="C174" s="22" t="s">
        <v>10</v>
      </c>
      <c r="D174" s="23">
        <f>D132</f>
        <v>105618.73000000001</v>
      </c>
      <c r="E174" s="23">
        <f>E132</f>
        <v>145528.53</v>
      </c>
      <c r="F174" s="23">
        <f>F132</f>
        <v>179076.11</v>
      </c>
      <c r="G174" s="23">
        <f>G132</f>
        <v>149473.34</v>
      </c>
      <c r="H174" s="23">
        <f>H132</f>
        <v>95892.15</v>
      </c>
      <c r="I174" s="112">
        <f>SUM(D174:H174)</f>
        <v>675588.86</v>
      </c>
      <c r="J174" s="63"/>
      <c r="K174" s="159"/>
      <c r="M174" s="157"/>
      <c r="N174" s="126"/>
    </row>
    <row r="175" spans="2:14" x14ac:dyDescent="0.3">
      <c r="B175" s="64" t="s">
        <v>39</v>
      </c>
      <c r="C175" s="22"/>
      <c r="D175" s="186">
        <v>13.86</v>
      </c>
      <c r="E175" s="186">
        <v>13.592000000000001</v>
      </c>
      <c r="F175" s="186">
        <v>13.705</v>
      </c>
      <c r="G175" s="186">
        <v>13.715</v>
      </c>
      <c r="H175" s="186">
        <v>13.766999999999999</v>
      </c>
      <c r="I175" s="113">
        <f>AVERAGE(D175:H175)</f>
        <v>13.727799999999998</v>
      </c>
      <c r="J175" s="87"/>
      <c r="M175" s="157"/>
      <c r="N175" s="126"/>
    </row>
    <row r="176" spans="2:14" x14ac:dyDescent="0.3">
      <c r="B176" s="21" t="s">
        <v>22</v>
      </c>
      <c r="C176" s="22" t="s">
        <v>19</v>
      </c>
      <c r="D176" s="23">
        <f t="shared" ref="D176:H176" si="3">IFERROR(D174/D172,"")</f>
        <v>95.872164432270125</v>
      </c>
      <c r="E176" s="23">
        <f t="shared" si="3"/>
        <v>115.16803469870182</v>
      </c>
      <c r="F176" s="23">
        <f t="shared" si="3"/>
        <v>116.53939416982968</v>
      </c>
      <c r="G176" s="23">
        <f t="shared" si="3"/>
        <v>103.8131798413466</v>
      </c>
      <c r="H176" s="23">
        <f t="shared" si="3"/>
        <v>102.86400795150391</v>
      </c>
      <c r="I176" s="112">
        <f>I174/I172</f>
        <v>107.6816115691887</v>
      </c>
      <c r="J176" s="65"/>
      <c r="M176" s="157"/>
      <c r="N176" s="126"/>
    </row>
    <row r="177" spans="2:14" x14ac:dyDescent="0.3">
      <c r="B177" s="21" t="s">
        <v>23</v>
      </c>
      <c r="C177" s="22" t="s">
        <v>19</v>
      </c>
      <c r="D177" s="23">
        <v>101</v>
      </c>
      <c r="E177" s="23">
        <v>101</v>
      </c>
      <c r="F177" s="23">
        <v>101</v>
      </c>
      <c r="G177" s="23">
        <v>101</v>
      </c>
      <c r="H177" s="23">
        <v>101</v>
      </c>
      <c r="I177" s="114">
        <v>101</v>
      </c>
      <c r="J177" s="65"/>
      <c r="M177" s="157"/>
      <c r="N177" s="126"/>
    </row>
    <row r="178" spans="2:14" x14ac:dyDescent="0.3">
      <c r="D178" s="24" t="s">
        <v>40</v>
      </c>
      <c r="H178" s="103"/>
    </row>
    <row r="215" spans="2:13" s="4" customFormat="1" ht="15" thickBot="1" x14ac:dyDescent="0.35">
      <c r="H215" s="105"/>
      <c r="J215" s="163"/>
      <c r="K215" s="163"/>
      <c r="L215" s="163"/>
      <c r="M215" s="151"/>
    </row>
    <row r="216" spans="2:13" ht="15" thickTop="1" x14ac:dyDescent="0.3"/>
    <row r="221" spans="2:13" ht="25.8" hidden="1" x14ac:dyDescent="0.5">
      <c r="B221" s="246" t="s">
        <v>24</v>
      </c>
      <c r="C221" s="246"/>
      <c r="D221" s="246"/>
      <c r="E221" s="246"/>
      <c r="F221" s="246"/>
      <c r="G221" s="246"/>
    </row>
    <row r="222" spans="2:13" hidden="1" x14ac:dyDescent="0.3"/>
    <row r="223" spans="2:13" ht="22.8" hidden="1" thickBot="1" x14ac:dyDescent="0.5">
      <c r="B223" s="28" t="s">
        <v>25</v>
      </c>
      <c r="C223" s="29" t="s">
        <v>26</v>
      </c>
      <c r="D223" s="29" t="s">
        <v>27</v>
      </c>
      <c r="E223" s="180" t="s">
        <v>28</v>
      </c>
    </row>
    <row r="224" spans="2:13" ht="23.4" hidden="1" x14ac:dyDescent="0.45">
      <c r="B224" s="31"/>
      <c r="C224" s="26"/>
      <c r="D224" s="26"/>
      <c r="E224" s="32"/>
    </row>
    <row r="225" spans="2:5" ht="22.2" hidden="1" x14ac:dyDescent="0.45">
      <c r="B225" s="33">
        <v>44743</v>
      </c>
      <c r="C225" s="89">
        <v>1056523.5</v>
      </c>
      <c r="D225" s="90">
        <v>1501785</v>
      </c>
      <c r="E225" s="181">
        <f>C225+D225</f>
        <v>2558308.5</v>
      </c>
    </row>
    <row r="226" spans="2:5" ht="22.2" hidden="1" x14ac:dyDescent="0.45">
      <c r="B226" s="33">
        <v>44774</v>
      </c>
      <c r="C226" s="92">
        <v>1649443.5</v>
      </c>
      <c r="D226" s="92">
        <v>863715</v>
      </c>
      <c r="E226" s="181">
        <f t="shared" ref="E226:E236" si="4">C226+D226</f>
        <v>2513158.5</v>
      </c>
    </row>
    <row r="227" spans="2:5" ht="22.2" hidden="1" x14ac:dyDescent="0.45">
      <c r="B227" s="33">
        <v>44805</v>
      </c>
      <c r="C227" s="92">
        <v>1346098.5</v>
      </c>
      <c r="D227" s="92">
        <v>1119105</v>
      </c>
      <c r="E227" s="181">
        <f t="shared" si="4"/>
        <v>2465203.5</v>
      </c>
    </row>
    <row r="228" spans="2:5" ht="22.2" hidden="1" x14ac:dyDescent="0.45">
      <c r="B228" s="33">
        <v>44835</v>
      </c>
      <c r="C228" s="92">
        <v>2573653.5</v>
      </c>
      <c r="D228" s="92">
        <v>0</v>
      </c>
      <c r="E228" s="181">
        <f t="shared" si="4"/>
        <v>2573653.5</v>
      </c>
    </row>
    <row r="229" spans="2:5" ht="22.2" hidden="1" x14ac:dyDescent="0.45">
      <c r="B229" s="33">
        <v>44866</v>
      </c>
      <c r="C229" s="92">
        <v>2239123.5</v>
      </c>
      <c r="D229" s="92">
        <v>0</v>
      </c>
      <c r="E229" s="181">
        <f t="shared" si="4"/>
        <v>2239123.5</v>
      </c>
    </row>
    <row r="230" spans="2:5" ht="22.2" hidden="1" x14ac:dyDescent="0.45">
      <c r="B230" s="33">
        <v>44896</v>
      </c>
      <c r="C230" s="92">
        <v>3815869.5</v>
      </c>
      <c r="D230" s="92">
        <v>0</v>
      </c>
      <c r="E230" s="181">
        <f t="shared" si="4"/>
        <v>3815869.5</v>
      </c>
    </row>
    <row r="231" spans="2:5" ht="22.2" hidden="1" x14ac:dyDescent="0.45">
      <c r="B231" s="33">
        <v>44927</v>
      </c>
      <c r="C231" s="92">
        <v>3876876</v>
      </c>
      <c r="D231" s="92">
        <v>0</v>
      </c>
      <c r="E231" s="181">
        <f t="shared" si="4"/>
        <v>3876876</v>
      </c>
    </row>
    <row r="232" spans="2:5" ht="22.2" hidden="1" x14ac:dyDescent="0.45">
      <c r="B232" s="33">
        <v>44958</v>
      </c>
      <c r="C232" s="92">
        <v>2565432</v>
      </c>
      <c r="D232" s="92">
        <v>427935</v>
      </c>
      <c r="E232" s="181">
        <f t="shared" si="4"/>
        <v>2993367</v>
      </c>
    </row>
    <row r="233" spans="2:5" ht="22.2" hidden="1" x14ac:dyDescent="0.45">
      <c r="B233" s="33">
        <v>44986</v>
      </c>
      <c r="C233" s="92">
        <v>2163847.5</v>
      </c>
      <c r="D233" s="92">
        <v>0</v>
      </c>
      <c r="E233" s="181">
        <f t="shared" si="4"/>
        <v>2163847.5</v>
      </c>
    </row>
    <row r="234" spans="2:5" ht="22.2" hidden="1" x14ac:dyDescent="0.45">
      <c r="B234" s="33">
        <v>45017</v>
      </c>
      <c r="C234" s="92">
        <v>1103476.5</v>
      </c>
      <c r="D234" s="92">
        <v>0</v>
      </c>
      <c r="E234" s="181">
        <f t="shared" si="4"/>
        <v>1103476.5</v>
      </c>
    </row>
    <row r="235" spans="2:5" ht="22.2" hidden="1" x14ac:dyDescent="0.45">
      <c r="B235" s="33">
        <v>45047</v>
      </c>
      <c r="C235" s="92">
        <v>1210167</v>
      </c>
      <c r="D235" s="92">
        <v>0</v>
      </c>
      <c r="E235" s="181">
        <f t="shared" si="4"/>
        <v>1210167</v>
      </c>
    </row>
    <row r="236" spans="2:5" ht="22.2" hidden="1" x14ac:dyDescent="0.45">
      <c r="B236" s="33">
        <v>45078</v>
      </c>
      <c r="C236" s="92">
        <v>2359260</v>
      </c>
      <c r="D236" s="92">
        <v>0</v>
      </c>
      <c r="E236" s="181">
        <f t="shared" si="4"/>
        <v>2359260</v>
      </c>
    </row>
    <row r="237" spans="2:5" ht="22.8" hidden="1" thickBot="1" x14ac:dyDescent="0.5">
      <c r="B237" s="34"/>
      <c r="C237" s="27"/>
      <c r="D237" s="27"/>
      <c r="E237" s="35"/>
    </row>
    <row r="238" spans="2:5" ht="23.4" hidden="1" thickTop="1" thickBot="1" x14ac:dyDescent="0.5">
      <c r="B238" s="36"/>
      <c r="C238" s="37">
        <f>SUM(C225:C236)</f>
        <v>25959771</v>
      </c>
      <c r="D238" s="37">
        <f>SUM(D225:D236)</f>
        <v>3912540</v>
      </c>
      <c r="E238" s="38">
        <f>SUM(E225:E236)</f>
        <v>29872311</v>
      </c>
    </row>
    <row r="239" spans="2:5" hidden="1" x14ac:dyDescent="0.3"/>
    <row r="240" spans="2:5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</sheetData>
  <dataConsolidate/>
  <mergeCells count="7">
    <mergeCell ref="B221:G221"/>
    <mergeCell ref="B2:G2"/>
    <mergeCell ref="B47:G47"/>
    <mergeCell ref="B83:H83"/>
    <mergeCell ref="B124:G124"/>
    <mergeCell ref="B126:G126"/>
    <mergeCell ref="B170:H170"/>
  </mergeCells>
  <conditionalFormatting sqref="C4:D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{E7863106-3FEC-4EA9-9C7F-B6B69AB52F65}</x14:id>
        </ext>
      </extLst>
    </cfRule>
  </conditionalFormatting>
  <conditionalFormatting sqref="C49:D53 E6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{86FCDBBD-8544-49E7-8B64-A4AFE6F3C941}</x14:id>
        </ext>
      </extLst>
    </cfRule>
  </conditionalFormatting>
  <conditionalFormatting sqref="C85:D9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{D179A207-14BA-438B-B51E-2B576950DFFF}</x14:id>
        </ext>
      </extLst>
    </cfRule>
  </conditionalFormatting>
  <conditionalFormatting sqref="C129:I12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{BD377E71-1BFF-4AAA-B4E7-F1746B7A90B0}</x14:id>
        </ext>
      </extLst>
    </cfRule>
  </conditionalFormatting>
  <pageMargins left="0.7" right="0.7" top="0.75" bottom="0.75" header="0.3" footer="0.3"/>
  <pageSetup paperSize="9" orientation="portrait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863106-3FEC-4EA9-9C7F-B6B69AB52F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C4:D8</xm:sqref>
        </x14:conditionalFormatting>
        <x14:conditionalFormatting xmlns:xm="http://schemas.microsoft.com/office/excel/2006/main">
          <x14:cfRule type="dataBar" id="{86FCDBBD-8544-49E7-8B64-A4AFE6F3C9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C49:D53 E60</xm:sqref>
        </x14:conditionalFormatting>
        <x14:conditionalFormatting xmlns:xm="http://schemas.microsoft.com/office/excel/2006/main">
          <x14:cfRule type="dataBar" id="{D179A207-14BA-438B-B51E-2B576950DF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C85:D90</xm:sqref>
        </x14:conditionalFormatting>
        <x14:conditionalFormatting xmlns:xm="http://schemas.microsoft.com/office/excel/2006/main">
          <x14:cfRule type="dataBar" id="{BD377E71-1BFF-4AAA-B4E7-F1746B7A90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C129:I129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FDC5-CEA0-45EC-9EB5-8F16C3EF4586}">
  <sheetPr>
    <tabColor rgb="FF00B050"/>
    <pageSetUpPr autoPageBreaks="0"/>
  </sheetPr>
  <dimension ref="B2:M245"/>
  <sheetViews>
    <sheetView showGridLines="0" topLeftCell="A2" zoomScale="93" zoomScaleNormal="85" zoomScaleSheetLayoutView="115" workbookViewId="0">
      <selection activeCell="I17" sqref="I17"/>
    </sheetView>
  </sheetViews>
  <sheetFormatPr defaultColWidth="22.33203125" defaultRowHeight="14.4" x14ac:dyDescent="0.3"/>
  <cols>
    <col min="1" max="1" width="6.6640625" customWidth="1"/>
    <col min="2" max="2" width="28.109375" customWidth="1"/>
    <col min="3" max="3" width="17.109375" customWidth="1"/>
    <col min="4" max="4" width="15.77734375" customWidth="1"/>
    <col min="5" max="5" width="11.6640625" customWidth="1"/>
    <col min="6" max="6" width="11.33203125" customWidth="1"/>
    <col min="7" max="7" width="10.77734375" customWidth="1"/>
    <col min="8" max="8" width="16.5546875" customWidth="1"/>
    <col min="9" max="11" width="22.33203125" style="157"/>
    <col min="12" max="12" width="22.33203125" style="126"/>
  </cols>
  <sheetData>
    <row r="2" spans="2:11" ht="25.8" x14ac:dyDescent="0.5">
      <c r="B2" s="246" t="s">
        <v>68</v>
      </c>
      <c r="C2" s="246"/>
      <c r="D2" s="246"/>
      <c r="E2" s="246"/>
      <c r="F2" s="246"/>
      <c r="G2" s="246"/>
      <c r="I2" s="155"/>
      <c r="J2" s="158"/>
    </row>
    <row r="3" spans="2:11" ht="4.5" customHeight="1" x14ac:dyDescent="0.3"/>
    <row r="4" spans="2:11" x14ac:dyDescent="0.3">
      <c r="B4" s="21" t="s">
        <v>52</v>
      </c>
      <c r="C4" s="168">
        <v>143000</v>
      </c>
      <c r="D4" s="22" t="s">
        <v>4</v>
      </c>
      <c r="E4" s="173"/>
      <c r="H4" s="67"/>
      <c r="I4" s="156"/>
    </row>
    <row r="5" spans="2:11" ht="28.8" x14ac:dyDescent="0.3">
      <c r="B5" s="21" t="s">
        <v>107</v>
      </c>
      <c r="C5" s="168">
        <f>(C4-'Apr(Act)'!C7)/11</f>
        <v>12418.02</v>
      </c>
      <c r="D5" s="22" t="s">
        <v>4</v>
      </c>
      <c r="H5" s="67"/>
    </row>
    <row r="6" spans="2:11" x14ac:dyDescent="0.3">
      <c r="B6" s="21" t="s">
        <v>6</v>
      </c>
      <c r="C6" s="171">
        <f>SUM(D39:G39)</f>
        <v>7584.68</v>
      </c>
      <c r="D6" s="22" t="s">
        <v>4</v>
      </c>
      <c r="E6" s="173"/>
      <c r="G6" s="56"/>
      <c r="H6" s="67"/>
      <c r="I6" s="159"/>
    </row>
    <row r="7" spans="2:11" x14ac:dyDescent="0.3">
      <c r="B7" s="21" t="s">
        <v>66</v>
      </c>
      <c r="C7" s="171">
        <f>'Apr(Act)'!C7+May!C6</f>
        <v>13986.460000000001</v>
      </c>
      <c r="D7" s="22" t="s">
        <v>4</v>
      </c>
      <c r="E7" s="174"/>
      <c r="H7" s="67"/>
    </row>
    <row r="8" spans="2:11" x14ac:dyDescent="0.3">
      <c r="B8" s="21" t="s">
        <v>2</v>
      </c>
      <c r="C8" s="171">
        <f>SUM(D38:G38)</f>
        <v>0</v>
      </c>
      <c r="D8" s="22" t="s">
        <v>4</v>
      </c>
      <c r="F8" s="3"/>
    </row>
    <row r="9" spans="2:11" x14ac:dyDescent="0.3">
      <c r="I9" s="159"/>
    </row>
    <row r="10" spans="2:11" x14ac:dyDescent="0.3">
      <c r="D10" s="2"/>
      <c r="E10" s="175"/>
      <c r="F10" s="2"/>
      <c r="G10" s="2"/>
      <c r="I10" s="159"/>
    </row>
    <row r="11" spans="2:11" x14ac:dyDescent="0.3">
      <c r="D11" s="2"/>
      <c r="E11" s="175"/>
      <c r="F11" s="2"/>
      <c r="G11" s="2"/>
    </row>
    <row r="12" spans="2:11" x14ac:dyDescent="0.3">
      <c r="D12" s="2"/>
      <c r="E12" s="175"/>
      <c r="F12" s="2"/>
      <c r="G12" s="2"/>
    </row>
    <row r="13" spans="2:11" x14ac:dyDescent="0.3">
      <c r="J13" s="160"/>
      <c r="K13" s="160"/>
    </row>
    <row r="19" spans="2:12" x14ac:dyDescent="0.3">
      <c r="H19" s="67"/>
    </row>
    <row r="28" spans="2:12" s="101" customFormat="1" x14ac:dyDescent="0.3">
      <c r="B28"/>
      <c r="C28" s="57"/>
      <c r="D28" s="57"/>
      <c r="E28" s="173"/>
      <c r="F28" s="57"/>
      <c r="G28"/>
      <c r="H28"/>
      <c r="I28" s="157"/>
      <c r="J28" s="157"/>
      <c r="K28" s="161"/>
      <c r="L28" s="149"/>
    </row>
    <row r="29" spans="2:12" s="101" customFormat="1" x14ac:dyDescent="0.3">
      <c r="B29"/>
      <c r="C29"/>
      <c r="D29" s="56"/>
      <c r="E29"/>
      <c r="F29"/>
      <c r="G29"/>
      <c r="H29"/>
      <c r="I29" s="157"/>
      <c r="J29" s="157"/>
      <c r="K29" s="161"/>
      <c r="L29" s="149"/>
    </row>
    <row r="30" spans="2:12" s="101" customFormat="1" hidden="1" x14ac:dyDescent="0.3">
      <c r="B30"/>
      <c r="C30"/>
      <c r="D30"/>
      <c r="E30"/>
      <c r="F30"/>
      <c r="G30"/>
      <c r="H30"/>
      <c r="I30" s="157"/>
      <c r="J30" s="157"/>
      <c r="K30" s="161"/>
      <c r="L30" s="149"/>
    </row>
    <row r="31" spans="2:12" s="101" customFormat="1" hidden="1" x14ac:dyDescent="0.3">
      <c r="B31"/>
      <c r="C31"/>
      <c r="D31"/>
      <c r="E31"/>
      <c r="F31"/>
      <c r="G31"/>
      <c r="H31"/>
      <c r="I31" s="157"/>
      <c r="J31" s="157"/>
      <c r="K31" s="161"/>
      <c r="L31" s="149"/>
    </row>
    <row r="32" spans="2:12" s="101" customFormat="1" hidden="1" x14ac:dyDescent="0.3">
      <c r="B32"/>
      <c r="C32"/>
      <c r="D32"/>
      <c r="E32"/>
      <c r="F32"/>
      <c r="G32"/>
      <c r="H32"/>
      <c r="I32" s="157"/>
      <c r="J32" s="157"/>
      <c r="K32" s="161"/>
      <c r="L32" s="149"/>
    </row>
    <row r="33" spans="2:12" s="101" customFormat="1" ht="16.5" customHeight="1" x14ac:dyDescent="0.3">
      <c r="B33"/>
      <c r="C33"/>
      <c r="D33" s="57"/>
      <c r="E33" s="173"/>
      <c r="F33" s="57"/>
      <c r="G33" s="57"/>
      <c r="H33"/>
      <c r="I33" s="157"/>
      <c r="J33" s="157"/>
      <c r="K33" s="161"/>
      <c r="L33" s="149"/>
    </row>
    <row r="34" spans="2:12" ht="27.6" x14ac:dyDescent="0.3">
      <c r="B34" s="1"/>
      <c r="C34" s="1"/>
      <c r="D34" s="97" t="s">
        <v>152</v>
      </c>
      <c r="E34" s="97" t="s">
        <v>153</v>
      </c>
      <c r="F34" s="97" t="s">
        <v>154</v>
      </c>
      <c r="G34" s="97" t="s">
        <v>155</v>
      </c>
      <c r="H34" s="56"/>
    </row>
    <row r="35" spans="2:12" hidden="1" x14ac:dyDescent="0.3">
      <c r="B35" s="1"/>
      <c r="C35" s="1"/>
      <c r="D35" s="43"/>
      <c r="E35" s="177"/>
      <c r="F35" s="43"/>
      <c r="G35" s="43"/>
      <c r="H35" s="57"/>
    </row>
    <row r="36" spans="2:12" ht="16.95" customHeight="1" x14ac:dyDescent="0.3">
      <c r="B36" s="12" t="s">
        <v>135</v>
      </c>
      <c r="C36" s="6" t="s">
        <v>4</v>
      </c>
      <c r="D36" s="54">
        <v>2578.79</v>
      </c>
      <c r="E36" s="54">
        <v>1821.93</v>
      </c>
      <c r="F36" s="54">
        <v>1602.63</v>
      </c>
      <c r="G36" s="54">
        <v>1581.33</v>
      </c>
      <c r="H36" s="103"/>
    </row>
    <row r="37" spans="2:12" x14ac:dyDescent="0.3">
      <c r="B37" s="12" t="s">
        <v>110</v>
      </c>
      <c r="C37" s="6"/>
      <c r="D37" s="119"/>
      <c r="E37" s="119"/>
      <c r="F37" s="119"/>
      <c r="G37" s="119"/>
      <c r="H37" s="103"/>
    </row>
    <row r="38" spans="2:12" ht="15" hidden="1" thickBot="1" x14ac:dyDescent="0.35">
      <c r="B38" s="12"/>
      <c r="C38" s="6"/>
      <c r="D38" s="120"/>
      <c r="E38" s="178"/>
      <c r="F38" s="121"/>
      <c r="G38" s="122"/>
      <c r="H38" s="104"/>
    </row>
    <row r="39" spans="2:12" x14ac:dyDescent="0.3">
      <c r="B39" s="12" t="s">
        <v>3</v>
      </c>
      <c r="C39" s="6" t="s">
        <v>4</v>
      </c>
      <c r="D39" s="75">
        <f>D37+D36</f>
        <v>2578.79</v>
      </c>
      <c r="E39" s="75">
        <f>IF(E37+E36="",0,E37+E36)</f>
        <v>1821.93</v>
      </c>
      <c r="F39" s="75">
        <f t="shared" ref="F39:G39" si="0">IF(F37+F36="",0,F37+F36)</f>
        <v>1602.63</v>
      </c>
      <c r="G39" s="75">
        <f t="shared" si="0"/>
        <v>1581.33</v>
      </c>
      <c r="H39" s="103"/>
      <c r="I39" s="162"/>
      <c r="J39" s="159"/>
    </row>
    <row r="40" spans="2:12" x14ac:dyDescent="0.3">
      <c r="B40" s="12" t="s">
        <v>108</v>
      </c>
      <c r="C40" s="8"/>
      <c r="D40" s="76">
        <f>D39</f>
        <v>2578.79</v>
      </c>
      <c r="E40" s="76">
        <f>E39+D40</f>
        <v>4400.72</v>
      </c>
      <c r="F40" s="76">
        <f>F39+E40</f>
        <v>6003.35</v>
      </c>
      <c r="G40" s="76">
        <f>G39+F40</f>
        <v>7584.68</v>
      </c>
      <c r="I40" s="162"/>
    </row>
    <row r="41" spans="2:12" x14ac:dyDescent="0.3">
      <c r="B41" s="12" t="s">
        <v>109</v>
      </c>
      <c r="C41" s="6" t="s">
        <v>4</v>
      </c>
      <c r="D41" s="75">
        <f>(C5/31)*10</f>
        <v>4005.8129032258066</v>
      </c>
      <c r="E41" s="75">
        <f>((C5/31)*17)-D40</f>
        <v>4231.0919354838716</v>
      </c>
      <c r="F41" s="75">
        <f>((C5/31)*24)-E40</f>
        <v>5213.2309677419371</v>
      </c>
      <c r="G41" s="75">
        <f>((C5/31)*31)-F40</f>
        <v>6414.67</v>
      </c>
      <c r="H41" s="67"/>
      <c r="I41" s="165"/>
      <c r="J41" s="165"/>
    </row>
    <row r="42" spans="2:12" x14ac:dyDescent="0.3">
      <c r="B42" s="21"/>
      <c r="C42" s="85"/>
      <c r="D42" s="86"/>
      <c r="E42" s="86"/>
      <c r="F42" s="86"/>
      <c r="G42" s="86"/>
      <c r="H42" s="67"/>
      <c r="I42" s="165"/>
      <c r="J42" s="165"/>
    </row>
    <row r="43" spans="2:12" x14ac:dyDescent="0.3">
      <c r="B43" s="21"/>
      <c r="C43" s="85"/>
      <c r="D43" s="86"/>
      <c r="E43" s="86"/>
      <c r="F43" s="86"/>
      <c r="G43" s="86"/>
    </row>
    <row r="44" spans="2:12" s="4" customFormat="1" ht="15" thickBot="1" x14ac:dyDescent="0.35">
      <c r="D44" s="59"/>
      <c r="E44" s="59"/>
      <c r="F44" s="59"/>
      <c r="G44" s="59"/>
      <c r="I44" s="163"/>
      <c r="J44" s="163"/>
      <c r="K44" s="163"/>
      <c r="L44" s="151"/>
    </row>
    <row r="45" spans="2:12" ht="15" thickTop="1" x14ac:dyDescent="0.3">
      <c r="D45" s="67"/>
      <c r="E45" s="67"/>
      <c r="F45" s="67"/>
    </row>
    <row r="47" spans="2:12" ht="25.8" x14ac:dyDescent="0.5">
      <c r="B47" s="246" t="s">
        <v>69</v>
      </c>
      <c r="C47" s="246"/>
      <c r="D47" s="246"/>
      <c r="E47" s="246"/>
      <c r="F47" s="246"/>
      <c r="G47" s="246"/>
      <c r="I47" s="159"/>
      <c r="J47" s="162"/>
    </row>
    <row r="48" spans="2:12" ht="4.95" customHeight="1" x14ac:dyDescent="0.3"/>
    <row r="49" spans="2:8" x14ac:dyDescent="0.3">
      <c r="B49" s="21" t="s">
        <v>52</v>
      </c>
      <c r="C49" s="168">
        <v>9907200</v>
      </c>
      <c r="D49" s="22" t="s">
        <v>8</v>
      </c>
      <c r="H49" s="96"/>
    </row>
    <row r="50" spans="2:8" x14ac:dyDescent="0.3">
      <c r="B50" s="21" t="s">
        <v>31</v>
      </c>
      <c r="C50" s="168">
        <f>(C49-'Apr(Act)'!C52)/11</f>
        <v>852278.90909090906</v>
      </c>
      <c r="D50" s="22" t="s">
        <v>8</v>
      </c>
    </row>
    <row r="51" spans="2:8" x14ac:dyDescent="0.3">
      <c r="B51" s="21" t="s">
        <v>6</v>
      </c>
      <c r="C51" s="171">
        <f>SUM(D78:G78)</f>
        <v>529726</v>
      </c>
      <c r="D51" s="22" t="s">
        <v>8</v>
      </c>
      <c r="E51" s="173"/>
    </row>
    <row r="52" spans="2:8" x14ac:dyDescent="0.3">
      <c r="B52" s="21" t="s">
        <v>67</v>
      </c>
      <c r="C52" s="171">
        <f>'Apr(Act)'!C52+C51</f>
        <v>1061858</v>
      </c>
      <c r="D52" s="22" t="s">
        <v>8</v>
      </c>
      <c r="E52" s="173"/>
    </row>
    <row r="53" spans="2:8" x14ac:dyDescent="0.3">
      <c r="B53" s="21" t="s">
        <v>9</v>
      </c>
      <c r="C53" s="171">
        <f>C50-C51</f>
        <v>322552.90909090906</v>
      </c>
      <c r="D53" s="22" t="s">
        <v>8</v>
      </c>
    </row>
    <row r="60" spans="2:8" x14ac:dyDescent="0.3">
      <c r="E60" s="22" t="s">
        <v>8</v>
      </c>
    </row>
    <row r="77" spans="2:8" ht="27.6" x14ac:dyDescent="0.3">
      <c r="B77" s="1"/>
      <c r="C77" s="1"/>
      <c r="D77" s="97" t="str">
        <f>D34</f>
        <v>WEEK 1
(May1-10)</v>
      </c>
      <c r="E77" s="97" t="str">
        <f>E34</f>
        <v>WEEK 2
(May11-17)</v>
      </c>
      <c r="F77" s="97" t="str">
        <f>F34</f>
        <v>WEEK 3
(May18-24)</v>
      </c>
      <c r="G77" s="97" t="str">
        <f>G34</f>
        <v>WEEK 4
(May25-31)</v>
      </c>
    </row>
    <row r="78" spans="2:8" x14ac:dyDescent="0.3">
      <c r="B78" s="5" t="s">
        <v>1</v>
      </c>
      <c r="C78" s="9" t="s">
        <v>8</v>
      </c>
      <c r="D78" s="184">
        <v>160262</v>
      </c>
      <c r="E78" s="184">
        <v>142232</v>
      </c>
      <c r="F78" s="184">
        <v>148272</v>
      </c>
      <c r="G78" s="184">
        <v>78960</v>
      </c>
      <c r="H78" s="57"/>
    </row>
    <row r="79" spans="2:8" x14ac:dyDescent="0.3">
      <c r="B79" s="7" t="s">
        <v>5</v>
      </c>
      <c r="C79" s="9" t="s">
        <v>8</v>
      </c>
      <c r="D79" s="98">
        <f>D78</f>
        <v>160262</v>
      </c>
      <c r="E79" s="98">
        <f>D79+E78</f>
        <v>302494</v>
      </c>
      <c r="F79" s="98">
        <f>E79+F78</f>
        <v>450766</v>
      </c>
      <c r="G79" s="98">
        <f>F79+G78</f>
        <v>529726</v>
      </c>
    </row>
    <row r="80" spans="2:8" x14ac:dyDescent="0.3">
      <c r="B80" s="5" t="s">
        <v>9</v>
      </c>
      <c r="C80" s="9" t="s">
        <v>8</v>
      </c>
      <c r="D80" s="98">
        <f>(C50/31)*10</f>
        <v>274928.68035190617</v>
      </c>
      <c r="E80" s="98">
        <f>(($C50/31)*17)-D79</f>
        <v>307116.75659824046</v>
      </c>
      <c r="F80" s="98">
        <f>(($C50/31)*24)-E79</f>
        <v>357334.8328445747</v>
      </c>
      <c r="G80" s="98">
        <f>(($C50/31)*31)-F79</f>
        <v>401512.90909090906</v>
      </c>
    </row>
    <row r="81" spans="2:12" s="4" customFormat="1" ht="15" thickBot="1" x14ac:dyDescent="0.35">
      <c r="I81" s="163"/>
      <c r="J81" s="163"/>
      <c r="K81" s="163"/>
      <c r="L81" s="151"/>
    </row>
    <row r="82" spans="2:12" ht="15" thickTop="1" x14ac:dyDescent="0.3"/>
    <row r="83" spans="2:12" s="101" customFormat="1" ht="25.8" x14ac:dyDescent="0.5">
      <c r="B83" s="246" t="s">
        <v>70</v>
      </c>
      <c r="C83" s="246"/>
      <c r="D83" s="246"/>
      <c r="E83" s="246"/>
      <c r="F83" s="246"/>
      <c r="G83" s="246"/>
      <c r="H83"/>
      <c r="I83" s="157"/>
      <c r="J83" s="157"/>
      <c r="K83" s="161"/>
      <c r="L83" s="149"/>
    </row>
    <row r="84" spans="2:12" s="101" customFormat="1" ht="6.45" customHeight="1" x14ac:dyDescent="0.3">
      <c r="B84"/>
      <c r="C84"/>
      <c r="D84"/>
      <c r="E84"/>
      <c r="F84"/>
      <c r="G84"/>
      <c r="H84"/>
      <c r="I84" s="157"/>
      <c r="J84" s="157"/>
      <c r="K84" s="161"/>
      <c r="L84" s="149"/>
    </row>
    <row r="85" spans="2:12" s="101" customFormat="1" ht="16.2" x14ac:dyDescent="0.3">
      <c r="B85" s="172" t="s">
        <v>52</v>
      </c>
      <c r="C85" s="168">
        <v>10000000</v>
      </c>
      <c r="D85" s="22" t="s">
        <v>11</v>
      </c>
      <c r="E85"/>
      <c r="F85"/>
      <c r="G85"/>
      <c r="H85"/>
      <c r="I85" s="157"/>
      <c r="J85" s="157"/>
      <c r="K85" s="161"/>
      <c r="L85" s="149"/>
    </row>
    <row r="86" spans="2:12" s="101" customFormat="1" ht="16.2" x14ac:dyDescent="0.3">
      <c r="B86" s="172" t="s">
        <v>31</v>
      </c>
      <c r="C86" s="168">
        <f>(C85-'Apr(Act)'!C88)/11</f>
        <v>880753.27272727271</v>
      </c>
      <c r="D86" s="22" t="s">
        <v>11</v>
      </c>
      <c r="E86"/>
      <c r="H86"/>
      <c r="I86" s="157"/>
      <c r="J86" s="157"/>
      <c r="K86" s="161"/>
      <c r="L86" s="149"/>
    </row>
    <row r="87" spans="2:12" s="101" customFormat="1" ht="16.2" x14ac:dyDescent="0.3">
      <c r="B87" s="172" t="s">
        <v>1</v>
      </c>
      <c r="C87" s="171">
        <f>SUM(D114:G114)</f>
        <v>540137</v>
      </c>
      <c r="D87" s="22" t="s">
        <v>11</v>
      </c>
      <c r="E87" s="173"/>
      <c r="F87"/>
      <c r="G87"/>
      <c r="H87"/>
      <c r="I87" s="157"/>
      <c r="J87" s="157"/>
      <c r="K87" s="161"/>
      <c r="L87" s="149"/>
    </row>
    <row r="88" spans="2:12" s="101" customFormat="1" ht="16.2" x14ac:dyDescent="0.3">
      <c r="B88" s="172" t="s">
        <v>67</v>
      </c>
      <c r="C88" s="171">
        <f>'Apr(Act)'!C88+C87</f>
        <v>851851</v>
      </c>
      <c r="D88" s="22" t="s">
        <v>11</v>
      </c>
      <c r="E88" s="173"/>
      <c r="F88"/>
      <c r="G88"/>
      <c r="H88"/>
      <c r="I88" s="157"/>
      <c r="J88" s="157"/>
      <c r="K88" s="161"/>
      <c r="L88" s="149"/>
    </row>
    <row r="89" spans="2:12" s="101" customFormat="1" ht="16.2" x14ac:dyDescent="0.3">
      <c r="B89" s="172" t="s">
        <v>9</v>
      </c>
      <c r="C89" s="171">
        <f>C86-C87</f>
        <v>340616.27272727271</v>
      </c>
      <c r="D89" s="22" t="s">
        <v>11</v>
      </c>
      <c r="E89" s="67"/>
      <c r="F89"/>
      <c r="G89"/>
      <c r="H89"/>
      <c r="I89" s="157"/>
      <c r="J89" s="157"/>
      <c r="K89" s="161"/>
      <c r="L89" s="149"/>
    </row>
    <row r="90" spans="2:12" s="101" customFormat="1" ht="7.5" customHeight="1" x14ac:dyDescent="0.3">
      <c r="B90"/>
      <c r="C90"/>
      <c r="D90"/>
      <c r="E90"/>
      <c r="F90"/>
      <c r="G90"/>
      <c r="H90"/>
      <c r="I90" s="157"/>
      <c r="J90" s="157"/>
      <c r="K90" s="161"/>
      <c r="L90" s="149"/>
    </row>
    <row r="103" spans="4:8" x14ac:dyDescent="0.3">
      <c r="H103" s="57"/>
    </row>
    <row r="112" spans="4:8" x14ac:dyDescent="0.3">
      <c r="D112" s="67"/>
      <c r="E112" s="67"/>
      <c r="F112" s="67"/>
    </row>
    <row r="113" spans="2:13" ht="27.6" x14ac:dyDescent="0.3">
      <c r="B113" s="1"/>
      <c r="C113" s="1"/>
      <c r="D113" s="97" t="str">
        <f>D77</f>
        <v>WEEK 1
(May1-10)</v>
      </c>
      <c r="E113" s="97" t="str">
        <f>E77</f>
        <v>WEEK 2
(May11-17)</v>
      </c>
      <c r="F113" s="97" t="str">
        <f>F77</f>
        <v>WEEK 3
(May18-24)</v>
      </c>
      <c r="G113" s="97" t="str">
        <f>G77</f>
        <v>WEEK 4
(May25-31)</v>
      </c>
      <c r="H113" s="74"/>
      <c r="I113" s="162"/>
    </row>
    <row r="114" spans="2:13" ht="16.2" x14ac:dyDescent="0.3">
      <c r="B114" s="79" t="s">
        <v>43</v>
      </c>
      <c r="C114" s="9" t="s">
        <v>11</v>
      </c>
      <c r="D114" s="184">
        <v>192085</v>
      </c>
      <c r="E114" s="69">
        <v>122065</v>
      </c>
      <c r="F114" s="69">
        <v>91943</v>
      </c>
      <c r="G114" s="69">
        <v>134044</v>
      </c>
      <c r="H114" s="77"/>
      <c r="I114" s="164"/>
      <c r="J114" s="162"/>
    </row>
    <row r="115" spans="2:13" ht="16.2" x14ac:dyDescent="0.3">
      <c r="B115" s="79" t="s">
        <v>41</v>
      </c>
      <c r="C115" s="9" t="s">
        <v>11</v>
      </c>
      <c r="D115" s="184">
        <f>D78*0.47</f>
        <v>75323.14</v>
      </c>
      <c r="E115" s="184">
        <f>E78*0.47</f>
        <v>66849.039999999994</v>
      </c>
      <c r="F115" s="184">
        <f>F78*0.47</f>
        <v>69687.839999999997</v>
      </c>
      <c r="G115" s="184">
        <f>G78*0.47</f>
        <v>37111.199999999997</v>
      </c>
      <c r="H115" s="57"/>
    </row>
    <row r="116" spans="2:13" ht="16.2" x14ac:dyDescent="0.3">
      <c r="B116" s="79" t="s">
        <v>151</v>
      </c>
      <c r="C116" s="9" t="s">
        <v>11</v>
      </c>
      <c r="D116" s="184"/>
      <c r="E116" s="184"/>
      <c r="F116" s="184"/>
      <c r="G116" s="184"/>
      <c r="H116" s="57"/>
    </row>
    <row r="117" spans="2:13" ht="16.2" x14ac:dyDescent="0.3">
      <c r="B117" s="12" t="s">
        <v>12</v>
      </c>
      <c r="C117" s="9" t="s">
        <v>11</v>
      </c>
      <c r="D117" s="69">
        <v>5144</v>
      </c>
      <c r="E117" s="69"/>
      <c r="F117" s="69"/>
      <c r="G117" s="69">
        <v>30159</v>
      </c>
      <c r="H117" s="77"/>
      <c r="I117" s="164"/>
    </row>
    <row r="118" spans="2:13" x14ac:dyDescent="0.3">
      <c r="B118" s="12" t="s">
        <v>13</v>
      </c>
      <c r="C118" s="9" t="s">
        <v>10</v>
      </c>
      <c r="D118" s="69">
        <f t="shared" ref="D118:E118" si="1">SUM(D114:D117)</f>
        <v>272552.14</v>
      </c>
      <c r="E118" s="69">
        <f t="shared" si="1"/>
        <v>188914.03999999998</v>
      </c>
      <c r="F118" s="69">
        <f>SUM(F114:F117)</f>
        <v>161630.84</v>
      </c>
      <c r="G118" s="69">
        <f>SUM(G114:G117)</f>
        <v>201314.2</v>
      </c>
      <c r="H118" s="77"/>
    </row>
    <row r="119" spans="2:13" x14ac:dyDescent="0.3">
      <c r="B119" s="13" t="s">
        <v>5</v>
      </c>
      <c r="C119" s="9" t="s">
        <v>10</v>
      </c>
      <c r="D119" s="185">
        <f>D114</f>
        <v>192085</v>
      </c>
      <c r="E119" s="185">
        <f>D119+E114</f>
        <v>314150</v>
      </c>
      <c r="F119" s="185">
        <f t="shared" ref="F119:G119" si="2">E119+F114</f>
        <v>406093</v>
      </c>
      <c r="G119" s="185">
        <f t="shared" si="2"/>
        <v>540137</v>
      </c>
    </row>
    <row r="120" spans="2:13" ht="28.8" x14ac:dyDescent="0.3">
      <c r="B120" s="187" t="s">
        <v>130</v>
      </c>
      <c r="C120" s="9" t="s">
        <v>10</v>
      </c>
      <c r="D120" s="188">
        <f>D36*101*0.7842</f>
        <v>204250.998918</v>
      </c>
      <c r="E120" s="188">
        <f>E36*101*0.7842</f>
        <v>144304.50810599999</v>
      </c>
      <c r="F120" s="188">
        <f>F36*101*0.7842</f>
        <v>126935.027046</v>
      </c>
      <c r="G120" s="188">
        <f>G36*101*0.7842</f>
        <v>125247.97758599999</v>
      </c>
    </row>
    <row r="121" spans="2:13" x14ac:dyDescent="0.3">
      <c r="B121" s="12" t="s">
        <v>53</v>
      </c>
      <c r="C121" s="9" t="s">
        <v>10</v>
      </c>
      <c r="D121" s="185">
        <f>(($C$86/31)*10)</f>
        <v>284113.9589442815</v>
      </c>
      <c r="E121" s="185">
        <f>(($C$86/31)*17)-D119</f>
        <v>290908.73020527855</v>
      </c>
      <c r="F121" s="185">
        <f>(($C$86/31)*24)-E119</f>
        <v>367723.50146627566</v>
      </c>
      <c r="G121" s="185">
        <f>(($C$86/31)*31)-F119</f>
        <v>474660.27272727271</v>
      </c>
      <c r="H121" s="61"/>
    </row>
    <row r="122" spans="2:13" s="4" customFormat="1" ht="15" thickBot="1" x14ac:dyDescent="0.35">
      <c r="I122" s="163"/>
      <c r="J122" s="163"/>
      <c r="K122" s="163"/>
      <c r="L122" s="151"/>
    </row>
    <row r="123" spans="2:13" ht="15" thickTop="1" x14ac:dyDescent="0.3"/>
    <row r="124" spans="2:13" ht="25.8" x14ac:dyDescent="0.5">
      <c r="B124" s="246" t="s">
        <v>71</v>
      </c>
      <c r="C124" s="246"/>
      <c r="D124" s="246"/>
      <c r="E124" s="246"/>
      <c r="F124" s="246"/>
      <c r="G124" s="246"/>
    </row>
    <row r="125" spans="2:13" ht="4.05" customHeight="1" x14ac:dyDescent="0.3">
      <c r="B125" s="20"/>
      <c r="C125" s="20"/>
      <c r="D125" s="20"/>
      <c r="E125" s="20"/>
      <c r="F125" s="20"/>
      <c r="G125" s="20"/>
    </row>
    <row r="126" spans="2:13" ht="14.55" customHeight="1" x14ac:dyDescent="0.3">
      <c r="B126" s="244" t="s">
        <v>20</v>
      </c>
      <c r="C126" s="244"/>
      <c r="D126" s="244"/>
      <c r="E126" s="244"/>
      <c r="F126" s="244"/>
      <c r="G126" s="244"/>
    </row>
    <row r="127" spans="2:13" x14ac:dyDescent="0.3">
      <c r="D127" s="19">
        <v>101</v>
      </c>
      <c r="E127" s="19" t="s">
        <v>18</v>
      </c>
    </row>
    <row r="128" spans="2:13" ht="27.6" x14ac:dyDescent="0.3">
      <c r="D128" s="176" t="str">
        <f>D77</f>
        <v>WEEK 1
(May1-10)</v>
      </c>
      <c r="E128" s="176" t="str">
        <f>E77</f>
        <v>WEEK 2
(May11-17)</v>
      </c>
      <c r="F128" s="176" t="str">
        <f>F77</f>
        <v>WEEK 3
(May18-24)</v>
      </c>
      <c r="G128" s="176" t="str">
        <f>G77</f>
        <v>WEEK 4
(May25-31)</v>
      </c>
      <c r="H128" s="182" t="s">
        <v>37</v>
      </c>
      <c r="I128" s="74"/>
      <c r="L128" s="157"/>
      <c r="M128" s="126"/>
    </row>
    <row r="129" spans="2:13" hidden="1" x14ac:dyDescent="0.3">
      <c r="D129" s="10"/>
      <c r="E129" s="179"/>
      <c r="F129" s="10"/>
      <c r="G129" s="10"/>
      <c r="H129" s="107"/>
      <c r="I129" s="74"/>
      <c r="L129" s="157"/>
      <c r="M129" s="126"/>
    </row>
    <row r="130" spans="2:13" x14ac:dyDescent="0.3">
      <c r="B130" s="172" t="s">
        <v>15</v>
      </c>
      <c r="C130" s="22" t="s">
        <v>10</v>
      </c>
      <c r="D130" s="23">
        <f>D36</f>
        <v>2578.79</v>
      </c>
      <c r="E130" s="23">
        <f>E36</f>
        <v>1821.93</v>
      </c>
      <c r="F130" s="23">
        <f>F36</f>
        <v>1602.63</v>
      </c>
      <c r="G130" s="23">
        <f>G36</f>
        <v>1581.33</v>
      </c>
      <c r="H130" s="109">
        <f>SUM(D130:G130)</f>
        <v>7584.68</v>
      </c>
      <c r="I130" s="78"/>
      <c r="L130" s="157"/>
      <c r="M130" s="126"/>
    </row>
    <row r="131" spans="2:13" x14ac:dyDescent="0.3">
      <c r="B131" s="172" t="s">
        <v>17</v>
      </c>
      <c r="C131" s="22" t="s">
        <v>10</v>
      </c>
      <c r="D131" s="23">
        <f t="shared" ref="D131:H131" si="3">D134*D130</f>
        <v>260457.79</v>
      </c>
      <c r="E131" s="23">
        <f t="shared" si="3"/>
        <v>184014.93</v>
      </c>
      <c r="F131" s="23">
        <f t="shared" si="3"/>
        <v>161865.63</v>
      </c>
      <c r="G131" s="23">
        <f t="shared" si="3"/>
        <v>159714.32999999999</v>
      </c>
      <c r="H131" s="110">
        <f t="shared" si="3"/>
        <v>766052.68</v>
      </c>
      <c r="I131" s="63"/>
      <c r="L131" s="157"/>
      <c r="M131" s="126"/>
    </row>
    <row r="132" spans="2:13" x14ac:dyDescent="0.3">
      <c r="B132" s="172" t="s">
        <v>16</v>
      </c>
      <c r="C132" s="22" t="s">
        <v>10</v>
      </c>
      <c r="D132" s="23">
        <f t="shared" ref="D132:E132" si="4">D118</f>
        <v>272552.14</v>
      </c>
      <c r="E132" s="23">
        <f t="shared" si="4"/>
        <v>188914.03999999998</v>
      </c>
      <c r="F132" s="23">
        <f>F118</f>
        <v>161630.84</v>
      </c>
      <c r="G132" s="23">
        <f>G118</f>
        <v>201314.2</v>
      </c>
      <c r="H132" s="109">
        <f>SUM(D132:G132)</f>
        <v>824411.22</v>
      </c>
      <c r="I132" s="62"/>
      <c r="J132" s="159"/>
      <c r="L132" s="157"/>
      <c r="M132" s="126"/>
    </row>
    <row r="133" spans="2:13" x14ac:dyDescent="0.3">
      <c r="B133" s="172" t="s">
        <v>22</v>
      </c>
      <c r="C133" s="22" t="s">
        <v>19</v>
      </c>
      <c r="D133" s="23">
        <f>IFERROR(D132/D130,"")</f>
        <v>105.68993209993835</v>
      </c>
      <c r="E133" s="23">
        <f>IFERROR(E132/E130,"")</f>
        <v>103.68896719412929</v>
      </c>
      <c r="F133" s="23">
        <f>IFERROR(F132/F130,"")</f>
        <v>100.85349706420071</v>
      </c>
      <c r="G133" s="23">
        <f>IFERROR(G132/G130,"")</f>
        <v>127.30688724048746</v>
      </c>
      <c r="H133" s="110">
        <f>H132/H130</f>
        <v>108.69426528212132</v>
      </c>
      <c r="I133" s="63"/>
      <c r="L133" s="157"/>
      <c r="M133" s="126"/>
    </row>
    <row r="134" spans="2:13" x14ac:dyDescent="0.3">
      <c r="B134" s="172" t="s">
        <v>23</v>
      </c>
      <c r="C134" s="22" t="s">
        <v>19</v>
      </c>
      <c r="D134" s="23">
        <v>101</v>
      </c>
      <c r="E134" s="23">
        <v>101</v>
      </c>
      <c r="F134" s="23">
        <v>101</v>
      </c>
      <c r="G134" s="23">
        <v>101</v>
      </c>
      <c r="H134" s="116">
        <v>101</v>
      </c>
      <c r="I134" s="78"/>
      <c r="J134" s="162"/>
      <c r="L134" s="157"/>
      <c r="M134" s="126"/>
    </row>
    <row r="135" spans="2:13" x14ac:dyDescent="0.3">
      <c r="B135" s="21"/>
      <c r="C135" s="22"/>
      <c r="D135" s="23"/>
      <c r="E135" s="23"/>
      <c r="F135" s="23"/>
      <c r="G135" s="23"/>
    </row>
    <row r="136" spans="2:13" x14ac:dyDescent="0.3">
      <c r="B136" s="21"/>
      <c r="C136" s="22"/>
      <c r="D136" s="23"/>
      <c r="E136" s="23"/>
      <c r="F136" s="23"/>
      <c r="G136" s="23"/>
    </row>
    <row r="137" spans="2:13" x14ac:dyDescent="0.3">
      <c r="B137" s="21"/>
      <c r="C137" s="22"/>
      <c r="D137" s="23"/>
      <c r="E137" s="23"/>
      <c r="F137" s="23"/>
      <c r="G137" s="23"/>
    </row>
    <row r="138" spans="2:13" x14ac:dyDescent="0.3">
      <c r="B138" s="21"/>
      <c r="C138" s="22"/>
      <c r="D138" s="23"/>
      <c r="E138" s="23"/>
      <c r="F138" s="23"/>
      <c r="G138" s="23"/>
    </row>
    <row r="139" spans="2:13" x14ac:dyDescent="0.3">
      <c r="B139" s="21"/>
      <c r="C139" s="22"/>
      <c r="D139" s="23"/>
      <c r="E139" s="23"/>
      <c r="F139" s="23"/>
      <c r="G139" s="23"/>
    </row>
    <row r="140" spans="2:13" x14ac:dyDescent="0.3">
      <c r="B140" s="21"/>
      <c r="C140" s="22"/>
      <c r="D140" s="23"/>
      <c r="E140" s="23"/>
      <c r="F140" s="23"/>
      <c r="G140" s="23"/>
    </row>
    <row r="141" spans="2:13" x14ac:dyDescent="0.3">
      <c r="B141" s="21"/>
      <c r="C141" s="22"/>
      <c r="D141" s="23"/>
      <c r="E141" s="23"/>
      <c r="F141" s="23"/>
      <c r="G141" s="23"/>
    </row>
    <row r="142" spans="2:13" x14ac:dyDescent="0.3">
      <c r="B142" s="21"/>
      <c r="C142" s="22"/>
      <c r="D142" s="23"/>
      <c r="E142" s="23"/>
      <c r="F142" s="23"/>
      <c r="G142" s="23"/>
    </row>
    <row r="143" spans="2:13" x14ac:dyDescent="0.3">
      <c r="B143" s="21"/>
      <c r="C143" s="22"/>
      <c r="D143" s="23"/>
      <c r="E143" s="23"/>
      <c r="F143" s="23"/>
      <c r="G143" s="23"/>
    </row>
    <row r="144" spans="2:13" x14ac:dyDescent="0.3">
      <c r="B144" s="21"/>
      <c r="C144" s="22"/>
      <c r="D144" s="23"/>
      <c r="E144" s="23"/>
      <c r="F144" s="23"/>
      <c r="G144" s="23"/>
      <c r="I144" s="183"/>
    </row>
    <row r="145" spans="2:13" x14ac:dyDescent="0.3">
      <c r="B145" s="21"/>
      <c r="C145" s="22"/>
      <c r="D145" s="23"/>
      <c r="E145" s="23"/>
      <c r="F145" s="23"/>
      <c r="G145" s="23"/>
    </row>
    <row r="146" spans="2:13" s="101" customFormat="1" x14ac:dyDescent="0.3">
      <c r="B146" s="21"/>
      <c r="C146" s="22"/>
      <c r="D146" s="23"/>
      <c r="E146" s="23"/>
      <c r="F146" s="23"/>
      <c r="G146" s="23"/>
      <c r="H146"/>
      <c r="I146" s="157"/>
      <c r="J146" s="157"/>
      <c r="K146" s="157"/>
      <c r="L146" s="126"/>
      <c r="M146"/>
    </row>
    <row r="147" spans="2:13" s="101" customFormat="1" x14ac:dyDescent="0.3">
      <c r="B147" s="21"/>
      <c r="C147" s="22"/>
      <c r="D147" s="23"/>
      <c r="E147" s="23"/>
      <c r="F147" s="23"/>
      <c r="G147" s="23"/>
      <c r="H147"/>
      <c r="I147" s="157"/>
      <c r="J147" s="157"/>
      <c r="K147" s="157"/>
      <c r="L147" s="126"/>
      <c r="M147"/>
    </row>
    <row r="148" spans="2:13" s="101" customFormat="1" x14ac:dyDescent="0.3">
      <c r="B148" s="21"/>
      <c r="C148" s="22"/>
      <c r="D148" s="23"/>
      <c r="E148" s="23"/>
      <c r="F148" s="23"/>
      <c r="G148" s="23"/>
      <c r="H148"/>
      <c r="I148" s="157"/>
      <c r="J148" s="157"/>
      <c r="K148" s="157"/>
      <c r="L148" s="126"/>
      <c r="M148"/>
    </row>
    <row r="149" spans="2:13" s="101" customFormat="1" x14ac:dyDescent="0.3">
      <c r="B149" s="21"/>
      <c r="C149" s="22"/>
      <c r="D149" s="23"/>
      <c r="E149" s="23"/>
      <c r="F149" s="23"/>
      <c r="G149" s="23"/>
      <c r="H149"/>
      <c r="I149" s="157"/>
      <c r="J149" s="157"/>
      <c r="K149" s="157"/>
      <c r="L149" s="126"/>
      <c r="M149"/>
    </row>
    <row r="150" spans="2:13" s="101" customFormat="1" x14ac:dyDescent="0.3">
      <c r="B150" s="21"/>
      <c r="C150" s="22"/>
      <c r="D150" s="23"/>
      <c r="E150" s="23"/>
      <c r="F150" s="23"/>
      <c r="G150" s="23"/>
      <c r="H150"/>
      <c r="I150" s="157"/>
      <c r="J150" s="157"/>
      <c r="K150" s="157"/>
      <c r="L150" s="126"/>
      <c r="M150"/>
    </row>
    <row r="151" spans="2:13" s="101" customFormat="1" x14ac:dyDescent="0.3">
      <c r="B151" s="21"/>
      <c r="C151" s="22"/>
      <c r="D151" s="23"/>
      <c r="E151" s="23"/>
      <c r="F151" s="23"/>
      <c r="G151" s="23"/>
      <c r="H151"/>
      <c r="I151" s="157"/>
      <c r="J151" s="157"/>
      <c r="K151" s="157"/>
      <c r="L151" s="126"/>
      <c r="M151"/>
    </row>
    <row r="152" spans="2:13" s="101" customFormat="1" x14ac:dyDescent="0.3">
      <c r="B152" s="21"/>
      <c r="C152" s="22"/>
      <c r="D152" s="23"/>
      <c r="E152" s="23"/>
      <c r="F152" s="23"/>
      <c r="G152" s="23"/>
      <c r="H152"/>
      <c r="I152" s="157"/>
      <c r="J152" s="157"/>
      <c r="K152" s="157"/>
      <c r="L152" s="126"/>
      <c r="M152"/>
    </row>
    <row r="153" spans="2:13" s="101" customFormat="1" x14ac:dyDescent="0.3">
      <c r="B153" s="21"/>
      <c r="C153" s="22"/>
      <c r="D153" s="23"/>
      <c r="E153" s="23"/>
      <c r="F153" s="23"/>
      <c r="G153" s="23"/>
      <c r="H153"/>
      <c r="I153" s="157"/>
      <c r="J153" s="157"/>
      <c r="K153" s="157"/>
      <c r="L153" s="126"/>
      <c r="M153"/>
    </row>
    <row r="154" spans="2:13" s="101" customFormat="1" x14ac:dyDescent="0.3">
      <c r="B154" s="21"/>
      <c r="C154" s="22"/>
      <c r="D154" s="23"/>
      <c r="E154" s="23"/>
      <c r="F154" s="23"/>
      <c r="G154" s="23"/>
      <c r="H154"/>
      <c r="I154" s="157"/>
      <c r="J154" s="157"/>
      <c r="K154" s="157"/>
      <c r="L154" s="126"/>
      <c r="M154"/>
    </row>
    <row r="155" spans="2:13" s="101" customFormat="1" x14ac:dyDescent="0.3">
      <c r="B155" s="21"/>
      <c r="C155" s="22"/>
      <c r="D155" s="23"/>
      <c r="E155" s="23"/>
      <c r="F155" s="23"/>
      <c r="G155" s="23"/>
      <c r="H155"/>
      <c r="I155" s="157"/>
      <c r="J155" s="157"/>
      <c r="K155" s="157"/>
      <c r="L155" s="126"/>
      <c r="M155"/>
    </row>
    <row r="156" spans="2:13" s="101" customFormat="1" x14ac:dyDescent="0.3">
      <c r="B156" s="21"/>
      <c r="C156" s="22"/>
      <c r="D156" s="23"/>
      <c r="E156" s="23"/>
      <c r="F156" s="23"/>
      <c r="G156" s="23"/>
      <c r="H156"/>
      <c r="I156" s="157"/>
      <c r="J156" s="157"/>
      <c r="K156" s="157"/>
      <c r="L156" s="126"/>
      <c r="M156"/>
    </row>
    <row r="157" spans="2:13" s="101" customFormat="1" x14ac:dyDescent="0.3">
      <c r="B157" s="21"/>
      <c r="C157" s="22"/>
      <c r="D157" s="23"/>
      <c r="E157" s="23"/>
      <c r="F157" s="23"/>
      <c r="G157" s="23"/>
      <c r="H157"/>
      <c r="I157" s="157"/>
      <c r="J157" s="157"/>
      <c r="K157" s="157"/>
      <c r="L157" s="126"/>
      <c r="M157"/>
    </row>
    <row r="158" spans="2:13" s="101" customFormat="1" x14ac:dyDescent="0.3">
      <c r="B158" s="21"/>
      <c r="C158" s="22"/>
      <c r="D158" s="23"/>
      <c r="E158" s="23"/>
      <c r="F158" s="23"/>
      <c r="G158" s="23"/>
      <c r="H158"/>
      <c r="I158" s="157"/>
      <c r="J158" s="157"/>
      <c r="K158" s="157"/>
      <c r="L158" s="126"/>
      <c r="M158"/>
    </row>
    <row r="159" spans="2:13" s="101" customFormat="1" x14ac:dyDescent="0.3">
      <c r="B159" s="21"/>
      <c r="C159" s="22"/>
      <c r="D159" s="23"/>
      <c r="E159" s="23"/>
      <c r="F159" s="23"/>
      <c r="G159" s="23"/>
      <c r="H159"/>
      <c r="I159" s="157"/>
      <c r="J159" s="157"/>
      <c r="K159" s="157"/>
      <c r="L159" s="126"/>
      <c r="M159"/>
    </row>
    <row r="160" spans="2:13" s="101" customFormat="1" x14ac:dyDescent="0.3">
      <c r="B160" s="21"/>
      <c r="C160" s="22"/>
      <c r="D160" s="23"/>
      <c r="E160" s="23"/>
      <c r="F160" s="23"/>
      <c r="G160" s="23"/>
      <c r="H160"/>
      <c r="I160" s="157"/>
      <c r="J160" s="157"/>
      <c r="K160" s="157"/>
      <c r="L160" s="126"/>
      <c r="M160"/>
    </row>
    <row r="161" spans="2:13" s="101" customFormat="1" x14ac:dyDescent="0.3">
      <c r="B161" s="21"/>
      <c r="C161" s="22"/>
      <c r="D161" s="23"/>
      <c r="E161" s="23"/>
      <c r="F161" s="23"/>
      <c r="G161" s="23"/>
      <c r="H161"/>
      <c r="I161" s="157"/>
      <c r="J161" s="157"/>
      <c r="K161" s="157"/>
      <c r="L161" s="126"/>
      <c r="M161"/>
    </row>
    <row r="162" spans="2:13" x14ac:dyDescent="0.3">
      <c r="B162" s="21"/>
      <c r="C162" s="22"/>
      <c r="D162" s="23"/>
      <c r="E162" s="23"/>
      <c r="F162" s="23"/>
      <c r="G162" s="23"/>
    </row>
    <row r="163" spans="2:13" x14ac:dyDescent="0.3">
      <c r="B163" s="21"/>
      <c r="C163" s="22"/>
      <c r="D163" s="23"/>
      <c r="E163" s="23"/>
      <c r="F163" s="23"/>
      <c r="G163" s="23"/>
    </row>
    <row r="164" spans="2:13" x14ac:dyDescent="0.3">
      <c r="B164" s="21"/>
      <c r="C164" s="22"/>
      <c r="D164" s="23"/>
      <c r="E164" s="23"/>
      <c r="F164" s="23"/>
      <c r="G164" s="23"/>
    </row>
    <row r="165" spans="2:13" x14ac:dyDescent="0.3">
      <c r="H165" s="57"/>
    </row>
    <row r="170" spans="2:13" ht="15.6" x14ac:dyDescent="0.3">
      <c r="B170" s="245" t="s">
        <v>21</v>
      </c>
      <c r="C170" s="245"/>
      <c r="D170" s="245"/>
      <c r="E170" s="245"/>
      <c r="F170" s="245"/>
      <c r="G170" s="245"/>
    </row>
    <row r="171" spans="2:13" ht="27.6" x14ac:dyDescent="0.3">
      <c r="D171" s="176" t="str">
        <f>D128</f>
        <v>WEEK 1
(May1-10)</v>
      </c>
      <c r="E171" s="176" t="str">
        <f>E128</f>
        <v>WEEK 2
(May11-17)</v>
      </c>
      <c r="F171" s="176" t="str">
        <f>F128</f>
        <v>WEEK 3
(May18-24)</v>
      </c>
      <c r="G171" s="176" t="str">
        <f>G128</f>
        <v>WEEK 4
(May25-31)</v>
      </c>
      <c r="H171" s="111" t="s">
        <v>37</v>
      </c>
      <c r="I171" s="64"/>
      <c r="L171" s="157"/>
      <c r="M171" s="126"/>
    </row>
    <row r="172" spans="2:13" x14ac:dyDescent="0.3">
      <c r="B172" s="64" t="s">
        <v>15</v>
      </c>
      <c r="C172" s="22" t="s">
        <v>10</v>
      </c>
      <c r="D172" s="23">
        <f>D130*(D175/14)</f>
        <v>2501.9788978571428</v>
      </c>
      <c r="E172" s="23">
        <f>E130*(E175/14)</f>
        <v>1807.35456</v>
      </c>
      <c r="F172" s="23">
        <f>F130*(F175/14)</f>
        <v>1579.3918650000003</v>
      </c>
      <c r="G172" s="23">
        <f>G130*(G175/14)</f>
        <v>1577.489627142857</v>
      </c>
      <c r="H172" s="108">
        <f>SUM(D172:G172)</f>
        <v>7466.2149500000005</v>
      </c>
      <c r="I172" s="61"/>
      <c r="J172" s="165"/>
      <c r="L172" s="157"/>
      <c r="M172" s="126"/>
    </row>
    <row r="173" spans="2:13" x14ac:dyDescent="0.3">
      <c r="B173" s="64" t="s">
        <v>17</v>
      </c>
      <c r="C173" s="22" t="s">
        <v>10</v>
      </c>
      <c r="D173" s="23">
        <f>D172*$D$127</f>
        <v>252699.86868357143</v>
      </c>
      <c r="E173" s="23">
        <f>E172*$D$127</f>
        <v>182542.81056000001</v>
      </c>
      <c r="F173" s="23">
        <f>F172*$D$127</f>
        <v>159518.57836500002</v>
      </c>
      <c r="G173" s="23">
        <f>G172*$D$127</f>
        <v>159326.45234142855</v>
      </c>
      <c r="H173" s="110">
        <f>H172*105</f>
        <v>783952.56975000002</v>
      </c>
      <c r="I173" s="63"/>
      <c r="L173" s="157"/>
      <c r="M173" s="126"/>
    </row>
    <row r="174" spans="2:13" x14ac:dyDescent="0.3">
      <c r="B174" s="64" t="s">
        <v>16</v>
      </c>
      <c r="C174" s="22" t="s">
        <v>10</v>
      </c>
      <c r="D174" s="23">
        <f>D132</f>
        <v>272552.14</v>
      </c>
      <c r="E174" s="23">
        <f>E132</f>
        <v>188914.03999999998</v>
      </c>
      <c r="F174" s="23">
        <f>F132</f>
        <v>161630.84</v>
      </c>
      <c r="G174" s="23">
        <f>G132</f>
        <v>201314.2</v>
      </c>
      <c r="H174" s="112">
        <f>SUM(D174:G174)</f>
        <v>824411.22</v>
      </c>
      <c r="I174" s="63"/>
      <c r="J174" s="159"/>
      <c r="L174" s="157"/>
      <c r="M174" s="126"/>
    </row>
    <row r="175" spans="2:13" x14ac:dyDescent="0.3">
      <c r="B175" s="64" t="s">
        <v>39</v>
      </c>
      <c r="C175" s="22"/>
      <c r="D175" s="186">
        <v>13.583</v>
      </c>
      <c r="E175" s="186">
        <v>13.888</v>
      </c>
      <c r="F175" s="186">
        <v>13.797000000000001</v>
      </c>
      <c r="G175" s="186">
        <v>13.965999999999999</v>
      </c>
      <c r="H175" s="113">
        <f>AVERAGE(D175:G175)</f>
        <v>13.8085</v>
      </c>
      <c r="I175" s="87"/>
      <c r="L175" s="157"/>
      <c r="M175" s="126"/>
    </row>
    <row r="176" spans="2:13" x14ac:dyDescent="0.3">
      <c r="B176" s="21" t="s">
        <v>22</v>
      </c>
      <c r="C176" s="22" t="s">
        <v>19</v>
      </c>
      <c r="D176" s="23">
        <f t="shared" ref="D176:G176" si="5">IFERROR(D174/D172,"")</f>
        <v>108.93462779939166</v>
      </c>
      <c r="E176" s="23">
        <f t="shared" si="5"/>
        <v>104.52516854246905</v>
      </c>
      <c r="F176" s="23">
        <f t="shared" si="5"/>
        <v>102.33738920771253</v>
      </c>
      <c r="G176" s="23">
        <f t="shared" si="5"/>
        <v>127.61681378825894</v>
      </c>
      <c r="H176" s="112">
        <f>H174/H172</f>
        <v>110.41889706108715</v>
      </c>
      <c r="I176" s="65"/>
      <c r="L176" s="157"/>
      <c r="M176" s="126"/>
    </row>
    <row r="177" spans="2:13" x14ac:dyDescent="0.3">
      <c r="B177" s="21" t="s">
        <v>23</v>
      </c>
      <c r="C177" s="22" t="s">
        <v>19</v>
      </c>
      <c r="D177" s="23">
        <v>101</v>
      </c>
      <c r="E177" s="23">
        <v>101</v>
      </c>
      <c r="F177" s="23">
        <v>101</v>
      </c>
      <c r="G177" s="23">
        <v>101</v>
      </c>
      <c r="H177" s="114">
        <v>101</v>
      </c>
      <c r="I177" s="65"/>
      <c r="L177" s="157"/>
      <c r="M177" s="126"/>
    </row>
    <row r="178" spans="2:13" x14ac:dyDescent="0.3">
      <c r="D178" s="24" t="s">
        <v>40</v>
      </c>
    </row>
    <row r="215" spans="2:12" s="4" customFormat="1" ht="15" thickBot="1" x14ac:dyDescent="0.35">
      <c r="I215" s="163"/>
      <c r="J215" s="163"/>
      <c r="K215" s="163"/>
      <c r="L215" s="151"/>
    </row>
    <row r="216" spans="2:12" ht="15" thickTop="1" x14ac:dyDescent="0.3"/>
    <row r="221" spans="2:12" ht="25.8" hidden="1" x14ac:dyDescent="0.5">
      <c r="B221" s="246" t="s">
        <v>24</v>
      </c>
      <c r="C221" s="246"/>
      <c r="D221" s="246"/>
      <c r="E221" s="246"/>
      <c r="F221" s="246"/>
      <c r="G221" s="246"/>
    </row>
    <row r="222" spans="2:12" hidden="1" x14ac:dyDescent="0.3"/>
    <row r="223" spans="2:12" ht="22.8" hidden="1" thickBot="1" x14ac:dyDescent="0.5">
      <c r="B223" s="28" t="s">
        <v>25</v>
      </c>
      <c r="C223" s="29" t="s">
        <v>26</v>
      </c>
      <c r="D223" s="29" t="s">
        <v>27</v>
      </c>
      <c r="E223" s="180" t="s">
        <v>28</v>
      </c>
    </row>
    <row r="224" spans="2:12" ht="23.4" hidden="1" x14ac:dyDescent="0.45">
      <c r="B224" s="31"/>
      <c r="C224" s="26"/>
      <c r="D224" s="26"/>
      <c r="E224" s="32"/>
    </row>
    <row r="225" spans="2:5" ht="22.2" hidden="1" x14ac:dyDescent="0.45">
      <c r="B225" s="33">
        <v>44743</v>
      </c>
      <c r="C225" s="89">
        <v>1056523.5</v>
      </c>
      <c r="D225" s="90">
        <v>1501785</v>
      </c>
      <c r="E225" s="181">
        <f>C225+D225</f>
        <v>2558308.5</v>
      </c>
    </row>
    <row r="226" spans="2:5" ht="22.2" hidden="1" x14ac:dyDescent="0.45">
      <c r="B226" s="33">
        <v>44774</v>
      </c>
      <c r="C226" s="92">
        <v>1649443.5</v>
      </c>
      <c r="D226" s="92">
        <v>863715</v>
      </c>
      <c r="E226" s="181">
        <f t="shared" ref="E226:E236" si="6">C226+D226</f>
        <v>2513158.5</v>
      </c>
    </row>
    <row r="227" spans="2:5" ht="22.2" hidden="1" x14ac:dyDescent="0.45">
      <c r="B227" s="33">
        <v>44805</v>
      </c>
      <c r="C227" s="92">
        <v>1346098.5</v>
      </c>
      <c r="D227" s="92">
        <v>1119105</v>
      </c>
      <c r="E227" s="181">
        <f t="shared" si="6"/>
        <v>2465203.5</v>
      </c>
    </row>
    <row r="228" spans="2:5" ht="22.2" hidden="1" x14ac:dyDescent="0.45">
      <c r="B228" s="33">
        <v>44835</v>
      </c>
      <c r="C228" s="92">
        <v>2573653.5</v>
      </c>
      <c r="D228" s="92">
        <v>0</v>
      </c>
      <c r="E228" s="181">
        <f t="shared" si="6"/>
        <v>2573653.5</v>
      </c>
    </row>
    <row r="229" spans="2:5" ht="22.2" hidden="1" x14ac:dyDescent="0.45">
      <c r="B229" s="33">
        <v>44866</v>
      </c>
      <c r="C229" s="92">
        <v>2239123.5</v>
      </c>
      <c r="D229" s="92">
        <v>0</v>
      </c>
      <c r="E229" s="181">
        <f t="shared" si="6"/>
        <v>2239123.5</v>
      </c>
    </row>
    <row r="230" spans="2:5" ht="22.2" hidden="1" x14ac:dyDescent="0.45">
      <c r="B230" s="33">
        <v>44896</v>
      </c>
      <c r="C230" s="92">
        <v>3815869.5</v>
      </c>
      <c r="D230" s="92">
        <v>0</v>
      </c>
      <c r="E230" s="181">
        <f t="shared" si="6"/>
        <v>3815869.5</v>
      </c>
    </row>
    <row r="231" spans="2:5" ht="22.2" hidden="1" x14ac:dyDescent="0.45">
      <c r="B231" s="33">
        <v>44927</v>
      </c>
      <c r="C231" s="92">
        <v>3876876</v>
      </c>
      <c r="D231" s="92">
        <v>0</v>
      </c>
      <c r="E231" s="181">
        <f t="shared" si="6"/>
        <v>3876876</v>
      </c>
    </row>
    <row r="232" spans="2:5" ht="22.2" hidden="1" x14ac:dyDescent="0.45">
      <c r="B232" s="33">
        <v>44958</v>
      </c>
      <c r="C232" s="92">
        <v>2565432</v>
      </c>
      <c r="D232" s="92">
        <v>427935</v>
      </c>
      <c r="E232" s="181">
        <f t="shared" si="6"/>
        <v>2993367</v>
      </c>
    </row>
    <row r="233" spans="2:5" ht="22.2" hidden="1" x14ac:dyDescent="0.45">
      <c r="B233" s="33">
        <v>44986</v>
      </c>
      <c r="C233" s="92">
        <v>2163847.5</v>
      </c>
      <c r="D233" s="92">
        <v>0</v>
      </c>
      <c r="E233" s="181">
        <f t="shared" si="6"/>
        <v>2163847.5</v>
      </c>
    </row>
    <row r="234" spans="2:5" ht="22.2" hidden="1" x14ac:dyDescent="0.45">
      <c r="B234" s="33">
        <v>45017</v>
      </c>
      <c r="C234" s="92">
        <v>1103476.5</v>
      </c>
      <c r="D234" s="92">
        <v>0</v>
      </c>
      <c r="E234" s="181">
        <f t="shared" si="6"/>
        <v>1103476.5</v>
      </c>
    </row>
    <row r="235" spans="2:5" ht="22.2" hidden="1" x14ac:dyDescent="0.45">
      <c r="B235" s="33">
        <v>45047</v>
      </c>
      <c r="C235" s="92">
        <v>1210167</v>
      </c>
      <c r="D235" s="92">
        <v>0</v>
      </c>
      <c r="E235" s="181">
        <f t="shared" si="6"/>
        <v>1210167</v>
      </c>
    </row>
    <row r="236" spans="2:5" ht="22.2" hidden="1" x14ac:dyDescent="0.45">
      <c r="B236" s="33">
        <v>45078</v>
      </c>
      <c r="C236" s="92">
        <v>2359260</v>
      </c>
      <c r="D236" s="92">
        <v>0</v>
      </c>
      <c r="E236" s="181">
        <f t="shared" si="6"/>
        <v>2359260</v>
      </c>
    </row>
    <row r="237" spans="2:5" ht="22.8" hidden="1" thickBot="1" x14ac:dyDescent="0.5">
      <c r="B237" s="34"/>
      <c r="C237" s="27"/>
      <c r="D237" s="27"/>
      <c r="E237" s="35"/>
    </row>
    <row r="238" spans="2:5" ht="23.4" hidden="1" thickTop="1" thickBot="1" x14ac:dyDescent="0.5">
      <c r="B238" s="36"/>
      <c r="C238" s="37">
        <f>SUM(C225:C236)</f>
        <v>25959771</v>
      </c>
      <c r="D238" s="37">
        <f>SUM(D225:D236)</f>
        <v>3912540</v>
      </c>
      <c r="E238" s="38">
        <f>SUM(E225:E236)</f>
        <v>29872311</v>
      </c>
    </row>
    <row r="239" spans="2:5" hidden="1" x14ac:dyDescent="0.3"/>
    <row r="240" spans="2:5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</sheetData>
  <dataConsolidate/>
  <mergeCells count="7">
    <mergeCell ref="B221:G221"/>
    <mergeCell ref="B2:G2"/>
    <mergeCell ref="B47:G47"/>
    <mergeCell ref="B83:G83"/>
    <mergeCell ref="B124:G124"/>
    <mergeCell ref="B126:G126"/>
    <mergeCell ref="B170:G170"/>
  </mergeCells>
  <conditionalFormatting sqref="C4:D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{D6DD21DF-123E-48E8-A5E5-60A3F0947889}</x14:id>
        </ext>
      </extLst>
    </cfRule>
  </conditionalFormatting>
  <conditionalFormatting sqref="C49:D53 E6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{46FB7BFC-7517-4908-BB1B-D29759887116}</x14:id>
        </ext>
      </extLst>
    </cfRule>
  </conditionalFormatting>
  <conditionalFormatting sqref="C85:D9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{95E201E9-795D-4146-A968-677681D4BFEA}</x14:id>
        </ext>
      </extLst>
    </cfRule>
  </conditionalFormatting>
  <conditionalFormatting sqref="C129:H12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{CE203A6B-3FFD-43B0-B639-79232C6ABA16}</x14:id>
        </ext>
      </extLst>
    </cfRule>
  </conditionalFormatting>
  <pageMargins left="0.7" right="0.7" top="0.75" bottom="0.75" header="0.3" footer="0.3"/>
  <pageSetup paperSize="9" orientation="portrait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DD21DF-123E-48E8-A5E5-60A3F09478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C4:D8</xm:sqref>
        </x14:conditionalFormatting>
        <x14:conditionalFormatting xmlns:xm="http://schemas.microsoft.com/office/excel/2006/main">
          <x14:cfRule type="dataBar" id="{46FB7BFC-7517-4908-BB1B-D297598871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C49:D53 E60</xm:sqref>
        </x14:conditionalFormatting>
        <x14:conditionalFormatting xmlns:xm="http://schemas.microsoft.com/office/excel/2006/main">
          <x14:cfRule type="dataBar" id="{95E201E9-795D-4146-A968-677681D4BF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C85:D90</xm:sqref>
        </x14:conditionalFormatting>
        <x14:conditionalFormatting xmlns:xm="http://schemas.microsoft.com/office/excel/2006/main">
          <x14:cfRule type="dataBar" id="{CE203A6B-3FFD-43B0-B639-79232C6ABA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C129:H129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F068-6CEB-4953-AED8-576A221B7CE4}">
  <sheetPr>
    <tabColor rgb="FF00B050"/>
    <pageSetUpPr autoPageBreaks="0"/>
  </sheetPr>
  <dimension ref="B2:M245"/>
  <sheetViews>
    <sheetView showGridLines="0" topLeftCell="A102" zoomScale="93" zoomScaleNormal="85" zoomScaleSheetLayoutView="115" workbookViewId="0">
      <selection activeCell="F117" sqref="F117:H117"/>
    </sheetView>
  </sheetViews>
  <sheetFormatPr defaultColWidth="22.33203125" defaultRowHeight="14.4" x14ac:dyDescent="0.3"/>
  <cols>
    <col min="1" max="1" width="6.6640625" customWidth="1"/>
    <col min="2" max="2" width="28.109375" customWidth="1"/>
    <col min="3" max="3" width="17.109375" customWidth="1"/>
    <col min="4" max="4" width="15.77734375" customWidth="1"/>
    <col min="5" max="5" width="11.6640625" customWidth="1"/>
    <col min="6" max="6" width="11.33203125" customWidth="1"/>
    <col min="7" max="7" width="10.77734375" customWidth="1"/>
    <col min="8" max="8" width="16.5546875" customWidth="1"/>
    <col min="9" max="11" width="22.33203125" style="157"/>
    <col min="12" max="12" width="22.33203125" style="126"/>
  </cols>
  <sheetData>
    <row r="2" spans="2:11" ht="25.8" x14ac:dyDescent="0.5">
      <c r="B2" s="246" t="s">
        <v>68</v>
      </c>
      <c r="C2" s="246"/>
      <c r="D2" s="246"/>
      <c r="E2" s="246"/>
      <c r="F2" s="246"/>
      <c r="G2" s="246"/>
      <c r="I2" s="155"/>
      <c r="J2" s="158"/>
    </row>
    <row r="3" spans="2:11" ht="4.5" customHeight="1" x14ac:dyDescent="0.3"/>
    <row r="4" spans="2:11" x14ac:dyDescent="0.3">
      <c r="B4" s="21" t="s">
        <v>52</v>
      </c>
      <c r="C4" s="168">
        <v>143000</v>
      </c>
      <c r="D4" s="22" t="s">
        <v>4</v>
      </c>
      <c r="E4" s="173"/>
      <c r="H4" s="67"/>
      <c r="I4" s="156"/>
    </row>
    <row r="5" spans="2:11" ht="28.8" x14ac:dyDescent="0.3">
      <c r="B5" s="21" t="s">
        <v>107</v>
      </c>
      <c r="C5" s="168">
        <f>(C4-May!C7)/10</f>
        <v>12901.353999999999</v>
      </c>
      <c r="D5" s="22" t="s">
        <v>4</v>
      </c>
      <c r="H5" s="67"/>
    </row>
    <row r="6" spans="2:11" x14ac:dyDescent="0.3">
      <c r="B6" s="21" t="s">
        <v>6</v>
      </c>
      <c r="C6" s="171">
        <f>SUM(D39:G39)</f>
        <v>6994.14</v>
      </c>
      <c r="D6" s="22" t="s">
        <v>4</v>
      </c>
      <c r="E6" s="173"/>
      <c r="G6" s="56"/>
      <c r="H6" s="67"/>
      <c r="I6" s="159"/>
    </row>
    <row r="7" spans="2:11" x14ac:dyDescent="0.3">
      <c r="B7" s="21" t="s">
        <v>66</v>
      </c>
      <c r="C7" s="171">
        <f>May!C7+Jun!C6</f>
        <v>20980.600000000002</v>
      </c>
      <c r="D7" s="22" t="s">
        <v>4</v>
      </c>
      <c r="E7" s="174"/>
      <c r="H7" s="67"/>
    </row>
    <row r="8" spans="2:11" x14ac:dyDescent="0.3">
      <c r="B8" s="21" t="s">
        <v>2</v>
      </c>
      <c r="C8" s="171">
        <f>SUM(D38:G38)</f>
        <v>0</v>
      </c>
      <c r="D8" s="22" t="s">
        <v>4</v>
      </c>
      <c r="F8" s="3"/>
    </row>
    <row r="9" spans="2:11" x14ac:dyDescent="0.3">
      <c r="I9" s="159"/>
    </row>
    <row r="10" spans="2:11" x14ac:dyDescent="0.3">
      <c r="D10" s="2"/>
      <c r="E10" s="175"/>
      <c r="F10" s="2"/>
      <c r="G10" s="2"/>
      <c r="I10" s="159"/>
    </row>
    <row r="11" spans="2:11" x14ac:dyDescent="0.3">
      <c r="D11" s="2"/>
      <c r="E11" s="175"/>
      <c r="F11" s="2"/>
      <c r="G11" s="2"/>
    </row>
    <row r="12" spans="2:11" x14ac:dyDescent="0.3">
      <c r="D12" s="2"/>
      <c r="E12" s="175"/>
      <c r="F12" s="2"/>
      <c r="G12" s="2"/>
    </row>
    <row r="13" spans="2:11" x14ac:dyDescent="0.3">
      <c r="J13" s="160"/>
      <c r="K13" s="160"/>
    </row>
    <row r="19" spans="2:12" x14ac:dyDescent="0.3">
      <c r="H19" s="67"/>
    </row>
    <row r="28" spans="2:12" s="101" customFormat="1" x14ac:dyDescent="0.3">
      <c r="B28"/>
      <c r="C28" s="57"/>
      <c r="D28" s="57"/>
      <c r="E28" s="173"/>
      <c r="F28" s="57"/>
      <c r="G28"/>
      <c r="H28"/>
      <c r="I28" s="157"/>
      <c r="J28" s="157"/>
      <c r="K28" s="161"/>
      <c r="L28" s="149"/>
    </row>
    <row r="29" spans="2:12" s="101" customFormat="1" x14ac:dyDescent="0.3">
      <c r="B29"/>
      <c r="C29"/>
      <c r="D29" s="56"/>
      <c r="E29"/>
      <c r="F29"/>
      <c r="G29"/>
      <c r="H29"/>
      <c r="I29" s="157"/>
      <c r="J29" s="157"/>
      <c r="K29" s="161"/>
      <c r="L29" s="149"/>
    </row>
    <row r="30" spans="2:12" s="101" customFormat="1" hidden="1" x14ac:dyDescent="0.3">
      <c r="B30"/>
      <c r="C30"/>
      <c r="D30"/>
      <c r="E30"/>
      <c r="F30"/>
      <c r="G30"/>
      <c r="H30"/>
      <c r="I30" s="157"/>
      <c r="J30" s="157"/>
      <c r="K30" s="161"/>
      <c r="L30" s="149"/>
    </row>
    <row r="31" spans="2:12" s="101" customFormat="1" hidden="1" x14ac:dyDescent="0.3">
      <c r="B31"/>
      <c r="C31"/>
      <c r="D31"/>
      <c r="E31"/>
      <c r="F31"/>
      <c r="G31"/>
      <c r="H31"/>
      <c r="I31" s="157"/>
      <c r="J31" s="157"/>
      <c r="K31" s="161"/>
      <c r="L31" s="149"/>
    </row>
    <row r="32" spans="2:12" s="101" customFormat="1" hidden="1" x14ac:dyDescent="0.3">
      <c r="B32"/>
      <c r="C32"/>
      <c r="D32"/>
      <c r="E32"/>
      <c r="F32"/>
      <c r="G32"/>
      <c r="H32"/>
      <c r="I32" s="157"/>
      <c r="J32" s="157"/>
      <c r="K32" s="161"/>
      <c r="L32" s="149"/>
    </row>
    <row r="33" spans="2:12" s="101" customFormat="1" ht="16.5" customHeight="1" x14ac:dyDescent="0.3">
      <c r="B33"/>
      <c r="C33"/>
      <c r="D33" s="57"/>
      <c r="E33" s="173"/>
      <c r="F33" s="57"/>
      <c r="G33" s="57"/>
      <c r="H33"/>
      <c r="I33" s="157"/>
      <c r="J33" s="157"/>
      <c r="K33" s="161"/>
      <c r="L33" s="149"/>
    </row>
    <row r="34" spans="2:12" ht="27.6" x14ac:dyDescent="0.3">
      <c r="B34" s="1"/>
      <c r="C34" s="1"/>
      <c r="D34" s="97" t="s">
        <v>164</v>
      </c>
      <c r="E34" s="97" t="s">
        <v>165</v>
      </c>
      <c r="F34" s="97" t="s">
        <v>166</v>
      </c>
      <c r="G34" s="97" t="s">
        <v>167</v>
      </c>
      <c r="H34" s="56"/>
    </row>
    <row r="35" spans="2:12" hidden="1" x14ac:dyDescent="0.3">
      <c r="B35" s="1"/>
      <c r="C35" s="1"/>
      <c r="D35" s="43"/>
      <c r="E35" s="177"/>
      <c r="F35" s="43"/>
      <c r="G35" s="43"/>
      <c r="H35" s="57"/>
    </row>
    <row r="36" spans="2:12" ht="16.95" customHeight="1" x14ac:dyDescent="0.3">
      <c r="B36" s="12" t="s">
        <v>135</v>
      </c>
      <c r="C36" s="6" t="s">
        <v>4</v>
      </c>
      <c r="D36" s="54">
        <v>1800.43</v>
      </c>
      <c r="E36" s="54">
        <v>2016.87</v>
      </c>
      <c r="F36" s="54">
        <v>1621.82</v>
      </c>
      <c r="G36" s="54">
        <v>1460.96</v>
      </c>
      <c r="H36" s="103"/>
    </row>
    <row r="37" spans="2:12" x14ac:dyDescent="0.3">
      <c r="B37" s="12" t="s">
        <v>170</v>
      </c>
      <c r="C37" s="6"/>
      <c r="D37" s="119"/>
      <c r="E37" s="119"/>
      <c r="F37" s="119">
        <v>94.06</v>
      </c>
      <c r="G37" s="119"/>
      <c r="H37" s="103"/>
    </row>
    <row r="38" spans="2:12" ht="15" hidden="1" thickBot="1" x14ac:dyDescent="0.35">
      <c r="B38" s="12"/>
      <c r="C38" s="6"/>
      <c r="D38" s="120"/>
      <c r="E38" s="178"/>
      <c r="F38" s="121"/>
      <c r="G38" s="122"/>
      <c r="H38" s="104"/>
    </row>
    <row r="39" spans="2:12" x14ac:dyDescent="0.3">
      <c r="B39" s="12" t="s">
        <v>3</v>
      </c>
      <c r="C39" s="6" t="s">
        <v>4</v>
      </c>
      <c r="D39" s="75">
        <f>D37+D36</f>
        <v>1800.43</v>
      </c>
      <c r="E39" s="75">
        <f>IF(E37+E36="",0,E37+E36)</f>
        <v>2016.87</v>
      </c>
      <c r="F39" s="75">
        <f t="shared" ref="F39:G39" si="0">IF(F37+F36="",0,F37+F36)</f>
        <v>1715.8799999999999</v>
      </c>
      <c r="G39" s="75">
        <f t="shared" si="0"/>
        <v>1460.96</v>
      </c>
      <c r="H39" s="103"/>
      <c r="I39" s="162"/>
      <c r="J39" s="159"/>
    </row>
    <row r="40" spans="2:12" x14ac:dyDescent="0.3">
      <c r="B40" s="12" t="s">
        <v>108</v>
      </c>
      <c r="C40" s="8"/>
      <c r="D40" s="76">
        <f>D39</f>
        <v>1800.43</v>
      </c>
      <c r="E40" s="76">
        <f>E39+D40</f>
        <v>3817.3</v>
      </c>
      <c r="F40" s="76">
        <f>F39+E40</f>
        <v>5533.18</v>
      </c>
      <c r="G40" s="76">
        <f>G39+F40</f>
        <v>6994.14</v>
      </c>
      <c r="I40" s="162"/>
    </row>
    <row r="41" spans="2:12" x14ac:dyDescent="0.3">
      <c r="B41" s="12" t="s">
        <v>109</v>
      </c>
      <c r="C41" s="6" t="s">
        <v>4</v>
      </c>
      <c r="D41" s="75">
        <f>(C5/30)*7</f>
        <v>3010.3159333333333</v>
      </c>
      <c r="E41" s="75">
        <f>((C5/30)*14)-D40</f>
        <v>4220.2018666666663</v>
      </c>
      <c r="F41" s="75">
        <f>((C5/30)*21)-E40</f>
        <v>5213.6477999999997</v>
      </c>
      <c r="G41" s="75">
        <f>((C5/30)*30)-F40</f>
        <v>7368.1739999999991</v>
      </c>
      <c r="H41" s="67"/>
      <c r="I41" s="165"/>
      <c r="J41" s="165"/>
    </row>
    <row r="42" spans="2:12" x14ac:dyDescent="0.3">
      <c r="B42" s="21"/>
      <c r="C42" s="85"/>
      <c r="D42" s="86"/>
      <c r="E42" s="86"/>
      <c r="F42" s="86"/>
      <c r="G42" s="86"/>
      <c r="H42" s="67"/>
      <c r="I42" s="165"/>
      <c r="J42" s="165"/>
    </row>
    <row r="43" spans="2:12" x14ac:dyDescent="0.3">
      <c r="B43" s="21"/>
      <c r="C43" s="85"/>
      <c r="D43" s="86"/>
      <c r="E43" s="86"/>
      <c r="F43" s="86"/>
      <c r="G43" s="86"/>
    </row>
    <row r="44" spans="2:12" s="4" customFormat="1" ht="15" thickBot="1" x14ac:dyDescent="0.35">
      <c r="D44" s="59"/>
      <c r="E44" s="59"/>
      <c r="F44" s="59"/>
      <c r="G44" s="59"/>
      <c r="I44" s="163"/>
      <c r="J44" s="163"/>
      <c r="K44" s="163"/>
      <c r="L44" s="151"/>
    </row>
    <row r="45" spans="2:12" ht="15" thickTop="1" x14ac:dyDescent="0.3">
      <c r="D45" s="67"/>
      <c r="E45" s="67"/>
      <c r="F45" s="67"/>
    </row>
    <row r="47" spans="2:12" ht="25.8" x14ac:dyDescent="0.5">
      <c r="B47" s="246" t="s">
        <v>69</v>
      </c>
      <c r="C47" s="246"/>
      <c r="D47" s="246"/>
      <c r="E47" s="246"/>
      <c r="F47" s="246"/>
      <c r="G47" s="246"/>
      <c r="I47" s="159"/>
      <c r="J47" s="162"/>
    </row>
    <row r="48" spans="2:12" ht="4.95" customHeight="1" x14ac:dyDescent="0.3"/>
    <row r="49" spans="2:8" x14ac:dyDescent="0.3">
      <c r="B49" s="21" t="s">
        <v>52</v>
      </c>
      <c r="C49" s="168">
        <v>9907200</v>
      </c>
      <c r="D49" s="22" t="s">
        <v>8</v>
      </c>
      <c r="H49" s="96"/>
    </row>
    <row r="50" spans="2:8" x14ac:dyDescent="0.3">
      <c r="B50" s="21" t="s">
        <v>31</v>
      </c>
      <c r="C50" s="168">
        <f>(C49-May!C52)/10</f>
        <v>884534.2</v>
      </c>
      <c r="D50" s="22" t="s">
        <v>8</v>
      </c>
    </row>
    <row r="51" spans="2:8" x14ac:dyDescent="0.3">
      <c r="B51" s="21" t="s">
        <v>6</v>
      </c>
      <c r="C51" s="171">
        <f>SUM(D78:G78)</f>
        <v>652382</v>
      </c>
      <c r="D51" s="22" t="s">
        <v>8</v>
      </c>
      <c r="E51" s="173"/>
    </row>
    <row r="52" spans="2:8" x14ac:dyDescent="0.3">
      <c r="B52" s="21" t="s">
        <v>67</v>
      </c>
      <c r="C52" s="171">
        <f>May!C52+Jun!C51</f>
        <v>1714240</v>
      </c>
      <c r="D52" s="22" t="s">
        <v>8</v>
      </c>
      <c r="E52" s="173"/>
    </row>
    <row r="53" spans="2:8" x14ac:dyDescent="0.3">
      <c r="B53" s="21" t="s">
        <v>9</v>
      </c>
      <c r="C53" s="171">
        <f>C50-C51</f>
        <v>232152.19999999995</v>
      </c>
      <c r="D53" s="22" t="s">
        <v>8</v>
      </c>
    </row>
    <row r="60" spans="2:8" x14ac:dyDescent="0.3">
      <c r="E60" s="22" t="s">
        <v>8</v>
      </c>
    </row>
    <row r="77" spans="2:8" ht="27.6" x14ac:dyDescent="0.3">
      <c r="B77" s="1"/>
      <c r="C77" s="1"/>
      <c r="D77" s="97" t="str">
        <f>D34</f>
        <v>WEEK 1
(Jun1-7)</v>
      </c>
      <c r="E77" s="97" t="str">
        <f>E34</f>
        <v>WEEK 2
(Jun8-14)</v>
      </c>
      <c r="F77" s="97" t="str">
        <f>F34</f>
        <v>WEEK 3
(Jun15-21)</v>
      </c>
      <c r="G77" s="97" t="str">
        <f>G34</f>
        <v>WEEK 4
(June22-30)</v>
      </c>
    </row>
    <row r="78" spans="2:8" x14ac:dyDescent="0.3">
      <c r="B78" s="5" t="s">
        <v>1</v>
      </c>
      <c r="C78" s="9" t="s">
        <v>8</v>
      </c>
      <c r="D78" s="184">
        <v>160822</v>
      </c>
      <c r="E78" s="184">
        <v>169164</v>
      </c>
      <c r="F78" s="184">
        <v>173171</v>
      </c>
      <c r="G78" s="184">
        <v>149225</v>
      </c>
      <c r="H78" s="57"/>
    </row>
    <row r="79" spans="2:8" x14ac:dyDescent="0.3">
      <c r="B79" s="7" t="s">
        <v>5</v>
      </c>
      <c r="C79" s="9" t="s">
        <v>8</v>
      </c>
      <c r="D79" s="98">
        <f>D78</f>
        <v>160822</v>
      </c>
      <c r="E79" s="98">
        <f>D79+E78</f>
        <v>329986</v>
      </c>
      <c r="F79" s="98">
        <f>E79+F78</f>
        <v>503157</v>
      </c>
      <c r="G79" s="98">
        <f>F79+G78</f>
        <v>652382</v>
      </c>
    </row>
    <row r="80" spans="2:8" x14ac:dyDescent="0.3">
      <c r="B80" s="5" t="s">
        <v>9</v>
      </c>
      <c r="C80" s="9" t="s">
        <v>8</v>
      </c>
      <c r="D80" s="98">
        <f>(C50/30)*7</f>
        <v>206391.31333333332</v>
      </c>
      <c r="E80" s="98">
        <f>(($C50/30)*14)-D79</f>
        <v>251960.62666666665</v>
      </c>
      <c r="F80" s="98">
        <f>(($C50/30)*21)-E79</f>
        <v>289187.93999999994</v>
      </c>
      <c r="G80" s="98">
        <f>(($C50/30)*30)-F79</f>
        <v>381377.19999999995</v>
      </c>
    </row>
    <row r="81" spans="2:12" s="4" customFormat="1" ht="15" thickBot="1" x14ac:dyDescent="0.35">
      <c r="I81" s="163"/>
      <c r="J81" s="163"/>
      <c r="K81" s="163"/>
      <c r="L81" s="151"/>
    </row>
    <row r="82" spans="2:12" ht="15" thickTop="1" x14ac:dyDescent="0.3"/>
    <row r="83" spans="2:12" s="101" customFormat="1" ht="25.8" x14ac:dyDescent="0.5">
      <c r="B83" s="246" t="s">
        <v>70</v>
      </c>
      <c r="C83" s="246"/>
      <c r="D83" s="246"/>
      <c r="E83" s="246"/>
      <c r="F83" s="246"/>
      <c r="G83" s="246"/>
      <c r="H83"/>
      <c r="I83" s="157"/>
      <c r="J83" s="157"/>
      <c r="K83" s="161"/>
      <c r="L83" s="149"/>
    </row>
    <row r="84" spans="2:12" s="101" customFormat="1" ht="6.45" customHeight="1" x14ac:dyDescent="0.3">
      <c r="B84"/>
      <c r="C84"/>
      <c r="D84"/>
      <c r="E84"/>
      <c r="F84"/>
      <c r="G84"/>
      <c r="H84"/>
      <c r="I84" s="157"/>
      <c r="J84" s="157"/>
      <c r="K84" s="161"/>
      <c r="L84" s="149"/>
    </row>
    <row r="85" spans="2:12" s="101" customFormat="1" ht="16.2" x14ac:dyDescent="0.3">
      <c r="B85" s="172" t="s">
        <v>52</v>
      </c>
      <c r="C85" s="168">
        <v>10000000</v>
      </c>
      <c r="D85" s="22" t="s">
        <v>11</v>
      </c>
      <c r="E85"/>
      <c r="F85"/>
      <c r="G85"/>
      <c r="H85"/>
      <c r="I85" s="157"/>
      <c r="J85" s="157"/>
      <c r="K85" s="161"/>
      <c r="L85" s="149"/>
    </row>
    <row r="86" spans="2:12" s="101" customFormat="1" ht="16.2" x14ac:dyDescent="0.3">
      <c r="B86" s="172" t="s">
        <v>31</v>
      </c>
      <c r="C86" s="168">
        <f>(C85-May!C88)/10</f>
        <v>914814.9</v>
      </c>
      <c r="D86" s="22" t="s">
        <v>11</v>
      </c>
      <c r="E86"/>
      <c r="H86"/>
      <c r="I86" s="157"/>
      <c r="J86" s="157"/>
      <c r="K86" s="161"/>
      <c r="L86" s="149"/>
    </row>
    <row r="87" spans="2:12" s="101" customFormat="1" ht="16.2" x14ac:dyDescent="0.3">
      <c r="B87" s="172" t="s">
        <v>1</v>
      </c>
      <c r="C87" s="171">
        <f>SUM(D114:G114)</f>
        <v>459563</v>
      </c>
      <c r="D87" s="22" t="s">
        <v>11</v>
      </c>
      <c r="E87" s="173"/>
      <c r="F87"/>
      <c r="G87"/>
      <c r="H87"/>
      <c r="I87" s="157"/>
      <c r="J87" s="157"/>
      <c r="K87" s="161"/>
      <c r="L87" s="149"/>
    </row>
    <row r="88" spans="2:12" s="101" customFormat="1" ht="16.2" x14ac:dyDescent="0.3">
      <c r="B88" s="172" t="s">
        <v>67</v>
      </c>
      <c r="C88" s="171">
        <f>May!C88+Jun!C87</f>
        <v>1311414</v>
      </c>
      <c r="D88" s="22" t="s">
        <v>11</v>
      </c>
      <c r="E88" s="173"/>
      <c r="F88"/>
      <c r="G88"/>
      <c r="H88"/>
      <c r="I88" s="157"/>
      <c r="J88" s="157"/>
      <c r="K88" s="161"/>
      <c r="L88" s="149"/>
    </row>
    <row r="89" spans="2:12" s="101" customFormat="1" ht="16.2" x14ac:dyDescent="0.3">
      <c r="B89" s="172" t="s">
        <v>9</v>
      </c>
      <c r="C89" s="171">
        <f>C86-C87</f>
        <v>455251.9</v>
      </c>
      <c r="D89" s="22" t="s">
        <v>11</v>
      </c>
      <c r="E89" s="67"/>
      <c r="F89"/>
      <c r="G89"/>
      <c r="H89"/>
      <c r="I89" s="157"/>
      <c r="J89" s="157"/>
      <c r="K89" s="161"/>
      <c r="L89" s="149"/>
    </row>
    <row r="90" spans="2:12" s="101" customFormat="1" ht="7.5" customHeight="1" x14ac:dyDescent="0.3">
      <c r="B90"/>
      <c r="C90"/>
      <c r="D90"/>
      <c r="E90"/>
      <c r="F90"/>
      <c r="G90"/>
      <c r="H90"/>
      <c r="I90" s="157"/>
      <c r="J90" s="157"/>
      <c r="K90" s="161"/>
      <c r="L90" s="149"/>
    </row>
    <row r="103" spans="4:8" x14ac:dyDescent="0.3">
      <c r="H103" s="57"/>
    </row>
    <row r="112" spans="4:8" x14ac:dyDescent="0.3">
      <c r="D112" s="67"/>
      <c r="E112" s="67"/>
      <c r="F112" s="67"/>
    </row>
    <row r="113" spans="2:13" ht="27.6" x14ac:dyDescent="0.3">
      <c r="B113" s="1"/>
      <c r="C113" s="1"/>
      <c r="D113" s="97" t="str">
        <f>D77</f>
        <v>WEEK 1
(Jun1-7)</v>
      </c>
      <c r="E113" s="97" t="str">
        <f>E77</f>
        <v>WEEK 2
(Jun8-14)</v>
      </c>
      <c r="F113" s="97" t="str">
        <f>F77</f>
        <v>WEEK 3
(Jun15-21)</v>
      </c>
      <c r="G113" s="97" t="str">
        <f>G77</f>
        <v>WEEK 4
(June22-30)</v>
      </c>
      <c r="H113" s="74"/>
      <c r="I113" s="162"/>
    </row>
    <row r="114" spans="2:13" ht="16.2" x14ac:dyDescent="0.3">
      <c r="B114" s="79" t="s">
        <v>43</v>
      </c>
      <c r="C114" s="9" t="s">
        <v>11</v>
      </c>
      <c r="D114" s="184">
        <v>124400</v>
      </c>
      <c r="E114" s="69">
        <v>126024</v>
      </c>
      <c r="F114" s="69">
        <v>107468</v>
      </c>
      <c r="G114" s="69">
        <v>101671</v>
      </c>
      <c r="H114" s="77"/>
      <c r="I114" s="164"/>
      <c r="J114" s="162"/>
    </row>
    <row r="115" spans="2:13" ht="16.2" x14ac:dyDescent="0.3">
      <c r="B115" s="79" t="s">
        <v>41</v>
      </c>
      <c r="C115" s="9" t="s">
        <v>11</v>
      </c>
      <c r="D115" s="184">
        <f>D78*0.47</f>
        <v>75586.34</v>
      </c>
      <c r="E115" s="184">
        <f>E78*0.47</f>
        <v>79507.08</v>
      </c>
      <c r="F115" s="184">
        <f>F78*0.47</f>
        <v>81390.37</v>
      </c>
      <c r="G115" s="184">
        <f>G78*0.47</f>
        <v>70135.75</v>
      </c>
      <c r="H115" s="57"/>
    </row>
    <row r="116" spans="2:13" ht="16.2" x14ac:dyDescent="0.3">
      <c r="B116" s="79" t="s">
        <v>151</v>
      </c>
      <c r="C116" s="9" t="s">
        <v>11</v>
      </c>
      <c r="D116" s="184"/>
      <c r="E116" s="184"/>
      <c r="F116" s="184"/>
      <c r="G116" s="184"/>
      <c r="H116" s="57"/>
    </row>
    <row r="117" spans="2:13" ht="16.2" x14ac:dyDescent="0.3">
      <c r="B117" s="12" t="s">
        <v>12</v>
      </c>
      <c r="C117" s="9" t="s">
        <v>11</v>
      </c>
      <c r="D117" s="69"/>
      <c r="E117" s="69"/>
      <c r="F117" s="69">
        <v>9023</v>
      </c>
      <c r="G117" s="69">
        <v>3014</v>
      </c>
      <c r="H117" s="77"/>
      <c r="I117" s="164"/>
    </row>
    <row r="118" spans="2:13" x14ac:dyDescent="0.3">
      <c r="B118" s="12" t="s">
        <v>13</v>
      </c>
      <c r="C118" s="9" t="s">
        <v>10</v>
      </c>
      <c r="D118" s="69">
        <f t="shared" ref="D118:E118" si="1">SUM(D114:D117)</f>
        <v>199986.34</v>
      </c>
      <c r="E118" s="69">
        <f t="shared" si="1"/>
        <v>205531.08000000002</v>
      </c>
      <c r="F118" s="69">
        <f>SUM(F114:F117)</f>
        <v>197881.37</v>
      </c>
      <c r="G118" s="69">
        <f>SUM(G114:G117)</f>
        <v>174820.75</v>
      </c>
      <c r="H118" s="77"/>
    </row>
    <row r="119" spans="2:13" x14ac:dyDescent="0.3">
      <c r="B119" s="13" t="s">
        <v>5</v>
      </c>
      <c r="C119" s="9" t="s">
        <v>10</v>
      </c>
      <c r="D119" s="185">
        <f>D114</f>
        <v>124400</v>
      </c>
      <c r="E119" s="185">
        <f>D119+E114</f>
        <v>250424</v>
      </c>
      <c r="F119" s="185">
        <f t="shared" ref="F119:G119" si="2">E119+F114</f>
        <v>357892</v>
      </c>
      <c r="G119" s="185">
        <f t="shared" si="2"/>
        <v>459563</v>
      </c>
    </row>
    <row r="120" spans="2:13" ht="28.8" x14ac:dyDescent="0.3">
      <c r="B120" s="187" t="s">
        <v>130</v>
      </c>
      <c r="C120" s="9" t="s">
        <v>10</v>
      </c>
      <c r="D120" s="188">
        <f>D36*101*0.7842</f>
        <v>142601.61780599999</v>
      </c>
      <c r="E120" s="188">
        <f>E36*101*0.7842</f>
        <v>159744.57485400001</v>
      </c>
      <c r="F120" s="188">
        <f>F36*101*0.7842</f>
        <v>128454.955644</v>
      </c>
      <c r="G120" s="188">
        <f>G36*101*0.7842</f>
        <v>115714.168032</v>
      </c>
    </row>
    <row r="121" spans="2:13" x14ac:dyDescent="0.3">
      <c r="B121" s="12" t="s">
        <v>53</v>
      </c>
      <c r="C121" s="9" t="s">
        <v>10</v>
      </c>
      <c r="D121" s="185">
        <f>(($C$86/30)*7)</f>
        <v>213456.81</v>
      </c>
      <c r="E121" s="185">
        <f>(($C$86/30)*14)-D119</f>
        <v>302513.62</v>
      </c>
      <c r="F121" s="185">
        <f>(($C$86/30)*21)-E119</f>
        <v>389946.43000000005</v>
      </c>
      <c r="G121" s="185">
        <f>(($C$86/30)*30)-F119</f>
        <v>556922.9</v>
      </c>
      <c r="H121" s="61"/>
    </row>
    <row r="122" spans="2:13" s="4" customFormat="1" ht="15" thickBot="1" x14ac:dyDescent="0.35">
      <c r="I122" s="163"/>
      <c r="J122" s="163"/>
      <c r="K122" s="163"/>
      <c r="L122" s="151"/>
    </row>
    <row r="123" spans="2:13" ht="15" thickTop="1" x14ac:dyDescent="0.3"/>
    <row r="124" spans="2:13" ht="25.8" x14ac:dyDescent="0.5">
      <c r="B124" s="246" t="s">
        <v>71</v>
      </c>
      <c r="C124" s="246"/>
      <c r="D124" s="246"/>
      <c r="E124" s="246"/>
      <c r="F124" s="246"/>
      <c r="G124" s="246"/>
    </row>
    <row r="125" spans="2:13" ht="4.05" customHeight="1" x14ac:dyDescent="0.3">
      <c r="B125" s="20"/>
      <c r="C125" s="20"/>
      <c r="D125" s="20"/>
      <c r="E125" s="20"/>
      <c r="F125" s="20"/>
      <c r="G125" s="20"/>
    </row>
    <row r="126" spans="2:13" ht="14.55" customHeight="1" x14ac:dyDescent="0.3">
      <c r="B126" s="244" t="s">
        <v>20</v>
      </c>
      <c r="C126" s="244"/>
      <c r="D126" s="244"/>
      <c r="E126" s="244"/>
      <c r="F126" s="244"/>
      <c r="G126" s="244"/>
    </row>
    <row r="127" spans="2:13" x14ac:dyDescent="0.3">
      <c r="D127" s="19">
        <v>101</v>
      </c>
      <c r="E127" s="19" t="s">
        <v>18</v>
      </c>
    </row>
    <row r="128" spans="2:13" ht="27.6" x14ac:dyDescent="0.3">
      <c r="D128" s="176" t="str">
        <f>D77</f>
        <v>WEEK 1
(Jun1-7)</v>
      </c>
      <c r="E128" s="176" t="str">
        <f>E77</f>
        <v>WEEK 2
(Jun8-14)</v>
      </c>
      <c r="F128" s="176" t="str">
        <f>F77</f>
        <v>WEEK 3
(Jun15-21)</v>
      </c>
      <c r="G128" s="176" t="str">
        <f>G77</f>
        <v>WEEK 4
(June22-30)</v>
      </c>
      <c r="H128" s="182" t="s">
        <v>37</v>
      </c>
      <c r="I128" s="74"/>
      <c r="L128" s="157"/>
      <c r="M128" s="126"/>
    </row>
    <row r="129" spans="2:13" hidden="1" x14ac:dyDescent="0.3">
      <c r="D129" s="10"/>
      <c r="E129" s="179"/>
      <c r="F129" s="10"/>
      <c r="G129" s="10"/>
      <c r="H129" s="107"/>
      <c r="I129" s="74"/>
      <c r="L129" s="157"/>
      <c r="M129" s="126"/>
    </row>
    <row r="130" spans="2:13" x14ac:dyDescent="0.3">
      <c r="B130" s="172" t="s">
        <v>15</v>
      </c>
      <c r="C130" s="22" t="s">
        <v>10</v>
      </c>
      <c r="D130" s="23">
        <f>D36</f>
        <v>1800.43</v>
      </c>
      <c r="E130" s="23">
        <f>E36</f>
        <v>2016.87</v>
      </c>
      <c r="F130" s="23">
        <f>F36</f>
        <v>1621.82</v>
      </c>
      <c r="G130" s="23">
        <f>G36</f>
        <v>1460.96</v>
      </c>
      <c r="H130" s="109">
        <f>SUM(D130:G130)</f>
        <v>6900.08</v>
      </c>
      <c r="I130" s="78"/>
      <c r="L130" s="157"/>
      <c r="M130" s="126"/>
    </row>
    <row r="131" spans="2:13" x14ac:dyDescent="0.3">
      <c r="B131" s="172" t="s">
        <v>17</v>
      </c>
      <c r="C131" s="22" t="s">
        <v>10</v>
      </c>
      <c r="D131" s="23">
        <f t="shared" ref="D131:H131" si="3">D134*D130</f>
        <v>181843.43</v>
      </c>
      <c r="E131" s="23">
        <f t="shared" si="3"/>
        <v>203703.87</v>
      </c>
      <c r="F131" s="23">
        <f t="shared" si="3"/>
        <v>163803.82</v>
      </c>
      <c r="G131" s="23">
        <f t="shared" si="3"/>
        <v>147556.96</v>
      </c>
      <c r="H131" s="110">
        <f t="shared" si="3"/>
        <v>696908.08</v>
      </c>
      <c r="I131" s="63"/>
      <c r="L131" s="157"/>
      <c r="M131" s="126"/>
    </row>
    <row r="132" spans="2:13" x14ac:dyDescent="0.3">
      <c r="B132" s="172" t="s">
        <v>16</v>
      </c>
      <c r="C132" s="22" t="s">
        <v>10</v>
      </c>
      <c r="D132" s="23">
        <f t="shared" ref="D132:E132" si="4">D118</f>
        <v>199986.34</v>
      </c>
      <c r="E132" s="23">
        <f t="shared" si="4"/>
        <v>205531.08000000002</v>
      </c>
      <c r="F132" s="23">
        <f>F118</f>
        <v>197881.37</v>
      </c>
      <c r="G132" s="23">
        <f>G118</f>
        <v>174820.75</v>
      </c>
      <c r="H132" s="109">
        <f>SUM(D132:G132)</f>
        <v>778219.54</v>
      </c>
      <c r="I132" s="62"/>
      <c r="J132" s="159"/>
      <c r="L132" s="157"/>
      <c r="M132" s="126"/>
    </row>
    <row r="133" spans="2:13" x14ac:dyDescent="0.3">
      <c r="B133" s="172" t="s">
        <v>22</v>
      </c>
      <c r="C133" s="22" t="s">
        <v>19</v>
      </c>
      <c r="D133" s="23">
        <f>IFERROR(D132/D130,"")</f>
        <v>111.07698716417744</v>
      </c>
      <c r="E133" s="23">
        <f>IFERROR(E132/E130,"")</f>
        <v>101.9059632004046</v>
      </c>
      <c r="F133" s="23">
        <f>IFERROR(F132/F130,"")</f>
        <v>122.01191870861132</v>
      </c>
      <c r="G133" s="23">
        <f>IFERROR(G132/G130,"")</f>
        <v>119.66155815354287</v>
      </c>
      <c r="H133" s="110">
        <f>H132/H130</f>
        <v>112.78413293758913</v>
      </c>
      <c r="I133" s="63"/>
      <c r="L133" s="157"/>
      <c r="M133" s="126"/>
    </row>
    <row r="134" spans="2:13" x14ac:dyDescent="0.3">
      <c r="B134" s="172" t="s">
        <v>23</v>
      </c>
      <c r="C134" s="22" t="s">
        <v>19</v>
      </c>
      <c r="D134" s="23">
        <v>101</v>
      </c>
      <c r="E134" s="23">
        <v>101</v>
      </c>
      <c r="F134" s="23">
        <v>101</v>
      </c>
      <c r="G134" s="23">
        <v>101</v>
      </c>
      <c r="H134" s="116">
        <v>101</v>
      </c>
      <c r="I134" s="78"/>
      <c r="J134" s="162"/>
      <c r="L134" s="157"/>
      <c r="M134" s="126"/>
    </row>
    <row r="135" spans="2:13" x14ac:dyDescent="0.3">
      <c r="B135" s="21"/>
      <c r="C135" s="22"/>
      <c r="D135" s="23"/>
      <c r="E135" s="23"/>
      <c r="F135" s="23"/>
      <c r="G135" s="23"/>
    </row>
    <row r="136" spans="2:13" x14ac:dyDescent="0.3">
      <c r="B136" s="21"/>
      <c r="C136" s="22"/>
      <c r="D136" s="23"/>
      <c r="E136" s="23"/>
      <c r="F136" s="23"/>
      <c r="G136" s="23"/>
    </row>
    <row r="137" spans="2:13" x14ac:dyDescent="0.3">
      <c r="B137" s="21"/>
      <c r="C137" s="22"/>
      <c r="D137" s="23"/>
      <c r="E137" s="23"/>
      <c r="F137" s="23"/>
      <c r="G137" s="23"/>
    </row>
    <row r="138" spans="2:13" x14ac:dyDescent="0.3">
      <c r="B138" s="21"/>
      <c r="C138" s="22"/>
      <c r="D138" s="23"/>
      <c r="E138" s="23"/>
      <c r="F138" s="23"/>
      <c r="G138" s="23"/>
    </row>
    <row r="139" spans="2:13" x14ac:dyDescent="0.3">
      <c r="B139" s="21"/>
      <c r="C139" s="22"/>
      <c r="D139" s="23"/>
      <c r="E139" s="23"/>
      <c r="F139" s="23"/>
      <c r="G139" s="23"/>
    </row>
    <row r="140" spans="2:13" x14ac:dyDescent="0.3">
      <c r="B140" s="21"/>
      <c r="C140" s="22"/>
      <c r="D140" s="23"/>
      <c r="E140" s="23"/>
      <c r="F140" s="23"/>
      <c r="G140" s="23"/>
    </row>
    <row r="141" spans="2:13" x14ac:dyDescent="0.3">
      <c r="B141" s="21"/>
      <c r="C141" s="22"/>
      <c r="D141" s="23"/>
      <c r="E141" s="23"/>
      <c r="F141" s="23"/>
      <c r="G141" s="23"/>
    </row>
    <row r="142" spans="2:13" x14ac:dyDescent="0.3">
      <c r="B142" s="21"/>
      <c r="C142" s="22"/>
      <c r="D142" s="23"/>
      <c r="E142" s="23"/>
      <c r="F142" s="23"/>
      <c r="G142" s="23"/>
    </row>
    <row r="143" spans="2:13" x14ac:dyDescent="0.3">
      <c r="B143" s="21"/>
      <c r="C143" s="22"/>
      <c r="D143" s="23"/>
      <c r="E143" s="23"/>
      <c r="F143" s="23"/>
      <c r="G143" s="23"/>
    </row>
    <row r="144" spans="2:13" x14ac:dyDescent="0.3">
      <c r="B144" s="21"/>
      <c r="C144" s="22"/>
      <c r="D144" s="23"/>
      <c r="E144" s="23"/>
      <c r="F144" s="23"/>
      <c r="G144" s="23"/>
      <c r="I144" s="183"/>
    </row>
    <row r="145" spans="2:13" x14ac:dyDescent="0.3">
      <c r="B145" s="21"/>
      <c r="C145" s="22"/>
      <c r="D145" s="23"/>
      <c r="E145" s="23"/>
      <c r="F145" s="23"/>
      <c r="G145" s="23"/>
    </row>
    <row r="146" spans="2:13" s="101" customFormat="1" x14ac:dyDescent="0.3">
      <c r="B146" s="21"/>
      <c r="C146" s="22"/>
      <c r="D146" s="23"/>
      <c r="E146" s="23"/>
      <c r="F146" s="23"/>
      <c r="G146" s="23"/>
      <c r="H146"/>
      <c r="I146" s="157"/>
      <c r="J146" s="157"/>
      <c r="K146" s="157"/>
      <c r="L146" s="126"/>
      <c r="M146"/>
    </row>
    <row r="147" spans="2:13" s="101" customFormat="1" x14ac:dyDescent="0.3">
      <c r="B147" s="21"/>
      <c r="C147" s="22"/>
      <c r="D147" s="23"/>
      <c r="E147" s="23"/>
      <c r="F147" s="23"/>
      <c r="G147" s="23"/>
      <c r="H147"/>
      <c r="I147" s="157"/>
      <c r="J147" s="157"/>
      <c r="K147" s="157"/>
      <c r="L147" s="126"/>
      <c r="M147"/>
    </row>
    <row r="148" spans="2:13" s="101" customFormat="1" x14ac:dyDescent="0.3">
      <c r="B148" s="21"/>
      <c r="C148" s="22"/>
      <c r="D148" s="23"/>
      <c r="E148" s="23"/>
      <c r="F148" s="23"/>
      <c r="G148" s="23"/>
      <c r="H148"/>
      <c r="I148" s="157"/>
      <c r="J148" s="157"/>
      <c r="K148" s="157"/>
      <c r="L148" s="126"/>
      <c r="M148"/>
    </row>
    <row r="149" spans="2:13" s="101" customFormat="1" x14ac:dyDescent="0.3">
      <c r="B149" s="21"/>
      <c r="C149" s="22"/>
      <c r="D149" s="23"/>
      <c r="E149" s="23"/>
      <c r="F149" s="23"/>
      <c r="G149" s="23"/>
      <c r="H149"/>
      <c r="I149" s="157"/>
      <c r="J149" s="157"/>
      <c r="K149" s="157"/>
      <c r="L149" s="126"/>
      <c r="M149"/>
    </row>
    <row r="150" spans="2:13" s="101" customFormat="1" x14ac:dyDescent="0.3">
      <c r="B150" s="21"/>
      <c r="C150" s="22"/>
      <c r="D150" s="23"/>
      <c r="E150" s="23"/>
      <c r="F150" s="23"/>
      <c r="G150" s="23"/>
      <c r="H150"/>
      <c r="I150" s="157"/>
      <c r="J150" s="157"/>
      <c r="K150" s="157"/>
      <c r="L150" s="126"/>
      <c r="M150"/>
    </row>
    <row r="151" spans="2:13" s="101" customFormat="1" x14ac:dyDescent="0.3">
      <c r="B151" s="21"/>
      <c r="C151" s="22"/>
      <c r="D151" s="23"/>
      <c r="E151" s="23"/>
      <c r="F151" s="23"/>
      <c r="G151" s="23"/>
      <c r="H151"/>
      <c r="I151" s="157"/>
      <c r="J151" s="157"/>
      <c r="K151" s="157"/>
      <c r="L151" s="126"/>
      <c r="M151"/>
    </row>
    <row r="152" spans="2:13" s="101" customFormat="1" x14ac:dyDescent="0.3">
      <c r="B152" s="21"/>
      <c r="C152" s="22"/>
      <c r="D152" s="23"/>
      <c r="E152" s="23"/>
      <c r="F152" s="23"/>
      <c r="G152" s="23"/>
      <c r="H152"/>
      <c r="I152" s="157"/>
      <c r="J152" s="157"/>
      <c r="K152" s="157"/>
      <c r="L152" s="126"/>
      <c r="M152"/>
    </row>
    <row r="153" spans="2:13" s="101" customFormat="1" x14ac:dyDescent="0.3">
      <c r="B153" s="21"/>
      <c r="C153" s="22"/>
      <c r="D153" s="23"/>
      <c r="E153" s="23"/>
      <c r="F153" s="23"/>
      <c r="G153" s="23"/>
      <c r="H153"/>
      <c r="I153" s="157"/>
      <c r="J153" s="157"/>
      <c r="K153" s="157"/>
      <c r="L153" s="126"/>
      <c r="M153"/>
    </row>
    <row r="154" spans="2:13" s="101" customFormat="1" x14ac:dyDescent="0.3">
      <c r="B154" s="21"/>
      <c r="C154" s="22"/>
      <c r="D154" s="23"/>
      <c r="E154" s="23"/>
      <c r="F154" s="23"/>
      <c r="G154" s="23"/>
      <c r="H154"/>
      <c r="I154" s="157"/>
      <c r="J154" s="157"/>
      <c r="K154" s="157"/>
      <c r="L154" s="126"/>
      <c r="M154"/>
    </row>
    <row r="155" spans="2:13" s="101" customFormat="1" x14ac:dyDescent="0.3">
      <c r="B155" s="21"/>
      <c r="C155" s="22"/>
      <c r="D155" s="23"/>
      <c r="E155" s="23"/>
      <c r="F155" s="23"/>
      <c r="G155" s="23"/>
      <c r="H155"/>
      <c r="I155" s="157"/>
      <c r="J155" s="157"/>
      <c r="K155" s="157"/>
      <c r="L155" s="126"/>
      <c r="M155"/>
    </row>
    <row r="156" spans="2:13" s="101" customFormat="1" x14ac:dyDescent="0.3">
      <c r="B156" s="21"/>
      <c r="C156" s="22"/>
      <c r="D156" s="23"/>
      <c r="E156" s="23"/>
      <c r="F156" s="23"/>
      <c r="G156" s="23"/>
      <c r="H156"/>
      <c r="I156" s="157"/>
      <c r="J156" s="157"/>
      <c r="K156" s="157"/>
      <c r="L156" s="126"/>
      <c r="M156"/>
    </row>
    <row r="157" spans="2:13" s="101" customFormat="1" x14ac:dyDescent="0.3">
      <c r="B157" s="21"/>
      <c r="C157" s="22"/>
      <c r="D157" s="23"/>
      <c r="E157" s="23"/>
      <c r="F157" s="23"/>
      <c r="G157" s="23"/>
      <c r="H157"/>
      <c r="I157" s="157"/>
      <c r="J157" s="157"/>
      <c r="K157" s="157"/>
      <c r="L157" s="126"/>
      <c r="M157"/>
    </row>
    <row r="158" spans="2:13" s="101" customFormat="1" x14ac:dyDescent="0.3">
      <c r="B158" s="21"/>
      <c r="C158" s="22"/>
      <c r="D158" s="23"/>
      <c r="E158" s="23"/>
      <c r="F158" s="23"/>
      <c r="G158" s="23"/>
      <c r="H158"/>
      <c r="I158" s="157"/>
      <c r="J158" s="157"/>
      <c r="K158" s="157"/>
      <c r="L158" s="126"/>
      <c r="M158"/>
    </row>
    <row r="159" spans="2:13" s="101" customFormat="1" x14ac:dyDescent="0.3">
      <c r="B159" s="21"/>
      <c r="C159" s="22"/>
      <c r="D159" s="23"/>
      <c r="E159" s="23"/>
      <c r="F159" s="23"/>
      <c r="G159" s="23"/>
      <c r="H159"/>
      <c r="I159" s="157"/>
      <c r="J159" s="157"/>
      <c r="K159" s="157"/>
      <c r="L159" s="126"/>
      <c r="M159"/>
    </row>
    <row r="160" spans="2:13" s="101" customFormat="1" x14ac:dyDescent="0.3">
      <c r="B160" s="21"/>
      <c r="C160" s="22"/>
      <c r="D160" s="23"/>
      <c r="E160" s="23"/>
      <c r="F160" s="23"/>
      <c r="G160" s="23"/>
      <c r="H160"/>
      <c r="I160" s="157"/>
      <c r="J160" s="157"/>
      <c r="K160" s="157"/>
      <c r="L160" s="126"/>
      <c r="M160"/>
    </row>
    <row r="161" spans="2:13" s="101" customFormat="1" x14ac:dyDescent="0.3">
      <c r="B161" s="21"/>
      <c r="C161" s="22"/>
      <c r="D161" s="23"/>
      <c r="E161" s="23"/>
      <c r="F161" s="23"/>
      <c r="G161" s="23"/>
      <c r="H161"/>
      <c r="I161" s="157"/>
      <c r="J161" s="157"/>
      <c r="K161" s="157"/>
      <c r="L161" s="126"/>
      <c r="M161"/>
    </row>
    <row r="162" spans="2:13" x14ac:dyDescent="0.3">
      <c r="B162" s="21"/>
      <c r="C162" s="22"/>
      <c r="D162" s="23"/>
      <c r="E162" s="23"/>
      <c r="F162" s="23"/>
      <c r="G162" s="23"/>
    </row>
    <row r="163" spans="2:13" x14ac:dyDescent="0.3">
      <c r="B163" s="21"/>
      <c r="C163" s="22"/>
      <c r="D163" s="23"/>
      <c r="E163" s="23"/>
      <c r="F163" s="23"/>
      <c r="G163" s="23"/>
    </row>
    <row r="164" spans="2:13" x14ac:dyDescent="0.3">
      <c r="B164" s="21"/>
      <c r="C164" s="22"/>
      <c r="D164" s="23"/>
      <c r="E164" s="23"/>
      <c r="F164" s="23"/>
      <c r="G164" s="23"/>
    </row>
    <row r="165" spans="2:13" x14ac:dyDescent="0.3">
      <c r="H165" s="57"/>
    </row>
    <row r="170" spans="2:13" ht="15.6" x14ac:dyDescent="0.3">
      <c r="B170" s="245" t="s">
        <v>21</v>
      </c>
      <c r="C170" s="245"/>
      <c r="D170" s="245"/>
      <c r="E170" s="245"/>
      <c r="F170" s="245"/>
      <c r="G170" s="245"/>
    </row>
    <row r="171" spans="2:13" ht="27.6" x14ac:dyDescent="0.3">
      <c r="D171" s="176" t="str">
        <f>D128</f>
        <v>WEEK 1
(Jun1-7)</v>
      </c>
      <c r="E171" s="176" t="str">
        <f>E128</f>
        <v>WEEK 2
(Jun8-14)</v>
      </c>
      <c r="F171" s="176" t="str">
        <f>F128</f>
        <v>WEEK 3
(Jun15-21)</v>
      </c>
      <c r="G171" s="176" t="str">
        <f>G128</f>
        <v>WEEK 4
(June22-30)</v>
      </c>
      <c r="H171" s="111" t="s">
        <v>37</v>
      </c>
      <c r="I171" s="64"/>
      <c r="L171" s="157"/>
      <c r="M171" s="126"/>
    </row>
    <row r="172" spans="2:13" x14ac:dyDescent="0.3">
      <c r="B172" s="64" t="s">
        <v>15</v>
      </c>
      <c r="C172" s="22" t="s">
        <v>10</v>
      </c>
      <c r="D172" s="23">
        <f>D130*(D175/14)</f>
        <v>1794.1284950000002</v>
      </c>
      <c r="E172" s="23">
        <f>E130*(E175/14)</f>
        <v>2008.8025200000002</v>
      </c>
      <c r="F172" s="23">
        <f>F130*(F175/14)</f>
        <v>1616.95454</v>
      </c>
      <c r="G172" s="23">
        <f>G130*(G175/14)</f>
        <v>1457.5163085714287</v>
      </c>
      <c r="H172" s="108">
        <f>SUM(D172:G172)</f>
        <v>6877.4018635714283</v>
      </c>
      <c r="I172" s="61"/>
      <c r="J172" s="165"/>
      <c r="L172" s="157"/>
      <c r="M172" s="126"/>
    </row>
    <row r="173" spans="2:13" x14ac:dyDescent="0.3">
      <c r="B173" s="64" t="s">
        <v>17</v>
      </c>
      <c r="C173" s="22" t="s">
        <v>10</v>
      </c>
      <c r="D173" s="23">
        <f>D172*$D$127</f>
        <v>181206.97799500002</v>
      </c>
      <c r="E173" s="23">
        <f>E172*$D$127</f>
        <v>202889.05452000001</v>
      </c>
      <c r="F173" s="23">
        <f>F172*$D$127</f>
        <v>163312.40854</v>
      </c>
      <c r="G173" s="23">
        <f>G172*$D$127</f>
        <v>147209.1471657143</v>
      </c>
      <c r="H173" s="110">
        <f>H172*105</f>
        <v>722127.19567499997</v>
      </c>
      <c r="I173" s="63"/>
      <c r="L173" s="157"/>
      <c r="M173" s="126"/>
    </row>
    <row r="174" spans="2:13" x14ac:dyDescent="0.3">
      <c r="B174" s="64" t="s">
        <v>16</v>
      </c>
      <c r="C174" s="22" t="s">
        <v>10</v>
      </c>
      <c r="D174" s="23">
        <f>D132</f>
        <v>199986.34</v>
      </c>
      <c r="E174" s="23">
        <f>E132</f>
        <v>205531.08000000002</v>
      </c>
      <c r="F174" s="23">
        <f>F132</f>
        <v>197881.37</v>
      </c>
      <c r="G174" s="23">
        <f>G132</f>
        <v>174820.75</v>
      </c>
      <c r="H174" s="112">
        <f>SUM(D174:G174)</f>
        <v>778219.54</v>
      </c>
      <c r="I174" s="63"/>
      <c r="J174" s="159"/>
      <c r="L174" s="157"/>
      <c r="M174" s="126"/>
    </row>
    <row r="175" spans="2:13" x14ac:dyDescent="0.3">
      <c r="B175" s="64" t="s">
        <v>39</v>
      </c>
      <c r="C175" s="22"/>
      <c r="D175" s="186">
        <v>13.951000000000001</v>
      </c>
      <c r="E175" s="186">
        <v>13.944000000000001</v>
      </c>
      <c r="F175" s="186">
        <v>13.958</v>
      </c>
      <c r="G175" s="186">
        <v>13.967000000000001</v>
      </c>
      <c r="H175" s="113">
        <f>AVERAGE(D175:G175)</f>
        <v>13.955</v>
      </c>
      <c r="I175" s="87"/>
      <c r="L175" s="157"/>
      <c r="M175" s="126"/>
    </row>
    <row r="176" spans="2:13" x14ac:dyDescent="0.3">
      <c r="B176" s="21" t="s">
        <v>22</v>
      </c>
      <c r="C176" s="22" t="s">
        <v>19</v>
      </c>
      <c r="D176" s="23">
        <f t="shared" ref="D176:G176" si="5">IFERROR(D174/D172,"")</f>
        <v>111.46712209149767</v>
      </c>
      <c r="E176" s="23">
        <f t="shared" si="5"/>
        <v>102.31522409679175</v>
      </c>
      <c r="F176" s="23">
        <f t="shared" si="5"/>
        <v>122.37905587624003</v>
      </c>
      <c r="G176" s="23">
        <f t="shared" si="5"/>
        <v>119.94428396574784</v>
      </c>
      <c r="H176" s="112">
        <f>H174/H172</f>
        <v>113.15603703807288</v>
      </c>
      <c r="I176" s="65"/>
      <c r="L176" s="157"/>
      <c r="M176" s="126"/>
    </row>
    <row r="177" spans="2:13" x14ac:dyDescent="0.3">
      <c r="B177" s="21" t="s">
        <v>23</v>
      </c>
      <c r="C177" s="22" t="s">
        <v>19</v>
      </c>
      <c r="D177" s="23">
        <v>101</v>
      </c>
      <c r="E177" s="23">
        <v>101</v>
      </c>
      <c r="F177" s="23">
        <v>101</v>
      </c>
      <c r="G177" s="23">
        <v>101</v>
      </c>
      <c r="H177" s="114">
        <v>101</v>
      </c>
      <c r="I177" s="65"/>
      <c r="L177" s="157"/>
      <c r="M177" s="126"/>
    </row>
    <row r="178" spans="2:13" x14ac:dyDescent="0.3">
      <c r="D178" s="24" t="s">
        <v>40</v>
      </c>
    </row>
    <row r="215" spans="2:12" s="4" customFormat="1" ht="15" thickBot="1" x14ac:dyDescent="0.35">
      <c r="I215" s="163"/>
      <c r="J215" s="163"/>
      <c r="K215" s="163"/>
      <c r="L215" s="151"/>
    </row>
    <row r="216" spans="2:12" ht="15" thickTop="1" x14ac:dyDescent="0.3"/>
    <row r="221" spans="2:12" ht="25.8" hidden="1" x14ac:dyDescent="0.5">
      <c r="B221" s="246" t="s">
        <v>24</v>
      </c>
      <c r="C221" s="246"/>
      <c r="D221" s="246"/>
      <c r="E221" s="246"/>
      <c r="F221" s="246"/>
      <c r="G221" s="246"/>
    </row>
    <row r="222" spans="2:12" hidden="1" x14ac:dyDescent="0.3"/>
    <row r="223" spans="2:12" ht="22.8" hidden="1" thickBot="1" x14ac:dyDescent="0.5">
      <c r="B223" s="28" t="s">
        <v>25</v>
      </c>
      <c r="C223" s="29" t="s">
        <v>26</v>
      </c>
      <c r="D223" s="29" t="s">
        <v>27</v>
      </c>
      <c r="E223" s="180" t="s">
        <v>28</v>
      </c>
    </row>
    <row r="224" spans="2:12" ht="23.4" hidden="1" x14ac:dyDescent="0.45">
      <c r="B224" s="31"/>
      <c r="C224" s="26"/>
      <c r="D224" s="26"/>
      <c r="E224" s="32"/>
    </row>
    <row r="225" spans="2:5" ht="22.2" hidden="1" x14ac:dyDescent="0.45">
      <c r="B225" s="33">
        <v>44743</v>
      </c>
      <c r="C225" s="89">
        <v>1056523.5</v>
      </c>
      <c r="D225" s="90">
        <v>1501785</v>
      </c>
      <c r="E225" s="181">
        <f>C225+D225</f>
        <v>2558308.5</v>
      </c>
    </row>
    <row r="226" spans="2:5" ht="22.2" hidden="1" x14ac:dyDescent="0.45">
      <c r="B226" s="33">
        <v>44774</v>
      </c>
      <c r="C226" s="92">
        <v>1649443.5</v>
      </c>
      <c r="D226" s="92">
        <v>863715</v>
      </c>
      <c r="E226" s="181">
        <f t="shared" ref="E226:E236" si="6">C226+D226</f>
        <v>2513158.5</v>
      </c>
    </row>
    <row r="227" spans="2:5" ht="22.2" hidden="1" x14ac:dyDescent="0.45">
      <c r="B227" s="33">
        <v>44805</v>
      </c>
      <c r="C227" s="92">
        <v>1346098.5</v>
      </c>
      <c r="D227" s="92">
        <v>1119105</v>
      </c>
      <c r="E227" s="181">
        <f t="shared" si="6"/>
        <v>2465203.5</v>
      </c>
    </row>
    <row r="228" spans="2:5" ht="22.2" hidden="1" x14ac:dyDescent="0.45">
      <c r="B228" s="33">
        <v>44835</v>
      </c>
      <c r="C228" s="92">
        <v>2573653.5</v>
      </c>
      <c r="D228" s="92">
        <v>0</v>
      </c>
      <c r="E228" s="181">
        <f t="shared" si="6"/>
        <v>2573653.5</v>
      </c>
    </row>
    <row r="229" spans="2:5" ht="22.2" hidden="1" x14ac:dyDescent="0.45">
      <c r="B229" s="33">
        <v>44866</v>
      </c>
      <c r="C229" s="92">
        <v>2239123.5</v>
      </c>
      <c r="D229" s="92">
        <v>0</v>
      </c>
      <c r="E229" s="181">
        <f t="shared" si="6"/>
        <v>2239123.5</v>
      </c>
    </row>
    <row r="230" spans="2:5" ht="22.2" hidden="1" x14ac:dyDescent="0.45">
      <c r="B230" s="33">
        <v>44896</v>
      </c>
      <c r="C230" s="92">
        <v>3815869.5</v>
      </c>
      <c r="D230" s="92">
        <v>0</v>
      </c>
      <c r="E230" s="181">
        <f t="shared" si="6"/>
        <v>3815869.5</v>
      </c>
    </row>
    <row r="231" spans="2:5" ht="22.2" hidden="1" x14ac:dyDescent="0.45">
      <c r="B231" s="33">
        <v>44927</v>
      </c>
      <c r="C231" s="92">
        <v>3876876</v>
      </c>
      <c r="D231" s="92">
        <v>0</v>
      </c>
      <c r="E231" s="181">
        <f t="shared" si="6"/>
        <v>3876876</v>
      </c>
    </row>
    <row r="232" spans="2:5" ht="22.2" hidden="1" x14ac:dyDescent="0.45">
      <c r="B232" s="33">
        <v>44958</v>
      </c>
      <c r="C232" s="92">
        <v>2565432</v>
      </c>
      <c r="D232" s="92">
        <v>427935</v>
      </c>
      <c r="E232" s="181">
        <f t="shared" si="6"/>
        <v>2993367</v>
      </c>
    </row>
    <row r="233" spans="2:5" ht="22.2" hidden="1" x14ac:dyDescent="0.45">
      <c r="B233" s="33">
        <v>44986</v>
      </c>
      <c r="C233" s="92">
        <v>2163847.5</v>
      </c>
      <c r="D233" s="92">
        <v>0</v>
      </c>
      <c r="E233" s="181">
        <f t="shared" si="6"/>
        <v>2163847.5</v>
      </c>
    </row>
    <row r="234" spans="2:5" ht="22.2" hidden="1" x14ac:dyDescent="0.45">
      <c r="B234" s="33">
        <v>45017</v>
      </c>
      <c r="C234" s="92">
        <v>1103476.5</v>
      </c>
      <c r="D234" s="92">
        <v>0</v>
      </c>
      <c r="E234" s="181">
        <f t="shared" si="6"/>
        <v>1103476.5</v>
      </c>
    </row>
    <row r="235" spans="2:5" ht="22.2" hidden="1" x14ac:dyDescent="0.45">
      <c r="B235" s="33">
        <v>45047</v>
      </c>
      <c r="C235" s="92">
        <v>1210167</v>
      </c>
      <c r="D235" s="92">
        <v>0</v>
      </c>
      <c r="E235" s="181">
        <f t="shared" si="6"/>
        <v>1210167</v>
      </c>
    </row>
    <row r="236" spans="2:5" ht="22.2" hidden="1" x14ac:dyDescent="0.45">
      <c r="B236" s="33">
        <v>45078</v>
      </c>
      <c r="C236" s="92">
        <v>2359260</v>
      </c>
      <c r="D236" s="92">
        <v>0</v>
      </c>
      <c r="E236" s="181">
        <f t="shared" si="6"/>
        <v>2359260</v>
      </c>
    </row>
    <row r="237" spans="2:5" ht="22.8" hidden="1" thickBot="1" x14ac:dyDescent="0.5">
      <c r="B237" s="34"/>
      <c r="C237" s="27"/>
      <c r="D237" s="27"/>
      <c r="E237" s="35"/>
    </row>
    <row r="238" spans="2:5" ht="23.4" hidden="1" thickTop="1" thickBot="1" x14ac:dyDescent="0.5">
      <c r="B238" s="36"/>
      <c r="C238" s="37">
        <f>SUM(C225:C236)</f>
        <v>25959771</v>
      </c>
      <c r="D238" s="37">
        <f>SUM(D225:D236)</f>
        <v>3912540</v>
      </c>
      <c r="E238" s="38">
        <f>SUM(E225:E236)</f>
        <v>29872311</v>
      </c>
    </row>
    <row r="239" spans="2:5" hidden="1" x14ac:dyDescent="0.3"/>
    <row r="240" spans="2:5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</sheetData>
  <dataConsolidate/>
  <mergeCells count="7">
    <mergeCell ref="B221:G221"/>
    <mergeCell ref="B2:G2"/>
    <mergeCell ref="B47:G47"/>
    <mergeCell ref="B83:G83"/>
    <mergeCell ref="B124:G124"/>
    <mergeCell ref="B126:G126"/>
    <mergeCell ref="B170:G170"/>
  </mergeCells>
  <conditionalFormatting sqref="C4:D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{E03C3C25-7E3D-469F-93FB-7B6677405A2A}</x14:id>
        </ext>
      </extLst>
    </cfRule>
  </conditionalFormatting>
  <conditionalFormatting sqref="C49:D53 E6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{EB65BA39-2E8A-42A8-B9A3-A48C30CFC920}</x14:id>
        </ext>
      </extLst>
    </cfRule>
  </conditionalFormatting>
  <conditionalFormatting sqref="C85:D9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{4A6F2228-29C8-4FF7-B349-2EAE89AB30F4}</x14:id>
        </ext>
      </extLst>
    </cfRule>
  </conditionalFormatting>
  <conditionalFormatting sqref="C129:H12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{AF6375E6-0446-4932-BE94-DBA6994EE042}</x14:id>
        </ext>
      </extLst>
    </cfRule>
  </conditionalFormatting>
  <pageMargins left="0.7" right="0.7" top="0.75" bottom="0.75" header="0.3" footer="0.3"/>
  <pageSetup paperSize="9" orientation="portrait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3C3C25-7E3D-469F-93FB-7B6677405A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C4:D8</xm:sqref>
        </x14:conditionalFormatting>
        <x14:conditionalFormatting xmlns:xm="http://schemas.microsoft.com/office/excel/2006/main">
          <x14:cfRule type="dataBar" id="{EB65BA39-2E8A-42A8-B9A3-A48C30CFC9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C49:D53 E60</xm:sqref>
        </x14:conditionalFormatting>
        <x14:conditionalFormatting xmlns:xm="http://schemas.microsoft.com/office/excel/2006/main">
          <x14:cfRule type="dataBar" id="{4A6F2228-29C8-4FF7-B349-2EAE89AB30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C85:D90</xm:sqref>
        </x14:conditionalFormatting>
        <x14:conditionalFormatting xmlns:xm="http://schemas.microsoft.com/office/excel/2006/main">
          <x14:cfRule type="dataBar" id="{AF6375E6-0446-4932-BE94-DBA6994EE0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C129:H129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3F4F-FD69-4607-B027-AB9D5A56460D}">
  <sheetPr>
    <tabColor rgb="FF00B050"/>
    <pageSetUpPr autoPageBreaks="0"/>
  </sheetPr>
  <dimension ref="B2:N245"/>
  <sheetViews>
    <sheetView showGridLines="0" topLeftCell="A98" zoomScale="93" zoomScaleNormal="85" zoomScaleSheetLayoutView="115" workbookViewId="0">
      <selection activeCell="E116" sqref="E116"/>
    </sheetView>
  </sheetViews>
  <sheetFormatPr defaultColWidth="22.33203125" defaultRowHeight="14.4" x14ac:dyDescent="0.3"/>
  <cols>
    <col min="1" max="1" width="6.6640625" customWidth="1"/>
    <col min="2" max="2" width="28.109375" customWidth="1"/>
    <col min="3" max="3" width="17.109375" customWidth="1"/>
    <col min="4" max="4" width="15.77734375" customWidth="1"/>
    <col min="5" max="5" width="11.6640625" customWidth="1"/>
    <col min="6" max="6" width="11.33203125" customWidth="1"/>
    <col min="7" max="8" width="10.77734375" customWidth="1"/>
    <col min="9" max="11" width="22.33203125" style="157"/>
    <col min="12" max="12" width="22.33203125" style="126"/>
  </cols>
  <sheetData>
    <row r="2" spans="2:11" ht="25.8" x14ac:dyDescent="0.5">
      <c r="B2" s="246" t="s">
        <v>68</v>
      </c>
      <c r="C2" s="246"/>
      <c r="D2" s="246"/>
      <c r="E2" s="246"/>
      <c r="F2" s="246"/>
      <c r="G2" s="246"/>
      <c r="I2" s="155"/>
      <c r="J2" s="158"/>
    </row>
    <row r="3" spans="2:11" ht="4.5" customHeight="1" x14ac:dyDescent="0.3"/>
    <row r="4" spans="2:11" x14ac:dyDescent="0.3">
      <c r="B4" s="21" t="s">
        <v>52</v>
      </c>
      <c r="C4" s="168">
        <v>143000</v>
      </c>
      <c r="D4" s="22" t="s">
        <v>4</v>
      </c>
      <c r="E4" s="173"/>
      <c r="H4" s="67"/>
      <c r="I4" s="156"/>
    </row>
    <row r="5" spans="2:11" ht="28.8" x14ac:dyDescent="0.3">
      <c r="B5" s="21" t="s">
        <v>107</v>
      </c>
      <c r="C5" s="168">
        <f>(C4-Jun!C7)/9</f>
        <v>13557.71111111111</v>
      </c>
      <c r="D5" s="22" t="s">
        <v>4</v>
      </c>
      <c r="H5" s="67"/>
    </row>
    <row r="6" spans="2:11" x14ac:dyDescent="0.3">
      <c r="B6" s="21" t="s">
        <v>6</v>
      </c>
      <c r="C6" s="171">
        <f>SUM(D39:H39)</f>
        <v>6552.41</v>
      </c>
      <c r="D6" s="22" t="s">
        <v>4</v>
      </c>
      <c r="E6" s="173"/>
      <c r="G6" s="56"/>
      <c r="H6" s="67"/>
      <c r="I6" s="159"/>
    </row>
    <row r="7" spans="2:11" x14ac:dyDescent="0.3">
      <c r="B7" s="21" t="s">
        <v>66</v>
      </c>
      <c r="C7" s="171">
        <f>Jun!C7+Jul!C6</f>
        <v>27533.010000000002</v>
      </c>
      <c r="D7" s="22" t="s">
        <v>4</v>
      </c>
      <c r="E7" s="174"/>
      <c r="H7" s="67"/>
    </row>
    <row r="8" spans="2:11" x14ac:dyDescent="0.3">
      <c r="B8" s="21" t="s">
        <v>2</v>
      </c>
      <c r="C8" s="171">
        <f>SUM(D38:G38)</f>
        <v>0</v>
      </c>
      <c r="D8" s="22" t="s">
        <v>4</v>
      </c>
      <c r="F8" s="3"/>
    </row>
    <row r="9" spans="2:11" x14ac:dyDescent="0.3">
      <c r="I9" s="159"/>
    </row>
    <row r="10" spans="2:11" x14ac:dyDescent="0.3">
      <c r="D10" s="2"/>
      <c r="E10" s="175"/>
      <c r="F10" s="2"/>
      <c r="G10" s="2"/>
      <c r="I10" s="159"/>
    </row>
    <row r="11" spans="2:11" x14ac:dyDescent="0.3">
      <c r="D11" s="2"/>
      <c r="E11" s="175"/>
      <c r="F11" s="2"/>
      <c r="G11" s="2"/>
    </row>
    <row r="12" spans="2:11" x14ac:dyDescent="0.3">
      <c r="D12" s="2"/>
      <c r="E12" s="175"/>
      <c r="F12" s="2"/>
      <c r="G12" s="2"/>
    </row>
    <row r="13" spans="2:11" x14ac:dyDescent="0.3">
      <c r="J13" s="160"/>
      <c r="K13" s="160"/>
    </row>
    <row r="19" spans="2:12" x14ac:dyDescent="0.3">
      <c r="H19" s="67"/>
    </row>
    <row r="28" spans="2:12" s="101" customFormat="1" x14ac:dyDescent="0.3">
      <c r="B28"/>
      <c r="C28" s="57"/>
      <c r="D28" s="57"/>
      <c r="E28" s="173"/>
      <c r="F28" s="57"/>
      <c r="G28"/>
      <c r="H28"/>
      <c r="I28" s="157"/>
      <c r="J28" s="157"/>
      <c r="K28" s="161"/>
      <c r="L28" s="149"/>
    </row>
    <row r="29" spans="2:12" s="101" customFormat="1" x14ac:dyDescent="0.3">
      <c r="B29"/>
      <c r="C29"/>
      <c r="D29" s="56"/>
      <c r="E29"/>
      <c r="F29"/>
      <c r="G29"/>
      <c r="H29"/>
      <c r="I29" s="157"/>
      <c r="J29" s="157"/>
      <c r="K29" s="161"/>
      <c r="L29" s="149"/>
    </row>
    <row r="30" spans="2:12" s="101" customFormat="1" hidden="1" x14ac:dyDescent="0.3">
      <c r="B30"/>
      <c r="C30"/>
      <c r="D30"/>
      <c r="E30"/>
      <c r="F30"/>
      <c r="G30"/>
      <c r="H30"/>
      <c r="I30" s="157"/>
      <c r="J30" s="157"/>
      <c r="K30" s="161"/>
      <c r="L30" s="149"/>
    </row>
    <row r="31" spans="2:12" s="101" customFormat="1" hidden="1" x14ac:dyDescent="0.3">
      <c r="B31"/>
      <c r="C31"/>
      <c r="D31"/>
      <c r="E31"/>
      <c r="F31"/>
      <c r="G31"/>
      <c r="H31"/>
      <c r="I31" s="157"/>
      <c r="J31" s="157"/>
      <c r="K31" s="161"/>
      <c r="L31" s="149"/>
    </row>
    <row r="32" spans="2:12" s="101" customFormat="1" hidden="1" x14ac:dyDescent="0.3">
      <c r="B32"/>
      <c r="C32"/>
      <c r="D32"/>
      <c r="E32"/>
      <c r="F32"/>
      <c r="G32"/>
      <c r="H32"/>
      <c r="I32" s="157"/>
      <c r="J32" s="157"/>
      <c r="K32" s="161"/>
      <c r="L32" s="149"/>
    </row>
    <row r="33" spans="2:12" s="101" customFormat="1" ht="16.5" customHeight="1" x14ac:dyDescent="0.3">
      <c r="B33"/>
      <c r="C33"/>
      <c r="D33" s="57"/>
      <c r="E33" s="173"/>
      <c r="F33" s="57"/>
      <c r="G33" s="57"/>
      <c r="H33"/>
      <c r="I33" s="157"/>
      <c r="J33" s="157"/>
      <c r="K33" s="161"/>
      <c r="L33" s="149"/>
    </row>
    <row r="34" spans="2:12" ht="27.6" x14ac:dyDescent="0.3">
      <c r="B34" s="1"/>
      <c r="C34" s="1"/>
      <c r="D34" s="97" t="s">
        <v>171</v>
      </c>
      <c r="E34" s="97" t="s">
        <v>172</v>
      </c>
      <c r="F34" s="97" t="s">
        <v>173</v>
      </c>
      <c r="G34" s="97" t="s">
        <v>174</v>
      </c>
      <c r="H34" s="97" t="s">
        <v>175</v>
      </c>
    </row>
    <row r="35" spans="2:12" hidden="1" x14ac:dyDescent="0.3">
      <c r="B35" s="1"/>
      <c r="C35" s="1"/>
      <c r="D35" s="43"/>
      <c r="E35" s="177"/>
      <c r="F35" s="43"/>
      <c r="G35" s="43"/>
      <c r="H35" s="43"/>
    </row>
    <row r="36" spans="2:12" ht="16.95" customHeight="1" x14ac:dyDescent="0.3">
      <c r="B36" s="12" t="s">
        <v>135</v>
      </c>
      <c r="C36" s="6" t="s">
        <v>4</v>
      </c>
      <c r="D36" s="54">
        <v>942.07</v>
      </c>
      <c r="E36" s="54">
        <v>2020.91</v>
      </c>
      <c r="F36" s="54">
        <v>1376.38</v>
      </c>
      <c r="G36" s="54">
        <v>1366.86</v>
      </c>
      <c r="H36" s="54">
        <v>846.19</v>
      </c>
    </row>
    <row r="37" spans="2:12" x14ac:dyDescent="0.3">
      <c r="B37" s="12" t="s">
        <v>110</v>
      </c>
      <c r="C37" s="6"/>
      <c r="D37" s="119"/>
      <c r="E37" s="119"/>
      <c r="F37" s="119"/>
      <c r="G37" s="119"/>
      <c r="H37" s="119"/>
    </row>
    <row r="38" spans="2:12" ht="15" hidden="1" thickBot="1" x14ac:dyDescent="0.35">
      <c r="B38" s="12"/>
      <c r="C38" s="6"/>
      <c r="D38" s="120"/>
      <c r="E38" s="178"/>
      <c r="F38" s="121"/>
      <c r="G38" s="122"/>
      <c r="H38" s="122"/>
    </row>
    <row r="39" spans="2:12" x14ac:dyDescent="0.3">
      <c r="B39" s="12" t="s">
        <v>3</v>
      </c>
      <c r="C39" s="6" t="s">
        <v>4</v>
      </c>
      <c r="D39" s="75">
        <f>D37+D36</f>
        <v>942.07</v>
      </c>
      <c r="E39" s="75">
        <f>IF(E37+E36="",0,E37+E36)</f>
        <v>2020.91</v>
      </c>
      <c r="F39" s="75">
        <f t="shared" ref="F39:G39" si="0">IF(F37+F36="",0,F37+F36)</f>
        <v>1376.38</v>
      </c>
      <c r="G39" s="75">
        <f t="shared" si="0"/>
        <v>1366.86</v>
      </c>
      <c r="H39" s="75">
        <f t="shared" ref="H39" si="1">IF(H37+H36="",0,H37+H36)</f>
        <v>846.19</v>
      </c>
      <c r="I39" s="162"/>
      <c r="J39" s="159"/>
    </row>
    <row r="40" spans="2:12" x14ac:dyDescent="0.3">
      <c r="B40" s="12" t="s">
        <v>108</v>
      </c>
      <c r="C40" s="8"/>
      <c r="D40" s="76">
        <f>D39</f>
        <v>942.07</v>
      </c>
      <c r="E40" s="76">
        <f>E39+D40</f>
        <v>2962.98</v>
      </c>
      <c r="F40" s="76">
        <f>F39+E40</f>
        <v>4339.3600000000006</v>
      </c>
      <c r="G40" s="76">
        <f>G39+F40</f>
        <v>5706.22</v>
      </c>
      <c r="H40" s="76">
        <f>H39+G40</f>
        <v>6552.41</v>
      </c>
      <c r="I40" s="162"/>
    </row>
    <row r="41" spans="2:12" x14ac:dyDescent="0.3">
      <c r="B41" s="12" t="s">
        <v>109</v>
      </c>
      <c r="C41" s="6" t="s">
        <v>4</v>
      </c>
      <c r="D41" s="75">
        <f>(C5/31)*5</f>
        <v>2186.7275985663077</v>
      </c>
      <c r="E41" s="75">
        <f>((C5/31)*12)-D40</f>
        <v>4306.076236559139</v>
      </c>
      <c r="F41" s="75">
        <f>((C5/31)*19)-E40</f>
        <v>5346.5848745519706</v>
      </c>
      <c r="G41" s="75">
        <f>((C5/31)*26)-F40</f>
        <v>7031.6235125448002</v>
      </c>
      <c r="H41" s="227">
        <f>((C5/31)*31)-G40</f>
        <v>7851.4911111111096</v>
      </c>
      <c r="I41" s="165"/>
      <c r="J41" s="165"/>
    </row>
    <row r="42" spans="2:12" x14ac:dyDescent="0.3">
      <c r="B42" s="21"/>
      <c r="C42" s="85"/>
      <c r="D42" s="86"/>
      <c r="E42" s="86"/>
      <c r="F42" s="86"/>
      <c r="G42" s="86"/>
      <c r="H42" s="67"/>
      <c r="I42" s="165"/>
      <c r="J42" s="165"/>
    </row>
    <row r="43" spans="2:12" x14ac:dyDescent="0.3">
      <c r="B43" s="21"/>
      <c r="C43" s="85"/>
      <c r="D43" s="86"/>
      <c r="E43" s="86"/>
      <c r="F43" s="86"/>
      <c r="G43" s="86"/>
    </row>
    <row r="44" spans="2:12" s="4" customFormat="1" ht="15" thickBot="1" x14ac:dyDescent="0.35">
      <c r="D44" s="59"/>
      <c r="E44" s="59"/>
      <c r="F44" s="59"/>
      <c r="G44" s="59"/>
      <c r="I44" s="163"/>
      <c r="J44" s="163"/>
      <c r="K44" s="163"/>
      <c r="L44" s="151"/>
    </row>
    <row r="45" spans="2:12" ht="15" thickTop="1" x14ac:dyDescent="0.3">
      <c r="D45" s="67"/>
      <c r="E45" s="67"/>
      <c r="F45" s="67"/>
    </row>
    <row r="47" spans="2:12" ht="25.8" x14ac:dyDescent="0.5">
      <c r="B47" s="246" t="s">
        <v>69</v>
      </c>
      <c r="C47" s="246"/>
      <c r="D47" s="246"/>
      <c r="E47" s="246"/>
      <c r="F47" s="246"/>
      <c r="G47" s="246"/>
      <c r="I47" s="159"/>
      <c r="J47" s="162"/>
    </row>
    <row r="48" spans="2:12" ht="4.95" customHeight="1" x14ac:dyDescent="0.3"/>
    <row r="49" spans="2:8" x14ac:dyDescent="0.3">
      <c r="B49" s="21" t="s">
        <v>52</v>
      </c>
      <c r="C49" s="168">
        <v>9907200</v>
      </c>
      <c r="D49" s="22" t="s">
        <v>8</v>
      </c>
      <c r="H49" s="96"/>
    </row>
    <row r="50" spans="2:8" x14ac:dyDescent="0.3">
      <c r="B50" s="21" t="s">
        <v>31</v>
      </c>
      <c r="C50" s="168">
        <f>(C49-Jun!C52)/9</f>
        <v>910328.88888888888</v>
      </c>
      <c r="D50" s="22" t="s">
        <v>8</v>
      </c>
    </row>
    <row r="51" spans="2:8" x14ac:dyDescent="0.3">
      <c r="B51" s="21" t="s">
        <v>6</v>
      </c>
      <c r="C51" s="171">
        <f>SUM(D78:H78)</f>
        <v>343289</v>
      </c>
      <c r="D51" s="22" t="s">
        <v>8</v>
      </c>
      <c r="E51" s="173"/>
    </row>
    <row r="52" spans="2:8" x14ac:dyDescent="0.3">
      <c r="B52" s="21" t="s">
        <v>67</v>
      </c>
      <c r="C52" s="171">
        <f>Jun!C52+Jul!C51</f>
        <v>2057529</v>
      </c>
      <c r="D52" s="22" t="s">
        <v>8</v>
      </c>
      <c r="E52" s="173"/>
    </row>
    <row r="53" spans="2:8" x14ac:dyDescent="0.3">
      <c r="B53" s="21" t="s">
        <v>9</v>
      </c>
      <c r="C53" s="171">
        <f>C50-C51</f>
        <v>567039.88888888888</v>
      </c>
      <c r="D53" s="22" t="s">
        <v>8</v>
      </c>
    </row>
    <row r="60" spans="2:8" x14ac:dyDescent="0.3">
      <c r="E60" s="22" t="s">
        <v>8</v>
      </c>
    </row>
    <row r="77" spans="2:8" ht="27.6" x14ac:dyDescent="0.3">
      <c r="B77" s="1"/>
      <c r="C77" s="1"/>
      <c r="D77" s="97" t="str">
        <f>D34</f>
        <v>WEEK 1
(Jul1-5)</v>
      </c>
      <c r="E77" s="97" t="str">
        <f>E34</f>
        <v>WEEK 2
(Jul6-12)</v>
      </c>
      <c r="F77" s="97" t="str">
        <f>F34</f>
        <v>WEEK 3
(Jul13-19)</v>
      </c>
      <c r="G77" s="97" t="str">
        <f>G34</f>
        <v>WEEK 4
(Jul20-26)</v>
      </c>
      <c r="H77" s="97" t="str">
        <f>H34</f>
        <v>WEEK 5
(Jul27-31)</v>
      </c>
    </row>
    <row r="78" spans="2:8" x14ac:dyDescent="0.3">
      <c r="B78" s="5" t="s">
        <v>1</v>
      </c>
      <c r="C78" s="9" t="s">
        <v>8</v>
      </c>
      <c r="D78" s="184">
        <v>31902</v>
      </c>
      <c r="E78" s="184">
        <v>36711</v>
      </c>
      <c r="F78" s="184">
        <v>91966</v>
      </c>
      <c r="G78" s="184">
        <v>97886</v>
      </c>
      <c r="H78" s="184">
        <v>84824</v>
      </c>
    </row>
    <row r="79" spans="2:8" x14ac:dyDescent="0.3">
      <c r="B79" s="7" t="s">
        <v>5</v>
      </c>
      <c r="C79" s="9" t="s">
        <v>8</v>
      </c>
      <c r="D79" s="98">
        <f>D78</f>
        <v>31902</v>
      </c>
      <c r="E79" s="98">
        <f>D79+E78</f>
        <v>68613</v>
      </c>
      <c r="F79" s="98">
        <f>E79+F78</f>
        <v>160579</v>
      </c>
      <c r="G79" s="98">
        <f>F79+G78</f>
        <v>258465</v>
      </c>
      <c r="H79" s="98">
        <f>G79+H78</f>
        <v>343289</v>
      </c>
    </row>
    <row r="80" spans="2:8" x14ac:dyDescent="0.3">
      <c r="B80" s="5" t="s">
        <v>9</v>
      </c>
      <c r="C80" s="9" t="s">
        <v>8</v>
      </c>
      <c r="D80" s="98">
        <f>(C50/31)*5</f>
        <v>146827.24014336918</v>
      </c>
      <c r="E80" s="98">
        <f>(($C50/31)*12)-D79</f>
        <v>320483.37634408602</v>
      </c>
      <c r="F80" s="98">
        <f>(($C50/31)*19)-E79</f>
        <v>489330.51254480286</v>
      </c>
      <c r="G80" s="98">
        <f>(($C50/31)*26)-F79</f>
        <v>602922.64874551969</v>
      </c>
      <c r="H80" s="98">
        <f>(($C50/31)*31)-G79</f>
        <v>651863.88888888888</v>
      </c>
    </row>
    <row r="81" spans="2:12" s="4" customFormat="1" ht="15" thickBot="1" x14ac:dyDescent="0.35">
      <c r="I81" s="163"/>
      <c r="J81" s="163"/>
      <c r="K81" s="163"/>
      <c r="L81" s="151"/>
    </row>
    <row r="82" spans="2:12" ht="15" thickTop="1" x14ac:dyDescent="0.3"/>
    <row r="83" spans="2:12" s="101" customFormat="1" ht="25.8" x14ac:dyDescent="0.5">
      <c r="B83" s="246" t="s">
        <v>70</v>
      </c>
      <c r="C83" s="246"/>
      <c r="D83" s="246"/>
      <c r="E83" s="246"/>
      <c r="F83" s="246"/>
      <c r="G83" s="246"/>
      <c r="H83"/>
      <c r="I83" s="157"/>
      <c r="J83" s="157"/>
      <c r="K83" s="161"/>
      <c r="L83" s="149"/>
    </row>
    <row r="84" spans="2:12" s="101" customFormat="1" ht="6.45" customHeight="1" x14ac:dyDescent="0.3">
      <c r="B84"/>
      <c r="C84"/>
      <c r="D84"/>
      <c r="E84"/>
      <c r="F84"/>
      <c r="G84"/>
      <c r="H84"/>
      <c r="I84" s="157"/>
      <c r="J84" s="157"/>
      <c r="K84" s="161"/>
      <c r="L84" s="149"/>
    </row>
    <row r="85" spans="2:12" s="101" customFormat="1" ht="16.2" x14ac:dyDescent="0.3">
      <c r="B85" s="172" t="s">
        <v>52</v>
      </c>
      <c r="C85" s="168">
        <v>10000000</v>
      </c>
      <c r="D85" s="22" t="s">
        <v>11</v>
      </c>
      <c r="E85"/>
      <c r="F85"/>
      <c r="G85"/>
      <c r="H85"/>
      <c r="I85" s="157"/>
      <c r="J85" s="157"/>
      <c r="K85" s="161"/>
      <c r="L85" s="149"/>
    </row>
    <row r="86" spans="2:12" s="101" customFormat="1" ht="16.2" x14ac:dyDescent="0.3">
      <c r="B86" s="172" t="s">
        <v>31</v>
      </c>
      <c r="C86" s="168">
        <f>(C85-May!C88)/10</f>
        <v>914814.9</v>
      </c>
      <c r="D86" s="22" t="s">
        <v>11</v>
      </c>
      <c r="E86"/>
      <c r="H86"/>
      <c r="I86" s="157"/>
      <c r="J86" s="157"/>
      <c r="K86" s="161"/>
      <c r="L86" s="149"/>
    </row>
    <row r="87" spans="2:12" s="101" customFormat="1" ht="16.2" x14ac:dyDescent="0.3">
      <c r="B87" s="172" t="s">
        <v>1</v>
      </c>
      <c r="C87" s="171">
        <f>SUM(D114:H114)</f>
        <v>423485</v>
      </c>
      <c r="D87" s="22" t="s">
        <v>11</v>
      </c>
      <c r="E87" s="173"/>
      <c r="F87"/>
      <c r="G87"/>
      <c r="H87"/>
      <c r="I87" s="157"/>
      <c r="J87" s="157"/>
      <c r="K87" s="161"/>
      <c r="L87" s="149"/>
    </row>
    <row r="88" spans="2:12" s="101" customFormat="1" ht="16.2" x14ac:dyDescent="0.3">
      <c r="B88" s="172" t="s">
        <v>67</v>
      </c>
      <c r="C88" s="171">
        <f>Jun!C88+Jul!C87</f>
        <v>1734899</v>
      </c>
      <c r="D88" s="22" t="s">
        <v>11</v>
      </c>
      <c r="E88" s="173"/>
      <c r="F88"/>
      <c r="G88"/>
      <c r="H88"/>
      <c r="I88" s="157"/>
      <c r="J88" s="157"/>
      <c r="K88" s="161"/>
      <c r="L88" s="149"/>
    </row>
    <row r="89" spans="2:12" s="101" customFormat="1" ht="16.2" x14ac:dyDescent="0.3">
      <c r="B89" s="172" t="s">
        <v>9</v>
      </c>
      <c r="C89" s="171">
        <f>C86-C87</f>
        <v>491329.9</v>
      </c>
      <c r="D89" s="22" t="s">
        <v>11</v>
      </c>
      <c r="E89" s="67"/>
      <c r="F89"/>
      <c r="G89"/>
      <c r="H89"/>
      <c r="I89" s="157"/>
      <c r="J89" s="157"/>
      <c r="K89" s="161"/>
      <c r="L89" s="149"/>
    </row>
    <row r="90" spans="2:12" s="101" customFormat="1" ht="7.5" customHeight="1" x14ac:dyDescent="0.3">
      <c r="B90"/>
      <c r="C90"/>
      <c r="D90"/>
      <c r="E90"/>
      <c r="F90"/>
      <c r="G90"/>
      <c r="H90"/>
      <c r="I90" s="157"/>
      <c r="J90" s="157"/>
      <c r="K90" s="161"/>
      <c r="L90" s="149"/>
    </row>
    <row r="103" spans="4:8" x14ac:dyDescent="0.3">
      <c r="H103" s="57"/>
    </row>
    <row r="112" spans="4:8" x14ac:dyDescent="0.3">
      <c r="D112" s="67"/>
      <c r="E112" s="67"/>
      <c r="F112" s="67"/>
    </row>
    <row r="113" spans="2:14" ht="27.6" x14ac:dyDescent="0.3">
      <c r="B113" s="1"/>
      <c r="C113" s="1"/>
      <c r="D113" s="97" t="str">
        <f>D77</f>
        <v>WEEK 1
(Jul1-5)</v>
      </c>
      <c r="E113" s="97" t="str">
        <f>E77</f>
        <v>WEEK 2
(Jul6-12)</v>
      </c>
      <c r="F113" s="97" t="str">
        <f>F77</f>
        <v>WEEK 3
(Jul13-19)</v>
      </c>
      <c r="G113" s="97" t="str">
        <f>G77</f>
        <v>WEEK 4
(Jul20-26)</v>
      </c>
      <c r="H113" s="97" t="str">
        <f>H77</f>
        <v>WEEK 5
(Jul27-31)</v>
      </c>
    </row>
    <row r="114" spans="2:14" ht="16.2" x14ac:dyDescent="0.3">
      <c r="B114" s="79" t="s">
        <v>43</v>
      </c>
      <c r="C114" s="9" t="s">
        <v>11</v>
      </c>
      <c r="D114" s="184">
        <v>58901</v>
      </c>
      <c r="E114" s="69">
        <v>147832</v>
      </c>
      <c r="F114" s="69">
        <v>108594</v>
      </c>
      <c r="G114" s="69">
        <v>78273</v>
      </c>
      <c r="H114" s="69">
        <v>29885</v>
      </c>
      <c r="I114" s="164"/>
      <c r="J114" s="162"/>
    </row>
    <row r="115" spans="2:14" ht="16.2" x14ac:dyDescent="0.3">
      <c r="B115" s="79" t="s">
        <v>41</v>
      </c>
      <c r="C115" s="9" t="s">
        <v>11</v>
      </c>
      <c r="D115" s="184">
        <f>D78*0.47</f>
        <v>14993.939999999999</v>
      </c>
      <c r="E115" s="184">
        <f>E78*0.47</f>
        <v>17254.169999999998</v>
      </c>
      <c r="F115" s="184">
        <f>F78*0.47</f>
        <v>43224.02</v>
      </c>
      <c r="G115" s="184">
        <f>G78*0.47</f>
        <v>46006.42</v>
      </c>
      <c r="H115" s="184">
        <f>H78*0.47</f>
        <v>39867.279999999999</v>
      </c>
    </row>
    <row r="116" spans="2:14" ht="16.2" x14ac:dyDescent="0.3">
      <c r="B116" s="79" t="s">
        <v>151</v>
      </c>
      <c r="C116" s="9" t="s">
        <v>11</v>
      </c>
      <c r="D116" s="184"/>
      <c r="E116" s="184"/>
      <c r="F116" s="184"/>
      <c r="G116" s="184"/>
      <c r="H116" s="184"/>
    </row>
    <row r="117" spans="2:14" ht="16.2" x14ac:dyDescent="0.3">
      <c r="B117" s="12" t="s">
        <v>12</v>
      </c>
      <c r="C117" s="9" t="s">
        <v>11</v>
      </c>
      <c r="D117" s="69"/>
      <c r="E117" s="69">
        <f>1216+1221+1155+1124+1144</f>
        <v>5860</v>
      </c>
      <c r="F117" s="69"/>
      <c r="G117" s="69"/>
      <c r="H117" s="69">
        <v>1444</v>
      </c>
      <c r="I117" s="164"/>
    </row>
    <row r="118" spans="2:14" x14ac:dyDescent="0.3">
      <c r="B118" s="12" t="s">
        <v>13</v>
      </c>
      <c r="C118" s="9" t="s">
        <v>10</v>
      </c>
      <c r="D118" s="69">
        <f t="shared" ref="D118:E118" si="2">SUM(D114:D117)</f>
        <v>73894.94</v>
      </c>
      <c r="E118" s="69">
        <f t="shared" si="2"/>
        <v>170946.16999999998</v>
      </c>
      <c r="F118" s="69">
        <f>SUM(F114:F117)</f>
        <v>151818.01999999999</v>
      </c>
      <c r="G118" s="69">
        <f>SUM(G114:G117)</f>
        <v>124279.42</v>
      </c>
      <c r="H118" s="69">
        <f>SUM(H114:H117)</f>
        <v>71196.28</v>
      </c>
    </row>
    <row r="119" spans="2:14" x14ac:dyDescent="0.3">
      <c r="B119" s="13" t="s">
        <v>5</v>
      </c>
      <c r="C119" s="9" t="s">
        <v>10</v>
      </c>
      <c r="D119" s="185">
        <f>D114</f>
        <v>58901</v>
      </c>
      <c r="E119" s="185">
        <f>D119+E114</f>
        <v>206733</v>
      </c>
      <c r="F119" s="185">
        <f t="shared" ref="F119:H119" si="3">E119+F114</f>
        <v>315327</v>
      </c>
      <c r="G119" s="185">
        <f t="shared" si="3"/>
        <v>393600</v>
      </c>
      <c r="H119" s="185">
        <f t="shared" si="3"/>
        <v>423485</v>
      </c>
    </row>
    <row r="120" spans="2:14" ht="28.8" x14ac:dyDescent="0.3">
      <c r="B120" s="187" t="s">
        <v>130</v>
      </c>
      <c r="C120" s="9" t="s">
        <v>10</v>
      </c>
      <c r="D120" s="188">
        <f>D36*101*0.7842</f>
        <v>74615.900694000011</v>
      </c>
      <c r="E120" s="188">
        <f>E36*101*0.7842</f>
        <v>160064.55982200001</v>
      </c>
      <c r="F120" s="188">
        <f>F36*101*0.7842</f>
        <v>109015.07679600001</v>
      </c>
      <c r="G120" s="188">
        <f>G36*101*0.7842</f>
        <v>108261.05281199999</v>
      </c>
      <c r="H120" s="188">
        <f>H36*101*0.7842</f>
        <v>67021.801997999995</v>
      </c>
    </row>
    <row r="121" spans="2:14" x14ac:dyDescent="0.3">
      <c r="B121" s="12" t="s">
        <v>53</v>
      </c>
      <c r="C121" s="9" t="s">
        <v>10</v>
      </c>
      <c r="D121" s="185">
        <f>(($C$86/31)*5)</f>
        <v>147550.79032258067</v>
      </c>
      <c r="E121" s="185">
        <f>(($C$86/31)*12)-D119</f>
        <v>295220.89677419356</v>
      </c>
      <c r="F121" s="185">
        <f>(($C$86/31)*19)-E119</f>
        <v>353960.00322580652</v>
      </c>
      <c r="G121" s="185">
        <f>(($C$86/31)*26)-F119</f>
        <v>451937.10967741942</v>
      </c>
      <c r="H121" s="185">
        <f>(($C$86/31)*31)-G119</f>
        <v>521214.9</v>
      </c>
    </row>
    <row r="122" spans="2:14" s="4" customFormat="1" ht="15" thickBot="1" x14ac:dyDescent="0.35">
      <c r="I122" s="163"/>
      <c r="J122" s="163"/>
      <c r="K122" s="163"/>
      <c r="L122" s="151"/>
    </row>
    <row r="123" spans="2:14" ht="15" thickTop="1" x14ac:dyDescent="0.3"/>
    <row r="124" spans="2:14" ht="25.8" x14ac:dyDescent="0.5">
      <c r="B124" s="246" t="s">
        <v>71</v>
      </c>
      <c r="C124" s="246"/>
      <c r="D124" s="246"/>
      <c r="E124" s="246"/>
      <c r="F124" s="246"/>
      <c r="G124" s="246"/>
    </row>
    <row r="125" spans="2:14" ht="4.05" customHeight="1" x14ac:dyDescent="0.3">
      <c r="B125" s="20"/>
      <c r="C125" s="20"/>
      <c r="D125" s="20"/>
      <c r="E125" s="20"/>
      <c r="F125" s="20"/>
      <c r="G125" s="20"/>
    </row>
    <row r="126" spans="2:14" ht="14.55" customHeight="1" x14ac:dyDescent="0.3">
      <c r="B126" s="244" t="s">
        <v>20</v>
      </c>
      <c r="C126" s="244"/>
      <c r="D126" s="244"/>
      <c r="E126" s="244"/>
      <c r="F126" s="244"/>
      <c r="G126" s="244"/>
    </row>
    <row r="127" spans="2:14" x14ac:dyDescent="0.3">
      <c r="D127" s="19">
        <v>101</v>
      </c>
      <c r="E127" s="19" t="s">
        <v>18</v>
      </c>
    </row>
    <row r="128" spans="2:14" ht="27.6" x14ac:dyDescent="0.3">
      <c r="D128" s="176" t="str">
        <f>D77</f>
        <v>WEEK 1
(Jul1-5)</v>
      </c>
      <c r="E128" s="176" t="str">
        <f>E77</f>
        <v>WEEK 2
(Jul6-12)</v>
      </c>
      <c r="F128" s="176" t="str">
        <f>F77</f>
        <v>WEEK 3
(Jul13-19)</v>
      </c>
      <c r="G128" s="176" t="str">
        <f>G77</f>
        <v>WEEK 4
(Jul20-26)</v>
      </c>
      <c r="H128" s="176" t="str">
        <f>H77</f>
        <v>WEEK 5
(Jul27-31)</v>
      </c>
      <c r="I128" s="182" t="s">
        <v>37</v>
      </c>
      <c r="J128" s="74"/>
      <c r="L128" s="157"/>
      <c r="M128" s="157"/>
      <c r="N128" s="126"/>
    </row>
    <row r="129" spans="2:14" hidden="1" x14ac:dyDescent="0.3">
      <c r="D129" s="10"/>
      <c r="E129" s="179"/>
      <c r="F129" s="10"/>
      <c r="G129" s="10"/>
      <c r="H129" s="10"/>
      <c r="I129" s="107"/>
      <c r="J129" s="74"/>
      <c r="L129" s="157"/>
      <c r="M129" s="157"/>
      <c r="N129" s="126"/>
    </row>
    <row r="130" spans="2:14" x14ac:dyDescent="0.3">
      <c r="B130" s="172" t="s">
        <v>15</v>
      </c>
      <c r="C130" s="22" t="s">
        <v>10</v>
      </c>
      <c r="D130" s="23">
        <f>D36</f>
        <v>942.07</v>
      </c>
      <c r="E130" s="23">
        <f>E36</f>
        <v>2020.91</v>
      </c>
      <c r="F130" s="23">
        <f>F36</f>
        <v>1376.38</v>
      </c>
      <c r="G130" s="23">
        <f>G36</f>
        <v>1366.86</v>
      </c>
      <c r="H130" s="23">
        <f>H36</f>
        <v>846.19</v>
      </c>
      <c r="I130" s="109">
        <f>SUM(D130:H130)</f>
        <v>6552.41</v>
      </c>
      <c r="J130" s="78"/>
      <c r="L130" s="157"/>
      <c r="M130" s="157"/>
      <c r="N130" s="126"/>
    </row>
    <row r="131" spans="2:14" x14ac:dyDescent="0.3">
      <c r="B131" s="172" t="s">
        <v>17</v>
      </c>
      <c r="C131" s="22" t="s">
        <v>10</v>
      </c>
      <c r="D131" s="23">
        <f t="shared" ref="D131:I131" si="4">D134*D130</f>
        <v>95149.07</v>
      </c>
      <c r="E131" s="23">
        <f t="shared" si="4"/>
        <v>204111.91</v>
      </c>
      <c r="F131" s="23">
        <f t="shared" si="4"/>
        <v>139014.38</v>
      </c>
      <c r="G131" s="23">
        <f t="shared" si="4"/>
        <v>138052.85999999999</v>
      </c>
      <c r="H131" s="23">
        <f t="shared" ref="H131" si="5">H134*H130</f>
        <v>86311.38</v>
      </c>
      <c r="I131" s="110">
        <f t="shared" si="4"/>
        <v>661793.41</v>
      </c>
      <c r="J131" s="63"/>
      <c r="L131" s="157"/>
      <c r="M131" s="157"/>
      <c r="N131" s="126"/>
    </row>
    <row r="132" spans="2:14" x14ac:dyDescent="0.3">
      <c r="B132" s="172" t="s">
        <v>16</v>
      </c>
      <c r="C132" s="22" t="s">
        <v>10</v>
      </c>
      <c r="D132" s="23">
        <f t="shared" ref="D132:E132" si="6">D118</f>
        <v>73894.94</v>
      </c>
      <c r="E132" s="23">
        <f t="shared" si="6"/>
        <v>170946.16999999998</v>
      </c>
      <c r="F132" s="23">
        <f>F118</f>
        <v>151818.01999999999</v>
      </c>
      <c r="G132" s="23">
        <f>G118</f>
        <v>124279.42</v>
      </c>
      <c r="H132" s="23">
        <f>H118</f>
        <v>71196.28</v>
      </c>
      <c r="I132" s="109">
        <f>SUM(D132:H132)</f>
        <v>592134.82999999996</v>
      </c>
      <c r="J132" s="62"/>
      <c r="K132" s="159"/>
      <c r="L132" s="157"/>
      <c r="M132" s="157"/>
      <c r="N132" s="126"/>
    </row>
    <row r="133" spans="2:14" x14ac:dyDescent="0.3">
      <c r="B133" s="172" t="s">
        <v>22</v>
      </c>
      <c r="C133" s="22" t="s">
        <v>19</v>
      </c>
      <c r="D133" s="23">
        <f>IFERROR(D132/D130,"")</f>
        <v>78.438905813793028</v>
      </c>
      <c r="E133" s="23">
        <f>IFERROR(E132/E130,"")</f>
        <v>84.588710036567676</v>
      </c>
      <c r="F133" s="23">
        <f>IFERROR(F132/F130,"")</f>
        <v>110.30240195294903</v>
      </c>
      <c r="G133" s="23">
        <f>IFERROR(G132/G130,"")</f>
        <v>90.92329865531218</v>
      </c>
      <c r="H133" s="23">
        <f>IFERROR(H132/H130,"")</f>
        <v>84.1374632174807</v>
      </c>
      <c r="I133" s="110">
        <f>I132/I130</f>
        <v>90.369013843761294</v>
      </c>
      <c r="J133" s="63"/>
      <c r="L133" s="157"/>
      <c r="M133" s="157"/>
      <c r="N133" s="126"/>
    </row>
    <row r="134" spans="2:14" x14ac:dyDescent="0.3">
      <c r="B134" s="172" t="s">
        <v>23</v>
      </c>
      <c r="C134" s="22" t="s">
        <v>19</v>
      </c>
      <c r="D134" s="23">
        <v>101</v>
      </c>
      <c r="E134" s="23">
        <v>101</v>
      </c>
      <c r="F134" s="23">
        <v>101</v>
      </c>
      <c r="G134" s="23">
        <v>101</v>
      </c>
      <c r="H134" s="23">
        <v>102</v>
      </c>
      <c r="I134" s="116">
        <v>101</v>
      </c>
      <c r="J134" s="78"/>
      <c r="K134" s="162"/>
      <c r="L134" s="157"/>
      <c r="M134" s="157"/>
      <c r="N134" s="126"/>
    </row>
    <row r="135" spans="2:14" x14ac:dyDescent="0.3">
      <c r="B135" s="21"/>
      <c r="C135" s="22"/>
      <c r="D135" s="23"/>
      <c r="E135" s="23"/>
      <c r="F135" s="23"/>
      <c r="G135" s="23"/>
    </row>
    <row r="136" spans="2:14" x14ac:dyDescent="0.3">
      <c r="B136" s="21"/>
      <c r="C136" s="22"/>
      <c r="D136" s="23"/>
      <c r="E136" s="23"/>
      <c r="F136" s="23"/>
      <c r="G136" s="23"/>
    </row>
    <row r="137" spans="2:14" x14ac:dyDescent="0.3">
      <c r="B137" s="21"/>
      <c r="C137" s="22"/>
      <c r="D137" s="23"/>
      <c r="E137" s="23"/>
      <c r="F137" s="23"/>
      <c r="G137" s="23"/>
    </row>
    <row r="138" spans="2:14" x14ac:dyDescent="0.3">
      <c r="B138" s="21"/>
      <c r="C138" s="22"/>
      <c r="D138" s="23"/>
      <c r="E138" s="23"/>
      <c r="F138" s="23"/>
      <c r="G138" s="23"/>
    </row>
    <row r="139" spans="2:14" x14ac:dyDescent="0.3">
      <c r="B139" s="21"/>
      <c r="C139" s="22"/>
      <c r="D139" s="23"/>
      <c r="E139" s="23"/>
      <c r="F139" s="23"/>
      <c r="G139" s="23"/>
    </row>
    <row r="140" spans="2:14" x14ac:dyDescent="0.3">
      <c r="B140" s="21"/>
      <c r="C140" s="22"/>
      <c r="D140" s="23"/>
      <c r="E140" s="23"/>
      <c r="F140" s="23"/>
      <c r="G140" s="23"/>
    </row>
    <row r="141" spans="2:14" x14ac:dyDescent="0.3">
      <c r="B141" s="21"/>
      <c r="C141" s="22"/>
      <c r="D141" s="23"/>
      <c r="E141" s="23"/>
      <c r="F141" s="23"/>
      <c r="G141" s="23"/>
    </row>
    <row r="142" spans="2:14" x14ac:dyDescent="0.3">
      <c r="B142" s="21"/>
      <c r="C142" s="22"/>
      <c r="D142" s="23"/>
      <c r="E142" s="23"/>
      <c r="F142" s="23"/>
      <c r="G142" s="23"/>
    </row>
    <row r="143" spans="2:14" x14ac:dyDescent="0.3">
      <c r="B143" s="21"/>
      <c r="C143" s="22"/>
      <c r="D143" s="23"/>
      <c r="E143" s="23"/>
      <c r="F143" s="23"/>
      <c r="G143" s="23"/>
    </row>
    <row r="144" spans="2:14" x14ac:dyDescent="0.3">
      <c r="B144" s="21"/>
      <c r="C144" s="22"/>
      <c r="D144" s="23"/>
      <c r="E144" s="23"/>
      <c r="F144" s="23"/>
      <c r="G144" s="23"/>
      <c r="I144" s="183"/>
    </row>
    <row r="145" spans="2:13" x14ac:dyDescent="0.3">
      <c r="B145" s="21"/>
      <c r="C145" s="22"/>
      <c r="D145" s="23"/>
      <c r="E145" s="23"/>
      <c r="F145" s="23"/>
      <c r="G145" s="23"/>
    </row>
    <row r="146" spans="2:13" s="101" customFormat="1" x14ac:dyDescent="0.3">
      <c r="B146" s="21"/>
      <c r="C146" s="22"/>
      <c r="D146" s="23"/>
      <c r="E146" s="23"/>
      <c r="F146" s="23"/>
      <c r="G146" s="23"/>
      <c r="H146"/>
      <c r="I146" s="157"/>
      <c r="J146" s="157"/>
      <c r="K146" s="157"/>
      <c r="L146" s="126"/>
      <c r="M146"/>
    </row>
    <row r="147" spans="2:13" s="101" customFormat="1" x14ac:dyDescent="0.3">
      <c r="B147" s="21"/>
      <c r="C147" s="22"/>
      <c r="D147" s="23"/>
      <c r="E147" s="23"/>
      <c r="F147" s="23"/>
      <c r="G147" s="23"/>
      <c r="H147"/>
      <c r="I147" s="157"/>
      <c r="J147" s="157"/>
      <c r="K147" s="157"/>
      <c r="L147" s="126"/>
      <c r="M147"/>
    </row>
    <row r="148" spans="2:13" s="101" customFormat="1" x14ac:dyDescent="0.3">
      <c r="B148" s="21"/>
      <c r="C148" s="22"/>
      <c r="D148" s="23"/>
      <c r="E148" s="23"/>
      <c r="F148" s="23"/>
      <c r="G148" s="23"/>
      <c r="H148"/>
      <c r="I148" s="157"/>
      <c r="J148" s="157"/>
      <c r="K148" s="157"/>
      <c r="L148" s="126"/>
      <c r="M148"/>
    </row>
    <row r="149" spans="2:13" s="101" customFormat="1" x14ac:dyDescent="0.3">
      <c r="B149" s="21"/>
      <c r="C149" s="22"/>
      <c r="D149" s="23"/>
      <c r="E149" s="23"/>
      <c r="F149" s="23"/>
      <c r="G149" s="23"/>
      <c r="H149"/>
      <c r="I149" s="157"/>
      <c r="J149" s="157"/>
      <c r="K149" s="157"/>
      <c r="L149" s="126"/>
      <c r="M149"/>
    </row>
    <row r="150" spans="2:13" s="101" customFormat="1" x14ac:dyDescent="0.3">
      <c r="B150" s="21"/>
      <c r="C150" s="22"/>
      <c r="D150" s="23"/>
      <c r="E150" s="23"/>
      <c r="F150" s="23"/>
      <c r="G150" s="23"/>
      <c r="H150"/>
      <c r="I150" s="157"/>
      <c r="J150" s="157"/>
      <c r="K150" s="157"/>
      <c r="L150" s="126"/>
      <c r="M150"/>
    </row>
    <row r="151" spans="2:13" s="101" customFormat="1" x14ac:dyDescent="0.3">
      <c r="B151" s="21"/>
      <c r="C151" s="22"/>
      <c r="D151" s="23"/>
      <c r="E151" s="23"/>
      <c r="F151" s="23"/>
      <c r="G151" s="23"/>
      <c r="H151"/>
      <c r="I151" s="157"/>
      <c r="J151" s="157"/>
      <c r="K151" s="157"/>
      <c r="L151" s="126"/>
      <c r="M151"/>
    </row>
    <row r="152" spans="2:13" s="101" customFormat="1" x14ac:dyDescent="0.3">
      <c r="B152" s="21"/>
      <c r="C152" s="22"/>
      <c r="D152" s="23"/>
      <c r="E152" s="23"/>
      <c r="F152" s="23"/>
      <c r="G152" s="23"/>
      <c r="H152"/>
      <c r="I152" s="157"/>
      <c r="J152" s="157"/>
      <c r="K152" s="157"/>
      <c r="L152" s="126"/>
      <c r="M152"/>
    </row>
    <row r="153" spans="2:13" s="101" customFormat="1" x14ac:dyDescent="0.3">
      <c r="B153" s="21"/>
      <c r="C153" s="22"/>
      <c r="D153" s="23"/>
      <c r="E153" s="23"/>
      <c r="F153" s="23"/>
      <c r="G153" s="23"/>
      <c r="H153"/>
      <c r="I153" s="157"/>
      <c r="J153" s="157"/>
      <c r="K153" s="157"/>
      <c r="L153" s="126"/>
      <c r="M153"/>
    </row>
    <row r="154" spans="2:13" s="101" customFormat="1" x14ac:dyDescent="0.3">
      <c r="B154" s="21"/>
      <c r="C154" s="22"/>
      <c r="D154" s="23"/>
      <c r="E154" s="23"/>
      <c r="F154" s="23"/>
      <c r="G154" s="23"/>
      <c r="H154"/>
      <c r="I154" s="157"/>
      <c r="J154" s="157"/>
      <c r="K154" s="157"/>
      <c r="L154" s="126"/>
      <c r="M154"/>
    </row>
    <row r="155" spans="2:13" s="101" customFormat="1" x14ac:dyDescent="0.3">
      <c r="B155" s="21"/>
      <c r="C155" s="22"/>
      <c r="D155" s="23"/>
      <c r="E155" s="23"/>
      <c r="F155" s="23"/>
      <c r="G155" s="23"/>
      <c r="H155"/>
      <c r="I155" s="157"/>
      <c r="J155" s="157"/>
      <c r="K155" s="157"/>
      <c r="L155" s="126"/>
      <c r="M155"/>
    </row>
    <row r="156" spans="2:13" s="101" customFormat="1" x14ac:dyDescent="0.3">
      <c r="B156" s="21"/>
      <c r="C156" s="22"/>
      <c r="D156" s="23"/>
      <c r="E156" s="23"/>
      <c r="F156" s="23"/>
      <c r="G156" s="23"/>
      <c r="H156"/>
      <c r="I156" s="157"/>
      <c r="J156" s="157"/>
      <c r="K156" s="157"/>
      <c r="L156" s="126"/>
      <c r="M156"/>
    </row>
    <row r="157" spans="2:13" s="101" customFormat="1" x14ac:dyDescent="0.3">
      <c r="B157" s="21"/>
      <c r="C157" s="22"/>
      <c r="D157" s="23"/>
      <c r="E157" s="23"/>
      <c r="F157" s="23"/>
      <c r="G157" s="23"/>
      <c r="H157"/>
      <c r="I157" s="157"/>
      <c r="J157" s="157"/>
      <c r="K157" s="157"/>
      <c r="L157" s="126"/>
      <c r="M157"/>
    </row>
    <row r="158" spans="2:13" s="101" customFormat="1" x14ac:dyDescent="0.3">
      <c r="B158" s="21"/>
      <c r="C158" s="22"/>
      <c r="D158" s="23"/>
      <c r="E158" s="23"/>
      <c r="F158" s="23"/>
      <c r="G158" s="23"/>
      <c r="H158"/>
      <c r="I158" s="157"/>
      <c r="J158" s="157"/>
      <c r="K158" s="157"/>
      <c r="L158" s="126"/>
      <c r="M158"/>
    </row>
    <row r="159" spans="2:13" s="101" customFormat="1" x14ac:dyDescent="0.3">
      <c r="B159" s="21"/>
      <c r="C159" s="22"/>
      <c r="D159" s="23"/>
      <c r="E159" s="23"/>
      <c r="F159" s="23"/>
      <c r="G159" s="23"/>
      <c r="H159"/>
      <c r="I159" s="157"/>
      <c r="J159" s="157"/>
      <c r="K159" s="157"/>
      <c r="L159" s="126"/>
      <c r="M159"/>
    </row>
    <row r="160" spans="2:13" s="101" customFormat="1" x14ac:dyDescent="0.3">
      <c r="B160" s="21"/>
      <c r="C160" s="22"/>
      <c r="D160" s="23"/>
      <c r="E160" s="23"/>
      <c r="F160" s="23"/>
      <c r="G160" s="23"/>
      <c r="H160"/>
      <c r="I160" s="157"/>
      <c r="J160" s="157"/>
      <c r="K160" s="157"/>
      <c r="L160" s="126"/>
      <c r="M160"/>
    </row>
    <row r="161" spans="2:14" s="101" customFormat="1" x14ac:dyDescent="0.3">
      <c r="B161" s="21"/>
      <c r="C161" s="22"/>
      <c r="D161" s="23"/>
      <c r="E161" s="23"/>
      <c r="F161" s="23"/>
      <c r="G161" s="23"/>
      <c r="H161"/>
      <c r="I161" s="157"/>
      <c r="J161" s="157"/>
      <c r="K161" s="157"/>
      <c r="L161" s="126"/>
      <c r="M161"/>
    </row>
    <row r="162" spans="2:14" x14ac:dyDescent="0.3">
      <c r="B162" s="21"/>
      <c r="C162" s="22"/>
      <c r="D162" s="23"/>
      <c r="E162" s="23"/>
      <c r="F162" s="23"/>
      <c r="G162" s="23"/>
    </row>
    <row r="163" spans="2:14" x14ac:dyDescent="0.3">
      <c r="B163" s="21"/>
      <c r="C163" s="22"/>
      <c r="D163" s="23"/>
      <c r="E163" s="23"/>
      <c r="F163" s="23"/>
      <c r="G163" s="23"/>
    </row>
    <row r="164" spans="2:14" x14ac:dyDescent="0.3">
      <c r="B164" s="21"/>
      <c r="C164" s="22"/>
      <c r="D164" s="23"/>
      <c r="E164" s="23"/>
      <c r="F164" s="23"/>
      <c r="G164" s="23"/>
    </row>
    <row r="165" spans="2:14" x14ac:dyDescent="0.3">
      <c r="H165" s="57"/>
    </row>
    <row r="170" spans="2:14" ht="15.6" x14ac:dyDescent="0.3">
      <c r="B170" s="245" t="s">
        <v>21</v>
      </c>
      <c r="C170" s="245"/>
      <c r="D170" s="245"/>
      <c r="E170" s="245"/>
      <c r="F170" s="245"/>
      <c r="G170" s="245"/>
    </row>
    <row r="171" spans="2:14" ht="27.6" x14ac:dyDescent="0.3">
      <c r="D171" s="176" t="str">
        <f>D128</f>
        <v>WEEK 1
(Jul1-5)</v>
      </c>
      <c r="E171" s="176" t="str">
        <f>E128</f>
        <v>WEEK 2
(Jul6-12)</v>
      </c>
      <c r="F171" s="176" t="str">
        <f>F128</f>
        <v>WEEK 3
(Jul13-19)</v>
      </c>
      <c r="G171" s="176" t="str">
        <f>G128</f>
        <v>WEEK 4
(Jul20-26)</v>
      </c>
      <c r="H171" s="176" t="str">
        <f>H128</f>
        <v>WEEK 5
(Jul27-31)</v>
      </c>
      <c r="I171" s="111" t="s">
        <v>37</v>
      </c>
      <c r="J171" s="64"/>
      <c r="L171" s="157"/>
      <c r="M171" s="157"/>
      <c r="N171" s="126"/>
    </row>
    <row r="172" spans="2:14" x14ac:dyDescent="0.3">
      <c r="B172" s="64" t="s">
        <v>15</v>
      </c>
      <c r="C172" s="22" t="s">
        <v>10</v>
      </c>
      <c r="D172" s="23">
        <f>D130*(D175/14)</f>
        <v>933.99511428571429</v>
      </c>
      <c r="E172" s="23">
        <f>E130*(E175/14)</f>
        <v>2010.9498007142856</v>
      </c>
      <c r="F172" s="23">
        <f>F130*(F175/14)</f>
        <v>1362.9111385714286</v>
      </c>
      <c r="G172" s="23">
        <f>G130*(G175/14)</f>
        <v>1365.1026085714284</v>
      </c>
      <c r="H172" s="23">
        <f>H130*(H175/14)</f>
        <v>842.26126071428587</v>
      </c>
      <c r="I172" s="108">
        <f>SUM(D172:G172)</f>
        <v>5672.9586621428571</v>
      </c>
      <c r="J172" s="61"/>
      <c r="K172" s="165"/>
      <c r="L172" s="157"/>
      <c r="M172" s="157"/>
      <c r="N172" s="126"/>
    </row>
    <row r="173" spans="2:14" x14ac:dyDescent="0.3">
      <c r="B173" s="64" t="s">
        <v>17</v>
      </c>
      <c r="C173" s="22" t="s">
        <v>10</v>
      </c>
      <c r="D173" s="23">
        <f>D172*$D$127</f>
        <v>94333.50654285714</v>
      </c>
      <c r="E173" s="23">
        <f>E172*$D$127</f>
        <v>203105.92987214285</v>
      </c>
      <c r="F173" s="23">
        <f>F172*$D$127</f>
        <v>137654.02499571428</v>
      </c>
      <c r="G173" s="23">
        <f>G172*$D$127</f>
        <v>137875.36346571427</v>
      </c>
      <c r="H173" s="23">
        <f>H172*$D$127</f>
        <v>85068.387332142869</v>
      </c>
      <c r="I173" s="110">
        <f>I172*105</f>
        <v>595660.65952500002</v>
      </c>
      <c r="J173" s="63"/>
      <c r="L173" s="157"/>
      <c r="M173" s="157"/>
      <c r="N173" s="126"/>
    </row>
    <row r="174" spans="2:14" x14ac:dyDescent="0.3">
      <c r="B174" s="64" t="s">
        <v>16</v>
      </c>
      <c r="C174" s="22" t="s">
        <v>10</v>
      </c>
      <c r="D174" s="23">
        <f>D132</f>
        <v>73894.94</v>
      </c>
      <c r="E174" s="23">
        <f>E132</f>
        <v>170946.16999999998</v>
      </c>
      <c r="F174" s="23">
        <f>F132</f>
        <v>151818.01999999999</v>
      </c>
      <c r="G174" s="23">
        <f>G132</f>
        <v>124279.42</v>
      </c>
      <c r="H174" s="23">
        <f>H132</f>
        <v>71196.28</v>
      </c>
      <c r="I174" s="112">
        <f>SUM(D174:G174)</f>
        <v>520938.55</v>
      </c>
      <c r="J174" s="63"/>
      <c r="K174" s="159"/>
      <c r="L174" s="157"/>
      <c r="M174" s="157"/>
      <c r="N174" s="126"/>
    </row>
    <row r="175" spans="2:14" x14ac:dyDescent="0.3">
      <c r="B175" s="64" t="s">
        <v>39</v>
      </c>
      <c r="C175" s="22"/>
      <c r="D175" s="186">
        <v>13.88</v>
      </c>
      <c r="E175" s="186">
        <v>13.930999999999999</v>
      </c>
      <c r="F175" s="186">
        <v>13.863</v>
      </c>
      <c r="G175" s="186">
        <v>13.981999999999999</v>
      </c>
      <c r="H175" s="186">
        <v>13.935</v>
      </c>
      <c r="I175" s="113">
        <f>AVERAGE(D175:H175)</f>
        <v>13.918199999999999</v>
      </c>
      <c r="J175" s="87"/>
      <c r="L175" s="157"/>
      <c r="M175" s="157"/>
      <c r="N175" s="126"/>
    </row>
    <row r="176" spans="2:14" x14ac:dyDescent="0.3">
      <c r="B176" s="21" t="s">
        <v>22</v>
      </c>
      <c r="C176" s="22" t="s">
        <v>19</v>
      </c>
      <c r="D176" s="23">
        <f t="shared" ref="D176:H176" si="7">IFERROR(D174/D172,"")</f>
        <v>79.117051973566461</v>
      </c>
      <c r="E176" s="23">
        <f t="shared" si="7"/>
        <v>85.007676441888421</v>
      </c>
      <c r="F176" s="23">
        <f t="shared" si="7"/>
        <v>111.39245670787611</v>
      </c>
      <c r="G176" s="23">
        <f t="shared" si="7"/>
        <v>91.040350534570919</v>
      </c>
      <c r="H176" s="23">
        <f t="shared" si="7"/>
        <v>84.52992357694508</v>
      </c>
      <c r="I176" s="112">
        <f>I174/I172</f>
        <v>91.828370524953712</v>
      </c>
      <c r="J176" s="65"/>
      <c r="L176" s="157"/>
      <c r="M176" s="157"/>
      <c r="N176" s="126"/>
    </row>
    <row r="177" spans="2:14" x14ac:dyDescent="0.3">
      <c r="B177" s="21" t="s">
        <v>23</v>
      </c>
      <c r="C177" s="22" t="s">
        <v>19</v>
      </c>
      <c r="D177" s="23">
        <v>101</v>
      </c>
      <c r="E177" s="23">
        <v>101</v>
      </c>
      <c r="F177" s="23">
        <v>101</v>
      </c>
      <c r="G177" s="23">
        <v>101</v>
      </c>
      <c r="H177" s="23">
        <v>101</v>
      </c>
      <c r="I177" s="114">
        <v>101</v>
      </c>
      <c r="J177" s="65"/>
      <c r="L177" s="157"/>
      <c r="M177" s="157"/>
      <c r="N177" s="126"/>
    </row>
    <row r="178" spans="2:14" x14ac:dyDescent="0.3">
      <c r="D178" s="24" t="s">
        <v>40</v>
      </c>
    </row>
    <row r="215" spans="2:12" s="4" customFormat="1" ht="15" thickBot="1" x14ac:dyDescent="0.35">
      <c r="I215" s="163"/>
      <c r="J215" s="163"/>
      <c r="K215" s="163"/>
      <c r="L215" s="151"/>
    </row>
    <row r="216" spans="2:12" ht="15" thickTop="1" x14ac:dyDescent="0.3"/>
    <row r="221" spans="2:12" ht="25.8" hidden="1" x14ac:dyDescent="0.5">
      <c r="B221" s="246" t="s">
        <v>24</v>
      </c>
      <c r="C221" s="246"/>
      <c r="D221" s="246"/>
      <c r="E221" s="246"/>
      <c r="F221" s="246"/>
      <c r="G221" s="246"/>
    </row>
    <row r="222" spans="2:12" hidden="1" x14ac:dyDescent="0.3"/>
    <row r="223" spans="2:12" ht="22.8" hidden="1" thickBot="1" x14ac:dyDescent="0.5">
      <c r="B223" s="28" t="s">
        <v>25</v>
      </c>
      <c r="C223" s="29" t="s">
        <v>26</v>
      </c>
      <c r="D223" s="29" t="s">
        <v>27</v>
      </c>
      <c r="E223" s="180" t="s">
        <v>28</v>
      </c>
    </row>
    <row r="224" spans="2:12" ht="23.4" hidden="1" x14ac:dyDescent="0.45">
      <c r="B224" s="31"/>
      <c r="C224" s="26"/>
      <c r="D224" s="26"/>
      <c r="E224" s="32"/>
    </row>
    <row r="225" spans="2:5" ht="22.2" hidden="1" x14ac:dyDescent="0.45">
      <c r="B225" s="33">
        <v>44743</v>
      </c>
      <c r="C225" s="89">
        <v>1056523.5</v>
      </c>
      <c r="D225" s="90">
        <v>1501785</v>
      </c>
      <c r="E225" s="181">
        <f>C225+D225</f>
        <v>2558308.5</v>
      </c>
    </row>
    <row r="226" spans="2:5" ht="22.2" hidden="1" x14ac:dyDescent="0.45">
      <c r="B226" s="33">
        <v>44774</v>
      </c>
      <c r="C226" s="92">
        <v>1649443.5</v>
      </c>
      <c r="D226" s="92">
        <v>863715</v>
      </c>
      <c r="E226" s="181">
        <f t="shared" ref="E226:E236" si="8">C226+D226</f>
        <v>2513158.5</v>
      </c>
    </row>
    <row r="227" spans="2:5" ht="22.2" hidden="1" x14ac:dyDescent="0.45">
      <c r="B227" s="33">
        <v>44805</v>
      </c>
      <c r="C227" s="92">
        <v>1346098.5</v>
      </c>
      <c r="D227" s="92">
        <v>1119105</v>
      </c>
      <c r="E227" s="181">
        <f t="shared" si="8"/>
        <v>2465203.5</v>
      </c>
    </row>
    <row r="228" spans="2:5" ht="22.2" hidden="1" x14ac:dyDescent="0.45">
      <c r="B228" s="33">
        <v>44835</v>
      </c>
      <c r="C228" s="92">
        <v>2573653.5</v>
      </c>
      <c r="D228" s="92">
        <v>0</v>
      </c>
      <c r="E228" s="181">
        <f t="shared" si="8"/>
        <v>2573653.5</v>
      </c>
    </row>
    <row r="229" spans="2:5" ht="22.2" hidden="1" x14ac:dyDescent="0.45">
      <c r="B229" s="33">
        <v>44866</v>
      </c>
      <c r="C229" s="92">
        <v>2239123.5</v>
      </c>
      <c r="D229" s="92">
        <v>0</v>
      </c>
      <c r="E229" s="181">
        <f t="shared" si="8"/>
        <v>2239123.5</v>
      </c>
    </row>
    <row r="230" spans="2:5" ht="22.2" hidden="1" x14ac:dyDescent="0.45">
      <c r="B230" s="33">
        <v>44896</v>
      </c>
      <c r="C230" s="92">
        <v>3815869.5</v>
      </c>
      <c r="D230" s="92">
        <v>0</v>
      </c>
      <c r="E230" s="181">
        <f t="shared" si="8"/>
        <v>3815869.5</v>
      </c>
    </row>
    <row r="231" spans="2:5" ht="22.2" hidden="1" x14ac:dyDescent="0.45">
      <c r="B231" s="33">
        <v>44927</v>
      </c>
      <c r="C231" s="92">
        <v>3876876</v>
      </c>
      <c r="D231" s="92">
        <v>0</v>
      </c>
      <c r="E231" s="181">
        <f t="shared" si="8"/>
        <v>3876876</v>
      </c>
    </row>
    <row r="232" spans="2:5" ht="22.2" hidden="1" x14ac:dyDescent="0.45">
      <c r="B232" s="33">
        <v>44958</v>
      </c>
      <c r="C232" s="92">
        <v>2565432</v>
      </c>
      <c r="D232" s="92">
        <v>427935</v>
      </c>
      <c r="E232" s="181">
        <f t="shared" si="8"/>
        <v>2993367</v>
      </c>
    </row>
    <row r="233" spans="2:5" ht="22.2" hidden="1" x14ac:dyDescent="0.45">
      <c r="B233" s="33">
        <v>44986</v>
      </c>
      <c r="C233" s="92">
        <v>2163847.5</v>
      </c>
      <c r="D233" s="92">
        <v>0</v>
      </c>
      <c r="E233" s="181">
        <f t="shared" si="8"/>
        <v>2163847.5</v>
      </c>
    </row>
    <row r="234" spans="2:5" ht="22.2" hidden="1" x14ac:dyDescent="0.45">
      <c r="B234" s="33">
        <v>45017</v>
      </c>
      <c r="C234" s="92">
        <v>1103476.5</v>
      </c>
      <c r="D234" s="92">
        <v>0</v>
      </c>
      <c r="E234" s="181">
        <f t="shared" si="8"/>
        <v>1103476.5</v>
      </c>
    </row>
    <row r="235" spans="2:5" ht="22.2" hidden="1" x14ac:dyDescent="0.45">
      <c r="B235" s="33">
        <v>45047</v>
      </c>
      <c r="C235" s="92">
        <v>1210167</v>
      </c>
      <c r="D235" s="92">
        <v>0</v>
      </c>
      <c r="E235" s="181">
        <f t="shared" si="8"/>
        <v>1210167</v>
      </c>
    </row>
    <row r="236" spans="2:5" ht="22.2" hidden="1" x14ac:dyDescent="0.45">
      <c r="B236" s="33">
        <v>45078</v>
      </c>
      <c r="C236" s="92">
        <v>2359260</v>
      </c>
      <c r="D236" s="92">
        <v>0</v>
      </c>
      <c r="E236" s="181">
        <f t="shared" si="8"/>
        <v>2359260</v>
      </c>
    </row>
    <row r="237" spans="2:5" ht="22.8" hidden="1" thickBot="1" x14ac:dyDescent="0.5">
      <c r="B237" s="34"/>
      <c r="C237" s="27"/>
      <c r="D237" s="27"/>
      <c r="E237" s="35"/>
    </row>
    <row r="238" spans="2:5" ht="23.4" hidden="1" thickTop="1" thickBot="1" x14ac:dyDescent="0.5">
      <c r="B238" s="36"/>
      <c r="C238" s="37">
        <f>SUM(C225:C236)</f>
        <v>25959771</v>
      </c>
      <c r="D238" s="37">
        <f>SUM(D225:D236)</f>
        <v>3912540</v>
      </c>
      <c r="E238" s="38">
        <f>SUM(E225:E236)</f>
        <v>29872311</v>
      </c>
    </row>
    <row r="239" spans="2:5" hidden="1" x14ac:dyDescent="0.3"/>
    <row r="240" spans="2:5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</sheetData>
  <dataConsolidate/>
  <mergeCells count="7">
    <mergeCell ref="B221:G221"/>
    <mergeCell ref="B2:G2"/>
    <mergeCell ref="B47:G47"/>
    <mergeCell ref="B83:G83"/>
    <mergeCell ref="B124:G124"/>
    <mergeCell ref="B126:G126"/>
    <mergeCell ref="B170:G170"/>
  </mergeCells>
  <conditionalFormatting sqref="C4:D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{D7D8E2C9-E2F0-46A2-8817-9851A4F8C971}</x14:id>
        </ext>
      </extLst>
    </cfRule>
  </conditionalFormatting>
  <conditionalFormatting sqref="C49:D53 E6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{8D46969F-A1C2-4784-ACD4-02BCCAA1CECC}</x14:id>
        </ext>
      </extLst>
    </cfRule>
  </conditionalFormatting>
  <conditionalFormatting sqref="C85:D9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{0DE64086-B0AD-492B-918C-8DDF77E71802}</x14:id>
        </ext>
      </extLst>
    </cfRule>
  </conditionalFormatting>
  <conditionalFormatting sqref="C129:I12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{3D0A6184-5BBC-4740-A0E9-DBABDBEC5F69}</x14:id>
        </ext>
      </extLst>
    </cfRule>
  </conditionalFormatting>
  <pageMargins left="0.7" right="0.7" top="0.75" bottom="0.75" header="0.3" footer="0.3"/>
  <pageSetup paperSize="9" orientation="portrait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D8E2C9-E2F0-46A2-8817-9851A4F8C9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C4:D8</xm:sqref>
        </x14:conditionalFormatting>
        <x14:conditionalFormatting xmlns:xm="http://schemas.microsoft.com/office/excel/2006/main">
          <x14:cfRule type="dataBar" id="{8D46969F-A1C2-4784-ACD4-02BCCAA1CE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C49:D53 E60</xm:sqref>
        </x14:conditionalFormatting>
        <x14:conditionalFormatting xmlns:xm="http://schemas.microsoft.com/office/excel/2006/main">
          <x14:cfRule type="dataBar" id="{0DE64086-B0AD-492B-918C-8DDF77E718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C85:D90</xm:sqref>
        </x14:conditionalFormatting>
        <x14:conditionalFormatting xmlns:xm="http://schemas.microsoft.com/office/excel/2006/main">
          <x14:cfRule type="dataBar" id="{3D0A6184-5BBC-4740-A0E9-DBABDBEC5F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C129:I129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1B14-2C45-4F9A-A7A0-1306A747DCB8}">
  <sheetPr>
    <tabColor rgb="FF00B050"/>
    <pageSetUpPr autoPageBreaks="0"/>
  </sheetPr>
  <dimension ref="B2:N245"/>
  <sheetViews>
    <sheetView showGridLines="0" topLeftCell="A103" zoomScale="93" zoomScaleNormal="85" zoomScaleSheetLayoutView="115" workbookViewId="0">
      <selection activeCell="D115" sqref="D115"/>
    </sheetView>
  </sheetViews>
  <sheetFormatPr defaultColWidth="22.33203125" defaultRowHeight="14.4" x14ac:dyDescent="0.3"/>
  <cols>
    <col min="1" max="1" width="6.6640625" customWidth="1"/>
    <col min="2" max="2" width="28.109375" customWidth="1"/>
    <col min="3" max="3" width="17.109375" customWidth="1"/>
    <col min="4" max="4" width="15.77734375" customWidth="1"/>
    <col min="5" max="5" width="11.6640625" customWidth="1"/>
    <col min="6" max="6" width="11.33203125" customWidth="1"/>
    <col min="7" max="8" width="10.77734375" customWidth="1"/>
    <col min="9" max="11" width="22.33203125" style="157"/>
    <col min="12" max="12" width="22.33203125" style="126"/>
  </cols>
  <sheetData>
    <row r="2" spans="2:11" ht="25.8" x14ac:dyDescent="0.5">
      <c r="B2" s="246" t="s">
        <v>68</v>
      </c>
      <c r="C2" s="246"/>
      <c r="D2" s="246"/>
      <c r="E2" s="246"/>
      <c r="F2" s="246"/>
      <c r="G2" s="246"/>
      <c r="I2" s="155"/>
      <c r="J2" s="158"/>
    </row>
    <row r="3" spans="2:11" ht="4.5" customHeight="1" x14ac:dyDescent="0.3"/>
    <row r="4" spans="2:11" x14ac:dyDescent="0.3">
      <c r="B4" s="21" t="s">
        <v>52</v>
      </c>
      <c r="C4" s="168">
        <v>143000</v>
      </c>
      <c r="D4" s="22" t="s">
        <v>4</v>
      </c>
      <c r="E4" s="173"/>
      <c r="H4" s="67"/>
      <c r="I4" s="156"/>
    </row>
    <row r="5" spans="2:11" ht="28.8" x14ac:dyDescent="0.3">
      <c r="B5" s="21" t="s">
        <v>107</v>
      </c>
      <c r="C5" s="168">
        <f>(C4-Jul!C7)/8</f>
        <v>14433.373749999999</v>
      </c>
      <c r="D5" s="22" t="s">
        <v>4</v>
      </c>
      <c r="H5" s="67"/>
    </row>
    <row r="6" spans="2:11" x14ac:dyDescent="0.3">
      <c r="B6" s="21" t="s">
        <v>6</v>
      </c>
      <c r="C6" s="171">
        <f>SUM(D39:G39)</f>
        <v>7594.33</v>
      </c>
      <c r="D6" s="22" t="s">
        <v>4</v>
      </c>
      <c r="E6" s="173"/>
      <c r="G6" s="56"/>
      <c r="H6" s="67"/>
      <c r="I6" s="159"/>
    </row>
    <row r="7" spans="2:11" x14ac:dyDescent="0.3">
      <c r="B7" s="21" t="s">
        <v>66</v>
      </c>
      <c r="C7" s="171">
        <f>Jul!C7+Aug!C6</f>
        <v>35127.340000000004</v>
      </c>
      <c r="D7" s="22" t="s">
        <v>4</v>
      </c>
      <c r="E7" s="174"/>
      <c r="H7" s="67"/>
    </row>
    <row r="8" spans="2:11" x14ac:dyDescent="0.3">
      <c r="B8" s="21" t="s">
        <v>2</v>
      </c>
      <c r="C8" s="171">
        <f>SUM(D38:G38)</f>
        <v>0</v>
      </c>
      <c r="D8" s="22" t="s">
        <v>4</v>
      </c>
      <c r="F8" s="3"/>
    </row>
    <row r="9" spans="2:11" x14ac:dyDescent="0.3">
      <c r="I9" s="159"/>
    </row>
    <row r="10" spans="2:11" x14ac:dyDescent="0.3">
      <c r="D10" s="2"/>
      <c r="E10" s="175"/>
      <c r="F10" s="2"/>
      <c r="G10" s="2"/>
      <c r="I10" s="159"/>
    </row>
    <row r="11" spans="2:11" x14ac:dyDescent="0.3">
      <c r="D11" s="2"/>
      <c r="E11" s="175"/>
      <c r="F11" s="2"/>
      <c r="G11" s="2"/>
    </row>
    <row r="12" spans="2:11" x14ac:dyDescent="0.3">
      <c r="D12" s="2"/>
      <c r="E12" s="175"/>
      <c r="F12" s="2"/>
      <c r="G12" s="2"/>
    </row>
    <row r="13" spans="2:11" x14ac:dyDescent="0.3">
      <c r="J13" s="160"/>
      <c r="K13" s="160"/>
    </row>
    <row r="19" spans="2:12" x14ac:dyDescent="0.3">
      <c r="H19" s="67"/>
    </row>
    <row r="28" spans="2:12" s="101" customFormat="1" x14ac:dyDescent="0.3">
      <c r="B28"/>
      <c r="C28" s="57"/>
      <c r="D28" s="57"/>
      <c r="E28" s="173"/>
      <c r="F28" s="57"/>
      <c r="G28"/>
      <c r="H28"/>
      <c r="I28" s="157"/>
      <c r="J28" s="157"/>
      <c r="K28" s="161"/>
      <c r="L28" s="149"/>
    </row>
    <row r="29" spans="2:12" s="101" customFormat="1" x14ac:dyDescent="0.3">
      <c r="B29"/>
      <c r="C29"/>
      <c r="D29" s="56"/>
      <c r="E29"/>
      <c r="F29"/>
      <c r="G29"/>
      <c r="H29"/>
      <c r="I29" s="157"/>
      <c r="J29" s="157"/>
      <c r="K29" s="161"/>
      <c r="L29" s="149"/>
    </row>
    <row r="30" spans="2:12" s="101" customFormat="1" hidden="1" x14ac:dyDescent="0.3">
      <c r="B30"/>
      <c r="C30"/>
      <c r="D30"/>
      <c r="E30"/>
      <c r="F30"/>
      <c r="G30"/>
      <c r="H30"/>
      <c r="I30" s="157"/>
      <c r="J30" s="157"/>
      <c r="K30" s="161"/>
      <c r="L30" s="149"/>
    </row>
    <row r="31" spans="2:12" s="101" customFormat="1" hidden="1" x14ac:dyDescent="0.3">
      <c r="B31"/>
      <c r="C31"/>
      <c r="D31"/>
      <c r="E31"/>
      <c r="F31"/>
      <c r="G31"/>
      <c r="H31"/>
      <c r="I31" s="157"/>
      <c r="J31" s="157"/>
      <c r="K31" s="161"/>
      <c r="L31" s="149"/>
    </row>
    <row r="32" spans="2:12" s="101" customFormat="1" hidden="1" x14ac:dyDescent="0.3">
      <c r="B32"/>
      <c r="C32"/>
      <c r="D32"/>
      <c r="E32"/>
      <c r="F32"/>
      <c r="G32"/>
      <c r="H32"/>
      <c r="I32" s="157"/>
      <c r="J32" s="157"/>
      <c r="K32" s="161"/>
      <c r="L32" s="149"/>
    </row>
    <row r="33" spans="2:12" s="101" customFormat="1" ht="16.5" customHeight="1" x14ac:dyDescent="0.3">
      <c r="B33"/>
      <c r="C33"/>
      <c r="D33" s="57"/>
      <c r="E33" s="173"/>
      <c r="F33" s="57"/>
      <c r="G33" s="57"/>
      <c r="H33"/>
      <c r="I33" s="157"/>
      <c r="J33" s="157"/>
      <c r="K33" s="161"/>
      <c r="L33" s="149"/>
    </row>
    <row r="34" spans="2:12" ht="27.6" x14ac:dyDescent="0.3">
      <c r="B34" s="1"/>
      <c r="C34" s="1"/>
      <c r="D34" s="97" t="s">
        <v>176</v>
      </c>
      <c r="E34" s="97" t="s">
        <v>177</v>
      </c>
      <c r="F34" s="97" t="s">
        <v>178</v>
      </c>
      <c r="G34" s="97" t="s">
        <v>179</v>
      </c>
      <c r="H34" s="97"/>
    </row>
    <row r="35" spans="2:12" hidden="1" x14ac:dyDescent="0.3">
      <c r="B35" s="1"/>
      <c r="C35" s="1"/>
      <c r="D35" s="43"/>
      <c r="E35" s="177"/>
      <c r="F35" s="43"/>
      <c r="G35" s="43"/>
      <c r="H35" s="43"/>
    </row>
    <row r="36" spans="2:12" ht="16.95" customHeight="1" x14ac:dyDescent="0.3">
      <c r="B36" s="12" t="s">
        <v>135</v>
      </c>
      <c r="C36" s="6" t="s">
        <v>4</v>
      </c>
      <c r="D36" s="54">
        <v>2217.0100000000002</v>
      </c>
      <c r="E36" s="54">
        <v>1745.6</v>
      </c>
      <c r="F36" s="54">
        <v>1794.13</v>
      </c>
      <c r="G36" s="54">
        <v>1837.59</v>
      </c>
      <c r="H36" s="54"/>
    </row>
    <row r="37" spans="2:12" x14ac:dyDescent="0.3">
      <c r="B37" s="12" t="s">
        <v>110</v>
      </c>
      <c r="C37" s="6"/>
      <c r="D37" s="119"/>
      <c r="E37" s="119"/>
      <c r="F37" s="119"/>
      <c r="G37" s="119"/>
      <c r="H37" s="119"/>
    </row>
    <row r="38" spans="2:12" ht="15" hidden="1" thickBot="1" x14ac:dyDescent="0.35">
      <c r="B38" s="12"/>
      <c r="C38" s="6"/>
      <c r="D38" s="120"/>
      <c r="E38" s="178"/>
      <c r="F38" s="121"/>
      <c r="G38" s="122"/>
      <c r="H38" s="122"/>
    </row>
    <row r="39" spans="2:12" x14ac:dyDescent="0.3">
      <c r="B39" s="12" t="s">
        <v>3</v>
      </c>
      <c r="C39" s="6" t="s">
        <v>4</v>
      </c>
      <c r="D39" s="75">
        <f>D37+D36</f>
        <v>2217.0100000000002</v>
      </c>
      <c r="E39" s="75">
        <f>IF(E37+E36="",0,E37+E36)</f>
        <v>1745.6</v>
      </c>
      <c r="F39" s="75">
        <f t="shared" ref="F39:G39" si="0">IF(F37+F36="",0,F37+F36)</f>
        <v>1794.13</v>
      </c>
      <c r="G39" s="75">
        <f t="shared" si="0"/>
        <v>1837.59</v>
      </c>
      <c r="H39" s="75"/>
      <c r="I39" s="162"/>
      <c r="J39" s="159"/>
    </row>
    <row r="40" spans="2:12" x14ac:dyDescent="0.3">
      <c r="B40" s="12" t="s">
        <v>108</v>
      </c>
      <c r="C40" s="8"/>
      <c r="D40" s="76">
        <f>D39</f>
        <v>2217.0100000000002</v>
      </c>
      <c r="E40" s="76">
        <f>E39+D40</f>
        <v>3962.61</v>
      </c>
      <c r="F40" s="76">
        <f>F39+E40</f>
        <v>5756.74</v>
      </c>
      <c r="G40" s="76">
        <f>G39+F40</f>
        <v>7594.33</v>
      </c>
      <c r="H40" s="76"/>
      <c r="I40" s="162"/>
    </row>
    <row r="41" spans="2:12" x14ac:dyDescent="0.3">
      <c r="B41" s="12" t="s">
        <v>109</v>
      </c>
      <c r="C41" s="6" t="s">
        <v>4</v>
      </c>
      <c r="D41" s="75">
        <f>(C5/31)*9</f>
        <v>4190.3343145161289</v>
      </c>
      <c r="E41" s="75">
        <f>((C5/31)*16)-D40</f>
        <v>5232.4732258064505</v>
      </c>
      <c r="F41" s="75">
        <f>((C5/31)*23)-E40</f>
        <v>6746.022137096772</v>
      </c>
      <c r="G41" s="75">
        <f>((C5/31)*31)-F40</f>
        <v>8676.6337499999991</v>
      </c>
      <c r="H41" s="227"/>
      <c r="I41" s="165"/>
      <c r="J41" s="165"/>
    </row>
    <row r="42" spans="2:12" x14ac:dyDescent="0.3">
      <c r="B42" s="21"/>
      <c r="C42" s="85"/>
      <c r="D42" s="86"/>
      <c r="E42" s="86"/>
      <c r="F42" s="86"/>
      <c r="G42" s="86"/>
      <c r="H42" s="67"/>
      <c r="I42" s="165"/>
      <c r="J42" s="165"/>
    </row>
    <row r="43" spans="2:12" x14ac:dyDescent="0.3">
      <c r="B43" s="21"/>
      <c r="C43" s="85"/>
      <c r="D43" s="86"/>
      <c r="E43" s="86"/>
      <c r="F43" s="86"/>
      <c r="G43" s="86"/>
    </row>
    <row r="44" spans="2:12" s="4" customFormat="1" ht="15" thickBot="1" x14ac:dyDescent="0.35">
      <c r="D44" s="59"/>
      <c r="E44" s="59"/>
      <c r="F44" s="59"/>
      <c r="G44" s="59"/>
      <c r="I44" s="163"/>
      <c r="J44" s="163"/>
      <c r="K44" s="163"/>
      <c r="L44" s="151"/>
    </row>
    <row r="45" spans="2:12" ht="15" thickTop="1" x14ac:dyDescent="0.3">
      <c r="D45" s="67"/>
      <c r="E45" s="67"/>
      <c r="F45" s="67"/>
    </row>
    <row r="47" spans="2:12" ht="25.8" x14ac:dyDescent="0.5">
      <c r="B47" s="246" t="s">
        <v>69</v>
      </c>
      <c r="C47" s="246"/>
      <c r="D47" s="246"/>
      <c r="E47" s="246"/>
      <c r="F47" s="246"/>
      <c r="G47" s="246"/>
      <c r="I47" s="159"/>
      <c r="J47" s="162"/>
    </row>
    <row r="48" spans="2:12" ht="4.95" customHeight="1" x14ac:dyDescent="0.3"/>
    <row r="49" spans="2:8" x14ac:dyDescent="0.3">
      <c r="B49" s="21" t="s">
        <v>52</v>
      </c>
      <c r="C49" s="168">
        <v>9907200</v>
      </c>
      <c r="D49" s="22" t="s">
        <v>8</v>
      </c>
      <c r="H49" s="96"/>
    </row>
    <row r="50" spans="2:8" x14ac:dyDescent="0.3">
      <c r="B50" s="21" t="s">
        <v>31</v>
      </c>
      <c r="C50" s="168">
        <f>(C49-Jul!C52)/8</f>
        <v>981208.875</v>
      </c>
      <c r="D50" s="22" t="s">
        <v>8</v>
      </c>
    </row>
    <row r="51" spans="2:8" x14ac:dyDescent="0.3">
      <c r="B51" s="21" t="s">
        <v>6</v>
      </c>
      <c r="C51" s="171">
        <f>SUM(D78:G78)</f>
        <v>401543</v>
      </c>
      <c r="D51" s="22" t="s">
        <v>8</v>
      </c>
      <c r="E51" s="173"/>
    </row>
    <row r="52" spans="2:8" x14ac:dyDescent="0.3">
      <c r="B52" s="21" t="s">
        <v>67</v>
      </c>
      <c r="C52" s="171">
        <f>Jul!C52+Aug!C51</f>
        <v>2459072</v>
      </c>
      <c r="D52" s="22" t="s">
        <v>8</v>
      </c>
      <c r="E52" s="173"/>
    </row>
    <row r="53" spans="2:8" x14ac:dyDescent="0.3">
      <c r="B53" s="21" t="s">
        <v>9</v>
      </c>
      <c r="C53" s="171">
        <f>C50-C51</f>
        <v>579665.875</v>
      </c>
      <c r="D53" s="22" t="s">
        <v>8</v>
      </c>
    </row>
    <row r="60" spans="2:8" x14ac:dyDescent="0.3">
      <c r="E60" s="22" t="s">
        <v>8</v>
      </c>
    </row>
    <row r="77" spans="2:8" ht="27.6" x14ac:dyDescent="0.3">
      <c r="B77" s="1"/>
      <c r="C77" s="1"/>
      <c r="D77" s="97" t="str">
        <f>D34</f>
        <v>WEEK 1
(Aug1-9)</v>
      </c>
      <c r="E77" s="97" t="str">
        <f>E34</f>
        <v>WEEK 2
(Aug10-16)</v>
      </c>
      <c r="F77" s="97" t="str">
        <f>F34</f>
        <v>WEEK 3
(Aug17-23)</v>
      </c>
      <c r="G77" s="97" t="str">
        <f>G34</f>
        <v>WEEK 4
(Aug24-31)</v>
      </c>
      <c r="H77" s="97"/>
    </row>
    <row r="78" spans="2:8" x14ac:dyDescent="0.3">
      <c r="B78" s="5" t="s">
        <v>1</v>
      </c>
      <c r="C78" s="9" t="s">
        <v>8</v>
      </c>
      <c r="D78" s="184">
        <v>62417</v>
      </c>
      <c r="E78" s="184">
        <v>137693</v>
      </c>
      <c r="F78" s="184">
        <v>61750</v>
      </c>
      <c r="G78" s="184">
        <v>139683</v>
      </c>
      <c r="H78" s="184"/>
    </row>
    <row r="79" spans="2:8" x14ac:dyDescent="0.3">
      <c r="B79" s="7" t="s">
        <v>5</v>
      </c>
      <c r="C79" s="9" t="s">
        <v>8</v>
      </c>
      <c r="D79" s="98">
        <f>D78</f>
        <v>62417</v>
      </c>
      <c r="E79" s="98">
        <f>D79+E78</f>
        <v>200110</v>
      </c>
      <c r="F79" s="98">
        <f>E79+F78</f>
        <v>261860</v>
      </c>
      <c r="G79" s="98">
        <f>F79+G78</f>
        <v>401543</v>
      </c>
      <c r="H79" s="98"/>
    </row>
    <row r="80" spans="2:8" x14ac:dyDescent="0.3">
      <c r="B80" s="5" t="s">
        <v>9</v>
      </c>
      <c r="C80" s="9" t="s">
        <v>8</v>
      </c>
      <c r="D80" s="98">
        <f>(C50/31)*9</f>
        <v>284867.09274193546</v>
      </c>
      <c r="E80" s="98">
        <f>(($C50/31)*16)-D79</f>
        <v>444013.38709677418</v>
      </c>
      <c r="F80" s="98">
        <f>(($C50/31)*23)-E79</f>
        <v>527883.68145161285</v>
      </c>
      <c r="G80" s="98">
        <f>(($C50/31)*31)-F79</f>
        <v>719348.875</v>
      </c>
      <c r="H80" s="98"/>
    </row>
    <row r="81" spans="2:12" s="4" customFormat="1" ht="15" thickBot="1" x14ac:dyDescent="0.35">
      <c r="I81" s="163"/>
      <c r="J81" s="163"/>
      <c r="K81" s="163"/>
      <c r="L81" s="151"/>
    </row>
    <row r="82" spans="2:12" ht="15" thickTop="1" x14ac:dyDescent="0.3"/>
    <row r="83" spans="2:12" s="101" customFormat="1" ht="25.8" x14ac:dyDescent="0.5">
      <c r="B83" s="246" t="s">
        <v>70</v>
      </c>
      <c r="C83" s="246"/>
      <c r="D83" s="246"/>
      <c r="E83" s="246"/>
      <c r="F83" s="246"/>
      <c r="G83" s="246"/>
      <c r="H83"/>
      <c r="I83" s="157"/>
      <c r="J83" s="157"/>
      <c r="K83" s="161"/>
      <c r="L83" s="149"/>
    </row>
    <row r="84" spans="2:12" s="101" customFormat="1" ht="6.45" customHeight="1" x14ac:dyDescent="0.3">
      <c r="B84"/>
      <c r="C84"/>
      <c r="D84"/>
      <c r="E84"/>
      <c r="F84"/>
      <c r="G84"/>
      <c r="H84"/>
      <c r="I84" s="157"/>
      <c r="J84" s="157"/>
      <c r="K84" s="161"/>
      <c r="L84" s="149"/>
    </row>
    <row r="85" spans="2:12" s="101" customFormat="1" ht="16.2" x14ac:dyDescent="0.3">
      <c r="B85" s="172" t="s">
        <v>52</v>
      </c>
      <c r="C85" s="168">
        <v>10000000</v>
      </c>
      <c r="D85" s="22" t="s">
        <v>11</v>
      </c>
      <c r="E85"/>
      <c r="F85"/>
      <c r="G85"/>
      <c r="H85"/>
      <c r="I85" s="157"/>
      <c r="J85" s="157"/>
      <c r="K85" s="161"/>
      <c r="L85" s="149"/>
    </row>
    <row r="86" spans="2:12" s="101" customFormat="1" ht="16.2" x14ac:dyDescent="0.3">
      <c r="B86" s="172" t="s">
        <v>31</v>
      </c>
      <c r="C86" s="168">
        <f>(C85-Jul!C88)/8</f>
        <v>1033137.625</v>
      </c>
      <c r="D86" s="22" t="s">
        <v>11</v>
      </c>
      <c r="E86"/>
      <c r="H86"/>
      <c r="I86" s="157"/>
      <c r="J86" s="157"/>
      <c r="K86" s="161"/>
      <c r="L86" s="149"/>
    </row>
    <row r="87" spans="2:12" s="101" customFormat="1" ht="16.2" x14ac:dyDescent="0.3">
      <c r="B87" s="172" t="s">
        <v>1</v>
      </c>
      <c r="C87" s="171">
        <f>SUM(D114:G114)</f>
        <v>503878</v>
      </c>
      <c r="D87" s="22" t="s">
        <v>11</v>
      </c>
      <c r="E87" s="173"/>
      <c r="F87"/>
      <c r="G87"/>
      <c r="H87"/>
      <c r="I87" s="157"/>
      <c r="J87" s="157"/>
      <c r="K87" s="161"/>
      <c r="L87" s="149"/>
    </row>
    <row r="88" spans="2:12" s="101" customFormat="1" ht="16.2" x14ac:dyDescent="0.3">
      <c r="B88" s="172" t="s">
        <v>67</v>
      </c>
      <c r="C88" s="171">
        <f>Jul!C88+Aug!C87</f>
        <v>2238777</v>
      </c>
      <c r="D88" s="22" t="s">
        <v>11</v>
      </c>
      <c r="E88" s="173"/>
      <c r="F88"/>
      <c r="G88"/>
      <c r="H88"/>
      <c r="I88" s="157"/>
      <c r="J88" s="157"/>
      <c r="K88" s="161"/>
      <c r="L88" s="149"/>
    </row>
    <row r="89" spans="2:12" s="101" customFormat="1" ht="16.2" x14ac:dyDescent="0.3">
      <c r="B89" s="172" t="s">
        <v>9</v>
      </c>
      <c r="C89" s="171">
        <f>C86-C87</f>
        <v>529259.625</v>
      </c>
      <c r="D89" s="22" t="s">
        <v>11</v>
      </c>
      <c r="E89" s="67"/>
      <c r="F89"/>
      <c r="G89"/>
      <c r="H89"/>
      <c r="I89" s="157"/>
      <c r="J89" s="157"/>
      <c r="K89" s="161"/>
      <c r="L89" s="149"/>
    </row>
    <row r="90" spans="2:12" s="101" customFormat="1" ht="7.5" customHeight="1" x14ac:dyDescent="0.3">
      <c r="B90"/>
      <c r="C90"/>
      <c r="D90"/>
      <c r="E90"/>
      <c r="F90"/>
      <c r="G90"/>
      <c r="H90"/>
      <c r="I90" s="157"/>
      <c r="J90" s="157"/>
      <c r="K90" s="161"/>
      <c r="L90" s="149"/>
    </row>
    <row r="103" spans="4:8" x14ac:dyDescent="0.3">
      <c r="H103" s="57"/>
    </row>
    <row r="112" spans="4:8" x14ac:dyDescent="0.3">
      <c r="D112" s="67"/>
      <c r="E112" s="67"/>
      <c r="F112" s="67"/>
    </row>
    <row r="113" spans="2:14" ht="27.6" x14ac:dyDescent="0.3">
      <c r="B113" s="1"/>
      <c r="C113" s="1"/>
      <c r="D113" s="97" t="str">
        <f>D77</f>
        <v>WEEK 1
(Aug1-9)</v>
      </c>
      <c r="E113" s="97" t="str">
        <f>E77</f>
        <v>WEEK 2
(Aug10-16)</v>
      </c>
      <c r="F113" s="97" t="str">
        <f>F77</f>
        <v>WEEK 3
(Aug17-23)</v>
      </c>
      <c r="G113" s="97" t="str">
        <f>G77</f>
        <v>WEEK 4
(Aug24-31)</v>
      </c>
      <c r="H113" s="97"/>
    </row>
    <row r="114" spans="2:14" ht="16.2" x14ac:dyDescent="0.3">
      <c r="B114" s="79" t="s">
        <v>43</v>
      </c>
      <c r="C114" s="9" t="s">
        <v>11</v>
      </c>
      <c r="D114" s="184">
        <v>138448</v>
      </c>
      <c r="E114" s="69">
        <v>128514</v>
      </c>
      <c r="F114" s="69">
        <v>124782</v>
      </c>
      <c r="G114" s="69">
        <v>112134</v>
      </c>
      <c r="H114" s="69"/>
      <c r="I114" s="164"/>
      <c r="J114" s="162"/>
    </row>
    <row r="115" spans="2:14" ht="16.2" x14ac:dyDescent="0.3">
      <c r="B115" s="79" t="s">
        <v>41</v>
      </c>
      <c r="C115" s="9" t="s">
        <v>11</v>
      </c>
      <c r="D115" s="184">
        <f>D78*0.47</f>
        <v>29335.989999999998</v>
      </c>
      <c r="E115" s="184">
        <f>E78*0.47</f>
        <v>64715.71</v>
      </c>
      <c r="F115" s="184">
        <f>F78*0.47</f>
        <v>29022.5</v>
      </c>
      <c r="G115" s="184">
        <f>G78*0.47</f>
        <v>65651.009999999995</v>
      </c>
      <c r="H115" s="184"/>
    </row>
    <row r="116" spans="2:14" ht="16.2" x14ac:dyDescent="0.3">
      <c r="B116" s="79" t="s">
        <v>151</v>
      </c>
      <c r="C116" s="9" t="s">
        <v>11</v>
      </c>
      <c r="D116" s="184"/>
      <c r="E116" s="184"/>
      <c r="F116" s="184"/>
      <c r="G116" s="184"/>
      <c r="H116" s="184"/>
    </row>
    <row r="117" spans="2:14" ht="16.2" x14ac:dyDescent="0.3">
      <c r="B117" s="12" t="s">
        <v>12</v>
      </c>
      <c r="C117" s="9" t="s">
        <v>11</v>
      </c>
      <c r="D117" s="69">
        <v>20724</v>
      </c>
      <c r="E117" s="69"/>
      <c r="F117" s="69">
        <v>18468</v>
      </c>
      <c r="G117" s="69">
        <v>18535</v>
      </c>
      <c r="H117" s="69"/>
      <c r="I117" s="164"/>
    </row>
    <row r="118" spans="2:14" x14ac:dyDescent="0.3">
      <c r="B118" s="12" t="s">
        <v>13</v>
      </c>
      <c r="C118" s="9" t="s">
        <v>10</v>
      </c>
      <c r="D118" s="69">
        <f t="shared" ref="D118:G118" si="1">SUM(D114:D117)</f>
        <v>188507.99</v>
      </c>
      <c r="E118" s="69">
        <f t="shared" si="1"/>
        <v>193229.71</v>
      </c>
      <c r="F118" s="69">
        <f t="shared" si="1"/>
        <v>172272.5</v>
      </c>
      <c r="G118" s="69">
        <f t="shared" si="1"/>
        <v>196320.01</v>
      </c>
      <c r="H118" s="69"/>
    </row>
    <row r="119" spans="2:14" x14ac:dyDescent="0.3">
      <c r="B119" s="13" t="s">
        <v>5</v>
      </c>
      <c r="C119" s="9" t="s">
        <v>10</v>
      </c>
      <c r="D119" s="185">
        <f>D114</f>
        <v>138448</v>
      </c>
      <c r="E119" s="185">
        <f>D119+E114</f>
        <v>266962</v>
      </c>
      <c r="F119" s="185">
        <f t="shared" ref="F119:G119" si="2">E119+F114</f>
        <v>391744</v>
      </c>
      <c r="G119" s="185">
        <f t="shared" si="2"/>
        <v>503878</v>
      </c>
      <c r="H119" s="185"/>
    </row>
    <row r="120" spans="2:14" ht="28.8" x14ac:dyDescent="0.3">
      <c r="B120" s="187" t="s">
        <v>130</v>
      </c>
      <c r="C120" s="9" t="s">
        <v>10</v>
      </c>
      <c r="D120" s="188">
        <f>D36*101*0.7842</f>
        <v>175596.50344200002</v>
      </c>
      <c r="E120" s="188">
        <f>E36*101*0.7842</f>
        <v>138258.85152</v>
      </c>
      <c r="F120" s="188">
        <f>F36*101*0.7842</f>
        <v>142102.63134600001</v>
      </c>
      <c r="G120" s="188">
        <f>G36*101*0.7842</f>
        <v>145544.84587799999</v>
      </c>
      <c r="H120" s="188"/>
    </row>
    <row r="121" spans="2:14" x14ac:dyDescent="0.3">
      <c r="B121" s="12" t="s">
        <v>53</v>
      </c>
      <c r="C121" s="9" t="s">
        <v>10</v>
      </c>
      <c r="D121" s="185">
        <f>(($C$86/31)*9)</f>
        <v>299943.18145161291</v>
      </c>
      <c r="E121" s="185">
        <f>(($C$86/31)*16)-D119</f>
        <v>394784.32258064521</v>
      </c>
      <c r="F121" s="185">
        <f>(($C$86/31)*23)-E119</f>
        <v>499559.46370967745</v>
      </c>
      <c r="G121" s="185">
        <f>(($C$86/31)*31)-F119</f>
        <v>641393.62500000012</v>
      </c>
      <c r="H121" s="185"/>
    </row>
    <row r="122" spans="2:14" s="4" customFormat="1" ht="15" thickBot="1" x14ac:dyDescent="0.35">
      <c r="I122" s="163"/>
      <c r="J122" s="163"/>
      <c r="K122" s="163"/>
      <c r="L122" s="151"/>
    </row>
    <row r="123" spans="2:14" ht="15" thickTop="1" x14ac:dyDescent="0.3"/>
    <row r="124" spans="2:14" ht="25.8" x14ac:dyDescent="0.5">
      <c r="B124" s="246" t="s">
        <v>71</v>
      </c>
      <c r="C124" s="246"/>
      <c r="D124" s="246"/>
      <c r="E124" s="246"/>
      <c r="F124" s="246"/>
      <c r="G124" s="246"/>
    </row>
    <row r="125" spans="2:14" ht="4.05" customHeight="1" x14ac:dyDescent="0.3">
      <c r="B125" s="20"/>
      <c r="C125" s="20"/>
      <c r="D125" s="20"/>
      <c r="E125" s="20"/>
      <c r="F125" s="20"/>
      <c r="G125" s="20"/>
    </row>
    <row r="126" spans="2:14" ht="14.55" customHeight="1" x14ac:dyDescent="0.3">
      <c r="B126" s="244" t="s">
        <v>20</v>
      </c>
      <c r="C126" s="244"/>
      <c r="D126" s="244"/>
      <c r="E126" s="244"/>
      <c r="F126" s="244"/>
      <c r="G126" s="244"/>
    </row>
    <row r="127" spans="2:14" x14ac:dyDescent="0.3">
      <c r="D127" s="19">
        <v>101</v>
      </c>
      <c r="E127" s="19" t="s">
        <v>18</v>
      </c>
    </row>
    <row r="128" spans="2:14" ht="27.6" x14ac:dyDescent="0.3">
      <c r="D128" s="176" t="str">
        <f>D77</f>
        <v>WEEK 1
(Aug1-9)</v>
      </c>
      <c r="E128" s="176" t="str">
        <f>E77</f>
        <v>WEEK 2
(Aug10-16)</v>
      </c>
      <c r="F128" s="176" t="str">
        <f>F77</f>
        <v>WEEK 3
(Aug17-23)</v>
      </c>
      <c r="G128" s="176" t="str">
        <f>G77</f>
        <v>WEEK 4
(Aug24-31)</v>
      </c>
      <c r="H128" s="176">
        <f>H77</f>
        <v>0</v>
      </c>
      <c r="I128" s="182" t="s">
        <v>37</v>
      </c>
      <c r="J128" s="74"/>
      <c r="L128" s="157"/>
      <c r="M128" s="157"/>
      <c r="N128" s="126"/>
    </row>
    <row r="129" spans="2:14" hidden="1" x14ac:dyDescent="0.3">
      <c r="D129" s="10"/>
      <c r="E129" s="179"/>
      <c r="F129" s="10"/>
      <c r="G129" s="10"/>
      <c r="H129" s="10"/>
      <c r="I129" s="107"/>
      <c r="J129" s="74"/>
      <c r="L129" s="157"/>
      <c r="M129" s="157"/>
      <c r="N129" s="126"/>
    </row>
    <row r="130" spans="2:14" x14ac:dyDescent="0.3">
      <c r="B130" s="172" t="s">
        <v>15</v>
      </c>
      <c r="C130" s="22" t="s">
        <v>10</v>
      </c>
      <c r="D130" s="23">
        <f>D36</f>
        <v>2217.0100000000002</v>
      </c>
      <c r="E130" s="23">
        <f>E36</f>
        <v>1745.6</v>
      </c>
      <c r="F130" s="23">
        <f>F36</f>
        <v>1794.13</v>
      </c>
      <c r="G130" s="23">
        <f>G36</f>
        <v>1837.59</v>
      </c>
      <c r="H130" s="23">
        <f>H36</f>
        <v>0</v>
      </c>
      <c r="I130" s="109">
        <f>SUM(D130:H130)</f>
        <v>7594.33</v>
      </c>
      <c r="J130" s="78"/>
      <c r="L130" s="157"/>
      <c r="M130" s="157"/>
      <c r="N130" s="126"/>
    </row>
    <row r="131" spans="2:14" x14ac:dyDescent="0.3">
      <c r="B131" s="172" t="s">
        <v>17</v>
      </c>
      <c r="C131" s="22" t="s">
        <v>10</v>
      </c>
      <c r="D131" s="23">
        <f t="shared" ref="D131:I131" si="3">D134*D130</f>
        <v>223918.01</v>
      </c>
      <c r="E131" s="23">
        <f t="shared" si="3"/>
        <v>176305.59999999998</v>
      </c>
      <c r="F131" s="23">
        <f t="shared" si="3"/>
        <v>181207.13</v>
      </c>
      <c r="G131" s="23">
        <f t="shared" si="3"/>
        <v>185596.59</v>
      </c>
      <c r="H131" s="23">
        <f t="shared" si="3"/>
        <v>0</v>
      </c>
      <c r="I131" s="110">
        <f t="shared" si="3"/>
        <v>767027.33</v>
      </c>
      <c r="J131" s="63"/>
      <c r="L131" s="157"/>
      <c r="M131" s="157"/>
      <c r="N131" s="126"/>
    </row>
    <row r="132" spans="2:14" x14ac:dyDescent="0.3">
      <c r="B132" s="172" t="s">
        <v>16</v>
      </c>
      <c r="C132" s="22" t="s">
        <v>10</v>
      </c>
      <c r="D132" s="23">
        <f t="shared" ref="D132:E132" si="4">D118</f>
        <v>188507.99</v>
      </c>
      <c r="E132" s="23">
        <f t="shared" si="4"/>
        <v>193229.71</v>
      </c>
      <c r="F132" s="23">
        <f>F118</f>
        <v>172272.5</v>
      </c>
      <c r="G132" s="23">
        <f>G118</f>
        <v>196320.01</v>
      </c>
      <c r="H132" s="23">
        <f>H118</f>
        <v>0</v>
      </c>
      <c r="I132" s="109">
        <f>SUM(D132:H132)</f>
        <v>750330.21</v>
      </c>
      <c r="J132" s="62"/>
      <c r="K132" s="159"/>
      <c r="L132" s="157"/>
      <c r="M132" s="157"/>
      <c r="N132" s="126"/>
    </row>
    <row r="133" spans="2:14" x14ac:dyDescent="0.3">
      <c r="B133" s="172" t="s">
        <v>22</v>
      </c>
      <c r="C133" s="22" t="s">
        <v>19</v>
      </c>
      <c r="D133" s="23">
        <f>IFERROR(D132/D130,"")</f>
        <v>85.028028741412967</v>
      </c>
      <c r="E133" s="23">
        <f>IFERROR(E132/E130,"")</f>
        <v>110.69529674610449</v>
      </c>
      <c r="F133" s="23">
        <f>IFERROR(F132/F130,"")</f>
        <v>96.020076583079259</v>
      </c>
      <c r="G133" s="23">
        <f>IFERROR(G132/G130,"")</f>
        <v>106.83558900516438</v>
      </c>
      <c r="H133" s="23" t="str">
        <f>IFERROR(H132/H130,"")</f>
        <v/>
      </c>
      <c r="I133" s="110">
        <f>I132/I130</f>
        <v>98.801370232792095</v>
      </c>
      <c r="J133" s="63"/>
      <c r="L133" s="157"/>
      <c r="M133" s="157"/>
      <c r="N133" s="126"/>
    </row>
    <row r="134" spans="2:14" x14ac:dyDescent="0.3">
      <c r="B134" s="172" t="s">
        <v>23</v>
      </c>
      <c r="C134" s="22" t="s">
        <v>19</v>
      </c>
      <c r="D134" s="23">
        <v>101</v>
      </c>
      <c r="E134" s="23">
        <v>101</v>
      </c>
      <c r="F134" s="23">
        <v>101</v>
      </c>
      <c r="G134" s="23">
        <v>101</v>
      </c>
      <c r="H134" s="23">
        <v>102</v>
      </c>
      <c r="I134" s="116">
        <v>101</v>
      </c>
      <c r="J134" s="78"/>
      <c r="K134" s="162"/>
      <c r="L134" s="157"/>
      <c r="M134" s="157"/>
      <c r="N134" s="126"/>
    </row>
    <row r="135" spans="2:14" x14ac:dyDescent="0.3">
      <c r="B135" s="21"/>
      <c r="C135" s="22"/>
      <c r="D135" s="23"/>
      <c r="E135" s="23"/>
      <c r="F135" s="23"/>
      <c r="G135" s="23"/>
    </row>
    <row r="136" spans="2:14" x14ac:dyDescent="0.3">
      <c r="B136" s="21"/>
      <c r="C136" s="22"/>
      <c r="D136" s="23"/>
      <c r="E136" s="23"/>
      <c r="F136" s="23"/>
      <c r="G136" s="23"/>
    </row>
    <row r="137" spans="2:14" x14ac:dyDescent="0.3">
      <c r="B137" s="21"/>
      <c r="C137" s="22"/>
      <c r="D137" s="23"/>
      <c r="E137" s="23"/>
      <c r="F137" s="23"/>
      <c r="G137" s="23"/>
    </row>
    <row r="138" spans="2:14" x14ac:dyDescent="0.3">
      <c r="B138" s="21"/>
      <c r="C138" s="22"/>
      <c r="D138" s="23"/>
      <c r="E138" s="23"/>
      <c r="F138" s="23"/>
      <c r="G138" s="23"/>
    </row>
    <row r="139" spans="2:14" x14ac:dyDescent="0.3">
      <c r="B139" s="21"/>
      <c r="C139" s="22"/>
      <c r="D139" s="23"/>
      <c r="E139" s="23"/>
      <c r="F139" s="23"/>
      <c r="G139" s="23"/>
    </row>
    <row r="140" spans="2:14" x14ac:dyDescent="0.3">
      <c r="B140" s="21"/>
      <c r="C140" s="22"/>
      <c r="D140" s="23"/>
      <c r="E140" s="23"/>
      <c r="F140" s="23"/>
      <c r="G140" s="23"/>
    </row>
    <row r="141" spans="2:14" x14ac:dyDescent="0.3">
      <c r="B141" s="21"/>
      <c r="C141" s="22"/>
      <c r="D141" s="23"/>
      <c r="E141" s="23"/>
      <c r="F141" s="23"/>
      <c r="G141" s="23"/>
    </row>
    <row r="142" spans="2:14" x14ac:dyDescent="0.3">
      <c r="B142" s="21"/>
      <c r="C142" s="22"/>
      <c r="D142" s="23"/>
      <c r="E142" s="23"/>
      <c r="F142" s="23"/>
      <c r="G142" s="23"/>
    </row>
    <row r="143" spans="2:14" x14ac:dyDescent="0.3">
      <c r="B143" s="21"/>
      <c r="C143" s="22"/>
      <c r="D143" s="23"/>
      <c r="E143" s="23"/>
      <c r="F143" s="23"/>
      <c r="G143" s="23"/>
    </row>
    <row r="144" spans="2:14" x14ac:dyDescent="0.3">
      <c r="B144" s="21"/>
      <c r="C144" s="22"/>
      <c r="D144" s="23"/>
      <c r="E144" s="23"/>
      <c r="F144" s="23"/>
      <c r="G144" s="23"/>
      <c r="I144" s="183"/>
    </row>
    <row r="145" spans="2:13" x14ac:dyDescent="0.3">
      <c r="B145" s="21"/>
      <c r="C145" s="22"/>
      <c r="D145" s="23"/>
      <c r="E145" s="23"/>
      <c r="F145" s="23"/>
      <c r="G145" s="23"/>
    </row>
    <row r="146" spans="2:13" s="101" customFormat="1" x14ac:dyDescent="0.3">
      <c r="B146" s="21"/>
      <c r="C146" s="22"/>
      <c r="D146" s="23"/>
      <c r="E146" s="23"/>
      <c r="F146" s="23"/>
      <c r="G146" s="23"/>
      <c r="H146"/>
      <c r="I146" s="157"/>
      <c r="J146" s="157"/>
      <c r="K146" s="157"/>
      <c r="L146" s="126"/>
      <c r="M146"/>
    </row>
    <row r="147" spans="2:13" s="101" customFormat="1" x14ac:dyDescent="0.3">
      <c r="B147" s="21"/>
      <c r="C147" s="22"/>
      <c r="D147" s="23"/>
      <c r="E147" s="23"/>
      <c r="F147" s="23"/>
      <c r="G147" s="23"/>
      <c r="H147"/>
      <c r="I147" s="157"/>
      <c r="J147" s="157"/>
      <c r="K147" s="157"/>
      <c r="L147" s="126"/>
      <c r="M147"/>
    </row>
    <row r="148" spans="2:13" s="101" customFormat="1" x14ac:dyDescent="0.3">
      <c r="B148" s="21"/>
      <c r="C148" s="22"/>
      <c r="D148" s="23"/>
      <c r="E148" s="23"/>
      <c r="F148" s="23"/>
      <c r="G148" s="23"/>
      <c r="H148"/>
      <c r="I148" s="157"/>
      <c r="J148" s="157"/>
      <c r="K148" s="157"/>
      <c r="L148" s="126"/>
      <c r="M148"/>
    </row>
    <row r="149" spans="2:13" s="101" customFormat="1" x14ac:dyDescent="0.3">
      <c r="B149" s="21"/>
      <c r="C149" s="22"/>
      <c r="D149" s="23"/>
      <c r="E149" s="23"/>
      <c r="F149" s="23"/>
      <c r="G149" s="23"/>
      <c r="H149"/>
      <c r="I149" s="157"/>
      <c r="J149" s="157"/>
      <c r="K149" s="157"/>
      <c r="L149" s="126"/>
      <c r="M149"/>
    </row>
    <row r="150" spans="2:13" s="101" customFormat="1" x14ac:dyDescent="0.3">
      <c r="B150" s="21"/>
      <c r="C150" s="22"/>
      <c r="D150" s="23"/>
      <c r="E150" s="23"/>
      <c r="F150" s="23"/>
      <c r="G150" s="23"/>
      <c r="H150"/>
      <c r="I150" s="157"/>
      <c r="J150" s="157"/>
      <c r="K150" s="157"/>
      <c r="L150" s="126"/>
      <c r="M150"/>
    </row>
    <row r="151" spans="2:13" s="101" customFormat="1" x14ac:dyDescent="0.3">
      <c r="B151" s="21"/>
      <c r="C151" s="22"/>
      <c r="D151" s="23"/>
      <c r="E151" s="23"/>
      <c r="F151" s="23"/>
      <c r="G151" s="23"/>
      <c r="H151"/>
      <c r="I151" s="157"/>
      <c r="J151" s="157"/>
      <c r="K151" s="157"/>
      <c r="L151" s="126"/>
      <c r="M151"/>
    </row>
    <row r="152" spans="2:13" s="101" customFormat="1" x14ac:dyDescent="0.3">
      <c r="B152" s="21"/>
      <c r="C152" s="22"/>
      <c r="D152" s="23"/>
      <c r="E152" s="23"/>
      <c r="F152" s="23"/>
      <c r="G152" s="23"/>
      <c r="H152"/>
      <c r="I152" s="157"/>
      <c r="J152" s="157"/>
      <c r="K152" s="157"/>
      <c r="L152" s="126"/>
      <c r="M152"/>
    </row>
    <row r="153" spans="2:13" s="101" customFormat="1" x14ac:dyDescent="0.3">
      <c r="B153" s="21"/>
      <c r="C153" s="22"/>
      <c r="D153" s="23"/>
      <c r="E153" s="23"/>
      <c r="F153" s="23"/>
      <c r="G153" s="23"/>
      <c r="H153"/>
      <c r="I153" s="157"/>
      <c r="J153" s="157"/>
      <c r="K153" s="157"/>
      <c r="L153" s="126"/>
      <c r="M153"/>
    </row>
    <row r="154" spans="2:13" s="101" customFormat="1" x14ac:dyDescent="0.3">
      <c r="B154" s="21"/>
      <c r="C154" s="22"/>
      <c r="D154" s="23"/>
      <c r="E154" s="23"/>
      <c r="F154" s="23"/>
      <c r="G154" s="23"/>
      <c r="H154"/>
      <c r="I154" s="157"/>
      <c r="J154" s="157"/>
      <c r="K154" s="157"/>
      <c r="L154" s="126"/>
      <c r="M154"/>
    </row>
    <row r="155" spans="2:13" s="101" customFormat="1" x14ac:dyDescent="0.3">
      <c r="B155" s="21"/>
      <c r="C155" s="22"/>
      <c r="D155" s="23"/>
      <c r="E155" s="23"/>
      <c r="F155" s="23"/>
      <c r="G155" s="23"/>
      <c r="H155"/>
      <c r="I155" s="157"/>
      <c r="J155" s="157"/>
      <c r="K155" s="157"/>
      <c r="L155" s="126"/>
      <c r="M155"/>
    </row>
    <row r="156" spans="2:13" s="101" customFormat="1" x14ac:dyDescent="0.3">
      <c r="B156" s="21"/>
      <c r="C156" s="22"/>
      <c r="D156" s="23"/>
      <c r="E156" s="23"/>
      <c r="F156" s="23"/>
      <c r="G156" s="23"/>
      <c r="H156"/>
      <c r="I156" s="157"/>
      <c r="J156" s="157"/>
      <c r="K156" s="157"/>
      <c r="L156" s="126"/>
      <c r="M156"/>
    </row>
    <row r="157" spans="2:13" s="101" customFormat="1" x14ac:dyDescent="0.3">
      <c r="B157" s="21"/>
      <c r="C157" s="22"/>
      <c r="D157" s="23"/>
      <c r="E157" s="23"/>
      <c r="F157" s="23"/>
      <c r="G157" s="23"/>
      <c r="H157"/>
      <c r="I157" s="157"/>
      <c r="J157" s="157"/>
      <c r="K157" s="157"/>
      <c r="L157" s="126"/>
      <c r="M157"/>
    </row>
    <row r="158" spans="2:13" s="101" customFormat="1" x14ac:dyDescent="0.3">
      <c r="B158" s="21"/>
      <c r="C158" s="22"/>
      <c r="D158" s="23"/>
      <c r="E158" s="23"/>
      <c r="F158" s="23"/>
      <c r="G158" s="23"/>
      <c r="H158"/>
      <c r="I158" s="157"/>
      <c r="J158" s="157"/>
      <c r="K158" s="157"/>
      <c r="L158" s="126"/>
      <c r="M158"/>
    </row>
    <row r="159" spans="2:13" s="101" customFormat="1" x14ac:dyDescent="0.3">
      <c r="B159" s="21"/>
      <c r="C159" s="22"/>
      <c r="D159" s="23"/>
      <c r="E159" s="23"/>
      <c r="F159" s="23"/>
      <c r="G159" s="23"/>
      <c r="H159"/>
      <c r="I159" s="157"/>
      <c r="J159" s="157"/>
      <c r="K159" s="157"/>
      <c r="L159" s="126"/>
      <c r="M159"/>
    </row>
    <row r="160" spans="2:13" s="101" customFormat="1" x14ac:dyDescent="0.3">
      <c r="B160" s="21"/>
      <c r="C160" s="22"/>
      <c r="D160" s="23"/>
      <c r="E160" s="23"/>
      <c r="F160" s="23"/>
      <c r="G160" s="23"/>
      <c r="H160"/>
      <c r="I160" s="157"/>
      <c r="J160" s="157"/>
      <c r="K160" s="157"/>
      <c r="L160" s="126"/>
      <c r="M160"/>
    </row>
    <row r="161" spans="2:14" s="101" customFormat="1" x14ac:dyDescent="0.3">
      <c r="B161" s="21"/>
      <c r="C161" s="22"/>
      <c r="D161" s="23"/>
      <c r="E161" s="23"/>
      <c r="F161" s="23"/>
      <c r="G161" s="23"/>
      <c r="H161"/>
      <c r="I161" s="157"/>
      <c r="J161" s="157"/>
      <c r="K161" s="157"/>
      <c r="L161" s="126"/>
      <c r="M161"/>
    </row>
    <row r="162" spans="2:14" x14ac:dyDescent="0.3">
      <c r="B162" s="21"/>
      <c r="C162" s="22"/>
      <c r="D162" s="23"/>
      <c r="E162" s="23"/>
      <c r="F162" s="23"/>
      <c r="G162" s="23"/>
    </row>
    <row r="163" spans="2:14" x14ac:dyDescent="0.3">
      <c r="B163" s="21"/>
      <c r="C163" s="22"/>
      <c r="D163" s="23"/>
      <c r="E163" s="23"/>
      <c r="F163" s="23"/>
      <c r="G163" s="23"/>
    </row>
    <row r="164" spans="2:14" x14ac:dyDescent="0.3">
      <c r="B164" s="21"/>
      <c r="C164" s="22"/>
      <c r="D164" s="23"/>
      <c r="E164" s="23"/>
      <c r="F164" s="23"/>
      <c r="G164" s="23"/>
    </row>
    <row r="165" spans="2:14" x14ac:dyDescent="0.3">
      <c r="H165" s="57"/>
    </row>
    <row r="170" spans="2:14" ht="15.6" x14ac:dyDescent="0.3">
      <c r="B170" s="245" t="s">
        <v>21</v>
      </c>
      <c r="C170" s="245"/>
      <c r="D170" s="245"/>
      <c r="E170" s="245"/>
      <c r="F170" s="245"/>
      <c r="G170" s="245"/>
    </row>
    <row r="171" spans="2:14" ht="27.6" x14ac:dyDescent="0.3">
      <c r="D171" s="176" t="str">
        <f>D128</f>
        <v>WEEK 1
(Aug1-9)</v>
      </c>
      <c r="E171" s="176" t="str">
        <f>E128</f>
        <v>WEEK 2
(Aug10-16)</v>
      </c>
      <c r="F171" s="176" t="str">
        <f>F128</f>
        <v>WEEK 3
(Aug17-23)</v>
      </c>
      <c r="G171" s="176" t="str">
        <f>G128</f>
        <v>WEEK 4
(Aug24-31)</v>
      </c>
      <c r="H171" s="176"/>
      <c r="I171" s="111" t="s">
        <v>37</v>
      </c>
      <c r="J171" s="64"/>
      <c r="L171" s="157"/>
      <c r="M171" s="157"/>
      <c r="N171" s="126"/>
    </row>
    <row r="172" spans="2:14" x14ac:dyDescent="0.3">
      <c r="B172" s="64" t="s">
        <v>15</v>
      </c>
      <c r="C172" s="22" t="s">
        <v>10</v>
      </c>
      <c r="D172" s="23">
        <f>D130*(D175/14)</f>
        <v>2207.5085285714285</v>
      </c>
      <c r="E172" s="23">
        <f>E130*(E175/14)</f>
        <v>1741.8594285714285</v>
      </c>
      <c r="F172" s="23">
        <f>F130*(F175/14)</f>
        <v>1792.2077178571428</v>
      </c>
      <c r="G172" s="23">
        <f>G130*(G175/14)</f>
        <v>1832.9960249999999</v>
      </c>
      <c r="H172" s="23"/>
      <c r="I172" s="108">
        <f>SUM(D172:G172)</f>
        <v>7574.5717000000004</v>
      </c>
      <c r="J172" s="61"/>
      <c r="K172" s="165"/>
      <c r="L172" s="157"/>
      <c r="M172" s="157"/>
      <c r="N172" s="126"/>
    </row>
    <row r="173" spans="2:14" x14ac:dyDescent="0.3">
      <c r="B173" s="64" t="s">
        <v>17</v>
      </c>
      <c r="C173" s="22" t="s">
        <v>10</v>
      </c>
      <c r="D173" s="23">
        <f>D172*$D$127</f>
        <v>222958.36138571429</v>
      </c>
      <c r="E173" s="23">
        <f>E172*$D$127</f>
        <v>175927.80228571428</v>
      </c>
      <c r="F173" s="23">
        <f>F172*$D$127</f>
        <v>181012.97950357143</v>
      </c>
      <c r="G173" s="23">
        <f>G172*$D$127</f>
        <v>185132.59852499998</v>
      </c>
      <c r="H173" s="23"/>
      <c r="I173" s="110">
        <f>I172*101</f>
        <v>765031.74170000001</v>
      </c>
      <c r="J173" s="63"/>
      <c r="L173" s="157"/>
      <c r="M173" s="157"/>
      <c r="N173" s="126"/>
    </row>
    <row r="174" spans="2:14" x14ac:dyDescent="0.3">
      <c r="B174" s="64" t="s">
        <v>16</v>
      </c>
      <c r="C174" s="22" t="s">
        <v>10</v>
      </c>
      <c r="D174" s="23">
        <f>D132</f>
        <v>188507.99</v>
      </c>
      <c r="E174" s="23">
        <f>E132</f>
        <v>193229.71</v>
      </c>
      <c r="F174" s="23">
        <f>F132</f>
        <v>172272.5</v>
      </c>
      <c r="G174" s="23">
        <f>G132</f>
        <v>196320.01</v>
      </c>
      <c r="H174" s="23"/>
      <c r="I174" s="112">
        <f>SUM(D174:G174)</f>
        <v>750330.21</v>
      </c>
      <c r="J174" s="63"/>
      <c r="K174" s="159"/>
      <c r="L174" s="157"/>
      <c r="M174" s="157"/>
      <c r="N174" s="126"/>
    </row>
    <row r="175" spans="2:14" x14ac:dyDescent="0.3">
      <c r="B175" s="64" t="s">
        <v>39</v>
      </c>
      <c r="C175" s="22"/>
      <c r="D175" s="186">
        <v>13.94</v>
      </c>
      <c r="E175" s="186">
        <v>13.97</v>
      </c>
      <c r="F175" s="186">
        <v>13.984999999999999</v>
      </c>
      <c r="G175" s="186">
        <v>13.965</v>
      </c>
      <c r="H175" s="186"/>
      <c r="I175" s="113">
        <f>AVERAGE(D175:H175)</f>
        <v>13.965</v>
      </c>
      <c r="J175" s="87"/>
      <c r="L175" s="157"/>
      <c r="M175" s="157"/>
      <c r="N175" s="126"/>
    </row>
    <row r="176" spans="2:14" x14ac:dyDescent="0.3">
      <c r="B176" s="21" t="s">
        <v>22</v>
      </c>
      <c r="C176" s="22" t="s">
        <v>19</v>
      </c>
      <c r="D176" s="23">
        <f t="shared" ref="D176:G176" si="5">IFERROR(D174/D172,"")</f>
        <v>85.394003040156505</v>
      </c>
      <c r="E176" s="23">
        <f t="shared" si="5"/>
        <v>110.93301033968955</v>
      </c>
      <c r="F176" s="23">
        <f t="shared" si="5"/>
        <v>96.123065581917032</v>
      </c>
      <c r="G176" s="23">
        <f t="shared" si="5"/>
        <v>107.10334737359838</v>
      </c>
      <c r="H176" s="23"/>
      <c r="I176" s="112">
        <f>I174/I172</f>
        <v>99.059093994713905</v>
      </c>
      <c r="J176" s="65"/>
      <c r="L176" s="157"/>
      <c r="M176" s="157"/>
      <c r="N176" s="126"/>
    </row>
    <row r="177" spans="2:14" x14ac:dyDescent="0.3">
      <c r="B177" s="21" t="s">
        <v>23</v>
      </c>
      <c r="C177" s="22" t="s">
        <v>19</v>
      </c>
      <c r="D177" s="23">
        <v>101</v>
      </c>
      <c r="E177" s="23">
        <v>101</v>
      </c>
      <c r="F177" s="23">
        <v>101</v>
      </c>
      <c r="G177" s="23">
        <v>101</v>
      </c>
      <c r="H177" s="23"/>
      <c r="I177" s="114">
        <v>101</v>
      </c>
      <c r="J177" s="65"/>
      <c r="L177" s="157"/>
      <c r="M177" s="157"/>
      <c r="N177" s="126"/>
    </row>
    <row r="178" spans="2:14" x14ac:dyDescent="0.3">
      <c r="D178" s="24" t="s">
        <v>40</v>
      </c>
    </row>
    <row r="215" spans="2:12" s="4" customFormat="1" ht="15" thickBot="1" x14ac:dyDescent="0.35">
      <c r="I215" s="163"/>
      <c r="J215" s="163"/>
      <c r="K215" s="163"/>
      <c r="L215" s="151"/>
    </row>
    <row r="216" spans="2:12" ht="15" thickTop="1" x14ac:dyDescent="0.3"/>
    <row r="221" spans="2:12" ht="25.8" hidden="1" x14ac:dyDescent="0.5">
      <c r="B221" s="246" t="s">
        <v>24</v>
      </c>
      <c r="C221" s="246"/>
      <c r="D221" s="246"/>
      <c r="E221" s="246"/>
      <c r="F221" s="246"/>
      <c r="G221" s="246"/>
    </row>
    <row r="222" spans="2:12" hidden="1" x14ac:dyDescent="0.3"/>
    <row r="223" spans="2:12" ht="22.8" hidden="1" thickBot="1" x14ac:dyDescent="0.5">
      <c r="B223" s="28" t="s">
        <v>25</v>
      </c>
      <c r="C223" s="29" t="s">
        <v>26</v>
      </c>
      <c r="D223" s="29" t="s">
        <v>27</v>
      </c>
      <c r="E223" s="180" t="s">
        <v>28</v>
      </c>
    </row>
    <row r="224" spans="2:12" ht="23.4" hidden="1" x14ac:dyDescent="0.45">
      <c r="B224" s="31"/>
      <c r="C224" s="26"/>
      <c r="D224" s="26"/>
      <c r="E224" s="32"/>
    </row>
    <row r="225" spans="2:5" ht="22.2" hidden="1" x14ac:dyDescent="0.45">
      <c r="B225" s="33">
        <v>44743</v>
      </c>
      <c r="C225" s="89">
        <v>1056523.5</v>
      </c>
      <c r="D225" s="90">
        <v>1501785</v>
      </c>
      <c r="E225" s="181">
        <f>C225+D225</f>
        <v>2558308.5</v>
      </c>
    </row>
    <row r="226" spans="2:5" ht="22.2" hidden="1" x14ac:dyDescent="0.45">
      <c r="B226" s="33">
        <v>44774</v>
      </c>
      <c r="C226" s="92">
        <v>1649443.5</v>
      </c>
      <c r="D226" s="92">
        <v>863715</v>
      </c>
      <c r="E226" s="181">
        <f t="shared" ref="E226:E236" si="6">C226+D226</f>
        <v>2513158.5</v>
      </c>
    </row>
    <row r="227" spans="2:5" ht="22.2" hidden="1" x14ac:dyDescent="0.45">
      <c r="B227" s="33">
        <v>44805</v>
      </c>
      <c r="C227" s="92">
        <v>1346098.5</v>
      </c>
      <c r="D227" s="92">
        <v>1119105</v>
      </c>
      <c r="E227" s="181">
        <f t="shared" si="6"/>
        <v>2465203.5</v>
      </c>
    </row>
    <row r="228" spans="2:5" ht="22.2" hidden="1" x14ac:dyDescent="0.45">
      <c r="B228" s="33">
        <v>44835</v>
      </c>
      <c r="C228" s="92">
        <v>2573653.5</v>
      </c>
      <c r="D228" s="92">
        <v>0</v>
      </c>
      <c r="E228" s="181">
        <f t="shared" si="6"/>
        <v>2573653.5</v>
      </c>
    </row>
    <row r="229" spans="2:5" ht="22.2" hidden="1" x14ac:dyDescent="0.45">
      <c r="B229" s="33">
        <v>44866</v>
      </c>
      <c r="C229" s="92">
        <v>2239123.5</v>
      </c>
      <c r="D229" s="92">
        <v>0</v>
      </c>
      <c r="E229" s="181">
        <f t="shared" si="6"/>
        <v>2239123.5</v>
      </c>
    </row>
    <row r="230" spans="2:5" ht="22.2" hidden="1" x14ac:dyDescent="0.45">
      <c r="B230" s="33">
        <v>44896</v>
      </c>
      <c r="C230" s="92">
        <v>3815869.5</v>
      </c>
      <c r="D230" s="92">
        <v>0</v>
      </c>
      <c r="E230" s="181">
        <f t="shared" si="6"/>
        <v>3815869.5</v>
      </c>
    </row>
    <row r="231" spans="2:5" ht="22.2" hidden="1" x14ac:dyDescent="0.45">
      <c r="B231" s="33">
        <v>44927</v>
      </c>
      <c r="C231" s="92">
        <v>3876876</v>
      </c>
      <c r="D231" s="92">
        <v>0</v>
      </c>
      <c r="E231" s="181">
        <f t="shared" si="6"/>
        <v>3876876</v>
      </c>
    </row>
    <row r="232" spans="2:5" ht="22.2" hidden="1" x14ac:dyDescent="0.45">
      <c r="B232" s="33">
        <v>44958</v>
      </c>
      <c r="C232" s="92">
        <v>2565432</v>
      </c>
      <c r="D232" s="92">
        <v>427935</v>
      </c>
      <c r="E232" s="181">
        <f t="shared" si="6"/>
        <v>2993367</v>
      </c>
    </row>
    <row r="233" spans="2:5" ht="22.2" hidden="1" x14ac:dyDescent="0.45">
      <c r="B233" s="33">
        <v>44986</v>
      </c>
      <c r="C233" s="92">
        <v>2163847.5</v>
      </c>
      <c r="D233" s="92">
        <v>0</v>
      </c>
      <c r="E233" s="181">
        <f t="shared" si="6"/>
        <v>2163847.5</v>
      </c>
    </row>
    <row r="234" spans="2:5" ht="22.2" hidden="1" x14ac:dyDescent="0.45">
      <c r="B234" s="33">
        <v>45017</v>
      </c>
      <c r="C234" s="92">
        <v>1103476.5</v>
      </c>
      <c r="D234" s="92">
        <v>0</v>
      </c>
      <c r="E234" s="181">
        <f t="shared" si="6"/>
        <v>1103476.5</v>
      </c>
    </row>
    <row r="235" spans="2:5" ht="22.2" hidden="1" x14ac:dyDescent="0.45">
      <c r="B235" s="33">
        <v>45047</v>
      </c>
      <c r="C235" s="92">
        <v>1210167</v>
      </c>
      <c r="D235" s="92">
        <v>0</v>
      </c>
      <c r="E235" s="181">
        <f t="shared" si="6"/>
        <v>1210167</v>
      </c>
    </row>
    <row r="236" spans="2:5" ht="22.2" hidden="1" x14ac:dyDescent="0.45">
      <c r="B236" s="33">
        <v>45078</v>
      </c>
      <c r="C236" s="92">
        <v>2359260</v>
      </c>
      <c r="D236" s="92">
        <v>0</v>
      </c>
      <c r="E236" s="181">
        <f t="shared" si="6"/>
        <v>2359260</v>
      </c>
    </row>
    <row r="237" spans="2:5" ht="22.8" hidden="1" thickBot="1" x14ac:dyDescent="0.5">
      <c r="B237" s="34"/>
      <c r="C237" s="27"/>
      <c r="D237" s="27"/>
      <c r="E237" s="35"/>
    </row>
    <row r="238" spans="2:5" ht="23.4" hidden="1" thickTop="1" thickBot="1" x14ac:dyDescent="0.5">
      <c r="B238" s="36"/>
      <c r="C238" s="37">
        <f>SUM(C225:C236)</f>
        <v>25959771</v>
      </c>
      <c r="D238" s="37">
        <f>SUM(D225:D236)</f>
        <v>3912540</v>
      </c>
      <c r="E238" s="38">
        <f>SUM(E225:E236)</f>
        <v>29872311</v>
      </c>
    </row>
    <row r="239" spans="2:5" hidden="1" x14ac:dyDescent="0.3"/>
    <row r="240" spans="2:5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</sheetData>
  <dataConsolidate/>
  <mergeCells count="7">
    <mergeCell ref="B221:G221"/>
    <mergeCell ref="B2:G2"/>
    <mergeCell ref="B47:G47"/>
    <mergeCell ref="B83:G83"/>
    <mergeCell ref="B124:G124"/>
    <mergeCell ref="B126:G126"/>
    <mergeCell ref="B170:G170"/>
  </mergeCells>
  <conditionalFormatting sqref="C4:D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{1F0BD97D-3C0C-4E08-97BF-91369BE92EFC}</x14:id>
        </ext>
      </extLst>
    </cfRule>
  </conditionalFormatting>
  <conditionalFormatting sqref="C49:D53 E6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{B0911241-783E-4EFC-B0F3-96553B363AB4}</x14:id>
        </ext>
      </extLst>
    </cfRule>
  </conditionalFormatting>
  <conditionalFormatting sqref="C85:D9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{5400A775-94D0-4804-9ADA-0C29960B70DC}</x14:id>
        </ext>
      </extLst>
    </cfRule>
  </conditionalFormatting>
  <conditionalFormatting sqref="C129:I12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{489C7296-AE68-4E9E-87B2-C1855D1E02D3}</x14:id>
        </ext>
      </extLst>
    </cfRule>
  </conditionalFormatting>
  <pageMargins left="0.7" right="0.7" top="0.75" bottom="0.75" header="0.3" footer="0.3"/>
  <pageSetup paperSize="9" orientation="portrait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0BD97D-3C0C-4E08-97BF-91369BE92E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C4:D8</xm:sqref>
        </x14:conditionalFormatting>
        <x14:conditionalFormatting xmlns:xm="http://schemas.microsoft.com/office/excel/2006/main">
          <x14:cfRule type="dataBar" id="{B0911241-783E-4EFC-B0F3-96553B363A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C49:D53 E60</xm:sqref>
        </x14:conditionalFormatting>
        <x14:conditionalFormatting xmlns:xm="http://schemas.microsoft.com/office/excel/2006/main">
          <x14:cfRule type="dataBar" id="{5400A775-94D0-4804-9ADA-0C29960B70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C85:D90</xm:sqref>
        </x14:conditionalFormatting>
        <x14:conditionalFormatting xmlns:xm="http://schemas.microsoft.com/office/excel/2006/main">
          <x14:cfRule type="dataBar" id="{489C7296-AE68-4E9E-87B2-C1855D1E02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C129:I129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C50E-E9D1-484F-9D39-D176BEBDBBC3}">
  <sheetPr>
    <tabColor rgb="FF00B050"/>
    <pageSetUpPr autoPageBreaks="0"/>
  </sheetPr>
  <dimension ref="B2:N245"/>
  <sheetViews>
    <sheetView showGridLines="0" zoomScale="94" zoomScaleNormal="85" zoomScaleSheetLayoutView="115" workbookViewId="0">
      <selection activeCell="F37" sqref="F37"/>
    </sheetView>
  </sheetViews>
  <sheetFormatPr defaultColWidth="22.33203125" defaultRowHeight="14.4" x14ac:dyDescent="0.3"/>
  <cols>
    <col min="1" max="1" width="6.6640625" customWidth="1"/>
    <col min="2" max="2" width="28.109375" customWidth="1"/>
    <col min="3" max="3" width="17.109375" customWidth="1"/>
    <col min="4" max="4" width="15.77734375" customWidth="1"/>
    <col min="5" max="5" width="11.6640625" customWidth="1"/>
    <col min="6" max="6" width="11.33203125" customWidth="1"/>
    <col min="7" max="8" width="10.77734375" customWidth="1"/>
    <col min="9" max="11" width="22.33203125" style="157"/>
    <col min="12" max="12" width="22.33203125" style="126"/>
  </cols>
  <sheetData>
    <row r="2" spans="2:11" ht="25.8" x14ac:dyDescent="0.5">
      <c r="B2" s="246" t="s">
        <v>68</v>
      </c>
      <c r="C2" s="246"/>
      <c r="D2" s="246"/>
      <c r="E2" s="246"/>
      <c r="F2" s="246"/>
      <c r="G2" s="246"/>
      <c r="I2" s="155"/>
      <c r="J2" s="158"/>
    </row>
    <row r="3" spans="2:11" ht="4.5" customHeight="1" x14ac:dyDescent="0.3"/>
    <row r="4" spans="2:11" x14ac:dyDescent="0.3">
      <c r="B4" s="21" t="s">
        <v>52</v>
      </c>
      <c r="C4" s="168">
        <v>143000</v>
      </c>
      <c r="D4" s="22" t="s">
        <v>4</v>
      </c>
      <c r="E4" s="173"/>
      <c r="H4" s="67"/>
      <c r="I4" s="156"/>
    </row>
    <row r="5" spans="2:11" ht="28.8" x14ac:dyDescent="0.3">
      <c r="B5" s="21" t="s">
        <v>107</v>
      </c>
      <c r="C5" s="168">
        <f>(C4-Aug!C7)/7</f>
        <v>15410.380000000001</v>
      </c>
      <c r="D5" s="22" t="s">
        <v>4</v>
      </c>
      <c r="H5" s="67"/>
    </row>
    <row r="6" spans="2:11" x14ac:dyDescent="0.3">
      <c r="B6" s="21" t="s">
        <v>6</v>
      </c>
      <c r="C6" s="171">
        <f>SUM(D39:G39)</f>
        <v>6634.4</v>
      </c>
      <c r="D6" s="22" t="s">
        <v>4</v>
      </c>
      <c r="E6" s="173"/>
      <c r="G6" s="56"/>
      <c r="H6" s="67"/>
      <c r="I6" s="159"/>
    </row>
    <row r="7" spans="2:11" x14ac:dyDescent="0.3">
      <c r="B7" s="21" t="s">
        <v>66</v>
      </c>
      <c r="C7" s="171">
        <f>Aug!C7+Sep!C6</f>
        <v>41761.740000000005</v>
      </c>
      <c r="D7" s="22" t="s">
        <v>4</v>
      </c>
      <c r="E7" s="174"/>
      <c r="H7" s="67"/>
    </row>
    <row r="8" spans="2:11" x14ac:dyDescent="0.3">
      <c r="B8" s="21" t="s">
        <v>2</v>
      </c>
      <c r="C8" s="171">
        <f>SUM(D38:G38)</f>
        <v>0</v>
      </c>
      <c r="D8" s="22" t="s">
        <v>4</v>
      </c>
      <c r="F8" s="3"/>
    </row>
    <row r="9" spans="2:11" x14ac:dyDescent="0.3">
      <c r="I9" s="159"/>
    </row>
    <row r="10" spans="2:11" x14ac:dyDescent="0.3">
      <c r="D10" s="2"/>
      <c r="E10" s="175"/>
      <c r="F10" s="2"/>
      <c r="G10" s="2"/>
      <c r="I10" s="159"/>
    </row>
    <row r="11" spans="2:11" x14ac:dyDescent="0.3">
      <c r="D11" s="2"/>
      <c r="E11" s="175"/>
      <c r="F11" s="2"/>
      <c r="G11" s="2"/>
    </row>
    <row r="12" spans="2:11" x14ac:dyDescent="0.3">
      <c r="D12" s="2"/>
      <c r="E12" s="175"/>
      <c r="F12" s="2"/>
      <c r="G12" s="2"/>
    </row>
    <row r="13" spans="2:11" x14ac:dyDescent="0.3">
      <c r="J13" s="160"/>
      <c r="K13" s="160"/>
    </row>
    <row r="19" spans="2:12" x14ac:dyDescent="0.3">
      <c r="H19" s="67"/>
    </row>
    <row r="28" spans="2:12" s="101" customFormat="1" x14ac:dyDescent="0.3">
      <c r="B28"/>
      <c r="C28" s="57"/>
      <c r="D28" s="57"/>
      <c r="E28" s="173"/>
      <c r="F28" s="57"/>
      <c r="G28"/>
      <c r="H28"/>
      <c r="I28" s="157"/>
      <c r="J28" s="157"/>
      <c r="K28" s="161"/>
      <c r="L28" s="149"/>
    </row>
    <row r="29" spans="2:12" s="101" customFormat="1" x14ac:dyDescent="0.3">
      <c r="B29"/>
      <c r="C29"/>
      <c r="D29" s="56"/>
      <c r="E29"/>
      <c r="F29"/>
      <c r="G29"/>
      <c r="H29"/>
      <c r="I29" s="157"/>
      <c r="J29" s="157"/>
      <c r="K29" s="161"/>
      <c r="L29" s="149"/>
    </row>
    <row r="30" spans="2:12" s="101" customFormat="1" hidden="1" x14ac:dyDescent="0.3">
      <c r="B30"/>
      <c r="C30"/>
      <c r="D30"/>
      <c r="E30"/>
      <c r="F30"/>
      <c r="G30"/>
      <c r="H30"/>
      <c r="I30" s="157"/>
      <c r="J30" s="157"/>
      <c r="K30" s="161"/>
      <c r="L30" s="149"/>
    </row>
    <row r="31" spans="2:12" s="101" customFormat="1" hidden="1" x14ac:dyDescent="0.3">
      <c r="B31"/>
      <c r="C31"/>
      <c r="D31"/>
      <c r="E31"/>
      <c r="F31"/>
      <c r="G31"/>
      <c r="H31"/>
      <c r="I31" s="157"/>
      <c r="J31" s="157"/>
      <c r="K31" s="161"/>
      <c r="L31" s="149"/>
    </row>
    <row r="32" spans="2:12" s="101" customFormat="1" hidden="1" x14ac:dyDescent="0.3">
      <c r="B32"/>
      <c r="C32"/>
      <c r="D32"/>
      <c r="E32"/>
      <c r="F32"/>
      <c r="G32"/>
      <c r="H32"/>
      <c r="I32" s="157"/>
      <c r="J32" s="157"/>
      <c r="K32" s="161"/>
      <c r="L32" s="149"/>
    </row>
    <row r="33" spans="2:12" s="101" customFormat="1" ht="16.5" customHeight="1" x14ac:dyDescent="0.3">
      <c r="B33"/>
      <c r="C33"/>
      <c r="D33" s="57"/>
      <c r="E33" s="173"/>
      <c r="F33" s="57"/>
      <c r="G33" s="57"/>
      <c r="H33"/>
      <c r="I33" s="157"/>
      <c r="J33" s="157"/>
      <c r="K33" s="161"/>
      <c r="L33" s="149"/>
    </row>
    <row r="34" spans="2:12" ht="27.6" x14ac:dyDescent="0.3">
      <c r="B34" s="1"/>
      <c r="C34" s="1"/>
      <c r="D34" s="97" t="s">
        <v>183</v>
      </c>
      <c r="E34" s="97" t="s">
        <v>184</v>
      </c>
      <c r="F34" s="97" t="s">
        <v>185</v>
      </c>
      <c r="G34" s="97" t="s">
        <v>186</v>
      </c>
      <c r="H34" s="97"/>
    </row>
    <row r="35" spans="2:12" hidden="1" x14ac:dyDescent="0.3">
      <c r="B35" s="1"/>
      <c r="C35" s="1"/>
      <c r="D35" s="43"/>
      <c r="E35" s="177"/>
      <c r="F35" s="43"/>
      <c r="G35" s="43"/>
      <c r="H35" s="43"/>
    </row>
    <row r="36" spans="2:12" ht="16.95" customHeight="1" x14ac:dyDescent="0.3">
      <c r="B36" s="12" t="s">
        <v>135</v>
      </c>
      <c r="C36" s="6" t="s">
        <v>4</v>
      </c>
      <c r="D36" s="54">
        <v>1725.57</v>
      </c>
      <c r="E36" s="54">
        <v>1454.34</v>
      </c>
      <c r="F36" s="54">
        <v>1239.49</v>
      </c>
      <c r="G36" s="54">
        <v>2215</v>
      </c>
      <c r="H36" s="54"/>
    </row>
    <row r="37" spans="2:12" x14ac:dyDescent="0.3">
      <c r="B37" s="12" t="s">
        <v>110</v>
      </c>
      <c r="C37" s="6"/>
      <c r="D37" s="119"/>
      <c r="E37" s="119"/>
      <c r="F37" s="119"/>
      <c r="G37" s="119"/>
      <c r="H37" s="119"/>
    </row>
    <row r="38" spans="2:12" ht="15" hidden="1" thickBot="1" x14ac:dyDescent="0.35">
      <c r="B38" s="12"/>
      <c r="C38" s="6"/>
      <c r="D38" s="120"/>
      <c r="E38" s="178"/>
      <c r="F38" s="121"/>
      <c r="G38" s="122"/>
      <c r="H38" s="122"/>
    </row>
    <row r="39" spans="2:12" x14ac:dyDescent="0.3">
      <c r="B39" s="12" t="s">
        <v>3</v>
      </c>
      <c r="C39" s="6" t="s">
        <v>4</v>
      </c>
      <c r="D39" s="75">
        <f>D37+D36</f>
        <v>1725.57</v>
      </c>
      <c r="E39" s="75">
        <f>IF(E37+E36="",0,E37+E36)</f>
        <v>1454.34</v>
      </c>
      <c r="F39" s="75">
        <f t="shared" ref="F39:G39" si="0">IF(F37+F36="",0,F37+F36)</f>
        <v>1239.49</v>
      </c>
      <c r="G39" s="75">
        <f t="shared" si="0"/>
        <v>2215</v>
      </c>
      <c r="H39" s="75"/>
      <c r="I39" s="162"/>
      <c r="J39" s="159"/>
    </row>
    <row r="40" spans="2:12" x14ac:dyDescent="0.3">
      <c r="B40" s="12" t="s">
        <v>108</v>
      </c>
      <c r="C40" s="8"/>
      <c r="D40" s="76">
        <f>D39</f>
        <v>1725.57</v>
      </c>
      <c r="E40" s="76">
        <f>E39+D40</f>
        <v>3179.91</v>
      </c>
      <c r="F40" s="76">
        <f>F39+E40</f>
        <v>4419.3999999999996</v>
      </c>
      <c r="G40" s="76">
        <f>G39+F40</f>
        <v>6634.4</v>
      </c>
      <c r="H40" s="76"/>
      <c r="I40" s="162"/>
    </row>
    <row r="41" spans="2:12" x14ac:dyDescent="0.3">
      <c r="B41" s="12" t="s">
        <v>109</v>
      </c>
      <c r="C41" s="6" t="s">
        <v>4</v>
      </c>
      <c r="D41" s="75">
        <f>(C5/30)*6</f>
        <v>3082.076</v>
      </c>
      <c r="E41" s="75">
        <f>((C5/30)*13)-D40</f>
        <v>4952.2613333333338</v>
      </c>
      <c r="F41" s="75">
        <f>((C5/30)*20)-E40</f>
        <v>7093.6766666666681</v>
      </c>
      <c r="G41" s="75">
        <f>((C5/30)*30)-F40</f>
        <v>10990.980000000001</v>
      </c>
      <c r="H41" s="227"/>
      <c r="I41" s="165"/>
      <c r="J41" s="165"/>
    </row>
    <row r="42" spans="2:12" x14ac:dyDescent="0.3">
      <c r="B42" s="21"/>
      <c r="C42" s="85"/>
      <c r="D42" s="86"/>
      <c r="E42" s="86"/>
      <c r="F42" s="86"/>
      <c r="G42" s="86"/>
      <c r="H42" s="67"/>
      <c r="I42" s="165"/>
      <c r="J42" s="165"/>
    </row>
    <row r="43" spans="2:12" x14ac:dyDescent="0.3">
      <c r="B43" s="21"/>
      <c r="C43" s="85"/>
      <c r="D43" s="86"/>
      <c r="E43" s="86"/>
      <c r="F43" s="86"/>
      <c r="G43" s="86"/>
    </row>
    <row r="44" spans="2:12" s="4" customFormat="1" ht="15" thickBot="1" x14ac:dyDescent="0.35">
      <c r="D44" s="59"/>
      <c r="E44" s="59"/>
      <c r="F44" s="59"/>
      <c r="G44" s="59"/>
      <c r="I44" s="163"/>
      <c r="J44" s="163"/>
      <c r="K44" s="163"/>
      <c r="L44" s="151"/>
    </row>
    <row r="45" spans="2:12" ht="15" thickTop="1" x14ac:dyDescent="0.3">
      <c r="D45" s="67"/>
      <c r="E45" s="67"/>
      <c r="F45" s="67"/>
    </row>
    <row r="47" spans="2:12" ht="25.8" x14ac:dyDescent="0.5">
      <c r="B47" s="246" t="s">
        <v>69</v>
      </c>
      <c r="C47" s="246"/>
      <c r="D47" s="246"/>
      <c r="E47" s="246"/>
      <c r="F47" s="246"/>
      <c r="G47" s="246"/>
      <c r="I47" s="159"/>
      <c r="J47" s="162"/>
    </row>
    <row r="48" spans="2:12" ht="4.95" customHeight="1" x14ac:dyDescent="0.3"/>
    <row r="49" spans="2:8" x14ac:dyDescent="0.3">
      <c r="B49" s="21" t="s">
        <v>52</v>
      </c>
      <c r="C49" s="168">
        <v>9907200</v>
      </c>
      <c r="D49" s="22" t="s">
        <v>8</v>
      </c>
      <c r="H49" s="96"/>
    </row>
    <row r="50" spans="2:8" x14ac:dyDescent="0.3">
      <c r="B50" s="21" t="s">
        <v>31</v>
      </c>
      <c r="C50" s="168">
        <f>(C49-Aug!C52)/7</f>
        <v>1064018.2857142857</v>
      </c>
      <c r="D50" s="22" t="s">
        <v>8</v>
      </c>
    </row>
    <row r="51" spans="2:8" x14ac:dyDescent="0.3">
      <c r="B51" s="21" t="s">
        <v>6</v>
      </c>
      <c r="C51" s="171">
        <f>SUM(D78:G78)</f>
        <v>300717</v>
      </c>
      <c r="D51" s="22" t="s">
        <v>8</v>
      </c>
      <c r="E51" s="173"/>
    </row>
    <row r="52" spans="2:8" x14ac:dyDescent="0.3">
      <c r="B52" s="21" t="s">
        <v>67</v>
      </c>
      <c r="C52" s="171">
        <f>Aug!C52+Sep!C51</f>
        <v>2759789</v>
      </c>
      <c r="D52" s="22" t="s">
        <v>8</v>
      </c>
      <c r="E52" s="173"/>
    </row>
    <row r="53" spans="2:8" x14ac:dyDescent="0.3">
      <c r="B53" s="21" t="s">
        <v>9</v>
      </c>
      <c r="C53" s="171">
        <f>C50-C51</f>
        <v>763301.28571428568</v>
      </c>
      <c r="D53" s="22" t="s">
        <v>8</v>
      </c>
    </row>
    <row r="60" spans="2:8" x14ac:dyDescent="0.3">
      <c r="E60" s="22" t="s">
        <v>8</v>
      </c>
    </row>
    <row r="77" spans="2:8" ht="27.6" x14ac:dyDescent="0.3">
      <c r="B77" s="1"/>
      <c r="C77" s="1"/>
      <c r="D77" s="97" t="str">
        <f>D34</f>
        <v>WEEK 1
(Sep1-6)</v>
      </c>
      <c r="E77" s="97" t="str">
        <f>E34</f>
        <v>WEEK 2
(Sep7-13)</v>
      </c>
      <c r="F77" s="97" t="str">
        <f>F34</f>
        <v>WEEK 3
(Sep14-20)</v>
      </c>
      <c r="G77" s="97" t="str">
        <f>G34</f>
        <v>WEEK 4
(Sep21-30)</v>
      </c>
      <c r="H77" s="97"/>
    </row>
    <row r="78" spans="2:8" x14ac:dyDescent="0.3">
      <c r="B78" s="5" t="s">
        <v>1</v>
      </c>
      <c r="C78" s="9" t="s">
        <v>8</v>
      </c>
      <c r="D78" s="184">
        <v>129032</v>
      </c>
      <c r="E78" s="184">
        <v>63165</v>
      </c>
      <c r="F78" s="184">
        <v>45299</v>
      </c>
      <c r="G78" s="184">
        <v>63221</v>
      </c>
      <c r="H78" s="184"/>
    </row>
    <row r="79" spans="2:8" x14ac:dyDescent="0.3">
      <c r="B79" s="7" t="s">
        <v>5</v>
      </c>
      <c r="C79" s="9" t="s">
        <v>8</v>
      </c>
      <c r="D79" s="98">
        <f>D78</f>
        <v>129032</v>
      </c>
      <c r="E79" s="98">
        <f>D79+E78</f>
        <v>192197</v>
      </c>
      <c r="F79" s="98">
        <f>E79+F78</f>
        <v>237496</v>
      </c>
      <c r="G79" s="98">
        <f>F79+G78</f>
        <v>300717</v>
      </c>
      <c r="H79" s="98"/>
    </row>
    <row r="80" spans="2:8" x14ac:dyDescent="0.3">
      <c r="B80" s="5" t="s">
        <v>9</v>
      </c>
      <c r="C80" s="9" t="s">
        <v>8</v>
      </c>
      <c r="D80" s="98">
        <f>(C50/30)*6</f>
        <v>212803.65714285712</v>
      </c>
      <c r="E80" s="98">
        <f>(($C50/30)*13)-D79</f>
        <v>332042.59047619044</v>
      </c>
      <c r="F80" s="98">
        <f>(($C50/30)*20)-E79</f>
        <v>517148.52380952379</v>
      </c>
      <c r="G80" s="98">
        <f>(($C50/31)*31)-F79</f>
        <v>826522.28571428568</v>
      </c>
      <c r="H80" s="98"/>
    </row>
    <row r="81" spans="2:12" s="4" customFormat="1" ht="15" thickBot="1" x14ac:dyDescent="0.35">
      <c r="I81" s="163"/>
      <c r="J81" s="163"/>
      <c r="K81" s="163"/>
      <c r="L81" s="151"/>
    </row>
    <row r="82" spans="2:12" ht="15" thickTop="1" x14ac:dyDescent="0.3"/>
    <row r="83" spans="2:12" s="101" customFormat="1" ht="25.8" x14ac:dyDescent="0.5">
      <c r="B83" s="246" t="s">
        <v>70</v>
      </c>
      <c r="C83" s="246"/>
      <c r="D83" s="246"/>
      <c r="E83" s="246"/>
      <c r="F83" s="246"/>
      <c r="G83" s="246"/>
      <c r="H83"/>
      <c r="I83" s="157"/>
      <c r="J83" s="157"/>
      <c r="K83" s="161"/>
      <c r="L83" s="149"/>
    </row>
    <row r="84" spans="2:12" s="101" customFormat="1" ht="6.45" customHeight="1" x14ac:dyDescent="0.3">
      <c r="B84"/>
      <c r="C84"/>
      <c r="D84"/>
      <c r="E84"/>
      <c r="F84"/>
      <c r="G84"/>
      <c r="H84"/>
      <c r="I84" s="157"/>
      <c r="J84" s="157"/>
      <c r="K84" s="161"/>
      <c r="L84" s="149"/>
    </row>
    <row r="85" spans="2:12" s="101" customFormat="1" ht="16.2" x14ac:dyDescent="0.3">
      <c r="B85" s="172" t="s">
        <v>52</v>
      </c>
      <c r="C85" s="168">
        <v>10000000</v>
      </c>
      <c r="D85" s="22" t="s">
        <v>11</v>
      </c>
      <c r="E85"/>
      <c r="F85"/>
      <c r="G85"/>
      <c r="H85"/>
      <c r="I85" s="157"/>
      <c r="J85" s="157"/>
      <c r="K85" s="161"/>
      <c r="L85" s="149"/>
    </row>
    <row r="86" spans="2:12" s="101" customFormat="1" ht="16.2" x14ac:dyDescent="0.3">
      <c r="B86" s="172" t="s">
        <v>31</v>
      </c>
      <c r="C86" s="168">
        <f>(C85-Aug!C88)/7</f>
        <v>1108746.142857143</v>
      </c>
      <c r="D86" s="22" t="s">
        <v>11</v>
      </c>
      <c r="E86"/>
      <c r="H86"/>
      <c r="I86" s="157"/>
      <c r="J86" s="157"/>
      <c r="K86" s="161"/>
      <c r="L86" s="149"/>
    </row>
    <row r="87" spans="2:12" s="101" customFormat="1" ht="16.2" x14ac:dyDescent="0.3">
      <c r="B87" s="172" t="s">
        <v>1</v>
      </c>
      <c r="C87" s="171">
        <f>SUM(D114:G114)</f>
        <v>473052</v>
      </c>
      <c r="D87" s="22" t="s">
        <v>11</v>
      </c>
      <c r="E87" s="173"/>
      <c r="F87"/>
      <c r="G87"/>
      <c r="H87"/>
      <c r="I87" s="157"/>
      <c r="J87" s="157"/>
      <c r="K87" s="161"/>
      <c r="L87" s="149"/>
    </row>
    <row r="88" spans="2:12" s="101" customFormat="1" ht="16.2" x14ac:dyDescent="0.3">
      <c r="B88" s="172" t="s">
        <v>67</v>
      </c>
      <c r="C88" s="171">
        <f>Aug!C88+Sep!C87</f>
        <v>2711829</v>
      </c>
      <c r="D88" s="22" t="s">
        <v>11</v>
      </c>
      <c r="E88" s="173"/>
      <c r="F88"/>
      <c r="G88"/>
      <c r="H88"/>
      <c r="I88" s="157"/>
      <c r="J88" s="157"/>
      <c r="K88" s="161"/>
      <c r="L88" s="149"/>
    </row>
    <row r="89" spans="2:12" s="101" customFormat="1" ht="16.2" x14ac:dyDescent="0.3">
      <c r="B89" s="172" t="s">
        <v>9</v>
      </c>
      <c r="C89" s="171">
        <f>C86-C87</f>
        <v>635694.14285714296</v>
      </c>
      <c r="D89" s="22" t="s">
        <v>11</v>
      </c>
      <c r="E89" s="67"/>
      <c r="F89"/>
      <c r="G89"/>
      <c r="H89"/>
      <c r="I89" s="157"/>
      <c r="J89" s="157"/>
      <c r="K89" s="161"/>
      <c r="L89" s="149"/>
    </row>
    <row r="90" spans="2:12" s="101" customFormat="1" ht="7.5" customHeight="1" x14ac:dyDescent="0.3">
      <c r="B90"/>
      <c r="C90"/>
      <c r="D90"/>
      <c r="E90"/>
      <c r="F90"/>
      <c r="G90"/>
      <c r="H90"/>
      <c r="I90" s="157"/>
      <c r="J90" s="157"/>
      <c r="K90" s="161"/>
      <c r="L90" s="149"/>
    </row>
    <row r="103" spans="4:8" x14ac:dyDescent="0.3">
      <c r="H103" s="57"/>
    </row>
    <row r="112" spans="4:8" x14ac:dyDescent="0.3">
      <c r="D112" s="67"/>
      <c r="E112" s="67"/>
      <c r="F112" s="67"/>
    </row>
    <row r="113" spans="2:14" ht="27.6" x14ac:dyDescent="0.3">
      <c r="B113" s="1"/>
      <c r="C113" s="1"/>
      <c r="D113" s="97" t="str">
        <f>D77</f>
        <v>WEEK 1
(Sep1-6)</v>
      </c>
      <c r="E113" s="97" t="str">
        <f>E77</f>
        <v>WEEK 2
(Sep7-13)</v>
      </c>
      <c r="F113" s="97" t="str">
        <f>F77</f>
        <v>WEEK 3
(Sep14-20)</v>
      </c>
      <c r="G113" s="97" t="str">
        <f>G77</f>
        <v>WEEK 4
(Sep21-30)</v>
      </c>
      <c r="H113" s="97"/>
    </row>
    <row r="114" spans="2:14" ht="16.2" x14ac:dyDescent="0.3">
      <c r="B114" s="79" t="s">
        <v>43</v>
      </c>
      <c r="C114" s="9" t="s">
        <v>11</v>
      </c>
      <c r="D114" s="184">
        <v>95184</v>
      </c>
      <c r="E114" s="69">
        <v>99875</v>
      </c>
      <c r="F114" s="69">
        <v>83860</v>
      </c>
      <c r="G114" s="69">
        <v>194133</v>
      </c>
      <c r="H114" s="69"/>
      <c r="I114" s="164"/>
      <c r="J114" s="162"/>
    </row>
    <row r="115" spans="2:14" x14ac:dyDescent="0.3">
      <c r="B115" s="79" t="s">
        <v>41</v>
      </c>
      <c r="C115" s="9" t="s">
        <v>8</v>
      </c>
      <c r="D115" s="184">
        <f>D78*0.47</f>
        <v>60645.039999999994</v>
      </c>
      <c r="E115" s="184">
        <f>E78*0.47</f>
        <v>29687.55</v>
      </c>
      <c r="F115" s="184">
        <f>F78*0.47</f>
        <v>21290.53</v>
      </c>
      <c r="G115" s="184">
        <f>G78*0.47</f>
        <v>29713.87</v>
      </c>
      <c r="H115" s="69"/>
      <c r="I115" s="164"/>
      <c r="J115" s="162"/>
    </row>
    <row r="116" spans="2:14" ht="16.2" x14ac:dyDescent="0.3">
      <c r="B116" s="79" t="s">
        <v>191</v>
      </c>
      <c r="C116" s="9" t="s">
        <v>11</v>
      </c>
      <c r="D116" s="184"/>
      <c r="E116" s="184"/>
      <c r="F116" s="184"/>
      <c r="G116" s="184"/>
      <c r="H116" s="184"/>
    </row>
    <row r="117" spans="2:14" ht="16.2" x14ac:dyDescent="0.3">
      <c r="B117" s="12" t="s">
        <v>12</v>
      </c>
      <c r="C117" s="9" t="s">
        <v>11</v>
      </c>
      <c r="D117" s="69">
        <v>16696</v>
      </c>
      <c r="E117" s="69">
        <v>14168</v>
      </c>
      <c r="F117" s="69">
        <v>5084</v>
      </c>
      <c r="G117" s="69">
        <v>13784</v>
      </c>
      <c r="H117" s="69"/>
      <c r="I117" s="164"/>
    </row>
    <row r="118" spans="2:14" x14ac:dyDescent="0.3">
      <c r="B118" s="12" t="s">
        <v>13</v>
      </c>
      <c r="C118" s="9" t="s">
        <v>10</v>
      </c>
      <c r="D118" s="69">
        <f>SUM(D114:D117)</f>
        <v>172525.03999999998</v>
      </c>
      <c r="E118" s="69">
        <f>SUM(E114:E117)</f>
        <v>143730.54999999999</v>
      </c>
      <c r="F118" s="69">
        <f>SUM(F114:F117)</f>
        <v>110234.53</v>
      </c>
      <c r="G118" s="69">
        <f>SUM(G114:G117)</f>
        <v>237630.87</v>
      </c>
      <c r="H118" s="69"/>
    </row>
    <row r="119" spans="2:14" x14ac:dyDescent="0.3">
      <c r="B119" s="13" t="s">
        <v>5</v>
      </c>
      <c r="C119" s="9" t="s">
        <v>10</v>
      </c>
      <c r="D119" s="185">
        <f>D114</f>
        <v>95184</v>
      </c>
      <c r="E119" s="185">
        <f>D119+E114</f>
        <v>195059</v>
      </c>
      <c r="F119" s="185">
        <f>E119+F114</f>
        <v>278919</v>
      </c>
      <c r="G119" s="185">
        <f>F119+G114</f>
        <v>473052</v>
      </c>
      <c r="H119" s="185"/>
    </row>
    <row r="120" spans="2:14" ht="28.8" x14ac:dyDescent="0.3">
      <c r="B120" s="187" t="s">
        <v>130</v>
      </c>
      <c r="C120" s="9" t="s">
        <v>10</v>
      </c>
      <c r="D120" s="188">
        <f>D36*101*0.7842</f>
        <v>136672.39139400001</v>
      </c>
      <c r="E120" s="188">
        <f>E36*101*0.7842</f>
        <v>115189.836228</v>
      </c>
      <c r="F120" s="188">
        <f>F36*101*0.7842</f>
        <v>98172.813858000009</v>
      </c>
      <c r="G120" s="188">
        <f>G36*101*0.7842</f>
        <v>175437.30300000001</v>
      </c>
      <c r="H120" s="188"/>
    </row>
    <row r="121" spans="2:14" x14ac:dyDescent="0.3">
      <c r="B121" s="12" t="s">
        <v>190</v>
      </c>
      <c r="C121" s="9" t="s">
        <v>10</v>
      </c>
      <c r="D121" s="185">
        <f>(($C$86/31)*9)</f>
        <v>321894.0414746544</v>
      </c>
      <c r="E121" s="185">
        <f>(($C$86/31)*16)-D119</f>
        <v>477072.07373271894</v>
      </c>
      <c r="F121" s="185">
        <f>(($C$86/31)*23)-E119</f>
        <v>627559.10599078343</v>
      </c>
      <c r="G121" s="185">
        <f>(($C$86/31)*31)-F119</f>
        <v>829827.14285714296</v>
      </c>
      <c r="H121" s="185"/>
    </row>
    <row r="122" spans="2:14" s="4" customFormat="1" ht="15" thickBot="1" x14ac:dyDescent="0.35">
      <c r="I122" s="163"/>
      <c r="J122" s="163"/>
      <c r="K122" s="163"/>
      <c r="L122" s="151"/>
    </row>
    <row r="123" spans="2:14" ht="15" thickTop="1" x14ac:dyDescent="0.3"/>
    <row r="124" spans="2:14" ht="25.8" x14ac:dyDescent="0.5">
      <c r="B124" s="246" t="s">
        <v>71</v>
      </c>
      <c r="C124" s="246"/>
      <c r="D124" s="246"/>
      <c r="E124" s="246"/>
      <c r="F124" s="246"/>
      <c r="G124" s="246"/>
    </row>
    <row r="125" spans="2:14" ht="4.05" customHeight="1" x14ac:dyDescent="0.3">
      <c r="B125" s="20"/>
      <c r="C125" s="20"/>
      <c r="D125" s="20"/>
      <c r="E125" s="20"/>
      <c r="F125" s="20"/>
      <c r="G125" s="20"/>
    </row>
    <row r="126" spans="2:14" ht="14.55" customHeight="1" x14ac:dyDescent="0.3">
      <c r="B126" s="244" t="s">
        <v>20</v>
      </c>
      <c r="C126" s="244"/>
      <c r="D126" s="244"/>
      <c r="E126" s="244"/>
      <c r="F126" s="244"/>
      <c r="G126" s="244"/>
    </row>
    <row r="127" spans="2:14" x14ac:dyDescent="0.3">
      <c r="D127" s="19">
        <v>101</v>
      </c>
      <c r="E127" s="19" t="s">
        <v>18</v>
      </c>
    </row>
    <row r="128" spans="2:14" ht="27.6" x14ac:dyDescent="0.3">
      <c r="D128" s="176" t="str">
        <f>D77</f>
        <v>WEEK 1
(Sep1-6)</v>
      </c>
      <c r="E128" s="176" t="str">
        <f>E77</f>
        <v>WEEK 2
(Sep7-13)</v>
      </c>
      <c r="F128" s="176" t="str">
        <f>F77</f>
        <v>WEEK 3
(Sep14-20)</v>
      </c>
      <c r="G128" s="176" t="str">
        <f>G77</f>
        <v>WEEK 4
(Sep21-30)</v>
      </c>
      <c r="H128" s="176">
        <f>H77</f>
        <v>0</v>
      </c>
      <c r="I128" s="182" t="s">
        <v>37</v>
      </c>
      <c r="J128" s="74"/>
      <c r="L128" s="157"/>
      <c r="M128" s="157"/>
      <c r="N128" s="126"/>
    </row>
    <row r="129" spans="2:14" hidden="1" x14ac:dyDescent="0.3">
      <c r="D129" s="10"/>
      <c r="E129" s="179"/>
      <c r="F129" s="10"/>
      <c r="G129" s="10"/>
      <c r="H129" s="10"/>
      <c r="I129" s="107"/>
      <c r="J129" s="74"/>
      <c r="L129" s="157"/>
      <c r="M129" s="157"/>
      <c r="N129" s="126"/>
    </row>
    <row r="130" spans="2:14" x14ac:dyDescent="0.3">
      <c r="B130" s="172" t="s">
        <v>15</v>
      </c>
      <c r="C130" s="22" t="s">
        <v>10</v>
      </c>
      <c r="D130" s="23">
        <f>D36</f>
        <v>1725.57</v>
      </c>
      <c r="E130" s="23">
        <f>E36</f>
        <v>1454.34</v>
      </c>
      <c r="F130" s="23">
        <f>F36</f>
        <v>1239.49</v>
      </c>
      <c r="G130" s="23">
        <f>G36</f>
        <v>2215</v>
      </c>
      <c r="H130" s="23">
        <f>H36</f>
        <v>0</v>
      </c>
      <c r="I130" s="109">
        <f>SUM(D130:H130)</f>
        <v>6634.4</v>
      </c>
      <c r="J130" s="78"/>
      <c r="L130" s="157"/>
      <c r="M130" s="157"/>
      <c r="N130" s="126"/>
    </row>
    <row r="131" spans="2:14" x14ac:dyDescent="0.3">
      <c r="B131" s="172" t="s">
        <v>17</v>
      </c>
      <c r="C131" s="22" t="s">
        <v>10</v>
      </c>
      <c r="D131" s="23">
        <f t="shared" ref="D131:I131" si="1">D134*D130</f>
        <v>174282.57</v>
      </c>
      <c r="E131" s="23">
        <f t="shared" si="1"/>
        <v>146888.34</v>
      </c>
      <c r="F131" s="23">
        <f t="shared" si="1"/>
        <v>125188.49</v>
      </c>
      <c r="G131" s="23">
        <f t="shared" si="1"/>
        <v>223715</v>
      </c>
      <c r="H131" s="23">
        <f t="shared" si="1"/>
        <v>0</v>
      </c>
      <c r="I131" s="110">
        <f t="shared" si="1"/>
        <v>670074.39999999991</v>
      </c>
      <c r="J131" s="63"/>
      <c r="L131" s="157"/>
      <c r="M131" s="157"/>
      <c r="N131" s="126"/>
    </row>
    <row r="132" spans="2:14" x14ac:dyDescent="0.3">
      <c r="B132" s="172" t="s">
        <v>16</v>
      </c>
      <c r="C132" s="22" t="s">
        <v>10</v>
      </c>
      <c r="D132" s="23">
        <f>D118</f>
        <v>172525.03999999998</v>
      </c>
      <c r="E132" s="23">
        <f>E118</f>
        <v>143730.54999999999</v>
      </c>
      <c r="F132" s="23">
        <f>F118</f>
        <v>110234.53</v>
      </c>
      <c r="G132" s="23">
        <f>G118</f>
        <v>237630.87</v>
      </c>
      <c r="H132" s="23">
        <f>H118</f>
        <v>0</v>
      </c>
      <c r="I132" s="109">
        <f>SUM(D132:H132)</f>
        <v>664120.99</v>
      </c>
      <c r="J132" s="62"/>
      <c r="K132" s="159"/>
      <c r="L132" s="157"/>
      <c r="M132" s="157"/>
      <c r="N132" s="126"/>
    </row>
    <row r="133" spans="2:14" x14ac:dyDescent="0.3">
      <c r="B133" s="172" t="s">
        <v>22</v>
      </c>
      <c r="C133" s="22" t="s">
        <v>19</v>
      </c>
      <c r="D133" s="23">
        <f>IFERROR(D132/D130,"")</f>
        <v>99.981478583888219</v>
      </c>
      <c r="E133" s="23">
        <f>IFERROR(E132/E130,"")</f>
        <v>98.828712680666143</v>
      </c>
      <c r="F133" s="23">
        <f>IFERROR(F132/F130,"")</f>
        <v>88.935392782515393</v>
      </c>
      <c r="G133" s="23">
        <f>IFERROR(G132/G130,"")</f>
        <v>107.28255981941309</v>
      </c>
      <c r="H133" s="23" t="str">
        <f>IFERROR(H132/H130,"")</f>
        <v/>
      </c>
      <c r="I133" s="110">
        <f>I132/I130</f>
        <v>100.10264530326782</v>
      </c>
      <c r="J133" s="63"/>
      <c r="L133" s="157"/>
      <c r="M133" s="157"/>
      <c r="N133" s="126"/>
    </row>
    <row r="134" spans="2:14" x14ac:dyDescent="0.3">
      <c r="B134" s="172" t="s">
        <v>23</v>
      </c>
      <c r="C134" s="22" t="s">
        <v>19</v>
      </c>
      <c r="D134" s="23">
        <v>101</v>
      </c>
      <c r="E134" s="23">
        <v>101</v>
      </c>
      <c r="F134" s="23">
        <v>101</v>
      </c>
      <c r="G134" s="23">
        <v>101</v>
      </c>
      <c r="H134" s="23">
        <v>102</v>
      </c>
      <c r="I134" s="116">
        <v>101</v>
      </c>
      <c r="J134" s="78"/>
      <c r="K134" s="162"/>
      <c r="L134" s="157"/>
      <c r="M134" s="157"/>
      <c r="N134" s="126"/>
    </row>
    <row r="135" spans="2:14" x14ac:dyDescent="0.3">
      <c r="B135" s="21"/>
      <c r="C135" s="22"/>
      <c r="D135" s="23"/>
      <c r="E135" s="23"/>
      <c r="F135" s="23"/>
      <c r="G135" s="23"/>
    </row>
    <row r="136" spans="2:14" x14ac:dyDescent="0.3">
      <c r="B136" s="21"/>
      <c r="C136" s="22"/>
      <c r="D136" s="23"/>
      <c r="E136" s="23"/>
      <c r="F136" s="23"/>
      <c r="G136" s="23"/>
    </row>
    <row r="137" spans="2:14" x14ac:dyDescent="0.3">
      <c r="B137" s="21"/>
      <c r="C137" s="22"/>
      <c r="D137" s="23"/>
      <c r="E137" s="23"/>
      <c r="F137" s="23"/>
      <c r="G137" s="23"/>
    </row>
    <row r="138" spans="2:14" x14ac:dyDescent="0.3">
      <c r="B138" s="21"/>
      <c r="C138" s="22"/>
      <c r="D138" s="23"/>
      <c r="E138" s="23"/>
      <c r="F138" s="23"/>
      <c r="G138" s="23"/>
    </row>
    <row r="139" spans="2:14" x14ac:dyDescent="0.3">
      <c r="B139" s="21"/>
      <c r="C139" s="22"/>
      <c r="D139" s="23"/>
      <c r="E139" s="23"/>
      <c r="F139" s="23"/>
      <c r="G139" s="23"/>
    </row>
    <row r="140" spans="2:14" x14ac:dyDescent="0.3">
      <c r="B140" s="21"/>
      <c r="C140" s="22"/>
      <c r="D140" s="23"/>
      <c r="E140" s="23"/>
      <c r="F140" s="23"/>
      <c r="G140" s="23"/>
    </row>
    <row r="141" spans="2:14" x14ac:dyDescent="0.3">
      <c r="B141" s="21"/>
      <c r="C141" s="22"/>
      <c r="D141" s="23"/>
      <c r="E141" s="23"/>
      <c r="F141" s="23"/>
      <c r="G141" s="23"/>
    </row>
    <row r="142" spans="2:14" x14ac:dyDescent="0.3">
      <c r="B142" s="21"/>
      <c r="C142" s="22"/>
      <c r="D142" s="23"/>
      <c r="E142" s="23"/>
      <c r="F142" s="23"/>
      <c r="G142" s="23"/>
    </row>
    <row r="143" spans="2:14" x14ac:dyDescent="0.3">
      <c r="B143" s="21"/>
      <c r="C143" s="22"/>
      <c r="D143" s="23"/>
      <c r="E143" s="23"/>
      <c r="F143" s="23"/>
      <c r="G143" s="23"/>
    </row>
    <row r="144" spans="2:14" x14ac:dyDescent="0.3">
      <c r="B144" s="21"/>
      <c r="C144" s="22"/>
      <c r="D144" s="23"/>
      <c r="E144" s="23"/>
      <c r="F144" s="23"/>
      <c r="G144" s="23"/>
      <c r="I144" s="183"/>
    </row>
    <row r="145" spans="2:13" x14ac:dyDescent="0.3">
      <c r="B145" s="21"/>
      <c r="C145" s="22"/>
      <c r="D145" s="23"/>
      <c r="E145" s="23"/>
      <c r="F145" s="23"/>
      <c r="G145" s="23"/>
    </row>
    <row r="146" spans="2:13" s="101" customFormat="1" x14ac:dyDescent="0.3">
      <c r="B146" s="21"/>
      <c r="C146" s="22"/>
      <c r="D146" s="23"/>
      <c r="E146" s="23"/>
      <c r="F146" s="23"/>
      <c r="G146" s="23"/>
      <c r="H146"/>
      <c r="I146" s="157"/>
      <c r="J146" s="157"/>
      <c r="K146" s="157"/>
      <c r="L146" s="126"/>
      <c r="M146"/>
    </row>
    <row r="147" spans="2:13" s="101" customFormat="1" x14ac:dyDescent="0.3">
      <c r="B147" s="21"/>
      <c r="C147" s="22"/>
      <c r="D147" s="23"/>
      <c r="E147" s="23"/>
      <c r="F147" s="23"/>
      <c r="G147" s="23"/>
      <c r="H147"/>
      <c r="I147" s="157"/>
      <c r="J147" s="157"/>
      <c r="K147" s="157"/>
      <c r="L147" s="126"/>
      <c r="M147"/>
    </row>
    <row r="148" spans="2:13" s="101" customFormat="1" x14ac:dyDescent="0.3">
      <c r="B148" s="21"/>
      <c r="C148" s="22"/>
      <c r="D148" s="23"/>
      <c r="E148" s="23"/>
      <c r="F148" s="23"/>
      <c r="G148" s="23"/>
      <c r="H148"/>
      <c r="I148" s="157"/>
      <c r="J148" s="157"/>
      <c r="K148" s="157"/>
      <c r="L148" s="126"/>
      <c r="M148"/>
    </row>
    <row r="149" spans="2:13" s="101" customFormat="1" x14ac:dyDescent="0.3">
      <c r="B149" s="21"/>
      <c r="C149" s="22"/>
      <c r="D149" s="23"/>
      <c r="E149" s="23"/>
      <c r="F149" s="23"/>
      <c r="G149" s="23"/>
      <c r="H149"/>
      <c r="I149" s="157"/>
      <c r="J149" s="157"/>
      <c r="K149" s="157"/>
      <c r="L149" s="126"/>
      <c r="M149"/>
    </row>
    <row r="150" spans="2:13" s="101" customFormat="1" x14ac:dyDescent="0.3">
      <c r="B150" s="21"/>
      <c r="C150" s="22"/>
      <c r="D150" s="23"/>
      <c r="E150" s="23"/>
      <c r="F150" s="23"/>
      <c r="G150" s="23"/>
      <c r="H150"/>
      <c r="I150" s="157"/>
      <c r="J150" s="157"/>
      <c r="K150" s="157"/>
      <c r="L150" s="126"/>
      <c r="M150"/>
    </row>
    <row r="151" spans="2:13" s="101" customFormat="1" x14ac:dyDescent="0.3">
      <c r="B151" s="21"/>
      <c r="C151" s="22"/>
      <c r="D151" s="23"/>
      <c r="E151" s="23"/>
      <c r="F151" s="23"/>
      <c r="G151" s="23"/>
      <c r="H151"/>
      <c r="I151" s="157"/>
      <c r="J151" s="157"/>
      <c r="K151" s="157"/>
      <c r="L151" s="126"/>
      <c r="M151"/>
    </row>
    <row r="152" spans="2:13" s="101" customFormat="1" x14ac:dyDescent="0.3">
      <c r="B152" s="21"/>
      <c r="C152" s="22"/>
      <c r="D152" s="23"/>
      <c r="E152" s="23"/>
      <c r="F152" s="23"/>
      <c r="G152" s="23"/>
      <c r="H152"/>
      <c r="I152" s="157"/>
      <c r="J152" s="157"/>
      <c r="K152" s="157"/>
      <c r="L152" s="126"/>
      <c r="M152"/>
    </row>
    <row r="153" spans="2:13" s="101" customFormat="1" x14ac:dyDescent="0.3">
      <c r="B153" s="21"/>
      <c r="C153" s="22"/>
      <c r="D153" s="23"/>
      <c r="E153" s="23"/>
      <c r="F153" s="23"/>
      <c r="G153" s="23"/>
      <c r="H153"/>
      <c r="I153" s="157"/>
      <c r="J153" s="157"/>
      <c r="K153" s="157"/>
      <c r="L153" s="126"/>
      <c r="M153"/>
    </row>
    <row r="154" spans="2:13" s="101" customFormat="1" x14ac:dyDescent="0.3">
      <c r="B154" s="21"/>
      <c r="C154" s="22"/>
      <c r="D154" s="23"/>
      <c r="E154" s="23"/>
      <c r="F154" s="23"/>
      <c r="G154" s="23"/>
      <c r="H154"/>
      <c r="I154" s="157"/>
      <c r="J154" s="157"/>
      <c r="K154" s="157"/>
      <c r="L154" s="126"/>
      <c r="M154"/>
    </row>
    <row r="155" spans="2:13" s="101" customFormat="1" x14ac:dyDescent="0.3">
      <c r="B155" s="21"/>
      <c r="C155" s="22"/>
      <c r="D155" s="23"/>
      <c r="E155" s="23"/>
      <c r="F155" s="23"/>
      <c r="G155" s="23"/>
      <c r="H155"/>
      <c r="I155" s="157"/>
      <c r="J155" s="157"/>
      <c r="K155" s="157"/>
      <c r="L155" s="126"/>
      <c r="M155"/>
    </row>
    <row r="156" spans="2:13" s="101" customFormat="1" x14ac:dyDescent="0.3">
      <c r="B156" s="21"/>
      <c r="C156" s="22"/>
      <c r="D156" s="23"/>
      <c r="E156" s="23"/>
      <c r="F156" s="23"/>
      <c r="G156" s="23"/>
      <c r="H156"/>
      <c r="I156" s="157"/>
      <c r="J156" s="157"/>
      <c r="K156" s="157"/>
      <c r="L156" s="126"/>
      <c r="M156"/>
    </row>
    <row r="157" spans="2:13" s="101" customFormat="1" x14ac:dyDescent="0.3">
      <c r="B157" s="21"/>
      <c r="C157" s="22"/>
      <c r="D157" s="23"/>
      <c r="E157" s="23"/>
      <c r="F157" s="23"/>
      <c r="G157" s="23"/>
      <c r="H157"/>
      <c r="I157" s="157"/>
      <c r="J157" s="157"/>
      <c r="K157" s="157"/>
      <c r="L157" s="126"/>
      <c r="M157"/>
    </row>
    <row r="158" spans="2:13" s="101" customFormat="1" x14ac:dyDescent="0.3">
      <c r="B158" s="21"/>
      <c r="C158" s="22"/>
      <c r="D158" s="23"/>
      <c r="E158" s="23"/>
      <c r="F158" s="23"/>
      <c r="G158" s="23"/>
      <c r="H158"/>
      <c r="I158" s="157"/>
      <c r="J158" s="157"/>
      <c r="K158" s="157"/>
      <c r="L158" s="126"/>
      <c r="M158"/>
    </row>
    <row r="159" spans="2:13" s="101" customFormat="1" x14ac:dyDescent="0.3">
      <c r="B159" s="21"/>
      <c r="C159" s="22"/>
      <c r="D159" s="23"/>
      <c r="E159" s="23"/>
      <c r="F159" s="23"/>
      <c r="G159" s="23"/>
      <c r="H159"/>
      <c r="I159" s="157"/>
      <c r="J159" s="157"/>
      <c r="K159" s="157"/>
      <c r="L159" s="126"/>
      <c r="M159"/>
    </row>
    <row r="160" spans="2:13" s="101" customFormat="1" x14ac:dyDescent="0.3">
      <c r="B160" s="21"/>
      <c r="C160" s="22"/>
      <c r="D160" s="23"/>
      <c r="E160" s="23"/>
      <c r="F160" s="23"/>
      <c r="G160" s="23"/>
      <c r="H160"/>
      <c r="I160" s="157"/>
      <c r="J160" s="157"/>
      <c r="K160" s="157"/>
      <c r="L160" s="126"/>
      <c r="M160"/>
    </row>
    <row r="161" spans="2:14" s="101" customFormat="1" x14ac:dyDescent="0.3">
      <c r="B161" s="21"/>
      <c r="C161" s="22"/>
      <c r="D161" s="23"/>
      <c r="E161" s="23"/>
      <c r="F161" s="23"/>
      <c r="G161" s="23"/>
      <c r="H161"/>
      <c r="I161" s="157"/>
      <c r="J161" s="157"/>
      <c r="K161" s="157"/>
      <c r="L161" s="126"/>
      <c r="M161"/>
    </row>
    <row r="162" spans="2:14" x14ac:dyDescent="0.3">
      <c r="B162" s="21"/>
      <c r="C162" s="22"/>
      <c r="D162" s="23"/>
      <c r="E162" s="23"/>
      <c r="F162" s="23"/>
      <c r="G162" s="23"/>
    </row>
    <row r="163" spans="2:14" x14ac:dyDescent="0.3">
      <c r="B163" s="21"/>
      <c r="C163" s="22"/>
      <c r="D163" s="23"/>
      <c r="E163" s="23"/>
      <c r="F163" s="23"/>
      <c r="G163" s="23"/>
    </row>
    <row r="164" spans="2:14" x14ac:dyDescent="0.3">
      <c r="B164" s="21"/>
      <c r="C164" s="22"/>
      <c r="D164" s="23"/>
      <c r="E164" s="23"/>
      <c r="F164" s="23"/>
      <c r="G164" s="23"/>
    </row>
    <row r="165" spans="2:14" x14ac:dyDescent="0.3">
      <c r="H165" s="57"/>
    </row>
    <row r="170" spans="2:14" ht="15.6" x14ac:dyDescent="0.3">
      <c r="B170" s="245" t="s">
        <v>21</v>
      </c>
      <c r="C170" s="245"/>
      <c r="D170" s="245"/>
      <c r="E170" s="245"/>
      <c r="F170" s="245"/>
      <c r="G170" s="245"/>
    </row>
    <row r="171" spans="2:14" ht="27.6" x14ac:dyDescent="0.3">
      <c r="D171" s="176" t="str">
        <f>D128</f>
        <v>WEEK 1
(Sep1-6)</v>
      </c>
      <c r="E171" s="176" t="str">
        <f>E128</f>
        <v>WEEK 2
(Sep7-13)</v>
      </c>
      <c r="F171" s="176" t="str">
        <f>F128</f>
        <v>WEEK 3
(Sep14-20)</v>
      </c>
      <c r="G171" s="176" t="str">
        <f>G128</f>
        <v>WEEK 4
(Sep21-30)</v>
      </c>
      <c r="H171" s="176"/>
      <c r="I171" s="111" t="s">
        <v>37</v>
      </c>
      <c r="J171" s="64"/>
      <c r="L171" s="157"/>
      <c r="M171" s="157"/>
      <c r="N171" s="126"/>
    </row>
    <row r="172" spans="2:14" x14ac:dyDescent="0.3">
      <c r="B172" s="64" t="s">
        <v>15</v>
      </c>
      <c r="C172" s="22" t="s">
        <v>10</v>
      </c>
      <c r="D172" s="23">
        <f>D130*(D175/14)</f>
        <v>1718.1746999999998</v>
      </c>
      <c r="E172" s="23">
        <f>E130*(E175/14)</f>
        <v>1441.3548214285713</v>
      </c>
      <c r="F172" s="23">
        <f>F130*(F175/14)</f>
        <v>1223.642235</v>
      </c>
      <c r="G172" s="23">
        <f>G130*(G175/14)</f>
        <v>2207.0892857142853</v>
      </c>
      <c r="H172" s="23"/>
      <c r="I172" s="108">
        <f>SUM(D172:G172)</f>
        <v>6590.2610421428562</v>
      </c>
      <c r="J172" s="61"/>
      <c r="K172" s="165"/>
      <c r="L172" s="157"/>
      <c r="M172" s="157"/>
      <c r="N172" s="126"/>
    </row>
    <row r="173" spans="2:14" x14ac:dyDescent="0.3">
      <c r="B173" s="64" t="s">
        <v>17</v>
      </c>
      <c r="C173" s="22" t="s">
        <v>10</v>
      </c>
      <c r="D173" s="23">
        <f>D172*$D$127</f>
        <v>173535.64469999998</v>
      </c>
      <c r="E173" s="23">
        <f>E172*$D$127</f>
        <v>145576.8369642857</v>
      </c>
      <c r="F173" s="23">
        <f>F172*$D$127</f>
        <v>123587.865735</v>
      </c>
      <c r="G173" s="23">
        <f>G172*$D$127</f>
        <v>222916.01785714281</v>
      </c>
      <c r="H173" s="23"/>
      <c r="I173" s="110">
        <f>I172*101</f>
        <v>665616.36525642849</v>
      </c>
      <c r="J173" s="63"/>
      <c r="L173" s="157"/>
      <c r="M173" s="157"/>
      <c r="N173" s="126"/>
    </row>
    <row r="174" spans="2:14" x14ac:dyDescent="0.3">
      <c r="B174" s="64" t="s">
        <v>16</v>
      </c>
      <c r="C174" s="22" t="s">
        <v>10</v>
      </c>
      <c r="D174" s="23">
        <f>D132</f>
        <v>172525.03999999998</v>
      </c>
      <c r="E174" s="23">
        <f>E132</f>
        <v>143730.54999999999</v>
      </c>
      <c r="F174" s="23">
        <f>F132</f>
        <v>110234.53</v>
      </c>
      <c r="G174" s="23">
        <f>G132</f>
        <v>237630.87</v>
      </c>
      <c r="H174" s="23"/>
      <c r="I174" s="112">
        <f>SUM(D174:G174)</f>
        <v>664120.99</v>
      </c>
      <c r="J174" s="63"/>
      <c r="K174" s="159"/>
      <c r="L174" s="157"/>
      <c r="M174" s="157"/>
      <c r="N174" s="126"/>
    </row>
    <row r="175" spans="2:14" x14ac:dyDescent="0.3">
      <c r="B175" s="64" t="s">
        <v>39</v>
      </c>
      <c r="C175" s="22"/>
      <c r="D175" s="186">
        <v>13.94</v>
      </c>
      <c r="E175" s="186">
        <v>13.875</v>
      </c>
      <c r="F175" s="186">
        <v>13.821</v>
      </c>
      <c r="G175" s="186">
        <v>13.95</v>
      </c>
      <c r="H175" s="186"/>
      <c r="I175" s="113">
        <f>AVERAGE(D175:H175)</f>
        <v>13.8965</v>
      </c>
      <c r="J175" s="87"/>
      <c r="L175" s="157"/>
      <c r="M175" s="157"/>
      <c r="N175" s="126"/>
    </row>
    <row r="176" spans="2:14" x14ac:dyDescent="0.3">
      <c r="B176" s="21" t="s">
        <v>22</v>
      </c>
      <c r="C176" s="22" t="s">
        <v>19</v>
      </c>
      <c r="D176" s="23">
        <f t="shared" ref="D176:G176" si="2">IFERROR(D174/D172,"")</f>
        <v>100.41181493360367</v>
      </c>
      <c r="E176" s="23">
        <f t="shared" si="2"/>
        <v>99.719061443555034</v>
      </c>
      <c r="F176" s="23">
        <f t="shared" si="2"/>
        <v>90.087222267217669</v>
      </c>
      <c r="G176" s="23">
        <f t="shared" si="2"/>
        <v>107.66708512342534</v>
      </c>
      <c r="H176" s="23"/>
      <c r="I176" s="112">
        <f>I174/I172</f>
        <v>100.77309316780232</v>
      </c>
      <c r="J176" s="65"/>
      <c r="L176" s="157"/>
      <c r="M176" s="157"/>
      <c r="N176" s="126"/>
    </row>
    <row r="177" spans="2:14" x14ac:dyDescent="0.3">
      <c r="B177" s="21" t="s">
        <v>23</v>
      </c>
      <c r="C177" s="22" t="s">
        <v>19</v>
      </c>
      <c r="D177" s="23">
        <v>101</v>
      </c>
      <c r="E177" s="23">
        <v>101</v>
      </c>
      <c r="F177" s="23">
        <v>101</v>
      </c>
      <c r="G177" s="23">
        <v>101</v>
      </c>
      <c r="H177" s="23"/>
      <c r="I177" s="114">
        <v>101</v>
      </c>
      <c r="J177" s="65"/>
      <c r="L177" s="157"/>
      <c r="M177" s="157"/>
      <c r="N177" s="126"/>
    </row>
    <row r="178" spans="2:14" x14ac:dyDescent="0.3">
      <c r="D178" s="24" t="s">
        <v>40</v>
      </c>
    </row>
    <row r="215" spans="2:12" s="4" customFormat="1" ht="15" thickBot="1" x14ac:dyDescent="0.35">
      <c r="I215" s="163"/>
      <c r="J215" s="163"/>
      <c r="K215" s="163"/>
      <c r="L215" s="151"/>
    </row>
    <row r="216" spans="2:12" ht="15" thickTop="1" x14ac:dyDescent="0.3"/>
    <row r="221" spans="2:12" ht="25.8" hidden="1" x14ac:dyDescent="0.5">
      <c r="B221" s="246" t="s">
        <v>24</v>
      </c>
      <c r="C221" s="246"/>
      <c r="D221" s="246"/>
      <c r="E221" s="246"/>
      <c r="F221" s="246"/>
      <c r="G221" s="246"/>
    </row>
    <row r="222" spans="2:12" hidden="1" x14ac:dyDescent="0.3"/>
    <row r="223" spans="2:12" ht="22.8" hidden="1" thickBot="1" x14ac:dyDescent="0.5">
      <c r="B223" s="28" t="s">
        <v>25</v>
      </c>
      <c r="C223" s="29" t="s">
        <v>26</v>
      </c>
      <c r="D223" s="29" t="s">
        <v>27</v>
      </c>
      <c r="E223" s="180" t="s">
        <v>28</v>
      </c>
    </row>
    <row r="224" spans="2:12" ht="23.4" hidden="1" x14ac:dyDescent="0.45">
      <c r="B224" s="31"/>
      <c r="C224" s="26"/>
      <c r="D224" s="26"/>
      <c r="E224" s="32"/>
    </row>
    <row r="225" spans="2:5" ht="22.2" hidden="1" x14ac:dyDescent="0.45">
      <c r="B225" s="33">
        <v>44743</v>
      </c>
      <c r="C225" s="89">
        <v>1056523.5</v>
      </c>
      <c r="D225" s="90">
        <v>1501785</v>
      </c>
      <c r="E225" s="181">
        <f>C225+D225</f>
        <v>2558308.5</v>
      </c>
    </row>
    <row r="226" spans="2:5" ht="22.2" hidden="1" x14ac:dyDescent="0.45">
      <c r="B226" s="33">
        <v>44774</v>
      </c>
      <c r="C226" s="92">
        <v>1649443.5</v>
      </c>
      <c r="D226" s="92">
        <v>863715</v>
      </c>
      <c r="E226" s="181">
        <f t="shared" ref="E226:E236" si="3">C226+D226</f>
        <v>2513158.5</v>
      </c>
    </row>
    <row r="227" spans="2:5" ht="22.2" hidden="1" x14ac:dyDescent="0.45">
      <c r="B227" s="33">
        <v>44805</v>
      </c>
      <c r="C227" s="92">
        <v>1346098.5</v>
      </c>
      <c r="D227" s="92">
        <v>1119105</v>
      </c>
      <c r="E227" s="181">
        <f t="shared" si="3"/>
        <v>2465203.5</v>
      </c>
    </row>
    <row r="228" spans="2:5" ht="22.2" hidden="1" x14ac:dyDescent="0.45">
      <c r="B228" s="33">
        <v>44835</v>
      </c>
      <c r="C228" s="92">
        <v>2573653.5</v>
      </c>
      <c r="D228" s="92">
        <v>0</v>
      </c>
      <c r="E228" s="181">
        <f t="shared" si="3"/>
        <v>2573653.5</v>
      </c>
    </row>
    <row r="229" spans="2:5" ht="22.2" hidden="1" x14ac:dyDescent="0.45">
      <c r="B229" s="33">
        <v>44866</v>
      </c>
      <c r="C229" s="92">
        <v>2239123.5</v>
      </c>
      <c r="D229" s="92">
        <v>0</v>
      </c>
      <c r="E229" s="181">
        <f t="shared" si="3"/>
        <v>2239123.5</v>
      </c>
    </row>
    <row r="230" spans="2:5" ht="22.2" hidden="1" x14ac:dyDescent="0.45">
      <c r="B230" s="33">
        <v>44896</v>
      </c>
      <c r="C230" s="92">
        <v>3815869.5</v>
      </c>
      <c r="D230" s="92">
        <v>0</v>
      </c>
      <c r="E230" s="181">
        <f t="shared" si="3"/>
        <v>3815869.5</v>
      </c>
    </row>
    <row r="231" spans="2:5" ht="22.2" hidden="1" x14ac:dyDescent="0.45">
      <c r="B231" s="33">
        <v>44927</v>
      </c>
      <c r="C231" s="92">
        <v>3876876</v>
      </c>
      <c r="D231" s="92">
        <v>0</v>
      </c>
      <c r="E231" s="181">
        <f t="shared" si="3"/>
        <v>3876876</v>
      </c>
    </row>
    <row r="232" spans="2:5" ht="22.2" hidden="1" x14ac:dyDescent="0.45">
      <c r="B232" s="33">
        <v>44958</v>
      </c>
      <c r="C232" s="92">
        <v>2565432</v>
      </c>
      <c r="D232" s="92">
        <v>427935</v>
      </c>
      <c r="E232" s="181">
        <f t="shared" si="3"/>
        <v>2993367</v>
      </c>
    </row>
    <row r="233" spans="2:5" ht="22.2" hidden="1" x14ac:dyDescent="0.45">
      <c r="B233" s="33">
        <v>44986</v>
      </c>
      <c r="C233" s="92">
        <v>2163847.5</v>
      </c>
      <c r="D233" s="92">
        <v>0</v>
      </c>
      <c r="E233" s="181">
        <f t="shared" si="3"/>
        <v>2163847.5</v>
      </c>
    </row>
    <row r="234" spans="2:5" ht="22.2" hidden="1" x14ac:dyDescent="0.45">
      <c r="B234" s="33">
        <v>45017</v>
      </c>
      <c r="C234" s="92">
        <v>1103476.5</v>
      </c>
      <c r="D234" s="92">
        <v>0</v>
      </c>
      <c r="E234" s="181">
        <f t="shared" si="3"/>
        <v>1103476.5</v>
      </c>
    </row>
    <row r="235" spans="2:5" ht="22.2" hidden="1" x14ac:dyDescent="0.45">
      <c r="B235" s="33">
        <v>45047</v>
      </c>
      <c r="C235" s="92">
        <v>1210167</v>
      </c>
      <c r="D235" s="92">
        <v>0</v>
      </c>
      <c r="E235" s="181">
        <f t="shared" si="3"/>
        <v>1210167</v>
      </c>
    </row>
    <row r="236" spans="2:5" ht="22.2" hidden="1" x14ac:dyDescent="0.45">
      <c r="B236" s="33">
        <v>45078</v>
      </c>
      <c r="C236" s="92">
        <v>2359260</v>
      </c>
      <c r="D236" s="92">
        <v>0</v>
      </c>
      <c r="E236" s="181">
        <f t="shared" si="3"/>
        <v>2359260</v>
      </c>
    </row>
    <row r="237" spans="2:5" ht="22.8" hidden="1" thickBot="1" x14ac:dyDescent="0.5">
      <c r="B237" s="34"/>
      <c r="C237" s="27"/>
      <c r="D237" s="27"/>
      <c r="E237" s="35"/>
    </row>
    <row r="238" spans="2:5" ht="23.4" hidden="1" thickTop="1" thickBot="1" x14ac:dyDescent="0.5">
      <c r="B238" s="36"/>
      <c r="C238" s="37">
        <f>SUM(C225:C236)</f>
        <v>25959771</v>
      </c>
      <c r="D238" s="37">
        <f>SUM(D225:D236)</f>
        <v>3912540</v>
      </c>
      <c r="E238" s="38">
        <f>SUM(E225:E236)</f>
        <v>29872311</v>
      </c>
    </row>
    <row r="239" spans="2:5" hidden="1" x14ac:dyDescent="0.3"/>
    <row r="240" spans="2:5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</sheetData>
  <dataConsolidate/>
  <mergeCells count="7">
    <mergeCell ref="B221:G221"/>
    <mergeCell ref="B2:G2"/>
    <mergeCell ref="B47:G47"/>
    <mergeCell ref="B83:G83"/>
    <mergeCell ref="B124:G124"/>
    <mergeCell ref="B126:G126"/>
    <mergeCell ref="B170:G170"/>
  </mergeCells>
  <conditionalFormatting sqref="C4:D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{1BED11D3-9E13-43F3-9792-686593090C3C}</x14:id>
        </ext>
      </extLst>
    </cfRule>
  </conditionalFormatting>
  <conditionalFormatting sqref="C49:D53 E6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{BAC5BDCC-1D32-4E1B-84FD-BDF8A060C79B}</x14:id>
        </ext>
      </extLst>
    </cfRule>
  </conditionalFormatting>
  <conditionalFormatting sqref="C85:D9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{66F852BE-C2AD-49AA-A346-3579018D85D6}</x14:id>
        </ext>
      </extLst>
    </cfRule>
  </conditionalFormatting>
  <conditionalFormatting sqref="C129:I12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{B7F403B8-A178-486C-B5C9-A74C5C381BAC}</x14:id>
        </ext>
      </extLst>
    </cfRule>
  </conditionalFormatting>
  <pageMargins left="0.7" right="0.7" top="0.75" bottom="0.75" header="0.3" footer="0.3"/>
  <pageSetup paperSize="9" orientation="portrait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ED11D3-9E13-43F3-9792-686593090C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C4:D8</xm:sqref>
        </x14:conditionalFormatting>
        <x14:conditionalFormatting xmlns:xm="http://schemas.microsoft.com/office/excel/2006/main">
          <x14:cfRule type="dataBar" id="{BAC5BDCC-1D32-4E1B-84FD-BDF8A060C7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C49:D53 E60</xm:sqref>
        </x14:conditionalFormatting>
        <x14:conditionalFormatting xmlns:xm="http://schemas.microsoft.com/office/excel/2006/main">
          <x14:cfRule type="dataBar" id="{66F852BE-C2AD-49AA-A346-3579018D85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C85:D90</xm:sqref>
        </x14:conditionalFormatting>
        <x14:conditionalFormatting xmlns:xm="http://schemas.microsoft.com/office/excel/2006/main">
          <x14:cfRule type="dataBar" id="{B7F403B8-A178-486C-B5C9-A74C5C381B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C129:I129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E30B-A112-43D1-807D-B72B02C751AC}">
  <sheetPr>
    <tabColor rgb="FF00B050"/>
    <pageSetUpPr autoPageBreaks="0"/>
  </sheetPr>
  <dimension ref="B2:N245"/>
  <sheetViews>
    <sheetView showGridLines="0" tabSelected="1" zoomScale="94" zoomScaleNormal="94" zoomScaleSheetLayoutView="115" workbookViewId="0">
      <selection activeCell="I119" sqref="I119"/>
    </sheetView>
  </sheetViews>
  <sheetFormatPr defaultColWidth="22.33203125" defaultRowHeight="14.4" x14ac:dyDescent="0.3"/>
  <cols>
    <col min="1" max="1" width="6.6640625" customWidth="1"/>
    <col min="2" max="2" width="28.109375" customWidth="1"/>
    <col min="3" max="3" width="17.109375" customWidth="1"/>
    <col min="4" max="4" width="15.77734375" customWidth="1"/>
    <col min="5" max="5" width="11.6640625" customWidth="1"/>
    <col min="6" max="6" width="11.33203125" customWidth="1"/>
    <col min="7" max="8" width="10.77734375" customWidth="1"/>
    <col min="9" max="11" width="22.33203125" style="157"/>
    <col min="12" max="12" width="22.33203125" style="126"/>
  </cols>
  <sheetData>
    <row r="2" spans="2:11" ht="25.8" x14ac:dyDescent="0.5">
      <c r="B2" s="246" t="s">
        <v>68</v>
      </c>
      <c r="C2" s="246"/>
      <c r="D2" s="246"/>
      <c r="E2" s="246"/>
      <c r="F2" s="246"/>
      <c r="G2" s="246"/>
      <c r="I2" s="155"/>
      <c r="J2" s="158"/>
    </row>
    <row r="3" spans="2:11" ht="4.5" customHeight="1" x14ac:dyDescent="0.3"/>
    <row r="4" spans="2:11" x14ac:dyDescent="0.3">
      <c r="B4" s="21" t="s">
        <v>52</v>
      </c>
      <c r="C4" s="168">
        <v>143000</v>
      </c>
      <c r="D4" s="22" t="s">
        <v>4</v>
      </c>
      <c r="E4" s="252" t="s">
        <v>199</v>
      </c>
      <c r="F4" s="252"/>
      <c r="G4" s="252"/>
      <c r="H4" s="252"/>
      <c r="I4" s="156"/>
    </row>
    <row r="5" spans="2:11" x14ac:dyDescent="0.3">
      <c r="B5" s="21" t="s">
        <v>30</v>
      </c>
      <c r="C5" s="168">
        <f>(C4-Sep!C7)/6</f>
        <v>16873.043333333331</v>
      </c>
      <c r="D5" s="22" t="s">
        <v>4</v>
      </c>
      <c r="E5" s="252" t="s">
        <v>198</v>
      </c>
      <c r="F5" s="252"/>
      <c r="G5" s="252"/>
      <c r="H5" s="252"/>
    </row>
    <row r="6" spans="2:11" x14ac:dyDescent="0.3">
      <c r="B6" s="21" t="s">
        <v>6</v>
      </c>
      <c r="C6" s="171">
        <f>SUM(D39:H39)</f>
        <v>5988.869999999999</v>
      </c>
      <c r="D6" s="22" t="s">
        <v>4</v>
      </c>
      <c r="E6" s="249" t="s">
        <v>200</v>
      </c>
      <c r="F6" s="249"/>
      <c r="G6" s="249"/>
      <c r="H6" s="249"/>
      <c r="I6" s="159"/>
    </row>
    <row r="7" spans="2:11" x14ac:dyDescent="0.3">
      <c r="B7" s="21" t="s">
        <v>66</v>
      </c>
      <c r="C7" s="171">
        <f>Sep!C7+Oct!C6</f>
        <v>47750.61</v>
      </c>
      <c r="D7" s="22" t="s">
        <v>4</v>
      </c>
      <c r="E7" s="249" t="s">
        <v>201</v>
      </c>
      <c r="F7" s="249"/>
      <c r="G7" s="249"/>
      <c r="H7" s="249"/>
    </row>
    <row r="8" spans="2:11" x14ac:dyDescent="0.3">
      <c r="B8" s="21" t="s">
        <v>2</v>
      </c>
      <c r="C8" s="171">
        <f>SUM(D38:G38)</f>
        <v>0</v>
      </c>
      <c r="D8" s="22" t="s">
        <v>4</v>
      </c>
      <c r="E8" s="252" t="s">
        <v>202</v>
      </c>
      <c r="F8" s="252"/>
      <c r="G8" s="252"/>
      <c r="H8" s="252"/>
    </row>
    <row r="9" spans="2:11" x14ac:dyDescent="0.3">
      <c r="I9" s="159"/>
    </row>
    <row r="10" spans="2:11" x14ac:dyDescent="0.3">
      <c r="D10" s="2"/>
      <c r="E10" s="175"/>
      <c r="F10" s="2"/>
      <c r="G10" s="2"/>
      <c r="I10" s="159"/>
    </row>
    <row r="11" spans="2:11" x14ac:dyDescent="0.3">
      <c r="D11" s="2"/>
      <c r="E11" s="175"/>
      <c r="F11" s="2"/>
      <c r="G11" s="2"/>
    </row>
    <row r="12" spans="2:11" x14ac:dyDescent="0.3">
      <c r="D12" s="2"/>
      <c r="E12" s="175"/>
      <c r="F12" s="2"/>
      <c r="G12" s="2"/>
    </row>
    <row r="13" spans="2:11" x14ac:dyDescent="0.3">
      <c r="J13" s="160"/>
      <c r="K13" s="160"/>
    </row>
    <row r="19" spans="2:12" x14ac:dyDescent="0.3">
      <c r="H19" s="67"/>
    </row>
    <row r="28" spans="2:12" s="101" customFormat="1" x14ac:dyDescent="0.3">
      <c r="B28"/>
      <c r="C28" s="57"/>
      <c r="D28" s="57"/>
      <c r="E28" s="173"/>
      <c r="F28" s="57"/>
      <c r="G28"/>
      <c r="H28"/>
      <c r="I28" s="157"/>
      <c r="J28" s="157"/>
      <c r="K28" s="161"/>
      <c r="L28" s="149"/>
    </row>
    <row r="29" spans="2:12" s="101" customFormat="1" x14ac:dyDescent="0.3">
      <c r="B29"/>
      <c r="C29"/>
      <c r="D29" s="56"/>
      <c r="E29"/>
      <c r="F29"/>
      <c r="G29"/>
      <c r="H29"/>
      <c r="I29" s="157"/>
      <c r="J29" s="157"/>
      <c r="K29" s="161"/>
      <c r="L29" s="149"/>
    </row>
    <row r="30" spans="2:12" s="101" customFormat="1" hidden="1" x14ac:dyDescent="0.3">
      <c r="B30"/>
      <c r="C30"/>
      <c r="D30"/>
      <c r="E30"/>
      <c r="F30"/>
      <c r="G30"/>
      <c r="H30"/>
      <c r="I30" s="157"/>
      <c r="J30" s="157"/>
      <c r="K30" s="161"/>
      <c r="L30" s="149"/>
    </row>
    <row r="31" spans="2:12" s="101" customFormat="1" hidden="1" x14ac:dyDescent="0.3">
      <c r="B31"/>
      <c r="C31"/>
      <c r="D31"/>
      <c r="E31"/>
      <c r="F31"/>
      <c r="G31"/>
      <c r="H31"/>
      <c r="I31" s="157"/>
      <c r="J31" s="157"/>
      <c r="K31" s="161"/>
      <c r="L31" s="149"/>
    </row>
    <row r="32" spans="2:12" s="101" customFormat="1" hidden="1" x14ac:dyDescent="0.3">
      <c r="B32"/>
      <c r="C32"/>
      <c r="D32"/>
      <c r="E32"/>
      <c r="F32"/>
      <c r="G32"/>
      <c r="H32"/>
      <c r="I32" s="157"/>
      <c r="J32" s="157"/>
      <c r="K32" s="161"/>
      <c r="L32" s="149"/>
    </row>
    <row r="33" spans="2:12" s="101" customFormat="1" ht="16.5" customHeight="1" x14ac:dyDescent="0.3">
      <c r="B33"/>
      <c r="C33"/>
      <c r="D33" s="250" t="s">
        <v>207</v>
      </c>
      <c r="E33" s="250"/>
      <c r="F33" s="250"/>
      <c r="G33" s="250"/>
      <c r="H33" s="250"/>
      <c r="I33" s="157"/>
      <c r="J33" s="157"/>
      <c r="K33" s="161"/>
      <c r="L33" s="149"/>
    </row>
    <row r="34" spans="2:12" ht="27.6" x14ac:dyDescent="0.3">
      <c r="B34" s="1"/>
      <c r="C34" s="1"/>
      <c r="D34" s="97" t="s">
        <v>192</v>
      </c>
      <c r="E34" s="97" t="s">
        <v>193</v>
      </c>
      <c r="F34" s="97" t="s">
        <v>194</v>
      </c>
      <c r="G34" s="97" t="s">
        <v>195</v>
      </c>
      <c r="H34" s="97" t="s">
        <v>196</v>
      </c>
    </row>
    <row r="35" spans="2:12" hidden="1" x14ac:dyDescent="0.3">
      <c r="B35" s="1"/>
      <c r="C35" s="1"/>
      <c r="D35" s="43"/>
      <c r="E35" s="177"/>
      <c r="F35" s="43"/>
      <c r="G35" s="43"/>
      <c r="H35" s="43"/>
    </row>
    <row r="36" spans="2:12" ht="16.95" customHeight="1" x14ac:dyDescent="0.3">
      <c r="B36" s="12" t="s">
        <v>135</v>
      </c>
      <c r="C36" s="6" t="s">
        <v>4</v>
      </c>
      <c r="D36" s="54">
        <v>1038.26</v>
      </c>
      <c r="E36" s="54">
        <v>1866.1</v>
      </c>
      <c r="F36" s="54">
        <v>905.65</v>
      </c>
      <c r="G36" s="54">
        <v>757.79</v>
      </c>
      <c r="H36" s="54">
        <v>1421.07</v>
      </c>
    </row>
    <row r="37" spans="2:12" x14ac:dyDescent="0.3">
      <c r="B37" s="12" t="s">
        <v>110</v>
      </c>
      <c r="C37" s="6"/>
      <c r="D37" s="119"/>
      <c r="E37" s="119"/>
      <c r="F37" s="119"/>
      <c r="G37" s="119"/>
      <c r="H37" s="119"/>
    </row>
    <row r="38" spans="2:12" ht="15" hidden="1" thickBot="1" x14ac:dyDescent="0.35">
      <c r="B38" s="12"/>
      <c r="C38" s="6"/>
      <c r="D38" s="120"/>
      <c r="E38" s="178"/>
      <c r="F38" s="121"/>
      <c r="G38" s="122"/>
      <c r="H38" s="122"/>
    </row>
    <row r="39" spans="2:12" x14ac:dyDescent="0.3">
      <c r="B39" s="12" t="s">
        <v>3</v>
      </c>
      <c r="C39" s="6" t="s">
        <v>4</v>
      </c>
      <c r="D39" s="75">
        <f>D37+D36</f>
        <v>1038.26</v>
      </c>
      <c r="E39" s="75">
        <f>IF(E37+E36="",0,E37+E36)</f>
        <v>1866.1</v>
      </c>
      <c r="F39" s="75">
        <f t="shared" ref="F39:H39" si="0">IF(F37+F36="",0,F37+F36)</f>
        <v>905.65</v>
      </c>
      <c r="G39" s="75">
        <f t="shared" si="0"/>
        <v>757.79</v>
      </c>
      <c r="H39" s="75">
        <f t="shared" si="0"/>
        <v>1421.07</v>
      </c>
      <c r="I39" s="162"/>
      <c r="J39" s="159"/>
    </row>
    <row r="40" spans="2:12" x14ac:dyDescent="0.3">
      <c r="B40" s="12" t="s">
        <v>108</v>
      </c>
      <c r="C40" s="8"/>
      <c r="D40" s="76">
        <f>D39</f>
        <v>1038.26</v>
      </c>
      <c r="E40" s="76">
        <f>E39+D40</f>
        <v>2904.3599999999997</v>
      </c>
      <c r="F40" s="76">
        <f>F39+E40</f>
        <v>3810.0099999999998</v>
      </c>
      <c r="G40" s="76">
        <f>G39+F40</f>
        <v>4567.7999999999993</v>
      </c>
      <c r="H40" s="76">
        <f>H39+G40</f>
        <v>5988.869999999999</v>
      </c>
      <c r="I40" s="162"/>
    </row>
    <row r="41" spans="2:12" x14ac:dyDescent="0.3">
      <c r="B41" s="12" t="s">
        <v>109</v>
      </c>
      <c r="C41" s="6" t="s">
        <v>4</v>
      </c>
      <c r="D41" s="75">
        <f>(C5/31)*4</f>
        <v>2177.16688172043</v>
      </c>
      <c r="E41" s="75">
        <f>((C5/31)*11)-D40</f>
        <v>4948.9489247311822</v>
      </c>
      <c r="F41" s="75">
        <f>((C5/31)*18)-E40</f>
        <v>6892.8909677419351</v>
      </c>
      <c r="G41" s="75">
        <f>((C5/31)*25)-F40</f>
        <v>9797.2830107526879</v>
      </c>
      <c r="H41" s="75">
        <f>((C5/31)*31)-G40</f>
        <v>12305.243333333332</v>
      </c>
      <c r="I41" s="165"/>
      <c r="J41" s="165"/>
    </row>
    <row r="42" spans="2:12" x14ac:dyDescent="0.3">
      <c r="B42" s="21"/>
      <c r="C42" s="85"/>
      <c r="D42" s="86"/>
      <c r="E42" s="86"/>
      <c r="F42" s="86"/>
      <c r="G42" s="86"/>
      <c r="H42" s="67"/>
      <c r="I42" s="165"/>
      <c r="J42" s="165"/>
    </row>
    <row r="43" spans="2:12" x14ac:dyDescent="0.3">
      <c r="B43" s="21"/>
      <c r="C43" s="85"/>
      <c r="D43" s="86"/>
      <c r="E43" s="86"/>
      <c r="F43" s="86"/>
      <c r="G43" s="86"/>
    </row>
    <row r="44" spans="2:12" s="4" customFormat="1" ht="15" thickBot="1" x14ac:dyDescent="0.35">
      <c r="D44" s="59"/>
      <c r="E44" s="59"/>
      <c r="F44" s="59"/>
      <c r="G44" s="59"/>
      <c r="I44" s="163"/>
      <c r="J44" s="163"/>
      <c r="K44" s="163"/>
      <c r="L44" s="151"/>
    </row>
    <row r="45" spans="2:12" ht="15" thickTop="1" x14ac:dyDescent="0.3">
      <c r="D45" s="67"/>
      <c r="E45" s="67"/>
      <c r="F45" s="67"/>
    </row>
    <row r="47" spans="2:12" ht="25.8" x14ac:dyDescent="0.5">
      <c r="B47" s="246" t="s">
        <v>69</v>
      </c>
      <c r="C47" s="246"/>
      <c r="D47" s="246"/>
      <c r="E47" s="246"/>
      <c r="F47" s="246"/>
      <c r="G47" s="246"/>
      <c r="I47" s="159"/>
      <c r="J47" s="162"/>
    </row>
    <row r="48" spans="2:12" ht="4.95" customHeight="1" x14ac:dyDescent="0.3"/>
    <row r="49" spans="2:8" x14ac:dyDescent="0.3">
      <c r="B49" s="21" t="s">
        <v>52</v>
      </c>
      <c r="C49" s="168">
        <v>9907200</v>
      </c>
      <c r="D49" s="22" t="s">
        <v>8</v>
      </c>
      <c r="E49" s="252" t="s">
        <v>203</v>
      </c>
      <c r="F49" s="252"/>
      <c r="G49" s="252"/>
      <c r="H49" s="96"/>
    </row>
    <row r="50" spans="2:8" x14ac:dyDescent="0.3">
      <c r="B50" s="21" t="s">
        <v>31</v>
      </c>
      <c r="C50" s="168">
        <f>(C49-Sep!C52)/6</f>
        <v>1191235.1666666667</v>
      </c>
      <c r="D50" s="22" t="s">
        <v>8</v>
      </c>
      <c r="E50" s="252" t="s">
        <v>206</v>
      </c>
      <c r="F50" s="252"/>
      <c r="G50" s="252"/>
      <c r="H50" s="252"/>
    </row>
    <row r="51" spans="2:8" x14ac:dyDescent="0.3">
      <c r="B51" s="21" t="s">
        <v>6</v>
      </c>
      <c r="C51" s="171">
        <f>SUM(D78:H78)</f>
        <v>205404</v>
      </c>
      <c r="D51" s="22" t="s">
        <v>8</v>
      </c>
      <c r="E51" s="249" t="s">
        <v>204</v>
      </c>
      <c r="F51" s="249"/>
      <c r="G51" s="249"/>
      <c r="H51" s="249"/>
    </row>
    <row r="52" spans="2:8" x14ac:dyDescent="0.3">
      <c r="B52" s="21" t="s">
        <v>67</v>
      </c>
      <c r="C52" s="171">
        <f>Sep!C52+Oct!C51</f>
        <v>2965193</v>
      </c>
      <c r="D52" s="22" t="s">
        <v>8</v>
      </c>
      <c r="E52" s="249" t="s">
        <v>205</v>
      </c>
      <c r="F52" s="249"/>
      <c r="G52" s="249"/>
      <c r="H52" s="249"/>
    </row>
    <row r="53" spans="2:8" x14ac:dyDescent="0.3">
      <c r="B53" s="21" t="s">
        <v>9</v>
      </c>
      <c r="C53" s="171">
        <f>C50-C51</f>
        <v>985831.16666666674</v>
      </c>
      <c r="D53" s="22" t="s">
        <v>8</v>
      </c>
      <c r="E53" s="252"/>
      <c r="F53" s="252"/>
      <c r="G53" s="252"/>
      <c r="H53" s="252"/>
    </row>
    <row r="60" spans="2:8" x14ac:dyDescent="0.3">
      <c r="E60" s="22" t="s">
        <v>8</v>
      </c>
    </row>
    <row r="76" spans="2:8" x14ac:dyDescent="0.3">
      <c r="D76" s="251" t="s">
        <v>208</v>
      </c>
      <c r="E76" s="251"/>
      <c r="F76" s="251"/>
      <c r="G76" s="251"/>
      <c r="H76" s="251"/>
    </row>
    <row r="77" spans="2:8" ht="27.6" x14ac:dyDescent="0.3">
      <c r="B77" s="1"/>
      <c r="C77" s="1"/>
      <c r="D77" s="97" t="str">
        <f>D34</f>
        <v>WEEK 1
(Oct1-4)</v>
      </c>
      <c r="E77" s="97" t="str">
        <f>E34</f>
        <v>WEEK 2
(Oct5-11)</v>
      </c>
      <c r="F77" s="97" t="str">
        <f>F34</f>
        <v>WEEK 3
(Oct12-18)</v>
      </c>
      <c r="G77" s="97" t="str">
        <f>G34</f>
        <v>WEEK 4
(Oct19-25)</v>
      </c>
      <c r="H77" s="97" t="str">
        <f>H34</f>
        <v>WEEK 5
(Oct26-31)</v>
      </c>
    </row>
    <row r="78" spans="2:8" x14ac:dyDescent="0.3">
      <c r="B78" s="5" t="s">
        <v>1</v>
      </c>
      <c r="C78" s="9" t="s">
        <v>8</v>
      </c>
      <c r="D78" s="184"/>
      <c r="E78" s="184">
        <v>54510</v>
      </c>
      <c r="F78" s="184">
        <v>66186</v>
      </c>
      <c r="G78" s="184">
        <v>5147</v>
      </c>
      <c r="H78" s="184">
        <v>79561</v>
      </c>
    </row>
    <row r="79" spans="2:8" x14ac:dyDescent="0.3">
      <c r="B79" s="7" t="s">
        <v>5</v>
      </c>
      <c r="C79" s="9" t="s">
        <v>8</v>
      </c>
      <c r="D79" s="98">
        <f>D78</f>
        <v>0</v>
      </c>
      <c r="E79" s="98">
        <f>D79+E78</f>
        <v>54510</v>
      </c>
      <c r="F79" s="98">
        <f>E79+F78</f>
        <v>120696</v>
      </c>
      <c r="G79" s="98">
        <f>F79+G78</f>
        <v>125843</v>
      </c>
      <c r="H79" s="98">
        <f>G79+H78</f>
        <v>205404</v>
      </c>
    </row>
    <row r="80" spans="2:8" x14ac:dyDescent="0.3">
      <c r="B80" s="5" t="s">
        <v>9</v>
      </c>
      <c r="C80" s="9" t="s">
        <v>8</v>
      </c>
      <c r="D80" s="98">
        <f>(C50/31)*4</f>
        <v>153707.76344086023</v>
      </c>
      <c r="E80" s="98">
        <f>(($C50/31)*11)-D79</f>
        <v>422696.34946236562</v>
      </c>
      <c r="F80" s="98">
        <f>(($C50/31)*18)-E79</f>
        <v>637174.93548387103</v>
      </c>
      <c r="G80" s="98">
        <f>(($C50/31)*25)-F79</f>
        <v>839977.52150537644</v>
      </c>
      <c r="H80" s="98">
        <f>(($C50/31)*31)-G79</f>
        <v>1065392.1666666667</v>
      </c>
    </row>
    <row r="81" spans="2:12" s="4" customFormat="1" ht="15" thickBot="1" x14ac:dyDescent="0.35">
      <c r="I81" s="163"/>
      <c r="J81" s="163"/>
      <c r="K81" s="163"/>
      <c r="L81" s="151"/>
    </row>
    <row r="82" spans="2:12" ht="15" thickTop="1" x14ac:dyDescent="0.3"/>
    <row r="83" spans="2:12" s="101" customFormat="1" ht="25.8" x14ac:dyDescent="0.5">
      <c r="B83" s="246" t="s">
        <v>70</v>
      </c>
      <c r="C83" s="246"/>
      <c r="D83" s="246"/>
      <c r="E83" s="246"/>
      <c r="F83" s="246"/>
      <c r="G83" s="246"/>
      <c r="H83"/>
      <c r="I83" s="157"/>
      <c r="J83" s="157"/>
      <c r="K83" s="161"/>
      <c r="L83" s="149"/>
    </row>
    <row r="84" spans="2:12" s="101" customFormat="1" ht="6.45" customHeight="1" x14ac:dyDescent="0.3">
      <c r="B84"/>
      <c r="C84"/>
      <c r="D84"/>
      <c r="E84"/>
      <c r="F84"/>
      <c r="G84"/>
      <c r="H84"/>
      <c r="I84" s="157"/>
      <c r="J84" s="157"/>
      <c r="K84" s="161"/>
      <c r="L84" s="149"/>
    </row>
    <row r="85" spans="2:12" s="101" customFormat="1" ht="16.2" x14ac:dyDescent="0.3">
      <c r="B85" s="172" t="s">
        <v>52</v>
      </c>
      <c r="C85" s="168">
        <v>10000000</v>
      </c>
      <c r="D85" s="22" t="s">
        <v>11</v>
      </c>
      <c r="E85" s="252" t="s">
        <v>203</v>
      </c>
      <c r="F85" s="252"/>
      <c r="G85" s="252"/>
      <c r="H85" s="96"/>
      <c r="I85" s="157"/>
      <c r="J85" s="157"/>
      <c r="K85" s="161"/>
      <c r="L85" s="149"/>
    </row>
    <row r="86" spans="2:12" s="101" customFormat="1" ht="16.2" x14ac:dyDescent="0.3">
      <c r="B86" s="172" t="s">
        <v>31</v>
      </c>
      <c r="C86" s="168">
        <f>(C85-Sep!C88)/6</f>
        <v>1214695.1666666667</v>
      </c>
      <c r="D86" s="22" t="s">
        <v>11</v>
      </c>
      <c r="E86" s="19" t="s">
        <v>209</v>
      </c>
      <c r="F86" s="19"/>
      <c r="G86" s="19"/>
      <c r="H86" s="19"/>
      <c r="I86" s="157"/>
      <c r="J86" s="157"/>
      <c r="K86" s="161"/>
      <c r="L86" s="149"/>
    </row>
    <row r="87" spans="2:12" s="101" customFormat="1" ht="16.2" x14ac:dyDescent="0.3">
      <c r="B87" s="172" t="s">
        <v>1</v>
      </c>
      <c r="C87" s="171">
        <f>SUM(D114:H114)</f>
        <v>451214</v>
      </c>
      <c r="D87" s="22" t="s">
        <v>11</v>
      </c>
      <c r="E87" s="249" t="s">
        <v>210</v>
      </c>
      <c r="F87" s="249"/>
      <c r="G87" s="249"/>
      <c r="H87" s="249"/>
      <c r="I87" s="157"/>
      <c r="J87" s="157"/>
      <c r="K87" s="161"/>
      <c r="L87" s="149"/>
    </row>
    <row r="88" spans="2:12" s="101" customFormat="1" ht="16.2" x14ac:dyDescent="0.3">
      <c r="B88" s="172" t="s">
        <v>67</v>
      </c>
      <c r="C88" s="171">
        <f>Sep!C88+Oct!C87</f>
        <v>3163043</v>
      </c>
      <c r="D88" s="22" t="s">
        <v>11</v>
      </c>
      <c r="E88" s="249" t="s">
        <v>205</v>
      </c>
      <c r="F88" s="249"/>
      <c r="G88" s="249"/>
      <c r="H88" s="249"/>
      <c r="I88" s="157"/>
      <c r="J88" s="157"/>
      <c r="K88" s="161"/>
      <c r="L88" s="149"/>
    </row>
    <row r="89" spans="2:12" s="101" customFormat="1" ht="16.2" x14ac:dyDescent="0.3">
      <c r="B89" s="172" t="s">
        <v>9</v>
      </c>
      <c r="C89" s="171">
        <f>C86-C87</f>
        <v>763481.16666666674</v>
      </c>
      <c r="D89" s="22" t="s">
        <v>11</v>
      </c>
      <c r="E89" s="248"/>
      <c r="F89" s="248"/>
      <c r="G89" s="248"/>
      <c r="H89"/>
      <c r="I89" s="157"/>
      <c r="J89" s="157"/>
      <c r="K89" s="161"/>
      <c r="L89" s="149"/>
    </row>
    <row r="90" spans="2:12" s="101" customFormat="1" ht="7.5" customHeight="1" x14ac:dyDescent="0.3">
      <c r="B90"/>
      <c r="C90"/>
      <c r="D90"/>
      <c r="E90"/>
      <c r="F90"/>
      <c r="G90"/>
      <c r="H90"/>
      <c r="I90" s="157"/>
      <c r="J90" s="157"/>
      <c r="K90" s="161"/>
      <c r="L90" s="149"/>
    </row>
    <row r="103" spans="4:8" x14ac:dyDescent="0.3">
      <c r="H103" s="57"/>
    </row>
    <row r="112" spans="4:8" x14ac:dyDescent="0.3">
      <c r="D112" s="266" t="s">
        <v>211</v>
      </c>
      <c r="E112" s="266"/>
      <c r="F112" s="266"/>
      <c r="G112" s="266"/>
      <c r="H112" s="266"/>
    </row>
    <row r="113" spans="2:14" ht="27.6" x14ac:dyDescent="0.3">
      <c r="B113" s="1"/>
      <c r="C113" s="1"/>
      <c r="D113" s="97" t="str">
        <f>D77</f>
        <v>WEEK 1
(Oct1-4)</v>
      </c>
      <c r="E113" s="97" t="str">
        <f>E77</f>
        <v>WEEK 2
(Oct5-11)</v>
      </c>
      <c r="F113" s="97" t="str">
        <f>F77</f>
        <v>WEEK 3
(Oct12-18)</v>
      </c>
      <c r="G113" s="97" t="str">
        <f>G77</f>
        <v>WEEK 4
(Oct19-25)</v>
      </c>
      <c r="H113" s="97" t="str">
        <f>H77</f>
        <v>WEEK 5
(Oct26-31)</v>
      </c>
    </row>
    <row r="114" spans="2:14" ht="16.2" x14ac:dyDescent="0.3">
      <c r="B114" s="79" t="s">
        <v>43</v>
      </c>
      <c r="C114" s="9" t="s">
        <v>11</v>
      </c>
      <c r="D114" s="184">
        <v>77966</v>
      </c>
      <c r="E114" s="69">
        <v>116791</v>
      </c>
      <c r="F114" s="69">
        <v>21893</v>
      </c>
      <c r="G114" s="69">
        <v>93475</v>
      </c>
      <c r="H114" s="69">
        <v>141089</v>
      </c>
      <c r="I114" s="164"/>
      <c r="J114" s="162"/>
    </row>
    <row r="115" spans="2:14" x14ac:dyDescent="0.3">
      <c r="B115" s="79" t="s">
        <v>41</v>
      </c>
      <c r="C115" s="9" t="s">
        <v>8</v>
      </c>
      <c r="D115" s="184">
        <f>D78*0.47</f>
        <v>0</v>
      </c>
      <c r="E115" s="184">
        <f>E78*0.47</f>
        <v>25619.699999999997</v>
      </c>
      <c r="F115" s="184">
        <f>F78*0.47</f>
        <v>31107.42</v>
      </c>
      <c r="G115" s="184">
        <f>G78*0.47</f>
        <v>2419.0899999999997</v>
      </c>
      <c r="H115" s="184">
        <f>H78*0.47</f>
        <v>37393.67</v>
      </c>
      <c r="I115" s="164"/>
      <c r="J115" s="162"/>
    </row>
    <row r="116" spans="2:14" ht="16.2" x14ac:dyDescent="0.3">
      <c r="B116" s="79" t="s">
        <v>191</v>
      </c>
      <c r="C116" s="9" t="s">
        <v>11</v>
      </c>
      <c r="D116" s="184"/>
      <c r="E116" s="184"/>
      <c r="F116" s="184"/>
      <c r="G116" s="184"/>
      <c r="H116" s="184"/>
    </row>
    <row r="117" spans="2:14" ht="16.2" x14ac:dyDescent="0.3">
      <c r="B117" s="12" t="s">
        <v>12</v>
      </c>
      <c r="C117" s="9" t="s">
        <v>11</v>
      </c>
      <c r="D117" s="69"/>
      <c r="E117" s="69">
        <v>13978</v>
      </c>
      <c r="F117" s="69">
        <v>36093</v>
      </c>
      <c r="G117" s="69"/>
      <c r="H117" s="69">
        <v>2102</v>
      </c>
      <c r="I117" s="164"/>
    </row>
    <row r="118" spans="2:14" x14ac:dyDescent="0.3">
      <c r="B118" s="12" t="s">
        <v>13</v>
      </c>
      <c r="C118" s="9" t="s">
        <v>10</v>
      </c>
      <c r="D118" s="69">
        <f>SUM(D114:D117)</f>
        <v>77966</v>
      </c>
      <c r="E118" s="69">
        <f>SUM(E114:E117)</f>
        <v>156388.70000000001</v>
      </c>
      <c r="F118" s="69">
        <f>SUM(F114:F117)</f>
        <v>89093.42</v>
      </c>
      <c r="G118" s="69">
        <f>SUM(G114:G117)</f>
        <v>95894.09</v>
      </c>
      <c r="H118" s="69">
        <f>SUM(H114:H117)</f>
        <v>180584.66999999998</v>
      </c>
    </row>
    <row r="119" spans="2:14" x14ac:dyDescent="0.3">
      <c r="B119" s="13" t="s">
        <v>5</v>
      </c>
      <c r="C119" s="9" t="s">
        <v>10</v>
      </c>
      <c r="D119" s="185">
        <f>D114</f>
        <v>77966</v>
      </c>
      <c r="E119" s="185">
        <f>D119+E114</f>
        <v>194757</v>
      </c>
      <c r="F119" s="185">
        <f>E119+F114</f>
        <v>216650</v>
      </c>
      <c r="G119" s="185">
        <f>F119+G114</f>
        <v>310125</v>
      </c>
      <c r="H119" s="185">
        <f>G119+H114</f>
        <v>451214</v>
      </c>
    </row>
    <row r="120" spans="2:14" ht="28.8" x14ac:dyDescent="0.3">
      <c r="B120" s="187" t="s">
        <v>130</v>
      </c>
      <c r="C120" s="9" t="s">
        <v>10</v>
      </c>
      <c r="D120" s="188">
        <f>D36*101*0.7842</f>
        <v>82234.552691999997</v>
      </c>
      <c r="E120" s="188">
        <f>E36*101*0.7842</f>
        <v>147802.95761999997</v>
      </c>
      <c r="F120" s="188">
        <f>F36*101*0.7842</f>
        <v>71731.283729999996</v>
      </c>
      <c r="G120" s="188">
        <f>G36*101*0.7842</f>
        <v>60020.150717999997</v>
      </c>
      <c r="H120" s="188">
        <f>H36*101*0.7842</f>
        <v>112554.71249400001</v>
      </c>
    </row>
    <row r="121" spans="2:14" x14ac:dyDescent="0.3">
      <c r="B121" s="12" t="s">
        <v>190</v>
      </c>
      <c r="C121" s="9" t="s">
        <v>10</v>
      </c>
      <c r="D121" s="185">
        <f>(($C$86/31)*4)</f>
        <v>156734.86021505378</v>
      </c>
      <c r="E121" s="185">
        <f>(($C$86/31)*11)-D119</f>
        <v>353054.86559139786</v>
      </c>
      <c r="F121" s="185">
        <f>(($C$86/31)*18)-E119</f>
        <v>510549.87096774206</v>
      </c>
      <c r="G121" s="185">
        <f>(($C$86/31)*25)-F119</f>
        <v>762942.87634408614</v>
      </c>
      <c r="H121" s="185">
        <f>(($C$86/31)*31)-G119</f>
        <v>904570.16666666674</v>
      </c>
    </row>
    <row r="122" spans="2:14" s="4" customFormat="1" ht="15" thickBot="1" x14ac:dyDescent="0.35">
      <c r="I122" s="163"/>
      <c r="J122" s="163"/>
      <c r="K122" s="163"/>
      <c r="L122" s="151"/>
    </row>
    <row r="123" spans="2:14" ht="15" thickTop="1" x14ac:dyDescent="0.3"/>
    <row r="124" spans="2:14" ht="25.8" x14ac:dyDescent="0.5">
      <c r="B124" s="246" t="s">
        <v>71</v>
      </c>
      <c r="C124" s="246"/>
      <c r="D124" s="246"/>
      <c r="E124" s="246"/>
      <c r="F124" s="246"/>
      <c r="G124" s="246"/>
    </row>
    <row r="125" spans="2:14" ht="4.05" customHeight="1" x14ac:dyDescent="0.3">
      <c r="B125" s="20"/>
      <c r="C125" s="20"/>
      <c r="D125" s="20"/>
      <c r="E125" s="20"/>
      <c r="F125" s="20"/>
      <c r="G125" s="20"/>
    </row>
    <row r="126" spans="2:14" ht="14.55" customHeight="1" x14ac:dyDescent="0.3">
      <c r="B126" s="244" t="s">
        <v>20</v>
      </c>
      <c r="C126" s="244"/>
      <c r="D126" s="244"/>
      <c r="E126" s="244"/>
      <c r="F126" s="244"/>
      <c r="G126" s="244"/>
    </row>
    <row r="127" spans="2:14" x14ac:dyDescent="0.3">
      <c r="D127" s="19">
        <v>101</v>
      </c>
      <c r="E127" s="19" t="s">
        <v>18</v>
      </c>
    </row>
    <row r="128" spans="2:14" ht="27.6" x14ac:dyDescent="0.3">
      <c r="D128" s="176" t="str">
        <f>D77</f>
        <v>WEEK 1
(Oct1-4)</v>
      </c>
      <c r="E128" s="176" t="str">
        <f>E77</f>
        <v>WEEK 2
(Oct5-11)</v>
      </c>
      <c r="F128" s="176" t="str">
        <f>F77</f>
        <v>WEEK 3
(Oct12-18)</v>
      </c>
      <c r="G128" s="176" t="str">
        <f>G77</f>
        <v>WEEK 4
(Oct19-25)</v>
      </c>
      <c r="H128" s="176" t="str">
        <f>H77</f>
        <v>WEEK 5
(Oct26-31)</v>
      </c>
      <c r="I128" s="182" t="s">
        <v>37</v>
      </c>
      <c r="J128" s="74"/>
      <c r="L128" s="157"/>
      <c r="M128" s="157"/>
      <c r="N128" s="126"/>
    </row>
    <row r="129" spans="2:14" hidden="1" x14ac:dyDescent="0.3">
      <c r="D129" s="10"/>
      <c r="E129" s="179"/>
      <c r="F129" s="10"/>
      <c r="G129" s="10"/>
      <c r="H129" s="10"/>
      <c r="I129" s="107"/>
      <c r="J129" s="74"/>
      <c r="L129" s="157"/>
      <c r="M129" s="157"/>
      <c r="N129" s="126"/>
    </row>
    <row r="130" spans="2:14" x14ac:dyDescent="0.3">
      <c r="B130" s="172" t="s">
        <v>15</v>
      </c>
      <c r="C130" s="22" t="s">
        <v>10</v>
      </c>
      <c r="D130" s="23">
        <f>D36</f>
        <v>1038.26</v>
      </c>
      <c r="E130" s="23">
        <f>E36</f>
        <v>1866.1</v>
      </c>
      <c r="F130" s="23">
        <f>F36</f>
        <v>905.65</v>
      </c>
      <c r="G130" s="23">
        <f>G36</f>
        <v>757.79</v>
      </c>
      <c r="H130" s="23">
        <f>H36</f>
        <v>1421.07</v>
      </c>
      <c r="I130" s="109">
        <f>SUM(D130:H130)</f>
        <v>5988.869999999999</v>
      </c>
      <c r="J130" s="78"/>
      <c r="L130" s="157"/>
      <c r="M130" s="157"/>
      <c r="N130" s="126"/>
    </row>
    <row r="131" spans="2:14" x14ac:dyDescent="0.3">
      <c r="B131" s="172" t="s">
        <v>17</v>
      </c>
      <c r="C131" s="22" t="s">
        <v>10</v>
      </c>
      <c r="D131" s="23">
        <f t="shared" ref="D131:I131" si="1">D134*D130</f>
        <v>104864.26</v>
      </c>
      <c r="E131" s="23">
        <f t="shared" si="1"/>
        <v>188476.09999999998</v>
      </c>
      <c r="F131" s="23">
        <f t="shared" si="1"/>
        <v>91470.65</v>
      </c>
      <c r="G131" s="23">
        <f t="shared" si="1"/>
        <v>76536.789999999994</v>
      </c>
      <c r="H131" s="23">
        <f t="shared" si="1"/>
        <v>144949.13999999998</v>
      </c>
      <c r="I131" s="110">
        <f t="shared" si="1"/>
        <v>604875.86999999988</v>
      </c>
      <c r="J131" s="63"/>
      <c r="L131" s="157"/>
      <c r="M131" s="157"/>
      <c r="N131" s="126"/>
    </row>
    <row r="132" spans="2:14" x14ac:dyDescent="0.3">
      <c r="B132" s="172" t="s">
        <v>16</v>
      </c>
      <c r="C132" s="22" t="s">
        <v>10</v>
      </c>
      <c r="D132" s="23">
        <f>D118</f>
        <v>77966</v>
      </c>
      <c r="E132" s="23">
        <f>E118</f>
        <v>156388.70000000001</v>
      </c>
      <c r="F132" s="23">
        <f>F118</f>
        <v>89093.42</v>
      </c>
      <c r="G132" s="23">
        <f>G118</f>
        <v>95894.09</v>
      </c>
      <c r="H132" s="23">
        <f>H118</f>
        <v>180584.66999999998</v>
      </c>
      <c r="I132" s="109">
        <f>SUM(D132:H132)</f>
        <v>599926.87999999989</v>
      </c>
      <c r="J132" s="62"/>
      <c r="K132" s="159"/>
      <c r="L132" s="157"/>
      <c r="M132" s="157"/>
      <c r="N132" s="126"/>
    </row>
    <row r="133" spans="2:14" x14ac:dyDescent="0.3">
      <c r="B133" s="172" t="s">
        <v>22</v>
      </c>
      <c r="C133" s="22" t="s">
        <v>19</v>
      </c>
      <c r="D133" s="23">
        <f>IFERROR(D132/D130,"")</f>
        <v>75.092943963939675</v>
      </c>
      <c r="E133" s="23">
        <f>IFERROR(E132/E130,"")</f>
        <v>83.805101548684434</v>
      </c>
      <c r="F133" s="23">
        <f>IFERROR(F132/F130,"")</f>
        <v>98.375111798156027</v>
      </c>
      <c r="G133" s="23">
        <f>IFERROR(G132/G130,"")</f>
        <v>126.54441204027501</v>
      </c>
      <c r="H133" s="23">
        <f>IFERROR(H132/H130,"")</f>
        <v>127.07654795330279</v>
      </c>
      <c r="I133" s="110">
        <f>I132/I130</f>
        <v>100.17363542705051</v>
      </c>
      <c r="J133" s="63"/>
      <c r="L133" s="157"/>
      <c r="M133" s="157"/>
      <c r="N133" s="126"/>
    </row>
    <row r="134" spans="2:14" x14ac:dyDescent="0.3">
      <c r="B134" s="172" t="s">
        <v>23</v>
      </c>
      <c r="C134" s="22" t="s">
        <v>19</v>
      </c>
      <c r="D134" s="23">
        <v>101</v>
      </c>
      <c r="E134" s="23">
        <v>101</v>
      </c>
      <c r="F134" s="23">
        <v>101</v>
      </c>
      <c r="G134" s="23">
        <v>101</v>
      </c>
      <c r="H134" s="23">
        <v>102</v>
      </c>
      <c r="I134" s="116">
        <v>101</v>
      </c>
      <c r="J134" s="78"/>
      <c r="K134" s="162"/>
      <c r="L134" s="157"/>
      <c r="M134" s="157"/>
      <c r="N134" s="126"/>
    </row>
    <row r="135" spans="2:14" x14ac:dyDescent="0.3">
      <c r="B135" s="21"/>
      <c r="C135" s="22"/>
      <c r="D135" s="23"/>
      <c r="E135" s="23"/>
      <c r="F135" s="23"/>
      <c r="G135" s="23"/>
    </row>
    <row r="136" spans="2:14" x14ac:dyDescent="0.3">
      <c r="B136" s="21"/>
      <c r="C136" s="22"/>
      <c r="D136" s="23"/>
      <c r="E136" s="23"/>
      <c r="F136" s="23"/>
      <c r="G136" s="23"/>
    </row>
    <row r="137" spans="2:14" x14ac:dyDescent="0.3">
      <c r="B137" s="21"/>
      <c r="C137" s="22"/>
      <c r="D137" s="23"/>
      <c r="E137" s="23"/>
      <c r="F137" s="23"/>
      <c r="G137" s="23"/>
    </row>
    <row r="138" spans="2:14" x14ac:dyDescent="0.3">
      <c r="B138" s="21"/>
      <c r="C138" s="22"/>
      <c r="D138" s="23"/>
      <c r="E138" s="23"/>
      <c r="F138" s="23"/>
      <c r="G138" s="23"/>
    </row>
    <row r="139" spans="2:14" x14ac:dyDescent="0.3">
      <c r="B139" s="21"/>
      <c r="C139" s="22"/>
      <c r="D139" s="23"/>
      <c r="E139" s="23"/>
      <c r="F139" s="23"/>
      <c r="G139" s="23"/>
    </row>
    <row r="140" spans="2:14" x14ac:dyDescent="0.3">
      <c r="B140" s="21"/>
      <c r="C140" s="22"/>
      <c r="D140" s="23"/>
      <c r="E140" s="23"/>
      <c r="F140" s="23"/>
      <c r="G140" s="23"/>
    </row>
    <row r="141" spans="2:14" x14ac:dyDescent="0.3">
      <c r="B141" s="21"/>
      <c r="C141" s="22"/>
      <c r="D141" s="23"/>
      <c r="E141" s="23"/>
      <c r="F141" s="23"/>
      <c r="G141" s="23"/>
    </row>
    <row r="142" spans="2:14" x14ac:dyDescent="0.3">
      <c r="B142" s="21"/>
      <c r="C142" s="22"/>
      <c r="D142" s="23"/>
      <c r="E142" s="23"/>
      <c r="F142" s="23"/>
      <c r="G142" s="23"/>
    </row>
    <row r="143" spans="2:14" x14ac:dyDescent="0.3">
      <c r="B143" s="21"/>
      <c r="C143" s="22"/>
      <c r="D143" s="23"/>
      <c r="E143" s="23"/>
      <c r="F143" s="23"/>
      <c r="G143" s="23"/>
    </row>
    <row r="144" spans="2:14" x14ac:dyDescent="0.3">
      <c r="B144" s="21"/>
      <c r="C144" s="22"/>
      <c r="D144" s="23"/>
      <c r="E144" s="23"/>
      <c r="F144" s="23"/>
      <c r="G144" s="23"/>
      <c r="I144" s="183"/>
    </row>
    <row r="145" spans="2:13" x14ac:dyDescent="0.3">
      <c r="B145" s="21"/>
      <c r="C145" s="22"/>
      <c r="D145" s="23"/>
      <c r="E145" s="23"/>
      <c r="F145" s="23"/>
      <c r="G145" s="23"/>
    </row>
    <row r="146" spans="2:13" s="101" customFormat="1" x14ac:dyDescent="0.3">
      <c r="B146" s="21"/>
      <c r="C146" s="22"/>
      <c r="D146" s="23"/>
      <c r="E146" s="23"/>
      <c r="F146" s="23"/>
      <c r="G146" s="23"/>
      <c r="H146"/>
      <c r="I146" s="157"/>
      <c r="J146" s="157"/>
      <c r="K146" s="157"/>
      <c r="L146" s="126"/>
      <c r="M146"/>
    </row>
    <row r="147" spans="2:13" s="101" customFormat="1" x14ac:dyDescent="0.3">
      <c r="B147" s="21"/>
      <c r="C147" s="22"/>
      <c r="D147" s="23"/>
      <c r="E147" s="23"/>
      <c r="F147" s="23"/>
      <c r="G147" s="23"/>
      <c r="H147"/>
      <c r="I147" s="157"/>
      <c r="J147" s="157"/>
      <c r="K147" s="157"/>
      <c r="L147" s="126"/>
      <c r="M147"/>
    </row>
    <row r="148" spans="2:13" s="101" customFormat="1" x14ac:dyDescent="0.3">
      <c r="B148" s="21"/>
      <c r="C148" s="22"/>
      <c r="D148" s="23"/>
      <c r="E148" s="23"/>
      <c r="F148" s="23"/>
      <c r="G148" s="23"/>
      <c r="H148"/>
      <c r="I148" s="157"/>
      <c r="J148" s="157"/>
      <c r="K148" s="157"/>
      <c r="L148" s="126"/>
      <c r="M148"/>
    </row>
    <row r="149" spans="2:13" s="101" customFormat="1" x14ac:dyDescent="0.3">
      <c r="B149" s="21"/>
      <c r="C149" s="22"/>
      <c r="D149" s="23"/>
      <c r="E149" s="23"/>
      <c r="F149" s="23"/>
      <c r="G149" s="23"/>
      <c r="H149"/>
      <c r="I149" s="157"/>
      <c r="J149" s="157"/>
      <c r="K149" s="157"/>
      <c r="L149" s="126"/>
      <c r="M149"/>
    </row>
    <row r="150" spans="2:13" s="101" customFormat="1" x14ac:dyDescent="0.3">
      <c r="B150" s="21"/>
      <c r="C150" s="22"/>
      <c r="D150" s="23"/>
      <c r="E150" s="23"/>
      <c r="F150" s="23"/>
      <c r="G150" s="23"/>
      <c r="H150"/>
      <c r="I150" s="157"/>
      <c r="J150" s="157"/>
      <c r="K150" s="157"/>
      <c r="L150" s="126"/>
      <c r="M150"/>
    </row>
    <row r="151" spans="2:13" s="101" customFormat="1" x14ac:dyDescent="0.3">
      <c r="B151" s="21"/>
      <c r="C151" s="22"/>
      <c r="D151" s="23"/>
      <c r="E151" s="23"/>
      <c r="F151" s="23"/>
      <c r="G151" s="23"/>
      <c r="H151"/>
      <c r="I151" s="157"/>
      <c r="J151" s="157"/>
      <c r="K151" s="157"/>
      <c r="L151" s="126"/>
      <c r="M151"/>
    </row>
    <row r="152" spans="2:13" s="101" customFormat="1" x14ac:dyDescent="0.3">
      <c r="B152" s="21"/>
      <c r="C152" s="22"/>
      <c r="D152" s="23"/>
      <c r="E152" s="23"/>
      <c r="F152" s="23"/>
      <c r="G152" s="23"/>
      <c r="H152"/>
      <c r="I152" s="157"/>
      <c r="J152" s="157"/>
      <c r="K152" s="157"/>
      <c r="L152" s="126"/>
      <c r="M152"/>
    </row>
    <row r="153" spans="2:13" s="101" customFormat="1" x14ac:dyDescent="0.3">
      <c r="B153" s="21"/>
      <c r="C153" s="22"/>
      <c r="D153" s="23"/>
      <c r="E153" s="23"/>
      <c r="F153" s="23"/>
      <c r="G153" s="23"/>
      <c r="H153"/>
      <c r="I153" s="157"/>
      <c r="J153" s="157"/>
      <c r="K153" s="157"/>
      <c r="L153" s="126"/>
      <c r="M153"/>
    </row>
    <row r="154" spans="2:13" s="101" customFormat="1" x14ac:dyDescent="0.3">
      <c r="B154" s="21"/>
      <c r="C154" s="22"/>
      <c r="D154" s="23"/>
      <c r="E154" s="23"/>
      <c r="F154" s="23"/>
      <c r="G154" s="23"/>
      <c r="H154"/>
      <c r="I154" s="157"/>
      <c r="J154" s="157"/>
      <c r="K154" s="157"/>
      <c r="L154" s="126"/>
      <c r="M154"/>
    </row>
    <row r="155" spans="2:13" s="101" customFormat="1" x14ac:dyDescent="0.3">
      <c r="B155" s="21"/>
      <c r="C155" s="22"/>
      <c r="D155" s="23"/>
      <c r="E155" s="23"/>
      <c r="F155" s="23"/>
      <c r="G155" s="23"/>
      <c r="H155"/>
      <c r="I155" s="157"/>
      <c r="J155" s="157"/>
      <c r="K155" s="157"/>
      <c r="L155" s="126"/>
      <c r="M155"/>
    </row>
    <row r="156" spans="2:13" s="101" customFormat="1" x14ac:dyDescent="0.3">
      <c r="B156" s="21"/>
      <c r="C156" s="22"/>
      <c r="D156" s="23"/>
      <c r="E156" s="23"/>
      <c r="F156" s="23"/>
      <c r="G156" s="23"/>
      <c r="H156"/>
      <c r="I156" s="157"/>
      <c r="J156" s="157"/>
      <c r="K156" s="157"/>
      <c r="L156" s="126"/>
      <c r="M156"/>
    </row>
    <row r="157" spans="2:13" s="101" customFormat="1" x14ac:dyDescent="0.3">
      <c r="B157" s="21"/>
      <c r="C157" s="22"/>
      <c r="D157" s="23"/>
      <c r="E157" s="23"/>
      <c r="F157" s="23"/>
      <c r="G157" s="23"/>
      <c r="H157"/>
      <c r="I157" s="157"/>
      <c r="J157" s="157"/>
      <c r="K157" s="157"/>
      <c r="L157" s="126"/>
      <c r="M157"/>
    </row>
    <row r="158" spans="2:13" s="101" customFormat="1" x14ac:dyDescent="0.3">
      <c r="B158" s="21"/>
      <c r="C158" s="22"/>
      <c r="D158" s="23"/>
      <c r="E158" s="23"/>
      <c r="F158" s="23"/>
      <c r="G158" s="23"/>
      <c r="H158"/>
      <c r="I158" s="157"/>
      <c r="J158" s="157"/>
      <c r="K158" s="157"/>
      <c r="L158" s="126"/>
      <c r="M158"/>
    </row>
    <row r="159" spans="2:13" s="101" customFormat="1" x14ac:dyDescent="0.3">
      <c r="B159" s="21"/>
      <c r="C159" s="22"/>
      <c r="D159" s="23"/>
      <c r="E159" s="23"/>
      <c r="F159" s="23"/>
      <c r="G159" s="23"/>
      <c r="H159"/>
      <c r="I159" s="157"/>
      <c r="J159" s="157"/>
      <c r="K159" s="157"/>
      <c r="L159" s="126"/>
      <c r="M159"/>
    </row>
    <row r="160" spans="2:13" s="101" customFormat="1" x14ac:dyDescent="0.3">
      <c r="B160" s="21"/>
      <c r="C160" s="22"/>
      <c r="D160" s="23"/>
      <c r="E160" s="23"/>
      <c r="F160" s="23"/>
      <c r="G160" s="23"/>
      <c r="H160"/>
      <c r="I160" s="157"/>
      <c r="J160" s="157"/>
      <c r="K160" s="157"/>
      <c r="L160" s="126"/>
      <c r="M160"/>
    </row>
    <row r="161" spans="2:14" s="101" customFormat="1" x14ac:dyDescent="0.3">
      <c r="B161" s="21"/>
      <c r="C161" s="22"/>
      <c r="D161" s="23"/>
      <c r="E161" s="23"/>
      <c r="F161" s="23"/>
      <c r="G161" s="23"/>
      <c r="H161"/>
      <c r="I161" s="157"/>
      <c r="J161" s="157"/>
      <c r="K161" s="157"/>
      <c r="L161" s="126"/>
      <c r="M161"/>
    </row>
    <row r="162" spans="2:14" x14ac:dyDescent="0.3">
      <c r="B162" s="21"/>
      <c r="C162" s="22"/>
      <c r="D162" s="23"/>
      <c r="E162" s="23"/>
      <c r="F162" s="23"/>
      <c r="G162" s="23"/>
    </row>
    <row r="163" spans="2:14" x14ac:dyDescent="0.3">
      <c r="B163" s="21"/>
      <c r="C163" s="22"/>
      <c r="D163" s="23"/>
      <c r="E163" s="23"/>
      <c r="F163" s="23"/>
      <c r="G163" s="23"/>
    </row>
    <row r="164" spans="2:14" x14ac:dyDescent="0.3">
      <c r="B164" s="21"/>
      <c r="C164" s="22"/>
      <c r="D164" s="23"/>
      <c r="E164" s="23"/>
      <c r="F164" s="23"/>
      <c r="G164" s="23"/>
    </row>
    <row r="165" spans="2:14" x14ac:dyDescent="0.3">
      <c r="H165" s="57"/>
    </row>
    <row r="170" spans="2:14" ht="15.6" x14ac:dyDescent="0.3">
      <c r="B170" s="245" t="s">
        <v>21</v>
      </c>
      <c r="C170" s="245"/>
      <c r="D170" s="245"/>
      <c r="E170" s="245"/>
      <c r="F170" s="245"/>
      <c r="G170" s="245"/>
    </row>
    <row r="171" spans="2:14" x14ac:dyDescent="0.3">
      <c r="D171" s="176" t="str">
        <f>D128</f>
        <v>WEEK 1
(Oct1-4)</v>
      </c>
      <c r="E171" s="176" t="str">
        <f>E128</f>
        <v>WEEK 2
(Oct5-11)</v>
      </c>
      <c r="F171" s="176" t="str">
        <f>F128</f>
        <v>WEEK 3
(Oct12-18)</v>
      </c>
      <c r="G171" s="176" t="str">
        <f>G128</f>
        <v>WEEK 4
(Oct19-25)</v>
      </c>
      <c r="H171" s="176" t="str">
        <f>H128</f>
        <v>WEEK 5
(Oct26-31)</v>
      </c>
      <c r="I171" s="111" t="s">
        <v>37</v>
      </c>
      <c r="J171" s="64"/>
      <c r="L171" s="157"/>
      <c r="M171" s="157"/>
      <c r="N171" s="126"/>
    </row>
    <row r="172" spans="2:14" x14ac:dyDescent="0.3">
      <c r="B172" s="64" t="s">
        <v>15</v>
      </c>
      <c r="C172" s="22" t="s">
        <v>10</v>
      </c>
      <c r="D172" s="23">
        <f>D130*(D175/14)</f>
        <v>1036.8509328571429</v>
      </c>
      <c r="E172" s="23">
        <f>E130*(E175/14)</f>
        <v>1852.7707142857143</v>
      </c>
      <c r="F172" s="23">
        <f>F130*(F175/14)</f>
        <v>905.65</v>
      </c>
      <c r="G172" s="23">
        <f>G130*(G175/14)</f>
        <v>757.19459357142853</v>
      </c>
      <c r="H172" s="23">
        <f>H130*(H175/14)</f>
        <v>1416.6037799999999</v>
      </c>
      <c r="I172" s="108">
        <f>SUM(D172:H172)</f>
        <v>5969.0700207142854</v>
      </c>
      <c r="J172" s="61"/>
      <c r="K172" s="165"/>
      <c r="L172" s="157"/>
      <c r="M172" s="157"/>
      <c r="N172" s="126"/>
    </row>
    <row r="173" spans="2:14" x14ac:dyDescent="0.3">
      <c r="B173" s="64" t="s">
        <v>17</v>
      </c>
      <c r="C173" s="22" t="s">
        <v>10</v>
      </c>
      <c r="D173" s="23">
        <f>D172*$D$127</f>
        <v>104721.94421857143</v>
      </c>
      <c r="E173" s="23">
        <f>E172*$D$127</f>
        <v>187129.84214285715</v>
      </c>
      <c r="F173" s="23">
        <f>F172*$D$127</f>
        <v>91470.65</v>
      </c>
      <c r="G173" s="23">
        <f>G172*$D$127</f>
        <v>76476.653950714288</v>
      </c>
      <c r="H173" s="23">
        <f>H172*$D$127</f>
        <v>143076.98178</v>
      </c>
      <c r="I173" s="110">
        <f>I172*101</f>
        <v>602876.07209214277</v>
      </c>
      <c r="J173" s="63"/>
      <c r="L173" s="157"/>
      <c r="M173" s="157"/>
      <c r="N173" s="126"/>
    </row>
    <row r="174" spans="2:14" x14ac:dyDescent="0.3">
      <c r="B174" s="64" t="s">
        <v>16</v>
      </c>
      <c r="C174" s="22" t="s">
        <v>10</v>
      </c>
      <c r="D174" s="23">
        <f>D132</f>
        <v>77966</v>
      </c>
      <c r="E174" s="23">
        <f>E132</f>
        <v>156388.70000000001</v>
      </c>
      <c r="F174" s="23">
        <f>F132</f>
        <v>89093.42</v>
      </c>
      <c r="G174" s="23">
        <f>G132</f>
        <v>95894.09</v>
      </c>
      <c r="H174" s="23">
        <f>H132</f>
        <v>180584.66999999998</v>
      </c>
      <c r="I174" s="112">
        <f>SUM(D174:H174)</f>
        <v>599926.87999999989</v>
      </c>
      <c r="J174" s="63"/>
      <c r="K174" s="159"/>
      <c r="L174" s="157"/>
      <c r="M174" s="157"/>
      <c r="N174" s="126"/>
    </row>
    <row r="175" spans="2:14" x14ac:dyDescent="0.3">
      <c r="B175" s="64" t="s">
        <v>39</v>
      </c>
      <c r="C175" s="22"/>
      <c r="D175" s="186">
        <v>13.981</v>
      </c>
      <c r="E175" s="186">
        <v>13.9</v>
      </c>
      <c r="F175" s="186">
        <v>14</v>
      </c>
      <c r="G175" s="186">
        <v>13.989000000000001</v>
      </c>
      <c r="H175" s="186">
        <v>13.956</v>
      </c>
      <c r="I175" s="113">
        <f>AVERAGE(D175:H175)</f>
        <v>13.965200000000001</v>
      </c>
      <c r="J175" s="87"/>
      <c r="L175" s="157"/>
      <c r="M175" s="157"/>
      <c r="N175" s="126"/>
    </row>
    <row r="176" spans="2:14" x14ac:dyDescent="0.3">
      <c r="B176" s="21" t="s">
        <v>22</v>
      </c>
      <c r="C176" s="22" t="s">
        <v>19</v>
      </c>
      <c r="D176" s="23">
        <f t="shared" ref="D176:H176" si="2">IFERROR(D174/D172,"")</f>
        <v>75.194994313364944</v>
      </c>
      <c r="E176" s="23">
        <f t="shared" si="2"/>
        <v>84.408015948315253</v>
      </c>
      <c r="F176" s="23">
        <f t="shared" si="2"/>
        <v>98.375111798156027</v>
      </c>
      <c r="G176" s="23">
        <f t="shared" si="2"/>
        <v>126.64391797582745</v>
      </c>
      <c r="H176" s="23">
        <f t="shared" si="2"/>
        <v>127.47719055218107</v>
      </c>
      <c r="I176" s="112">
        <f>I174/I172</f>
        <v>100.50592100915077</v>
      </c>
      <c r="J176" s="65"/>
      <c r="L176" s="157"/>
      <c r="M176" s="157"/>
      <c r="N176" s="126"/>
    </row>
    <row r="177" spans="2:14" x14ac:dyDescent="0.3">
      <c r="B177" s="21" t="s">
        <v>23</v>
      </c>
      <c r="C177" s="22" t="s">
        <v>19</v>
      </c>
      <c r="D177" s="23">
        <v>101</v>
      </c>
      <c r="E177" s="23">
        <v>101</v>
      </c>
      <c r="F177" s="23">
        <v>101</v>
      </c>
      <c r="G177" s="23">
        <v>101</v>
      </c>
      <c r="H177" s="23">
        <v>101</v>
      </c>
      <c r="I177" s="114">
        <v>101</v>
      </c>
      <c r="J177" s="65"/>
      <c r="L177" s="157"/>
      <c r="M177" s="157"/>
      <c r="N177" s="126"/>
    </row>
    <row r="178" spans="2:14" x14ac:dyDescent="0.3">
      <c r="D178" s="24" t="s">
        <v>40</v>
      </c>
    </row>
    <row r="215" spans="2:12" s="4" customFormat="1" ht="15" thickBot="1" x14ac:dyDescent="0.35">
      <c r="I215" s="163"/>
      <c r="J215" s="163"/>
      <c r="K215" s="163"/>
      <c r="L215" s="151"/>
    </row>
    <row r="216" spans="2:12" ht="15" thickTop="1" x14ac:dyDescent="0.3"/>
    <row r="221" spans="2:12" ht="25.8" hidden="1" x14ac:dyDescent="0.5">
      <c r="B221" s="246" t="s">
        <v>24</v>
      </c>
      <c r="C221" s="246"/>
      <c r="D221" s="246"/>
      <c r="E221" s="246"/>
      <c r="F221" s="246"/>
      <c r="G221" s="246"/>
    </row>
    <row r="222" spans="2:12" hidden="1" x14ac:dyDescent="0.3"/>
    <row r="223" spans="2:12" ht="22.8" hidden="1" thickBot="1" x14ac:dyDescent="0.5">
      <c r="B223" s="28" t="s">
        <v>25</v>
      </c>
      <c r="C223" s="29" t="s">
        <v>26</v>
      </c>
      <c r="D223" s="29" t="s">
        <v>27</v>
      </c>
      <c r="E223" s="180" t="s">
        <v>28</v>
      </c>
    </row>
    <row r="224" spans="2:12" ht="23.4" hidden="1" x14ac:dyDescent="0.45">
      <c r="B224" s="31"/>
      <c r="C224" s="26"/>
      <c r="D224" s="26"/>
      <c r="E224" s="32"/>
    </row>
    <row r="225" spans="2:5" ht="22.2" hidden="1" x14ac:dyDescent="0.45">
      <c r="B225" s="33">
        <v>44743</v>
      </c>
      <c r="C225" s="89">
        <v>1056523.5</v>
      </c>
      <c r="D225" s="90">
        <v>1501785</v>
      </c>
      <c r="E225" s="181">
        <f>C225+D225</f>
        <v>2558308.5</v>
      </c>
    </row>
    <row r="226" spans="2:5" ht="22.2" hidden="1" x14ac:dyDescent="0.45">
      <c r="B226" s="33">
        <v>44774</v>
      </c>
      <c r="C226" s="92">
        <v>1649443.5</v>
      </c>
      <c r="D226" s="92">
        <v>863715</v>
      </c>
      <c r="E226" s="181">
        <f t="shared" ref="E226:E236" si="3">C226+D226</f>
        <v>2513158.5</v>
      </c>
    </row>
    <row r="227" spans="2:5" ht="22.2" hidden="1" x14ac:dyDescent="0.45">
      <c r="B227" s="33">
        <v>44805</v>
      </c>
      <c r="C227" s="92">
        <v>1346098.5</v>
      </c>
      <c r="D227" s="92">
        <v>1119105</v>
      </c>
      <c r="E227" s="181">
        <f t="shared" si="3"/>
        <v>2465203.5</v>
      </c>
    </row>
    <row r="228" spans="2:5" ht="22.2" hidden="1" x14ac:dyDescent="0.45">
      <c r="B228" s="33">
        <v>44835</v>
      </c>
      <c r="C228" s="92">
        <v>2573653.5</v>
      </c>
      <c r="D228" s="92">
        <v>0</v>
      </c>
      <c r="E228" s="181">
        <f t="shared" si="3"/>
        <v>2573653.5</v>
      </c>
    </row>
    <row r="229" spans="2:5" ht="22.2" hidden="1" x14ac:dyDescent="0.45">
      <c r="B229" s="33">
        <v>44866</v>
      </c>
      <c r="C229" s="92">
        <v>2239123.5</v>
      </c>
      <c r="D229" s="92">
        <v>0</v>
      </c>
      <c r="E229" s="181">
        <f t="shared" si="3"/>
        <v>2239123.5</v>
      </c>
    </row>
    <row r="230" spans="2:5" ht="22.2" hidden="1" x14ac:dyDescent="0.45">
      <c r="B230" s="33">
        <v>44896</v>
      </c>
      <c r="C230" s="92">
        <v>3815869.5</v>
      </c>
      <c r="D230" s="92">
        <v>0</v>
      </c>
      <c r="E230" s="181">
        <f t="shared" si="3"/>
        <v>3815869.5</v>
      </c>
    </row>
    <row r="231" spans="2:5" ht="22.2" hidden="1" x14ac:dyDescent="0.45">
      <c r="B231" s="33">
        <v>44927</v>
      </c>
      <c r="C231" s="92">
        <v>3876876</v>
      </c>
      <c r="D231" s="92">
        <v>0</v>
      </c>
      <c r="E231" s="181">
        <f t="shared" si="3"/>
        <v>3876876</v>
      </c>
    </row>
    <row r="232" spans="2:5" ht="22.2" hidden="1" x14ac:dyDescent="0.45">
      <c r="B232" s="33">
        <v>44958</v>
      </c>
      <c r="C232" s="92">
        <v>2565432</v>
      </c>
      <c r="D232" s="92">
        <v>427935</v>
      </c>
      <c r="E232" s="181">
        <f t="shared" si="3"/>
        <v>2993367</v>
      </c>
    </row>
    <row r="233" spans="2:5" ht="22.2" hidden="1" x14ac:dyDescent="0.45">
      <c r="B233" s="33">
        <v>44986</v>
      </c>
      <c r="C233" s="92">
        <v>2163847.5</v>
      </c>
      <c r="D233" s="92">
        <v>0</v>
      </c>
      <c r="E233" s="181">
        <f t="shared" si="3"/>
        <v>2163847.5</v>
      </c>
    </row>
    <row r="234" spans="2:5" ht="22.2" hidden="1" x14ac:dyDescent="0.45">
      <c r="B234" s="33">
        <v>45017</v>
      </c>
      <c r="C234" s="92">
        <v>1103476.5</v>
      </c>
      <c r="D234" s="92">
        <v>0</v>
      </c>
      <c r="E234" s="181">
        <f t="shared" si="3"/>
        <v>1103476.5</v>
      </c>
    </row>
    <row r="235" spans="2:5" ht="22.2" hidden="1" x14ac:dyDescent="0.45">
      <c r="B235" s="33">
        <v>45047</v>
      </c>
      <c r="C235" s="92">
        <v>1210167</v>
      </c>
      <c r="D235" s="92">
        <v>0</v>
      </c>
      <c r="E235" s="181">
        <f t="shared" si="3"/>
        <v>1210167</v>
      </c>
    </row>
    <row r="236" spans="2:5" ht="22.2" hidden="1" x14ac:dyDescent="0.45">
      <c r="B236" s="33">
        <v>45078</v>
      </c>
      <c r="C236" s="92">
        <v>2359260</v>
      </c>
      <c r="D236" s="92">
        <v>0</v>
      </c>
      <c r="E236" s="181">
        <f t="shared" si="3"/>
        <v>2359260</v>
      </c>
    </row>
    <row r="237" spans="2:5" ht="22.8" hidden="1" thickBot="1" x14ac:dyDescent="0.5">
      <c r="B237" s="34"/>
      <c r="C237" s="27"/>
      <c r="D237" s="27"/>
      <c r="E237" s="35"/>
    </row>
    <row r="238" spans="2:5" ht="23.4" hidden="1" thickTop="1" thickBot="1" x14ac:dyDescent="0.5">
      <c r="B238" s="36"/>
      <c r="C238" s="37">
        <f>SUM(C225:C236)</f>
        <v>25959771</v>
      </c>
      <c r="D238" s="37">
        <f>SUM(D225:D236)</f>
        <v>3912540</v>
      </c>
      <c r="E238" s="38">
        <f>SUM(E225:E236)</f>
        <v>29872311</v>
      </c>
    </row>
    <row r="239" spans="2:5" hidden="1" x14ac:dyDescent="0.3"/>
    <row r="240" spans="2:5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</sheetData>
  <dataConsolidate/>
  <mergeCells count="24">
    <mergeCell ref="B221:G221"/>
    <mergeCell ref="B2:G2"/>
    <mergeCell ref="B47:G47"/>
    <mergeCell ref="B83:G83"/>
    <mergeCell ref="B124:G124"/>
    <mergeCell ref="B126:G126"/>
    <mergeCell ref="B170:G170"/>
    <mergeCell ref="D112:H112"/>
    <mergeCell ref="E4:H4"/>
    <mergeCell ref="E5:H5"/>
    <mergeCell ref="E6:H6"/>
    <mergeCell ref="E7:H7"/>
    <mergeCell ref="E8:H8"/>
    <mergeCell ref="E89:G89"/>
    <mergeCell ref="E87:H87"/>
    <mergeCell ref="E88:H88"/>
    <mergeCell ref="D33:H33"/>
    <mergeCell ref="D76:H76"/>
    <mergeCell ref="E85:G85"/>
    <mergeCell ref="E49:G49"/>
    <mergeCell ref="E50:H50"/>
    <mergeCell ref="E51:H51"/>
    <mergeCell ref="E52:H52"/>
    <mergeCell ref="E53:H53"/>
  </mergeCells>
  <conditionalFormatting sqref="C4:D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{75537E2E-24F3-4E66-A042-7DF430D0CDE8}</x14:id>
        </ext>
      </extLst>
    </cfRule>
  </conditionalFormatting>
  <conditionalFormatting sqref="C49:D53 E6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{0CFDCD00-316A-416B-BE01-8D30238F566C}</x14:id>
        </ext>
      </extLst>
    </cfRule>
  </conditionalFormatting>
  <conditionalFormatting sqref="C85:D9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{8C623F19-CF13-4328-A1A6-95F772DFFF15}</x14:id>
        </ext>
      </extLst>
    </cfRule>
  </conditionalFormatting>
  <conditionalFormatting sqref="C129:I12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{68CCF279-D7ED-4878-A1BE-A970AEC764F3}</x14:id>
        </ext>
      </extLst>
    </cfRule>
  </conditionalFormatting>
  <pageMargins left="0.7" right="0.7" top="0.75" bottom="0.75" header="0.3" footer="0.3"/>
  <pageSetup paperSize="9" orientation="portrait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537E2E-24F3-4E66-A042-7DF430D0CD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C4:D8</xm:sqref>
        </x14:conditionalFormatting>
        <x14:conditionalFormatting xmlns:xm="http://schemas.microsoft.com/office/excel/2006/main">
          <x14:cfRule type="dataBar" id="{0CFDCD00-316A-416B-BE01-8D30238F56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C49:D53 E60</xm:sqref>
        </x14:conditionalFormatting>
        <x14:conditionalFormatting xmlns:xm="http://schemas.microsoft.com/office/excel/2006/main">
          <x14:cfRule type="dataBar" id="{8C623F19-CF13-4328-A1A6-95F772DFFF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C85:D90</xm:sqref>
        </x14:conditionalFormatting>
        <x14:conditionalFormatting xmlns:xm="http://schemas.microsoft.com/office/excel/2006/main">
          <x14:cfRule type="dataBar" id="{68CCF279-D7ED-4878-A1BE-A970AEC764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C129:I129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2F96-25EC-487D-861B-070D16E29367}">
  <dimension ref="A3:J18"/>
  <sheetViews>
    <sheetView showGridLines="0" workbookViewId="0">
      <selection activeCell="H23" sqref="H23"/>
    </sheetView>
  </sheetViews>
  <sheetFormatPr defaultRowHeight="14.4" customHeight="1" x14ac:dyDescent="0.3"/>
  <cols>
    <col min="2" max="6" width="15.77734375" customWidth="1"/>
    <col min="7" max="7" width="11" customWidth="1"/>
    <col min="8" max="8" width="9.5546875" bestFit="1" customWidth="1"/>
    <col min="9" max="9" width="9.5546875" customWidth="1"/>
    <col min="10" max="10" width="10.5546875" bestFit="1" customWidth="1"/>
  </cols>
  <sheetData>
    <row r="3" spans="1:10" ht="14.4" customHeight="1" x14ac:dyDescent="0.3">
      <c r="A3" s="230" t="s">
        <v>141</v>
      </c>
      <c r="B3" s="230" t="s">
        <v>136</v>
      </c>
      <c r="C3" s="230" t="s">
        <v>137</v>
      </c>
      <c r="D3" s="230" t="s">
        <v>138</v>
      </c>
      <c r="E3" s="231" t="s">
        <v>139</v>
      </c>
      <c r="F3" s="231" t="s">
        <v>140</v>
      </c>
      <c r="G3" s="231" t="s">
        <v>189</v>
      </c>
      <c r="H3" s="236" t="s">
        <v>187</v>
      </c>
      <c r="I3" s="236" t="s">
        <v>188</v>
      </c>
      <c r="J3" s="231" t="s">
        <v>23</v>
      </c>
    </row>
    <row r="4" spans="1:10" ht="14.4" customHeight="1" x14ac:dyDescent="0.3">
      <c r="A4" s="232">
        <v>45658</v>
      </c>
      <c r="B4" s="229">
        <v>9576.07</v>
      </c>
      <c r="C4" s="229">
        <v>776566</v>
      </c>
      <c r="D4" s="233">
        <v>571505</v>
      </c>
      <c r="E4" s="165">
        <f>B4*101</f>
        <v>967183.07</v>
      </c>
      <c r="F4" s="165">
        <f>C4+D4*0.476</f>
        <v>1048602.3799999999</v>
      </c>
      <c r="G4" s="234">
        <f>F4/B4</f>
        <v>109.50237205868378</v>
      </c>
      <c r="H4" s="234">
        <f>F4/B4</f>
        <v>109.50237205868378</v>
      </c>
      <c r="I4" s="234"/>
      <c r="J4">
        <v>101</v>
      </c>
    </row>
    <row r="5" spans="1:10" ht="14.4" customHeight="1" x14ac:dyDescent="0.3">
      <c r="A5" s="232">
        <v>45689</v>
      </c>
      <c r="B5" s="229">
        <v>6871.5090000000009</v>
      </c>
      <c r="C5" s="229">
        <v>539519</v>
      </c>
      <c r="D5" s="235">
        <v>562283</v>
      </c>
      <c r="E5" s="165">
        <f t="shared" ref="E5:E13" si="0">B5*101</f>
        <v>694022.4090000001</v>
      </c>
      <c r="F5" s="165">
        <f t="shared" ref="F5:F13" si="1">C5+D5*0.476</f>
        <v>807165.70799999998</v>
      </c>
      <c r="G5" s="234">
        <f t="shared" ref="G5:G13" si="2">F5/B5</f>
        <v>117.46556804335115</v>
      </c>
      <c r="H5" s="234">
        <f>SUM(F4:F5)/SUM(B4:B5)</f>
        <v>112.82925517488013</v>
      </c>
      <c r="I5" s="234"/>
      <c r="J5">
        <v>101</v>
      </c>
    </row>
    <row r="6" spans="1:10" ht="14.4" customHeight="1" x14ac:dyDescent="0.3">
      <c r="A6" s="232">
        <v>45717</v>
      </c>
      <c r="B6" s="229">
        <v>6299.7600000000011</v>
      </c>
      <c r="C6" s="233">
        <v>437511</v>
      </c>
      <c r="D6" s="229">
        <v>558481</v>
      </c>
      <c r="E6" s="165">
        <f t="shared" si="0"/>
        <v>636275.76000000013</v>
      </c>
      <c r="F6" s="165">
        <f t="shared" si="1"/>
        <v>703347.95600000001</v>
      </c>
      <c r="G6" s="234">
        <f t="shared" si="2"/>
        <v>111.64678590930447</v>
      </c>
      <c r="H6" s="234">
        <f>SUM(F4:F6)/SUM(B4:B6)</f>
        <v>112.50177631766068</v>
      </c>
      <c r="I6" s="234"/>
      <c r="J6">
        <v>101</v>
      </c>
    </row>
    <row r="7" spans="1:10" ht="14.4" customHeight="1" x14ac:dyDescent="0.3">
      <c r="A7" s="232">
        <v>45748</v>
      </c>
      <c r="B7" s="229">
        <v>6310.9019999999991</v>
      </c>
      <c r="C7" s="233">
        <v>307449</v>
      </c>
      <c r="D7" s="233">
        <v>532132</v>
      </c>
      <c r="E7" s="165">
        <f t="shared" si="0"/>
        <v>637401.10199999996</v>
      </c>
      <c r="F7" s="165">
        <f t="shared" si="1"/>
        <v>560743.83199999994</v>
      </c>
      <c r="G7" s="234">
        <f t="shared" si="2"/>
        <v>88.853199114801654</v>
      </c>
      <c r="H7" s="234">
        <f>SUM(F4:F7)/SUM(B4:B7)</f>
        <v>107.36575128549589</v>
      </c>
      <c r="I7" s="234">
        <f>F7/B7</f>
        <v>88.853199114801654</v>
      </c>
      <c r="J7">
        <v>101</v>
      </c>
    </row>
    <row r="8" spans="1:10" ht="14.4" customHeight="1" x14ac:dyDescent="0.3">
      <c r="A8" s="232">
        <v>45778</v>
      </c>
      <c r="B8" s="229">
        <v>7538.2339999999995</v>
      </c>
      <c r="C8" s="233">
        <v>517346</v>
      </c>
      <c r="D8" s="233">
        <v>529726</v>
      </c>
      <c r="E8" s="165">
        <f t="shared" si="0"/>
        <v>761361.63399999996</v>
      </c>
      <c r="F8" s="165">
        <f t="shared" si="1"/>
        <v>769495.576</v>
      </c>
      <c r="G8" s="234">
        <f t="shared" si="2"/>
        <v>102.07902487505694</v>
      </c>
      <c r="H8" s="234">
        <f>SUM(F4:F8)/SUM(B4:B8)</f>
        <v>106.27677807767004</v>
      </c>
      <c r="I8" s="234">
        <f>SUM(F7:F8)/SUM(B7:B8)</f>
        <v>96.052158632856234</v>
      </c>
      <c r="J8">
        <v>101</v>
      </c>
    </row>
    <row r="9" spans="1:10" ht="14.4" customHeight="1" x14ac:dyDescent="0.3">
      <c r="A9" s="232">
        <v>45809</v>
      </c>
      <c r="B9" s="229">
        <v>6935.7079999999996</v>
      </c>
      <c r="C9" s="229">
        <v>471600</v>
      </c>
      <c r="D9" s="233">
        <v>652382</v>
      </c>
      <c r="E9" s="165">
        <f t="shared" si="0"/>
        <v>700506.50799999991</v>
      </c>
      <c r="F9" s="165">
        <f t="shared" si="1"/>
        <v>782133.83199999994</v>
      </c>
      <c r="G9" s="234">
        <f t="shared" si="2"/>
        <v>112.76914080004521</v>
      </c>
      <c r="H9" s="234">
        <f>SUM(F4:F9)/SUM(B4:B9)</f>
        <v>107.31116525904525</v>
      </c>
      <c r="I9" s="234">
        <f>SUM(F7:F9)/SUM(B7:B9)</f>
        <v>101.63045919420901</v>
      </c>
      <c r="J9">
        <v>101</v>
      </c>
    </row>
    <row r="10" spans="1:10" ht="14.4" customHeight="1" x14ac:dyDescent="0.3">
      <c r="A10" s="232">
        <v>45839</v>
      </c>
      <c r="B10" s="229">
        <v>6530.53</v>
      </c>
      <c r="C10" s="229">
        <v>424929</v>
      </c>
      <c r="D10" s="229">
        <v>333360</v>
      </c>
      <c r="E10" s="165">
        <f t="shared" si="0"/>
        <v>659583.53</v>
      </c>
      <c r="F10" s="165">
        <f t="shared" si="1"/>
        <v>583608.36</v>
      </c>
      <c r="G10" s="234">
        <f t="shared" si="2"/>
        <v>89.366155580021839</v>
      </c>
      <c r="H10" s="234">
        <f>SUM(F4:F10)/SUM(B4:B10)</f>
        <v>104.97029284050188</v>
      </c>
      <c r="I10" s="234">
        <f>SUM(F7:F10)/SUM(B7:B10)</f>
        <v>98.698322783352708</v>
      </c>
      <c r="J10">
        <v>101</v>
      </c>
    </row>
    <row r="11" spans="1:10" ht="14.4" customHeight="1" x14ac:dyDescent="0.3">
      <c r="A11" s="232">
        <v>45870</v>
      </c>
      <c r="B11" s="229">
        <f>Aug!C6</f>
        <v>7594.33</v>
      </c>
      <c r="C11" s="229">
        <f>Aug!C87+SUM(Aug!$D$117:$G$117)</f>
        <v>561605</v>
      </c>
      <c r="D11" s="229">
        <f>Aug!C51</f>
        <v>401543</v>
      </c>
      <c r="E11" s="165">
        <f t="shared" si="0"/>
        <v>767027.33</v>
      </c>
      <c r="F11" s="165">
        <f t="shared" si="1"/>
        <v>752739.46799999999</v>
      </c>
      <c r="G11" s="234">
        <f t="shared" si="2"/>
        <v>99.118614545325258</v>
      </c>
      <c r="H11" s="234">
        <f>SUM(F4:F11)/SUM(B4:B11)</f>
        <v>104.19953572714439</v>
      </c>
      <c r="I11" s="234">
        <f>SUM(F7:F11)/SUM(B7:B11)</f>
        <v>98.789753932029896</v>
      </c>
      <c r="J11">
        <v>101</v>
      </c>
    </row>
    <row r="12" spans="1:10" ht="14.4" customHeight="1" x14ac:dyDescent="0.3">
      <c r="A12" s="232">
        <v>45901</v>
      </c>
      <c r="B12" s="235">
        <f>Sep!C6</f>
        <v>6634.4</v>
      </c>
      <c r="C12" s="235">
        <f>Sep!C87+SUM(Sep!D117:G117)</f>
        <v>522784</v>
      </c>
      <c r="D12" s="235">
        <f>Sep!C51</f>
        <v>300717</v>
      </c>
      <c r="E12" s="235">
        <f t="shared" si="0"/>
        <v>670074.39999999991</v>
      </c>
      <c r="F12" s="235">
        <f t="shared" si="1"/>
        <v>665925.29200000002</v>
      </c>
      <c r="G12" s="234">
        <f t="shared" si="2"/>
        <v>100.37460689738334</v>
      </c>
      <c r="H12" s="234">
        <f>SUM(F4:F12)/SUM(B4:B12)</f>
        <v>103.80483144545381</v>
      </c>
      <c r="I12" s="234">
        <f>SUM(F7:F12)/SUM(B7:B12)</f>
        <v>99.04284757230532</v>
      </c>
      <c r="J12">
        <v>101</v>
      </c>
    </row>
    <row r="13" spans="1:10" ht="14.4" customHeight="1" x14ac:dyDescent="0.3">
      <c r="A13" s="232">
        <v>45931</v>
      </c>
      <c r="B13" s="235">
        <f>Oct!$C$6</f>
        <v>5988.869999999999</v>
      </c>
      <c r="C13" s="235">
        <f>Oct!$C$87+SUM(Oct!$D$117:$H$117)</f>
        <v>503387</v>
      </c>
      <c r="D13" s="235">
        <f>Oct!$C$51</f>
        <v>205404</v>
      </c>
      <c r="E13" s="235">
        <f t="shared" si="0"/>
        <v>604875.86999999988</v>
      </c>
      <c r="F13" s="235">
        <f t="shared" si="1"/>
        <v>601159.304</v>
      </c>
      <c r="G13" s="234">
        <f t="shared" si="2"/>
        <v>100.37942115958438</v>
      </c>
      <c r="H13" s="234">
        <f>SUM(F4:F13)/SUM(B4:B13)</f>
        <v>103.51293836724946</v>
      </c>
      <c r="I13" s="234">
        <f>SUM(F7:F13)/SUM(B7:B13)</f>
        <v>99.211247838184889</v>
      </c>
      <c r="J13">
        <v>101</v>
      </c>
    </row>
    <row r="14" spans="1:10" ht="14.4" customHeight="1" x14ac:dyDescent="0.3">
      <c r="A14" s="232">
        <v>45962</v>
      </c>
      <c r="B14" s="235"/>
      <c r="C14" s="235"/>
      <c r="D14" s="235"/>
      <c r="E14" s="235"/>
      <c r="F14" s="235"/>
      <c r="G14" s="234"/>
      <c r="H14" s="234"/>
      <c r="I14" s="234"/>
      <c r="J14">
        <v>101</v>
      </c>
    </row>
    <row r="15" spans="1:10" ht="14.4" customHeight="1" x14ac:dyDescent="0.3">
      <c r="A15" s="232">
        <v>45992</v>
      </c>
      <c r="B15" s="235"/>
      <c r="C15" s="235"/>
      <c r="D15" s="235"/>
      <c r="E15" s="235"/>
      <c r="F15" s="235"/>
      <c r="G15" s="157"/>
      <c r="H15" s="234"/>
      <c r="I15" s="234"/>
      <c r="J15">
        <v>101</v>
      </c>
    </row>
    <row r="16" spans="1:10" ht="14.4" customHeight="1" x14ac:dyDescent="0.3">
      <c r="A16" s="232"/>
      <c r="B16" s="165"/>
      <c r="C16" s="165"/>
      <c r="D16" s="165"/>
      <c r="E16" s="165"/>
      <c r="F16" s="165"/>
      <c r="G16" s="157"/>
      <c r="H16" s="157"/>
      <c r="I16" s="157"/>
    </row>
    <row r="17" spans="1:9" ht="14.4" customHeight="1" x14ac:dyDescent="0.3">
      <c r="A17" s="157"/>
      <c r="B17" s="157"/>
      <c r="C17" s="157"/>
      <c r="D17" s="157"/>
      <c r="E17" s="157"/>
      <c r="F17" s="157"/>
      <c r="G17" s="157"/>
      <c r="H17" s="157"/>
      <c r="I17" s="157"/>
    </row>
    <row r="18" spans="1:9" ht="14.4" customHeight="1" x14ac:dyDescent="0.3">
      <c r="A18" s="157"/>
      <c r="B18" s="157"/>
      <c r="C18" s="157"/>
      <c r="D18" s="157"/>
      <c r="E18" s="157"/>
      <c r="F18" s="157"/>
      <c r="G18" s="157"/>
      <c r="H18" s="157"/>
      <c r="I18" s="157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68C6-3545-4080-8217-AF38703C7643}">
  <sheetPr>
    <pageSetUpPr fitToPage="1"/>
  </sheetPr>
  <dimension ref="B1:T32"/>
  <sheetViews>
    <sheetView showGridLines="0" topLeftCell="A4" zoomScale="76" zoomScaleNormal="115" workbookViewId="0">
      <selection activeCell="E27" sqref="E27"/>
    </sheetView>
  </sheetViews>
  <sheetFormatPr defaultRowHeight="19.95" customHeight="1" x14ac:dyDescent="0.3"/>
  <cols>
    <col min="2" max="4" width="15.77734375" customWidth="1"/>
    <col min="5" max="5" width="18.21875" customWidth="1"/>
    <col min="6" max="15" width="15.77734375" customWidth="1"/>
    <col min="16" max="16" width="17" customWidth="1"/>
    <col min="17" max="17" width="17.5546875" bestFit="1" customWidth="1"/>
    <col min="18" max="18" width="13.21875" bestFit="1" customWidth="1"/>
  </cols>
  <sheetData>
    <row r="1" spans="2:20" ht="19.95" customHeight="1" x14ac:dyDescent="0.3">
      <c r="H1" s="206"/>
    </row>
    <row r="2" spans="2:20" ht="19.95" customHeight="1" x14ac:dyDescent="0.3">
      <c r="G2" s="189"/>
      <c r="H2" s="206"/>
      <c r="I2" s="157"/>
      <c r="J2" s="157"/>
      <c r="K2" s="157"/>
      <c r="L2" s="157"/>
      <c r="M2" s="157"/>
      <c r="N2" s="157"/>
      <c r="O2" s="157"/>
      <c r="P2">
        <v>101</v>
      </c>
      <c r="Q2">
        <v>13.5</v>
      </c>
    </row>
    <row r="3" spans="2:20" ht="19.95" customHeight="1" x14ac:dyDescent="0.3">
      <c r="H3" s="206"/>
      <c r="I3" s="157"/>
      <c r="J3" s="157"/>
      <c r="K3" s="157"/>
      <c r="L3" s="157"/>
      <c r="M3" s="157"/>
      <c r="N3" s="157"/>
      <c r="O3" s="157"/>
    </row>
    <row r="4" spans="2:20" ht="19.95" customHeight="1" x14ac:dyDescent="0.3">
      <c r="B4" s="253" t="s">
        <v>72</v>
      </c>
      <c r="C4" s="256" t="s">
        <v>26</v>
      </c>
      <c r="D4" s="256"/>
      <c r="E4" s="256" t="s">
        <v>27</v>
      </c>
      <c r="F4" s="256"/>
      <c r="G4" s="255" t="s">
        <v>180</v>
      </c>
      <c r="H4" s="254" t="s">
        <v>181</v>
      </c>
      <c r="I4" s="255" t="s">
        <v>97</v>
      </c>
      <c r="J4" s="255"/>
      <c r="K4" s="255"/>
      <c r="L4" s="256" t="s">
        <v>156</v>
      </c>
      <c r="M4" s="256"/>
      <c r="N4" s="256"/>
      <c r="O4" s="255" t="s">
        <v>182</v>
      </c>
    </row>
    <row r="5" spans="2:20" s="198" customFormat="1" ht="19.95" customHeight="1" x14ac:dyDescent="0.3">
      <c r="B5" s="253"/>
      <c r="C5" s="208" t="s">
        <v>117</v>
      </c>
      <c r="D5" s="208" t="s">
        <v>116</v>
      </c>
      <c r="E5" s="208" t="s">
        <v>73</v>
      </c>
      <c r="F5" s="208" t="s">
        <v>116</v>
      </c>
      <c r="G5" s="255"/>
      <c r="H5" s="254"/>
      <c r="I5" s="208" t="s">
        <v>160</v>
      </c>
      <c r="J5" s="208" t="s">
        <v>161</v>
      </c>
      <c r="K5" s="208" t="s">
        <v>162</v>
      </c>
      <c r="L5" s="208" t="s">
        <v>157</v>
      </c>
      <c r="M5" s="208" t="s">
        <v>158</v>
      </c>
      <c r="N5" s="208" t="s">
        <v>159</v>
      </c>
      <c r="O5" s="255"/>
      <c r="P5" s="228"/>
    </row>
    <row r="6" spans="2:20" ht="19.95" customHeight="1" x14ac:dyDescent="0.3">
      <c r="B6" s="197" t="s">
        <v>123</v>
      </c>
      <c r="C6" s="209">
        <v>793707</v>
      </c>
      <c r="D6" s="189">
        <v>10715044.5</v>
      </c>
      <c r="E6" s="209">
        <v>596387</v>
      </c>
      <c r="F6" s="189">
        <v>4472902.5</v>
      </c>
      <c r="G6" s="189">
        <f>D6+F6</f>
        <v>15187947</v>
      </c>
      <c r="H6" s="217">
        <v>11333100</v>
      </c>
      <c r="I6" s="214"/>
      <c r="J6" s="214"/>
      <c r="K6" s="214"/>
      <c r="L6" s="206"/>
      <c r="M6" s="206"/>
      <c r="N6" s="206"/>
      <c r="O6" s="157"/>
    </row>
    <row r="7" spans="2:20" ht="19.95" customHeight="1" x14ac:dyDescent="0.3">
      <c r="B7" s="197" t="s">
        <v>118</v>
      </c>
      <c r="C7" s="209">
        <v>512424</v>
      </c>
      <c r="D7" s="189">
        <v>6917724</v>
      </c>
      <c r="E7" s="209">
        <v>557424</v>
      </c>
      <c r="F7" s="189">
        <v>4180680</v>
      </c>
      <c r="G7" s="189">
        <v>11098404</v>
      </c>
      <c r="H7" s="217">
        <v>9400019</v>
      </c>
      <c r="I7" s="214"/>
      <c r="J7" s="214"/>
      <c r="K7" s="214"/>
      <c r="L7" s="206"/>
      <c r="M7" s="206"/>
      <c r="N7" s="206"/>
      <c r="O7" s="157"/>
    </row>
    <row r="8" spans="2:20" ht="19.95" customHeight="1" x14ac:dyDescent="0.3">
      <c r="B8" s="197" t="s">
        <v>119</v>
      </c>
      <c r="C8" s="209">
        <v>407206</v>
      </c>
      <c r="D8" s="189">
        <v>5497281</v>
      </c>
      <c r="E8" s="209">
        <v>599535</v>
      </c>
      <c r="F8" s="189">
        <v>4496512.5</v>
      </c>
      <c r="G8" s="189">
        <v>9993793.5</v>
      </c>
      <c r="H8" s="217">
        <v>10957966</v>
      </c>
      <c r="I8" s="214"/>
      <c r="J8" s="214"/>
      <c r="K8" s="214"/>
      <c r="L8" s="206"/>
      <c r="M8" s="206"/>
      <c r="N8" s="206"/>
      <c r="O8" s="157"/>
      <c r="Q8" s="189"/>
    </row>
    <row r="9" spans="2:20" s="210" customFormat="1" ht="19.95" customHeight="1" x14ac:dyDescent="0.3">
      <c r="B9" s="197" t="s">
        <v>120</v>
      </c>
      <c r="C9" s="209">
        <v>311714</v>
      </c>
      <c r="D9" s="189">
        <v>4208139</v>
      </c>
      <c r="E9" s="209">
        <v>532132</v>
      </c>
      <c r="F9" s="189">
        <v>3990990</v>
      </c>
      <c r="G9" s="189">
        <v>8199129</v>
      </c>
      <c r="H9" s="217">
        <v>8370815</v>
      </c>
      <c r="I9" s="216">
        <f>('Apr(Act)'!C5-'Apr(Act)'!C6)</f>
        <v>5514.8866666666654</v>
      </c>
      <c r="J9" s="216">
        <f>'Apr(SCA)'!C7*101*'Apr(SCA)'!C85/('Apr(SCA)'!C4*101)-'Apr(SCA)'!C88+K9/2.23</f>
        <v>94501.726188340865</v>
      </c>
      <c r="K9" s="216">
        <f>'Apr(SCA)'!C7*101*(1-('Apr(SCA)'!C85/('Apr(SCA)'!C4*101)))*2.23-'Apr(SCA)'!C52</f>
        <v>-66916.704026573338</v>
      </c>
      <c r="L9" s="212">
        <f>I9*P2*Q2</f>
        <v>7519547.9699999988</v>
      </c>
      <c r="M9" s="213">
        <v>0</v>
      </c>
      <c r="N9" s="213">
        <v>0</v>
      </c>
      <c r="O9" s="212">
        <v>7519547.9699999988</v>
      </c>
      <c r="P9" s="211"/>
      <c r="Q9" s="224" t="s">
        <v>168</v>
      </c>
      <c r="R9" s="223">
        <f>'Apr(Act)'!C5</f>
        <v>11916.666666666666</v>
      </c>
      <c r="T9" s="210" t="s">
        <v>163</v>
      </c>
    </row>
    <row r="10" spans="2:20" s="210" customFormat="1" ht="20.399999999999999" customHeight="1" x14ac:dyDescent="0.3">
      <c r="B10" s="197" t="s">
        <v>121</v>
      </c>
      <c r="C10" s="209">
        <v>540137</v>
      </c>
      <c r="D10" s="189">
        <v>7291849.5</v>
      </c>
      <c r="E10" s="209">
        <v>529726</v>
      </c>
      <c r="F10" s="189">
        <v>3972945</v>
      </c>
      <c r="G10" s="189">
        <v>11264794.5</v>
      </c>
      <c r="H10" s="217">
        <v>8370815</v>
      </c>
      <c r="I10" s="216">
        <v>9846.8733333333312</v>
      </c>
      <c r="J10" s="216">
        <f>May!C7*101*May!C85/(May!C4*101)-May!C88+K10/2.23</f>
        <v>84611.953273542778</v>
      </c>
      <c r="K10" s="216">
        <f>May!C7*101*(1-(May!C85/(May!C4*101)))*2.23-May!C52</f>
        <v>-92792.914899300551</v>
      </c>
      <c r="L10" s="212">
        <v>13426211.789999997</v>
      </c>
      <c r="M10" s="213">
        <v>0</v>
      </c>
      <c r="N10" s="213">
        <v>0</v>
      </c>
      <c r="O10" s="212">
        <v>13426211.789999997</v>
      </c>
      <c r="Q10" s="225" t="s">
        <v>169</v>
      </c>
      <c r="R10" s="96">
        <f>'Apr(Act)'!C86</f>
        <v>833333.33333333337</v>
      </c>
    </row>
    <row r="11" spans="2:20" s="210" customFormat="1" ht="20.399999999999999" customHeight="1" x14ac:dyDescent="0.3">
      <c r="B11" s="197" t="s">
        <v>122</v>
      </c>
      <c r="C11" s="209">
        <v>459563</v>
      </c>
      <c r="D11" s="189">
        <v>6204100.5</v>
      </c>
      <c r="E11" s="209">
        <v>652382</v>
      </c>
      <c r="F11" s="189">
        <v>4892865</v>
      </c>
      <c r="G11" s="189">
        <v>11096965.5</v>
      </c>
      <c r="H11" s="217">
        <v>8370815</v>
      </c>
      <c r="I11" s="216">
        <f>R9*3-Jun!C7</f>
        <v>14769.399999999998</v>
      </c>
      <c r="J11" s="216">
        <f>Jun!C7*101*Jun!C85/(Jun!C4*101)-Jun!C88+K11/2.23</f>
        <v>38909.111210762538</v>
      </c>
      <c r="K11" s="216">
        <f>Jun!C7*101*(1-(Jun!C85/(Jun!C4*101)))*2.23-Jun!C52</f>
        <v>-260579.3221398599</v>
      </c>
      <c r="L11" s="226">
        <v>20266327.710000001</v>
      </c>
      <c r="M11" s="213">
        <v>0</v>
      </c>
      <c r="N11" s="213">
        <v>0</v>
      </c>
      <c r="O11" s="226">
        <v>20266327.710000001</v>
      </c>
      <c r="Q11" s="224"/>
      <c r="R11" s="96"/>
    </row>
    <row r="12" spans="2:20" ht="20.399999999999999" customHeight="1" x14ac:dyDescent="0.3">
      <c r="B12" s="197" t="s">
        <v>91</v>
      </c>
      <c r="C12" s="209">
        <f>Jul!C87</f>
        <v>423485</v>
      </c>
      <c r="D12" s="189">
        <f t="shared" ref="D12" si="0">C12*13.5</f>
        <v>5717047.5</v>
      </c>
      <c r="E12" s="209">
        <f>Jul!C51</f>
        <v>343289</v>
      </c>
      <c r="F12" s="189">
        <f t="shared" ref="F12:F21" si="1">E12*7.5</f>
        <v>2574667.5</v>
      </c>
      <c r="G12" s="189">
        <v>8291715</v>
      </c>
      <c r="H12" s="217">
        <v>9651057</v>
      </c>
      <c r="I12" s="216">
        <f>R9*4-Jul!C7</f>
        <v>20133.656666666662</v>
      </c>
      <c r="J12" s="216">
        <f>Jul!C7*101*(Jul!C85/(Jul!C4*101))-Jul!C88+K12/2.23</f>
        <v>123276.26560538131</v>
      </c>
      <c r="K12" s="216">
        <f>Jul!C7*101*(1-(Jul!C85/(Jul!C4*101)))*2.23-Jul!C52</f>
        <v>-149878.40944825136</v>
      </c>
      <c r="L12" s="226">
        <v>28606020.929999992</v>
      </c>
      <c r="M12" s="213">
        <v>0</v>
      </c>
      <c r="N12" s="213">
        <v>0</v>
      </c>
      <c r="O12" s="226">
        <v>28606020.929999992</v>
      </c>
    </row>
    <row r="13" spans="2:20" s="210" customFormat="1" ht="20.399999999999999" customHeight="1" x14ac:dyDescent="0.3">
      <c r="B13" s="197" t="s">
        <v>128</v>
      </c>
      <c r="C13" s="209">
        <v>503878</v>
      </c>
      <c r="D13" s="189">
        <v>6802353</v>
      </c>
      <c r="E13" s="209">
        <v>401543</v>
      </c>
      <c r="F13" s="189">
        <v>3011572.5</v>
      </c>
      <c r="G13" s="189">
        <v>9813925.5</v>
      </c>
      <c r="H13" s="217">
        <v>9651057</v>
      </c>
      <c r="I13" s="216">
        <f>R9*5-Aug!C7</f>
        <v>24455.993333333325</v>
      </c>
      <c r="J13" s="216">
        <f>Aug!C7*101*(Aug!C85/(Aug!C4*101))-Aug!C88+K13/2.23</f>
        <v>206361.47004484307</v>
      </c>
      <c r="K13" s="216">
        <f>Aug!C7*101*(1-(Aug!C85/(Aug!C4*101)))*2.23-Aug!C52</f>
        <v>-25241.085925873835</v>
      </c>
      <c r="L13" s="226">
        <f>I13*P2*Q2</f>
        <v>33345746.909999989</v>
      </c>
      <c r="M13" s="239">
        <f>(46.06-1.9*13.5)*(28655+3143)</f>
        <v>648997.18000000017</v>
      </c>
      <c r="N13" s="213">
        <v>0</v>
      </c>
      <c r="O13" s="226">
        <f>L13-M13-N13</f>
        <v>32696749.729999989</v>
      </c>
    </row>
    <row r="14" spans="2:20" s="210" customFormat="1" ht="20.399999999999999" customHeight="1" x14ac:dyDescent="0.3">
      <c r="B14" s="197" t="s">
        <v>74</v>
      </c>
      <c r="C14" s="209">
        <v>473052</v>
      </c>
      <c r="D14" s="189">
        <v>6386202</v>
      </c>
      <c r="E14" s="209">
        <v>300717</v>
      </c>
      <c r="F14" s="189">
        <v>2255377.5</v>
      </c>
      <c r="G14" s="189">
        <v>8641579.5</v>
      </c>
      <c r="H14" s="217">
        <v>9651057</v>
      </c>
      <c r="I14" s="216">
        <v>29738.260000000002</v>
      </c>
      <c r="J14" s="216">
        <v>247810.29370629322</v>
      </c>
      <c r="K14" s="216">
        <v>133712.58131888183</v>
      </c>
      <c r="L14" s="226">
        <v>40548117.510000005</v>
      </c>
      <c r="M14" s="239">
        <v>757455.92000000016</v>
      </c>
      <c r="N14" s="213">
        <v>0</v>
      </c>
      <c r="O14" s="226">
        <v>39790661.590000004</v>
      </c>
    </row>
    <row r="15" spans="2:20" s="210" customFormat="1" ht="20.399999999999999" customHeight="1" x14ac:dyDescent="0.3">
      <c r="B15" s="197" t="s">
        <v>129</v>
      </c>
      <c r="C15" s="209">
        <f>SUM(C16:C20)</f>
        <v>451214</v>
      </c>
      <c r="D15" s="189">
        <f t="shared" ref="D15:D21" si="2">C15*13.5</f>
        <v>6091389</v>
      </c>
      <c r="E15" s="209">
        <f>SUM(E16:E20)</f>
        <v>205404</v>
      </c>
      <c r="F15" s="189">
        <f t="shared" si="1"/>
        <v>1540530</v>
      </c>
      <c r="G15" s="189">
        <f t="shared" ref="G15:G21" si="3">SUM(D15+F15)</f>
        <v>7631919</v>
      </c>
      <c r="H15" s="217">
        <v>9651057</v>
      </c>
      <c r="I15" s="214"/>
      <c r="J15" s="214"/>
      <c r="K15" s="214"/>
      <c r="L15" s="165">
        <f>MAX(L16:L20)</f>
        <v>48630668.265000001</v>
      </c>
      <c r="M15" s="242">
        <f>MAX(M16:M20)</f>
        <v>1060646.4700000002</v>
      </c>
      <c r="N15" s="157">
        <v>0</v>
      </c>
      <c r="O15" s="165">
        <f t="shared" ref="O15:O21" si="4">L15-M15-N15</f>
        <v>47570021.795000002</v>
      </c>
    </row>
    <row r="16" spans="2:20" ht="20.399999999999999" customHeight="1" x14ac:dyDescent="0.3">
      <c r="B16" s="204" t="s">
        <v>124</v>
      </c>
      <c r="C16" s="237">
        <f>Oct!$D$114</f>
        <v>77966</v>
      </c>
      <c r="D16" s="238">
        <f t="shared" si="2"/>
        <v>1052541</v>
      </c>
      <c r="E16" s="237">
        <f>Oct!$D$78</f>
        <v>0</v>
      </c>
      <c r="F16" s="238">
        <f t="shared" si="1"/>
        <v>0</v>
      </c>
      <c r="G16" s="238">
        <f t="shared" si="3"/>
        <v>1052541</v>
      </c>
      <c r="H16" s="240"/>
      <c r="I16" s="216">
        <f>R9*6+R9/31*4-(Sep!C7+Oct!$D$36)</f>
        <v>30237.634408602149</v>
      </c>
      <c r="J16" s="216">
        <f>(Sep!C7+Oct!$D$36)*101*(Sep!C85/(Sep!C4*101))-(Sep!C88+Oct!$D$114)</f>
        <v>203211.99300699355</v>
      </c>
      <c r="K16" s="216">
        <f>(Sep!C7+Oct!$D$36)*101*(1-(Sep!C85/(Sep!C4*101)))*2.23-(Sep!C52+Oct!$D$78)</f>
        <v>205649.40559440665</v>
      </c>
      <c r="L16" s="212">
        <f>I16*$P$2*$Q$2</f>
        <v>41229014.516129032</v>
      </c>
      <c r="M16" s="239">
        <f>(46.06-1.9*13.5)*(37112+924)</f>
        <v>776314.76000000013</v>
      </c>
      <c r="N16" s="213">
        <v>0</v>
      </c>
      <c r="O16" s="165">
        <f t="shared" si="4"/>
        <v>40452699.756129034</v>
      </c>
    </row>
    <row r="17" spans="2:15" ht="20.399999999999999" customHeight="1" x14ac:dyDescent="0.3">
      <c r="B17" s="204" t="s">
        <v>125</v>
      </c>
      <c r="C17" s="237">
        <f>Oct!E114</f>
        <v>116791</v>
      </c>
      <c r="D17" s="238">
        <f t="shared" si="2"/>
        <v>1576678.5</v>
      </c>
      <c r="E17" s="237">
        <f>Oct!E78</f>
        <v>54510</v>
      </c>
      <c r="F17" s="238">
        <f t="shared" si="1"/>
        <v>408825</v>
      </c>
      <c r="G17" s="238">
        <f t="shared" si="3"/>
        <v>1985503.5</v>
      </c>
      <c r="H17" s="217"/>
      <c r="I17" s="216">
        <f>R9*6+R9/31*11-(Sep!C7+Oct!$D$36+Oct!E36)</f>
        <v>31062.394623655913</v>
      </c>
      <c r="J17" s="216">
        <f>(Sep!C7+Oct!$D$36+Oct!E36)*101*(Sep!C85/(Sep!C4*101))-(Sep!C88+Oct!$D$114+Oct!E114)</f>
        <v>216917.49650349654</v>
      </c>
      <c r="K17" s="216">
        <f>(Sep!C7+Oct!$D$36+Oct!E36)*101*(1-(Sep!C85/(Sep!C4*101)))*2.23-(Sep!C52+Oct!$D$78+Oct!E78)</f>
        <v>280433.90579720354</v>
      </c>
      <c r="L17" s="212">
        <f>I17*$P$2*$Q$2</f>
        <v>42353575.06935484</v>
      </c>
      <c r="M17" s="239">
        <f>(46.06-1.9*13.5)*(37112+924+1823)</f>
        <v>813522.19000000018</v>
      </c>
      <c r="N17" s="213">
        <v>0</v>
      </c>
      <c r="O17" s="165">
        <f t="shared" si="4"/>
        <v>41540052.879354842</v>
      </c>
    </row>
    <row r="18" spans="2:15" ht="20.399999999999999" customHeight="1" x14ac:dyDescent="0.3">
      <c r="B18" s="204" t="s">
        <v>126</v>
      </c>
      <c r="C18" s="237">
        <f>Oct!$F$114</f>
        <v>21893</v>
      </c>
      <c r="D18" s="238">
        <f t="shared" si="2"/>
        <v>295555.5</v>
      </c>
      <c r="E18" s="237">
        <f>Oct!$F$78</f>
        <v>66186</v>
      </c>
      <c r="F18" s="238">
        <f t="shared" si="1"/>
        <v>496395</v>
      </c>
      <c r="G18" s="238">
        <f t="shared" si="3"/>
        <v>791950.5</v>
      </c>
      <c r="H18" s="217"/>
      <c r="I18" s="214">
        <f>R9*6+R9/31*17-(Sep!C7+Oct!$D$36+Oct!E36+Oct!$F$36)</f>
        <v>32463.196236559124</v>
      </c>
      <c r="J18" s="214">
        <f>(Sep!C7+Oct!$D$36+Oct!E36+Oct!F36)*101*(Sep!C85/(Sep!C4*101))-(Sep!C88+Oct!$D$114+Oct!E114+Oct!F114)</f>
        <v>258356.66433566483</v>
      </c>
      <c r="K18" s="214">
        <f>(Sep!C7+Oct!$D$36+Oct!E36+Oct!F36)*101*(1-(Sep!C85/(Sep!C4*101)))*2.23-(Sep!C52+Oct!$D$78+Oct!E78+Oct!F78)</f>
        <v>276996.72103146929</v>
      </c>
      <c r="L18" s="212">
        <f>I18*$P$2*$Q$2</f>
        <v>44263568.068548366</v>
      </c>
      <c r="M18" s="239">
        <f>(46.06-1.9*13.5)*(37112+924+1823+12108)</f>
        <v>1060646.4700000002</v>
      </c>
      <c r="N18" s="213">
        <v>0</v>
      </c>
      <c r="O18" s="165">
        <f t="shared" si="4"/>
        <v>43202921.598548368</v>
      </c>
    </row>
    <row r="19" spans="2:15" ht="20.399999999999999" customHeight="1" x14ac:dyDescent="0.3">
      <c r="B19" s="204" t="s">
        <v>127</v>
      </c>
      <c r="C19" s="237">
        <f>Oct!G114</f>
        <v>93475</v>
      </c>
      <c r="D19" s="238">
        <f t="shared" si="2"/>
        <v>1261912.5</v>
      </c>
      <c r="E19" s="237">
        <f>Oct!G78</f>
        <v>5147</v>
      </c>
      <c r="F19" s="238">
        <f t="shared" si="1"/>
        <v>38602.5</v>
      </c>
      <c r="G19" s="238">
        <f t="shared" si="3"/>
        <v>1300515</v>
      </c>
      <c r="H19" s="217"/>
      <c r="I19" s="214">
        <f>R9*6+R9/31*25-(Sep!C7+Oct!$D$36+Oct!E36+Oct!$F$36+Oct!G36)</f>
        <v>34780.675053763436</v>
      </c>
      <c r="J19" s="214">
        <f>(Sep!C7+Oct!$D$36+Oct!E36+Oct!F36+Oct!G36)*101*(Sep!C85/(Sep!C4*101))-(Sep!C88+Oct!$D$114+Oct!E114+Oct!F114+Oct!G114)</f>
        <v>217873.97202797234</v>
      </c>
      <c r="K19" s="214">
        <f>(Sep!C7+Oct!$D$36+Oct!E36+Oct!F36+Oct!G36)*101*(1-(Sep!C85/(Sep!C4*101)))*2.23-(Sep!C52+Oct!$D$78+Oct!E78+Oct!F78+Oct!G78)</f>
        <v>324353.91657762323</v>
      </c>
      <c r="L19" s="212">
        <f>I19*$P$2*$Q$2</f>
        <v>47423450.435806438</v>
      </c>
      <c r="M19" s="239">
        <f>(46.06-1.9*13.5)*(37112+924+1823+12108)</f>
        <v>1060646.4700000002</v>
      </c>
      <c r="N19" s="213">
        <v>0</v>
      </c>
      <c r="O19" s="165">
        <f t="shared" si="4"/>
        <v>46362803.96580644</v>
      </c>
    </row>
    <row r="20" spans="2:15" ht="20.399999999999999" customHeight="1" x14ac:dyDescent="0.3">
      <c r="B20" s="204" t="s">
        <v>197</v>
      </c>
      <c r="C20" s="237">
        <f>Oct!H114</f>
        <v>141089</v>
      </c>
      <c r="D20" s="238">
        <f t="shared" si="2"/>
        <v>1904701.5</v>
      </c>
      <c r="E20" s="237">
        <f>Oct!H78</f>
        <v>79561</v>
      </c>
      <c r="F20" s="238">
        <f t="shared" si="1"/>
        <v>596707.5</v>
      </c>
      <c r="G20" s="238">
        <f t="shared" si="3"/>
        <v>2501409</v>
      </c>
      <c r="H20" s="217"/>
      <c r="I20" s="214">
        <f>R9*6+R9/31*31-(Sep!C7+Oct!$D$36+Oct!E36+Oct!$F$36+Oct!G36+Oct!H36)</f>
        <v>35666.056666666664</v>
      </c>
      <c r="J20" s="214"/>
      <c r="K20" s="214"/>
      <c r="L20" s="212">
        <f>I20*$P$2*$Q$2</f>
        <v>48630668.265000001</v>
      </c>
      <c r="M20" s="239">
        <f>(46.06-1.9*13.5)*(37112+924+1823+12108)</f>
        <v>1060646.4700000002</v>
      </c>
      <c r="N20" s="213">
        <v>0</v>
      </c>
      <c r="O20" s="165">
        <f t="shared" si="4"/>
        <v>47570021.795000002</v>
      </c>
    </row>
    <row r="21" spans="2:15" ht="20.399999999999999" customHeight="1" x14ac:dyDescent="0.3">
      <c r="B21" s="197" t="s">
        <v>77</v>
      </c>
      <c r="C21" s="205"/>
      <c r="D21" s="202"/>
      <c r="E21" s="205"/>
      <c r="F21" s="202"/>
      <c r="G21" s="202"/>
      <c r="H21" s="218">
        <v>9651057</v>
      </c>
      <c r="I21" s="215"/>
      <c r="J21" s="215"/>
      <c r="K21" s="215"/>
      <c r="L21" s="243"/>
      <c r="M21" s="241"/>
      <c r="N21" s="215"/>
      <c r="O21" s="220"/>
    </row>
    <row r="22" spans="2:15" ht="19.95" customHeight="1" thickBot="1" x14ac:dyDescent="0.35">
      <c r="B22" s="199" t="s">
        <v>78</v>
      </c>
      <c r="C22" s="200"/>
      <c r="D22" s="201"/>
      <c r="E22" s="200"/>
      <c r="F22" s="201"/>
      <c r="G22" s="203"/>
      <c r="H22" s="219">
        <v>9651057</v>
      </c>
      <c r="I22" s="221"/>
      <c r="J22" s="222"/>
      <c r="K22" s="222"/>
      <c r="L22" s="163"/>
      <c r="M22" s="163"/>
      <c r="N22" s="163"/>
      <c r="O22" s="163"/>
    </row>
    <row r="23" spans="2:15" ht="19.95" customHeight="1" thickTop="1" x14ac:dyDescent="0.3">
      <c r="B23" s="196" t="s">
        <v>28</v>
      </c>
      <c r="C23" s="195"/>
      <c r="D23" s="192"/>
      <c r="E23" s="194"/>
      <c r="F23" s="193"/>
      <c r="G23" s="192">
        <f>SUM(G6:G15)+G21</f>
        <v>101220172.5</v>
      </c>
      <c r="H23" s="207">
        <f>SUM(H6:H22)</f>
        <v>114709872</v>
      </c>
      <c r="I23" s="207"/>
      <c r="J23" s="207"/>
      <c r="K23" s="207"/>
      <c r="L23" s="220"/>
      <c r="M23" s="165"/>
      <c r="N23" s="165"/>
      <c r="O23" s="220">
        <f>MAX(O6:O22)</f>
        <v>47570021.795000002</v>
      </c>
    </row>
    <row r="24" spans="2:15" ht="19.95" customHeight="1" x14ac:dyDescent="0.3">
      <c r="H24" s="191"/>
      <c r="I24" s="191"/>
      <c r="J24" s="191"/>
      <c r="K24" s="191"/>
      <c r="L24" s="157"/>
      <c r="M24" s="157"/>
      <c r="N24" s="157"/>
      <c r="O24" s="157"/>
    </row>
    <row r="25" spans="2:15" ht="19.95" customHeight="1" x14ac:dyDescent="0.3">
      <c r="G25" s="189"/>
      <c r="H25" s="157"/>
      <c r="I25" s="157"/>
      <c r="J25" s="157"/>
      <c r="K25" s="157"/>
      <c r="L25" s="157"/>
      <c r="M25" s="157"/>
      <c r="N25" s="157"/>
      <c r="O25" s="157"/>
    </row>
    <row r="26" spans="2:15" ht="19.95" customHeight="1" x14ac:dyDescent="0.3">
      <c r="C26" s="126" t="e">
        <f>((#REF!+C22)-C6)/C6</f>
        <v>#REF!</v>
      </c>
      <c r="D26" s="152" t="e">
        <f>G6*(1+C26)</f>
        <v>#REF!</v>
      </c>
      <c r="E26" s="126"/>
      <c r="F26" s="190">
        <f>G23+16000000</f>
        <v>117220172.5</v>
      </c>
      <c r="H26" s="157"/>
      <c r="I26" s="157"/>
      <c r="J26" s="157"/>
      <c r="K26" s="157"/>
      <c r="L26" s="157"/>
      <c r="M26" s="157"/>
      <c r="N26" s="157"/>
      <c r="O26" s="157"/>
    </row>
    <row r="27" spans="2:15" ht="19.95" customHeight="1" x14ac:dyDescent="0.3">
      <c r="C27" s="126"/>
      <c r="D27" s="126"/>
      <c r="E27" s="126"/>
      <c r="F27" s="126"/>
      <c r="G27" s="189"/>
      <c r="H27" s="157"/>
      <c r="I27" s="157"/>
      <c r="J27" s="157"/>
      <c r="K27" s="157"/>
      <c r="L27" s="157"/>
      <c r="M27" s="157"/>
      <c r="N27" s="157"/>
      <c r="O27" s="157"/>
    </row>
    <row r="28" spans="2:15" ht="19.95" customHeight="1" x14ac:dyDescent="0.3">
      <c r="C28" s="126"/>
      <c r="D28" s="126"/>
      <c r="E28" s="126"/>
      <c r="F28" s="126"/>
      <c r="H28" s="157"/>
      <c r="I28" s="157"/>
      <c r="J28" s="157"/>
      <c r="K28" s="157"/>
      <c r="L28" s="157"/>
      <c r="M28" s="157"/>
      <c r="N28" s="157"/>
      <c r="O28" s="157"/>
    </row>
    <row r="29" spans="2:15" ht="19.95" customHeight="1" x14ac:dyDescent="0.3">
      <c r="C29" s="126"/>
      <c r="D29" s="126"/>
      <c r="E29" s="126"/>
      <c r="F29" s="126"/>
      <c r="H29" s="157"/>
      <c r="I29" s="157"/>
      <c r="J29" s="157"/>
      <c r="K29" s="157"/>
      <c r="L29" s="157"/>
      <c r="M29" s="157"/>
      <c r="N29" s="157"/>
      <c r="O29" s="157"/>
    </row>
    <row r="30" spans="2:15" ht="19.95" customHeight="1" x14ac:dyDescent="0.3">
      <c r="H30" s="157"/>
      <c r="I30" s="157"/>
      <c r="J30" s="157"/>
      <c r="K30" s="157"/>
      <c r="L30" s="157"/>
      <c r="M30" s="157"/>
      <c r="N30" s="157"/>
      <c r="O30" s="157"/>
    </row>
    <row r="31" spans="2:15" ht="19.95" customHeight="1" x14ac:dyDescent="0.3">
      <c r="H31" s="157"/>
      <c r="I31" s="157"/>
      <c r="J31" s="157"/>
      <c r="K31" s="157"/>
      <c r="L31" s="157"/>
      <c r="M31" s="157"/>
      <c r="N31" s="157"/>
      <c r="O31" s="157"/>
    </row>
    <row r="32" spans="2:15" ht="19.95" customHeight="1" x14ac:dyDescent="0.3">
      <c r="H32" s="157"/>
      <c r="I32" s="157"/>
      <c r="J32" s="157"/>
      <c r="K32" s="157"/>
      <c r="L32" s="157"/>
      <c r="M32" s="157"/>
      <c r="N32" s="157"/>
      <c r="O32" s="157"/>
    </row>
  </sheetData>
  <mergeCells count="8">
    <mergeCell ref="B4:B5"/>
    <mergeCell ref="H4:H5"/>
    <mergeCell ref="I4:K4"/>
    <mergeCell ref="L4:N4"/>
    <mergeCell ref="O4:O5"/>
    <mergeCell ref="C4:D4"/>
    <mergeCell ref="E4:F4"/>
    <mergeCell ref="G4:G5"/>
  </mergeCells>
  <phoneticPr fontId="37" type="noConversion"/>
  <pageMargins left="0.7" right="0.7" top="0.75" bottom="0.75" header="0.3" footer="0.3"/>
  <pageSetup scale="54" fitToHeight="0"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8E60-3D97-4D2D-BCE1-EA3321F1E6AD}">
  <dimension ref="C4:J16"/>
  <sheetViews>
    <sheetView workbookViewId="0">
      <selection activeCell="F10" sqref="F10"/>
    </sheetView>
  </sheetViews>
  <sheetFormatPr defaultColWidth="8.77734375" defaultRowHeight="14.4" x14ac:dyDescent="0.3"/>
  <cols>
    <col min="1" max="1" width="8.77734375" style="101"/>
    <col min="2" max="2" width="0.5546875" style="101" customWidth="1"/>
    <col min="3" max="3" width="15.21875" style="101" customWidth="1"/>
    <col min="4" max="4" width="18" style="101" bestFit="1" customWidth="1"/>
    <col min="5" max="5" width="18" style="101" customWidth="1"/>
    <col min="6" max="6" width="13.77734375" style="101" bestFit="1" customWidth="1"/>
    <col min="7" max="7" width="20" style="101" bestFit="1" customWidth="1"/>
    <col min="8" max="8" width="13.77734375" style="101" bestFit="1" customWidth="1"/>
    <col min="9" max="9" width="15" style="101" customWidth="1"/>
    <col min="10" max="10" width="13.77734375" style="101" customWidth="1"/>
    <col min="11" max="11" width="0.6640625" style="101" customWidth="1"/>
    <col min="12" max="16384" width="8.77734375" style="101"/>
  </cols>
  <sheetData>
    <row r="4" spans="3:10" x14ac:dyDescent="0.3">
      <c r="C4" s="258"/>
      <c r="D4" s="259"/>
      <c r="E4" s="259"/>
      <c r="F4" s="259"/>
      <c r="G4" s="259"/>
      <c r="H4" s="259"/>
      <c r="I4" s="260"/>
      <c r="J4" s="167"/>
    </row>
    <row r="5" spans="3:10" ht="3.45" customHeight="1" x14ac:dyDescent="0.3">
      <c r="C5" s="258"/>
      <c r="D5" s="134"/>
      <c r="E5" s="134"/>
      <c r="F5" s="134"/>
      <c r="G5" s="134"/>
      <c r="H5" s="134"/>
      <c r="I5" s="260"/>
      <c r="J5" s="167"/>
    </row>
    <row r="6" spans="3:10" ht="19.5" customHeight="1" x14ac:dyDescent="0.3">
      <c r="C6" s="261" t="s">
        <v>72</v>
      </c>
      <c r="D6" s="263" t="s">
        <v>26</v>
      </c>
      <c r="E6" s="263"/>
      <c r="F6" s="263"/>
      <c r="G6" s="263" t="s">
        <v>27</v>
      </c>
      <c r="H6" s="263"/>
      <c r="I6" s="264" t="s">
        <v>76</v>
      </c>
      <c r="J6" s="257" t="s">
        <v>100</v>
      </c>
    </row>
    <row r="7" spans="3:10" ht="19.5" customHeight="1" x14ac:dyDescent="0.3">
      <c r="C7" s="262"/>
      <c r="D7" s="140" t="s">
        <v>79</v>
      </c>
      <c r="E7" s="140" t="s">
        <v>80</v>
      </c>
      <c r="F7" s="140" t="s">
        <v>75</v>
      </c>
      <c r="G7" s="140" t="s">
        <v>73</v>
      </c>
      <c r="H7" s="140" t="s">
        <v>75</v>
      </c>
      <c r="I7" s="265"/>
      <c r="J7" s="257"/>
    </row>
    <row r="8" spans="3:10" x14ac:dyDescent="0.3">
      <c r="C8" s="142" t="s">
        <v>74</v>
      </c>
      <c r="D8" s="135" t="e">
        <f>#REF!</f>
        <v>#REF!</v>
      </c>
      <c r="E8" s="135">
        <v>35024</v>
      </c>
      <c r="F8" s="141" t="e">
        <f>(D8+E8)*13.5</f>
        <v>#REF!</v>
      </c>
      <c r="G8" s="146" t="e">
        <f>#REF!</f>
        <v>#REF!</v>
      </c>
      <c r="H8" s="141" t="e">
        <f>G8*7.5</f>
        <v>#REF!</v>
      </c>
      <c r="I8" s="141" t="e">
        <f>F8+H8</f>
        <v>#REF!</v>
      </c>
      <c r="J8" s="141"/>
    </row>
    <row r="9" spans="3:10" x14ac:dyDescent="0.3">
      <c r="C9" s="142" t="s">
        <v>98</v>
      </c>
      <c r="D9" s="143" t="e">
        <f>#REF!</f>
        <v>#REF!</v>
      </c>
      <c r="E9" s="143">
        <v>0</v>
      </c>
      <c r="F9" s="144" t="e">
        <f>(D9+E9)*13.5</f>
        <v>#REF!</v>
      </c>
      <c r="G9" s="147" t="e">
        <f>#REF!</f>
        <v>#REF!</v>
      </c>
      <c r="H9" s="144" t="e">
        <f>G9*7.5</f>
        <v>#REF!</v>
      </c>
      <c r="I9" s="144" t="e">
        <f>F9+H9</f>
        <v>#REF!</v>
      </c>
      <c r="J9" s="144"/>
    </row>
    <row r="10" spans="3:10" x14ac:dyDescent="0.3">
      <c r="C10" s="127" t="s">
        <v>99</v>
      </c>
      <c r="D10" s="128">
        <f>288036+6590</f>
        <v>294626</v>
      </c>
      <c r="E10" s="128">
        <v>0</v>
      </c>
      <c r="F10" s="129" t="e">
        <f>(F9/26)*5</f>
        <v>#REF!</v>
      </c>
      <c r="G10" s="128"/>
      <c r="H10" s="145">
        <v>0</v>
      </c>
      <c r="I10" s="129" t="e">
        <f>F10+H10</f>
        <v>#REF!</v>
      </c>
      <c r="J10" s="129">
        <v>5666659</v>
      </c>
    </row>
    <row r="11" spans="3:10" x14ac:dyDescent="0.3">
      <c r="C11" s="127" t="s">
        <v>77</v>
      </c>
      <c r="D11" s="130"/>
      <c r="E11" s="130"/>
      <c r="F11" s="129" t="e">
        <f>SUM(F9:F10)</f>
        <v>#REF!</v>
      </c>
      <c r="G11" s="130"/>
      <c r="H11" s="129" t="e">
        <f>H8</f>
        <v>#REF!</v>
      </c>
      <c r="I11" s="129" t="e">
        <f>F11+H11</f>
        <v>#REF!</v>
      </c>
      <c r="J11" s="129">
        <v>5037825</v>
      </c>
    </row>
    <row r="12" spans="3:10" ht="15" thickBot="1" x14ac:dyDescent="0.35">
      <c r="C12" s="131" t="s">
        <v>78</v>
      </c>
      <c r="D12" s="132"/>
      <c r="E12" s="132"/>
      <c r="F12" s="133" t="e">
        <f>F11</f>
        <v>#REF!</v>
      </c>
      <c r="G12" s="132"/>
      <c r="H12" s="133" t="e">
        <f>H11</f>
        <v>#REF!</v>
      </c>
      <c r="I12" s="133" t="e">
        <f>F12+H12</f>
        <v>#REF!</v>
      </c>
      <c r="J12" s="133">
        <v>4408645</v>
      </c>
    </row>
    <row r="13" spans="3:10" ht="15" thickTop="1" x14ac:dyDescent="0.3">
      <c r="C13" s="136"/>
      <c r="D13" s="137"/>
      <c r="E13" s="137"/>
      <c r="F13" s="138" t="e">
        <f>SUM(F8:F12)</f>
        <v>#REF!</v>
      </c>
      <c r="G13" s="139"/>
      <c r="H13" s="138" t="e">
        <f>SUM(H8:H12)</f>
        <v>#REF!</v>
      </c>
      <c r="I13" s="138" t="e">
        <f>SUM(I8:I12)</f>
        <v>#REF!</v>
      </c>
      <c r="J13" s="138"/>
    </row>
    <row r="14" spans="3:10" ht="3.45" customHeight="1" x14ac:dyDescent="0.3">
      <c r="D14" s="134"/>
      <c r="E14" s="134"/>
      <c r="F14" s="134"/>
      <c r="G14" s="134"/>
      <c r="H14" s="134"/>
    </row>
    <row r="16" spans="3:10" x14ac:dyDescent="0.3">
      <c r="F16" s="153"/>
    </row>
  </sheetData>
  <mergeCells count="9">
    <mergeCell ref="J6:J7"/>
    <mergeCell ref="C4:C5"/>
    <mergeCell ref="D4:F4"/>
    <mergeCell ref="G4:H4"/>
    <mergeCell ref="I4:I5"/>
    <mergeCell ref="C6:C7"/>
    <mergeCell ref="D6:F6"/>
    <mergeCell ref="G6:H6"/>
    <mergeCell ref="I6:I7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C428-DEBF-46B7-862A-2B18E414DB8C}">
  <dimension ref="A2:J9"/>
  <sheetViews>
    <sheetView workbookViewId="0">
      <selection activeCell="H26" sqref="H26"/>
    </sheetView>
  </sheetViews>
  <sheetFormatPr defaultRowHeight="14.4" x14ac:dyDescent="0.3"/>
  <sheetData>
    <row r="2" spans="1:10" x14ac:dyDescent="0.3">
      <c r="B2" t="s">
        <v>91</v>
      </c>
      <c r="C2" t="s">
        <v>92</v>
      </c>
      <c r="D2" t="s">
        <v>93</v>
      </c>
      <c r="E2" t="s">
        <v>94</v>
      </c>
      <c r="F2" t="s">
        <v>101</v>
      </c>
      <c r="G2" t="s">
        <v>106</v>
      </c>
    </row>
    <row r="3" spans="1:10" x14ac:dyDescent="0.3">
      <c r="A3" t="s">
        <v>96</v>
      </c>
      <c r="B3" s="166">
        <f>62000/12</f>
        <v>5166.666666666667</v>
      </c>
      <c r="C3" s="166">
        <f>62000/12</f>
        <v>5166.666666666667</v>
      </c>
      <c r="D3" s="166">
        <f>62000/12</f>
        <v>5166.666666666667</v>
      </c>
      <c r="E3" s="166">
        <f>62000/12</f>
        <v>5166.666666666667</v>
      </c>
      <c r="F3" s="166">
        <f>(5167/30)*30</f>
        <v>5167</v>
      </c>
      <c r="G3" s="166">
        <v>5167</v>
      </c>
      <c r="H3" s="166"/>
      <c r="I3" s="166">
        <f>SUM(B3:G3)</f>
        <v>31000.666666666668</v>
      </c>
    </row>
    <row r="4" spans="1:10" x14ac:dyDescent="0.3">
      <c r="A4" t="s">
        <v>95</v>
      </c>
      <c r="B4">
        <v>4314.38</v>
      </c>
      <c r="C4">
        <v>3568.75</v>
      </c>
      <c r="D4">
        <v>1719.33</v>
      </c>
      <c r="E4">
        <v>4261.4399999999996</v>
      </c>
      <c r="F4">
        <f>3049.52+70.58</f>
        <v>3120.1</v>
      </c>
      <c r="G4" s="170">
        <f>Dec!H36</f>
        <v>0</v>
      </c>
      <c r="H4">
        <f>F4/F3</f>
        <v>0.60385136442810139</v>
      </c>
      <c r="I4" s="166">
        <f>SUM(B4:G4)</f>
        <v>16983.999999999996</v>
      </c>
    </row>
    <row r="5" spans="1:10" x14ac:dyDescent="0.3">
      <c r="A5" t="s">
        <v>97</v>
      </c>
      <c r="B5" s="166">
        <f>B3-B4</f>
        <v>852.28666666666686</v>
      </c>
      <c r="C5" s="166">
        <f>C3-C4</f>
        <v>1597.916666666667</v>
      </c>
      <c r="D5" s="166">
        <f>D3-D4</f>
        <v>3447.336666666667</v>
      </c>
      <c r="E5" s="166">
        <f>E3-E4</f>
        <v>905.22666666666737</v>
      </c>
      <c r="F5" s="166">
        <f>F3-F4</f>
        <v>2046.9</v>
      </c>
      <c r="G5" s="166">
        <f>((5167/31)*7)-G4</f>
        <v>1166.741935483871</v>
      </c>
      <c r="I5" s="166">
        <f>SUM(B5:G5)</f>
        <v>10016.408602150539</v>
      </c>
      <c r="J5" s="166"/>
    </row>
    <row r="7" spans="1:10" x14ac:dyDescent="0.3">
      <c r="F7">
        <f>5167/30</f>
        <v>172.23333333333332</v>
      </c>
    </row>
    <row r="8" spans="1:10" x14ac:dyDescent="0.3">
      <c r="F8">
        <f>F7*7</f>
        <v>1205.6333333333332</v>
      </c>
      <c r="H8">
        <f>F8-764</f>
        <v>441.63333333333321</v>
      </c>
    </row>
    <row r="9" spans="1:10" x14ac:dyDescent="0.3">
      <c r="F9">
        <f>764/F8</f>
        <v>0.63369183554978026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CA66-E6F4-43C6-9E37-C8463369204F}">
  <sheetPr>
    <tabColor rgb="FF00B050"/>
    <pageSetUpPr autoPageBreaks="0"/>
  </sheetPr>
  <dimension ref="B1:S124"/>
  <sheetViews>
    <sheetView showGridLines="0" zoomScale="70" zoomScaleNormal="70" zoomScaleSheetLayoutView="115" workbookViewId="0">
      <selection activeCell="H26" sqref="H26"/>
    </sheetView>
  </sheetViews>
  <sheetFormatPr defaultColWidth="22.33203125" defaultRowHeight="14.4" x14ac:dyDescent="0.3"/>
  <cols>
    <col min="1" max="1" width="6.6640625" customWidth="1"/>
    <col min="2" max="2" width="22.88671875" customWidth="1"/>
    <col min="3" max="3" width="9.77734375" customWidth="1"/>
    <col min="4" max="13" width="14.109375" customWidth="1"/>
    <col min="14" max="14" width="9.77734375" style="101" customWidth="1"/>
    <col min="15" max="15" width="16.5546875" customWidth="1"/>
    <col min="16" max="19" width="22.33203125" style="126"/>
  </cols>
  <sheetData>
    <row r="1" spans="2:17" x14ac:dyDescent="0.3">
      <c r="P1" s="126">
        <f>5177/4</f>
        <v>1294.25</v>
      </c>
      <c r="Q1" s="126">
        <f>P1*3</f>
        <v>3882.75</v>
      </c>
    </row>
    <row r="3" spans="2:17" ht="25.8" x14ac:dyDescent="0.5">
      <c r="B3" s="246" t="s">
        <v>71</v>
      </c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</row>
    <row r="4" spans="2:17" ht="4.05" customHeight="1" x14ac:dyDescent="0.3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2:17" ht="14.55" customHeight="1" x14ac:dyDescent="0.3">
      <c r="B5" s="244" t="s">
        <v>20</v>
      </c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</row>
    <row r="6" spans="2:17" x14ac:dyDescent="0.3">
      <c r="D6" s="19">
        <v>105</v>
      </c>
      <c r="E6" s="19" t="s">
        <v>18</v>
      </c>
    </row>
    <row r="7" spans="2:17" x14ac:dyDescent="0.3">
      <c r="D7" s="154" t="s">
        <v>82</v>
      </c>
      <c r="E7" s="154" t="s">
        <v>81</v>
      </c>
      <c r="F7" s="154" t="s">
        <v>83</v>
      </c>
      <c r="G7" s="154" t="s">
        <v>84</v>
      </c>
      <c r="H7" s="154" t="s">
        <v>85</v>
      </c>
      <c r="I7" s="154" t="s">
        <v>86</v>
      </c>
      <c r="J7" s="154" t="s">
        <v>87</v>
      </c>
      <c r="K7" s="154" t="s">
        <v>88</v>
      </c>
      <c r="L7" s="154" t="s">
        <v>89</v>
      </c>
      <c r="M7" s="154" t="s">
        <v>90</v>
      </c>
      <c r="N7" s="111" t="s">
        <v>37</v>
      </c>
      <c r="O7" s="74"/>
    </row>
    <row r="8" spans="2:17" hidden="1" x14ac:dyDescent="0.3">
      <c r="D8" s="10"/>
      <c r="E8" s="10"/>
      <c r="F8" s="10"/>
      <c r="G8" s="10"/>
      <c r="H8" s="10"/>
      <c r="I8" s="10"/>
      <c r="J8" s="10"/>
      <c r="K8" s="10"/>
      <c r="L8" s="10"/>
      <c r="M8" s="10"/>
      <c r="N8" s="107"/>
      <c r="O8" s="74"/>
    </row>
    <row r="9" spans="2:17" x14ac:dyDescent="0.3">
      <c r="B9" s="12" t="s">
        <v>15</v>
      </c>
      <c r="C9" s="9" t="s">
        <v>10</v>
      </c>
      <c r="D9" s="66">
        <v>5303.23</v>
      </c>
      <c r="E9" s="66">
        <v>1764</v>
      </c>
      <c r="F9" s="66">
        <v>3122.5</v>
      </c>
      <c r="G9" s="66">
        <v>4073</v>
      </c>
      <c r="H9" s="66">
        <v>2624</v>
      </c>
      <c r="I9" s="66">
        <v>3883</v>
      </c>
      <c r="J9" s="66">
        <v>4386</v>
      </c>
      <c r="K9" s="66">
        <v>4060</v>
      </c>
      <c r="L9" s="66">
        <v>3768</v>
      </c>
      <c r="M9" s="66">
        <v>3123</v>
      </c>
      <c r="N9" s="109">
        <f>SUM(D9:M9)</f>
        <v>36106.729999999996</v>
      </c>
      <c r="O9" s="62"/>
    </row>
    <row r="10" spans="2:17" x14ac:dyDescent="0.3">
      <c r="B10" s="12" t="s">
        <v>17</v>
      </c>
      <c r="C10" s="9" t="s">
        <v>10</v>
      </c>
      <c r="D10" s="66">
        <f>D13*D9</f>
        <v>556839.14999999991</v>
      </c>
      <c r="E10" s="66">
        <f>E13*E9</f>
        <v>185220</v>
      </c>
      <c r="F10" s="66">
        <f t="shared" ref="F10:M10" si="0">F13*F9</f>
        <v>327862.5</v>
      </c>
      <c r="G10" s="66">
        <f t="shared" si="0"/>
        <v>427665</v>
      </c>
      <c r="H10" s="66">
        <f t="shared" si="0"/>
        <v>275520</v>
      </c>
      <c r="I10" s="66">
        <f t="shared" si="0"/>
        <v>407715</v>
      </c>
      <c r="J10" s="66">
        <f t="shared" si="0"/>
        <v>460530</v>
      </c>
      <c r="K10" s="66">
        <f t="shared" si="0"/>
        <v>426300</v>
      </c>
      <c r="L10" s="66">
        <f t="shared" si="0"/>
        <v>395640</v>
      </c>
      <c r="M10" s="66">
        <f t="shared" si="0"/>
        <v>327915</v>
      </c>
      <c r="N10" s="110">
        <f>N13*N9</f>
        <v>3791206.6499999994</v>
      </c>
      <c r="O10" s="63"/>
    </row>
    <row r="11" spans="2:17" x14ac:dyDescent="0.3">
      <c r="B11" s="12" t="s">
        <v>16</v>
      </c>
      <c r="C11" s="9" t="s">
        <v>10</v>
      </c>
      <c r="D11" s="11">
        <v>420112</v>
      </c>
      <c r="E11" s="11">
        <v>197627</v>
      </c>
      <c r="F11" s="11">
        <v>260566</v>
      </c>
      <c r="G11" s="11">
        <v>302350</v>
      </c>
      <c r="H11" s="11">
        <v>185820</v>
      </c>
      <c r="I11" s="11">
        <v>331386</v>
      </c>
      <c r="J11" s="11">
        <v>339193</v>
      </c>
      <c r="K11" s="11">
        <v>330696</v>
      </c>
      <c r="L11" s="11">
        <v>286237</v>
      </c>
      <c r="M11" s="11">
        <v>297862</v>
      </c>
      <c r="N11" s="109">
        <f>SUM(D11:M11)</f>
        <v>2951849</v>
      </c>
      <c r="O11" s="100"/>
      <c r="P11" s="148"/>
    </row>
    <row r="12" spans="2:17" x14ac:dyDescent="0.3">
      <c r="B12" s="12" t="s">
        <v>22</v>
      </c>
      <c r="C12" s="9" t="s">
        <v>19</v>
      </c>
      <c r="D12" s="66">
        <f>IFERROR(D11/D9,"")</f>
        <v>79.218136871302974</v>
      </c>
      <c r="E12" s="66">
        <f>IFERROR(E11/E9,"")</f>
        <v>112.03344671201815</v>
      </c>
      <c r="F12" s="66">
        <f t="shared" ref="F12:M12" si="1">IFERROR(F11/F9,"")</f>
        <v>83.44787830264211</v>
      </c>
      <c r="G12" s="66">
        <f t="shared" si="1"/>
        <v>74.232752271053272</v>
      </c>
      <c r="H12" s="66">
        <f t="shared" si="1"/>
        <v>70.815548780487802</v>
      </c>
      <c r="I12" s="66">
        <f t="shared" si="1"/>
        <v>85.342776203966011</v>
      </c>
      <c r="J12" s="66">
        <f t="shared" si="1"/>
        <v>77.335385316917467</v>
      </c>
      <c r="K12" s="66">
        <f t="shared" si="1"/>
        <v>81.452216748768478</v>
      </c>
      <c r="L12" s="66">
        <f t="shared" si="1"/>
        <v>75.965233545647564</v>
      </c>
      <c r="M12" s="66">
        <f t="shared" si="1"/>
        <v>95.376881203970541</v>
      </c>
      <c r="N12" s="110">
        <f>N11/N9</f>
        <v>81.753429346828156</v>
      </c>
      <c r="O12" s="63">
        <f>M12-L12</f>
        <v>19.411647658322977</v>
      </c>
    </row>
    <row r="13" spans="2:17" x14ac:dyDescent="0.3">
      <c r="B13" s="12" t="s">
        <v>23</v>
      </c>
      <c r="C13" s="9" t="s">
        <v>19</v>
      </c>
      <c r="D13" s="66">
        <v>105</v>
      </c>
      <c r="E13" s="66">
        <v>105</v>
      </c>
      <c r="F13" s="66">
        <v>105</v>
      </c>
      <c r="G13" s="66">
        <v>105</v>
      </c>
      <c r="H13" s="66">
        <v>105</v>
      </c>
      <c r="I13" s="66">
        <v>105</v>
      </c>
      <c r="J13" s="66">
        <v>105</v>
      </c>
      <c r="K13" s="66">
        <v>105</v>
      </c>
      <c r="L13" s="66">
        <v>105</v>
      </c>
      <c r="M13" s="115">
        <v>105</v>
      </c>
      <c r="N13" s="116">
        <v>105</v>
      </c>
      <c r="O13" s="78">
        <f>O12/L12</f>
        <v>0.25553331112525973</v>
      </c>
      <c r="P13" s="150"/>
    </row>
    <row r="14" spans="2:17" x14ac:dyDescent="0.3">
      <c r="B14" s="21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103"/>
    </row>
    <row r="15" spans="2:17" x14ac:dyDescent="0.3">
      <c r="B15" s="21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2:17" x14ac:dyDescent="0.3">
      <c r="B16" s="21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2:13" x14ac:dyDescent="0.3">
      <c r="B17" s="21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2:13" x14ac:dyDescent="0.3">
      <c r="B18" s="21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2:13" x14ac:dyDescent="0.3">
      <c r="B19" s="21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2:13" x14ac:dyDescent="0.3">
      <c r="B20" s="21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2:13" x14ac:dyDescent="0.3">
      <c r="B21" s="21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2:13" x14ac:dyDescent="0.3">
      <c r="B22" s="21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2:13" x14ac:dyDescent="0.3">
      <c r="B23" s="21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2:13" x14ac:dyDescent="0.3">
      <c r="B24" s="21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2:13" x14ac:dyDescent="0.3"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2:13" x14ac:dyDescent="0.3"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2:13" x14ac:dyDescent="0.3"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2:13" x14ac:dyDescent="0.3">
      <c r="B28" s="21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2:13" x14ac:dyDescent="0.3">
      <c r="B29" s="21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2:13" x14ac:dyDescent="0.3">
      <c r="B30" s="2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2:13" x14ac:dyDescent="0.3">
      <c r="B31" s="21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2:13" x14ac:dyDescent="0.3">
      <c r="B32" s="21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2:15" x14ac:dyDescent="0.3">
      <c r="B33" s="21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2:15" x14ac:dyDescent="0.3">
      <c r="B34" s="21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spans="2:15" x14ac:dyDescent="0.3">
      <c r="B35" s="21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</row>
    <row r="36" spans="2:15" x14ac:dyDescent="0.3"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2:15" x14ac:dyDescent="0.3">
      <c r="B37" s="21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8" spans="2:15" x14ac:dyDescent="0.3">
      <c r="B38" s="21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spans="2:15" x14ac:dyDescent="0.3">
      <c r="B39" s="21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2:15" x14ac:dyDescent="0.3">
      <c r="B40" s="21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2:15" x14ac:dyDescent="0.3">
      <c r="B41" s="21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spans="2:15" x14ac:dyDescent="0.3">
      <c r="B42" s="21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spans="2:15" x14ac:dyDescent="0.3">
      <c r="B43" s="21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spans="2:15" x14ac:dyDescent="0.3">
      <c r="N44" s="103"/>
      <c r="O44" s="57"/>
    </row>
    <row r="49" spans="2:16" ht="15.6" x14ac:dyDescent="0.3">
      <c r="B49" s="245" t="s">
        <v>21</v>
      </c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</row>
    <row r="50" spans="2:16" x14ac:dyDescent="0.3">
      <c r="D50" s="154" t="s">
        <v>82</v>
      </c>
      <c r="E50" s="154" t="s">
        <v>81</v>
      </c>
      <c r="F50" s="154" t="s">
        <v>83</v>
      </c>
      <c r="G50" s="154" t="s">
        <v>84</v>
      </c>
      <c r="H50" s="154" t="s">
        <v>85</v>
      </c>
      <c r="I50" s="154" t="s">
        <v>86</v>
      </c>
      <c r="J50" s="154" t="s">
        <v>87</v>
      </c>
      <c r="K50" s="154" t="s">
        <v>88</v>
      </c>
      <c r="L50" s="154" t="s">
        <v>89</v>
      </c>
      <c r="M50" s="154" t="s">
        <v>90</v>
      </c>
      <c r="N50" s="111" t="s">
        <v>37</v>
      </c>
      <c r="O50" s="64"/>
    </row>
    <row r="51" spans="2:16" x14ac:dyDescent="0.3">
      <c r="B51" s="25" t="s">
        <v>15</v>
      </c>
      <c r="C51" s="16" t="s">
        <v>10</v>
      </c>
      <c r="D51" s="66">
        <f t="shared" ref="D51:J51" si="2">D9*(D54/15)</f>
        <v>4985.0361999999996</v>
      </c>
      <c r="E51" s="66">
        <f t="shared" si="2"/>
        <v>1658.1599999999999</v>
      </c>
      <c r="F51" s="66">
        <f t="shared" si="2"/>
        <v>2955.9666666666667</v>
      </c>
      <c r="G51" s="66">
        <f t="shared" si="2"/>
        <v>3828.62</v>
      </c>
      <c r="H51" s="66">
        <f t="shared" si="2"/>
        <v>2536.5333333333333</v>
      </c>
      <c r="I51" s="66">
        <f t="shared" si="2"/>
        <v>3709.5593333333336</v>
      </c>
      <c r="J51" s="66">
        <f t="shared" si="2"/>
        <v>4067.2840000000001</v>
      </c>
      <c r="K51" s="66">
        <f>K9*(K54/15)</f>
        <v>3794.7466666666664</v>
      </c>
      <c r="L51" s="66">
        <f>L9*(L54/15)</f>
        <v>3582.1120000000001</v>
      </c>
      <c r="M51" s="66">
        <f>(418+639)*(M54/15)</f>
        <v>1009.7873333333333</v>
      </c>
      <c r="N51" s="108">
        <f>SUM(D51:M51)</f>
        <v>32127.805533333332</v>
      </c>
      <c r="O51" s="61"/>
      <c r="P51" s="152"/>
    </row>
    <row r="52" spans="2:16" x14ac:dyDescent="0.3">
      <c r="B52" s="25" t="s">
        <v>17</v>
      </c>
      <c r="C52" s="16" t="s">
        <v>10</v>
      </c>
      <c r="D52" s="66">
        <f t="shared" ref="D52:M52" si="3">D51*$D$6</f>
        <v>523428.80099999998</v>
      </c>
      <c r="E52" s="66">
        <f t="shared" si="3"/>
        <v>174106.8</v>
      </c>
      <c r="F52" s="66">
        <f t="shared" si="3"/>
        <v>310376.5</v>
      </c>
      <c r="G52" s="66">
        <f t="shared" si="3"/>
        <v>402005.1</v>
      </c>
      <c r="H52" s="66">
        <f t="shared" si="3"/>
        <v>266336</v>
      </c>
      <c r="I52" s="66">
        <f t="shared" si="3"/>
        <v>389503.73000000004</v>
      </c>
      <c r="J52" s="66">
        <f t="shared" si="3"/>
        <v>427064.82</v>
      </c>
      <c r="K52" s="66">
        <f t="shared" si="3"/>
        <v>398448.39999999997</v>
      </c>
      <c r="L52" s="66">
        <f t="shared" si="3"/>
        <v>376121.76</v>
      </c>
      <c r="M52" s="66">
        <f t="shared" si="3"/>
        <v>106027.67</v>
      </c>
      <c r="N52" s="110">
        <f>N51*105</f>
        <v>3373419.5809999998</v>
      </c>
      <c r="O52" s="63"/>
    </row>
    <row r="53" spans="2:16" x14ac:dyDescent="0.3">
      <c r="B53" s="25" t="s">
        <v>16</v>
      </c>
      <c r="C53" s="16" t="s">
        <v>10</v>
      </c>
      <c r="D53" s="11">
        <f t="shared" ref="D53:K53" si="4">D11</f>
        <v>420112</v>
      </c>
      <c r="E53" s="11">
        <f t="shared" si="4"/>
        <v>197627</v>
      </c>
      <c r="F53" s="11">
        <f t="shared" si="4"/>
        <v>260566</v>
      </c>
      <c r="G53" s="11">
        <f t="shared" si="4"/>
        <v>302350</v>
      </c>
      <c r="H53" s="11">
        <f t="shared" si="4"/>
        <v>185820</v>
      </c>
      <c r="I53" s="11">
        <f t="shared" si="4"/>
        <v>331386</v>
      </c>
      <c r="J53" s="11">
        <f t="shared" si="4"/>
        <v>339193</v>
      </c>
      <c r="K53" s="11">
        <f t="shared" si="4"/>
        <v>330696</v>
      </c>
      <c r="L53" s="11">
        <f>L11</f>
        <v>286237</v>
      </c>
      <c r="M53" s="11">
        <f>43565+71153</f>
        <v>114718</v>
      </c>
      <c r="N53" s="112">
        <f>SUM(D53:M53)</f>
        <v>2768705</v>
      </c>
      <c r="O53" s="63"/>
      <c r="P53" s="148"/>
    </row>
    <row r="54" spans="2:16" x14ac:dyDescent="0.3">
      <c r="B54" s="25" t="s">
        <v>39</v>
      </c>
      <c r="C54" s="16"/>
      <c r="D54" s="124">
        <v>14.1</v>
      </c>
      <c r="E54" s="124">
        <v>14.1</v>
      </c>
      <c r="F54" s="124">
        <v>14.2</v>
      </c>
      <c r="G54" s="124">
        <v>14.1</v>
      </c>
      <c r="H54" s="124">
        <v>14.5</v>
      </c>
      <c r="I54" s="124">
        <v>14.33</v>
      </c>
      <c r="J54" s="124">
        <v>13.91</v>
      </c>
      <c r="K54" s="124">
        <v>14.02</v>
      </c>
      <c r="L54" s="124">
        <v>14.26</v>
      </c>
      <c r="M54" s="124">
        <v>14.33</v>
      </c>
      <c r="N54" s="113">
        <f>AVERAGE(D54:M54)</f>
        <v>14.184999999999999</v>
      </c>
      <c r="O54" s="87"/>
    </row>
    <row r="55" spans="2:16" x14ac:dyDescent="0.3">
      <c r="B55" s="12" t="s">
        <v>22</v>
      </c>
      <c r="C55" s="9" t="s">
        <v>19</v>
      </c>
      <c r="D55" s="66">
        <f t="shared" ref="D55:M55" si="5">IFERROR(D53/D51,"")</f>
        <v>84.274613692875491</v>
      </c>
      <c r="E55" s="66">
        <f t="shared" si="5"/>
        <v>119.18451777874272</v>
      </c>
      <c r="F55" s="66">
        <f t="shared" si="5"/>
        <v>88.149167221100825</v>
      </c>
      <c r="G55" s="66">
        <f t="shared" si="5"/>
        <v>78.971013054311996</v>
      </c>
      <c r="H55" s="66">
        <f t="shared" si="5"/>
        <v>73.257464255677036</v>
      </c>
      <c r="I55" s="66">
        <f t="shared" si="5"/>
        <v>89.332982767584781</v>
      </c>
      <c r="J55" s="66">
        <f t="shared" si="5"/>
        <v>83.395455050593952</v>
      </c>
      <c r="K55" s="66">
        <f t="shared" si="5"/>
        <v>87.145738318939166</v>
      </c>
      <c r="L55" s="66">
        <f t="shared" si="5"/>
        <v>79.907328414075266</v>
      </c>
      <c r="M55" s="66">
        <f t="shared" si="5"/>
        <v>113.60609923805738</v>
      </c>
      <c r="N55" s="112">
        <f>N53/N51</f>
        <v>86.177843585594587</v>
      </c>
      <c r="O55" s="65"/>
    </row>
    <row r="56" spans="2:16" x14ac:dyDescent="0.3">
      <c r="B56" s="12" t="s">
        <v>23</v>
      </c>
      <c r="C56" s="9" t="s">
        <v>19</v>
      </c>
      <c r="D56" s="66">
        <v>105</v>
      </c>
      <c r="E56" s="66">
        <v>105</v>
      </c>
      <c r="F56" s="66">
        <v>105</v>
      </c>
      <c r="G56" s="66">
        <v>105</v>
      </c>
      <c r="H56" s="66">
        <v>105</v>
      </c>
      <c r="I56" s="66">
        <v>105</v>
      </c>
      <c r="J56" s="66">
        <v>105</v>
      </c>
      <c r="K56" s="66">
        <v>105</v>
      </c>
      <c r="L56" s="66">
        <v>105</v>
      </c>
      <c r="M56" s="66">
        <v>105</v>
      </c>
      <c r="N56" s="114">
        <v>105</v>
      </c>
      <c r="O56" s="65"/>
    </row>
    <row r="57" spans="2:16" x14ac:dyDescent="0.3">
      <c r="D57" s="24" t="s">
        <v>40</v>
      </c>
      <c r="N57" s="103"/>
    </row>
    <row r="94" spans="14:19" s="4" customFormat="1" ht="15" thickBot="1" x14ac:dyDescent="0.35">
      <c r="N94" s="105"/>
      <c r="P94" s="151"/>
      <c r="Q94" s="151"/>
      <c r="R94" s="151"/>
      <c r="S94" s="151"/>
    </row>
    <row r="95" spans="14:19" ht="15" thickTop="1" x14ac:dyDescent="0.3"/>
    <row r="100" spans="2:13" ht="25.8" hidden="1" x14ac:dyDescent="0.5">
      <c r="B100" s="246" t="s">
        <v>24</v>
      </c>
      <c r="C100" s="246"/>
      <c r="D100" s="246"/>
      <c r="E100" s="246"/>
      <c r="F100" s="246"/>
      <c r="G100" s="246"/>
      <c r="H100" s="246"/>
      <c r="I100" s="246"/>
      <c r="J100" s="246"/>
      <c r="K100" s="246"/>
      <c r="L100" s="246"/>
      <c r="M100" s="246"/>
    </row>
    <row r="101" spans="2:13" hidden="1" x14ac:dyDescent="0.3"/>
    <row r="102" spans="2:13" ht="22.8" hidden="1" thickBot="1" x14ac:dyDescent="0.5">
      <c r="B102" s="28" t="s">
        <v>25</v>
      </c>
      <c r="C102" s="29" t="s">
        <v>26</v>
      </c>
      <c r="D102" s="29" t="s">
        <v>27</v>
      </c>
      <c r="E102" s="30" t="s">
        <v>28</v>
      </c>
    </row>
    <row r="103" spans="2:13" ht="23.4" hidden="1" x14ac:dyDescent="0.45">
      <c r="B103" s="31"/>
      <c r="C103" s="26"/>
      <c r="D103" s="26"/>
      <c r="E103" s="32"/>
    </row>
    <row r="104" spans="2:13" ht="22.2" hidden="1" x14ac:dyDescent="0.45">
      <c r="B104" s="33">
        <v>44743</v>
      </c>
      <c r="C104" s="89">
        <v>1056523.5</v>
      </c>
      <c r="D104" s="90">
        <v>1501785</v>
      </c>
      <c r="E104" s="91">
        <f>C104+D104</f>
        <v>2558308.5</v>
      </c>
    </row>
    <row r="105" spans="2:13" ht="22.2" hidden="1" x14ac:dyDescent="0.45">
      <c r="B105" s="33">
        <v>44774</v>
      </c>
      <c r="C105" s="92">
        <v>1649443.5</v>
      </c>
      <c r="D105" s="92">
        <v>863715</v>
      </c>
      <c r="E105" s="91">
        <f t="shared" ref="E105:E115" si="6">C105+D105</f>
        <v>2513158.5</v>
      </c>
    </row>
    <row r="106" spans="2:13" ht="22.2" hidden="1" x14ac:dyDescent="0.45">
      <c r="B106" s="33">
        <v>44805</v>
      </c>
      <c r="C106" s="92">
        <v>1346098.5</v>
      </c>
      <c r="D106" s="92">
        <v>1119105</v>
      </c>
      <c r="E106" s="91">
        <f t="shared" si="6"/>
        <v>2465203.5</v>
      </c>
    </row>
    <row r="107" spans="2:13" ht="22.2" hidden="1" x14ac:dyDescent="0.45">
      <c r="B107" s="33">
        <v>44835</v>
      </c>
      <c r="C107" s="92">
        <v>2573653.5</v>
      </c>
      <c r="D107" s="92">
        <v>0</v>
      </c>
      <c r="E107" s="91">
        <f t="shared" si="6"/>
        <v>2573653.5</v>
      </c>
    </row>
    <row r="108" spans="2:13" ht="22.2" hidden="1" x14ac:dyDescent="0.45">
      <c r="B108" s="33">
        <v>44866</v>
      </c>
      <c r="C108" s="92">
        <v>2239123.5</v>
      </c>
      <c r="D108" s="92">
        <v>0</v>
      </c>
      <c r="E108" s="91">
        <f t="shared" si="6"/>
        <v>2239123.5</v>
      </c>
    </row>
    <row r="109" spans="2:13" ht="22.2" hidden="1" x14ac:dyDescent="0.45">
      <c r="B109" s="33">
        <v>44896</v>
      </c>
      <c r="C109" s="92">
        <v>3815869.5</v>
      </c>
      <c r="D109" s="92">
        <v>0</v>
      </c>
      <c r="E109" s="91">
        <f t="shared" si="6"/>
        <v>3815869.5</v>
      </c>
    </row>
    <row r="110" spans="2:13" ht="22.2" hidden="1" x14ac:dyDescent="0.45">
      <c r="B110" s="33">
        <v>44927</v>
      </c>
      <c r="C110" s="92">
        <v>3876876</v>
      </c>
      <c r="D110" s="92">
        <v>0</v>
      </c>
      <c r="E110" s="91">
        <f t="shared" si="6"/>
        <v>3876876</v>
      </c>
    </row>
    <row r="111" spans="2:13" ht="22.2" hidden="1" x14ac:dyDescent="0.45">
      <c r="B111" s="33">
        <v>44958</v>
      </c>
      <c r="C111" s="92">
        <v>2565432</v>
      </c>
      <c r="D111" s="92">
        <v>427935</v>
      </c>
      <c r="E111" s="91">
        <f t="shared" si="6"/>
        <v>2993367</v>
      </c>
    </row>
    <row r="112" spans="2:13" ht="22.2" hidden="1" x14ac:dyDescent="0.45">
      <c r="B112" s="33">
        <v>44986</v>
      </c>
      <c r="C112" s="92">
        <v>2163847.5</v>
      </c>
      <c r="D112" s="92">
        <v>0</v>
      </c>
      <c r="E112" s="91">
        <f t="shared" si="6"/>
        <v>2163847.5</v>
      </c>
    </row>
    <row r="113" spans="2:5" ht="22.2" hidden="1" x14ac:dyDescent="0.45">
      <c r="B113" s="33">
        <v>45017</v>
      </c>
      <c r="C113" s="92">
        <v>1103476.5</v>
      </c>
      <c r="D113" s="92">
        <v>0</v>
      </c>
      <c r="E113" s="91">
        <f t="shared" si="6"/>
        <v>1103476.5</v>
      </c>
    </row>
    <row r="114" spans="2:5" ht="22.2" hidden="1" x14ac:dyDescent="0.45">
      <c r="B114" s="33">
        <v>45047</v>
      </c>
      <c r="C114" s="92">
        <v>1210167</v>
      </c>
      <c r="D114" s="92">
        <v>0</v>
      </c>
      <c r="E114" s="91">
        <f t="shared" si="6"/>
        <v>1210167</v>
      </c>
    </row>
    <row r="115" spans="2:5" ht="22.2" hidden="1" x14ac:dyDescent="0.45">
      <c r="B115" s="33">
        <v>45078</v>
      </c>
      <c r="C115" s="92">
        <v>2359260</v>
      </c>
      <c r="D115" s="92">
        <v>0</v>
      </c>
      <c r="E115" s="91">
        <f t="shared" si="6"/>
        <v>2359260</v>
      </c>
    </row>
    <row r="116" spans="2:5" ht="22.8" hidden="1" thickBot="1" x14ac:dyDescent="0.5">
      <c r="B116" s="34"/>
      <c r="C116" s="27"/>
      <c r="D116" s="27"/>
      <c r="E116" s="35"/>
    </row>
    <row r="117" spans="2:5" ht="23.4" hidden="1" thickTop="1" thickBot="1" x14ac:dyDescent="0.5">
      <c r="B117" s="36"/>
      <c r="C117" s="37">
        <f>SUM(C104:C115)</f>
        <v>25959771</v>
      </c>
      <c r="D117" s="37">
        <f>SUM(D104:D115)</f>
        <v>3912540</v>
      </c>
      <c r="E117" s="38">
        <f>SUM(E104:E115)</f>
        <v>29872311</v>
      </c>
    </row>
    <row r="118" spans="2:5" hidden="1" x14ac:dyDescent="0.3"/>
    <row r="119" spans="2:5" hidden="1" x14ac:dyDescent="0.3"/>
    <row r="120" spans="2:5" hidden="1" x14ac:dyDescent="0.3"/>
    <row r="121" spans="2:5" hidden="1" x14ac:dyDescent="0.3"/>
    <row r="122" spans="2:5" hidden="1" x14ac:dyDescent="0.3"/>
    <row r="123" spans="2:5" hidden="1" x14ac:dyDescent="0.3"/>
    <row r="124" spans="2:5" hidden="1" x14ac:dyDescent="0.3"/>
  </sheetData>
  <dataConsolidate/>
  <mergeCells count="4">
    <mergeCell ref="B100:M100"/>
    <mergeCell ref="B3:M3"/>
    <mergeCell ref="B5:M5"/>
    <mergeCell ref="B49:M49"/>
  </mergeCells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80B790-02EF-4FCF-B0AF-28483CD06D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Mar actual FM vol</vt:lpstr>
      <vt:lpstr>Mar actual FM volVer2</vt:lpstr>
      <vt:lpstr>May actual FM vol</vt:lpstr>
      <vt:lpstr>Dec</vt:lpstr>
      <vt:lpstr>Jan</vt:lpstr>
      <vt:lpstr>Feb</vt:lpstr>
      <vt:lpstr>Mar</vt:lpstr>
      <vt:lpstr>Apr(SCA)</vt:lpstr>
      <vt:lpstr>Apr(Act)</vt:lpstr>
      <vt:lpstr>May</vt:lpstr>
      <vt:lpstr>Jun</vt:lpstr>
      <vt:lpstr>Jul</vt:lpstr>
      <vt:lpstr>Aug</vt:lpstr>
      <vt:lpstr>Sep</vt:lpstr>
      <vt:lpstr>Oct</vt:lpstr>
      <vt:lpstr>CY Yield</vt:lpstr>
      <vt:lpstr>Collectibles</vt:lpstr>
      <vt:lpstr>Sur Collectible (2)</vt:lpstr>
      <vt:lpstr>Shortfall</vt:lpstr>
      <vt:lpstr>YTD 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Veerland Dongon</dc:creator>
  <cp:lastModifiedBy>Bryl Dolor</cp:lastModifiedBy>
  <cp:lastPrinted>2024-12-05T04:45:57Z</cp:lastPrinted>
  <dcterms:created xsi:type="dcterms:W3CDTF">2015-06-05T18:17:20Z</dcterms:created>
  <dcterms:modified xsi:type="dcterms:W3CDTF">2025-11-29T03:43:46Z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d06dff-deaf-4417-97ca-837e46d1737c_Enabled">
    <vt:lpwstr>true</vt:lpwstr>
  </property>
  <property fmtid="{D5CDD505-2E9C-101B-9397-08002B2CF9AE}" pid="3" name="MSIP_Label_d0d06dff-deaf-4417-97ca-837e46d1737c_SetDate">
    <vt:lpwstr>2023-08-06T16:06:28Z</vt:lpwstr>
  </property>
  <property fmtid="{D5CDD505-2E9C-101B-9397-08002B2CF9AE}" pid="4" name="MSIP_Label_d0d06dff-deaf-4417-97ca-837e46d1737c_Method">
    <vt:lpwstr>Standard</vt:lpwstr>
  </property>
  <property fmtid="{D5CDD505-2E9C-101B-9397-08002B2CF9AE}" pid="5" name="MSIP_Label_d0d06dff-deaf-4417-97ca-837e46d1737c_Name">
    <vt:lpwstr>General</vt:lpwstr>
  </property>
  <property fmtid="{D5CDD505-2E9C-101B-9397-08002B2CF9AE}" pid="6" name="MSIP_Label_d0d06dff-deaf-4417-97ca-837e46d1737c_SiteId">
    <vt:lpwstr>357ede74-f5c2-42d3-8541-b109a2049c3d</vt:lpwstr>
  </property>
  <property fmtid="{D5CDD505-2E9C-101B-9397-08002B2CF9AE}" pid="7" name="MSIP_Label_d0d06dff-deaf-4417-97ca-837e46d1737c_ActionId">
    <vt:lpwstr>e2f65458-7d2d-412f-9c53-355b1ea8317f</vt:lpwstr>
  </property>
  <property fmtid="{D5CDD505-2E9C-101B-9397-08002B2CF9AE}" pid="8" name="MSIP_Label_d0d06dff-deaf-4417-97ca-837e46d1737c_ContentBits">
    <vt:lpwstr>0</vt:lpwstr>
  </property>
</Properties>
</file>